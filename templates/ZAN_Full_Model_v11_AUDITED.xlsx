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Program" sheetId="2" state="visible" r:id="rId4"/>
    <sheet name="CAPEX" sheetId="3" state="visible" r:id="rId5"/>
    <sheet name="Revenue" sheetId="4" state="visible" r:id="rId6"/>
    <sheet name="CashFlow" sheetId="5" state="visible" r:id="rId7"/>
    <sheet name="Operating_PL" sheetId="6" state="visible" r:id="rId8"/>
    <sheet name="Fund_Summary" sheetId="7" state="visible" r:id="rId9"/>
    <sheet name="Fund_ZAN 1" sheetId="8" state="visible" r:id="rId10"/>
    <sheet name="Fund_ZAN 2" sheetId="9" state="visible" r:id="rId11"/>
    <sheet name="Fund_ZAN 3" sheetId="10" state="visible" r:id="rId12"/>
    <sheet name="Fund_ZAN 4" sheetId="11" state="visible" r:id="rId13"/>
    <sheet name="Fund_ZAN 5" sheetId="12" state="visible" r:id="rId14"/>
    <sheet name="Fund_ZAN 6" sheetId="13" state="visible" r:id="rId15"/>
    <sheet name="Bank" sheetId="14" state="visible" r:id="rId16"/>
    <sheet name="9_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<sst xmlns="http://schemas.openxmlformats.org/spreadsheetml/2006/main" count="2166" uniqueCount="637">
  <si>
    <t xml:space="preserve">ZAN FINANCIAL MODEL  النموذج المالي لزان</t>
  </si>
  <si>
    <t xml:space="preserve">Model Inputs &amp; Assumptions</t>
  </si>
  <si>
    <t xml:space="preserve">المدخلات والافتراضات</t>
  </si>
  <si>
    <t xml:space="preserve">1  GENERAL ASSUMPTIONS  الافتراضات العامة</t>
  </si>
  <si>
    <t xml:space="preserve">Project Name</t>
  </si>
  <si>
    <t xml:space="preserve">ZAN Waterfront – Jazan</t>
  </si>
  <si>
    <t xml:space="preserve">Location</t>
  </si>
  <si>
    <t xml:space="preserve">Jazan, North Corniche</t>
  </si>
  <si>
    <t xml:space="preserve">Model Start Year</t>
  </si>
  <si>
    <t xml:space="preserve">Projection Horizon (years)</t>
  </si>
  <si>
    <t xml:space="preserve">Currency</t>
  </si>
  <si>
    <t xml:space="preserve">SAR</t>
  </si>
  <si>
    <t xml:space="preserve">2  RENT ASSUMPTIONS  افتراضات الإيجار</t>
  </si>
  <si>
    <t xml:space="preserve">Annual Rent Escalation (%)</t>
  </si>
  <si>
    <t xml:space="preserve">Flexible Block Efficiency %</t>
  </si>
  <si>
    <t xml:space="preserve">Flexible Block Lease Rate (SAR/m²)</t>
  </si>
  <si>
    <t xml:space="preserve">Flexible Block Cost/m² (SAR)</t>
  </si>
  <si>
    <t xml:space="preserve">3  LAND RENT  إيجار الأرض</t>
  </si>
  <si>
    <t xml:space="preserve">Annual Land Rent (SAR)</t>
  </si>
  <si>
    <t xml:space="preserve">Escalation Every N Years</t>
  </si>
  <si>
    <t xml:space="preserve">Land Rent Escalation (%)</t>
  </si>
  <si>
    <t xml:space="preserve">Grace Period (years)</t>
  </si>
  <si>
    <t xml:space="preserve">Land Rent Term (years)</t>
  </si>
  <si>
    <t xml:space="preserve">4  CAPEX ASSUMPTIONS  افتراضات التكاليف</t>
  </si>
  <si>
    <t xml:space="preserve">Soft Cost (%)</t>
  </si>
  <si>
    <t xml:space="preserve">Contingency (%)</t>
  </si>
  <si>
    <t xml:space="preserve">5  SCENARIO SELECTOR  اختيار السيناريو</t>
  </si>
  <si>
    <t xml:space="preserve">Active Scenario</t>
  </si>
  <si>
    <t xml:space="preserve">Base Case</t>
  </si>
  <si>
    <t xml:space="preserve">Options:</t>
  </si>
  <si>
    <t xml:space="preserve">CAPEX +10%</t>
  </si>
  <si>
    <t xml:space="preserve">Rent -10%</t>
  </si>
  <si>
    <t xml:space="preserve">Delay +6 months</t>
  </si>
  <si>
    <t xml:space="preserve">Escalation +0.5%</t>
  </si>
  <si>
    <t xml:space="preserve">Escalation -0.5%</t>
  </si>
  <si>
    <t xml:space="preserve">CAPEX Multiplier (calculated)</t>
  </si>
  <si>
    <t xml:space="preserve">Rent Multiplier (calculated)</t>
  </si>
  <si>
    <t xml:space="preserve">Delay (months)</t>
  </si>
  <si>
    <t xml:space="preserve">Escalation Adjustment</t>
  </si>
  <si>
    <t xml:space="preserve">Effective Rent Escalation</t>
  </si>
  <si>
    <t xml:space="preserve">6  PHASES &amp; PHASING  المراحل</t>
  </si>
  <si>
    <t xml:space="preserve">Phase / المرحلة</t>
  </si>
  <si>
    <t xml:space="preserve">Start Year Offset</t>
  </si>
  <si>
    <t xml:space="preserve">Phase Footprint</t>
  </si>
  <si>
    <t xml:space="preserve">Land Rent Alloc. %</t>
  </si>
  <si>
    <t xml:space="preserve">ZAN 1</t>
  </si>
  <si>
    <t xml:space="preserve">ZAN 2</t>
  </si>
  <si>
    <t xml:space="preserve">ZAN 3</t>
  </si>
  <si>
    <t xml:space="preserve">ZAN 4</t>
  </si>
  <si>
    <t xml:space="preserve">ZAN 5</t>
  </si>
  <si>
    <t xml:space="preserve">ZAN 6</t>
  </si>
  <si>
    <t xml:space="preserve">ZAN 7</t>
  </si>
  <si>
    <t xml:space="preserve">ZAN 8</t>
  </si>
  <si>
    <t xml:space="preserve">ZAN 9</t>
  </si>
  <si>
    <t xml:space="preserve">ZAN 10</t>
  </si>
  <si>
    <t xml:space="preserve">ZAN 11</t>
  </si>
  <si>
    <t xml:space="preserve">ZAN 12</t>
  </si>
  <si>
    <t xml:space="preserve">ZAN 13</t>
  </si>
  <si>
    <t xml:space="preserve">ZAN 14</t>
  </si>
  <si>
    <t xml:space="preserve">ZAN 15</t>
  </si>
  <si>
    <t xml:space="preserve">Total</t>
  </si>
  <si>
    <t xml:space="preserve">7  LAND CAPITALIZATION  تقييم حق المنفعة</t>
  </si>
  <si>
    <t xml:space="preserve">Total Land Area (m²)</t>
  </si>
  <si>
    <t xml:space="preserve">Capitalization of Leasehold Right (SAR)</t>
  </si>
  <si>
    <t xml:space="preserve">Phase</t>
  </si>
  <si>
    <t xml:space="preserve">Footprint</t>
  </si>
  <si>
    <t xml:space="preserve">Alloc. %</t>
  </si>
  <si>
    <t xml:space="preserve">Capitalization (SAR)</t>
  </si>
  <si>
    <t xml:space="preserve">8  DEBT PARAMETERS  معايير الدين</t>
  </si>
  <si>
    <t xml:space="preserve">Max Debt (% of Dev Cost incl. Land)</t>
  </si>
  <si>
    <t xml:space="preserve">9  LAND ACQUISITION TYPE  نوع تملك الأرض</t>
  </si>
  <si>
    <t xml:space="preserve">Land Type</t>
  </si>
  <si>
    <t xml:space="preserve">Lease</t>
  </si>
  <si>
    <t xml:space="preserve">نوع تملك الأرض</t>
  </si>
  <si>
    <t xml:space="preserve">Purchase</t>
  </si>
  <si>
    <t xml:space="preserve">Partner</t>
  </si>
  <si>
    <t xml:space="preserve">BOT</t>
  </si>
  <si>
    <t xml:space="preserve">Land Purchase Price (SAR)</t>
  </si>
  <si>
    <t xml:space="preserve">سعر شراء الأرض</t>
  </si>
  <si>
    <t xml:space="preserve">Partner Land Equity %</t>
  </si>
  <si>
    <t xml:space="preserve">نسبة ملكية شريك الأرض</t>
  </si>
  <si>
    <t xml:space="preserve">BOT Operation Period (years)</t>
  </si>
  <si>
    <t xml:space="preserve">فترة التشغيل BOT</t>
  </si>
  <si>
    <t xml:space="preserve">Effective Land Cost (calculated)</t>
  </si>
  <si>
    <t xml:space="preserve">Annual Land Cost (calculated)</t>
  </si>
  <si>
    <t xml:space="preserve">10  FINANCING MODE  هيكل التمويل</t>
  </si>
  <si>
    <t xml:space="preserve">Financing Mode</t>
  </si>
  <si>
    <t xml:space="preserve">Fund</t>
  </si>
  <si>
    <t xml:space="preserve">نمط التمويل</t>
  </si>
  <si>
    <t xml:space="preserve">Self</t>
  </si>
  <si>
    <t xml:space="preserve">Bank</t>
  </si>
  <si>
    <t xml:space="preserve">JV</t>
  </si>
  <si>
    <t xml:space="preserve">11  EXIT STRATEGY  استراتيجية التخارج</t>
  </si>
  <si>
    <t xml:space="preserve">Exit Type</t>
  </si>
  <si>
    <t xml:space="preserve">Sale</t>
  </si>
  <si>
    <t xml:space="preserve">نوع التخارج</t>
  </si>
  <si>
    <t xml:space="preserve">Hold</t>
  </si>
  <si>
    <t xml:space="preserve">REIT</t>
  </si>
  <si>
    <t xml:space="preserve">Refinance</t>
  </si>
  <si>
    <t xml:space="preserve">Partial</t>
  </si>
  <si>
    <t xml:space="preserve">Exit Year</t>
  </si>
  <si>
    <t xml:space="preserve">Exit Multiple (x rent)</t>
  </si>
  <si>
    <t xml:space="preserve">Exit Cost %</t>
  </si>
  <si>
    <t xml:space="preserve">12  FUND SETTINGS  إعدادات الصندوق</t>
  </si>
  <si>
    <t xml:space="preserve">Fund Settings Mode</t>
  </si>
  <si>
    <t xml:space="preserve">Unified</t>
  </si>
  <si>
    <t xml:space="preserve">إعدادات الصندوق (موحدة / مستقلة)</t>
  </si>
  <si>
    <t xml:space="preserve">Per-Phase</t>
  </si>
  <si>
    <t xml:space="preserve">13  PER-PHASE FUND OVERRIDES  إعدادات مستقلة لكل مرحلة</t>
  </si>
  <si>
    <t xml:space="preserve">(Only active when Fund Settings = Per-Phase)</t>
  </si>
  <si>
    <t xml:space="preserve">Parameter  المعيار</t>
  </si>
  <si>
    <t xml:space="preserve">Financing Rate %</t>
  </si>
  <si>
    <t xml:space="preserve">Loan Tenor (yrs)</t>
  </si>
  <si>
    <t xml:space="preserve">Grace Period (yrs)</t>
  </si>
  <si>
    <t xml:space="preserve">Upfront Fee %</t>
  </si>
  <si>
    <t xml:space="preserve">Subscription Fee %</t>
  </si>
  <si>
    <t xml:space="preserve">Management Fee %</t>
  </si>
  <si>
    <t xml:space="preserve">Custody Fee (SAR)</t>
  </si>
  <si>
    <t xml:space="preserve">Developer Fee %</t>
  </si>
  <si>
    <t xml:space="preserve">Structuring Fee %</t>
  </si>
  <si>
    <t xml:space="preserve">Preferred Return %</t>
  </si>
  <si>
    <t xml:space="preserve">GP Catch-up (Y/N)</t>
  </si>
  <si>
    <t xml:space="preserve">Y</t>
  </si>
  <si>
    <t xml:space="preserve">Carry %</t>
  </si>
  <si>
    <t xml:space="preserve">Exit Multiple (x)</t>
  </si>
  <si>
    <t xml:space="preserve">ASSET PROGRAM TABLE  جدول الأصول</t>
  </si>
  <si>
    <t xml:space="preserve">Phase
المرحلة</t>
  </si>
  <si>
    <t xml:space="preserve">Category
التصنيف</t>
  </si>
  <si>
    <t xml:space="preserve">Asset Name
اسم الأصل</t>
  </si>
  <si>
    <t xml:space="preserve">Code
الرمز</t>
  </si>
  <si>
    <t xml:space="preserve">Notes
ملاحظات</t>
  </si>
  <si>
    <t xml:space="preserve">Plot Area
مساحة القطعة</t>
  </si>
  <si>
    <t xml:space="preserve">Bldg Footprint
مساحة الدور</t>
  </si>
  <si>
    <t xml:space="preserve">GFA
إجمالي المساحات</t>
  </si>
  <si>
    <t xml:space="preserve">Rev Type
نوع الإيراد</t>
  </si>
  <si>
    <t xml:space="preserve">Eff %
الكفاءة</t>
  </si>
  <si>
    <t xml:space="preserve">Leasable Area
المساحة التأجيرية</t>
  </si>
  <si>
    <t xml:space="preserve">Lease Rate
إيجار المتر</t>
  </si>
  <si>
    <t xml:space="preserve">Op EBITDA
إيراد تشغيلي</t>
  </si>
  <si>
    <t xml:space="preserve">Escalation %
الزيادة السنوية</t>
  </si>
  <si>
    <t xml:space="preserve">Ramp Up Yrs
سنوات النمو</t>
  </si>
  <si>
    <t xml:space="preserve">Stab Occ %
إشغال مستقر</t>
  </si>
  <si>
    <t xml:space="preserve">Cost/m²
تكلفة المتر</t>
  </si>
  <si>
    <t xml:space="preserve">Constr Start
بداية البناء</t>
  </si>
  <si>
    <t xml:space="preserve">Constr Duration
مدة البناء (شهر)</t>
  </si>
  <si>
    <t xml:space="preserve">Total CAPEX
إجمالي التكلفة</t>
  </si>
  <si>
    <t xml:space="preserve">Constr Start Yr
سنة بداية البناء</t>
  </si>
  <si>
    <t xml:space="preserve">Revenue Start Yr
سنة بداية الإيراد</t>
  </si>
  <si>
    <t xml:space="preserve">Base Revenue
الإيراد الأساسي</t>
  </si>
  <si>
    <t xml:space="preserve">Ramp Target
هدف النمو</t>
  </si>
  <si>
    <t xml:space="preserve">Hospitality</t>
  </si>
  <si>
    <t xml:space="preserve">Hotel</t>
  </si>
  <si>
    <t xml:space="preserve">H</t>
  </si>
  <si>
    <t xml:space="preserve">Anchor (Hotel)</t>
  </si>
  <si>
    <t xml:space="preserve">Operating</t>
  </si>
  <si>
    <t xml:space="preserve">Retail</t>
  </si>
  <si>
    <t xml:space="preserve">Retail - Sport Complex</t>
  </si>
  <si>
    <t xml:space="preserve">S</t>
  </si>
  <si>
    <t xml:space="preserve">Utilities</t>
  </si>
  <si>
    <t xml:space="preserve">Parking &amp; Landscaping ZAN1</t>
  </si>
  <si>
    <t xml:space="preserve">(N/A)</t>
  </si>
  <si>
    <t xml:space="preserve">Parking &amp; Landscaping</t>
  </si>
  <si>
    <t xml:space="preserve">Fuel Station</t>
  </si>
  <si>
    <t xml:space="preserve">F</t>
  </si>
  <si>
    <t xml:space="preserve">Shared utility</t>
  </si>
  <si>
    <t xml:space="preserve">Marina</t>
  </si>
  <si>
    <t xml:space="preserve">Marina Berths</t>
  </si>
  <si>
    <t xml:space="preserve">MAR</t>
  </si>
  <si>
    <t xml:space="preserve">Anchor</t>
  </si>
  <si>
    <t xml:space="preserve">Marina Mall</t>
  </si>
  <si>
    <t xml:space="preserve">C1</t>
  </si>
  <si>
    <t xml:space="preserve">Anchor (Mall)</t>
  </si>
  <si>
    <t xml:space="preserve">Seafront Mall</t>
  </si>
  <si>
    <t xml:space="preserve">C2</t>
  </si>
  <si>
    <t xml:space="preserve">Supporting anchor</t>
  </si>
  <si>
    <t xml:space="preserve">Office</t>
  </si>
  <si>
    <t xml:space="preserve">Flexible Block (Office)</t>
  </si>
  <si>
    <t xml:space="preserve">R1</t>
  </si>
  <si>
    <t xml:space="preserve">Flexible</t>
  </si>
  <si>
    <t xml:space="preserve">Resort</t>
  </si>
  <si>
    <t xml:space="preserve">Core resort</t>
  </si>
  <si>
    <t xml:space="preserve">Supermarket</t>
  </si>
  <si>
    <t xml:space="preserve">C4</t>
  </si>
  <si>
    <t xml:space="preserve">Daily needs</t>
  </si>
  <si>
    <t xml:space="preserve">Shops / Cafes</t>
  </si>
  <si>
    <t xml:space="preserve">C5</t>
  </si>
  <si>
    <t xml:space="preserve">F&amp;B support</t>
  </si>
  <si>
    <t xml:space="preserve">Shopping Area</t>
  </si>
  <si>
    <t xml:space="preserve">C3</t>
  </si>
  <si>
    <t xml:space="preserve">Convenience</t>
  </si>
  <si>
    <t xml:space="preserve">C10</t>
  </si>
  <si>
    <t xml:space="preserve">Parking &amp; Landscaping ZAN2</t>
  </si>
  <si>
    <t xml:space="preserve">Office Block</t>
  </si>
  <si>
    <t xml:space="preserve">O1</t>
  </si>
  <si>
    <t xml:space="preserve">Flexible Block (Residential)</t>
  </si>
  <si>
    <t xml:space="preserve">R3</t>
  </si>
  <si>
    <t xml:space="preserve">Flexible Block</t>
  </si>
  <si>
    <t xml:space="preserve">R4</t>
  </si>
  <si>
    <t xml:space="preserve">Residential</t>
  </si>
  <si>
    <t xml:space="preserve">R2</t>
  </si>
  <si>
    <t xml:space="preserve">Cultural</t>
  </si>
  <si>
    <t xml:space="preserve">Multi-Purpose Hall</t>
  </si>
  <si>
    <t xml:space="preserve">M</t>
  </si>
  <si>
    <t xml:space="preserve">Events/MICE</t>
  </si>
  <si>
    <t xml:space="preserve">Open Space</t>
  </si>
  <si>
    <t xml:space="preserve">Unallocated / Open Area</t>
  </si>
  <si>
    <t xml:space="preserve">Area</t>
  </si>
  <si>
    <t xml:space="preserve">Future plots</t>
  </si>
  <si>
    <t xml:space="preserve">C6</t>
  </si>
  <si>
    <t xml:space="preserve">Secondary</t>
  </si>
  <si>
    <t xml:space="preserve">Small Market</t>
  </si>
  <si>
    <t xml:space="preserve">C8</t>
  </si>
  <si>
    <t xml:space="preserve">Micro retail</t>
  </si>
  <si>
    <t xml:space="preserve">Amenity</t>
  </si>
  <si>
    <t xml:space="preserve">Small Pavilions / Shops</t>
  </si>
  <si>
    <t xml:space="preserve">A1</t>
  </si>
  <si>
    <t xml:space="preserve">Activation</t>
  </si>
  <si>
    <t xml:space="preserve">R5</t>
  </si>
  <si>
    <t xml:space="preserve">C7</t>
  </si>
  <si>
    <t xml:space="preserve">C9</t>
  </si>
  <si>
    <t xml:space="preserve">Flexible Block  (Branded)</t>
  </si>
  <si>
    <t xml:space="preserve">R6</t>
  </si>
  <si>
    <t xml:space="preserve">R7</t>
  </si>
  <si>
    <t xml:space="preserve">Branded/Flex</t>
  </si>
  <si>
    <t xml:space="preserve">Yacht Club</t>
  </si>
  <si>
    <t xml:space="preserve">Marina anchor</t>
  </si>
  <si>
    <t xml:space="preserve">Parking &amp; Landscaping ZAN3</t>
  </si>
  <si>
    <t xml:space="preserve">TOTAL</t>
  </si>
  <si>
    <t xml:space="preserve">CAPEX SCHEDULE  جدول توزيع التكاليف</t>
  </si>
  <si>
    <t xml:space="preserve">#</t>
  </si>
  <si>
    <t xml:space="preserve">Asset</t>
  </si>
  <si>
    <t xml:space="preserve">CAPEX BY PHASE</t>
  </si>
  <si>
    <t xml:space="preserve">TOTAL CAPEX</t>
  </si>
  <si>
    <t xml:space="preserve">LAND RENT SCHEDULE</t>
  </si>
  <si>
    <t xml:space="preserve">Annual Land Rent</t>
  </si>
  <si>
    <t xml:space="preserve">  ZAN 1</t>
  </si>
  <si>
    <t xml:space="preserve">  ZAN 2</t>
  </si>
  <si>
    <t xml:space="preserve">  ZAN 3</t>
  </si>
  <si>
    <t xml:space="preserve">IMPORT  البيانات المستوردة (يمكن طيها ▼)</t>
  </si>
  <si>
    <t xml:space="preserve">Inputs:</t>
  </si>
  <si>
    <t xml:space="preserve">StartYear</t>
  </si>
  <si>
    <t xml:space="preserve">LandRent</t>
  </si>
  <si>
    <t xml:space="preserve">EveryN</t>
  </si>
  <si>
    <t xml:space="preserve">Esc%</t>
  </si>
  <si>
    <t xml:space="preserve">Grace</t>
  </si>
  <si>
    <t xml:space="preserve">PhaseAlloc</t>
  </si>
  <si>
    <t xml:space="preserve">GFA</t>
  </si>
  <si>
    <t xml:space="preserve">Dur</t>
  </si>
  <si>
    <t xml:space="preserve">CAPEX</t>
  </si>
  <si>
    <t xml:space="preserve">StartYr</t>
  </si>
  <si>
    <t xml:space="preserve">EndYr</t>
  </si>
  <si>
    <t xml:space="preserve">REVENUE SCHEDULE  جدول الإيرادات</t>
  </si>
  <si>
    <t xml:space="preserve">REVENUE BY PHASE</t>
  </si>
  <si>
    <t xml:space="preserve">TOTAL REVENUE</t>
  </si>
  <si>
    <t xml:space="preserve">RentMult</t>
  </si>
  <si>
    <t xml:space="preserve">RevStart</t>
  </si>
  <si>
    <t xml:space="preserve">BaseRev</t>
  </si>
  <si>
    <t xml:space="preserve">Esc</t>
  </si>
  <si>
    <t xml:space="preserve">Ramp</t>
  </si>
  <si>
    <t xml:space="preserve">RampTgt</t>
  </si>
  <si>
    <t xml:space="preserve">PROJECT CASH FLOW (Unlevered)  التدفقات النقدية للمشروع</t>
  </si>
  <si>
    <t xml:space="preserve">Line Item</t>
  </si>
  <si>
    <t xml:space="preserve">Unit</t>
  </si>
  <si>
    <t xml:space="preserve">  Income  الإيرادات</t>
  </si>
  <si>
    <t xml:space="preserve">  Land Rent  إيجار الأرض</t>
  </si>
  <si>
    <t xml:space="preserve">  Development CAPEX  تكاليف التطوير</t>
  </si>
  <si>
    <t xml:space="preserve">  Net Cash Flow - ZAN 1</t>
  </si>
  <si>
    <t xml:space="preserve">  IRR - ZAN 1</t>
  </si>
  <si>
    <t xml:space="preserve">%</t>
  </si>
  <si>
    <t xml:space="preserve">  Net Cash Flow - ZAN 2</t>
  </si>
  <si>
    <t xml:space="preserve">  IRR - ZAN 2</t>
  </si>
  <si>
    <t xml:space="preserve">  Net Cash Flow - ZAN 3</t>
  </si>
  <si>
    <t xml:space="preserve">  IRR - ZAN 3</t>
  </si>
  <si>
    <t xml:space="preserve">  Net Cash Flow - ZAN 4</t>
  </si>
  <si>
    <t xml:space="preserve">  IRR - ZAN 4</t>
  </si>
  <si>
    <t xml:space="preserve">  Net Cash Flow - ZAN 5</t>
  </si>
  <si>
    <t xml:space="preserve">  IRR - ZAN 5</t>
  </si>
  <si>
    <t xml:space="preserve">  Net Cash Flow - ZAN 6</t>
  </si>
  <si>
    <t xml:space="preserve">  IRR - ZAN 6</t>
  </si>
  <si>
    <t xml:space="preserve">  Net Cash Flow - ZAN 7</t>
  </si>
  <si>
    <t xml:space="preserve">  IRR - ZAN 7</t>
  </si>
  <si>
    <t xml:space="preserve">  Net Cash Flow - ZAN 8</t>
  </si>
  <si>
    <t xml:space="preserve">  IRR - ZAN 8</t>
  </si>
  <si>
    <t xml:space="preserve">  Net Cash Flow - ZAN 9</t>
  </si>
  <si>
    <t xml:space="preserve">  IRR - ZAN 9</t>
  </si>
  <si>
    <t xml:space="preserve">  Net Cash Flow - ZAN 10</t>
  </si>
  <si>
    <t xml:space="preserve">  IRR - ZAN 10</t>
  </si>
  <si>
    <t xml:space="preserve">  Net Cash Flow - ZAN 11</t>
  </si>
  <si>
    <t xml:space="preserve">  IRR - ZAN 11</t>
  </si>
  <si>
    <t xml:space="preserve">  Net Cash Flow - ZAN 12</t>
  </si>
  <si>
    <t xml:space="preserve">  IRR - ZAN 12</t>
  </si>
  <si>
    <t xml:space="preserve">  Net Cash Flow - ZAN 13</t>
  </si>
  <si>
    <t xml:space="preserve">  IRR - ZAN 13</t>
  </si>
  <si>
    <t xml:space="preserve">  Net Cash Flow - ZAN 14</t>
  </si>
  <si>
    <t xml:space="preserve">  IRR - ZAN 14</t>
  </si>
  <si>
    <t xml:space="preserve">  Net Cash Flow - ZAN 15</t>
  </si>
  <si>
    <t xml:space="preserve">  IRR - ZAN 15</t>
  </si>
  <si>
    <t xml:space="preserve">CONSOLIDATED  المجمّع</t>
  </si>
  <si>
    <t xml:space="preserve">Total Income</t>
  </si>
  <si>
    <t xml:space="preserve">Total Land Rent</t>
  </si>
  <si>
    <t xml:space="preserve">Total Development CAPEX</t>
  </si>
  <si>
    <t xml:space="preserve">Net Cash Flow - Consolidated</t>
  </si>
  <si>
    <t xml:space="preserve">Cumulative Cash Flow</t>
  </si>
  <si>
    <t xml:space="preserve">IRR - Consolidated</t>
  </si>
  <si>
    <t xml:space="preserve">NPV ANALYSIS</t>
  </si>
  <si>
    <t xml:space="preserve">NPV @ 10%</t>
  </si>
  <si>
    <t xml:space="preserve">NPV @ 12%</t>
  </si>
  <si>
    <t xml:space="preserve">NPV @ 14%</t>
  </si>
  <si>
    <t xml:space="preserve">Payback Period (years)</t>
  </si>
  <si>
    <t xml:space="preserve">LandType</t>
  </si>
  <si>
    <t xml:space="preserve">LandPrice</t>
  </si>
  <si>
    <t xml:space="preserve">Revenue:</t>
  </si>
  <si>
    <t xml:space="preserve">CAPEX:</t>
  </si>
  <si>
    <t xml:space="preserve">OPERATING P&amp;L  قائمة الأرباح والخسائر التشغيلية</t>
  </si>
  <si>
    <t xml:space="preserve">HOTEL / RESORT P&amp;L  الفنادق والمنتجعات</t>
  </si>
  <si>
    <t xml:space="preserve">Property</t>
  </si>
  <si>
    <t xml:space="preserve">Hotel (4★)</t>
  </si>
  <si>
    <t xml:space="preserve">Resort (5★)</t>
  </si>
  <si>
    <t xml:space="preserve">1</t>
  </si>
  <si>
    <t xml:space="preserve">KEY INPUTS  المدخلات الرئيسية</t>
  </si>
  <si>
    <t xml:space="preserve">Links to Program Row</t>
  </si>
  <si>
    <t xml:space="preserve">Keys  عدد الغرف/المفاتيح</t>
  </si>
  <si>
    <t xml:space="preserve">ADR (SAR/night)  متوسط سعر الغرفة</t>
  </si>
  <si>
    <t xml:space="preserve">Stabilized Occupancy  الإشغال المستقر</t>
  </si>
  <si>
    <t xml:space="preserve">Days / Year  أيام السنة</t>
  </si>
  <si>
    <t xml:space="preserve">Escalation %  الزيادة السنوية</t>
  </si>
  <si>
    <t xml:space="preserve">REVENUE MIX  مزيج الإيرادات</t>
  </si>
  <si>
    <t xml:space="preserve">Rooms %  الغرف</t>
  </si>
  <si>
    <t xml:space="preserve">F&amp;B %  الأغذية والمشروبات</t>
  </si>
  <si>
    <t xml:space="preserve">MICE %  المؤتمرات</t>
  </si>
  <si>
    <t xml:space="preserve">Other %  أخرى</t>
  </si>
  <si>
    <t xml:space="preserve">STABILIZED REVENUE  الإيرادات عند الاستقرار</t>
  </si>
  <si>
    <t xml:space="preserve">Rooms Revenue  إيرادات الغرف</t>
  </si>
  <si>
    <t xml:space="preserve">Total Revenue  إجمالي الإيرادات</t>
  </si>
  <si>
    <t xml:space="preserve">F&amp;B Revenue  إيرادات الأغذية</t>
  </si>
  <si>
    <t xml:space="preserve">MICE Revenue  إيرادات المؤتمرات</t>
  </si>
  <si>
    <t xml:space="preserve">Other Revenue  إيرادات أخرى</t>
  </si>
  <si>
    <t xml:space="preserve">OPEX RATIOS  نسب المصاريف التشغيلية</t>
  </si>
  <si>
    <t xml:space="preserve">Room Expense %  مصاريف الغرف</t>
  </si>
  <si>
    <t xml:space="preserve">F&amp;B Expense %  مصاريف الأغذية</t>
  </si>
  <si>
    <t xml:space="preserve">MICE Expense %  مصاريف المؤتمرات</t>
  </si>
  <si>
    <t xml:space="preserve">Other Expense %  مصاريف أخرى</t>
  </si>
  <si>
    <t xml:space="preserve">Undistributed % of Rev  غير موزعة</t>
  </si>
  <si>
    <t xml:space="preserve">Fixed Charges % of Rev  تكاليف ثابتة</t>
  </si>
  <si>
    <t xml:space="preserve">STABILIZED OPEX  المصاريف عند الاستقرار</t>
  </si>
  <si>
    <t xml:space="preserve">Room Expense</t>
  </si>
  <si>
    <t xml:space="preserve">F&amp;B Expense</t>
  </si>
  <si>
    <t xml:space="preserve">MICE Expense</t>
  </si>
  <si>
    <t xml:space="preserve">Other Expense</t>
  </si>
  <si>
    <t xml:space="preserve">Undistributed</t>
  </si>
  <si>
    <t xml:space="preserve">Fixed Charges</t>
  </si>
  <si>
    <t xml:space="preserve">Total OPEX  إجمالي المصاريف</t>
  </si>
  <si>
    <t xml:space="preserve">EBITDA  الأرباح قبل الفوائد والاستهلاك</t>
  </si>
  <si>
    <t xml:space="preserve">EBITDA Margin  هامش الأرباح</t>
  </si>
  <si>
    <t xml:space="preserve">MARINA P&amp;L  قائمة أرباح المارينا</t>
  </si>
  <si>
    <t xml:space="preserve">KEY INPUTS  المدخلات</t>
  </si>
  <si>
    <t xml:space="preserve">Berths  عدد المراسي</t>
  </si>
  <si>
    <t xml:space="preserve">Avg Berth Length (m)  متوسط الطول</t>
  </si>
  <si>
    <t xml:space="preserve">Unit Price (SAR/m/yr)  سعر المتر</t>
  </si>
  <si>
    <t xml:space="preserve">Stabilized Occupancy  الإشغال</t>
  </si>
  <si>
    <t xml:space="preserve">Escalation %</t>
  </si>
  <si>
    <t xml:space="preserve">Fuel % of Total  نسبة الوقود</t>
  </si>
  <si>
    <t xml:space="preserve">Other % of Total  أخرى</t>
  </si>
  <si>
    <t xml:space="preserve">STABILIZED REVENUE  الإيرادات</t>
  </si>
  <si>
    <t xml:space="preserve">Berthing Revenue  إيرادات الرسو</t>
  </si>
  <si>
    <t xml:space="preserve">Fuel Revenue  إيرادات الوقود</t>
  </si>
  <si>
    <t xml:space="preserve">Other Revenue  أخرى</t>
  </si>
  <si>
    <t xml:space="preserve">OPEX RATIOS  نسب المصاريف</t>
  </si>
  <si>
    <t xml:space="preserve">Berthing OPEX %</t>
  </si>
  <si>
    <t xml:space="preserve">Fuel OPEX %</t>
  </si>
  <si>
    <t xml:space="preserve">Other OPEX %</t>
  </si>
  <si>
    <t xml:space="preserve">STABILIZED OPEX  المصاريف</t>
  </si>
  <si>
    <t xml:space="preserve">Berthing OPEX</t>
  </si>
  <si>
    <t xml:space="preserve">Fuel OPEX</t>
  </si>
  <si>
    <t xml:space="preserve">Other OPEX</t>
  </si>
  <si>
    <t xml:space="preserve">Total OPEX</t>
  </si>
  <si>
    <t xml:space="preserve">EBITDA  الأرباح</t>
  </si>
  <si>
    <t xml:space="preserve">EBITDA Margin</t>
  </si>
  <si>
    <t xml:space="preserve">ZAN FUND PERFORMANCE DASHBOARD  لوحة أداء الصناديق</t>
  </si>
  <si>
    <t xml:space="preserve">Fund Settings Mode:</t>
  </si>
  <si>
    <t xml:space="preserve">◆  Fund Performance Comparison  مقارنة أداء الصناديق</t>
  </si>
  <si>
    <t xml:space="preserve">Fund
الصندوق</t>
  </si>
  <si>
    <t xml:space="preserve">Total Equity
رأس المال</t>
  </si>
  <si>
    <t xml:space="preserve">Dev Cost
تكلفة التطوير</t>
  </si>
  <si>
    <t xml:space="preserve">Max Debt
الدين الأقصى</t>
  </si>
  <si>
    <t xml:space="preserve">Total Fees
الرسوم</t>
  </si>
  <si>
    <t xml:space="preserve">Exit Proceeds
حصيلة التخارج</t>
  </si>
  <si>
    <t xml:space="preserve">LP Dist
توزيعات المستثمر</t>
  </si>
  <si>
    <t xml:space="preserve">GP Dist
توزيعات المطور</t>
  </si>
  <si>
    <t xml:space="preserve">Project IRR</t>
  </si>
  <si>
    <t xml:space="preserve">LP IRR</t>
  </si>
  <si>
    <t xml:space="preserve">GP IRR</t>
  </si>
  <si>
    <t xml:space="preserve">TOTAL  الإجمالي</t>
  </si>
  <si>
    <t xml:space="preserve">-</t>
  </si>
  <si>
    <t xml:space="preserve">◆  Equity &amp; Capital Structure  هيكل رأس المال</t>
  </si>
  <si>
    <t xml:space="preserve">GP Equity
إكوتي المطور</t>
  </si>
  <si>
    <t xml:space="preserve">LP Equity
إكوتي المستثمر</t>
  </si>
  <si>
    <t xml:space="preserve">GP %</t>
  </si>
  <si>
    <t xml:space="preserve">LP %</t>
  </si>
  <si>
    <t xml:space="preserve">LP MOIC</t>
  </si>
  <si>
    <t xml:space="preserve">GP MOIC</t>
  </si>
  <si>
    <t xml:space="preserve">FUND MODEL - ZAN 1  نموذج الصندوق - ZAN 1</t>
  </si>
  <si>
    <t xml:space="preserve">1  FUND INFORMATION  معلومات الصندوق</t>
  </si>
  <si>
    <t xml:space="preserve">Fund Name</t>
  </si>
  <si>
    <t xml:space="preserve">ZAN Infrastructure Fund</t>
  </si>
  <si>
    <t xml:space="preserve">اسم الصندوق</t>
  </si>
  <si>
    <t xml:space="preserve">ZAN Section</t>
  </si>
  <si>
    <t xml:space="preserve">القسم</t>
  </si>
  <si>
    <t xml:space="preserve">Vehicle Type</t>
  </si>
  <si>
    <t xml:space="preserve">نوع الأداة</t>
  </si>
  <si>
    <t xml:space="preserve">Strategy</t>
  </si>
  <si>
    <t xml:space="preserve">Develop &amp; Hold</t>
  </si>
  <si>
    <t xml:space="preserve">الاستراتيجية</t>
  </si>
  <si>
    <t xml:space="preserve">العملة</t>
  </si>
  <si>
    <t xml:space="preserve">Fund Start Year  سنة بداية الصندوق</t>
  </si>
  <si>
    <t xml:space="preserve">سنة بداية الصندوق</t>
  </si>
  <si>
    <t xml:space="preserve">2  CAPITAL STRUCTURE  هيكل رأس المال</t>
  </si>
  <si>
    <t xml:space="preserve">GP Equity (Sponsor/Land)</t>
  </si>
  <si>
    <t xml:space="preserve">حصة المطور (الأرض)</t>
  </si>
  <si>
    <t xml:space="preserve">LP Equity (Investors)</t>
  </si>
  <si>
    <t xml:space="preserve">حصة المستثمرين</t>
  </si>
  <si>
    <t xml:space="preserve">Total Equity</t>
  </si>
  <si>
    <t xml:space="preserve">إجمالي حقوق الملكية</t>
  </si>
  <si>
    <t xml:space="preserve">Sponsor %</t>
  </si>
  <si>
    <t xml:space="preserve">Development Cost (excl. Land)</t>
  </si>
  <si>
    <t xml:space="preserve">Development Cost (incl. Land)</t>
  </si>
  <si>
    <t xml:space="preserve">تكاليف التطوير شاملة الأرض</t>
  </si>
  <si>
    <t xml:space="preserve">Max Debt</t>
  </si>
  <si>
    <t xml:space="preserve">الحد الأقصى للدين</t>
  </si>
  <si>
    <t xml:space="preserve">3  DEBT  الدين</t>
  </si>
  <si>
    <t xml:space="preserve">Debt Allowed (Y/N)</t>
  </si>
  <si>
    <t xml:space="preserve">هل الدين مسموح؟</t>
  </si>
  <si>
    <t xml:space="preserve">Annual Financing Rate</t>
  </si>
  <si>
    <t xml:space="preserve">معدل التمويل السنوي</t>
  </si>
  <si>
    <t xml:space="preserve">Total Loan Tenor (incl. Grace)</t>
  </si>
  <si>
    <t xml:space="preserve">مدة القرض شاملة السماح</t>
  </si>
  <si>
    <t xml:space="preserve">رسوم إصدار القرض</t>
  </si>
  <si>
    <t xml:space="preserve">فترة السماح</t>
  </si>
  <si>
    <t xml:space="preserve">4  FEES  الرسوم</t>
  </si>
  <si>
    <t xml:space="preserve">Subscription Fee</t>
  </si>
  <si>
    <t xml:space="preserve">رسوم الاشتراك</t>
  </si>
  <si>
    <t xml:space="preserve">Annual Management Fee</t>
  </si>
  <si>
    <t xml:space="preserve">رسوم الإدارة السنوية</t>
  </si>
  <si>
    <t xml:space="preserve">Annual Custody Fee (Fixed SAR)</t>
  </si>
  <si>
    <t xml:space="preserve">رسوم الحفظ السنوية</t>
  </si>
  <si>
    <t xml:space="preserve">Developer Fee % (of CAPEX)</t>
  </si>
  <si>
    <t xml:space="preserve">رسوم المطور</t>
  </si>
  <si>
    <t xml:space="preserve">Structuring Fee</t>
  </si>
  <si>
    <t xml:space="preserve">رسوم الهيكلة</t>
  </si>
  <si>
    <t xml:space="preserve">5  WATERFALL  شلال التوزيعات</t>
  </si>
  <si>
    <t xml:space="preserve">العائد التفضيلي</t>
  </si>
  <si>
    <t xml:space="preserve">GP Catch-up? (Y/N)</t>
  </si>
  <si>
    <t xml:space="preserve">تعويض المطور</t>
  </si>
  <si>
    <t xml:space="preserve">نسبة الأداء</t>
  </si>
  <si>
    <t xml:space="preserve">6  EXIT  التخارج</t>
  </si>
  <si>
    <t xml:space="preserve">سنة التخارج</t>
  </si>
  <si>
    <t xml:space="preserve">مضاعف الإيجار</t>
  </si>
  <si>
    <t xml:space="preserve">تكلفة التخارج</t>
  </si>
  <si>
    <t xml:space="preserve">7  PROJECT CASH FLOWS (Unlevered)  تدفقات المشروع</t>
  </si>
  <si>
    <t xml:space="preserve">Rental Income  الإيرادات</t>
  </si>
  <si>
    <t xml:space="preserve">Land Rent  إيجار الأرض</t>
  </si>
  <si>
    <t xml:space="preserve">Development CAPEX  تكاليف التطوير</t>
  </si>
  <si>
    <t xml:space="preserve">Net Project CF (Unlevered)</t>
  </si>
  <si>
    <t xml:space="preserve">Exit Proceeds  حصيلة التخارج</t>
  </si>
  <si>
    <t xml:space="preserve">Unlevered CF (incl. Exit)  التدفق شامل التخارج</t>
  </si>
  <si>
    <t xml:space="preserve">8  FUND CASH FLOW (Levered)  تدفقات الصندوق الممولة</t>
  </si>
  <si>
    <t xml:space="preserve">Equity Calls  سحب رأس المال</t>
  </si>
  <si>
    <t xml:space="preserve">Debt Drawdown  سحب القرض</t>
  </si>
  <si>
    <t xml:space="preserve">Debt Balance (Open)  رصيد الدين بداية السنة</t>
  </si>
  <si>
    <t xml:space="preserve">Debt Repayment  سداد أصل الدين</t>
  </si>
  <si>
    <t xml:space="preserve">Debt Balance (Close)  رصيد الدين نهاية السنة</t>
  </si>
  <si>
    <t xml:space="preserve">Debt Interest  تكلفة التمويل</t>
  </si>
  <si>
    <t xml:space="preserve">Total Debt Service  إجمالي خدمة الدين</t>
  </si>
  <si>
    <t xml:space="preserve">Subscription Fee  رسوم الاشتراك</t>
  </si>
  <si>
    <t xml:space="preserve">Management Fee  رسوم الإدارة</t>
  </si>
  <si>
    <t xml:space="preserve">Custody Fee  رسوم الحفظ</t>
  </si>
  <si>
    <t xml:space="preserve">Developer Fee  رسوم المطور</t>
  </si>
  <si>
    <t xml:space="preserve">Structuring Fee  رسوم الهيكلة</t>
  </si>
  <si>
    <t xml:space="preserve">Total Fees  إجمالي الرسوم</t>
  </si>
  <si>
    <t xml:space="preserve">Unfunded Fees (Equity-Funded)  الرسوم الممولة من الإكوتي</t>
  </si>
  <si>
    <t xml:space="preserve">9  DISTRIBUTIONS &amp; WATERFALL  التوزيعات وشلال الأرباح</t>
  </si>
  <si>
    <t xml:space="preserve">Cash Available for Distribution  النقد المتاح</t>
  </si>
  <si>
    <t xml:space="preserve">Unreturned Capital (Open)  رأس المال غير المسترد</t>
  </si>
  <si>
    <t xml:space="preserve">Tier 1: Return of Capital  رد رأس المال</t>
  </si>
  <si>
    <t xml:space="preserve">Unreturned Capital (Close)  رأس المال غير المسترد (نهاية)</t>
  </si>
  <si>
    <t xml:space="preserve">Pref Accrual (% × Unreturned)  احتساب العائد التفضيلي</t>
  </si>
  <si>
    <t xml:space="preserve">Unpaid Pref (Opening)  العائد غير المدفوع (بداية)</t>
  </si>
  <si>
    <t xml:space="preserve">Total Pref Owed  إجمالي المستحق</t>
  </si>
  <si>
    <t xml:space="preserve">Tier 2: Preferred Return Paid  سداد العائد التفضيلي</t>
  </si>
  <si>
    <t xml:space="preserve">Unpaid Pref (Closing)  غير المدفوع (نهاية)</t>
  </si>
  <si>
    <t xml:space="preserve">Remaining After ROC + Pref  المتبقي</t>
  </si>
  <si>
    <t xml:space="preserve">Tier 3: GP Catch-up  تعويض المطور</t>
  </si>
  <si>
    <t xml:space="preserve">Tier 4: Profit Split  تقسيم الأرباح</t>
  </si>
  <si>
    <t xml:space="preserve">  → LP  حصة المستثمرين</t>
  </si>
  <si>
    <t xml:space="preserve">  → GP / Carry  حصة الأداء</t>
  </si>
  <si>
    <t xml:space="preserve">Total Distribution to LP  إجمالي توزيعات المستثمرين</t>
  </si>
  <si>
    <t xml:space="preserve">Total Distribution to GP  إجمالي توزيعات المطور</t>
  </si>
  <si>
    <t xml:space="preserve">Total Distributions  إجمالي التوزيعات</t>
  </si>
  <si>
    <t xml:space="preserve">10  INVESTOR RETURNS  عوائد المستثمرين</t>
  </si>
  <si>
    <t xml:space="preserve">LP Net Cash Flow</t>
  </si>
  <si>
    <t xml:space="preserve">LP Cumulative Cash Flow</t>
  </si>
  <si>
    <t xml:space="preserve">LP Net IRR</t>
  </si>
  <si>
    <t xml:space="preserve">GP Net Cash Flow</t>
  </si>
  <si>
    <t xml:space="preserve">GP Net IRR</t>
  </si>
  <si>
    <t xml:space="preserve">KPI SUMMARY  ملخص الأداء</t>
  </si>
  <si>
    <t xml:space="preserve">Project IRR (Unlevered)</t>
  </si>
  <si>
    <t xml:space="preserve">Total Debt Drawn</t>
  </si>
  <si>
    <t xml:space="preserve">Total Fees</t>
  </si>
  <si>
    <t xml:space="preserve">Exit Proceeds</t>
  </si>
  <si>
    <t xml:space="preserve">MODEL CHECKS  فحوصات النموذج</t>
  </si>
  <si>
    <t xml:space="preserve">Net CF = Inc+Land+CAPEX</t>
  </si>
  <si>
    <t xml:space="preserve">Equity Calls = Equity + Unfunded Fees</t>
  </si>
  <si>
    <t xml:space="preserve">Distributions ≤ Cash Available</t>
  </si>
  <si>
    <t xml:space="preserve">Debt Balance ≥ 0</t>
  </si>
  <si>
    <t xml:space="preserve">LP+GP = Total Dist</t>
  </si>
  <si>
    <t xml:space="preserve">Debt fully repaid by tenor end</t>
  </si>
  <si>
    <t xml:space="preserve">NPV ANALYSIS  تحليل صافي القيمة الحالية</t>
  </si>
  <si>
    <t xml:space="preserve">Project (Unlevered)</t>
  </si>
  <si>
    <t xml:space="preserve">@ 10%</t>
  </si>
  <si>
    <t xml:space="preserve">LP Net</t>
  </si>
  <si>
    <t xml:space="preserve">GP Net</t>
  </si>
  <si>
    <t xml:space="preserve">@ 12%</t>
  </si>
  <si>
    <t xml:space="preserve">@ 14%</t>
  </si>
  <si>
    <t xml:space="preserve">DevCost (excl Land)</t>
  </si>
  <si>
    <t xml:space="preserve">Land Capitalization</t>
  </si>
  <si>
    <t xml:space="preserve">FUND MODEL - ZAN 2  نموذج الصندوق - ZAN 2</t>
  </si>
  <si>
    <t xml:space="preserve">FUND MODEL - ZAN 3  نموذج الصندوق - ZAN 3</t>
  </si>
  <si>
    <t xml:space="preserve">FUND MODEL - ZAN 4  نموذج الصندوق - ZAN 4</t>
  </si>
  <si>
    <t xml:space="preserve">FUND MODEL - ZAN 5  نموذج الصندوق - ZAN 5</t>
  </si>
  <si>
    <t xml:space="preserve">FUND MODEL - ZAN 6  نموذج الصندوق - ZAN 6</t>
  </si>
  <si>
    <t xml:space="preserve">BANK MODEL  نموذج البنك</t>
  </si>
  <si>
    <t xml:space="preserve">1  SCOPE CONTROL  التحكم بالنطاق</t>
  </si>
  <si>
    <t xml:space="preserve">Bank Name</t>
  </si>
  <si>
    <t xml:space="preserve">[Bank Name]</t>
  </si>
  <si>
    <t xml:space="preserve">اسم البنك</t>
  </si>
  <si>
    <t xml:space="preserve">Scope (Phases to Include)</t>
  </si>
  <si>
    <t xml:space="preserve">All</t>
  </si>
  <si>
    <t xml:space="preserve">النطاق (المراحل المشمولة)</t>
  </si>
  <si>
    <t xml:space="preserve">DSCR Analysis Period (years)</t>
  </si>
  <si>
    <t xml:space="preserve">2  PROJECT SUMMARY  ملخص المشروع</t>
  </si>
  <si>
    <t xml:space="preserve">Total Development Cost (incl. Land)</t>
  </si>
  <si>
    <t xml:space="preserve">إجمالي تكاليف التطوير</t>
  </si>
  <si>
    <t xml:space="preserve">Total Debt Requested</t>
  </si>
  <si>
    <t xml:space="preserve">إجمالي الدين المطلوب</t>
  </si>
  <si>
    <t xml:space="preserve">Equity %</t>
  </si>
  <si>
    <t xml:space="preserve">نسبة الملكية</t>
  </si>
  <si>
    <t xml:space="preserve">Debt %</t>
  </si>
  <si>
    <t xml:space="preserve">نسبة الدين</t>
  </si>
  <si>
    <t xml:space="preserve">3  FINANCING REQUEST  طلب التمويل</t>
  </si>
  <si>
    <t xml:space="preserve">Financing Rate</t>
  </si>
  <si>
    <t xml:space="preserve">Loan Tenor (incl. Grace)</t>
  </si>
  <si>
    <t xml:space="preserve">Grace Period</t>
  </si>
  <si>
    <t xml:space="preserve">LTV Ratio</t>
  </si>
  <si>
    <t xml:space="preserve">Repayment Type</t>
  </si>
  <si>
    <t xml:space="preserve">Equal Installment</t>
  </si>
  <si>
    <t xml:space="preserve">4  CONSOLIDATED CASH FLOW  التدفقات النقدية المجمعة</t>
  </si>
  <si>
    <t xml:space="preserve">Total Income  إجمالي الإيرادات</t>
  </si>
  <si>
    <t xml:space="preserve">Total Land Rent  إيجار الأرض</t>
  </si>
  <si>
    <t xml:space="preserve">Total CAPEX  تكاليف التطوير</t>
  </si>
  <si>
    <t xml:space="preserve">Net Cash Flow (Unlevered)  صافي التدفق</t>
  </si>
  <si>
    <t xml:space="preserve">5  DEBT SERVICE ANALYSIS  تحليل خدمة الدين</t>
  </si>
  <si>
    <t xml:space="preserve">Total Debt Drawdown  سحب القرض</t>
  </si>
  <si>
    <t xml:space="preserve">Total Debt Repayment  سداد الأصل</t>
  </si>
  <si>
    <t xml:space="preserve">Total Interest  تكلفة التمويل</t>
  </si>
  <si>
    <t xml:space="preserve">Debt Balance (Close)  رصيد الدين</t>
  </si>
  <si>
    <t xml:space="preserve">Net Operating Income (NOI)  صافي الدخل التشغيلي</t>
  </si>
  <si>
    <t xml:space="preserve">DSCR  نسبة تغطية خدمة الدين</t>
  </si>
  <si>
    <t xml:space="preserve">x</t>
  </si>
  <si>
    <t xml:space="preserve">Minimum DSCR  أدنى نسبة تغطية</t>
  </si>
  <si>
    <t xml:space="preserve">Average DSCR  متوسط نسبة تغطية</t>
  </si>
  <si>
    <t xml:space="preserve">6  SOURCES &amp; USES  المصادر والاستخدامات</t>
  </si>
  <si>
    <t xml:space="preserve">SOURCES  المصادر</t>
  </si>
  <si>
    <t xml:space="preserve">Senior Debt</t>
  </si>
  <si>
    <t xml:space="preserve">Equity (GP + LP)</t>
  </si>
  <si>
    <t xml:space="preserve">Total Sources</t>
  </si>
  <si>
    <t xml:space="preserve">USES  الاستخدامات</t>
  </si>
  <si>
    <t xml:space="preserve">Total Fees (memo)</t>
  </si>
  <si>
    <t xml:space="preserve">Total Uses</t>
  </si>
  <si>
    <t xml:space="preserve">7  CHECKS  فحوصات النموذج</t>
  </si>
  <si>
    <t xml:space="preserve">LTV ≤ Max LTV</t>
  </si>
  <si>
    <t xml:space="preserve">Sources ≈ Dev Cost (±5%)</t>
  </si>
  <si>
    <t xml:space="preserve">DSCR &gt; 1.0x (post-stabilization)</t>
  </si>
  <si>
    <t xml:space="preserve">Debt fully repaid</t>
  </si>
  <si>
    <t xml:space="preserve">MODEL INTEGRITY CHECKS  فحوصات سلامة النموذج</t>
  </si>
  <si>
    <t xml:space="preserve">Consolidated checks across all sheets  فحوصات مجمعة من كل الشيتات</t>
  </si>
  <si>
    <t xml:space="preserve">A  PROJECT LEVEL CHECKS  فحوصات على مستوى المشروع</t>
  </si>
  <si>
    <t xml:space="preserve">Check  الفحص</t>
  </si>
  <si>
    <t xml:space="preserve">Status</t>
  </si>
  <si>
    <t xml:space="preserve">Description  الوصف</t>
  </si>
  <si>
    <t xml:space="preserve">Reference</t>
  </si>
  <si>
    <t xml:space="preserve">GFA Total Match</t>
  </si>
  <si>
    <t xml:space="preserve">GFA total matches sum of assets  مجموع المساحات يطابق</t>
  </si>
  <si>
    <t xml:space="preserve">No Negative GFA</t>
  </si>
  <si>
    <t xml:space="preserve">No negative GFA values  لا توجد مساحات سالبة</t>
  </si>
  <si>
    <t xml:space="preserve">Land Alloc = 100%</t>
  </si>
  <si>
    <t xml:space="preserve">Phase allocation sums to 100%  مجموع التوزيع = 100%</t>
  </si>
  <si>
    <t xml:space="preserve">CAPEX Reconciles</t>
  </si>
  <si>
    <t xml:space="preserve">CAPEX schedule total matches Program  التكاليف تطابق</t>
  </si>
  <si>
    <t xml:space="preserve">Revenue &gt; 0 (active phases)</t>
  </si>
  <si>
    <t xml:space="preserve">ZAN 1 generates revenue  إيرادات المرحلة الأولى</t>
  </si>
  <si>
    <t xml:space="preserve">CashFlow Reconciles</t>
  </si>
  <si>
    <t xml:space="preserve">Net CF = Income + Land Rent + CAPEX  التدفق الصافي يطابق</t>
  </si>
  <si>
    <t xml:space="preserve">IRR Computed</t>
  </si>
  <si>
    <t xml:space="preserve">Consolidated IRR computes successfully  IRR محسوب</t>
  </si>
  <si>
    <t xml:space="preserve">NPV @ 10% Computed</t>
  </si>
  <si>
    <t xml:space="preserve">NPV @ 10% computes successfully</t>
  </si>
  <si>
    <t xml:space="preserve">Payback Period Valid</t>
  </si>
  <si>
    <t xml:space="preserve">Payback period within horizon  فترة الاسترداد ضمن الأفق</t>
  </si>
  <si>
    <t xml:space="preserve">B  FUND LEVEL CHECKS  فحوصات الصناديق (لكل مرحلة)</t>
  </si>
  <si>
    <t xml:space="preserve">Equity Calls = Eq+UF</t>
  </si>
  <si>
    <t xml:space="preserve">Dist ≤ Cash Available</t>
  </si>
  <si>
    <t xml:space="preserve">Debt Repaid by Tenor</t>
  </si>
  <si>
    <t xml:space="preserve">C  BANK LEVEL CHECKS  فحوصات البنك</t>
  </si>
  <si>
    <t xml:space="preserve">Debt ratio within limits  نسبة الدين ضمن الحدود</t>
  </si>
  <si>
    <t xml:space="preserve">Sources ≈ Dev Cost</t>
  </si>
  <si>
    <t xml:space="preserve">Sources match uses  المصادر تطابق الاستخدامات</t>
  </si>
  <si>
    <t xml:space="preserve">DSCR Post-Stabilization</t>
  </si>
  <si>
    <t xml:space="preserve">DSCR &gt; 1.0x after stabilization  تغطية بعد الاستقرار</t>
  </si>
  <si>
    <t xml:space="preserve">Debt Fully Repaid</t>
  </si>
  <si>
    <t xml:space="preserve">All debt repaid within tenor  الدين مسدد بالكامل</t>
  </si>
  <si>
    <t xml:space="preserve">D  CROSS-SHEET CONSISTENCY  تطابق بين الشيتات</t>
  </si>
  <si>
    <t xml:space="preserve">Fund Equity Sum = Summary</t>
  </si>
  <si>
    <t xml:space="preserve">Sum of fund equities matches summary total</t>
  </si>
  <si>
    <t xml:space="preserve">Bank Debt = Sum of Fund Debts</t>
  </si>
  <si>
    <t xml:space="preserve">Bank total debt matches fund debts</t>
  </si>
  <si>
    <t xml:space="preserve">Bank Dev Cost = Sum of Fund DevCosts</t>
  </si>
  <si>
    <t xml:space="preserve">Bank dev cost matches fund dev costs</t>
  </si>
  <si>
    <t xml:space="preserve">CAPEX Total = CashFlow Total</t>
  </si>
  <si>
    <t xml:space="preserve">CAPEX sheet total matches CashFlow CAPEX</t>
  </si>
  <si>
    <t xml:space="preserve">Revenue Total = CashFlow Income</t>
  </si>
  <si>
    <t xml:space="preserve">Revenue by phase matches CashFlow income</t>
  </si>
  <si>
    <t xml:space="preserve">OVERALL STATUS  الحالة العامة</t>
  </si>
  <si>
    <t xml:space="preserve">Project Checks</t>
  </si>
  <si>
    <t xml:space="preserve">Fund Checks (ZAN 1-3)</t>
  </si>
  <si>
    <t xml:space="preserve">Bank Checks</t>
  </si>
  <si>
    <t xml:space="preserve">Cross-Sheet Checks</t>
  </si>
  <si>
    <t xml:space="preserve">OVERALL  الحالة الإجمالية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</si>
</sst>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%"/>
    <numFmt numFmtId="167" formatCode="#,##0;[RED]\(#,##0\);\-"/>
    <numFmt numFmtId="168" formatCode="0.00"/>
    <numFmt numFmtId="169" formatCode="#,##0"/>
    <numFmt numFmtId="170" formatCode="0.0"/>
    <numFmt numFmtId="171" formatCode="0.00\x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sz val="9"/>
      <color rgb="FF9CA3A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1B4F72"/>
      <name val="Arial"/>
      <family val="0"/>
      <charset val="1"/>
    </font>
    <font>
      <sz val="10"/>
      <color rgb="FF808080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1E39"/>
      <name val="Arial"/>
      <family val="0"/>
      <charset val="1"/>
    </font>
    <font>
      <b val="true"/>
      <sz val="8"/>
      <color rgb="FF2E7D32"/>
      <name val="Arial"/>
      <family val="0"/>
      <charset val="1"/>
    </font>
    <font>
      <sz val="8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4"/>
      <color rgb="FF1B4F72"/>
      <name val="Arial"/>
      <family val="0"/>
      <charset val="1"/>
    </font>
    <font>
      <b val="true"/>
      <sz val="12"/>
      <color rgb="FF1B4F72"/>
      <name val="Arial"/>
      <family val="0"/>
      <charset val="1"/>
    </font>
    <font>
      <b val="true"/>
      <sz val="12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1E39"/>
        <bgColor rgb="FF1F2937"/>
      </patternFill>
    </fill>
    <fill>
      <patternFill patternType="solid">
        <fgColor rgb="FF1F2937"/>
        <bgColor rgb="FF001E39"/>
      </patternFill>
    </fill>
    <fill>
      <patternFill patternType="solid">
        <fgColor rgb="FFEBF5FB"/>
        <bgColor rgb="FFF0FDF4"/>
      </patternFill>
    </fill>
    <fill>
      <patternFill patternType="solid">
        <fgColor rgb="FFD6EAF8"/>
        <bgColor rgb="FFEBF5FB"/>
      </patternFill>
    </fill>
    <fill>
      <patternFill patternType="solid">
        <fgColor rgb="FFF0FDF4"/>
        <bgColor rgb="FFEBF5FB"/>
      </patternFill>
    </fill>
    <fill>
      <patternFill patternType="solid">
        <fgColor rgb="FF2E7D32"/>
        <bgColor rgb="FF008000"/>
      </patternFill>
    </fill>
    <fill>
      <patternFill patternType="solid">
        <fgColor rgb="FF1B4F72"/>
        <bgColor rgb="FF1F293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6" fontId="8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7" fontId="8" fillId="4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7" fontId="8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D6E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B7280"/>
      <rgbColor rgb="FF9CA3AF"/>
      <rgbColor rgb="FF001E39"/>
      <rgbColor rgb="FF2E7D32"/>
      <rgbColor rgb="FF003300"/>
      <rgbColor rgb="FF333300"/>
      <rgbColor rgb="FF993300"/>
      <rgbColor rgb="FF993366"/>
      <rgbColor rgb="FF1B4F72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18"/>
    <col collapsed="false" customWidth="true" hidden="false" outlineLevel="0" max="4" min="4" style="1" width="38"/>
    <col collapsed="false" customWidth="true" hidden="false" outlineLevel="0" max="5" min="5" style="1" width="1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B2" s="3" t="s">
        <v>1</v>
      </c>
      <c r="D2" s="3" t="s">
        <v>2</v>
      </c>
    </row>
    <row r="4" customFormat="false" ht="24" hidden="false" customHeight="true" outlineLevel="0" collapsed="false">
      <c r="A4" s="4" t="s">
        <v>3</v>
      </c>
      <c r="B4" s="4"/>
      <c r="C4" s="4"/>
      <c r="D4" s="4"/>
      <c r="E4" s="4"/>
    </row>
    <row r="5" customFormat="false" ht="15" hidden="false" customHeight="true" outlineLevel="0" collapsed="false">
      <c r="B5" s="5" t="s">
        <v>4</v>
      </c>
      <c r="C5" s="6" t="s">
        <v>5</v>
      </c>
    </row>
    <row r="6" customFormat="false" ht="15" hidden="false" customHeight="true" outlineLevel="0" collapsed="false">
      <c r="B6" s="5" t="s">
        <v>6</v>
      </c>
      <c r="C6" s="6" t="s">
        <v>7</v>
      </c>
    </row>
    <row r="7" customFormat="false" ht="15" hidden="false" customHeight="true" outlineLevel="0" collapsed="false">
      <c r="B7" s="5" t="s">
        <v>8</v>
      </c>
      <c r="C7" s="7" t="n">
        <v>2026</v>
      </c>
    </row>
    <row r="8" customFormat="false" ht="15" hidden="false" customHeight="true" outlineLevel="0" collapsed="false">
      <c r="B8" s="5" t="s">
        <v>9</v>
      </c>
      <c r="C8" s="7" t="n">
        <v>50</v>
      </c>
    </row>
    <row r="9" customFormat="false" ht="15" hidden="false" customHeight="true" outlineLevel="0" collapsed="false">
      <c r="B9" s="5" t="s">
        <v>10</v>
      </c>
      <c r="C9" s="6" t="s">
        <v>11</v>
      </c>
    </row>
    <row r="11" customFormat="false" ht="24" hidden="false" customHeight="true" outlineLevel="0" collapsed="false">
      <c r="A11" s="4" t="s">
        <v>12</v>
      </c>
      <c r="B11" s="4"/>
      <c r="C11" s="4"/>
      <c r="D11" s="4"/>
      <c r="E11" s="4"/>
    </row>
    <row r="12" customFormat="false" ht="15" hidden="false" customHeight="true" outlineLevel="0" collapsed="false">
      <c r="B12" s="5" t="s">
        <v>13</v>
      </c>
      <c r="C12" s="8" t="n">
        <v>0.0075</v>
      </c>
    </row>
    <row r="13" customFormat="false" ht="15" hidden="false" customHeight="true" outlineLevel="0" collapsed="false">
      <c r="B13" s="5" t="s">
        <v>14</v>
      </c>
      <c r="C13" s="8" t="n">
        <v>0.85</v>
      </c>
    </row>
    <row r="14" customFormat="false" ht="15" hidden="false" customHeight="true" outlineLevel="0" collapsed="false">
      <c r="B14" s="5" t="s">
        <v>15</v>
      </c>
      <c r="C14" s="9" t="n">
        <v>700</v>
      </c>
    </row>
    <row r="15" customFormat="false" ht="15" hidden="false" customHeight="true" outlineLevel="0" collapsed="false">
      <c r="B15" s="5" t="s">
        <v>16</v>
      </c>
      <c r="C15" s="9" t="n">
        <v>3500</v>
      </c>
    </row>
    <row r="17" customFormat="false" ht="24" hidden="false" customHeight="true" outlineLevel="0" collapsed="false">
      <c r="A17" s="4" t="s">
        <v>17</v>
      </c>
      <c r="B17" s="4"/>
      <c r="C17" s="4"/>
      <c r="D17" s="4"/>
      <c r="E17" s="4"/>
    </row>
    <row r="18" customFormat="false" ht="15" hidden="false" customHeight="true" outlineLevel="0" collapsed="false">
      <c r="B18" s="5" t="s">
        <v>18</v>
      </c>
      <c r="C18" s="9" t="n">
        <v>6000000</v>
      </c>
    </row>
    <row r="19" customFormat="false" ht="15" hidden="false" customHeight="true" outlineLevel="0" collapsed="false">
      <c r="B19" s="5" t="s">
        <v>19</v>
      </c>
      <c r="C19" s="7" t="n">
        <v>5</v>
      </c>
    </row>
    <row r="20" customFormat="false" ht="15" hidden="false" customHeight="true" outlineLevel="0" collapsed="false">
      <c r="B20" s="5" t="s">
        <v>20</v>
      </c>
      <c r="C20" s="8" t="n">
        <v>0.05</v>
      </c>
    </row>
    <row r="21" customFormat="false" ht="15" hidden="false" customHeight="true" outlineLevel="0" collapsed="false">
      <c r="B21" s="5" t="s">
        <v>21</v>
      </c>
      <c r="C21" s="7" t="n">
        <v>5</v>
      </c>
    </row>
    <row r="22" customFormat="false" ht="15" hidden="false" customHeight="true" outlineLevel="0" collapsed="false">
      <c r="B22" s="5" t="s">
        <v>22</v>
      </c>
      <c r="C22" s="7" t="n">
        <v>50</v>
      </c>
    </row>
    <row r="24" customFormat="false" ht="24" hidden="false" customHeight="true" outlineLevel="0" collapsed="false">
      <c r="A24" s="4" t="s">
        <v>23</v>
      </c>
      <c r="B24" s="4"/>
      <c r="C24" s="4"/>
      <c r="D24" s="4"/>
      <c r="E24" s="4"/>
    </row>
    <row r="25" customFormat="false" ht="15" hidden="false" customHeight="true" outlineLevel="0" collapsed="false">
      <c r="B25" s="5" t="s">
        <v>24</v>
      </c>
      <c r="C25" s="8" t="n">
        <v>0.1</v>
      </c>
    </row>
    <row r="26" customFormat="false" ht="15" hidden="false" customHeight="true" outlineLevel="0" collapsed="false">
      <c r="B26" s="5" t="s">
        <v>25</v>
      </c>
      <c r="C26" s="8" t="n">
        <v>0.05</v>
      </c>
    </row>
    <row r="28" customFormat="false" ht="24" hidden="false" customHeight="true" outlineLevel="0" collapsed="false">
      <c r="A28" s="4" t="s">
        <v>26</v>
      </c>
      <c r="B28" s="4"/>
      <c r="C28" s="4"/>
      <c r="D28" s="4"/>
      <c r="E28" s="4"/>
    </row>
    <row r="29" customFormat="false" ht="15" hidden="false" customHeight="true" outlineLevel="0" collapsed="false">
      <c r="B29" s="5" t="s">
        <v>27</v>
      </c>
      <c r="C29" s="6" t="s">
        <v>28</v>
      </c>
    </row>
    <row r="30" customFormat="false" ht="15" hidden="false" customHeight="true" outlineLevel="0" collapsed="false">
      <c r="B30" s="10" t="s">
        <v>29</v>
      </c>
      <c r="C30" s="11" t="s">
        <v>28</v>
      </c>
    </row>
    <row r="31" customFormat="false" ht="15" hidden="false" customHeight="true" outlineLevel="0" collapsed="false">
      <c r="C31" s="11" t="s">
        <v>30</v>
      </c>
    </row>
    <row r="32" customFormat="false" ht="15" hidden="false" customHeight="true" outlineLevel="0" collapsed="false">
      <c r="C32" s="11" t="s">
        <v>31</v>
      </c>
    </row>
    <row r="33" customFormat="false" ht="15" hidden="false" customHeight="true" outlineLevel="0" collapsed="false">
      <c r="C33" s="11" t="s">
        <v>32</v>
      </c>
    </row>
    <row r="34" customFormat="false" ht="15" hidden="false" customHeight="true" outlineLevel="0" collapsed="false">
      <c r="C34" s="11" t="s">
        <v>33</v>
      </c>
    </row>
    <row r="35" customFormat="false" ht="15" hidden="false" customHeight="true" outlineLevel="0" collapsed="false">
      <c r="C35" s="11" t="s">
        <v>34</v>
      </c>
    </row>
    <row r="37" customFormat="false" ht="15" hidden="false" customHeight="true" outlineLevel="0" collapsed="false">
      <c r="B37" s="5" t="s">
        <v>35</v>
      </c>
      <c r="C37" s="12" t="n">
        <f aca="false">IF(C29="CAPEX +10%",1.1,1)</f>
        <v>1</v>
      </c>
    </row>
    <row r="38" customFormat="false" ht="15" hidden="false" customHeight="true" outlineLevel="0" collapsed="false">
      <c r="B38" s="5" t="s">
        <v>36</v>
      </c>
      <c r="C38" s="12" t="n">
        <f aca="false">IF(C29="Rent -10%",0.9,1)</f>
        <v>1</v>
      </c>
    </row>
    <row r="39" customFormat="false" ht="15" hidden="false" customHeight="true" outlineLevel="0" collapsed="false">
      <c r="B39" s="5" t="s">
        <v>37</v>
      </c>
      <c r="C39" s="13" t="n">
        <f aca="false">IF(C29="Delay +6 months",6,0)</f>
        <v>0</v>
      </c>
    </row>
    <row r="40" customFormat="false" ht="15" hidden="false" customHeight="true" outlineLevel="0" collapsed="false">
      <c r="B40" s="5" t="s">
        <v>38</v>
      </c>
      <c r="C40" s="14" t="n">
        <f aca="false">IF(C29="Escalation +0.5%",0.005,IF(C29="Escalation -0.5%",-0.005,0))</f>
        <v>0</v>
      </c>
    </row>
    <row r="41" customFormat="false" ht="15" hidden="false" customHeight="true" outlineLevel="0" collapsed="false">
      <c r="B41" s="5" t="s">
        <v>39</v>
      </c>
      <c r="C41" s="14" t="n">
        <f aca="false">C12+C40</f>
        <v>0.0075</v>
      </c>
    </row>
    <row r="43" customFormat="false" ht="24" hidden="false" customHeight="true" outlineLevel="0" collapsed="false">
      <c r="A43" s="4" t="s">
        <v>40</v>
      </c>
      <c r="B43" s="4"/>
      <c r="C43" s="4"/>
      <c r="D43" s="4"/>
      <c r="E43" s="4"/>
    </row>
    <row r="44" customFormat="false" ht="27.75" hidden="false" customHeight="true" outlineLevel="0" collapsed="false">
      <c r="A44" s="15"/>
      <c r="B44" s="15" t="s">
        <v>41</v>
      </c>
      <c r="C44" s="15" t="s">
        <v>42</v>
      </c>
      <c r="D44" s="15" t="s">
        <v>43</v>
      </c>
      <c r="E44" s="15" t="s">
        <v>44</v>
      </c>
    </row>
    <row r="45" customFormat="false" ht="15" hidden="false" customHeight="true" outlineLevel="0" collapsed="false">
      <c r="B45" s="16" t="s">
        <v>45</v>
      </c>
      <c r="C45" s="17" t="n">
        <v>2</v>
      </c>
      <c r="D45" s="18" t="n">
        <f aca="false">SUMPRODUCT((Program!A4:A50=B45)*(Program!G4:G50))</f>
        <v>32498</v>
      </c>
      <c r="E45" s="19" t="n">
        <f aca="false">IF(D$60=0,0,D45/D$60)</f>
        <v>0.337259622868647</v>
      </c>
    </row>
    <row r="46" customFormat="false" ht="15" hidden="false" customHeight="true" outlineLevel="0" collapsed="false">
      <c r="B46" s="16" t="s">
        <v>46</v>
      </c>
      <c r="C46" s="17" t="n">
        <v>3</v>
      </c>
      <c r="D46" s="18" t="n">
        <f aca="false">SUMPRODUCT((Program!A4:A50=B46)*(Program!G4:G50))</f>
        <v>37115</v>
      </c>
      <c r="E46" s="19" t="n">
        <f aca="false">IF(D$60=0,0,D46/D$60)</f>
        <v>0.385174192343217</v>
      </c>
    </row>
    <row r="47" customFormat="false" ht="15" hidden="false" customHeight="true" outlineLevel="0" collapsed="false">
      <c r="B47" s="16" t="s">
        <v>47</v>
      </c>
      <c r="C47" s="17" t="n">
        <v>4</v>
      </c>
      <c r="D47" s="18" t="n">
        <f aca="false">SUMPRODUCT((Program!A4:A50=B47)*(Program!G4:G50))</f>
        <v>26746</v>
      </c>
      <c r="E47" s="19" t="n">
        <f aca="false">IF(D$60=0,0,D47/D$60)</f>
        <v>0.277566184788136</v>
      </c>
    </row>
    <row r="48" customFormat="false" ht="15" hidden="false" customHeight="true" outlineLevel="0" collapsed="false">
      <c r="B48" s="16" t="s">
        <v>48</v>
      </c>
      <c r="C48" s="17" t="n">
        <v>5</v>
      </c>
      <c r="D48" s="18" t="n">
        <f aca="false">SUMPRODUCT((Program!A4:A50=B48)*(Program!G4:G50))</f>
        <v>0</v>
      </c>
      <c r="E48" s="19" t="n">
        <f aca="false">IF(D$60=0,0,D48/D$60)</f>
        <v>0</v>
      </c>
    </row>
    <row r="49" customFormat="false" ht="15" hidden="false" customHeight="true" outlineLevel="0" collapsed="false">
      <c r="B49" s="16" t="s">
        <v>49</v>
      </c>
      <c r="C49" s="17" t="n">
        <v>7</v>
      </c>
      <c r="D49" s="18" t="n">
        <f aca="false">SUMPRODUCT((Program!A4:A50=B49)*(Program!G4:G50))</f>
        <v>0</v>
      </c>
      <c r="E49" s="19" t="n">
        <f aca="false">IF(D$60=0,0,D49/D$60)</f>
        <v>0</v>
      </c>
    </row>
    <row r="50" customFormat="false" ht="15" hidden="false" customHeight="true" outlineLevel="0" collapsed="false">
      <c r="B50" s="16" t="s">
        <v>50</v>
      </c>
      <c r="C50" s="17" t="n">
        <v>7</v>
      </c>
      <c r="D50" s="18" t="n">
        <f aca="false">SUMPRODUCT((Program!A4:A50=B50)*(Program!G4:G50))</f>
        <v>0</v>
      </c>
      <c r="E50" s="19" t="n">
        <f aca="false">IF(D$60=0,0,D50/D$60)</f>
        <v>0</v>
      </c>
    </row>
    <row r="51" customFormat="false" ht="15" hidden="false" customHeight="true" outlineLevel="0" collapsed="false">
      <c r="B51" s="16" t="s">
        <v>51</v>
      </c>
      <c r="C51" s="17" t="n">
        <v>0</v>
      </c>
      <c r="D51" s="18" t="n">
        <f aca="false">SUMPRODUCT((Program!A4:A50=B51)*(Program!G4:G50))</f>
        <v>0</v>
      </c>
      <c r="E51" s="19" t="n">
        <f aca="false">IF(D$60=0,0,D51/D$60)</f>
        <v>0</v>
      </c>
    </row>
    <row r="52" customFormat="false" ht="15" hidden="false" customHeight="true" outlineLevel="0" collapsed="false">
      <c r="B52" s="16" t="s">
        <v>52</v>
      </c>
      <c r="C52" s="17" t="n">
        <v>0</v>
      </c>
      <c r="D52" s="18" t="n">
        <f aca="false">SUMPRODUCT((Program!A4:A50=B52)*(Program!G4:G50))</f>
        <v>0</v>
      </c>
      <c r="E52" s="19" t="n">
        <f aca="false">IF(D$60=0,0,D52/D$60)</f>
        <v>0</v>
      </c>
    </row>
    <row r="53" customFormat="false" ht="15" hidden="false" customHeight="true" outlineLevel="0" collapsed="false">
      <c r="B53" s="16" t="s">
        <v>53</v>
      </c>
      <c r="C53" s="17" t="n">
        <v>0</v>
      </c>
      <c r="D53" s="18" t="n">
        <f aca="false">SUMPRODUCT((Program!A4:A50=B53)*(Program!G4:G50))</f>
        <v>0</v>
      </c>
      <c r="E53" s="19" t="n">
        <f aca="false">IF(D$60=0,0,D53/D$60)</f>
        <v>0</v>
      </c>
    </row>
    <row r="54" customFormat="false" ht="15" hidden="false" customHeight="true" outlineLevel="0" collapsed="false">
      <c r="B54" s="16" t="s">
        <v>54</v>
      </c>
      <c r="C54" s="17" t="n">
        <v>0</v>
      </c>
      <c r="D54" s="18" t="n">
        <f aca="false">SUMPRODUCT((Program!A4:A50=B54)*(Program!G4:G50))</f>
        <v>0</v>
      </c>
      <c r="E54" s="19" t="n">
        <f aca="false">IF(D$60=0,0,D54/D$60)</f>
        <v>0</v>
      </c>
    </row>
    <row r="55" customFormat="false" ht="15" hidden="false" customHeight="true" outlineLevel="0" collapsed="false">
      <c r="B55" s="16" t="s">
        <v>55</v>
      </c>
      <c r="C55" s="17" t="n">
        <v>0</v>
      </c>
      <c r="D55" s="18" t="n">
        <f aca="false">SUMPRODUCT((Program!A4:A50=B55)*(Program!G4:G50))</f>
        <v>0</v>
      </c>
      <c r="E55" s="19" t="n">
        <f aca="false">IF(D$60=0,0,D55/D$60)</f>
        <v>0</v>
      </c>
    </row>
    <row r="56" customFormat="false" ht="15" hidden="false" customHeight="true" outlineLevel="0" collapsed="false">
      <c r="B56" s="16" t="s">
        <v>56</v>
      </c>
      <c r="C56" s="17" t="n">
        <v>0</v>
      </c>
      <c r="D56" s="18" t="n">
        <f aca="false">SUMPRODUCT((Program!A4:A50=B56)*(Program!G4:G50))</f>
        <v>0</v>
      </c>
      <c r="E56" s="19" t="n">
        <f aca="false">IF(D$60=0,0,D56/D$60)</f>
        <v>0</v>
      </c>
    </row>
    <row r="57" customFormat="false" ht="15" hidden="false" customHeight="true" outlineLevel="0" collapsed="false">
      <c r="B57" s="16" t="s">
        <v>57</v>
      </c>
      <c r="C57" s="17" t="n">
        <v>0</v>
      </c>
      <c r="D57" s="18" t="n">
        <f aca="false">SUMPRODUCT((Program!A4:A50=B57)*(Program!G4:G50))</f>
        <v>0</v>
      </c>
      <c r="E57" s="19" t="n">
        <f aca="false">IF(D$60=0,0,D57/D$60)</f>
        <v>0</v>
      </c>
    </row>
    <row r="58" customFormat="false" ht="15" hidden="false" customHeight="true" outlineLevel="0" collapsed="false">
      <c r="B58" s="16" t="s">
        <v>58</v>
      </c>
      <c r="C58" s="17" t="n">
        <v>0</v>
      </c>
      <c r="D58" s="18" t="n">
        <f aca="false">SUMPRODUCT((Program!A4:A50=B58)*(Program!G4:G50))</f>
        <v>0</v>
      </c>
      <c r="E58" s="19" t="n">
        <f aca="false">IF(D$60=0,0,D58/D$60)</f>
        <v>0</v>
      </c>
    </row>
    <row r="59" customFormat="false" ht="15" hidden="false" customHeight="true" outlineLevel="0" collapsed="false">
      <c r="B59" s="16" t="s">
        <v>59</v>
      </c>
      <c r="C59" s="17" t="n">
        <v>0</v>
      </c>
      <c r="D59" s="18" t="n">
        <f aca="false">SUMPRODUCT((Program!A4:A50=B59)*(Program!G4:G50))</f>
        <v>0</v>
      </c>
      <c r="E59" s="19" t="n">
        <f aca="false">IF(D$60=0,0,D59/D$60)</f>
        <v>0</v>
      </c>
    </row>
    <row r="60" customFormat="false" ht="15" hidden="false" customHeight="true" outlineLevel="0" collapsed="false">
      <c r="B60" s="20" t="s">
        <v>60</v>
      </c>
      <c r="D60" s="18" t="n">
        <f aca="false">SUM(D45:D59)</f>
        <v>96359</v>
      </c>
      <c r="E60" s="19" t="n">
        <f aca="false">SUM(E45:E59)</f>
        <v>1</v>
      </c>
    </row>
    <row r="62" customFormat="false" ht="24" hidden="false" customHeight="true" outlineLevel="0" collapsed="false">
      <c r="A62" s="4" t="s">
        <v>61</v>
      </c>
      <c r="B62" s="4"/>
      <c r="C62" s="4"/>
      <c r="D62" s="4"/>
      <c r="E62" s="4"/>
    </row>
    <row r="63" customFormat="false" ht="15" hidden="false" customHeight="true" outlineLevel="0" collapsed="false">
      <c r="B63" s="5" t="s">
        <v>62</v>
      </c>
      <c r="C63" s="9" t="n">
        <v>302473</v>
      </c>
    </row>
    <row r="64" customFormat="false" ht="15" hidden="false" customHeight="true" outlineLevel="0" collapsed="false">
      <c r="B64" s="5" t="s">
        <v>63</v>
      </c>
      <c r="C64" s="21" t="n">
        <f aca="false">C63*1000</f>
        <v>302473000</v>
      </c>
    </row>
    <row r="66" customFormat="false" ht="27.75" hidden="false" customHeight="true" outlineLevel="0" collapsed="false">
      <c r="A66" s="15"/>
      <c r="B66" s="15" t="s">
        <v>64</v>
      </c>
      <c r="C66" s="15" t="s">
        <v>65</v>
      </c>
      <c r="D66" s="15" t="s">
        <v>66</v>
      </c>
      <c r="E66" s="15" t="s">
        <v>67</v>
      </c>
    </row>
    <row r="67" customFormat="false" ht="15" hidden="false" customHeight="true" outlineLevel="0" collapsed="false">
      <c r="B67" s="22" t="str">
        <f aca="false">B45</f>
        <v>ZAN 1</v>
      </c>
      <c r="C67" s="18" t="n">
        <f aca="false">D45</f>
        <v>32498</v>
      </c>
      <c r="D67" s="19" t="n">
        <f aca="false">E45</f>
        <v>0.337259622868647</v>
      </c>
      <c r="E67" s="18" t="n">
        <f aca="false">D67*$C$64</f>
        <v>102011929.907948</v>
      </c>
    </row>
    <row r="68" customFormat="false" ht="15" hidden="false" customHeight="true" outlineLevel="0" collapsed="false">
      <c r="B68" s="22" t="str">
        <f aca="false">B46</f>
        <v>ZAN 2</v>
      </c>
      <c r="C68" s="18" t="n">
        <f aca="false">D46</f>
        <v>37115</v>
      </c>
      <c r="D68" s="19" t="n">
        <f aca="false">E46</f>
        <v>0.385174192343217</v>
      </c>
      <c r="E68" s="18" t="n">
        <f aca="false">D68*$C$64</f>
        <v>116504793.48063</v>
      </c>
    </row>
    <row r="69" customFormat="false" ht="15" hidden="false" customHeight="true" outlineLevel="0" collapsed="false">
      <c r="B69" s="22" t="str">
        <f aca="false">B47</f>
        <v>ZAN 3</v>
      </c>
      <c r="C69" s="18" t="n">
        <f aca="false">D47</f>
        <v>26746</v>
      </c>
      <c r="D69" s="19" t="n">
        <f aca="false">E47</f>
        <v>0.277566184788136</v>
      </c>
      <c r="E69" s="18" t="n">
        <f aca="false">D69*$C$64</f>
        <v>83956276.6114219</v>
      </c>
    </row>
    <row r="70" customFormat="false" ht="15" hidden="false" customHeight="true" outlineLevel="0" collapsed="false">
      <c r="B70" s="22" t="str">
        <f aca="false">B48</f>
        <v>ZAN 4</v>
      </c>
      <c r="C70" s="18" t="n">
        <f aca="false">D48</f>
        <v>0</v>
      </c>
      <c r="D70" s="19" t="n">
        <f aca="false">E48</f>
        <v>0</v>
      </c>
      <c r="E70" s="18" t="n">
        <f aca="false">D70*$C$64</f>
        <v>0</v>
      </c>
    </row>
    <row r="71" customFormat="false" ht="15" hidden="false" customHeight="true" outlineLevel="0" collapsed="false">
      <c r="B71" s="22" t="str">
        <f aca="false">B49</f>
        <v>ZAN 5</v>
      </c>
      <c r="C71" s="18" t="n">
        <f aca="false">D49</f>
        <v>0</v>
      </c>
      <c r="D71" s="19" t="n">
        <f aca="false">E49</f>
        <v>0</v>
      </c>
      <c r="E71" s="18" t="n">
        <f aca="false">D71*$C$64</f>
        <v>0</v>
      </c>
    </row>
    <row r="72" customFormat="false" ht="15" hidden="false" customHeight="true" outlineLevel="0" collapsed="false">
      <c r="B72" s="22" t="str">
        <f aca="false">B50</f>
        <v>ZAN 6</v>
      </c>
      <c r="C72" s="18" t="n">
        <f aca="false">D50</f>
        <v>0</v>
      </c>
      <c r="D72" s="19" t="n">
        <f aca="false">E50</f>
        <v>0</v>
      </c>
      <c r="E72" s="18" t="n">
        <f aca="false">D72*$C$64</f>
        <v>0</v>
      </c>
    </row>
    <row r="73" customFormat="false" ht="15" hidden="false" customHeight="true" outlineLevel="0" collapsed="false">
      <c r="B73" s="22" t="str">
        <f aca="false">B51</f>
        <v>ZAN 7</v>
      </c>
      <c r="C73" s="18" t="n">
        <f aca="false">D51</f>
        <v>0</v>
      </c>
      <c r="D73" s="19" t="n">
        <f aca="false">E51</f>
        <v>0</v>
      </c>
      <c r="E73" s="18" t="n">
        <f aca="false">D73*$C$64</f>
        <v>0</v>
      </c>
    </row>
    <row r="74" customFormat="false" ht="15" hidden="false" customHeight="true" outlineLevel="0" collapsed="false">
      <c r="B74" s="22" t="str">
        <f aca="false">B52</f>
        <v>ZAN 8</v>
      </c>
      <c r="C74" s="18" t="n">
        <f aca="false">D52</f>
        <v>0</v>
      </c>
      <c r="D74" s="19" t="n">
        <f aca="false">E52</f>
        <v>0</v>
      </c>
      <c r="E74" s="18" t="n">
        <f aca="false">D74*$C$64</f>
        <v>0</v>
      </c>
    </row>
    <row r="75" customFormat="false" ht="15" hidden="false" customHeight="true" outlineLevel="0" collapsed="false">
      <c r="B75" s="22" t="str">
        <f aca="false">B53</f>
        <v>ZAN 9</v>
      </c>
      <c r="C75" s="18" t="n">
        <f aca="false">D53</f>
        <v>0</v>
      </c>
      <c r="D75" s="19" t="n">
        <f aca="false">E53</f>
        <v>0</v>
      </c>
      <c r="E75" s="18" t="n">
        <f aca="false">D75*$C$64</f>
        <v>0</v>
      </c>
    </row>
    <row r="76" customFormat="false" ht="15" hidden="false" customHeight="true" outlineLevel="0" collapsed="false">
      <c r="B76" s="22" t="str">
        <f aca="false">B54</f>
        <v>ZAN 10</v>
      </c>
      <c r="C76" s="18" t="n">
        <f aca="false">D54</f>
        <v>0</v>
      </c>
      <c r="D76" s="19" t="n">
        <f aca="false">E54</f>
        <v>0</v>
      </c>
      <c r="E76" s="18" t="n">
        <f aca="false">D76*$C$64</f>
        <v>0</v>
      </c>
    </row>
    <row r="77" customFormat="false" ht="15" hidden="false" customHeight="true" outlineLevel="0" collapsed="false">
      <c r="B77" s="22" t="str">
        <f aca="false">B55</f>
        <v>ZAN 11</v>
      </c>
      <c r="C77" s="18" t="n">
        <f aca="false">D55</f>
        <v>0</v>
      </c>
      <c r="D77" s="19" t="n">
        <f aca="false">E55</f>
        <v>0</v>
      </c>
      <c r="E77" s="18" t="n">
        <f aca="false">D77*$C$64</f>
        <v>0</v>
      </c>
    </row>
    <row r="78" customFormat="false" ht="15" hidden="false" customHeight="true" outlineLevel="0" collapsed="false">
      <c r="B78" s="22" t="str">
        <f aca="false">B56</f>
        <v>ZAN 12</v>
      </c>
      <c r="C78" s="18" t="n">
        <f aca="false">D56</f>
        <v>0</v>
      </c>
      <c r="D78" s="19" t="n">
        <f aca="false">E56</f>
        <v>0</v>
      </c>
      <c r="E78" s="18" t="n">
        <f aca="false">D78*$C$64</f>
        <v>0</v>
      </c>
    </row>
    <row r="79" customFormat="false" ht="15" hidden="false" customHeight="true" outlineLevel="0" collapsed="false">
      <c r="B79" s="22" t="str">
        <f aca="false">B57</f>
        <v>ZAN 13</v>
      </c>
      <c r="C79" s="18" t="n">
        <f aca="false">D57</f>
        <v>0</v>
      </c>
      <c r="D79" s="19" t="n">
        <f aca="false">E57</f>
        <v>0</v>
      </c>
      <c r="E79" s="18" t="n">
        <f aca="false">D79*$C$64</f>
        <v>0</v>
      </c>
    </row>
    <row r="80" customFormat="false" ht="15" hidden="false" customHeight="true" outlineLevel="0" collapsed="false">
      <c r="B80" s="22" t="str">
        <f aca="false">B58</f>
        <v>ZAN 14</v>
      </c>
      <c r="C80" s="18" t="n">
        <f aca="false">D58</f>
        <v>0</v>
      </c>
      <c r="D80" s="19" t="n">
        <f aca="false">E58</f>
        <v>0</v>
      </c>
      <c r="E80" s="18" t="n">
        <f aca="false">D80*$C$64</f>
        <v>0</v>
      </c>
    </row>
    <row r="81" customFormat="false" ht="15" hidden="false" customHeight="true" outlineLevel="0" collapsed="false">
      <c r="B81" s="22" t="str">
        <f aca="false">B59</f>
        <v>ZAN 15</v>
      </c>
      <c r="C81" s="18" t="n">
        <f aca="false">D59</f>
        <v>0</v>
      </c>
      <c r="D81" s="19" t="n">
        <f aca="false">E59</f>
        <v>0</v>
      </c>
      <c r="E81" s="18" t="n">
        <f aca="false">D81*$C$64</f>
        <v>0</v>
      </c>
    </row>
    <row r="82" customFormat="false" ht="15" hidden="false" customHeight="true" outlineLevel="0" collapsed="false">
      <c r="B82" s="20" t="s">
        <v>60</v>
      </c>
      <c r="C82" s="18" t="n">
        <f aca="false">SUM(C67:C81)</f>
        <v>96359</v>
      </c>
      <c r="D82" s="19" t="n">
        <f aca="false">SUM(D67:D81)</f>
        <v>1</v>
      </c>
      <c r="E82" s="18" t="n">
        <f aca="false">SUM(E67:E81)</f>
        <v>302473000</v>
      </c>
    </row>
    <row r="84" customFormat="false" ht="24" hidden="false" customHeight="true" outlineLevel="0" collapsed="false">
      <c r="A84" s="4" t="s">
        <v>68</v>
      </c>
      <c r="B84" s="4"/>
      <c r="C84" s="4"/>
      <c r="D84" s="4"/>
      <c r="E84" s="4"/>
    </row>
    <row r="85" customFormat="false" ht="15" hidden="false" customHeight="true" outlineLevel="0" collapsed="false">
      <c r="B85" s="5" t="s">
        <v>69</v>
      </c>
      <c r="C85" s="8" t="n">
        <v>0.7</v>
      </c>
    </row>
    <row r="87" customFormat="false" ht="24" hidden="false" customHeight="true" outlineLevel="0" collapsed="false">
      <c r="A87" s="23" t="s">
        <v>70</v>
      </c>
      <c r="B87" s="23"/>
      <c r="C87" s="23"/>
      <c r="D87" s="23"/>
      <c r="E87" s="23"/>
    </row>
    <row r="88" customFormat="false" ht="15" hidden="false" customHeight="true" outlineLevel="0" collapsed="false">
      <c r="B88" s="16" t="s">
        <v>71</v>
      </c>
      <c r="C88" s="24" t="s">
        <v>72</v>
      </c>
      <c r="D88" s="10" t="s">
        <v>73</v>
      </c>
    </row>
    <row r="89" customFormat="false" ht="15" hidden="false" customHeight="true" outlineLevel="0" collapsed="false">
      <c r="B89" s="11" t="s">
        <v>29</v>
      </c>
      <c r="C89" s="11" t="s">
        <v>72</v>
      </c>
    </row>
    <row r="90" customFormat="false" ht="15" hidden="false" customHeight="true" outlineLevel="0" collapsed="false">
      <c r="C90" s="11" t="s">
        <v>74</v>
      </c>
    </row>
    <row r="91" customFormat="false" ht="15" hidden="false" customHeight="true" outlineLevel="0" collapsed="false">
      <c r="C91" s="11" t="s">
        <v>75</v>
      </c>
    </row>
    <row r="92" customFormat="false" ht="15" hidden="false" customHeight="true" outlineLevel="0" collapsed="false">
      <c r="C92" s="11" t="s">
        <v>76</v>
      </c>
    </row>
    <row r="93" customFormat="false" ht="15" hidden="false" customHeight="true" outlineLevel="0" collapsed="false">
      <c r="B93" s="16" t="s">
        <v>77</v>
      </c>
      <c r="C93" s="25" t="n">
        <v>0</v>
      </c>
      <c r="D93" s="10" t="s">
        <v>78</v>
      </c>
    </row>
    <row r="94" customFormat="false" ht="15" hidden="false" customHeight="true" outlineLevel="0" collapsed="false">
      <c r="B94" s="16" t="s">
        <v>79</v>
      </c>
      <c r="C94" s="26" t="n">
        <v>0</v>
      </c>
      <c r="D94" s="10" t="s">
        <v>80</v>
      </c>
    </row>
    <row r="95" customFormat="false" ht="15" hidden="false" customHeight="true" outlineLevel="0" collapsed="false">
      <c r="B95" s="16" t="s">
        <v>81</v>
      </c>
      <c r="C95" s="17" t="n">
        <v>0</v>
      </c>
      <c r="D95" s="10" t="s">
        <v>82</v>
      </c>
    </row>
    <row r="97" customFormat="false" ht="15" hidden="false" customHeight="true" outlineLevel="0" collapsed="false">
      <c r="B97" s="16" t="s">
        <v>83</v>
      </c>
      <c r="C97" s="18" t="n">
        <f aca="false">IF(C88="Purchase",C93,IF(C88="Lease",C64,0))</f>
        <v>302473000</v>
      </c>
    </row>
    <row r="98" customFormat="false" ht="15" hidden="false" customHeight="true" outlineLevel="0" collapsed="false">
      <c r="B98" s="16" t="s">
        <v>84</v>
      </c>
      <c r="C98" s="18" t="n">
        <f aca="false">IF(C88="Lease",C18,0)</f>
        <v>6000000</v>
      </c>
    </row>
    <row r="100" customFormat="false" ht="24" hidden="false" customHeight="true" outlineLevel="0" collapsed="false">
      <c r="A100" s="23" t="s">
        <v>85</v>
      </c>
      <c r="B100" s="23"/>
      <c r="C100" s="23"/>
      <c r="D100" s="23"/>
      <c r="E100" s="23"/>
    </row>
    <row r="101" customFormat="false" ht="15" hidden="false" customHeight="true" outlineLevel="0" collapsed="false">
      <c r="B101" s="16" t="s">
        <v>86</v>
      </c>
      <c r="C101" s="24" t="s">
        <v>87</v>
      </c>
      <c r="D101" s="10" t="s">
        <v>88</v>
      </c>
    </row>
    <row r="102" customFormat="false" ht="15" hidden="false" customHeight="true" outlineLevel="0" collapsed="false">
      <c r="B102" s="11" t="s">
        <v>29</v>
      </c>
      <c r="C102" s="11" t="s">
        <v>89</v>
      </c>
    </row>
    <row r="103" customFormat="false" ht="15" hidden="false" customHeight="true" outlineLevel="0" collapsed="false">
      <c r="C103" s="11" t="s">
        <v>90</v>
      </c>
    </row>
    <row r="104" customFormat="false" ht="15" hidden="false" customHeight="true" outlineLevel="0" collapsed="false">
      <c r="C104" s="11" t="s">
        <v>87</v>
      </c>
    </row>
    <row r="105" customFormat="false" ht="15" hidden="false" customHeight="true" outlineLevel="0" collapsed="false">
      <c r="C105" s="11" t="s">
        <v>91</v>
      </c>
    </row>
    <row r="106" customFormat="false" ht="24" hidden="false" customHeight="true" outlineLevel="0" collapsed="false">
      <c r="A106" s="23" t="s">
        <v>92</v>
      </c>
      <c r="B106" s="23"/>
      <c r="C106" s="23"/>
      <c r="D106" s="23"/>
      <c r="E106" s="23"/>
    </row>
    <row r="107" customFormat="false" ht="15" hidden="false" customHeight="true" outlineLevel="0" collapsed="false">
      <c r="B107" s="16" t="s">
        <v>93</v>
      </c>
      <c r="C107" s="24" t="s">
        <v>94</v>
      </c>
      <c r="D107" s="10" t="s">
        <v>95</v>
      </c>
    </row>
    <row r="108" customFormat="false" ht="15" hidden="false" customHeight="true" outlineLevel="0" collapsed="false">
      <c r="B108" s="11" t="s">
        <v>29</v>
      </c>
      <c r="C108" s="11" t="s">
        <v>94</v>
      </c>
    </row>
    <row r="109" customFormat="false" ht="15" hidden="false" customHeight="true" outlineLevel="0" collapsed="false">
      <c r="C109" s="11" t="s">
        <v>96</v>
      </c>
    </row>
    <row r="110" customFormat="false" ht="15" hidden="false" customHeight="true" outlineLevel="0" collapsed="false">
      <c r="C110" s="11" t="s">
        <v>97</v>
      </c>
    </row>
    <row r="111" customFormat="false" ht="15" hidden="false" customHeight="true" outlineLevel="0" collapsed="false">
      <c r="C111" s="11" t="s">
        <v>98</v>
      </c>
    </row>
    <row r="112" customFormat="false" ht="15" hidden="false" customHeight="true" outlineLevel="0" collapsed="false">
      <c r="C112" s="11" t="s">
        <v>99</v>
      </c>
    </row>
    <row r="113" customFormat="false" ht="15" hidden="false" customHeight="true" outlineLevel="0" collapsed="false">
      <c r="B113" s="16" t="s">
        <v>100</v>
      </c>
      <c r="C113" s="17" t="n">
        <v>2032</v>
      </c>
    </row>
    <row r="114" customFormat="false" ht="15" hidden="false" customHeight="true" outlineLevel="0" collapsed="false">
      <c r="B114" s="16" t="s">
        <v>101</v>
      </c>
      <c r="C114" s="27" t="n">
        <v>10</v>
      </c>
    </row>
    <row r="115" customFormat="false" ht="15" hidden="false" customHeight="true" outlineLevel="0" collapsed="false">
      <c r="B115" s="16" t="s">
        <v>102</v>
      </c>
      <c r="C115" s="26" t="n">
        <v>0.02</v>
      </c>
    </row>
    <row r="117" customFormat="false" ht="15" hidden="false" customHeight="true" outlineLevel="0" collapsed="false">
      <c r="A117" s="28" t="s">
        <v>103</v>
      </c>
    </row>
    <row r="118" customFormat="false" ht="15" hidden="false" customHeight="true" outlineLevel="0" collapsed="false">
      <c r="B118" s="29" t="s">
        <v>104</v>
      </c>
      <c r="C118" s="24" t="s">
        <v>105</v>
      </c>
      <c r="D118" s="30" t="s">
        <v>106</v>
      </c>
    </row>
    <row r="119" customFormat="false" ht="15" hidden="false" customHeight="true" outlineLevel="0" collapsed="false">
      <c r="B119" s="29" t="s">
        <v>29</v>
      </c>
      <c r="C119" s="31" t="s">
        <v>105</v>
      </c>
    </row>
    <row r="120" customFormat="false" ht="15" hidden="false" customHeight="true" outlineLevel="0" collapsed="false">
      <c r="C120" s="31" t="s">
        <v>107</v>
      </c>
    </row>
    <row r="122" customFormat="false" ht="15" hidden="false" customHeight="true" outlineLevel="0" collapsed="false">
      <c r="A122" s="28" t="s">
        <v>108</v>
      </c>
    </row>
    <row r="123" customFormat="false" ht="15" hidden="false" customHeight="true" outlineLevel="0" collapsed="false">
      <c r="B123" s="32" t="s">
        <v>109</v>
      </c>
    </row>
    <row r="125" customFormat="false" ht="15" hidden="false" customHeight="true" outlineLevel="0" collapsed="false">
      <c r="B125" s="33" t="s">
        <v>110</v>
      </c>
      <c r="C125" s="33" t="s">
        <v>45</v>
      </c>
      <c r="D125" s="33" t="s">
        <v>46</v>
      </c>
      <c r="E125" s="33" t="s">
        <v>47</v>
      </c>
      <c r="F125" s="33" t="s">
        <v>48</v>
      </c>
      <c r="G125" s="33" t="s">
        <v>49</v>
      </c>
      <c r="H125" s="33" t="s">
        <v>50</v>
      </c>
    </row>
    <row r="126" customFormat="false" ht="15" hidden="false" customHeight="true" outlineLevel="0" collapsed="false">
      <c r="B126" s="29" t="s">
        <v>111</v>
      </c>
      <c r="C126" s="26" t="n">
        <v>0.065</v>
      </c>
      <c r="D126" s="26" t="n">
        <v>0.065</v>
      </c>
      <c r="E126" s="26" t="n">
        <v>0.065</v>
      </c>
      <c r="F126" s="26" t="n">
        <v>0.065</v>
      </c>
      <c r="G126" s="26" t="n">
        <v>0.065</v>
      </c>
      <c r="H126" s="26" t="n">
        <v>0.065</v>
      </c>
    </row>
    <row r="127" customFormat="false" ht="15" hidden="false" customHeight="true" outlineLevel="0" collapsed="false">
      <c r="B127" s="29" t="s">
        <v>112</v>
      </c>
      <c r="C127" s="17" t="n">
        <v>7</v>
      </c>
      <c r="D127" s="17" t="n">
        <v>7</v>
      </c>
      <c r="E127" s="17" t="n">
        <v>7</v>
      </c>
      <c r="F127" s="17" t="n">
        <v>7</v>
      </c>
      <c r="G127" s="17" t="n">
        <v>7</v>
      </c>
      <c r="H127" s="17" t="n">
        <v>7</v>
      </c>
    </row>
    <row r="128" customFormat="false" ht="15" hidden="false" customHeight="true" outlineLevel="0" collapsed="false">
      <c r="B128" s="29" t="s">
        <v>113</v>
      </c>
      <c r="C128" s="17" t="n">
        <v>3</v>
      </c>
      <c r="D128" s="17" t="n">
        <v>3</v>
      </c>
      <c r="E128" s="17" t="n">
        <v>3</v>
      </c>
      <c r="F128" s="17" t="n">
        <v>3</v>
      </c>
      <c r="G128" s="17" t="n">
        <v>3</v>
      </c>
      <c r="H128" s="17" t="n">
        <v>3</v>
      </c>
    </row>
    <row r="129" customFormat="false" ht="15" hidden="false" customHeight="true" outlineLevel="0" collapsed="false">
      <c r="B129" s="29" t="s">
        <v>114</v>
      </c>
      <c r="C129" s="26" t="n">
        <v>0.005</v>
      </c>
      <c r="D129" s="26" t="n">
        <v>0.005</v>
      </c>
      <c r="E129" s="26" t="n">
        <v>0.005</v>
      </c>
      <c r="F129" s="26" t="n">
        <v>0.005</v>
      </c>
      <c r="G129" s="26" t="n">
        <v>0.005</v>
      </c>
      <c r="H129" s="26" t="n">
        <v>0.005</v>
      </c>
    </row>
    <row r="130" customFormat="false" ht="15" hidden="false" customHeight="true" outlineLevel="0" collapsed="false">
      <c r="B130" s="29" t="s">
        <v>115</v>
      </c>
      <c r="C130" s="26" t="n">
        <v>0.02</v>
      </c>
      <c r="D130" s="26" t="n">
        <v>0.02</v>
      </c>
      <c r="E130" s="26" t="n">
        <v>0.02</v>
      </c>
      <c r="F130" s="26" t="n">
        <v>0.02</v>
      </c>
      <c r="G130" s="26" t="n">
        <v>0.02</v>
      </c>
      <c r="H130" s="26" t="n">
        <v>0.02</v>
      </c>
    </row>
    <row r="131" customFormat="false" ht="15" hidden="false" customHeight="true" outlineLevel="0" collapsed="false">
      <c r="B131" s="29" t="s">
        <v>116</v>
      </c>
      <c r="C131" s="26" t="n">
        <v>0.009</v>
      </c>
      <c r="D131" s="26" t="n">
        <v>0.009</v>
      </c>
      <c r="E131" s="26" t="n">
        <v>0.009</v>
      </c>
      <c r="F131" s="26" t="n">
        <v>0.009</v>
      </c>
      <c r="G131" s="26" t="n">
        <v>0.009</v>
      </c>
      <c r="H131" s="26" t="n">
        <v>0.009</v>
      </c>
    </row>
    <row r="132" customFormat="false" ht="15" hidden="false" customHeight="true" outlineLevel="0" collapsed="false">
      <c r="B132" s="29" t="s">
        <v>117</v>
      </c>
      <c r="C132" s="34" t="n">
        <v>130000</v>
      </c>
      <c r="D132" s="34" t="n">
        <v>130000</v>
      </c>
      <c r="E132" s="34" t="n">
        <v>130000</v>
      </c>
      <c r="F132" s="34" t="n">
        <v>130000</v>
      </c>
      <c r="G132" s="34" t="n">
        <v>130000</v>
      </c>
      <c r="H132" s="34" t="n">
        <v>130000</v>
      </c>
    </row>
    <row r="133" customFormat="false" ht="15" hidden="false" customHeight="true" outlineLevel="0" collapsed="false">
      <c r="B133" s="29" t="s">
        <v>118</v>
      </c>
      <c r="C133" s="26" t="n">
        <v>0.12</v>
      </c>
      <c r="D133" s="26" t="n">
        <v>0.12</v>
      </c>
      <c r="E133" s="26" t="n">
        <v>0.12</v>
      </c>
      <c r="F133" s="26" t="n">
        <v>0.12</v>
      </c>
      <c r="G133" s="26" t="n">
        <v>0.12</v>
      </c>
      <c r="H133" s="26" t="n">
        <v>0.12</v>
      </c>
    </row>
    <row r="134" customFormat="false" ht="15" hidden="false" customHeight="true" outlineLevel="0" collapsed="false">
      <c r="B134" s="29" t="s">
        <v>119</v>
      </c>
      <c r="C134" s="26" t="n">
        <v>0.01</v>
      </c>
      <c r="D134" s="26" t="n">
        <v>0.01</v>
      </c>
      <c r="E134" s="26" t="n">
        <v>0.01</v>
      </c>
      <c r="F134" s="26" t="n">
        <v>0.01</v>
      </c>
      <c r="G134" s="26" t="n">
        <v>0.01</v>
      </c>
      <c r="H134" s="26" t="n">
        <v>0.01</v>
      </c>
    </row>
    <row r="135" customFormat="false" ht="15" hidden="false" customHeight="true" outlineLevel="0" collapsed="false">
      <c r="B135" s="29" t="s">
        <v>120</v>
      </c>
      <c r="C135" s="26" t="n">
        <v>0.15</v>
      </c>
      <c r="D135" s="26" t="n">
        <v>0.15</v>
      </c>
      <c r="E135" s="26" t="n">
        <v>0.15</v>
      </c>
      <c r="F135" s="26" t="n">
        <v>0.15</v>
      </c>
      <c r="G135" s="26" t="n">
        <v>0.15</v>
      </c>
      <c r="H135" s="26" t="n">
        <v>0.15</v>
      </c>
    </row>
    <row r="136" customFormat="false" ht="15" hidden="false" customHeight="true" outlineLevel="0" collapsed="false">
      <c r="B136" s="29" t="s">
        <v>121</v>
      </c>
      <c r="C136" s="24" t="s">
        <v>122</v>
      </c>
      <c r="D136" s="24" t="s">
        <v>122</v>
      </c>
      <c r="E136" s="24" t="s">
        <v>122</v>
      </c>
      <c r="F136" s="24" t="s">
        <v>122</v>
      </c>
      <c r="G136" s="24" t="s">
        <v>122</v>
      </c>
      <c r="H136" s="24" t="s">
        <v>122</v>
      </c>
    </row>
    <row r="137" customFormat="false" ht="15" hidden="false" customHeight="true" outlineLevel="0" collapsed="false">
      <c r="B137" s="29" t="s">
        <v>123</v>
      </c>
      <c r="C137" s="26" t="n">
        <v>0.3</v>
      </c>
      <c r="D137" s="26" t="n">
        <v>0.3</v>
      </c>
      <c r="E137" s="26" t="n">
        <v>0.3</v>
      </c>
      <c r="F137" s="26" t="n">
        <v>0.3</v>
      </c>
      <c r="G137" s="26" t="n">
        <v>0.3</v>
      </c>
      <c r="H137" s="26" t="n">
        <v>0.3</v>
      </c>
    </row>
    <row r="138" customFormat="false" ht="15" hidden="false" customHeight="true" outlineLevel="0" collapsed="false">
      <c r="B138" s="29" t="s">
        <v>100</v>
      </c>
      <c r="C138" s="17" t="n">
        <v>2033</v>
      </c>
      <c r="D138" s="17" t="n">
        <v>2034</v>
      </c>
      <c r="E138" s="17" t="n">
        <v>2035</v>
      </c>
      <c r="F138" s="17" t="n">
        <v>2036</v>
      </c>
      <c r="G138" s="17" t="n">
        <v>2039</v>
      </c>
      <c r="H138" s="17" t="n">
        <v>2039</v>
      </c>
    </row>
    <row r="139" customFormat="false" ht="15" hidden="false" customHeight="true" outlineLevel="0" collapsed="false">
      <c r="B139" s="29" t="s">
        <v>124</v>
      </c>
      <c r="C139" s="27" t="n">
        <v>10</v>
      </c>
      <c r="D139" s="27" t="n">
        <v>10</v>
      </c>
      <c r="E139" s="27" t="n">
        <v>10</v>
      </c>
      <c r="F139" s="27" t="n">
        <v>10</v>
      </c>
      <c r="G139" s="27" t="n">
        <v>10</v>
      </c>
      <c r="H139" s="27" t="n">
        <v>10</v>
      </c>
    </row>
    <row r="140" customFormat="false" ht="15" hidden="false" customHeight="true" outlineLevel="0" collapsed="false">
      <c r="B140" s="29" t="s">
        <v>102</v>
      </c>
      <c r="C140" s="26" t="n">
        <v>0.02</v>
      </c>
      <c r="D140" s="26" t="n">
        <v>0.02</v>
      </c>
      <c r="E140" s="26" t="n">
        <v>0.02</v>
      </c>
      <c r="F140" s="26" t="n">
        <v>0.02</v>
      </c>
      <c r="G140" s="26" t="n">
        <v>0.02</v>
      </c>
      <c r="H140" s="26" t="n">
        <v>0.02</v>
      </c>
    </row>
  </sheetData>
  <sheetProtection sheet="true" password="ce4b" sort="false" autoFilter="false"/>
  <mergeCells count="12">
    <mergeCell ref="A1:E1"/>
    <mergeCell ref="A4:E4"/>
    <mergeCell ref="A11:E11"/>
    <mergeCell ref="A17:E17"/>
    <mergeCell ref="A24:E24"/>
    <mergeCell ref="A28:E28"/>
    <mergeCell ref="A43:E43"/>
    <mergeCell ref="A62:E62"/>
    <mergeCell ref="A84:E84"/>
    <mergeCell ref="A87:E87"/>
    <mergeCell ref="A100:E100"/>
    <mergeCell ref="A106:E106"/>
  </mergeCells>
  <dataValidations count="11">
    <dataValidation allowBlank="false" error="Choose Unified or Per-Phase" errorStyle="stop" operator="between" showDropDown="false" showErrorMessage="false" showInputMessage="false" sqref="C118" type="list">
      <formula1>"Unified,Per-Phase"</formula1>
      <formula2>0</formula2>
    </dataValidation>
    <dataValidation allowBlank="false" errorStyle="stop" operator="between" showDropDown="false" showErrorMessage="false" showInputMessage="false" sqref="C29" type="list">
      <formula1>"Base Case,CAPEX +10%,Rent -10%,Delay +6 months,Escalation +0.5%,Escalation -0.5%"</formula1>
      <formula2>0</formula2>
    </dataValidation>
    <dataValidation allowBlank="false" errorStyle="stop" operator="between" showDropDown="false" showErrorMessage="false" showInputMessage="false" sqref="C88" type="list">
      <formula1>"Lease,Purchase,Partner,BOT"</formula1>
      <formula2>0</formula2>
    </dataValidation>
    <dataValidation allowBlank="false" errorStyle="stop" operator="between" showDropDown="false" showErrorMessage="false" showInputMessage="false" sqref="C101" type="list">
      <formula1>"Self,Bank,Fund,JV"</formula1>
      <formula2>0</formula2>
    </dataValidation>
    <dataValidation allowBlank="false" errorStyle="stop" operator="between" showDropDown="false" showErrorMessage="false" showInputMessage="false" sqref="C107" type="list">
      <formula1>"Sale,Hold,REIT,Refinance,Partial"</formula1>
      <formula2>0</formula2>
    </dataValidation>
    <dataValidation allowBlank="false" errorStyle="stop" operator="between" showDropDown="false" showErrorMessage="false" showInputMessage="false" sqref="C136" type="list">
      <formula1>"Y,N"</formula1>
      <formula2>0</formula2>
    </dataValidation>
    <dataValidation allowBlank="false" errorStyle="stop" operator="between" showDropDown="false" showErrorMessage="false" showInputMessage="false" sqref="D136" type="list">
      <formula1>"Y,N"</formula1>
      <formula2>0</formula2>
    </dataValidation>
    <dataValidation allowBlank="false" errorStyle="stop" operator="between" showDropDown="false" showErrorMessage="false" showInputMessage="false" sqref="E136" type="list">
      <formula1>"Y,N"</formula1>
      <formula2>0</formula2>
    </dataValidation>
    <dataValidation allowBlank="false" errorStyle="stop" operator="between" showDropDown="false" showErrorMessage="false" showInputMessage="false" sqref="F136" type="list">
      <formula1>"Y,N"</formula1>
      <formula2>0</formula2>
    </dataValidation>
    <dataValidation allowBlank="false" errorStyle="stop" operator="between" showDropDown="false" showErrorMessage="false" showInputMessage="false" sqref="G136" type="list">
      <formula1>"Y,N"</formula1>
      <formula2>0</formula2>
    </dataValidation>
    <dataValidation allowBlank="false" errorStyle="stop" operator="between" showDropDown="false" showErrorMessage="false" showInputMessage="false" sqref="H13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22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8" min="6" style="1" width="12"/>
    <col collapsed="false" customWidth="true" hidden="false" outlineLevel="0" max="9" min="9" style="1" width="10"/>
    <col collapsed="false" customWidth="true" hidden="false" outlineLevel="0" max="10" min="10" style="1" width="8"/>
    <col collapsed="false" customWidth="true" hidden="false" outlineLevel="0" max="11" min="11" style="1" width="12"/>
    <col collapsed="false" customWidth="true" hidden="false" outlineLevel="0" max="12" min="12" style="1" width="10"/>
    <col collapsed="false" customWidth="true" hidden="false" outlineLevel="0" max="13" min="13" style="1" width="12"/>
    <col collapsed="false" customWidth="true" hidden="false" outlineLevel="0" max="14" min="14" style="1" width="10"/>
    <col collapsed="false" customWidth="true" hidden="false" outlineLevel="0" max="16" min="15" style="1" width="8"/>
    <col collapsed="false" customWidth="true" hidden="false" outlineLevel="0" max="19" min="17" style="1" width="10"/>
    <col collapsed="false" customWidth="true" hidden="false" outlineLevel="0" max="20" min="20" style="1" width="14"/>
    <col collapsed="false" customWidth="true" hidden="false" outlineLevel="0" max="22" min="21" style="1" width="12"/>
    <col collapsed="false" customWidth="true" hidden="false" outlineLevel="0" max="23" min="23" style="1" width="14"/>
    <col collapsed="false" customWidth="true" hidden="false" outlineLevel="0" max="24" min="24" style="1" width="10"/>
  </cols>
  <sheetData>
    <row r="1" customFormat="false" ht="36" hidden="false" customHeight="true" outlineLevel="0" collapsed="false">
      <c r="A1" s="2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customFormat="false" ht="27.75" hidden="false" customHeight="true" outlineLevel="0" collapsed="false">
      <c r="A3" s="15" t="s">
        <v>126</v>
      </c>
      <c r="B3" s="15" t="s">
        <v>127</v>
      </c>
      <c r="C3" s="15" t="s">
        <v>128</v>
      </c>
      <c r="D3" s="15" t="s">
        <v>129</v>
      </c>
      <c r="E3" s="15" t="s">
        <v>130</v>
      </c>
      <c r="F3" s="15" t="s">
        <v>131</v>
      </c>
      <c r="G3" s="15" t="s">
        <v>132</v>
      </c>
      <c r="H3" s="15" t="s">
        <v>133</v>
      </c>
      <c r="I3" s="15" t="s">
        <v>134</v>
      </c>
      <c r="J3" s="15" t="s">
        <v>135</v>
      </c>
      <c r="K3" s="15" t="s">
        <v>136</v>
      </c>
      <c r="L3" s="15" t="s">
        <v>137</v>
      </c>
      <c r="M3" s="15" t="s">
        <v>138</v>
      </c>
      <c r="N3" s="15" t="s">
        <v>139</v>
      </c>
      <c r="O3" s="15" t="s">
        <v>140</v>
      </c>
      <c r="P3" s="15" t="s">
        <v>141</v>
      </c>
      <c r="Q3" s="15" t="s">
        <v>142</v>
      </c>
      <c r="R3" s="15" t="s">
        <v>143</v>
      </c>
      <c r="S3" s="15" t="s">
        <v>144</v>
      </c>
      <c r="T3" s="15" t="s">
        <v>145</v>
      </c>
      <c r="U3" s="15" t="s">
        <v>146</v>
      </c>
      <c r="V3" s="15" t="s">
        <v>147</v>
      </c>
      <c r="W3" s="15" t="s">
        <v>148</v>
      </c>
      <c r="X3" s="15" t="s">
        <v>149</v>
      </c>
    </row>
    <row r="4" customFormat="false" ht="15" hidden="false" customHeight="true" outlineLevel="0" collapsed="false">
      <c r="A4" s="35" t="s">
        <v>45</v>
      </c>
      <c r="B4" s="35" t="s">
        <v>150</v>
      </c>
      <c r="C4" s="24" t="s">
        <v>151</v>
      </c>
      <c r="D4" s="35" t="s">
        <v>152</v>
      </c>
      <c r="E4" s="35" t="s">
        <v>153</v>
      </c>
      <c r="F4" s="34" t="n">
        <v>5133</v>
      </c>
      <c r="G4" s="34" t="n">
        <v>2072</v>
      </c>
      <c r="H4" s="34" t="n">
        <v>16577</v>
      </c>
      <c r="I4" s="24" t="s">
        <v>154</v>
      </c>
      <c r="J4" s="26" t="n">
        <v>0</v>
      </c>
      <c r="K4" s="18" t="n">
        <f aca="false">H4*J4</f>
        <v>0</v>
      </c>
      <c r="L4" s="34" t="n">
        <v>0</v>
      </c>
      <c r="M4" s="36" t="n">
        <f aca="false">Operating_PL!C44</f>
        <v>13901056.6333333</v>
      </c>
      <c r="N4" s="19" t="n">
        <f aca="false">Inputs!C41</f>
        <v>0.0075</v>
      </c>
      <c r="O4" s="17" t="n">
        <v>4</v>
      </c>
      <c r="P4" s="26" t="n">
        <v>1</v>
      </c>
      <c r="Q4" s="34" t="n">
        <v>8000</v>
      </c>
      <c r="R4" s="37" t="n">
        <f aca="false">IFERROR(VLOOKUP(A4,Inputs!B45:C59,2,FALSE())+ROUND(Inputs!C39/12,0),0)</f>
        <v>2</v>
      </c>
      <c r="S4" s="17" t="n">
        <v>36</v>
      </c>
      <c r="T4" s="38" t="n">
        <f aca="false">H4*Q4*(1+Inputs!$C$25)*(1+Inputs!$C$26)*Inputs!$C$37</f>
        <v>153171480</v>
      </c>
      <c r="U4" s="39" t="n">
        <f aca="false">Inputs!$C$7+R4</f>
        <v>2028</v>
      </c>
      <c r="V4" s="39" t="n">
        <f aca="false">IF(S4=0,U4,U4+CEILING(S4/12,1))</f>
        <v>2031</v>
      </c>
      <c r="W4" s="40" t="n">
        <f aca="false">IF(I4="Lease",K4*L4,IF(I4="Operating",M4,0))</f>
        <v>13901056.6333333</v>
      </c>
      <c r="X4" s="41" t="n">
        <f aca="false">IF(I4="Lease",P4,1)</f>
        <v>1</v>
      </c>
    </row>
    <row r="5" customFormat="false" ht="15" hidden="false" customHeight="true" outlineLevel="0" collapsed="false">
      <c r="A5" s="35" t="s">
        <v>45</v>
      </c>
      <c r="B5" s="35" t="s">
        <v>155</v>
      </c>
      <c r="C5" s="24" t="s">
        <v>156</v>
      </c>
      <c r="D5" s="35" t="s">
        <v>157</v>
      </c>
      <c r="E5" s="35"/>
      <c r="F5" s="34" t="n">
        <v>6000</v>
      </c>
      <c r="G5" s="34" t="n">
        <v>6000</v>
      </c>
      <c r="H5" s="34" t="n">
        <v>6000</v>
      </c>
      <c r="I5" s="24" t="s">
        <v>72</v>
      </c>
      <c r="J5" s="26" t="n">
        <v>1</v>
      </c>
      <c r="K5" s="18" t="n">
        <f aca="false">H5*J5</f>
        <v>6000</v>
      </c>
      <c r="L5" s="34" t="n">
        <v>173</v>
      </c>
      <c r="M5" s="40" t="n">
        <f aca="false">IF(I5="Operating",0,0)</f>
        <v>0</v>
      </c>
      <c r="N5" s="19" t="n">
        <f aca="false">Inputs!C41</f>
        <v>0.0075</v>
      </c>
      <c r="O5" s="17" t="n">
        <v>3</v>
      </c>
      <c r="P5" s="26" t="n">
        <v>0.9</v>
      </c>
      <c r="Q5" s="34" t="n">
        <v>240</v>
      </c>
      <c r="R5" s="37" t="n">
        <f aca="false">IFERROR(VLOOKUP(A5,Inputs!B45:C59,2,FALSE())+ROUND(Inputs!C39/12,0),0)</f>
        <v>2</v>
      </c>
      <c r="S5" s="17" t="n">
        <v>6</v>
      </c>
      <c r="T5" s="38" t="n">
        <f aca="false">H5*Q5*(1+Inputs!$C$25)*(1+Inputs!$C$26)*Inputs!$C$37</f>
        <v>1663200</v>
      </c>
      <c r="U5" s="39" t="n">
        <f aca="false">Inputs!$C$7+R5</f>
        <v>2028</v>
      </c>
      <c r="V5" s="39" t="n">
        <f aca="false">IF(S5=0,U5,U5+CEILING(S5/12,1))</f>
        <v>2029</v>
      </c>
      <c r="W5" s="40" t="n">
        <f aca="false">IF(I5="Lease",K5*L5,IF(I5="Operating",M5,0))</f>
        <v>1038000</v>
      </c>
      <c r="X5" s="41" t="n">
        <f aca="false">IF(I5="Lease",P5,1)</f>
        <v>0.9</v>
      </c>
    </row>
    <row r="6" customFormat="false" ht="15" hidden="false" customHeight="true" outlineLevel="0" collapsed="false">
      <c r="A6" s="35" t="s">
        <v>45</v>
      </c>
      <c r="B6" s="35" t="s">
        <v>158</v>
      </c>
      <c r="C6" s="24" t="s">
        <v>159</v>
      </c>
      <c r="D6" s="35" t="s">
        <v>160</v>
      </c>
      <c r="E6" s="35" t="s">
        <v>161</v>
      </c>
      <c r="F6" s="35" t="n">
        <f aca="false">0</f>
        <v>0</v>
      </c>
      <c r="G6" s="34" t="n">
        <v>0</v>
      </c>
      <c r="H6" s="18" t="n">
        <f aca="false">(Inputs!C63-Program!G34)*Inputs!E45</f>
        <v>69513.9299079484</v>
      </c>
      <c r="I6" s="24" t="s">
        <v>72</v>
      </c>
      <c r="J6" s="26" t="n">
        <v>0</v>
      </c>
      <c r="K6" s="18" t="n">
        <f aca="false">H6*J6</f>
        <v>0</v>
      </c>
      <c r="L6" s="34" t="n">
        <v>0</v>
      </c>
      <c r="M6" s="40" t="n">
        <f aca="false">IF(I6="Operating",0,0)</f>
        <v>0</v>
      </c>
      <c r="N6" s="41" t="n">
        <f aca="false">0</f>
        <v>0</v>
      </c>
      <c r="O6" s="17" t="n">
        <v>0</v>
      </c>
      <c r="P6" s="26" t="n">
        <v>0</v>
      </c>
      <c r="Q6" s="34" t="n">
        <v>500</v>
      </c>
      <c r="R6" s="17" t="n">
        <v>4</v>
      </c>
      <c r="S6" s="17" t="n">
        <v>12</v>
      </c>
      <c r="T6" s="38" t="n">
        <f aca="false">H6*Q6*(1+Inputs!$C$25)*(1+Inputs!$C$26)*Inputs!$C$37</f>
        <v>40144294.5218402</v>
      </c>
      <c r="U6" s="39" t="n">
        <f aca="false">Inputs!$C$7+R6</f>
        <v>2030</v>
      </c>
      <c r="V6" s="39" t="n">
        <f aca="false">IF(S6=0,U6,U6+CEILING(S6/12,1))</f>
        <v>2031</v>
      </c>
      <c r="W6" s="40" t="n">
        <f aca="false">IF(I6="Lease",K6*L6,IF(I6="Operating",M6,0))</f>
        <v>0</v>
      </c>
      <c r="X6" s="41" t="n">
        <f aca="false">IF(I6="Lease",P6,1)</f>
        <v>0</v>
      </c>
    </row>
    <row r="7" customFormat="false" ht="15" hidden="false" customHeight="true" outlineLevel="0" collapsed="false">
      <c r="A7" s="35" t="s">
        <v>45</v>
      </c>
      <c r="B7" s="35" t="s">
        <v>155</v>
      </c>
      <c r="C7" s="24" t="s">
        <v>162</v>
      </c>
      <c r="D7" s="35" t="s">
        <v>163</v>
      </c>
      <c r="E7" s="35" t="s">
        <v>164</v>
      </c>
      <c r="F7" s="34" t="n">
        <v>6920</v>
      </c>
      <c r="G7" s="34" t="n">
        <v>3586</v>
      </c>
      <c r="H7" s="34" t="n">
        <v>3586</v>
      </c>
      <c r="I7" s="24" t="s">
        <v>72</v>
      </c>
      <c r="J7" s="26" t="n">
        <v>0.3</v>
      </c>
      <c r="K7" s="18" t="n">
        <f aca="false">H7*J7</f>
        <v>1075.8</v>
      </c>
      <c r="L7" s="34" t="n">
        <v>900</v>
      </c>
      <c r="M7" s="40" t="n">
        <f aca="false">IF(I7="Operating",0,0)</f>
        <v>0</v>
      </c>
      <c r="N7" s="19" t="n">
        <f aca="false">Inputs!C41</f>
        <v>0.0075</v>
      </c>
      <c r="O7" s="17" t="n">
        <v>3</v>
      </c>
      <c r="P7" s="26" t="n">
        <v>0.9</v>
      </c>
      <c r="Q7" s="34" t="n">
        <v>1500</v>
      </c>
      <c r="R7" s="37" t="n">
        <f aca="false">IFERROR(VLOOKUP(A7,Inputs!B45:C59,2,FALSE())+ROUND(Inputs!C39/12,0),0)</f>
        <v>2</v>
      </c>
      <c r="S7" s="17" t="n">
        <v>12</v>
      </c>
      <c r="T7" s="38" t="n">
        <f aca="false">H7*Q7*(1+Inputs!$C$25)*(1+Inputs!$C$26)*Inputs!$C$37</f>
        <v>6212745</v>
      </c>
      <c r="U7" s="39" t="n">
        <f aca="false">Inputs!$C$7+R7</f>
        <v>2028</v>
      </c>
      <c r="V7" s="39" t="n">
        <f aca="false">IF(S7=0,U7,U7+CEILING(S7/12,1))</f>
        <v>2029</v>
      </c>
      <c r="W7" s="40" t="n">
        <f aca="false">IF(I7="Lease",K7*L7,IF(I7="Operating",M7,0))</f>
        <v>968220</v>
      </c>
      <c r="X7" s="41" t="n">
        <f aca="false">IF(I7="Lease",P7,1)</f>
        <v>0.9</v>
      </c>
    </row>
    <row r="8" customFormat="false" ht="15" hidden="false" customHeight="true" outlineLevel="0" collapsed="false">
      <c r="A8" s="35" t="s">
        <v>45</v>
      </c>
      <c r="B8" s="35" t="s">
        <v>165</v>
      </c>
      <c r="C8" s="24" t="s">
        <v>166</v>
      </c>
      <c r="D8" s="35" t="s">
        <v>167</v>
      </c>
      <c r="E8" s="35" t="s">
        <v>168</v>
      </c>
      <c r="F8" s="34" t="n">
        <v>3000</v>
      </c>
      <c r="G8" s="34" t="n">
        <v>0</v>
      </c>
      <c r="H8" s="34" t="n">
        <v>2400</v>
      </c>
      <c r="I8" s="24" t="s">
        <v>154</v>
      </c>
      <c r="J8" s="26" t="n">
        <v>0</v>
      </c>
      <c r="K8" s="18" t="n">
        <f aca="false">H8*J8</f>
        <v>0</v>
      </c>
      <c r="L8" s="34" t="n">
        <v>0</v>
      </c>
      <c r="M8" s="36" t="n">
        <f aca="false">Operating_PL!C80</f>
        <v>1129330.63384615</v>
      </c>
      <c r="N8" s="19" t="n">
        <f aca="false">Inputs!C41</f>
        <v>0.0075</v>
      </c>
      <c r="O8" s="17" t="n">
        <v>4</v>
      </c>
      <c r="P8" s="26" t="n">
        <v>0.9</v>
      </c>
      <c r="Q8" s="34" t="n">
        <v>16000</v>
      </c>
      <c r="R8" s="17" t="n">
        <v>4</v>
      </c>
      <c r="S8" s="17" t="n">
        <v>12</v>
      </c>
      <c r="T8" s="38" t="n">
        <f aca="false">H8*Q8*(1+Inputs!$C$25)*(1+Inputs!$C$26)*Inputs!$C$37</f>
        <v>44352000</v>
      </c>
      <c r="U8" s="39" t="n">
        <f aca="false">Inputs!$C$7+R8</f>
        <v>2030</v>
      </c>
      <c r="V8" s="39" t="n">
        <f aca="false">IF(S8=0,U8,U8+CEILING(S8/12,1))</f>
        <v>2031</v>
      </c>
      <c r="W8" s="40" t="n">
        <f aca="false">IF(I8="Lease",K8*L8,IF(I8="Operating",M8,0))</f>
        <v>1129330.63384615</v>
      </c>
      <c r="X8" s="41" t="n">
        <f aca="false">IF(I8="Lease",P8,1)</f>
        <v>1</v>
      </c>
    </row>
    <row r="9" customFormat="false" ht="15" hidden="false" customHeight="true" outlineLevel="0" collapsed="false">
      <c r="A9" s="35" t="s">
        <v>45</v>
      </c>
      <c r="B9" s="35" t="s">
        <v>155</v>
      </c>
      <c r="C9" s="24" t="s">
        <v>169</v>
      </c>
      <c r="D9" s="35" t="s">
        <v>170</v>
      </c>
      <c r="E9" s="35" t="s">
        <v>171</v>
      </c>
      <c r="F9" s="34" t="n">
        <v>28947</v>
      </c>
      <c r="G9" s="34" t="n">
        <v>20840</v>
      </c>
      <c r="H9" s="34" t="n">
        <v>31260</v>
      </c>
      <c r="I9" s="24" t="s">
        <v>72</v>
      </c>
      <c r="J9" s="26" t="n">
        <v>0.8</v>
      </c>
      <c r="K9" s="18" t="n">
        <f aca="false">H9*J9</f>
        <v>25008</v>
      </c>
      <c r="L9" s="34" t="n">
        <v>2100</v>
      </c>
      <c r="M9" s="40" t="n">
        <f aca="false">IF(I9="Operating",0,0)</f>
        <v>0</v>
      </c>
      <c r="N9" s="19" t="n">
        <f aca="false">Inputs!C41</f>
        <v>0.0075</v>
      </c>
      <c r="O9" s="17" t="n">
        <v>3</v>
      </c>
      <c r="P9" s="26" t="n">
        <v>0.9</v>
      </c>
      <c r="Q9" s="34" t="n">
        <v>3900</v>
      </c>
      <c r="R9" s="37" t="n">
        <f aca="false">IFERROR(VLOOKUP(A9,Inputs!B45:C59,2,FALSE())+ROUND(Inputs!C39/12,0),0)</f>
        <v>2</v>
      </c>
      <c r="S9" s="17" t="n">
        <v>30</v>
      </c>
      <c r="T9" s="38" t="n">
        <f aca="false">H9*Q9*(1+Inputs!$C$25)*(1+Inputs!$C$26)*Inputs!$C$37</f>
        <v>140810670</v>
      </c>
      <c r="U9" s="39" t="n">
        <f aca="false">Inputs!$C$7+R9</f>
        <v>2028</v>
      </c>
      <c r="V9" s="39" t="n">
        <f aca="false">IF(S9=0,U9,U9+CEILING(S9/12,1))</f>
        <v>2031</v>
      </c>
      <c r="W9" s="40" t="n">
        <f aca="false">IF(I9="Lease",K9*L9,IF(I9="Operating",M9,0))</f>
        <v>52516800</v>
      </c>
      <c r="X9" s="41" t="n">
        <f aca="false">IF(I9="Lease",P9,1)</f>
        <v>0.9</v>
      </c>
    </row>
    <row r="10" customFormat="false" ht="15" hidden="false" customHeight="true" outlineLevel="0" collapsed="false">
      <c r="A10" s="35" t="s">
        <v>46</v>
      </c>
      <c r="B10" s="35" t="s">
        <v>155</v>
      </c>
      <c r="C10" s="24" t="s">
        <v>172</v>
      </c>
      <c r="D10" s="35" t="s">
        <v>173</v>
      </c>
      <c r="E10" s="35" t="s">
        <v>174</v>
      </c>
      <c r="F10" s="34" t="n">
        <v>4718</v>
      </c>
      <c r="G10" s="34" t="n">
        <v>4511</v>
      </c>
      <c r="H10" s="34" t="n">
        <v>8918</v>
      </c>
      <c r="I10" s="24" t="s">
        <v>72</v>
      </c>
      <c r="J10" s="26" t="n">
        <v>0.9</v>
      </c>
      <c r="K10" s="18" t="n">
        <f aca="false">H10*J10</f>
        <v>8026.2</v>
      </c>
      <c r="L10" s="34" t="n">
        <v>2000</v>
      </c>
      <c r="M10" s="40" t="n">
        <f aca="false">IF(I10="Operating",0,0)</f>
        <v>0</v>
      </c>
      <c r="N10" s="19" t="n">
        <f aca="false">Inputs!C41</f>
        <v>0.0075</v>
      </c>
      <c r="O10" s="17" t="n">
        <v>3</v>
      </c>
      <c r="P10" s="26" t="n">
        <v>0.9</v>
      </c>
      <c r="Q10" s="34" t="n">
        <v>3500</v>
      </c>
      <c r="R10" s="37" t="n">
        <f aca="false">IFERROR(VLOOKUP(A10,Inputs!B45:C59,2,FALSE())+ROUND(Inputs!C39/12,0),0)</f>
        <v>3</v>
      </c>
      <c r="S10" s="17" t="n">
        <v>24</v>
      </c>
      <c r="T10" s="38" t="n">
        <f aca="false">H10*Q10*(1+Inputs!$C$25)*(1+Inputs!$C$26)*Inputs!$C$37</f>
        <v>36051015</v>
      </c>
      <c r="U10" s="39" t="n">
        <f aca="false">Inputs!$C$7+R10</f>
        <v>2029</v>
      </c>
      <c r="V10" s="39" t="n">
        <f aca="false">IF(S10=0,U10,U10+CEILING(S10/12,1))</f>
        <v>2031</v>
      </c>
      <c r="W10" s="40" t="n">
        <f aca="false">IF(I10="Lease",K10*L10,IF(I10="Operating",M10,0))</f>
        <v>16052400</v>
      </c>
      <c r="X10" s="41" t="n">
        <f aca="false">IF(I10="Lease",P10,1)</f>
        <v>0.9</v>
      </c>
    </row>
    <row r="11" customFormat="false" ht="15" hidden="false" customHeight="true" outlineLevel="0" collapsed="false">
      <c r="A11" s="35" t="s">
        <v>46</v>
      </c>
      <c r="B11" s="35" t="s">
        <v>175</v>
      </c>
      <c r="C11" s="24" t="s">
        <v>176</v>
      </c>
      <c r="D11" s="35" t="s">
        <v>177</v>
      </c>
      <c r="E11" s="35" t="s">
        <v>178</v>
      </c>
      <c r="F11" s="34" t="n">
        <v>4781</v>
      </c>
      <c r="G11" s="34" t="n">
        <v>2367</v>
      </c>
      <c r="H11" s="34" t="n">
        <v>11168</v>
      </c>
      <c r="I11" s="24" t="s">
        <v>72</v>
      </c>
      <c r="J11" s="19" t="n">
        <f aca="false">Inputs!C13</f>
        <v>0.85</v>
      </c>
      <c r="K11" s="18" t="n">
        <f aca="false">H11*J11</f>
        <v>9492.8</v>
      </c>
      <c r="L11" s="34" t="n">
        <v>850</v>
      </c>
      <c r="M11" s="40" t="n">
        <f aca="false">IF(I11="Operating",0,0)</f>
        <v>0</v>
      </c>
      <c r="N11" s="19" t="n">
        <f aca="false">Inputs!C41</f>
        <v>0.0075</v>
      </c>
      <c r="O11" s="17" t="n">
        <v>3</v>
      </c>
      <c r="P11" s="26" t="n">
        <v>0.9</v>
      </c>
      <c r="Q11" s="34" t="n">
        <v>2600</v>
      </c>
      <c r="R11" s="37" t="n">
        <f aca="false">IFERROR(VLOOKUP(A11,Inputs!B45:C59,2,FALSE())+ROUND(Inputs!C39/12,0),0)</f>
        <v>3</v>
      </c>
      <c r="S11" s="17" t="n">
        <v>30</v>
      </c>
      <c r="T11" s="38" t="n">
        <f aca="false">H11*Q11*(1+Inputs!$C$25)*(1+Inputs!$C$26)*Inputs!$C$37</f>
        <v>33537504</v>
      </c>
      <c r="U11" s="39" t="n">
        <f aca="false">Inputs!$C$7+R11</f>
        <v>2029</v>
      </c>
      <c r="V11" s="39" t="n">
        <f aca="false">IF(S11=0,U11,U11+CEILING(S11/12,1))</f>
        <v>2032</v>
      </c>
      <c r="W11" s="40" t="n">
        <f aca="false">IF(I11="Lease",K11*L11,IF(I11="Operating",M11,0))</f>
        <v>8068880</v>
      </c>
      <c r="X11" s="41" t="n">
        <f aca="false">IF(I11="Lease",P11,1)</f>
        <v>0.9</v>
      </c>
    </row>
    <row r="12" customFormat="false" ht="15" hidden="false" customHeight="true" outlineLevel="0" collapsed="false">
      <c r="A12" s="35" t="s">
        <v>46</v>
      </c>
      <c r="B12" s="35" t="s">
        <v>150</v>
      </c>
      <c r="C12" s="24" t="s">
        <v>179</v>
      </c>
      <c r="D12" s="35" t="s">
        <v>179</v>
      </c>
      <c r="E12" s="35" t="s">
        <v>180</v>
      </c>
      <c r="F12" s="34" t="n">
        <v>33000</v>
      </c>
      <c r="G12" s="34" t="n">
        <v>15877</v>
      </c>
      <c r="H12" s="34" t="n">
        <v>16296</v>
      </c>
      <c r="I12" s="24" t="s">
        <v>154</v>
      </c>
      <c r="J12" s="26" t="n">
        <v>0</v>
      </c>
      <c r="K12" s="18" t="n">
        <f aca="false">H12*J12</f>
        <v>0</v>
      </c>
      <c r="L12" s="34" t="n">
        <v>0</v>
      </c>
      <c r="M12" s="36" t="n">
        <f aca="false">Operating_PL!D44</f>
        <v>19398142.859375</v>
      </c>
      <c r="N12" s="19" t="n">
        <f aca="false">Inputs!C41</f>
        <v>0.0075</v>
      </c>
      <c r="O12" s="17" t="n">
        <v>4</v>
      </c>
      <c r="P12" s="26" t="n">
        <v>0.9</v>
      </c>
      <c r="Q12" s="34" t="n">
        <v>10000</v>
      </c>
      <c r="R12" s="37" t="n">
        <f aca="false">IFERROR(VLOOKUP(A12,Inputs!B45:C59,2,FALSE())+ROUND(Inputs!C39/12,0),0)</f>
        <v>3</v>
      </c>
      <c r="S12" s="17" t="n">
        <v>42</v>
      </c>
      <c r="T12" s="38" t="n">
        <f aca="false">H12*Q12*(1+Inputs!$C$25)*(1+Inputs!$C$26)*Inputs!$C$37</f>
        <v>188218800</v>
      </c>
      <c r="U12" s="39" t="n">
        <f aca="false">Inputs!$C$7+R12</f>
        <v>2029</v>
      </c>
      <c r="V12" s="39" t="n">
        <f aca="false">IF(S12=0,U12,U12+CEILING(S12/12,1))</f>
        <v>2033</v>
      </c>
      <c r="W12" s="40" t="n">
        <f aca="false">IF(I12="Lease",K12*L12,IF(I12="Operating",M12,0))</f>
        <v>19398142.859375</v>
      </c>
      <c r="X12" s="41" t="n">
        <f aca="false">IF(I12="Lease",P12,1)</f>
        <v>1</v>
      </c>
    </row>
    <row r="13" customFormat="false" ht="15" hidden="false" customHeight="true" outlineLevel="0" collapsed="false">
      <c r="A13" s="35" t="s">
        <v>46</v>
      </c>
      <c r="B13" s="35" t="s">
        <v>155</v>
      </c>
      <c r="C13" s="24" t="s">
        <v>181</v>
      </c>
      <c r="D13" s="35" t="s">
        <v>182</v>
      </c>
      <c r="E13" s="35" t="s">
        <v>183</v>
      </c>
      <c r="F13" s="34" t="n">
        <v>2023</v>
      </c>
      <c r="G13" s="34" t="n">
        <v>2023</v>
      </c>
      <c r="H13" s="34" t="n">
        <v>4044</v>
      </c>
      <c r="I13" s="24" t="s">
        <v>72</v>
      </c>
      <c r="J13" s="26" t="n">
        <v>0.9</v>
      </c>
      <c r="K13" s="18" t="n">
        <f aca="false">H13*J13</f>
        <v>3639.6</v>
      </c>
      <c r="L13" s="34" t="n">
        <v>500</v>
      </c>
      <c r="M13" s="40" t="n">
        <f aca="false">IF(I13="Operating",0,0)</f>
        <v>0</v>
      </c>
      <c r="N13" s="19" t="n">
        <f aca="false">Inputs!C41</f>
        <v>0.0075</v>
      </c>
      <c r="O13" s="17" t="n">
        <v>2</v>
      </c>
      <c r="P13" s="26" t="n">
        <v>0.9</v>
      </c>
      <c r="Q13" s="34" t="n">
        <v>1500</v>
      </c>
      <c r="R13" s="37" t="n">
        <f aca="false">IFERROR(VLOOKUP(A13,Inputs!B45:C59,2,FALSE())+ROUND(Inputs!C39/12,0),0)</f>
        <v>3</v>
      </c>
      <c r="S13" s="17" t="n">
        <v>18</v>
      </c>
      <c r="T13" s="38" t="n">
        <f aca="false">H13*Q13*(1+Inputs!$C$25)*(1+Inputs!$C$26)*Inputs!$C$37</f>
        <v>7006230</v>
      </c>
      <c r="U13" s="39" t="n">
        <f aca="false">Inputs!$C$7+R13</f>
        <v>2029</v>
      </c>
      <c r="V13" s="39" t="n">
        <f aca="false">IF(S13=0,U13,U13+CEILING(S13/12,1))</f>
        <v>2031</v>
      </c>
      <c r="W13" s="40" t="n">
        <f aca="false">IF(I13="Lease",K13*L13,IF(I13="Operating",M13,0))</f>
        <v>1819800</v>
      </c>
      <c r="X13" s="41" t="n">
        <f aca="false">IF(I13="Lease",P13,1)</f>
        <v>0.9</v>
      </c>
    </row>
    <row r="14" customFormat="false" ht="15" hidden="false" customHeight="true" outlineLevel="0" collapsed="false">
      <c r="A14" s="35" t="s">
        <v>46</v>
      </c>
      <c r="B14" s="35" t="s">
        <v>155</v>
      </c>
      <c r="C14" s="24" t="s">
        <v>184</v>
      </c>
      <c r="D14" s="35" t="s">
        <v>185</v>
      </c>
      <c r="E14" s="35" t="s">
        <v>186</v>
      </c>
      <c r="F14" s="34" t="n">
        <v>7439</v>
      </c>
      <c r="G14" s="34" t="n">
        <v>1167</v>
      </c>
      <c r="H14" s="34" t="n">
        <v>1167</v>
      </c>
      <c r="I14" s="24" t="s">
        <v>72</v>
      </c>
      <c r="J14" s="26" t="n">
        <v>0.9</v>
      </c>
      <c r="K14" s="18" t="n">
        <f aca="false">H14*J14</f>
        <v>1050.3</v>
      </c>
      <c r="L14" s="34" t="n">
        <v>2000</v>
      </c>
      <c r="M14" s="40" t="n">
        <f aca="false">IF(I14="Operating",0,0)</f>
        <v>0</v>
      </c>
      <c r="N14" s="19" t="n">
        <f aca="false">Inputs!C41</f>
        <v>0.0075</v>
      </c>
      <c r="O14" s="17" t="n">
        <v>2</v>
      </c>
      <c r="P14" s="26" t="n">
        <v>0.9</v>
      </c>
      <c r="Q14" s="34" t="n">
        <v>3000</v>
      </c>
      <c r="R14" s="37" t="n">
        <f aca="false">IFERROR(VLOOKUP(A14,Inputs!B45:C59,2,FALSE())+ROUND(Inputs!C39/12,0),0)</f>
        <v>3</v>
      </c>
      <c r="S14" s="17" t="n">
        <v>18</v>
      </c>
      <c r="T14" s="38" t="n">
        <f aca="false">H14*Q14*(1+Inputs!$C$25)*(1+Inputs!$C$26)*Inputs!$C$37</f>
        <v>4043655</v>
      </c>
      <c r="U14" s="39" t="n">
        <f aca="false">Inputs!$C$7+R14</f>
        <v>2029</v>
      </c>
      <c r="V14" s="39" t="n">
        <f aca="false">IF(S14=0,U14,U14+CEILING(S14/12,1))</f>
        <v>2031</v>
      </c>
      <c r="W14" s="40" t="n">
        <f aca="false">IF(I14="Lease",K14*L14,IF(I14="Operating",M14,0))</f>
        <v>2100600</v>
      </c>
      <c r="X14" s="41" t="n">
        <f aca="false">IF(I14="Lease",P14,1)</f>
        <v>0.9</v>
      </c>
    </row>
    <row r="15" customFormat="false" ht="15" hidden="false" customHeight="true" outlineLevel="0" collapsed="false">
      <c r="A15" s="35" t="s">
        <v>46</v>
      </c>
      <c r="B15" s="35" t="s">
        <v>155</v>
      </c>
      <c r="C15" s="24" t="s">
        <v>187</v>
      </c>
      <c r="D15" s="35" t="s">
        <v>188</v>
      </c>
      <c r="E15" s="35" t="s">
        <v>189</v>
      </c>
      <c r="F15" s="34" t="n">
        <v>1567</v>
      </c>
      <c r="G15" s="34" t="n">
        <v>917</v>
      </c>
      <c r="H15" s="34" t="n">
        <v>3668</v>
      </c>
      <c r="I15" s="24" t="s">
        <v>72</v>
      </c>
      <c r="J15" s="26" t="n">
        <v>0.9</v>
      </c>
      <c r="K15" s="18" t="n">
        <f aca="false">H15*J15</f>
        <v>3301.2</v>
      </c>
      <c r="L15" s="34" t="n">
        <v>2000</v>
      </c>
      <c r="M15" s="40" t="n">
        <f aca="false">IF(I15="Operating",0,0)</f>
        <v>0</v>
      </c>
      <c r="N15" s="19" t="n">
        <f aca="false">Inputs!C41</f>
        <v>0.0075</v>
      </c>
      <c r="O15" s="17" t="n">
        <v>2</v>
      </c>
      <c r="P15" s="26" t="n">
        <v>0.9</v>
      </c>
      <c r="Q15" s="34" t="n">
        <v>3000</v>
      </c>
      <c r="R15" s="37" t="n">
        <f aca="false">IFERROR(VLOOKUP(A15,Inputs!B45:C59,2,FALSE())+ROUND(Inputs!C39/12,0),0)</f>
        <v>3</v>
      </c>
      <c r="S15" s="17" t="n">
        <v>18</v>
      </c>
      <c r="T15" s="38" t="n">
        <f aca="false">H15*Q15*(1+Inputs!$C$25)*(1+Inputs!$C$26)*Inputs!$C$37</f>
        <v>12709620</v>
      </c>
      <c r="U15" s="39" t="n">
        <f aca="false">Inputs!$C$7+R15</f>
        <v>2029</v>
      </c>
      <c r="V15" s="39" t="n">
        <f aca="false">IF(S15=0,U15,U15+CEILING(S15/12,1))</f>
        <v>2031</v>
      </c>
      <c r="W15" s="40" t="n">
        <f aca="false">IF(I15="Lease",K15*L15,IF(I15="Operating",M15,0))</f>
        <v>6602400</v>
      </c>
      <c r="X15" s="41" t="n">
        <f aca="false">IF(I15="Lease",P15,1)</f>
        <v>0.9</v>
      </c>
    </row>
    <row r="16" customFormat="false" ht="15" hidden="false" customHeight="true" outlineLevel="0" collapsed="false">
      <c r="A16" s="35" t="s">
        <v>46</v>
      </c>
      <c r="B16" s="35" t="s">
        <v>155</v>
      </c>
      <c r="C16" s="24" t="s">
        <v>184</v>
      </c>
      <c r="D16" s="35" t="s">
        <v>190</v>
      </c>
      <c r="E16" s="35" t="s">
        <v>186</v>
      </c>
      <c r="F16" s="34" t="n">
        <v>6990</v>
      </c>
      <c r="G16" s="34" t="n">
        <v>1167</v>
      </c>
      <c r="H16" s="34" t="n">
        <v>1167</v>
      </c>
      <c r="I16" s="24" t="s">
        <v>72</v>
      </c>
      <c r="J16" s="26" t="n">
        <v>0.9</v>
      </c>
      <c r="K16" s="18" t="n">
        <f aca="false">H16*J16</f>
        <v>1050.3</v>
      </c>
      <c r="L16" s="34" t="n">
        <v>2000</v>
      </c>
      <c r="M16" s="40" t="n">
        <f aca="false">IF(I16="Operating",0,0)</f>
        <v>0</v>
      </c>
      <c r="N16" s="19" t="n">
        <f aca="false">Inputs!C41</f>
        <v>0.0075</v>
      </c>
      <c r="O16" s="17" t="n">
        <v>2</v>
      </c>
      <c r="P16" s="26" t="n">
        <v>0.9</v>
      </c>
      <c r="Q16" s="34" t="n">
        <v>3000</v>
      </c>
      <c r="R16" s="37" t="n">
        <f aca="false">IFERROR(VLOOKUP(A16,Inputs!B45:C59,2,FALSE())+ROUND(Inputs!C39/12,0),0)</f>
        <v>3</v>
      </c>
      <c r="S16" s="17" t="n">
        <v>18</v>
      </c>
      <c r="T16" s="38" t="n">
        <f aca="false">H16*Q16*(1+Inputs!$C$25)*(1+Inputs!$C$26)*Inputs!$C$37</f>
        <v>4043655</v>
      </c>
      <c r="U16" s="39" t="n">
        <f aca="false">Inputs!$C$7+R16</f>
        <v>2029</v>
      </c>
      <c r="V16" s="39" t="n">
        <f aca="false">IF(S16=0,U16,U16+CEILING(S16/12,1))</f>
        <v>2031</v>
      </c>
      <c r="W16" s="40" t="n">
        <f aca="false">IF(I16="Lease",K16*L16,IF(I16="Operating",M16,0))</f>
        <v>2100600</v>
      </c>
      <c r="X16" s="41" t="n">
        <f aca="false">IF(I16="Lease",P16,1)</f>
        <v>0.9</v>
      </c>
    </row>
    <row r="17" customFormat="false" ht="15" hidden="false" customHeight="true" outlineLevel="0" collapsed="false">
      <c r="A17" s="35" t="s">
        <v>46</v>
      </c>
      <c r="B17" s="35" t="s">
        <v>158</v>
      </c>
      <c r="C17" s="24" t="s">
        <v>191</v>
      </c>
      <c r="D17" s="35" t="s">
        <v>160</v>
      </c>
      <c r="E17" s="35" t="s">
        <v>161</v>
      </c>
      <c r="F17" s="35" t="n">
        <f aca="false">0</f>
        <v>0</v>
      </c>
      <c r="G17" s="34" t="n">
        <v>0</v>
      </c>
      <c r="H17" s="18" t="n">
        <f aca="false">(Inputs!C63-Program!G34)*Inputs!E46</f>
        <v>79389.7934806297</v>
      </c>
      <c r="I17" s="24" t="s">
        <v>72</v>
      </c>
      <c r="J17" s="26" t="n">
        <v>0</v>
      </c>
      <c r="K17" s="18" t="n">
        <f aca="false">H17*J17</f>
        <v>0</v>
      </c>
      <c r="L17" s="34" t="n">
        <v>0</v>
      </c>
      <c r="M17" s="40" t="n">
        <f aca="false">IF(I17="Operating",0,0)</f>
        <v>0</v>
      </c>
      <c r="N17" s="41" t="n">
        <f aca="false">0</f>
        <v>0</v>
      </c>
      <c r="O17" s="17" t="n">
        <v>0</v>
      </c>
      <c r="P17" s="26" t="n">
        <v>0</v>
      </c>
      <c r="Q17" s="34" t="n">
        <v>500</v>
      </c>
      <c r="R17" s="17" t="n">
        <v>4</v>
      </c>
      <c r="S17" s="17" t="n">
        <v>12</v>
      </c>
      <c r="T17" s="38" t="n">
        <f aca="false">H17*Q17*(1+Inputs!$C$25)*(1+Inputs!$C$26)*Inputs!$C$37</f>
        <v>45847605.7350637</v>
      </c>
      <c r="U17" s="39" t="n">
        <f aca="false">Inputs!$C$7+R17</f>
        <v>2030</v>
      </c>
      <c r="V17" s="39" t="n">
        <f aca="false">IF(S17=0,U17,U17+CEILING(S17/12,1))</f>
        <v>2031</v>
      </c>
      <c r="W17" s="40" t="n">
        <f aca="false">IF(I17="Lease",K17*L17,IF(I17="Operating",M17,0))</f>
        <v>0</v>
      </c>
      <c r="X17" s="41" t="n">
        <f aca="false">IF(I17="Lease",P17,1)</f>
        <v>0</v>
      </c>
    </row>
    <row r="18" customFormat="false" ht="15" hidden="false" customHeight="true" outlineLevel="0" collapsed="false">
      <c r="A18" s="35" t="s">
        <v>46</v>
      </c>
      <c r="B18" s="35" t="s">
        <v>175</v>
      </c>
      <c r="C18" s="24" t="s">
        <v>192</v>
      </c>
      <c r="D18" s="35" t="s">
        <v>193</v>
      </c>
      <c r="E18" s="35" t="s">
        <v>175</v>
      </c>
      <c r="F18" s="34" t="n">
        <v>5497</v>
      </c>
      <c r="G18" s="34" t="n">
        <v>2710</v>
      </c>
      <c r="H18" s="34" t="n">
        <v>16429</v>
      </c>
      <c r="I18" s="24" t="s">
        <v>72</v>
      </c>
      <c r="J18" s="26" t="n">
        <v>0.9</v>
      </c>
      <c r="K18" s="18" t="n">
        <f aca="false">H18*J18</f>
        <v>14786.1</v>
      </c>
      <c r="L18" s="34" t="n">
        <v>900</v>
      </c>
      <c r="M18" s="40" t="n">
        <f aca="false">IF(I18="Operating",0,0)</f>
        <v>0</v>
      </c>
      <c r="N18" s="19" t="n">
        <f aca="false">Inputs!C41</f>
        <v>0.0075</v>
      </c>
      <c r="O18" s="17" t="n">
        <v>3</v>
      </c>
      <c r="P18" s="26" t="n">
        <v>0.9</v>
      </c>
      <c r="Q18" s="34" t="n">
        <v>2600</v>
      </c>
      <c r="R18" s="37" t="n">
        <f aca="false">IFERROR(VLOOKUP(A18,Inputs!B45:C59,2,FALSE())+ROUND(Inputs!C39/12,0),0)</f>
        <v>3</v>
      </c>
      <c r="S18" s="17" t="n">
        <v>30</v>
      </c>
      <c r="T18" s="38" t="n">
        <f aca="false">H18*Q18*(1+Inputs!$C$25)*(1+Inputs!$C$26)*Inputs!$C$37</f>
        <v>49336287</v>
      </c>
      <c r="U18" s="39" t="n">
        <f aca="false">Inputs!$C$7+R18</f>
        <v>2029</v>
      </c>
      <c r="V18" s="39" t="n">
        <f aca="false">IF(S18=0,U18,U18+CEILING(S18/12,1))</f>
        <v>2032</v>
      </c>
      <c r="W18" s="40" t="n">
        <f aca="false">IF(I18="Lease",K18*L18,IF(I18="Operating",M18,0))</f>
        <v>13307490</v>
      </c>
      <c r="X18" s="41" t="n">
        <f aca="false">IF(I18="Lease",P18,1)</f>
        <v>0.9</v>
      </c>
    </row>
    <row r="19" customFormat="false" ht="15" hidden="false" customHeight="true" outlineLevel="0" collapsed="false">
      <c r="A19" s="35" t="s">
        <v>46</v>
      </c>
      <c r="B19" s="35" t="s">
        <v>178</v>
      </c>
      <c r="C19" s="24" t="s">
        <v>194</v>
      </c>
      <c r="D19" s="35" t="s">
        <v>195</v>
      </c>
      <c r="E19" s="35" t="s">
        <v>178</v>
      </c>
      <c r="F19" s="34" t="n">
        <v>6664</v>
      </c>
      <c r="G19" s="34" t="n">
        <v>3066</v>
      </c>
      <c r="H19" s="34" t="n">
        <v>17153</v>
      </c>
      <c r="I19" s="24" t="s">
        <v>72</v>
      </c>
      <c r="J19" s="19" t="n">
        <f aca="false">Inputs!C13</f>
        <v>0.85</v>
      </c>
      <c r="K19" s="18" t="n">
        <f aca="false">H19*J19</f>
        <v>14580.05</v>
      </c>
      <c r="L19" s="34" t="n">
        <v>750</v>
      </c>
      <c r="M19" s="40" t="n">
        <f aca="false">IF(I19="Operating",0,0)</f>
        <v>0</v>
      </c>
      <c r="N19" s="19" t="n">
        <f aca="false">Inputs!C41</f>
        <v>0.0075</v>
      </c>
      <c r="O19" s="17" t="n">
        <v>3</v>
      </c>
      <c r="P19" s="26" t="n">
        <v>0.9</v>
      </c>
      <c r="Q19" s="34" t="n">
        <v>3000</v>
      </c>
      <c r="R19" s="37" t="n">
        <f aca="false">IFERROR(VLOOKUP(A19,Inputs!B45:C59,2,FALSE())+ROUND(Inputs!C39/12,0),0)</f>
        <v>3</v>
      </c>
      <c r="S19" s="17" t="n">
        <v>30</v>
      </c>
      <c r="T19" s="38" t="n">
        <f aca="false">H19*Q19*(1+Inputs!$C$25)*(1+Inputs!$C$26)*Inputs!$C$37</f>
        <v>59435145</v>
      </c>
      <c r="U19" s="39" t="n">
        <f aca="false">Inputs!$C$7+R19</f>
        <v>2029</v>
      </c>
      <c r="V19" s="39" t="n">
        <f aca="false">IF(S19=0,U19,U19+CEILING(S19/12,1))</f>
        <v>2032</v>
      </c>
      <c r="W19" s="40" t="n">
        <f aca="false">IF(I19="Lease",K19*L19,IF(I19="Operating",M19,0))</f>
        <v>10935037.5</v>
      </c>
      <c r="X19" s="41" t="n">
        <f aca="false">IF(I19="Lease",P19,1)</f>
        <v>0.9</v>
      </c>
    </row>
    <row r="20" customFormat="false" ht="15" hidden="false" customHeight="true" outlineLevel="0" collapsed="false">
      <c r="A20" s="35" t="s">
        <v>46</v>
      </c>
      <c r="B20" s="35" t="s">
        <v>178</v>
      </c>
      <c r="C20" s="24" t="s">
        <v>196</v>
      </c>
      <c r="D20" s="35" t="s">
        <v>197</v>
      </c>
      <c r="E20" s="35" t="s">
        <v>178</v>
      </c>
      <c r="F20" s="34" t="n">
        <v>7558</v>
      </c>
      <c r="G20" s="34" t="n">
        <v>3310</v>
      </c>
      <c r="H20" s="34" t="n">
        <v>19316</v>
      </c>
      <c r="I20" s="24" t="s">
        <v>72</v>
      </c>
      <c r="J20" s="19" t="n">
        <f aca="false">Inputs!C13</f>
        <v>0.85</v>
      </c>
      <c r="K20" s="18" t="n">
        <f aca="false">H20*J20</f>
        <v>16418.6</v>
      </c>
      <c r="L20" s="34" t="n">
        <v>800</v>
      </c>
      <c r="M20" s="40" t="n">
        <f aca="false">IF(I20="Operating",0,0)</f>
        <v>0</v>
      </c>
      <c r="N20" s="19" t="n">
        <f aca="false">Inputs!C41</f>
        <v>0.0075</v>
      </c>
      <c r="O20" s="17" t="n">
        <v>3</v>
      </c>
      <c r="P20" s="26" t="n">
        <v>0.9</v>
      </c>
      <c r="Q20" s="34" t="n">
        <v>2500</v>
      </c>
      <c r="R20" s="37" t="n">
        <f aca="false">IFERROR(VLOOKUP(A20,Inputs!B45:C59,2,FALSE())+ROUND(Inputs!C39/12,0),0)</f>
        <v>3</v>
      </c>
      <c r="S20" s="17" t="n">
        <v>30</v>
      </c>
      <c r="T20" s="38" t="n">
        <f aca="false">H20*Q20*(1+Inputs!$C$25)*(1+Inputs!$C$26)*Inputs!$C$37</f>
        <v>55774950</v>
      </c>
      <c r="U20" s="39" t="n">
        <f aca="false">Inputs!$C$7+R20</f>
        <v>2029</v>
      </c>
      <c r="V20" s="39" t="n">
        <f aca="false">IF(S20=0,U20,U20+CEILING(S20/12,1))</f>
        <v>2032</v>
      </c>
      <c r="W20" s="40" t="n">
        <f aca="false">IF(I20="Lease",K20*L20,IF(I20="Operating",M20,0))</f>
        <v>13134880</v>
      </c>
      <c r="X20" s="41" t="n">
        <f aca="false">IF(I20="Lease",P20,1)</f>
        <v>0.9</v>
      </c>
    </row>
    <row r="21" customFormat="false" ht="15" hidden="false" customHeight="true" outlineLevel="0" collapsed="false">
      <c r="A21" s="35" t="s">
        <v>47</v>
      </c>
      <c r="B21" s="35" t="s">
        <v>198</v>
      </c>
      <c r="C21" s="24" t="s">
        <v>196</v>
      </c>
      <c r="D21" s="35" t="s">
        <v>199</v>
      </c>
      <c r="E21" s="35" t="s">
        <v>178</v>
      </c>
      <c r="F21" s="34" t="n">
        <v>6031</v>
      </c>
      <c r="G21" s="34" t="n">
        <v>2867</v>
      </c>
      <c r="H21" s="34" t="n">
        <v>14453</v>
      </c>
      <c r="I21" s="24" t="s">
        <v>72</v>
      </c>
      <c r="J21" s="19" t="n">
        <f aca="false">Inputs!C13</f>
        <v>0.85</v>
      </c>
      <c r="K21" s="18" t="n">
        <f aca="false">H21*J21</f>
        <v>12285.05</v>
      </c>
      <c r="L21" s="34" t="n">
        <v>800</v>
      </c>
      <c r="M21" s="40" t="n">
        <f aca="false">IF(I21="Operating",0,0)</f>
        <v>0</v>
      </c>
      <c r="N21" s="19" t="n">
        <f aca="false">Inputs!C41</f>
        <v>0.0075</v>
      </c>
      <c r="O21" s="17" t="n">
        <v>3</v>
      </c>
      <c r="P21" s="26" t="n">
        <v>0.9</v>
      </c>
      <c r="Q21" s="34" t="n">
        <v>2500</v>
      </c>
      <c r="R21" s="37" t="n">
        <f aca="false">IFERROR(VLOOKUP(A21,Inputs!B45:C59,2,FALSE())+ROUND(Inputs!C39/12,0),0)</f>
        <v>4</v>
      </c>
      <c r="S21" s="17" t="n">
        <v>30</v>
      </c>
      <c r="T21" s="38" t="n">
        <f aca="false">H21*Q21*(1+Inputs!$C$25)*(1+Inputs!$C$26)*Inputs!$C$37</f>
        <v>41733037.5</v>
      </c>
      <c r="U21" s="39" t="n">
        <f aca="false">Inputs!$C$7+R21</f>
        <v>2030</v>
      </c>
      <c r="V21" s="39" t="n">
        <f aca="false">IF(S21=0,U21,U21+CEILING(S21/12,1))</f>
        <v>2033</v>
      </c>
      <c r="W21" s="40" t="n">
        <f aca="false">IF(I21="Lease",K21*L21,IF(I21="Operating",M21,0))</f>
        <v>9828040</v>
      </c>
      <c r="X21" s="41" t="n">
        <f aca="false">IF(I21="Lease",P21,1)</f>
        <v>0.9</v>
      </c>
    </row>
    <row r="22" customFormat="false" ht="15" hidden="false" customHeight="true" outlineLevel="0" collapsed="false">
      <c r="A22" s="35" t="s">
        <v>47</v>
      </c>
      <c r="B22" s="35" t="s">
        <v>200</v>
      </c>
      <c r="C22" s="24" t="s">
        <v>201</v>
      </c>
      <c r="D22" s="35" t="s">
        <v>202</v>
      </c>
      <c r="E22" s="35" t="s">
        <v>203</v>
      </c>
      <c r="F22" s="34" t="n">
        <v>5376</v>
      </c>
      <c r="G22" s="34" t="n">
        <v>1624</v>
      </c>
      <c r="H22" s="34" t="n">
        <v>3248</v>
      </c>
      <c r="I22" s="24" t="s">
        <v>72</v>
      </c>
      <c r="J22" s="26" t="n">
        <v>1</v>
      </c>
      <c r="K22" s="18" t="n">
        <f aca="false">H22*J22</f>
        <v>3248</v>
      </c>
      <c r="L22" s="34" t="n">
        <v>900</v>
      </c>
      <c r="M22" s="40" t="n">
        <f aca="false">IF(I22="Operating",0,0)</f>
        <v>0</v>
      </c>
      <c r="N22" s="19" t="n">
        <f aca="false">Inputs!C41</f>
        <v>0.0075</v>
      </c>
      <c r="O22" s="17" t="n">
        <v>3</v>
      </c>
      <c r="P22" s="26" t="n">
        <v>0.9</v>
      </c>
      <c r="Q22" s="34" t="n">
        <v>7500</v>
      </c>
      <c r="R22" s="37" t="n">
        <f aca="false">IFERROR(VLOOKUP(A22,Inputs!B45:C59,2,FALSE())+ROUND(Inputs!C39/12,0),0)</f>
        <v>4</v>
      </c>
      <c r="S22" s="17" t="n">
        <v>24</v>
      </c>
      <c r="T22" s="38" t="n">
        <f aca="false">H22*Q22*(1+Inputs!$C$25)*(1+Inputs!$C$26)*Inputs!$C$37</f>
        <v>28135800</v>
      </c>
      <c r="U22" s="39" t="n">
        <f aca="false">Inputs!$C$7+R22</f>
        <v>2030</v>
      </c>
      <c r="V22" s="39" t="n">
        <f aca="false">IF(S22=0,U22,U22+CEILING(S22/12,1))</f>
        <v>2032</v>
      </c>
      <c r="W22" s="40" t="n">
        <f aca="false">IF(I22="Lease",K22*L22,IF(I22="Operating",M22,0))</f>
        <v>2923200</v>
      </c>
      <c r="X22" s="41" t="n">
        <f aca="false">IF(I22="Lease",P22,1)</f>
        <v>0.9</v>
      </c>
    </row>
    <row r="23" customFormat="false" ht="15" hidden="false" customHeight="true" outlineLevel="0" collapsed="false">
      <c r="A23" s="35" t="s">
        <v>47</v>
      </c>
      <c r="B23" s="35" t="s">
        <v>204</v>
      </c>
      <c r="C23" s="24" t="s">
        <v>205</v>
      </c>
      <c r="D23" s="35" t="s">
        <v>206</v>
      </c>
      <c r="E23" s="35" t="s">
        <v>207</v>
      </c>
      <c r="F23" s="34" t="n">
        <v>16642</v>
      </c>
      <c r="G23" s="34" t="n">
        <v>0</v>
      </c>
      <c r="H23" s="18" t="n">
        <f aca="false">F23*0.01</f>
        <v>166.42</v>
      </c>
      <c r="I23" s="24" t="s">
        <v>72</v>
      </c>
      <c r="J23" s="26" t="n">
        <v>1</v>
      </c>
      <c r="K23" s="18" t="n">
        <f aca="false">H23*J23</f>
        <v>166.42</v>
      </c>
      <c r="L23" s="34" t="n">
        <v>15000</v>
      </c>
      <c r="M23" s="40" t="n">
        <f aca="false">IF(I23="Operating",0,0)</f>
        <v>0</v>
      </c>
      <c r="N23" s="19" t="n">
        <f aca="false">Inputs!C41</f>
        <v>0.0075</v>
      </c>
      <c r="O23" s="17" t="n">
        <v>1</v>
      </c>
      <c r="P23" s="26" t="n">
        <v>1</v>
      </c>
      <c r="Q23" s="34" t="n">
        <v>450</v>
      </c>
      <c r="R23" s="37" t="n">
        <f aca="false">IFERROR(VLOOKUP(A23,Inputs!B45:C59,2,FALSE())+ROUND(Inputs!C39/12,0),0)</f>
        <v>4</v>
      </c>
      <c r="S23" s="17" t="n">
        <v>12</v>
      </c>
      <c r="T23" s="38" t="n">
        <f aca="false">H23*Q23*(1+Inputs!$C$25)*(1+Inputs!$C$26)*Inputs!$C$37</f>
        <v>86496.795</v>
      </c>
      <c r="U23" s="39" t="n">
        <f aca="false">Inputs!$C$7+R23</f>
        <v>2030</v>
      </c>
      <c r="V23" s="39" t="n">
        <f aca="false">IF(S23=0,U23,U23+CEILING(S23/12,1))</f>
        <v>2031</v>
      </c>
      <c r="W23" s="40" t="n">
        <f aca="false">IF(I23="Lease",K23*L23,IF(I23="Operating",M23,0))</f>
        <v>2496300</v>
      </c>
      <c r="X23" s="41" t="n">
        <f aca="false">IF(I23="Lease",P23,1)</f>
        <v>1</v>
      </c>
    </row>
    <row r="24" customFormat="false" ht="15" hidden="false" customHeight="true" outlineLevel="0" collapsed="false">
      <c r="A24" s="35" t="s">
        <v>47</v>
      </c>
      <c r="B24" s="35" t="s">
        <v>155</v>
      </c>
      <c r="C24" s="24" t="s">
        <v>184</v>
      </c>
      <c r="D24" s="35" t="s">
        <v>208</v>
      </c>
      <c r="E24" s="35" t="s">
        <v>209</v>
      </c>
      <c r="F24" s="34" t="n">
        <v>7121</v>
      </c>
      <c r="G24" s="34" t="n">
        <v>1005</v>
      </c>
      <c r="H24" s="34" t="n">
        <v>1005</v>
      </c>
      <c r="I24" s="24" t="s">
        <v>72</v>
      </c>
      <c r="J24" s="26" t="n">
        <v>0.9</v>
      </c>
      <c r="K24" s="18" t="n">
        <f aca="false">H24*J24</f>
        <v>904.5</v>
      </c>
      <c r="L24" s="34" t="n">
        <v>2200</v>
      </c>
      <c r="M24" s="40" t="n">
        <f aca="false">IF(I24="Operating",0,0)</f>
        <v>0</v>
      </c>
      <c r="N24" s="19" t="n">
        <f aca="false">Inputs!C41</f>
        <v>0.0075</v>
      </c>
      <c r="O24" s="17" t="n">
        <v>2</v>
      </c>
      <c r="P24" s="26" t="n">
        <v>0.9</v>
      </c>
      <c r="Q24" s="34" t="n">
        <v>3000</v>
      </c>
      <c r="R24" s="37" t="n">
        <f aca="false">IFERROR(VLOOKUP(A24,Inputs!B45:C59,2,FALSE())+ROUND(Inputs!C39/12,0),0)</f>
        <v>4</v>
      </c>
      <c r="S24" s="17" t="n">
        <v>18</v>
      </c>
      <c r="T24" s="38" t="n">
        <f aca="false">H24*Q24*(1+Inputs!$C$25)*(1+Inputs!$C$26)*Inputs!$C$37</f>
        <v>3482325</v>
      </c>
      <c r="U24" s="39" t="n">
        <f aca="false">Inputs!$C$7+R24</f>
        <v>2030</v>
      </c>
      <c r="V24" s="39" t="n">
        <f aca="false">IF(S24=0,U24,U24+CEILING(S24/12,1))</f>
        <v>2032</v>
      </c>
      <c r="W24" s="40" t="n">
        <f aca="false">IF(I24="Lease",K24*L24,IF(I24="Operating",M24,0))</f>
        <v>1989900</v>
      </c>
      <c r="X24" s="41" t="n">
        <f aca="false">IF(I24="Lease",P24,1)</f>
        <v>0.9</v>
      </c>
    </row>
    <row r="25" customFormat="false" ht="15" hidden="false" customHeight="true" outlineLevel="0" collapsed="false">
      <c r="A25" s="35" t="s">
        <v>47</v>
      </c>
      <c r="B25" s="35" t="s">
        <v>155</v>
      </c>
      <c r="C25" s="24" t="s">
        <v>210</v>
      </c>
      <c r="D25" s="35" t="s">
        <v>211</v>
      </c>
      <c r="E25" s="35" t="s">
        <v>212</v>
      </c>
      <c r="F25" s="34" t="n">
        <v>616</v>
      </c>
      <c r="G25" s="34" t="n">
        <v>328</v>
      </c>
      <c r="H25" s="34" t="n">
        <v>314</v>
      </c>
      <c r="I25" s="24" t="s">
        <v>72</v>
      </c>
      <c r="J25" s="26" t="n">
        <v>0.9</v>
      </c>
      <c r="K25" s="18" t="n">
        <f aca="false">H25*J25</f>
        <v>282.6</v>
      </c>
      <c r="L25" s="34" t="n">
        <v>2000</v>
      </c>
      <c r="M25" s="40" t="n">
        <f aca="false">IF(I25="Operating",0,0)</f>
        <v>0</v>
      </c>
      <c r="N25" s="19" t="n">
        <f aca="false">Inputs!C41</f>
        <v>0.0075</v>
      </c>
      <c r="O25" s="17" t="n">
        <v>2</v>
      </c>
      <c r="P25" s="26" t="n">
        <v>0.9</v>
      </c>
      <c r="Q25" s="34" t="n">
        <v>2000</v>
      </c>
      <c r="R25" s="37" t="n">
        <f aca="false">IFERROR(VLOOKUP(A25,Inputs!B45:C59,2,FALSE())+ROUND(Inputs!C39/12,0),0)</f>
        <v>4</v>
      </c>
      <c r="S25" s="17" t="n">
        <v>18</v>
      </c>
      <c r="T25" s="38" t="n">
        <f aca="false">H25*Q25*(1+Inputs!$C$25)*(1+Inputs!$C$26)*Inputs!$C$37</f>
        <v>725340</v>
      </c>
      <c r="U25" s="39" t="n">
        <f aca="false">Inputs!$C$7+R25</f>
        <v>2030</v>
      </c>
      <c r="V25" s="39" t="n">
        <f aca="false">IF(S25=0,U25,U25+CEILING(S25/12,1))</f>
        <v>2032</v>
      </c>
      <c r="W25" s="40" t="n">
        <f aca="false">IF(I25="Lease",K25*L25,IF(I25="Operating",M25,0))</f>
        <v>565200</v>
      </c>
      <c r="X25" s="41" t="n">
        <f aca="false">IF(I25="Lease",P25,1)</f>
        <v>0.9</v>
      </c>
    </row>
    <row r="26" customFormat="false" ht="15" hidden="false" customHeight="true" outlineLevel="0" collapsed="false">
      <c r="A26" s="35" t="s">
        <v>47</v>
      </c>
      <c r="B26" s="35" t="s">
        <v>213</v>
      </c>
      <c r="C26" s="24" t="s">
        <v>214</v>
      </c>
      <c r="D26" s="35" t="s">
        <v>215</v>
      </c>
      <c r="E26" s="35" t="s">
        <v>216</v>
      </c>
      <c r="F26" s="34" t="n">
        <v>15371</v>
      </c>
      <c r="G26" s="34" t="n">
        <v>4251</v>
      </c>
      <c r="H26" s="34" t="n">
        <v>3791</v>
      </c>
      <c r="I26" s="24" t="s">
        <v>72</v>
      </c>
      <c r="J26" s="26" t="n">
        <v>0.9</v>
      </c>
      <c r="K26" s="18" t="n">
        <f aca="false">H26*J26</f>
        <v>3411.9</v>
      </c>
      <c r="L26" s="34" t="n">
        <v>2200</v>
      </c>
      <c r="M26" s="40" t="n">
        <f aca="false">IF(I26="Operating",0,0)</f>
        <v>0</v>
      </c>
      <c r="N26" s="19" t="n">
        <f aca="false">Inputs!C41</f>
        <v>0.0075</v>
      </c>
      <c r="O26" s="17" t="n">
        <v>2</v>
      </c>
      <c r="P26" s="26" t="n">
        <v>0.9</v>
      </c>
      <c r="Q26" s="34" t="n">
        <v>2000</v>
      </c>
      <c r="R26" s="37" t="n">
        <f aca="false">IFERROR(VLOOKUP(A26,Inputs!B45:C59,2,FALSE())+ROUND(Inputs!C39/12,0),0)</f>
        <v>4</v>
      </c>
      <c r="S26" s="17" t="n">
        <v>18</v>
      </c>
      <c r="T26" s="38" t="n">
        <f aca="false">H26*Q26*(1+Inputs!$C$25)*(1+Inputs!$C$26)*Inputs!$C$37</f>
        <v>8757210</v>
      </c>
      <c r="U26" s="39" t="n">
        <f aca="false">Inputs!$C$7+R26</f>
        <v>2030</v>
      </c>
      <c r="V26" s="39" t="n">
        <f aca="false">IF(S26=0,U26,U26+CEILING(S26/12,1))</f>
        <v>2032</v>
      </c>
      <c r="W26" s="40" t="n">
        <f aca="false">IF(I26="Lease",K26*L26,IF(I26="Operating",M26,0))</f>
        <v>7506180</v>
      </c>
      <c r="X26" s="41" t="n">
        <f aca="false">IF(I26="Lease",P26,1)</f>
        <v>0.9</v>
      </c>
    </row>
    <row r="27" customFormat="false" ht="15" hidden="false" customHeight="true" outlineLevel="0" collapsed="false">
      <c r="A27" s="35" t="s">
        <v>47</v>
      </c>
      <c r="B27" s="35" t="s">
        <v>178</v>
      </c>
      <c r="C27" s="24" t="s">
        <v>196</v>
      </c>
      <c r="D27" s="35" t="s">
        <v>217</v>
      </c>
      <c r="E27" s="35" t="s">
        <v>178</v>
      </c>
      <c r="F27" s="34" t="n">
        <v>6016</v>
      </c>
      <c r="G27" s="34" t="n">
        <v>4321</v>
      </c>
      <c r="H27" s="34" t="n">
        <v>25927</v>
      </c>
      <c r="I27" s="24" t="s">
        <v>72</v>
      </c>
      <c r="J27" s="19" t="n">
        <f aca="false">Inputs!C13</f>
        <v>0.85</v>
      </c>
      <c r="K27" s="18" t="n">
        <f aca="false">H27*J27</f>
        <v>22037.95</v>
      </c>
      <c r="L27" s="34" t="n">
        <v>800</v>
      </c>
      <c r="M27" s="40" t="n">
        <f aca="false">IF(I27="Operating",0,0)</f>
        <v>0</v>
      </c>
      <c r="N27" s="19" t="n">
        <f aca="false">Inputs!C41</f>
        <v>0.0075</v>
      </c>
      <c r="O27" s="17" t="n">
        <v>3</v>
      </c>
      <c r="P27" s="26" t="n">
        <v>0.9</v>
      </c>
      <c r="Q27" s="34" t="n">
        <v>2800</v>
      </c>
      <c r="R27" s="37" t="n">
        <f aca="false">IFERROR(VLOOKUP(A27,Inputs!B45:C59,2,FALSE())+ROUND(Inputs!C39/12,0),0)</f>
        <v>4</v>
      </c>
      <c r="S27" s="17" t="n">
        <v>30</v>
      </c>
      <c r="T27" s="38" t="n">
        <f aca="false">H27*Q27*(1+Inputs!$C$25)*(1+Inputs!$C$26)*Inputs!$C$37</f>
        <v>83847918</v>
      </c>
      <c r="U27" s="39" t="n">
        <f aca="false">Inputs!$C$7+R27</f>
        <v>2030</v>
      </c>
      <c r="V27" s="39" t="n">
        <f aca="false">IF(S27=0,U27,U27+CEILING(S27/12,1))</f>
        <v>2033</v>
      </c>
      <c r="W27" s="40" t="n">
        <f aca="false">IF(I27="Lease",K27*L27,IF(I27="Operating",M27,0))</f>
        <v>17630360</v>
      </c>
      <c r="X27" s="41" t="n">
        <f aca="false">IF(I27="Lease",P27,1)</f>
        <v>0.9</v>
      </c>
    </row>
    <row r="28" customFormat="false" ht="15" hidden="false" customHeight="true" outlineLevel="0" collapsed="false">
      <c r="A28" s="35" t="s">
        <v>47</v>
      </c>
      <c r="B28" s="35" t="s">
        <v>155</v>
      </c>
      <c r="C28" s="24" t="s">
        <v>184</v>
      </c>
      <c r="D28" s="35" t="s">
        <v>218</v>
      </c>
      <c r="E28" s="35" t="s">
        <v>209</v>
      </c>
      <c r="F28" s="34" t="n">
        <v>11401</v>
      </c>
      <c r="G28" s="34" t="n">
        <v>1310</v>
      </c>
      <c r="H28" s="34" t="n">
        <v>1310</v>
      </c>
      <c r="I28" s="24" t="s">
        <v>72</v>
      </c>
      <c r="J28" s="26" t="n">
        <v>0.9</v>
      </c>
      <c r="K28" s="18" t="n">
        <f aca="false">H28*J28</f>
        <v>1179</v>
      </c>
      <c r="L28" s="34" t="n">
        <v>2000</v>
      </c>
      <c r="M28" s="40" t="n">
        <f aca="false">IF(I28="Operating",0,0)</f>
        <v>0</v>
      </c>
      <c r="N28" s="19" t="n">
        <f aca="false">Inputs!C41</f>
        <v>0.0075</v>
      </c>
      <c r="O28" s="17" t="n">
        <v>2</v>
      </c>
      <c r="P28" s="26" t="n">
        <v>0.9</v>
      </c>
      <c r="Q28" s="34" t="n">
        <v>3000</v>
      </c>
      <c r="R28" s="37" t="n">
        <f aca="false">IFERROR(VLOOKUP(A28,Inputs!B45:C59,2,FALSE())+ROUND(Inputs!C39/12,0),0)</f>
        <v>4</v>
      </c>
      <c r="S28" s="17" t="n">
        <v>18</v>
      </c>
      <c r="T28" s="38" t="n">
        <f aca="false">H28*Q28*(1+Inputs!$C$25)*(1+Inputs!$C$26)*Inputs!$C$37</f>
        <v>4539150</v>
      </c>
      <c r="U28" s="39" t="n">
        <f aca="false">Inputs!$C$7+R28</f>
        <v>2030</v>
      </c>
      <c r="V28" s="39" t="n">
        <f aca="false">IF(S28=0,U28,U28+CEILING(S28/12,1))</f>
        <v>2032</v>
      </c>
      <c r="W28" s="40" t="n">
        <f aca="false">IF(I28="Lease",K28*L28,IF(I28="Operating",M28,0))</f>
        <v>2358000</v>
      </c>
      <c r="X28" s="41" t="n">
        <f aca="false">IF(I28="Lease",P28,1)</f>
        <v>0.9</v>
      </c>
    </row>
    <row r="29" customFormat="false" ht="15" hidden="false" customHeight="true" outlineLevel="0" collapsed="false">
      <c r="A29" s="35" t="s">
        <v>47</v>
      </c>
      <c r="B29" s="35" t="s">
        <v>155</v>
      </c>
      <c r="C29" s="24" t="s">
        <v>210</v>
      </c>
      <c r="D29" s="35" t="s">
        <v>219</v>
      </c>
      <c r="E29" s="35" t="s">
        <v>212</v>
      </c>
      <c r="F29" s="34" t="n">
        <v>619</v>
      </c>
      <c r="G29" s="34" t="n">
        <v>362</v>
      </c>
      <c r="H29" s="34" t="n">
        <v>347</v>
      </c>
      <c r="I29" s="24" t="s">
        <v>72</v>
      </c>
      <c r="J29" s="26" t="n">
        <v>0.9</v>
      </c>
      <c r="K29" s="18" t="n">
        <f aca="false">H29*J29</f>
        <v>312.3</v>
      </c>
      <c r="L29" s="34" t="n">
        <v>2000</v>
      </c>
      <c r="M29" s="40" t="n">
        <f aca="false">IF(I29="Operating",0,0)</f>
        <v>0</v>
      </c>
      <c r="N29" s="19" t="n">
        <f aca="false">Inputs!C41</f>
        <v>0.0075</v>
      </c>
      <c r="O29" s="17" t="n">
        <v>2</v>
      </c>
      <c r="P29" s="26" t="n">
        <v>0.9</v>
      </c>
      <c r="Q29" s="34" t="n">
        <v>2000</v>
      </c>
      <c r="R29" s="37" t="n">
        <f aca="false">IFERROR(VLOOKUP(A29,Inputs!B45:C59,2,FALSE())+ROUND(Inputs!C39/12,0),0)</f>
        <v>4</v>
      </c>
      <c r="S29" s="17" t="n">
        <v>18</v>
      </c>
      <c r="T29" s="38" t="n">
        <f aca="false">H29*Q29*(1+Inputs!$C$25)*(1+Inputs!$C$26)*Inputs!$C$37</f>
        <v>801570</v>
      </c>
      <c r="U29" s="39" t="n">
        <f aca="false">Inputs!$C$7+R29</f>
        <v>2030</v>
      </c>
      <c r="V29" s="39" t="n">
        <f aca="false">IF(S29=0,U29,U29+CEILING(S29/12,1))</f>
        <v>2032</v>
      </c>
      <c r="W29" s="40" t="n">
        <f aca="false">IF(I29="Lease",K29*L29,IF(I29="Operating",M29,0))</f>
        <v>624600</v>
      </c>
      <c r="X29" s="41" t="n">
        <f aca="false">IF(I29="Lease",P29,1)</f>
        <v>0.9</v>
      </c>
    </row>
    <row r="30" customFormat="false" ht="15" hidden="false" customHeight="true" outlineLevel="0" collapsed="false">
      <c r="A30" s="35" t="s">
        <v>47</v>
      </c>
      <c r="B30" s="35" t="s">
        <v>198</v>
      </c>
      <c r="C30" s="24" t="s">
        <v>220</v>
      </c>
      <c r="D30" s="35" t="s">
        <v>221</v>
      </c>
      <c r="E30" s="35" t="s">
        <v>178</v>
      </c>
      <c r="F30" s="34" t="n">
        <v>7411</v>
      </c>
      <c r="G30" s="34" t="n">
        <v>7430</v>
      </c>
      <c r="H30" s="34" t="n">
        <v>44218</v>
      </c>
      <c r="I30" s="24" t="s">
        <v>72</v>
      </c>
      <c r="J30" s="19" t="n">
        <f aca="false">Inputs!C13</f>
        <v>0.85</v>
      </c>
      <c r="K30" s="18" t="n">
        <f aca="false">H30*J30</f>
        <v>37585.3</v>
      </c>
      <c r="L30" s="34" t="n">
        <v>1200</v>
      </c>
      <c r="M30" s="40" t="n">
        <f aca="false">IF(I30="Operating",0,0)</f>
        <v>0</v>
      </c>
      <c r="N30" s="19" t="n">
        <f aca="false">Inputs!C41</f>
        <v>0.0075</v>
      </c>
      <c r="O30" s="17" t="n">
        <v>3</v>
      </c>
      <c r="P30" s="26" t="n">
        <v>0.9</v>
      </c>
      <c r="Q30" s="34" t="n">
        <v>4500</v>
      </c>
      <c r="R30" s="37" t="n">
        <f aca="false">IFERROR(VLOOKUP(A30,Inputs!B45:C59,2,FALSE())+ROUND(Inputs!C39/12,0),0)</f>
        <v>4</v>
      </c>
      <c r="S30" s="17" t="n">
        <v>30</v>
      </c>
      <c r="T30" s="38" t="n">
        <f aca="false">H30*Q30*(1+Inputs!$C$25)*(1+Inputs!$C$26)*Inputs!$C$37</f>
        <v>229823055</v>
      </c>
      <c r="U30" s="39" t="n">
        <f aca="false">Inputs!$C$7+R30</f>
        <v>2030</v>
      </c>
      <c r="V30" s="39" t="n">
        <f aca="false">IF(S30=0,U30,U30+CEILING(S30/12,1))</f>
        <v>2033</v>
      </c>
      <c r="W30" s="40" t="n">
        <f aca="false">IF(I30="Lease",K30*L30,IF(I30="Operating",M30,0))</f>
        <v>45102360</v>
      </c>
      <c r="X30" s="41" t="n">
        <f aca="false">IF(I30="Lease",P30,1)</f>
        <v>0.9</v>
      </c>
    </row>
    <row r="31" customFormat="false" ht="15" hidden="false" customHeight="true" outlineLevel="0" collapsed="false">
      <c r="A31" s="35" t="s">
        <v>47</v>
      </c>
      <c r="B31" s="35" t="s">
        <v>155</v>
      </c>
      <c r="C31" s="24" t="s">
        <v>196</v>
      </c>
      <c r="D31" s="35" t="s">
        <v>222</v>
      </c>
      <c r="E31" s="35" t="s">
        <v>223</v>
      </c>
      <c r="F31" s="34" t="n">
        <v>3806</v>
      </c>
      <c r="G31" s="34" t="n">
        <v>1774</v>
      </c>
      <c r="H31" s="18" t="n">
        <f aca="false">G31*2.5</f>
        <v>4435</v>
      </c>
      <c r="I31" s="24" t="s">
        <v>72</v>
      </c>
      <c r="J31" s="19" t="n">
        <f aca="false">Inputs!C13</f>
        <v>0.85</v>
      </c>
      <c r="K31" s="18" t="n">
        <f aca="false">H31*J31</f>
        <v>3769.75</v>
      </c>
      <c r="L31" s="34" t="n">
        <v>800</v>
      </c>
      <c r="M31" s="40" t="n">
        <f aca="false">IF(I31="Operating",0,0)</f>
        <v>0</v>
      </c>
      <c r="N31" s="19" t="n">
        <f aca="false">Inputs!C41</f>
        <v>0.0075</v>
      </c>
      <c r="O31" s="17" t="n">
        <v>3</v>
      </c>
      <c r="P31" s="26" t="n">
        <v>0.9</v>
      </c>
      <c r="Q31" s="34" t="n">
        <v>2500</v>
      </c>
      <c r="R31" s="37" t="n">
        <f aca="false">IFERROR(VLOOKUP(A31,Inputs!B45:C59,2,FALSE())+ROUND(Inputs!C39/12,0),0)</f>
        <v>4</v>
      </c>
      <c r="S31" s="17" t="n">
        <v>30</v>
      </c>
      <c r="T31" s="38" t="n">
        <f aca="false">H31*Q31*(1+Inputs!$C$25)*(1+Inputs!$C$26)*Inputs!$C$37</f>
        <v>12806062.5</v>
      </c>
      <c r="U31" s="39" t="n">
        <f aca="false">Inputs!$C$7+R31</f>
        <v>2030</v>
      </c>
      <c r="V31" s="39" t="n">
        <f aca="false">IF(S31=0,U31,U31+CEILING(S31/12,1))</f>
        <v>2033</v>
      </c>
      <c r="W31" s="40" t="n">
        <f aca="false">IF(I31="Lease",K31*L31,IF(I31="Operating",M31,0))</f>
        <v>3015800</v>
      </c>
      <c r="X31" s="41" t="n">
        <f aca="false">IF(I31="Lease",P31,1)</f>
        <v>0.9</v>
      </c>
    </row>
    <row r="32" customFormat="false" ht="15" hidden="false" customHeight="true" outlineLevel="0" collapsed="false">
      <c r="A32" s="35" t="s">
        <v>47</v>
      </c>
      <c r="B32" s="35" t="s">
        <v>165</v>
      </c>
      <c r="C32" s="24" t="s">
        <v>224</v>
      </c>
      <c r="D32" s="35" t="s">
        <v>224</v>
      </c>
      <c r="E32" s="35" t="s">
        <v>225</v>
      </c>
      <c r="F32" s="34" t="n">
        <v>3186</v>
      </c>
      <c r="G32" s="34" t="n">
        <v>1474</v>
      </c>
      <c r="H32" s="34" t="n">
        <v>2400</v>
      </c>
      <c r="I32" s="24" t="s">
        <v>72</v>
      </c>
      <c r="J32" s="26" t="n">
        <v>0.85</v>
      </c>
      <c r="K32" s="18" t="n">
        <f aca="false">H32*J32</f>
        <v>2040</v>
      </c>
      <c r="L32" s="34" t="n">
        <v>950</v>
      </c>
      <c r="M32" s="40" t="n">
        <f aca="false">IF(I32="Operating",0,0)</f>
        <v>0</v>
      </c>
      <c r="N32" s="19" t="n">
        <f aca="false">Inputs!C41</f>
        <v>0.0075</v>
      </c>
      <c r="O32" s="17" t="n">
        <v>3</v>
      </c>
      <c r="P32" s="26" t="n">
        <v>0.9</v>
      </c>
      <c r="Q32" s="34" t="n">
        <v>6500</v>
      </c>
      <c r="R32" s="37" t="n">
        <f aca="false">IFERROR(VLOOKUP(A32,Inputs!B45:C59,2,FALSE())+ROUND(Inputs!C39/12,0),0)</f>
        <v>4</v>
      </c>
      <c r="S32" s="17" t="n">
        <v>30</v>
      </c>
      <c r="T32" s="38" t="n">
        <f aca="false">H32*Q32*(1+Inputs!$C$25)*(1+Inputs!$C$26)*Inputs!$C$37</f>
        <v>18018000</v>
      </c>
      <c r="U32" s="39" t="n">
        <f aca="false">Inputs!$C$7+R32</f>
        <v>2030</v>
      </c>
      <c r="V32" s="39" t="n">
        <f aca="false">IF(S32=0,U32,U32+CEILING(S32/12,1))</f>
        <v>2033</v>
      </c>
      <c r="W32" s="40" t="n">
        <f aca="false">IF(I32="Lease",K32*L32,IF(I32="Operating",M32,0))</f>
        <v>1938000</v>
      </c>
      <c r="X32" s="41" t="n">
        <f aca="false">IF(I32="Lease",P32,1)</f>
        <v>0.9</v>
      </c>
    </row>
    <row r="33" customFormat="false" ht="15" hidden="false" customHeight="true" outlineLevel="0" collapsed="false">
      <c r="A33" s="35" t="s">
        <v>47</v>
      </c>
      <c r="B33" s="35" t="s">
        <v>158</v>
      </c>
      <c r="C33" s="24" t="s">
        <v>226</v>
      </c>
      <c r="D33" s="35" t="s">
        <v>160</v>
      </c>
      <c r="E33" s="35" t="s">
        <v>161</v>
      </c>
      <c r="F33" s="35" t="n">
        <f aca="false">0</f>
        <v>0</v>
      </c>
      <c r="G33" s="34" t="n">
        <v>0</v>
      </c>
      <c r="H33" s="18" t="n">
        <f aca="false">(Inputs!C63-Program!G34)*Inputs!E47</f>
        <v>57210.2766114219</v>
      </c>
      <c r="I33" s="24" t="s">
        <v>72</v>
      </c>
      <c r="J33" s="26" t="n">
        <v>0</v>
      </c>
      <c r="K33" s="18" t="n">
        <f aca="false">H33*J33</f>
        <v>0</v>
      </c>
      <c r="L33" s="34" t="n">
        <v>0</v>
      </c>
      <c r="M33" s="40" t="n">
        <f aca="false">IF(I33="Operating",0,0)</f>
        <v>0</v>
      </c>
      <c r="N33" s="41" t="n">
        <f aca="false">0</f>
        <v>0</v>
      </c>
      <c r="O33" s="17" t="n">
        <v>0</v>
      </c>
      <c r="P33" s="26" t="n">
        <v>0</v>
      </c>
      <c r="Q33" s="34" t="n">
        <v>500</v>
      </c>
      <c r="R33" s="17" t="n">
        <v>4</v>
      </c>
      <c r="S33" s="17" t="n">
        <v>12</v>
      </c>
      <c r="T33" s="38" t="n">
        <f aca="false">H33*Q33*(1+Inputs!$C$25)*(1+Inputs!$C$26)*Inputs!$C$37</f>
        <v>33038934.7430961</v>
      </c>
      <c r="U33" s="39" t="n">
        <f aca="false">Inputs!$C$7+R33</f>
        <v>2030</v>
      </c>
      <c r="V33" s="39" t="n">
        <f aca="false">IF(S33=0,U33,U33+CEILING(S33/12,1))</f>
        <v>2031</v>
      </c>
      <c r="W33" s="40" t="n">
        <f aca="false">IF(I33="Lease",K33*L33,IF(I33="Operating",M33,0))</f>
        <v>0</v>
      </c>
      <c r="X33" s="41" t="n">
        <f aca="false">IF(I33="Lease",P33,1)</f>
        <v>0</v>
      </c>
    </row>
    <row r="34" customFormat="false" ht="15" hidden="false" customHeight="true" outlineLevel="0" collapsed="false">
      <c r="C34" s="20" t="s">
        <v>227</v>
      </c>
      <c r="F34" s="18" t="n">
        <f aca="false">SUM(F4:F33)</f>
        <v>213833</v>
      </c>
      <c r="G34" s="18" t="n">
        <f aca="false">SUM(G4:G33)</f>
        <v>96359</v>
      </c>
      <c r="H34" s="18" t="n">
        <f aca="false">SUM(H4:H33)</f>
        <v>466877.42</v>
      </c>
      <c r="K34" s="18" t="n">
        <f aca="false">SUM(K4:K33)</f>
        <v>191651.72</v>
      </c>
      <c r="T34" s="38" t="n">
        <f aca="false">SUM(T4:T33)</f>
        <v>1348153755.795</v>
      </c>
    </row>
  </sheetData>
  <sheetProtection sheet="true" sort="false" autoFilter="false"/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4" min="5" style="1" width="12"/>
  </cols>
  <sheetData>
    <row r="1" customFormat="false" ht="36" hidden="false" customHeight="true" outlineLevel="0" collapsed="false">
      <c r="A1" s="42" t="s">
        <v>228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</row>
    <row r="3" customFormat="false" ht="15" hidden="false" customHeight="true" outlineLevel="0" collapsed="false">
      <c r="A3" s="15" t="s">
        <v>229</v>
      </c>
      <c r="B3" s="15" t="s">
        <v>230</v>
      </c>
      <c r="C3" s="15" t="s">
        <v>64</v>
      </c>
      <c r="D3" s="15" t="s">
        <v>60</v>
      </c>
      <c r="E3" s="43" t="n">
        <f aca="false">$C63+0</f>
        <v>2026</v>
      </c>
      <c r="F3" s="43" t="n">
        <f aca="false">$C63+1</f>
        <v>2027</v>
      </c>
      <c r="G3" s="43" t="n">
        <f aca="false">$C63+2</f>
        <v>2028</v>
      </c>
      <c r="H3" s="43" t="n">
        <f aca="false">$C63+3</f>
        <v>2029</v>
      </c>
      <c r="I3" s="43" t="n">
        <f aca="false">$C63+4</f>
        <v>2030</v>
      </c>
      <c r="J3" s="43" t="n">
        <f aca="false">$C63+5</f>
        <v>2031</v>
      </c>
      <c r="K3" s="43" t="n">
        <f aca="false">$C63+6</f>
        <v>2032</v>
      </c>
      <c r="L3" s="43" t="n">
        <f aca="false">$C63+7</f>
        <v>2033</v>
      </c>
      <c r="M3" s="43" t="n">
        <f aca="false">$C63+8</f>
        <v>2034</v>
      </c>
      <c r="N3" s="43" t="n">
        <f aca="false">$C63+9</f>
        <v>2035</v>
      </c>
      <c r="O3" s="43" t="n">
        <f aca="false">$C63+10</f>
        <v>2036</v>
      </c>
      <c r="P3" s="43" t="n">
        <f aca="false">$C63+11</f>
        <v>2037</v>
      </c>
      <c r="Q3" s="43" t="n">
        <f aca="false">$C63+12</f>
        <v>2038</v>
      </c>
      <c r="R3" s="43" t="n">
        <f aca="false">$C63+13</f>
        <v>2039</v>
      </c>
      <c r="S3" s="43" t="n">
        <f aca="false">$C63+14</f>
        <v>2040</v>
      </c>
      <c r="T3" s="43" t="n">
        <f aca="false">$C63+15</f>
        <v>2041</v>
      </c>
      <c r="U3" s="43" t="n">
        <f aca="false">$C63+16</f>
        <v>2042</v>
      </c>
      <c r="V3" s="43" t="n">
        <f aca="false">$C63+17</f>
        <v>2043</v>
      </c>
      <c r="W3" s="43" t="n">
        <f aca="false">$C63+18</f>
        <v>2044</v>
      </c>
      <c r="X3" s="43" t="n">
        <f aca="false">$C63+19</f>
        <v>2045</v>
      </c>
      <c r="Y3" s="43" t="n">
        <f aca="false">$C63+20</f>
        <v>2046</v>
      </c>
      <c r="Z3" s="43" t="n">
        <f aca="false">$C63+21</f>
        <v>2047</v>
      </c>
      <c r="AA3" s="43" t="n">
        <f aca="false">$C63+22</f>
        <v>2048</v>
      </c>
      <c r="AB3" s="43" t="n">
        <f aca="false">$C63+23</f>
        <v>2049</v>
      </c>
      <c r="AC3" s="43" t="n">
        <f aca="false">$C63+24</f>
        <v>2050</v>
      </c>
      <c r="AD3" s="43" t="n">
        <f aca="false">$C63+25</f>
        <v>2051</v>
      </c>
      <c r="AE3" s="43" t="n">
        <f aca="false">$C63+26</f>
        <v>2052</v>
      </c>
      <c r="AF3" s="43" t="n">
        <f aca="false">$C63+27</f>
        <v>2053</v>
      </c>
      <c r="AG3" s="43" t="n">
        <f aca="false">$C63+28</f>
        <v>2054</v>
      </c>
      <c r="AH3" s="43" t="n">
        <f aca="false">$C63+29</f>
        <v>2055</v>
      </c>
      <c r="AI3" s="43" t="n">
        <f aca="false">$C63+30</f>
        <v>2056</v>
      </c>
      <c r="AJ3" s="43" t="n">
        <f aca="false">$C63+31</f>
        <v>2057</v>
      </c>
      <c r="AK3" s="43" t="n">
        <f aca="false">$C63+32</f>
        <v>2058</v>
      </c>
      <c r="AL3" s="43" t="n">
        <f aca="false">$C63+33</f>
        <v>2059</v>
      </c>
      <c r="AM3" s="43" t="n">
        <f aca="false">$C63+34</f>
        <v>2060</v>
      </c>
      <c r="AN3" s="43" t="n">
        <f aca="false">$C63+35</f>
        <v>2061</v>
      </c>
      <c r="AO3" s="43" t="n">
        <f aca="false">$C63+36</f>
        <v>2062</v>
      </c>
      <c r="AP3" s="43" t="n">
        <f aca="false">$C63+37</f>
        <v>2063</v>
      </c>
      <c r="AQ3" s="43" t="n">
        <f aca="false">$C63+38</f>
        <v>2064</v>
      </c>
      <c r="AR3" s="43" t="n">
        <f aca="false">$C63+39</f>
        <v>2065</v>
      </c>
      <c r="AS3" s="43" t="n">
        <f aca="false">$C63+40</f>
        <v>2066</v>
      </c>
      <c r="AT3" s="43" t="n">
        <f aca="false">$C63+41</f>
        <v>2067</v>
      </c>
      <c r="AU3" s="43" t="n">
        <f aca="false">$C63+42</f>
        <v>2068</v>
      </c>
      <c r="AV3" s="43" t="n">
        <f aca="false">$C63+43</f>
        <v>2069</v>
      </c>
      <c r="AW3" s="43" t="n">
        <f aca="false">$C63+44</f>
        <v>2070</v>
      </c>
      <c r="AX3" s="43" t="n">
        <f aca="false">$C63+45</f>
        <v>2071</v>
      </c>
      <c r="AY3" s="43" t="n">
        <f aca="false">$C63+46</f>
        <v>2072</v>
      </c>
      <c r="AZ3" s="43" t="n">
        <f aca="false">$C63+47</f>
        <v>2073</v>
      </c>
      <c r="BA3" s="43" t="n">
        <f aca="false">$C63+48</f>
        <v>2074</v>
      </c>
      <c r="BB3" s="43" t="n">
        <f aca="false">$C63+49</f>
        <v>2075</v>
      </c>
    </row>
    <row r="4" customFormat="false" ht="15" hidden="false" customHeight="true" outlineLevel="0" collapsed="false">
      <c r="A4" s="44" t="n">
        <f aca="false">A66</f>
        <v>1</v>
      </c>
      <c r="B4" s="44" t="str">
        <f aca="false">B66</f>
        <v>Hotel</v>
      </c>
      <c r="C4" s="44" t="str">
        <f aca="false">C66</f>
        <v>ZAN 1</v>
      </c>
      <c r="D4" s="44" t="n">
        <f aca="false">SUM(E4:BB4)</f>
        <v>153171480</v>
      </c>
      <c r="E4" s="44" t="n">
        <f aca="false">IF(OR(D66=0,E66=0,F66=0),0,IF(AND(E$3&gt;=G66,E$3&lt;H66),F66*MIN(12,E66-(E$3-G66)*12)/E66,0))</f>
        <v>0</v>
      </c>
      <c r="F4" s="44" t="n">
        <f aca="false">IF(OR(D66=0,E66=0,F66=0),0,IF(AND(F$3&gt;=G66,F$3&lt;H66),F66*MIN(12,E66-(F$3-G66)*12)/E66,0))</f>
        <v>0</v>
      </c>
      <c r="G4" s="44" t="n">
        <f aca="false">IF(OR(D66=0,E66=0,F66=0),0,IF(AND(G$3&gt;=G66,G$3&lt;H66),F66*MIN(12,E66-(G$3-G66)*12)/E66,0))</f>
        <v>51057160</v>
      </c>
      <c r="H4" s="44" t="n">
        <f aca="false">IF(OR(D66=0,E66=0,F66=0),0,IF(AND(H$3&gt;=G66,H$3&lt;H66),F66*MIN(12,E66-(H$3-G66)*12)/E66,0))</f>
        <v>51057160</v>
      </c>
      <c r="I4" s="44" t="n">
        <f aca="false">IF(OR(D66=0,E66=0,F66=0),0,IF(AND(I$3&gt;=G66,I$3&lt;H66),F66*MIN(12,E66-(I$3-G66)*12)/E66,0))</f>
        <v>51057160</v>
      </c>
      <c r="J4" s="44" t="n">
        <f aca="false">IF(OR(D66=0,E66=0,F66=0),0,IF(AND(J$3&gt;=G66,J$3&lt;H66),F66*MIN(12,E66-(J$3-G66)*12)/E66,0))</f>
        <v>0</v>
      </c>
      <c r="K4" s="44" t="n">
        <f aca="false">IF(OR(D66=0,E66=0,F66=0),0,IF(AND(K$3&gt;=G66,K$3&lt;H66),F66*MIN(12,E66-(K$3-G66)*12)/E66,0))</f>
        <v>0</v>
      </c>
      <c r="L4" s="44" t="n">
        <f aca="false">IF(OR(D66=0,E66=0,F66=0),0,IF(AND(L$3&gt;=G66,L$3&lt;H66),F66*MIN(12,E66-(L$3-G66)*12)/E66,0))</f>
        <v>0</v>
      </c>
      <c r="M4" s="44" t="n">
        <f aca="false">IF(OR(D66=0,E66=0,F66=0),0,IF(AND(M$3&gt;=G66,M$3&lt;H66),F66*MIN(12,E66-(M$3-G66)*12)/E66,0))</f>
        <v>0</v>
      </c>
      <c r="N4" s="44" t="n">
        <f aca="false">IF(OR(D66=0,E66=0,F66=0),0,IF(AND(N$3&gt;=G66,N$3&lt;H66),F66*MIN(12,E66-(N$3-G66)*12)/E66,0))</f>
        <v>0</v>
      </c>
      <c r="O4" s="44" t="n">
        <f aca="false">IF(OR(D66=0,E66=0,F66=0),0,IF(AND(O$3&gt;=G66,O$3&lt;H66),F66*MIN(12,E66-(O$3-G66)*12)/E66,0))</f>
        <v>0</v>
      </c>
      <c r="P4" s="44" t="n">
        <f aca="false">IF(OR(D66=0,E66=0,F66=0),0,IF(AND(P$3&gt;=G66,P$3&lt;H66),F66*MIN(12,E66-(P$3-G66)*12)/E66,0))</f>
        <v>0</v>
      </c>
      <c r="Q4" s="44" t="n">
        <f aca="false">IF(OR(D66=0,E66=0,F66=0),0,IF(AND(Q$3&gt;=G66,Q$3&lt;H66),F66*MIN(12,E66-(Q$3-G66)*12)/E66,0))</f>
        <v>0</v>
      </c>
      <c r="R4" s="44" t="n">
        <f aca="false">IF(OR(D66=0,E66=0,F66=0),0,IF(AND(R$3&gt;=G66,R$3&lt;H66),F66*MIN(12,E66-(R$3-G66)*12)/E66,0))</f>
        <v>0</v>
      </c>
      <c r="S4" s="44" t="n">
        <f aca="false">IF(OR(D66=0,E66=0,F66=0),0,IF(AND(S$3&gt;=G66,S$3&lt;H66),F66*MIN(12,E66-(S$3-G66)*12)/E66,0))</f>
        <v>0</v>
      </c>
      <c r="T4" s="44" t="n">
        <f aca="false">IF(OR(D66=0,E66=0,F66=0),0,IF(AND(T$3&gt;=G66,T$3&lt;H66),F66*MIN(12,E66-(T$3-G66)*12)/E66,0))</f>
        <v>0</v>
      </c>
      <c r="U4" s="44" t="n">
        <f aca="false">IF(OR(D66=0,E66=0,F66=0),0,IF(AND(U$3&gt;=G66,U$3&lt;H66),F66*MIN(12,E66-(U$3-G66)*12)/E66,0))</f>
        <v>0</v>
      </c>
      <c r="V4" s="44" t="n">
        <f aca="false">IF(OR(D66=0,E66=0,F66=0),0,IF(AND(V$3&gt;=G66,V$3&lt;H66),F66*MIN(12,E66-(V$3-G66)*12)/E66,0))</f>
        <v>0</v>
      </c>
      <c r="W4" s="44" t="n">
        <f aca="false">IF(OR(D66=0,E66=0,F66=0),0,IF(AND(W$3&gt;=G66,W$3&lt;H66),F66*MIN(12,E66-(W$3-G66)*12)/E66,0))</f>
        <v>0</v>
      </c>
      <c r="X4" s="44" t="n">
        <f aca="false">IF(OR(D66=0,E66=0,F66=0),0,IF(AND(X$3&gt;=G66,X$3&lt;H66),F66*MIN(12,E66-(X$3-G66)*12)/E66,0))</f>
        <v>0</v>
      </c>
      <c r="Y4" s="44" t="n">
        <f aca="false">IF(OR(D66=0,E66=0,F66=0),0,IF(AND(Y$3&gt;=G66,Y$3&lt;H66),F66*MIN(12,E66-(Y$3-G66)*12)/E66,0))</f>
        <v>0</v>
      </c>
      <c r="Z4" s="44" t="n">
        <f aca="false">IF(OR(D66=0,E66=0,F66=0),0,IF(AND(Z$3&gt;=G66,Z$3&lt;H66),F66*MIN(12,E66-(Z$3-G66)*12)/E66,0))</f>
        <v>0</v>
      </c>
      <c r="AA4" s="44" t="n">
        <f aca="false">IF(OR(D66=0,E66=0,F66=0),0,IF(AND(AA$3&gt;=G66,AA$3&lt;H66),F66*MIN(12,E66-(AA$3-G66)*12)/E66,0))</f>
        <v>0</v>
      </c>
      <c r="AB4" s="44" t="n">
        <f aca="false">IF(OR(D66=0,E66=0,F66=0),0,IF(AND(AB$3&gt;=G66,AB$3&lt;H66),F66*MIN(12,E66-(AB$3-G66)*12)/E66,0))</f>
        <v>0</v>
      </c>
      <c r="AC4" s="44" t="n">
        <f aca="false">IF(OR(D66=0,E66=0,F66=0),0,IF(AND(AC$3&gt;=G66,AC$3&lt;H66),F66*MIN(12,E66-(AC$3-G66)*12)/E66,0))</f>
        <v>0</v>
      </c>
      <c r="AD4" s="44" t="n">
        <f aca="false">IF(OR(D66=0,E66=0,F66=0),0,IF(AND(AD$3&gt;=G66,AD$3&lt;H66),F66*MIN(12,E66-(AD$3-G66)*12)/E66,0))</f>
        <v>0</v>
      </c>
      <c r="AE4" s="44" t="n">
        <f aca="false">IF(OR(D66=0,E66=0,F66=0),0,IF(AND(AE$3&gt;=G66,AE$3&lt;H66),F66*MIN(12,E66-(AE$3-G66)*12)/E66,0))</f>
        <v>0</v>
      </c>
      <c r="AF4" s="44" t="n">
        <f aca="false">IF(OR(D66=0,E66=0,F66=0),0,IF(AND(AF$3&gt;=G66,AF$3&lt;H66),F66*MIN(12,E66-(AF$3-G66)*12)/E66,0))</f>
        <v>0</v>
      </c>
      <c r="AG4" s="44" t="n">
        <f aca="false">IF(OR(D66=0,E66=0,F66=0),0,IF(AND(AG$3&gt;=G66,AG$3&lt;H66),F66*MIN(12,E66-(AG$3-G66)*12)/E66,0))</f>
        <v>0</v>
      </c>
      <c r="AH4" s="44" t="n">
        <f aca="false">IF(OR(D66=0,E66=0,F66=0),0,IF(AND(AH$3&gt;=G66,AH$3&lt;H66),F66*MIN(12,E66-(AH$3-G66)*12)/E66,0))</f>
        <v>0</v>
      </c>
      <c r="AI4" s="44" t="n">
        <f aca="false">IF(OR(D66=0,E66=0,F66=0),0,IF(AND(AI$3&gt;=G66,AI$3&lt;H66),F66*MIN(12,E66-(AI$3-G66)*12)/E66,0))</f>
        <v>0</v>
      </c>
      <c r="AJ4" s="44" t="n">
        <f aca="false">IF(OR(D66=0,E66=0,F66=0),0,IF(AND(AJ$3&gt;=G66,AJ$3&lt;H66),F66*MIN(12,E66-(AJ$3-G66)*12)/E66,0))</f>
        <v>0</v>
      </c>
      <c r="AK4" s="44" t="n">
        <f aca="false">IF(OR(D66=0,E66=0,F66=0),0,IF(AND(AK$3&gt;=G66,AK$3&lt;H66),F66*MIN(12,E66-(AK$3-G66)*12)/E66,0))</f>
        <v>0</v>
      </c>
      <c r="AL4" s="44" t="n">
        <f aca="false">IF(OR(D66=0,E66=0,F66=0),0,IF(AND(AL$3&gt;=G66,AL$3&lt;H66),F66*MIN(12,E66-(AL$3-G66)*12)/E66,0))</f>
        <v>0</v>
      </c>
      <c r="AM4" s="44" t="n">
        <f aca="false">IF(OR(D66=0,E66=0,F66=0),0,IF(AND(AM$3&gt;=G66,AM$3&lt;H66),F66*MIN(12,E66-(AM$3-G66)*12)/E66,0))</f>
        <v>0</v>
      </c>
      <c r="AN4" s="44" t="n">
        <f aca="false">IF(OR(D66=0,E66=0,F66=0),0,IF(AND(AN$3&gt;=G66,AN$3&lt;H66),F66*MIN(12,E66-(AN$3-G66)*12)/E66,0))</f>
        <v>0</v>
      </c>
      <c r="AO4" s="44" t="n">
        <f aca="false">IF(OR(D66=0,E66=0,F66=0),0,IF(AND(AO$3&gt;=G66,AO$3&lt;H66),F66*MIN(12,E66-(AO$3-G66)*12)/E66,0))</f>
        <v>0</v>
      </c>
      <c r="AP4" s="44" t="n">
        <f aca="false">IF(OR(D66=0,E66=0,F66=0),0,IF(AND(AP$3&gt;=G66,AP$3&lt;H66),F66*MIN(12,E66-(AP$3-G66)*12)/E66,0))</f>
        <v>0</v>
      </c>
      <c r="AQ4" s="44" t="n">
        <f aca="false">IF(OR(D66=0,E66=0,F66=0),0,IF(AND(AQ$3&gt;=G66,AQ$3&lt;H66),F66*MIN(12,E66-(AQ$3-G66)*12)/E66,0))</f>
        <v>0</v>
      </c>
      <c r="AR4" s="44" t="n">
        <f aca="false">IF(OR(D66=0,E66=0,F66=0),0,IF(AND(AR$3&gt;=G66,AR$3&lt;H66),F66*MIN(12,E66-(AR$3-G66)*12)/E66,0))</f>
        <v>0</v>
      </c>
      <c r="AS4" s="44" t="n">
        <f aca="false">IF(OR(D66=0,E66=0,F66=0),0,IF(AND(AS$3&gt;=G66,AS$3&lt;H66),F66*MIN(12,E66-(AS$3-G66)*12)/E66,0))</f>
        <v>0</v>
      </c>
      <c r="AT4" s="44" t="n">
        <f aca="false">IF(OR(D66=0,E66=0,F66=0),0,IF(AND(AT$3&gt;=G66,AT$3&lt;H66),F66*MIN(12,E66-(AT$3-G66)*12)/E66,0))</f>
        <v>0</v>
      </c>
      <c r="AU4" s="44" t="n">
        <f aca="false">IF(OR(D66=0,E66=0,F66=0),0,IF(AND(AU$3&gt;=G66,AU$3&lt;H66),F66*MIN(12,E66-(AU$3-G66)*12)/E66,0))</f>
        <v>0</v>
      </c>
      <c r="AV4" s="44" t="n">
        <f aca="false">IF(OR(D66=0,E66=0,F66=0),0,IF(AND(AV$3&gt;=G66,AV$3&lt;H66),F66*MIN(12,E66-(AV$3-G66)*12)/E66,0))</f>
        <v>0</v>
      </c>
      <c r="AW4" s="44" t="n">
        <f aca="false">IF(OR(D66=0,E66=0,F66=0),0,IF(AND(AW$3&gt;=G66,AW$3&lt;H66),F66*MIN(12,E66-(AW$3-G66)*12)/E66,0))</f>
        <v>0</v>
      </c>
      <c r="AX4" s="44" t="n">
        <f aca="false">IF(OR(D66=0,E66=0,F66=0),0,IF(AND(AX$3&gt;=G66,AX$3&lt;H66),F66*MIN(12,E66-(AX$3-G66)*12)/E66,0))</f>
        <v>0</v>
      </c>
      <c r="AY4" s="44" t="n">
        <f aca="false">IF(OR(D66=0,E66=0,F66=0),0,IF(AND(AY$3&gt;=G66,AY$3&lt;H66),F66*MIN(12,E66-(AY$3-G66)*12)/E66,0))</f>
        <v>0</v>
      </c>
      <c r="AZ4" s="44" t="n">
        <f aca="false">IF(OR(D66=0,E66=0,F66=0),0,IF(AND(AZ$3&gt;=G66,AZ$3&lt;H66),F66*MIN(12,E66-(AZ$3-G66)*12)/E66,0))</f>
        <v>0</v>
      </c>
      <c r="BA4" s="44" t="n">
        <f aca="false">IF(OR(D66=0,E66=0,F66=0),0,IF(AND(BA$3&gt;=G66,BA$3&lt;H66),F66*MIN(12,E66-(BA$3-G66)*12)/E66,0))</f>
        <v>0</v>
      </c>
      <c r="BB4" s="44" t="n">
        <f aca="false">IF(OR(D66=0,E66=0,F66=0),0,IF(AND(BB$3&gt;=G66,BB$3&lt;H66),F66*MIN(12,E66-(BB$3-G66)*12)/E66,0))</f>
        <v>0</v>
      </c>
    </row>
    <row r="5" customFormat="false" ht="15" hidden="false" customHeight="true" outlineLevel="0" collapsed="false">
      <c r="A5" s="44" t="n">
        <f aca="false">A67</f>
        <v>2</v>
      </c>
      <c r="B5" s="44" t="str">
        <f aca="false">B67</f>
        <v>Retail - Sport Complex</v>
      </c>
      <c r="C5" s="44" t="str">
        <f aca="false">C67</f>
        <v>ZAN 1</v>
      </c>
      <c r="D5" s="44" t="n">
        <f aca="false">SUM(E5:BB5)</f>
        <v>1663200</v>
      </c>
      <c r="E5" s="44" t="n">
        <f aca="false">IF(OR(D67=0,E67=0,F67=0),0,IF(AND(E$3&gt;=G67,E$3&lt;H67),F67*MIN(12,E67-(E$3-G67)*12)/E67,0))</f>
        <v>0</v>
      </c>
      <c r="F5" s="44" t="n">
        <f aca="false">IF(OR(D67=0,E67=0,F67=0),0,IF(AND(F$3&gt;=G67,F$3&lt;H67),F67*MIN(12,E67-(F$3-G67)*12)/E67,0))</f>
        <v>0</v>
      </c>
      <c r="G5" s="44" t="n">
        <f aca="false">IF(OR(D67=0,E67=0,F67=0),0,IF(AND(G$3&gt;=G67,G$3&lt;H67),F67*MIN(12,E67-(G$3-G67)*12)/E67,0))</f>
        <v>1663200</v>
      </c>
      <c r="H5" s="44" t="n">
        <f aca="false">IF(OR(D67=0,E67=0,F67=0),0,IF(AND(H$3&gt;=G67,H$3&lt;H67),F67*MIN(12,E67-(H$3-G67)*12)/E67,0))</f>
        <v>0</v>
      </c>
      <c r="I5" s="44" t="n">
        <f aca="false">IF(OR(D67=0,E67=0,F67=0),0,IF(AND(I$3&gt;=G67,I$3&lt;H67),F67*MIN(12,E67-(I$3-G67)*12)/E67,0))</f>
        <v>0</v>
      </c>
      <c r="J5" s="44" t="n">
        <f aca="false">IF(OR(D67=0,E67=0,F67=0),0,IF(AND(J$3&gt;=G67,J$3&lt;H67),F67*MIN(12,E67-(J$3-G67)*12)/E67,0))</f>
        <v>0</v>
      </c>
      <c r="K5" s="44" t="n">
        <f aca="false">IF(OR(D67=0,E67=0,F67=0),0,IF(AND(K$3&gt;=G67,K$3&lt;H67),F67*MIN(12,E67-(K$3-G67)*12)/E67,0))</f>
        <v>0</v>
      </c>
      <c r="L5" s="44" t="n">
        <f aca="false">IF(OR(D67=0,E67=0,F67=0),0,IF(AND(L$3&gt;=G67,L$3&lt;H67),F67*MIN(12,E67-(L$3-G67)*12)/E67,0))</f>
        <v>0</v>
      </c>
      <c r="M5" s="44" t="n">
        <f aca="false">IF(OR(D67=0,E67=0,F67=0),0,IF(AND(M$3&gt;=G67,M$3&lt;H67),F67*MIN(12,E67-(M$3-G67)*12)/E67,0))</f>
        <v>0</v>
      </c>
      <c r="N5" s="44" t="n">
        <f aca="false">IF(OR(D67=0,E67=0,F67=0),0,IF(AND(N$3&gt;=G67,N$3&lt;H67),F67*MIN(12,E67-(N$3-G67)*12)/E67,0))</f>
        <v>0</v>
      </c>
      <c r="O5" s="44" t="n">
        <f aca="false">IF(OR(D67=0,E67=0,F67=0),0,IF(AND(O$3&gt;=G67,O$3&lt;H67),F67*MIN(12,E67-(O$3-G67)*12)/E67,0))</f>
        <v>0</v>
      </c>
      <c r="P5" s="44" t="n">
        <f aca="false">IF(OR(D67=0,E67=0,F67=0),0,IF(AND(P$3&gt;=G67,P$3&lt;H67),F67*MIN(12,E67-(P$3-G67)*12)/E67,0))</f>
        <v>0</v>
      </c>
      <c r="Q5" s="44" t="n">
        <f aca="false">IF(OR(D67=0,E67=0,F67=0),0,IF(AND(Q$3&gt;=G67,Q$3&lt;H67),F67*MIN(12,E67-(Q$3-G67)*12)/E67,0))</f>
        <v>0</v>
      </c>
      <c r="R5" s="44" t="n">
        <f aca="false">IF(OR(D67=0,E67=0,F67=0),0,IF(AND(R$3&gt;=G67,R$3&lt;H67),F67*MIN(12,E67-(R$3-G67)*12)/E67,0))</f>
        <v>0</v>
      </c>
      <c r="S5" s="44" t="n">
        <f aca="false">IF(OR(D67=0,E67=0,F67=0),0,IF(AND(S$3&gt;=G67,S$3&lt;H67),F67*MIN(12,E67-(S$3-G67)*12)/E67,0))</f>
        <v>0</v>
      </c>
      <c r="T5" s="44" t="n">
        <f aca="false">IF(OR(D67=0,E67=0,F67=0),0,IF(AND(T$3&gt;=G67,T$3&lt;H67),F67*MIN(12,E67-(T$3-G67)*12)/E67,0))</f>
        <v>0</v>
      </c>
      <c r="U5" s="44" t="n">
        <f aca="false">IF(OR(D67=0,E67=0,F67=0),0,IF(AND(U$3&gt;=G67,U$3&lt;H67),F67*MIN(12,E67-(U$3-G67)*12)/E67,0))</f>
        <v>0</v>
      </c>
      <c r="V5" s="44" t="n">
        <f aca="false">IF(OR(D67=0,E67=0,F67=0),0,IF(AND(V$3&gt;=G67,V$3&lt;H67),F67*MIN(12,E67-(V$3-G67)*12)/E67,0))</f>
        <v>0</v>
      </c>
      <c r="W5" s="44" t="n">
        <f aca="false">IF(OR(D67=0,E67=0,F67=0),0,IF(AND(W$3&gt;=G67,W$3&lt;H67),F67*MIN(12,E67-(W$3-G67)*12)/E67,0))</f>
        <v>0</v>
      </c>
      <c r="X5" s="44" t="n">
        <f aca="false">IF(OR(D67=0,E67=0,F67=0),0,IF(AND(X$3&gt;=G67,X$3&lt;H67),F67*MIN(12,E67-(X$3-G67)*12)/E67,0))</f>
        <v>0</v>
      </c>
      <c r="Y5" s="44" t="n">
        <f aca="false">IF(OR(D67=0,E67=0,F67=0),0,IF(AND(Y$3&gt;=G67,Y$3&lt;H67),F67*MIN(12,E67-(Y$3-G67)*12)/E67,0))</f>
        <v>0</v>
      </c>
      <c r="Z5" s="44" t="n">
        <f aca="false">IF(OR(D67=0,E67=0,F67=0),0,IF(AND(Z$3&gt;=G67,Z$3&lt;H67),F67*MIN(12,E67-(Z$3-G67)*12)/E67,0))</f>
        <v>0</v>
      </c>
      <c r="AA5" s="44" t="n">
        <f aca="false">IF(OR(D67=0,E67=0,F67=0),0,IF(AND(AA$3&gt;=G67,AA$3&lt;H67),F67*MIN(12,E67-(AA$3-G67)*12)/E67,0))</f>
        <v>0</v>
      </c>
      <c r="AB5" s="44" t="n">
        <f aca="false">IF(OR(D67=0,E67=0,F67=0),0,IF(AND(AB$3&gt;=G67,AB$3&lt;H67),F67*MIN(12,E67-(AB$3-G67)*12)/E67,0))</f>
        <v>0</v>
      </c>
      <c r="AC5" s="44" t="n">
        <f aca="false">IF(OR(D67=0,E67=0,F67=0),0,IF(AND(AC$3&gt;=G67,AC$3&lt;H67),F67*MIN(12,E67-(AC$3-G67)*12)/E67,0))</f>
        <v>0</v>
      </c>
      <c r="AD5" s="44" t="n">
        <f aca="false">IF(OR(D67=0,E67=0,F67=0),0,IF(AND(AD$3&gt;=G67,AD$3&lt;H67),F67*MIN(12,E67-(AD$3-G67)*12)/E67,0))</f>
        <v>0</v>
      </c>
      <c r="AE5" s="44" t="n">
        <f aca="false">IF(OR(D67=0,E67=0,F67=0),0,IF(AND(AE$3&gt;=G67,AE$3&lt;H67),F67*MIN(12,E67-(AE$3-G67)*12)/E67,0))</f>
        <v>0</v>
      </c>
      <c r="AF5" s="44" t="n">
        <f aca="false">IF(OR(D67=0,E67=0,F67=0),0,IF(AND(AF$3&gt;=G67,AF$3&lt;H67),F67*MIN(12,E67-(AF$3-G67)*12)/E67,0))</f>
        <v>0</v>
      </c>
      <c r="AG5" s="44" t="n">
        <f aca="false">IF(OR(D67=0,E67=0,F67=0),0,IF(AND(AG$3&gt;=G67,AG$3&lt;H67),F67*MIN(12,E67-(AG$3-G67)*12)/E67,0))</f>
        <v>0</v>
      </c>
      <c r="AH5" s="44" t="n">
        <f aca="false">IF(OR(D67=0,E67=0,F67=0),0,IF(AND(AH$3&gt;=G67,AH$3&lt;H67),F67*MIN(12,E67-(AH$3-G67)*12)/E67,0))</f>
        <v>0</v>
      </c>
      <c r="AI5" s="44" t="n">
        <f aca="false">IF(OR(D67=0,E67=0,F67=0),0,IF(AND(AI$3&gt;=G67,AI$3&lt;H67),F67*MIN(12,E67-(AI$3-G67)*12)/E67,0))</f>
        <v>0</v>
      </c>
      <c r="AJ5" s="44" t="n">
        <f aca="false">IF(OR(D67=0,E67=0,F67=0),0,IF(AND(AJ$3&gt;=G67,AJ$3&lt;H67),F67*MIN(12,E67-(AJ$3-G67)*12)/E67,0))</f>
        <v>0</v>
      </c>
      <c r="AK5" s="44" t="n">
        <f aca="false">IF(OR(D67=0,E67=0,F67=0),0,IF(AND(AK$3&gt;=G67,AK$3&lt;H67),F67*MIN(12,E67-(AK$3-G67)*12)/E67,0))</f>
        <v>0</v>
      </c>
      <c r="AL5" s="44" t="n">
        <f aca="false">IF(OR(D67=0,E67=0,F67=0),0,IF(AND(AL$3&gt;=G67,AL$3&lt;H67),F67*MIN(12,E67-(AL$3-G67)*12)/E67,0))</f>
        <v>0</v>
      </c>
      <c r="AM5" s="44" t="n">
        <f aca="false">IF(OR(D67=0,E67=0,F67=0),0,IF(AND(AM$3&gt;=G67,AM$3&lt;H67),F67*MIN(12,E67-(AM$3-G67)*12)/E67,0))</f>
        <v>0</v>
      </c>
      <c r="AN5" s="44" t="n">
        <f aca="false">IF(OR(D67=0,E67=0,F67=0),0,IF(AND(AN$3&gt;=G67,AN$3&lt;H67),F67*MIN(12,E67-(AN$3-G67)*12)/E67,0))</f>
        <v>0</v>
      </c>
      <c r="AO5" s="44" t="n">
        <f aca="false">IF(OR(D67=0,E67=0,F67=0),0,IF(AND(AO$3&gt;=G67,AO$3&lt;H67),F67*MIN(12,E67-(AO$3-G67)*12)/E67,0))</f>
        <v>0</v>
      </c>
      <c r="AP5" s="44" t="n">
        <f aca="false">IF(OR(D67=0,E67=0,F67=0),0,IF(AND(AP$3&gt;=G67,AP$3&lt;H67),F67*MIN(12,E67-(AP$3-G67)*12)/E67,0))</f>
        <v>0</v>
      </c>
      <c r="AQ5" s="44" t="n">
        <f aca="false">IF(OR(D67=0,E67=0,F67=0),0,IF(AND(AQ$3&gt;=G67,AQ$3&lt;H67),F67*MIN(12,E67-(AQ$3-G67)*12)/E67,0))</f>
        <v>0</v>
      </c>
      <c r="AR5" s="44" t="n">
        <f aca="false">IF(OR(D67=0,E67=0,F67=0),0,IF(AND(AR$3&gt;=G67,AR$3&lt;H67),F67*MIN(12,E67-(AR$3-G67)*12)/E67,0))</f>
        <v>0</v>
      </c>
      <c r="AS5" s="44" t="n">
        <f aca="false">IF(OR(D67=0,E67=0,F67=0),0,IF(AND(AS$3&gt;=G67,AS$3&lt;H67),F67*MIN(12,E67-(AS$3-G67)*12)/E67,0))</f>
        <v>0</v>
      </c>
      <c r="AT5" s="44" t="n">
        <f aca="false">IF(OR(D67=0,E67=0,F67=0),0,IF(AND(AT$3&gt;=G67,AT$3&lt;H67),F67*MIN(12,E67-(AT$3-G67)*12)/E67,0))</f>
        <v>0</v>
      </c>
      <c r="AU5" s="44" t="n">
        <f aca="false">IF(OR(D67=0,E67=0,F67=0),0,IF(AND(AU$3&gt;=G67,AU$3&lt;H67),F67*MIN(12,E67-(AU$3-G67)*12)/E67,0))</f>
        <v>0</v>
      </c>
      <c r="AV5" s="44" t="n">
        <f aca="false">IF(OR(D67=0,E67=0,F67=0),0,IF(AND(AV$3&gt;=G67,AV$3&lt;H67),F67*MIN(12,E67-(AV$3-G67)*12)/E67,0))</f>
        <v>0</v>
      </c>
      <c r="AW5" s="44" t="n">
        <f aca="false">IF(OR(D67=0,E67=0,F67=0),0,IF(AND(AW$3&gt;=G67,AW$3&lt;H67),F67*MIN(12,E67-(AW$3-G67)*12)/E67,0))</f>
        <v>0</v>
      </c>
      <c r="AX5" s="44" t="n">
        <f aca="false">IF(OR(D67=0,E67=0,F67=0),0,IF(AND(AX$3&gt;=G67,AX$3&lt;H67),F67*MIN(12,E67-(AX$3-G67)*12)/E67,0))</f>
        <v>0</v>
      </c>
      <c r="AY5" s="44" t="n">
        <f aca="false">IF(OR(D67=0,E67=0,F67=0),0,IF(AND(AY$3&gt;=G67,AY$3&lt;H67),F67*MIN(12,E67-(AY$3-G67)*12)/E67,0))</f>
        <v>0</v>
      </c>
      <c r="AZ5" s="44" t="n">
        <f aca="false">IF(OR(D67=0,E67=0,F67=0),0,IF(AND(AZ$3&gt;=G67,AZ$3&lt;H67),F67*MIN(12,E67-(AZ$3-G67)*12)/E67,0))</f>
        <v>0</v>
      </c>
      <c r="BA5" s="44" t="n">
        <f aca="false">IF(OR(D67=0,E67=0,F67=0),0,IF(AND(BA$3&gt;=G67,BA$3&lt;H67),F67*MIN(12,E67-(BA$3-G67)*12)/E67,0))</f>
        <v>0</v>
      </c>
      <c r="BB5" s="44" t="n">
        <f aca="false">IF(OR(D67=0,E67=0,F67=0),0,IF(AND(BB$3&gt;=G67,BB$3&lt;H67),F67*MIN(12,E67-(BB$3-G67)*12)/E67,0))</f>
        <v>0</v>
      </c>
    </row>
    <row r="6" customFormat="false" ht="15" hidden="false" customHeight="true" outlineLevel="0" collapsed="false">
      <c r="A6" s="44" t="n">
        <f aca="false">A68</f>
        <v>3</v>
      </c>
      <c r="B6" s="44" t="str">
        <f aca="false">B68</f>
        <v>Parking &amp; Landscaping ZAN1</v>
      </c>
      <c r="C6" s="44" t="str">
        <f aca="false">C68</f>
        <v>ZAN 1</v>
      </c>
      <c r="D6" s="44" t="n">
        <f aca="false">SUM(E6:BB6)</f>
        <v>40144294.5218402</v>
      </c>
      <c r="E6" s="44" t="n">
        <f aca="false">IF(OR(D68=0,E68=0,F68=0),0,IF(AND(E$3&gt;=G68,E$3&lt;H68),F68*MIN(12,E68-(E$3-G68)*12)/E68,0))</f>
        <v>0</v>
      </c>
      <c r="F6" s="44" t="n">
        <f aca="false">IF(OR(D68=0,E68=0,F68=0),0,IF(AND(F$3&gt;=G68,F$3&lt;H68),F68*MIN(12,E68-(F$3-G68)*12)/E68,0))</f>
        <v>0</v>
      </c>
      <c r="G6" s="44" t="n">
        <f aca="false">IF(OR(D68=0,E68=0,F68=0),0,IF(AND(G$3&gt;=G68,G$3&lt;H68),F68*MIN(12,E68-(G$3-G68)*12)/E68,0))</f>
        <v>0</v>
      </c>
      <c r="H6" s="44" t="n">
        <f aca="false">IF(OR(D68=0,E68=0,F68=0),0,IF(AND(H$3&gt;=G68,H$3&lt;H68),F68*MIN(12,E68-(H$3-G68)*12)/E68,0))</f>
        <v>0</v>
      </c>
      <c r="I6" s="44" t="n">
        <f aca="false">IF(OR(D68=0,E68=0,F68=0),0,IF(AND(I$3&gt;=G68,I$3&lt;H68),F68*MIN(12,E68-(I$3-G68)*12)/E68,0))</f>
        <v>40144294.5218402</v>
      </c>
      <c r="J6" s="44" t="n">
        <f aca="false">IF(OR(D68=0,E68=0,F68=0),0,IF(AND(J$3&gt;=G68,J$3&lt;H68),F68*MIN(12,E68-(J$3-G68)*12)/E68,0))</f>
        <v>0</v>
      </c>
      <c r="K6" s="44" t="n">
        <f aca="false">IF(OR(D68=0,E68=0,F68=0),0,IF(AND(K$3&gt;=G68,K$3&lt;H68),F68*MIN(12,E68-(K$3-G68)*12)/E68,0))</f>
        <v>0</v>
      </c>
      <c r="L6" s="44" t="n">
        <f aca="false">IF(OR(D68=0,E68=0,F68=0),0,IF(AND(L$3&gt;=G68,L$3&lt;H68),F68*MIN(12,E68-(L$3-G68)*12)/E68,0))</f>
        <v>0</v>
      </c>
      <c r="M6" s="44" t="n">
        <f aca="false">IF(OR(D68=0,E68=0,F68=0),0,IF(AND(M$3&gt;=G68,M$3&lt;H68),F68*MIN(12,E68-(M$3-G68)*12)/E68,0))</f>
        <v>0</v>
      </c>
      <c r="N6" s="44" t="n">
        <f aca="false">IF(OR(D68=0,E68=0,F68=0),0,IF(AND(N$3&gt;=G68,N$3&lt;H68),F68*MIN(12,E68-(N$3-G68)*12)/E68,0))</f>
        <v>0</v>
      </c>
      <c r="O6" s="44" t="n">
        <f aca="false">IF(OR(D68=0,E68=0,F68=0),0,IF(AND(O$3&gt;=G68,O$3&lt;H68),F68*MIN(12,E68-(O$3-G68)*12)/E68,0))</f>
        <v>0</v>
      </c>
      <c r="P6" s="44" t="n">
        <f aca="false">IF(OR(D68=0,E68=0,F68=0),0,IF(AND(P$3&gt;=G68,P$3&lt;H68),F68*MIN(12,E68-(P$3-G68)*12)/E68,0))</f>
        <v>0</v>
      </c>
      <c r="Q6" s="44" t="n">
        <f aca="false">IF(OR(D68=0,E68=0,F68=0),0,IF(AND(Q$3&gt;=G68,Q$3&lt;H68),F68*MIN(12,E68-(Q$3-G68)*12)/E68,0))</f>
        <v>0</v>
      </c>
      <c r="R6" s="44" t="n">
        <f aca="false">IF(OR(D68=0,E68=0,F68=0),0,IF(AND(R$3&gt;=G68,R$3&lt;H68),F68*MIN(12,E68-(R$3-G68)*12)/E68,0))</f>
        <v>0</v>
      </c>
      <c r="S6" s="44" t="n">
        <f aca="false">IF(OR(D68=0,E68=0,F68=0),0,IF(AND(S$3&gt;=G68,S$3&lt;H68),F68*MIN(12,E68-(S$3-G68)*12)/E68,0))</f>
        <v>0</v>
      </c>
      <c r="T6" s="44" t="n">
        <f aca="false">IF(OR(D68=0,E68=0,F68=0),0,IF(AND(T$3&gt;=G68,T$3&lt;H68),F68*MIN(12,E68-(T$3-G68)*12)/E68,0))</f>
        <v>0</v>
      </c>
      <c r="U6" s="44" t="n">
        <f aca="false">IF(OR(D68=0,E68=0,F68=0),0,IF(AND(U$3&gt;=G68,U$3&lt;H68),F68*MIN(12,E68-(U$3-G68)*12)/E68,0))</f>
        <v>0</v>
      </c>
      <c r="V6" s="44" t="n">
        <f aca="false">IF(OR(D68=0,E68=0,F68=0),0,IF(AND(V$3&gt;=G68,V$3&lt;H68),F68*MIN(12,E68-(V$3-G68)*12)/E68,0))</f>
        <v>0</v>
      </c>
      <c r="W6" s="44" t="n">
        <f aca="false">IF(OR(D68=0,E68=0,F68=0),0,IF(AND(W$3&gt;=G68,W$3&lt;H68),F68*MIN(12,E68-(W$3-G68)*12)/E68,0))</f>
        <v>0</v>
      </c>
      <c r="X6" s="44" t="n">
        <f aca="false">IF(OR(D68=0,E68=0,F68=0),0,IF(AND(X$3&gt;=G68,X$3&lt;H68),F68*MIN(12,E68-(X$3-G68)*12)/E68,0))</f>
        <v>0</v>
      </c>
      <c r="Y6" s="44" t="n">
        <f aca="false">IF(OR(D68=0,E68=0,F68=0),0,IF(AND(Y$3&gt;=G68,Y$3&lt;H68),F68*MIN(12,E68-(Y$3-G68)*12)/E68,0))</f>
        <v>0</v>
      </c>
      <c r="Z6" s="44" t="n">
        <f aca="false">IF(OR(D68=0,E68=0,F68=0),0,IF(AND(Z$3&gt;=G68,Z$3&lt;H68),F68*MIN(12,E68-(Z$3-G68)*12)/E68,0))</f>
        <v>0</v>
      </c>
      <c r="AA6" s="44" t="n">
        <f aca="false">IF(OR(D68=0,E68=0,F68=0),0,IF(AND(AA$3&gt;=G68,AA$3&lt;H68),F68*MIN(12,E68-(AA$3-G68)*12)/E68,0))</f>
        <v>0</v>
      </c>
      <c r="AB6" s="44" t="n">
        <f aca="false">IF(OR(D68=0,E68=0,F68=0),0,IF(AND(AB$3&gt;=G68,AB$3&lt;H68),F68*MIN(12,E68-(AB$3-G68)*12)/E68,0))</f>
        <v>0</v>
      </c>
      <c r="AC6" s="44" t="n">
        <f aca="false">IF(OR(D68=0,E68=0,F68=0),0,IF(AND(AC$3&gt;=G68,AC$3&lt;H68),F68*MIN(12,E68-(AC$3-G68)*12)/E68,0))</f>
        <v>0</v>
      </c>
      <c r="AD6" s="44" t="n">
        <f aca="false">IF(OR(D68=0,E68=0,F68=0),0,IF(AND(AD$3&gt;=G68,AD$3&lt;H68),F68*MIN(12,E68-(AD$3-G68)*12)/E68,0))</f>
        <v>0</v>
      </c>
      <c r="AE6" s="44" t="n">
        <f aca="false">IF(OR(D68=0,E68=0,F68=0),0,IF(AND(AE$3&gt;=G68,AE$3&lt;H68),F68*MIN(12,E68-(AE$3-G68)*12)/E68,0))</f>
        <v>0</v>
      </c>
      <c r="AF6" s="44" t="n">
        <f aca="false">IF(OR(D68=0,E68=0,F68=0),0,IF(AND(AF$3&gt;=G68,AF$3&lt;H68),F68*MIN(12,E68-(AF$3-G68)*12)/E68,0))</f>
        <v>0</v>
      </c>
      <c r="AG6" s="44" t="n">
        <f aca="false">IF(OR(D68=0,E68=0,F68=0),0,IF(AND(AG$3&gt;=G68,AG$3&lt;H68),F68*MIN(12,E68-(AG$3-G68)*12)/E68,0))</f>
        <v>0</v>
      </c>
      <c r="AH6" s="44" t="n">
        <f aca="false">IF(OR(D68=0,E68=0,F68=0),0,IF(AND(AH$3&gt;=G68,AH$3&lt;H68),F68*MIN(12,E68-(AH$3-G68)*12)/E68,0))</f>
        <v>0</v>
      </c>
      <c r="AI6" s="44" t="n">
        <f aca="false">IF(OR(D68=0,E68=0,F68=0),0,IF(AND(AI$3&gt;=G68,AI$3&lt;H68),F68*MIN(12,E68-(AI$3-G68)*12)/E68,0))</f>
        <v>0</v>
      </c>
      <c r="AJ6" s="44" t="n">
        <f aca="false">IF(OR(D68=0,E68=0,F68=0),0,IF(AND(AJ$3&gt;=G68,AJ$3&lt;H68),F68*MIN(12,E68-(AJ$3-G68)*12)/E68,0))</f>
        <v>0</v>
      </c>
      <c r="AK6" s="44" t="n">
        <f aca="false">IF(OR(D68=0,E68=0,F68=0),0,IF(AND(AK$3&gt;=G68,AK$3&lt;H68),F68*MIN(12,E68-(AK$3-G68)*12)/E68,0))</f>
        <v>0</v>
      </c>
      <c r="AL6" s="44" t="n">
        <f aca="false">IF(OR(D68=0,E68=0,F68=0),0,IF(AND(AL$3&gt;=G68,AL$3&lt;H68),F68*MIN(12,E68-(AL$3-G68)*12)/E68,0))</f>
        <v>0</v>
      </c>
      <c r="AM6" s="44" t="n">
        <f aca="false">IF(OR(D68=0,E68=0,F68=0),0,IF(AND(AM$3&gt;=G68,AM$3&lt;H68),F68*MIN(12,E68-(AM$3-G68)*12)/E68,0))</f>
        <v>0</v>
      </c>
      <c r="AN6" s="44" t="n">
        <f aca="false">IF(OR(D68=0,E68=0,F68=0),0,IF(AND(AN$3&gt;=G68,AN$3&lt;H68),F68*MIN(12,E68-(AN$3-G68)*12)/E68,0))</f>
        <v>0</v>
      </c>
      <c r="AO6" s="44" t="n">
        <f aca="false">IF(OR(D68=0,E68=0,F68=0),0,IF(AND(AO$3&gt;=G68,AO$3&lt;H68),F68*MIN(12,E68-(AO$3-G68)*12)/E68,0))</f>
        <v>0</v>
      </c>
      <c r="AP6" s="44" t="n">
        <f aca="false">IF(OR(D68=0,E68=0,F68=0),0,IF(AND(AP$3&gt;=G68,AP$3&lt;H68),F68*MIN(12,E68-(AP$3-G68)*12)/E68,0))</f>
        <v>0</v>
      </c>
      <c r="AQ6" s="44" t="n">
        <f aca="false">IF(OR(D68=0,E68=0,F68=0),0,IF(AND(AQ$3&gt;=G68,AQ$3&lt;H68),F68*MIN(12,E68-(AQ$3-G68)*12)/E68,0))</f>
        <v>0</v>
      </c>
      <c r="AR6" s="44" t="n">
        <f aca="false">IF(OR(D68=0,E68=0,F68=0),0,IF(AND(AR$3&gt;=G68,AR$3&lt;H68),F68*MIN(12,E68-(AR$3-G68)*12)/E68,0))</f>
        <v>0</v>
      </c>
      <c r="AS6" s="44" t="n">
        <f aca="false">IF(OR(D68=0,E68=0,F68=0),0,IF(AND(AS$3&gt;=G68,AS$3&lt;H68),F68*MIN(12,E68-(AS$3-G68)*12)/E68,0))</f>
        <v>0</v>
      </c>
      <c r="AT6" s="44" t="n">
        <f aca="false">IF(OR(D68=0,E68=0,F68=0),0,IF(AND(AT$3&gt;=G68,AT$3&lt;H68),F68*MIN(12,E68-(AT$3-G68)*12)/E68,0))</f>
        <v>0</v>
      </c>
      <c r="AU6" s="44" t="n">
        <f aca="false">IF(OR(D68=0,E68=0,F68=0),0,IF(AND(AU$3&gt;=G68,AU$3&lt;H68),F68*MIN(12,E68-(AU$3-G68)*12)/E68,0))</f>
        <v>0</v>
      </c>
      <c r="AV6" s="44" t="n">
        <f aca="false">IF(OR(D68=0,E68=0,F68=0),0,IF(AND(AV$3&gt;=G68,AV$3&lt;H68),F68*MIN(12,E68-(AV$3-G68)*12)/E68,0))</f>
        <v>0</v>
      </c>
      <c r="AW6" s="44" t="n">
        <f aca="false">IF(OR(D68=0,E68=0,F68=0),0,IF(AND(AW$3&gt;=G68,AW$3&lt;H68),F68*MIN(12,E68-(AW$3-G68)*12)/E68,0))</f>
        <v>0</v>
      </c>
      <c r="AX6" s="44" t="n">
        <f aca="false">IF(OR(D68=0,E68=0,F68=0),0,IF(AND(AX$3&gt;=G68,AX$3&lt;H68),F68*MIN(12,E68-(AX$3-G68)*12)/E68,0))</f>
        <v>0</v>
      </c>
      <c r="AY6" s="44" t="n">
        <f aca="false">IF(OR(D68=0,E68=0,F68=0),0,IF(AND(AY$3&gt;=G68,AY$3&lt;H68),F68*MIN(12,E68-(AY$3-G68)*12)/E68,0))</f>
        <v>0</v>
      </c>
      <c r="AZ6" s="44" t="n">
        <f aca="false">IF(OR(D68=0,E68=0,F68=0),0,IF(AND(AZ$3&gt;=G68,AZ$3&lt;H68),F68*MIN(12,E68-(AZ$3-G68)*12)/E68,0))</f>
        <v>0</v>
      </c>
      <c r="BA6" s="44" t="n">
        <f aca="false">IF(OR(D68=0,E68=0,F68=0),0,IF(AND(BA$3&gt;=G68,BA$3&lt;H68),F68*MIN(12,E68-(BA$3-G68)*12)/E68,0))</f>
        <v>0</v>
      </c>
      <c r="BB6" s="44" t="n">
        <f aca="false">IF(OR(D68=0,E68=0,F68=0),0,IF(AND(BB$3&gt;=G68,BB$3&lt;H68),F68*MIN(12,E68-(BB$3-G68)*12)/E68,0))</f>
        <v>0</v>
      </c>
    </row>
    <row r="7" customFormat="false" ht="15" hidden="false" customHeight="true" outlineLevel="0" collapsed="false">
      <c r="A7" s="44" t="n">
        <f aca="false">A69</f>
        <v>4</v>
      </c>
      <c r="B7" s="44" t="str">
        <f aca="false">B69</f>
        <v>Fuel Station</v>
      </c>
      <c r="C7" s="44" t="str">
        <f aca="false">C69</f>
        <v>ZAN 1</v>
      </c>
      <c r="D7" s="44" t="n">
        <f aca="false">SUM(E7:BB7)</f>
        <v>6212745</v>
      </c>
      <c r="E7" s="44" t="n">
        <f aca="false">IF(OR(D69=0,E69=0,F69=0),0,IF(AND(E$3&gt;=G69,E$3&lt;H69),F69*MIN(12,E69-(E$3-G69)*12)/E69,0))</f>
        <v>0</v>
      </c>
      <c r="F7" s="44" t="n">
        <f aca="false">IF(OR(D69=0,E69=0,F69=0),0,IF(AND(F$3&gt;=G69,F$3&lt;H69),F69*MIN(12,E69-(F$3-G69)*12)/E69,0))</f>
        <v>0</v>
      </c>
      <c r="G7" s="44" t="n">
        <f aca="false">IF(OR(D69=0,E69=0,F69=0),0,IF(AND(G$3&gt;=G69,G$3&lt;H69),F69*MIN(12,E69-(G$3-G69)*12)/E69,0))</f>
        <v>6212745</v>
      </c>
      <c r="H7" s="44" t="n">
        <f aca="false">IF(OR(D69=0,E69=0,F69=0),0,IF(AND(H$3&gt;=G69,H$3&lt;H69),F69*MIN(12,E69-(H$3-G69)*12)/E69,0))</f>
        <v>0</v>
      </c>
      <c r="I7" s="44" t="n">
        <f aca="false">IF(OR(D69=0,E69=0,F69=0),0,IF(AND(I$3&gt;=G69,I$3&lt;H69),F69*MIN(12,E69-(I$3-G69)*12)/E69,0))</f>
        <v>0</v>
      </c>
      <c r="J7" s="44" t="n">
        <f aca="false">IF(OR(D69=0,E69=0,F69=0),0,IF(AND(J$3&gt;=G69,J$3&lt;H69),F69*MIN(12,E69-(J$3-G69)*12)/E69,0))</f>
        <v>0</v>
      </c>
      <c r="K7" s="44" t="n">
        <f aca="false">IF(OR(D69=0,E69=0,F69=0),0,IF(AND(K$3&gt;=G69,K$3&lt;H69),F69*MIN(12,E69-(K$3-G69)*12)/E69,0))</f>
        <v>0</v>
      </c>
      <c r="L7" s="44" t="n">
        <f aca="false">IF(OR(D69=0,E69=0,F69=0),0,IF(AND(L$3&gt;=G69,L$3&lt;H69),F69*MIN(12,E69-(L$3-G69)*12)/E69,0))</f>
        <v>0</v>
      </c>
      <c r="M7" s="44" t="n">
        <f aca="false">IF(OR(D69=0,E69=0,F69=0),0,IF(AND(M$3&gt;=G69,M$3&lt;H69),F69*MIN(12,E69-(M$3-G69)*12)/E69,0))</f>
        <v>0</v>
      </c>
      <c r="N7" s="44" t="n">
        <f aca="false">IF(OR(D69=0,E69=0,F69=0),0,IF(AND(N$3&gt;=G69,N$3&lt;H69),F69*MIN(12,E69-(N$3-G69)*12)/E69,0))</f>
        <v>0</v>
      </c>
      <c r="O7" s="44" t="n">
        <f aca="false">IF(OR(D69=0,E69=0,F69=0),0,IF(AND(O$3&gt;=G69,O$3&lt;H69),F69*MIN(12,E69-(O$3-G69)*12)/E69,0))</f>
        <v>0</v>
      </c>
      <c r="P7" s="44" t="n">
        <f aca="false">IF(OR(D69=0,E69=0,F69=0),0,IF(AND(P$3&gt;=G69,P$3&lt;H69),F69*MIN(12,E69-(P$3-G69)*12)/E69,0))</f>
        <v>0</v>
      </c>
      <c r="Q7" s="44" t="n">
        <f aca="false">IF(OR(D69=0,E69=0,F69=0),0,IF(AND(Q$3&gt;=G69,Q$3&lt;H69),F69*MIN(12,E69-(Q$3-G69)*12)/E69,0))</f>
        <v>0</v>
      </c>
      <c r="R7" s="44" t="n">
        <f aca="false">IF(OR(D69=0,E69=0,F69=0),0,IF(AND(R$3&gt;=G69,R$3&lt;H69),F69*MIN(12,E69-(R$3-G69)*12)/E69,0))</f>
        <v>0</v>
      </c>
      <c r="S7" s="44" t="n">
        <f aca="false">IF(OR(D69=0,E69=0,F69=0),0,IF(AND(S$3&gt;=G69,S$3&lt;H69),F69*MIN(12,E69-(S$3-G69)*12)/E69,0))</f>
        <v>0</v>
      </c>
      <c r="T7" s="44" t="n">
        <f aca="false">IF(OR(D69=0,E69=0,F69=0),0,IF(AND(T$3&gt;=G69,T$3&lt;H69),F69*MIN(12,E69-(T$3-G69)*12)/E69,0))</f>
        <v>0</v>
      </c>
      <c r="U7" s="44" t="n">
        <f aca="false">IF(OR(D69=0,E69=0,F69=0),0,IF(AND(U$3&gt;=G69,U$3&lt;H69),F69*MIN(12,E69-(U$3-G69)*12)/E69,0))</f>
        <v>0</v>
      </c>
      <c r="V7" s="44" t="n">
        <f aca="false">IF(OR(D69=0,E69=0,F69=0),0,IF(AND(V$3&gt;=G69,V$3&lt;H69),F69*MIN(12,E69-(V$3-G69)*12)/E69,0))</f>
        <v>0</v>
      </c>
      <c r="W7" s="44" t="n">
        <f aca="false">IF(OR(D69=0,E69=0,F69=0),0,IF(AND(W$3&gt;=G69,W$3&lt;H69),F69*MIN(12,E69-(W$3-G69)*12)/E69,0))</f>
        <v>0</v>
      </c>
      <c r="X7" s="44" t="n">
        <f aca="false">IF(OR(D69=0,E69=0,F69=0),0,IF(AND(X$3&gt;=G69,X$3&lt;H69),F69*MIN(12,E69-(X$3-G69)*12)/E69,0))</f>
        <v>0</v>
      </c>
      <c r="Y7" s="44" t="n">
        <f aca="false">IF(OR(D69=0,E69=0,F69=0),0,IF(AND(Y$3&gt;=G69,Y$3&lt;H69),F69*MIN(12,E69-(Y$3-G69)*12)/E69,0))</f>
        <v>0</v>
      </c>
      <c r="Z7" s="44" t="n">
        <f aca="false">IF(OR(D69=0,E69=0,F69=0),0,IF(AND(Z$3&gt;=G69,Z$3&lt;H69),F69*MIN(12,E69-(Z$3-G69)*12)/E69,0))</f>
        <v>0</v>
      </c>
      <c r="AA7" s="44" t="n">
        <f aca="false">IF(OR(D69=0,E69=0,F69=0),0,IF(AND(AA$3&gt;=G69,AA$3&lt;H69),F69*MIN(12,E69-(AA$3-G69)*12)/E69,0))</f>
        <v>0</v>
      </c>
      <c r="AB7" s="44" t="n">
        <f aca="false">IF(OR(D69=0,E69=0,F69=0),0,IF(AND(AB$3&gt;=G69,AB$3&lt;H69),F69*MIN(12,E69-(AB$3-G69)*12)/E69,0))</f>
        <v>0</v>
      </c>
      <c r="AC7" s="44" t="n">
        <f aca="false">IF(OR(D69=0,E69=0,F69=0),0,IF(AND(AC$3&gt;=G69,AC$3&lt;H69),F69*MIN(12,E69-(AC$3-G69)*12)/E69,0))</f>
        <v>0</v>
      </c>
      <c r="AD7" s="44" t="n">
        <f aca="false">IF(OR(D69=0,E69=0,F69=0),0,IF(AND(AD$3&gt;=G69,AD$3&lt;H69),F69*MIN(12,E69-(AD$3-G69)*12)/E69,0))</f>
        <v>0</v>
      </c>
      <c r="AE7" s="44" t="n">
        <f aca="false">IF(OR(D69=0,E69=0,F69=0),0,IF(AND(AE$3&gt;=G69,AE$3&lt;H69),F69*MIN(12,E69-(AE$3-G69)*12)/E69,0))</f>
        <v>0</v>
      </c>
      <c r="AF7" s="44" t="n">
        <f aca="false">IF(OR(D69=0,E69=0,F69=0),0,IF(AND(AF$3&gt;=G69,AF$3&lt;H69),F69*MIN(12,E69-(AF$3-G69)*12)/E69,0))</f>
        <v>0</v>
      </c>
      <c r="AG7" s="44" t="n">
        <f aca="false">IF(OR(D69=0,E69=0,F69=0),0,IF(AND(AG$3&gt;=G69,AG$3&lt;H69),F69*MIN(12,E69-(AG$3-G69)*12)/E69,0))</f>
        <v>0</v>
      </c>
      <c r="AH7" s="44" t="n">
        <f aca="false">IF(OR(D69=0,E69=0,F69=0),0,IF(AND(AH$3&gt;=G69,AH$3&lt;H69),F69*MIN(12,E69-(AH$3-G69)*12)/E69,0))</f>
        <v>0</v>
      </c>
      <c r="AI7" s="44" t="n">
        <f aca="false">IF(OR(D69=0,E69=0,F69=0),0,IF(AND(AI$3&gt;=G69,AI$3&lt;H69),F69*MIN(12,E69-(AI$3-G69)*12)/E69,0))</f>
        <v>0</v>
      </c>
      <c r="AJ7" s="44" t="n">
        <f aca="false">IF(OR(D69=0,E69=0,F69=0),0,IF(AND(AJ$3&gt;=G69,AJ$3&lt;H69),F69*MIN(12,E69-(AJ$3-G69)*12)/E69,0))</f>
        <v>0</v>
      </c>
      <c r="AK7" s="44" t="n">
        <f aca="false">IF(OR(D69=0,E69=0,F69=0),0,IF(AND(AK$3&gt;=G69,AK$3&lt;H69),F69*MIN(12,E69-(AK$3-G69)*12)/E69,0))</f>
        <v>0</v>
      </c>
      <c r="AL7" s="44" t="n">
        <f aca="false">IF(OR(D69=0,E69=0,F69=0),0,IF(AND(AL$3&gt;=G69,AL$3&lt;H69),F69*MIN(12,E69-(AL$3-G69)*12)/E69,0))</f>
        <v>0</v>
      </c>
      <c r="AM7" s="44" t="n">
        <f aca="false">IF(OR(D69=0,E69=0,F69=0),0,IF(AND(AM$3&gt;=G69,AM$3&lt;H69),F69*MIN(12,E69-(AM$3-G69)*12)/E69,0))</f>
        <v>0</v>
      </c>
      <c r="AN7" s="44" t="n">
        <f aca="false">IF(OR(D69=0,E69=0,F69=0),0,IF(AND(AN$3&gt;=G69,AN$3&lt;H69),F69*MIN(12,E69-(AN$3-G69)*12)/E69,0))</f>
        <v>0</v>
      </c>
      <c r="AO7" s="44" t="n">
        <f aca="false">IF(OR(D69=0,E69=0,F69=0),0,IF(AND(AO$3&gt;=G69,AO$3&lt;H69),F69*MIN(12,E69-(AO$3-G69)*12)/E69,0))</f>
        <v>0</v>
      </c>
      <c r="AP7" s="44" t="n">
        <f aca="false">IF(OR(D69=0,E69=0,F69=0),0,IF(AND(AP$3&gt;=G69,AP$3&lt;H69),F69*MIN(12,E69-(AP$3-G69)*12)/E69,0))</f>
        <v>0</v>
      </c>
      <c r="AQ7" s="44" t="n">
        <f aca="false">IF(OR(D69=0,E69=0,F69=0),0,IF(AND(AQ$3&gt;=G69,AQ$3&lt;H69),F69*MIN(12,E69-(AQ$3-G69)*12)/E69,0))</f>
        <v>0</v>
      </c>
      <c r="AR7" s="44" t="n">
        <f aca="false">IF(OR(D69=0,E69=0,F69=0),0,IF(AND(AR$3&gt;=G69,AR$3&lt;H69),F69*MIN(12,E69-(AR$3-G69)*12)/E69,0))</f>
        <v>0</v>
      </c>
      <c r="AS7" s="44" t="n">
        <f aca="false">IF(OR(D69=0,E69=0,F69=0),0,IF(AND(AS$3&gt;=G69,AS$3&lt;H69),F69*MIN(12,E69-(AS$3-G69)*12)/E69,0))</f>
        <v>0</v>
      </c>
      <c r="AT7" s="44" t="n">
        <f aca="false">IF(OR(D69=0,E69=0,F69=0),0,IF(AND(AT$3&gt;=G69,AT$3&lt;H69),F69*MIN(12,E69-(AT$3-G69)*12)/E69,0))</f>
        <v>0</v>
      </c>
      <c r="AU7" s="44" t="n">
        <f aca="false">IF(OR(D69=0,E69=0,F69=0),0,IF(AND(AU$3&gt;=G69,AU$3&lt;H69),F69*MIN(12,E69-(AU$3-G69)*12)/E69,0))</f>
        <v>0</v>
      </c>
      <c r="AV7" s="44" t="n">
        <f aca="false">IF(OR(D69=0,E69=0,F69=0),0,IF(AND(AV$3&gt;=G69,AV$3&lt;H69),F69*MIN(12,E69-(AV$3-G69)*12)/E69,0))</f>
        <v>0</v>
      </c>
      <c r="AW7" s="44" t="n">
        <f aca="false">IF(OR(D69=0,E69=0,F69=0),0,IF(AND(AW$3&gt;=G69,AW$3&lt;H69),F69*MIN(12,E69-(AW$3-G69)*12)/E69,0))</f>
        <v>0</v>
      </c>
      <c r="AX7" s="44" t="n">
        <f aca="false">IF(OR(D69=0,E69=0,F69=0),0,IF(AND(AX$3&gt;=G69,AX$3&lt;H69),F69*MIN(12,E69-(AX$3-G69)*12)/E69,0))</f>
        <v>0</v>
      </c>
      <c r="AY7" s="44" t="n">
        <f aca="false">IF(OR(D69=0,E69=0,F69=0),0,IF(AND(AY$3&gt;=G69,AY$3&lt;H69),F69*MIN(12,E69-(AY$3-G69)*12)/E69,0))</f>
        <v>0</v>
      </c>
      <c r="AZ7" s="44" t="n">
        <f aca="false">IF(OR(D69=0,E69=0,F69=0),0,IF(AND(AZ$3&gt;=G69,AZ$3&lt;H69),F69*MIN(12,E69-(AZ$3-G69)*12)/E69,0))</f>
        <v>0</v>
      </c>
      <c r="BA7" s="44" t="n">
        <f aca="false">IF(OR(D69=0,E69=0,F69=0),0,IF(AND(BA$3&gt;=G69,BA$3&lt;H69),F69*MIN(12,E69-(BA$3-G69)*12)/E69,0))</f>
        <v>0</v>
      </c>
      <c r="BB7" s="44" t="n">
        <f aca="false">IF(OR(D69=0,E69=0,F69=0),0,IF(AND(BB$3&gt;=G69,BB$3&lt;H69),F69*MIN(12,E69-(BB$3-G69)*12)/E69,0))</f>
        <v>0</v>
      </c>
    </row>
    <row r="8" customFormat="false" ht="15" hidden="false" customHeight="true" outlineLevel="0" collapsed="false">
      <c r="A8" s="44" t="n">
        <f aca="false">A70</f>
        <v>5</v>
      </c>
      <c r="B8" s="44" t="str">
        <f aca="false">B70</f>
        <v>Marina Berths</v>
      </c>
      <c r="C8" s="44" t="str">
        <f aca="false">C70</f>
        <v>ZAN 1</v>
      </c>
      <c r="D8" s="44" t="n">
        <f aca="false">SUM(E8:BB8)</f>
        <v>44352000</v>
      </c>
      <c r="E8" s="44" t="n">
        <f aca="false">IF(OR(D70=0,E70=0,F70=0),0,IF(AND(E$3&gt;=G70,E$3&lt;H70),F70*MIN(12,E70-(E$3-G70)*12)/E70,0))</f>
        <v>0</v>
      </c>
      <c r="F8" s="44" t="n">
        <f aca="false">IF(OR(D70=0,E70=0,F70=0),0,IF(AND(F$3&gt;=G70,F$3&lt;H70),F70*MIN(12,E70-(F$3-G70)*12)/E70,0))</f>
        <v>0</v>
      </c>
      <c r="G8" s="44" t="n">
        <f aca="false">IF(OR(D70=0,E70=0,F70=0),0,IF(AND(G$3&gt;=G70,G$3&lt;H70),F70*MIN(12,E70-(G$3-G70)*12)/E70,0))</f>
        <v>0</v>
      </c>
      <c r="H8" s="44" t="n">
        <f aca="false">IF(OR(D70=0,E70=0,F70=0),0,IF(AND(H$3&gt;=G70,H$3&lt;H70),F70*MIN(12,E70-(H$3-G70)*12)/E70,0))</f>
        <v>0</v>
      </c>
      <c r="I8" s="44" t="n">
        <f aca="false">IF(OR(D70=0,E70=0,F70=0),0,IF(AND(I$3&gt;=G70,I$3&lt;H70),F70*MIN(12,E70-(I$3-G70)*12)/E70,0))</f>
        <v>44352000</v>
      </c>
      <c r="J8" s="44" t="n">
        <f aca="false">IF(OR(D70=0,E70=0,F70=0),0,IF(AND(J$3&gt;=G70,J$3&lt;H70),F70*MIN(12,E70-(J$3-G70)*12)/E70,0))</f>
        <v>0</v>
      </c>
      <c r="K8" s="44" t="n">
        <f aca="false">IF(OR(D70=0,E70=0,F70=0),0,IF(AND(K$3&gt;=G70,K$3&lt;H70),F70*MIN(12,E70-(K$3-G70)*12)/E70,0))</f>
        <v>0</v>
      </c>
      <c r="L8" s="44" t="n">
        <f aca="false">IF(OR(D70=0,E70=0,F70=0),0,IF(AND(L$3&gt;=G70,L$3&lt;H70),F70*MIN(12,E70-(L$3-G70)*12)/E70,0))</f>
        <v>0</v>
      </c>
      <c r="M8" s="44" t="n">
        <f aca="false">IF(OR(D70=0,E70=0,F70=0),0,IF(AND(M$3&gt;=G70,M$3&lt;H70),F70*MIN(12,E70-(M$3-G70)*12)/E70,0))</f>
        <v>0</v>
      </c>
      <c r="N8" s="44" t="n">
        <f aca="false">IF(OR(D70=0,E70=0,F70=0),0,IF(AND(N$3&gt;=G70,N$3&lt;H70),F70*MIN(12,E70-(N$3-G70)*12)/E70,0))</f>
        <v>0</v>
      </c>
      <c r="O8" s="44" t="n">
        <f aca="false">IF(OR(D70=0,E70=0,F70=0),0,IF(AND(O$3&gt;=G70,O$3&lt;H70),F70*MIN(12,E70-(O$3-G70)*12)/E70,0))</f>
        <v>0</v>
      </c>
      <c r="P8" s="44" t="n">
        <f aca="false">IF(OR(D70=0,E70=0,F70=0),0,IF(AND(P$3&gt;=G70,P$3&lt;H70),F70*MIN(12,E70-(P$3-G70)*12)/E70,0))</f>
        <v>0</v>
      </c>
      <c r="Q8" s="44" t="n">
        <f aca="false">IF(OR(D70=0,E70=0,F70=0),0,IF(AND(Q$3&gt;=G70,Q$3&lt;H70),F70*MIN(12,E70-(Q$3-G70)*12)/E70,0))</f>
        <v>0</v>
      </c>
      <c r="R8" s="44" t="n">
        <f aca="false">IF(OR(D70=0,E70=0,F70=0),0,IF(AND(R$3&gt;=G70,R$3&lt;H70),F70*MIN(12,E70-(R$3-G70)*12)/E70,0))</f>
        <v>0</v>
      </c>
      <c r="S8" s="44" t="n">
        <f aca="false">IF(OR(D70=0,E70=0,F70=0),0,IF(AND(S$3&gt;=G70,S$3&lt;H70),F70*MIN(12,E70-(S$3-G70)*12)/E70,0))</f>
        <v>0</v>
      </c>
      <c r="T8" s="44" t="n">
        <f aca="false">IF(OR(D70=0,E70=0,F70=0),0,IF(AND(T$3&gt;=G70,T$3&lt;H70),F70*MIN(12,E70-(T$3-G70)*12)/E70,0))</f>
        <v>0</v>
      </c>
      <c r="U8" s="44" t="n">
        <f aca="false">IF(OR(D70=0,E70=0,F70=0),0,IF(AND(U$3&gt;=G70,U$3&lt;H70),F70*MIN(12,E70-(U$3-G70)*12)/E70,0))</f>
        <v>0</v>
      </c>
      <c r="V8" s="44" t="n">
        <f aca="false">IF(OR(D70=0,E70=0,F70=0),0,IF(AND(V$3&gt;=G70,V$3&lt;H70),F70*MIN(12,E70-(V$3-G70)*12)/E70,0))</f>
        <v>0</v>
      </c>
      <c r="W8" s="44" t="n">
        <f aca="false">IF(OR(D70=0,E70=0,F70=0),0,IF(AND(W$3&gt;=G70,W$3&lt;H70),F70*MIN(12,E70-(W$3-G70)*12)/E70,0))</f>
        <v>0</v>
      </c>
      <c r="X8" s="44" t="n">
        <f aca="false">IF(OR(D70=0,E70=0,F70=0),0,IF(AND(X$3&gt;=G70,X$3&lt;H70),F70*MIN(12,E70-(X$3-G70)*12)/E70,0))</f>
        <v>0</v>
      </c>
      <c r="Y8" s="44" t="n">
        <f aca="false">IF(OR(D70=0,E70=0,F70=0),0,IF(AND(Y$3&gt;=G70,Y$3&lt;H70),F70*MIN(12,E70-(Y$3-G70)*12)/E70,0))</f>
        <v>0</v>
      </c>
      <c r="Z8" s="44" t="n">
        <f aca="false">IF(OR(D70=0,E70=0,F70=0),0,IF(AND(Z$3&gt;=G70,Z$3&lt;H70),F70*MIN(12,E70-(Z$3-G70)*12)/E70,0))</f>
        <v>0</v>
      </c>
      <c r="AA8" s="44" t="n">
        <f aca="false">IF(OR(D70=0,E70=0,F70=0),0,IF(AND(AA$3&gt;=G70,AA$3&lt;H70),F70*MIN(12,E70-(AA$3-G70)*12)/E70,0))</f>
        <v>0</v>
      </c>
      <c r="AB8" s="44" t="n">
        <f aca="false">IF(OR(D70=0,E70=0,F70=0),0,IF(AND(AB$3&gt;=G70,AB$3&lt;H70),F70*MIN(12,E70-(AB$3-G70)*12)/E70,0))</f>
        <v>0</v>
      </c>
      <c r="AC8" s="44" t="n">
        <f aca="false">IF(OR(D70=0,E70=0,F70=0),0,IF(AND(AC$3&gt;=G70,AC$3&lt;H70),F70*MIN(12,E70-(AC$3-G70)*12)/E70,0))</f>
        <v>0</v>
      </c>
      <c r="AD8" s="44" t="n">
        <f aca="false">IF(OR(D70=0,E70=0,F70=0),0,IF(AND(AD$3&gt;=G70,AD$3&lt;H70),F70*MIN(12,E70-(AD$3-G70)*12)/E70,0))</f>
        <v>0</v>
      </c>
      <c r="AE8" s="44" t="n">
        <f aca="false">IF(OR(D70=0,E70=0,F70=0),0,IF(AND(AE$3&gt;=G70,AE$3&lt;H70),F70*MIN(12,E70-(AE$3-G70)*12)/E70,0))</f>
        <v>0</v>
      </c>
      <c r="AF8" s="44" t="n">
        <f aca="false">IF(OR(D70=0,E70=0,F70=0),0,IF(AND(AF$3&gt;=G70,AF$3&lt;H70),F70*MIN(12,E70-(AF$3-G70)*12)/E70,0))</f>
        <v>0</v>
      </c>
      <c r="AG8" s="44" t="n">
        <f aca="false">IF(OR(D70=0,E70=0,F70=0),0,IF(AND(AG$3&gt;=G70,AG$3&lt;H70),F70*MIN(12,E70-(AG$3-G70)*12)/E70,0))</f>
        <v>0</v>
      </c>
      <c r="AH8" s="44" t="n">
        <f aca="false">IF(OR(D70=0,E70=0,F70=0),0,IF(AND(AH$3&gt;=G70,AH$3&lt;H70),F70*MIN(12,E70-(AH$3-G70)*12)/E70,0))</f>
        <v>0</v>
      </c>
      <c r="AI8" s="44" t="n">
        <f aca="false">IF(OR(D70=0,E70=0,F70=0),0,IF(AND(AI$3&gt;=G70,AI$3&lt;H70),F70*MIN(12,E70-(AI$3-G70)*12)/E70,0))</f>
        <v>0</v>
      </c>
      <c r="AJ8" s="44" t="n">
        <f aca="false">IF(OR(D70=0,E70=0,F70=0),0,IF(AND(AJ$3&gt;=G70,AJ$3&lt;H70),F70*MIN(12,E70-(AJ$3-G70)*12)/E70,0))</f>
        <v>0</v>
      </c>
      <c r="AK8" s="44" t="n">
        <f aca="false">IF(OR(D70=0,E70=0,F70=0),0,IF(AND(AK$3&gt;=G70,AK$3&lt;H70),F70*MIN(12,E70-(AK$3-G70)*12)/E70,0))</f>
        <v>0</v>
      </c>
      <c r="AL8" s="44" t="n">
        <f aca="false">IF(OR(D70=0,E70=0,F70=0),0,IF(AND(AL$3&gt;=G70,AL$3&lt;H70),F70*MIN(12,E70-(AL$3-G70)*12)/E70,0))</f>
        <v>0</v>
      </c>
      <c r="AM8" s="44" t="n">
        <f aca="false">IF(OR(D70=0,E70=0,F70=0),0,IF(AND(AM$3&gt;=G70,AM$3&lt;H70),F70*MIN(12,E70-(AM$3-G70)*12)/E70,0))</f>
        <v>0</v>
      </c>
      <c r="AN8" s="44" t="n">
        <f aca="false">IF(OR(D70=0,E70=0,F70=0),0,IF(AND(AN$3&gt;=G70,AN$3&lt;H70),F70*MIN(12,E70-(AN$3-G70)*12)/E70,0))</f>
        <v>0</v>
      </c>
      <c r="AO8" s="44" t="n">
        <f aca="false">IF(OR(D70=0,E70=0,F70=0),0,IF(AND(AO$3&gt;=G70,AO$3&lt;H70),F70*MIN(12,E70-(AO$3-G70)*12)/E70,0))</f>
        <v>0</v>
      </c>
      <c r="AP8" s="44" t="n">
        <f aca="false">IF(OR(D70=0,E70=0,F70=0),0,IF(AND(AP$3&gt;=G70,AP$3&lt;H70),F70*MIN(12,E70-(AP$3-G70)*12)/E70,0))</f>
        <v>0</v>
      </c>
      <c r="AQ8" s="44" t="n">
        <f aca="false">IF(OR(D70=0,E70=0,F70=0),0,IF(AND(AQ$3&gt;=G70,AQ$3&lt;H70),F70*MIN(12,E70-(AQ$3-G70)*12)/E70,0))</f>
        <v>0</v>
      </c>
      <c r="AR8" s="44" t="n">
        <f aca="false">IF(OR(D70=0,E70=0,F70=0),0,IF(AND(AR$3&gt;=G70,AR$3&lt;H70),F70*MIN(12,E70-(AR$3-G70)*12)/E70,0))</f>
        <v>0</v>
      </c>
      <c r="AS8" s="44" t="n">
        <f aca="false">IF(OR(D70=0,E70=0,F70=0),0,IF(AND(AS$3&gt;=G70,AS$3&lt;H70),F70*MIN(12,E70-(AS$3-G70)*12)/E70,0))</f>
        <v>0</v>
      </c>
      <c r="AT8" s="44" t="n">
        <f aca="false">IF(OR(D70=0,E70=0,F70=0),0,IF(AND(AT$3&gt;=G70,AT$3&lt;H70),F70*MIN(12,E70-(AT$3-G70)*12)/E70,0))</f>
        <v>0</v>
      </c>
      <c r="AU8" s="44" t="n">
        <f aca="false">IF(OR(D70=0,E70=0,F70=0),0,IF(AND(AU$3&gt;=G70,AU$3&lt;H70),F70*MIN(12,E70-(AU$3-G70)*12)/E70,0))</f>
        <v>0</v>
      </c>
      <c r="AV8" s="44" t="n">
        <f aca="false">IF(OR(D70=0,E70=0,F70=0),0,IF(AND(AV$3&gt;=G70,AV$3&lt;H70),F70*MIN(12,E70-(AV$3-G70)*12)/E70,0))</f>
        <v>0</v>
      </c>
      <c r="AW8" s="44" t="n">
        <f aca="false">IF(OR(D70=0,E70=0,F70=0),0,IF(AND(AW$3&gt;=G70,AW$3&lt;H70),F70*MIN(12,E70-(AW$3-G70)*12)/E70,0))</f>
        <v>0</v>
      </c>
      <c r="AX8" s="44" t="n">
        <f aca="false">IF(OR(D70=0,E70=0,F70=0),0,IF(AND(AX$3&gt;=G70,AX$3&lt;H70),F70*MIN(12,E70-(AX$3-G70)*12)/E70,0))</f>
        <v>0</v>
      </c>
      <c r="AY8" s="44" t="n">
        <f aca="false">IF(OR(D70=0,E70=0,F70=0),0,IF(AND(AY$3&gt;=G70,AY$3&lt;H70),F70*MIN(12,E70-(AY$3-G70)*12)/E70,0))</f>
        <v>0</v>
      </c>
      <c r="AZ8" s="44" t="n">
        <f aca="false">IF(OR(D70=0,E70=0,F70=0),0,IF(AND(AZ$3&gt;=G70,AZ$3&lt;H70),F70*MIN(12,E70-(AZ$3-G70)*12)/E70,0))</f>
        <v>0</v>
      </c>
      <c r="BA8" s="44" t="n">
        <f aca="false">IF(OR(D70=0,E70=0,F70=0),0,IF(AND(BA$3&gt;=G70,BA$3&lt;H70),F70*MIN(12,E70-(BA$3-G70)*12)/E70,0))</f>
        <v>0</v>
      </c>
      <c r="BB8" s="44" t="n">
        <f aca="false">IF(OR(D70=0,E70=0,F70=0),0,IF(AND(BB$3&gt;=G70,BB$3&lt;H70),F70*MIN(12,E70-(BB$3-G70)*12)/E70,0))</f>
        <v>0</v>
      </c>
    </row>
    <row r="9" customFormat="false" ht="15" hidden="false" customHeight="true" outlineLevel="0" collapsed="false">
      <c r="A9" s="44" t="n">
        <f aca="false">A71</f>
        <v>6</v>
      </c>
      <c r="B9" s="44" t="str">
        <f aca="false">B71</f>
        <v>Marina Mall</v>
      </c>
      <c r="C9" s="44" t="str">
        <f aca="false">C71</f>
        <v>ZAN 1</v>
      </c>
      <c r="D9" s="44" t="n">
        <f aca="false">SUM(E9:BB9)</f>
        <v>140810670</v>
      </c>
      <c r="E9" s="44" t="n">
        <f aca="false">IF(OR(D71=0,E71=0,F71=0),0,IF(AND(E$3&gt;=G71,E$3&lt;H71),F71*MIN(12,E71-(E$3-G71)*12)/E71,0))</f>
        <v>0</v>
      </c>
      <c r="F9" s="44" t="n">
        <f aca="false">IF(OR(D71=0,E71=0,F71=0),0,IF(AND(F$3&gt;=G71,F$3&lt;H71),F71*MIN(12,E71-(F$3-G71)*12)/E71,0))</f>
        <v>0</v>
      </c>
      <c r="G9" s="44" t="n">
        <f aca="false">IF(OR(D71=0,E71=0,F71=0),0,IF(AND(G$3&gt;=G71,G$3&lt;H71),F71*MIN(12,E71-(G$3-G71)*12)/E71,0))</f>
        <v>56324268</v>
      </c>
      <c r="H9" s="44" t="n">
        <f aca="false">IF(OR(D71=0,E71=0,F71=0),0,IF(AND(H$3&gt;=G71,H$3&lt;H71),F71*MIN(12,E71-(H$3-G71)*12)/E71,0))</f>
        <v>56324268</v>
      </c>
      <c r="I9" s="44" t="n">
        <f aca="false">IF(OR(D71=0,E71=0,F71=0),0,IF(AND(I$3&gt;=G71,I$3&lt;H71),F71*MIN(12,E71-(I$3-G71)*12)/E71,0))</f>
        <v>28162134</v>
      </c>
      <c r="J9" s="44" t="n">
        <f aca="false">IF(OR(D71=0,E71=0,F71=0),0,IF(AND(J$3&gt;=G71,J$3&lt;H71),F71*MIN(12,E71-(J$3-G71)*12)/E71,0))</f>
        <v>0</v>
      </c>
      <c r="K9" s="44" t="n">
        <f aca="false">IF(OR(D71=0,E71=0,F71=0),0,IF(AND(K$3&gt;=G71,K$3&lt;H71),F71*MIN(12,E71-(K$3-G71)*12)/E71,0))</f>
        <v>0</v>
      </c>
      <c r="L9" s="44" t="n">
        <f aca="false">IF(OR(D71=0,E71=0,F71=0),0,IF(AND(L$3&gt;=G71,L$3&lt;H71),F71*MIN(12,E71-(L$3-G71)*12)/E71,0))</f>
        <v>0</v>
      </c>
      <c r="M9" s="44" t="n">
        <f aca="false">IF(OR(D71=0,E71=0,F71=0),0,IF(AND(M$3&gt;=G71,M$3&lt;H71),F71*MIN(12,E71-(M$3-G71)*12)/E71,0))</f>
        <v>0</v>
      </c>
      <c r="N9" s="44" t="n">
        <f aca="false">IF(OR(D71=0,E71=0,F71=0),0,IF(AND(N$3&gt;=G71,N$3&lt;H71),F71*MIN(12,E71-(N$3-G71)*12)/E71,0))</f>
        <v>0</v>
      </c>
      <c r="O9" s="44" t="n">
        <f aca="false">IF(OR(D71=0,E71=0,F71=0),0,IF(AND(O$3&gt;=G71,O$3&lt;H71),F71*MIN(12,E71-(O$3-G71)*12)/E71,0))</f>
        <v>0</v>
      </c>
      <c r="P9" s="44" t="n">
        <f aca="false">IF(OR(D71=0,E71=0,F71=0),0,IF(AND(P$3&gt;=G71,P$3&lt;H71),F71*MIN(12,E71-(P$3-G71)*12)/E71,0))</f>
        <v>0</v>
      </c>
      <c r="Q9" s="44" t="n">
        <f aca="false">IF(OR(D71=0,E71=0,F71=0),0,IF(AND(Q$3&gt;=G71,Q$3&lt;H71),F71*MIN(12,E71-(Q$3-G71)*12)/E71,0))</f>
        <v>0</v>
      </c>
      <c r="R9" s="44" t="n">
        <f aca="false">IF(OR(D71=0,E71=0,F71=0),0,IF(AND(R$3&gt;=G71,R$3&lt;H71),F71*MIN(12,E71-(R$3-G71)*12)/E71,0))</f>
        <v>0</v>
      </c>
      <c r="S9" s="44" t="n">
        <f aca="false">IF(OR(D71=0,E71=0,F71=0),0,IF(AND(S$3&gt;=G71,S$3&lt;H71),F71*MIN(12,E71-(S$3-G71)*12)/E71,0))</f>
        <v>0</v>
      </c>
      <c r="T9" s="44" t="n">
        <f aca="false">IF(OR(D71=0,E71=0,F71=0),0,IF(AND(T$3&gt;=G71,T$3&lt;H71),F71*MIN(12,E71-(T$3-G71)*12)/E71,0))</f>
        <v>0</v>
      </c>
      <c r="U9" s="44" t="n">
        <f aca="false">IF(OR(D71=0,E71=0,F71=0),0,IF(AND(U$3&gt;=G71,U$3&lt;H71),F71*MIN(12,E71-(U$3-G71)*12)/E71,0))</f>
        <v>0</v>
      </c>
      <c r="V9" s="44" t="n">
        <f aca="false">IF(OR(D71=0,E71=0,F71=0),0,IF(AND(V$3&gt;=G71,V$3&lt;H71),F71*MIN(12,E71-(V$3-G71)*12)/E71,0))</f>
        <v>0</v>
      </c>
      <c r="W9" s="44" t="n">
        <f aca="false">IF(OR(D71=0,E71=0,F71=0),0,IF(AND(W$3&gt;=G71,W$3&lt;H71),F71*MIN(12,E71-(W$3-G71)*12)/E71,0))</f>
        <v>0</v>
      </c>
      <c r="X9" s="44" t="n">
        <f aca="false">IF(OR(D71=0,E71=0,F71=0),0,IF(AND(X$3&gt;=G71,X$3&lt;H71),F71*MIN(12,E71-(X$3-G71)*12)/E71,0))</f>
        <v>0</v>
      </c>
      <c r="Y9" s="44" t="n">
        <f aca="false">IF(OR(D71=0,E71=0,F71=0),0,IF(AND(Y$3&gt;=G71,Y$3&lt;H71),F71*MIN(12,E71-(Y$3-G71)*12)/E71,0))</f>
        <v>0</v>
      </c>
      <c r="Z9" s="44" t="n">
        <f aca="false">IF(OR(D71=0,E71=0,F71=0),0,IF(AND(Z$3&gt;=G71,Z$3&lt;H71),F71*MIN(12,E71-(Z$3-G71)*12)/E71,0))</f>
        <v>0</v>
      </c>
      <c r="AA9" s="44" t="n">
        <f aca="false">IF(OR(D71=0,E71=0,F71=0),0,IF(AND(AA$3&gt;=G71,AA$3&lt;H71),F71*MIN(12,E71-(AA$3-G71)*12)/E71,0))</f>
        <v>0</v>
      </c>
      <c r="AB9" s="44" t="n">
        <f aca="false">IF(OR(D71=0,E71=0,F71=0),0,IF(AND(AB$3&gt;=G71,AB$3&lt;H71),F71*MIN(12,E71-(AB$3-G71)*12)/E71,0))</f>
        <v>0</v>
      </c>
      <c r="AC9" s="44" t="n">
        <f aca="false">IF(OR(D71=0,E71=0,F71=0),0,IF(AND(AC$3&gt;=G71,AC$3&lt;H71),F71*MIN(12,E71-(AC$3-G71)*12)/E71,0))</f>
        <v>0</v>
      </c>
      <c r="AD9" s="44" t="n">
        <f aca="false">IF(OR(D71=0,E71=0,F71=0),0,IF(AND(AD$3&gt;=G71,AD$3&lt;H71),F71*MIN(12,E71-(AD$3-G71)*12)/E71,0))</f>
        <v>0</v>
      </c>
      <c r="AE9" s="44" t="n">
        <f aca="false">IF(OR(D71=0,E71=0,F71=0),0,IF(AND(AE$3&gt;=G71,AE$3&lt;H71),F71*MIN(12,E71-(AE$3-G71)*12)/E71,0))</f>
        <v>0</v>
      </c>
      <c r="AF9" s="44" t="n">
        <f aca="false">IF(OR(D71=0,E71=0,F71=0),0,IF(AND(AF$3&gt;=G71,AF$3&lt;H71),F71*MIN(12,E71-(AF$3-G71)*12)/E71,0))</f>
        <v>0</v>
      </c>
      <c r="AG9" s="44" t="n">
        <f aca="false">IF(OR(D71=0,E71=0,F71=0),0,IF(AND(AG$3&gt;=G71,AG$3&lt;H71),F71*MIN(12,E71-(AG$3-G71)*12)/E71,0))</f>
        <v>0</v>
      </c>
      <c r="AH9" s="44" t="n">
        <f aca="false">IF(OR(D71=0,E71=0,F71=0),0,IF(AND(AH$3&gt;=G71,AH$3&lt;H71),F71*MIN(12,E71-(AH$3-G71)*12)/E71,0))</f>
        <v>0</v>
      </c>
      <c r="AI9" s="44" t="n">
        <f aca="false">IF(OR(D71=0,E71=0,F71=0),0,IF(AND(AI$3&gt;=G71,AI$3&lt;H71),F71*MIN(12,E71-(AI$3-G71)*12)/E71,0))</f>
        <v>0</v>
      </c>
      <c r="AJ9" s="44" t="n">
        <f aca="false">IF(OR(D71=0,E71=0,F71=0),0,IF(AND(AJ$3&gt;=G71,AJ$3&lt;H71),F71*MIN(12,E71-(AJ$3-G71)*12)/E71,0))</f>
        <v>0</v>
      </c>
      <c r="AK9" s="44" t="n">
        <f aca="false">IF(OR(D71=0,E71=0,F71=0),0,IF(AND(AK$3&gt;=G71,AK$3&lt;H71),F71*MIN(12,E71-(AK$3-G71)*12)/E71,0))</f>
        <v>0</v>
      </c>
      <c r="AL9" s="44" t="n">
        <f aca="false">IF(OR(D71=0,E71=0,F71=0),0,IF(AND(AL$3&gt;=G71,AL$3&lt;H71),F71*MIN(12,E71-(AL$3-G71)*12)/E71,0))</f>
        <v>0</v>
      </c>
      <c r="AM9" s="44" t="n">
        <f aca="false">IF(OR(D71=0,E71=0,F71=0),0,IF(AND(AM$3&gt;=G71,AM$3&lt;H71),F71*MIN(12,E71-(AM$3-G71)*12)/E71,0))</f>
        <v>0</v>
      </c>
      <c r="AN9" s="44" t="n">
        <f aca="false">IF(OR(D71=0,E71=0,F71=0),0,IF(AND(AN$3&gt;=G71,AN$3&lt;H71),F71*MIN(12,E71-(AN$3-G71)*12)/E71,0))</f>
        <v>0</v>
      </c>
      <c r="AO9" s="44" t="n">
        <f aca="false">IF(OR(D71=0,E71=0,F71=0),0,IF(AND(AO$3&gt;=G71,AO$3&lt;H71),F71*MIN(12,E71-(AO$3-G71)*12)/E71,0))</f>
        <v>0</v>
      </c>
      <c r="AP9" s="44" t="n">
        <f aca="false">IF(OR(D71=0,E71=0,F71=0),0,IF(AND(AP$3&gt;=G71,AP$3&lt;H71),F71*MIN(12,E71-(AP$3-G71)*12)/E71,0))</f>
        <v>0</v>
      </c>
      <c r="AQ9" s="44" t="n">
        <f aca="false">IF(OR(D71=0,E71=0,F71=0),0,IF(AND(AQ$3&gt;=G71,AQ$3&lt;H71),F71*MIN(12,E71-(AQ$3-G71)*12)/E71,0))</f>
        <v>0</v>
      </c>
      <c r="AR9" s="44" t="n">
        <f aca="false">IF(OR(D71=0,E71=0,F71=0),0,IF(AND(AR$3&gt;=G71,AR$3&lt;H71),F71*MIN(12,E71-(AR$3-G71)*12)/E71,0))</f>
        <v>0</v>
      </c>
      <c r="AS9" s="44" t="n">
        <f aca="false">IF(OR(D71=0,E71=0,F71=0),0,IF(AND(AS$3&gt;=G71,AS$3&lt;H71),F71*MIN(12,E71-(AS$3-G71)*12)/E71,0))</f>
        <v>0</v>
      </c>
      <c r="AT9" s="44" t="n">
        <f aca="false">IF(OR(D71=0,E71=0,F71=0),0,IF(AND(AT$3&gt;=G71,AT$3&lt;H71),F71*MIN(12,E71-(AT$3-G71)*12)/E71,0))</f>
        <v>0</v>
      </c>
      <c r="AU9" s="44" t="n">
        <f aca="false">IF(OR(D71=0,E71=0,F71=0),0,IF(AND(AU$3&gt;=G71,AU$3&lt;H71),F71*MIN(12,E71-(AU$3-G71)*12)/E71,0))</f>
        <v>0</v>
      </c>
      <c r="AV9" s="44" t="n">
        <f aca="false">IF(OR(D71=0,E71=0,F71=0),0,IF(AND(AV$3&gt;=G71,AV$3&lt;H71),F71*MIN(12,E71-(AV$3-G71)*12)/E71,0))</f>
        <v>0</v>
      </c>
      <c r="AW9" s="44" t="n">
        <f aca="false">IF(OR(D71=0,E71=0,F71=0),0,IF(AND(AW$3&gt;=G71,AW$3&lt;H71),F71*MIN(12,E71-(AW$3-G71)*12)/E71,0))</f>
        <v>0</v>
      </c>
      <c r="AX9" s="44" t="n">
        <f aca="false">IF(OR(D71=0,E71=0,F71=0),0,IF(AND(AX$3&gt;=G71,AX$3&lt;H71),F71*MIN(12,E71-(AX$3-G71)*12)/E71,0))</f>
        <v>0</v>
      </c>
      <c r="AY9" s="44" t="n">
        <f aca="false">IF(OR(D71=0,E71=0,F71=0),0,IF(AND(AY$3&gt;=G71,AY$3&lt;H71),F71*MIN(12,E71-(AY$3-G71)*12)/E71,0))</f>
        <v>0</v>
      </c>
      <c r="AZ9" s="44" t="n">
        <f aca="false">IF(OR(D71=0,E71=0,F71=0),0,IF(AND(AZ$3&gt;=G71,AZ$3&lt;H71),F71*MIN(12,E71-(AZ$3-G71)*12)/E71,0))</f>
        <v>0</v>
      </c>
      <c r="BA9" s="44" t="n">
        <f aca="false">IF(OR(D71=0,E71=0,F71=0),0,IF(AND(BA$3&gt;=G71,BA$3&lt;H71),F71*MIN(12,E71-(BA$3-G71)*12)/E71,0))</f>
        <v>0</v>
      </c>
      <c r="BB9" s="44" t="n">
        <f aca="false">IF(OR(D71=0,E71=0,F71=0),0,IF(AND(BB$3&gt;=G71,BB$3&lt;H71),F71*MIN(12,E71-(BB$3-G71)*12)/E71,0))</f>
        <v>0</v>
      </c>
    </row>
    <row r="10" customFormat="false" ht="15" hidden="false" customHeight="true" outlineLevel="0" collapsed="false">
      <c r="A10" s="44" t="n">
        <f aca="false">A72</f>
        <v>7</v>
      </c>
      <c r="B10" s="44" t="str">
        <f aca="false">B72</f>
        <v>Seafront Mall</v>
      </c>
      <c r="C10" s="44" t="str">
        <f aca="false">C72</f>
        <v>ZAN 2</v>
      </c>
      <c r="D10" s="44" t="n">
        <f aca="false">SUM(E10:BB10)</f>
        <v>36051015</v>
      </c>
      <c r="E10" s="44" t="n">
        <f aca="false">IF(OR(D72=0,E72=0,F72=0),0,IF(AND(E$3&gt;=G72,E$3&lt;H72),F72*MIN(12,E72-(E$3-G72)*12)/E72,0))</f>
        <v>0</v>
      </c>
      <c r="F10" s="44" t="n">
        <f aca="false">IF(OR(D72=0,E72=0,F72=0),0,IF(AND(F$3&gt;=G72,F$3&lt;H72),F72*MIN(12,E72-(F$3-G72)*12)/E72,0))</f>
        <v>0</v>
      </c>
      <c r="G10" s="44" t="n">
        <f aca="false">IF(OR(D72=0,E72=0,F72=0),0,IF(AND(G$3&gt;=G72,G$3&lt;H72),F72*MIN(12,E72-(G$3-G72)*12)/E72,0))</f>
        <v>0</v>
      </c>
      <c r="H10" s="44" t="n">
        <f aca="false">IF(OR(D72=0,E72=0,F72=0),0,IF(AND(H$3&gt;=G72,H$3&lt;H72),F72*MIN(12,E72-(H$3-G72)*12)/E72,0))</f>
        <v>18025507.5</v>
      </c>
      <c r="I10" s="44" t="n">
        <f aca="false">IF(OR(D72=0,E72=0,F72=0),0,IF(AND(I$3&gt;=G72,I$3&lt;H72),F72*MIN(12,E72-(I$3-G72)*12)/E72,0))</f>
        <v>18025507.5</v>
      </c>
      <c r="J10" s="44" t="n">
        <f aca="false">IF(OR(D72=0,E72=0,F72=0),0,IF(AND(J$3&gt;=G72,J$3&lt;H72),F72*MIN(12,E72-(J$3-G72)*12)/E72,0))</f>
        <v>0</v>
      </c>
      <c r="K10" s="44" t="n">
        <f aca="false">IF(OR(D72=0,E72=0,F72=0),0,IF(AND(K$3&gt;=G72,K$3&lt;H72),F72*MIN(12,E72-(K$3-G72)*12)/E72,0))</f>
        <v>0</v>
      </c>
      <c r="L10" s="44" t="n">
        <f aca="false">IF(OR(D72=0,E72=0,F72=0),0,IF(AND(L$3&gt;=G72,L$3&lt;H72),F72*MIN(12,E72-(L$3-G72)*12)/E72,0))</f>
        <v>0</v>
      </c>
      <c r="M10" s="44" t="n">
        <f aca="false">IF(OR(D72=0,E72=0,F72=0),0,IF(AND(M$3&gt;=G72,M$3&lt;H72),F72*MIN(12,E72-(M$3-G72)*12)/E72,0))</f>
        <v>0</v>
      </c>
      <c r="N10" s="44" t="n">
        <f aca="false">IF(OR(D72=0,E72=0,F72=0),0,IF(AND(N$3&gt;=G72,N$3&lt;H72),F72*MIN(12,E72-(N$3-G72)*12)/E72,0))</f>
        <v>0</v>
      </c>
      <c r="O10" s="44" t="n">
        <f aca="false">IF(OR(D72=0,E72=0,F72=0),0,IF(AND(O$3&gt;=G72,O$3&lt;H72),F72*MIN(12,E72-(O$3-G72)*12)/E72,0))</f>
        <v>0</v>
      </c>
      <c r="P10" s="44" t="n">
        <f aca="false">IF(OR(D72=0,E72=0,F72=0),0,IF(AND(P$3&gt;=G72,P$3&lt;H72),F72*MIN(12,E72-(P$3-G72)*12)/E72,0))</f>
        <v>0</v>
      </c>
      <c r="Q10" s="44" t="n">
        <f aca="false">IF(OR(D72=0,E72=0,F72=0),0,IF(AND(Q$3&gt;=G72,Q$3&lt;H72),F72*MIN(12,E72-(Q$3-G72)*12)/E72,0))</f>
        <v>0</v>
      </c>
      <c r="R10" s="44" t="n">
        <f aca="false">IF(OR(D72=0,E72=0,F72=0),0,IF(AND(R$3&gt;=G72,R$3&lt;H72),F72*MIN(12,E72-(R$3-G72)*12)/E72,0))</f>
        <v>0</v>
      </c>
      <c r="S10" s="44" t="n">
        <f aca="false">IF(OR(D72=0,E72=0,F72=0),0,IF(AND(S$3&gt;=G72,S$3&lt;H72),F72*MIN(12,E72-(S$3-G72)*12)/E72,0))</f>
        <v>0</v>
      </c>
      <c r="T10" s="44" t="n">
        <f aca="false">IF(OR(D72=0,E72=0,F72=0),0,IF(AND(T$3&gt;=G72,T$3&lt;H72),F72*MIN(12,E72-(T$3-G72)*12)/E72,0))</f>
        <v>0</v>
      </c>
      <c r="U10" s="44" t="n">
        <f aca="false">IF(OR(D72=0,E72=0,F72=0),0,IF(AND(U$3&gt;=G72,U$3&lt;H72),F72*MIN(12,E72-(U$3-G72)*12)/E72,0))</f>
        <v>0</v>
      </c>
      <c r="V10" s="44" t="n">
        <f aca="false">IF(OR(D72=0,E72=0,F72=0),0,IF(AND(V$3&gt;=G72,V$3&lt;H72),F72*MIN(12,E72-(V$3-G72)*12)/E72,0))</f>
        <v>0</v>
      </c>
      <c r="W10" s="44" t="n">
        <f aca="false">IF(OR(D72=0,E72=0,F72=0),0,IF(AND(W$3&gt;=G72,W$3&lt;H72),F72*MIN(12,E72-(W$3-G72)*12)/E72,0))</f>
        <v>0</v>
      </c>
      <c r="X10" s="44" t="n">
        <f aca="false">IF(OR(D72=0,E72=0,F72=0),0,IF(AND(X$3&gt;=G72,X$3&lt;H72),F72*MIN(12,E72-(X$3-G72)*12)/E72,0))</f>
        <v>0</v>
      </c>
      <c r="Y10" s="44" t="n">
        <f aca="false">IF(OR(D72=0,E72=0,F72=0),0,IF(AND(Y$3&gt;=G72,Y$3&lt;H72),F72*MIN(12,E72-(Y$3-G72)*12)/E72,0))</f>
        <v>0</v>
      </c>
      <c r="Z10" s="44" t="n">
        <f aca="false">IF(OR(D72=0,E72=0,F72=0),0,IF(AND(Z$3&gt;=G72,Z$3&lt;H72),F72*MIN(12,E72-(Z$3-G72)*12)/E72,0))</f>
        <v>0</v>
      </c>
      <c r="AA10" s="44" t="n">
        <f aca="false">IF(OR(D72=0,E72=0,F72=0),0,IF(AND(AA$3&gt;=G72,AA$3&lt;H72),F72*MIN(12,E72-(AA$3-G72)*12)/E72,0))</f>
        <v>0</v>
      </c>
      <c r="AB10" s="44" t="n">
        <f aca="false">IF(OR(D72=0,E72=0,F72=0),0,IF(AND(AB$3&gt;=G72,AB$3&lt;H72),F72*MIN(12,E72-(AB$3-G72)*12)/E72,0))</f>
        <v>0</v>
      </c>
      <c r="AC10" s="44" t="n">
        <f aca="false">IF(OR(D72=0,E72=0,F72=0),0,IF(AND(AC$3&gt;=G72,AC$3&lt;H72),F72*MIN(12,E72-(AC$3-G72)*12)/E72,0))</f>
        <v>0</v>
      </c>
      <c r="AD10" s="44" t="n">
        <f aca="false">IF(OR(D72=0,E72=0,F72=0),0,IF(AND(AD$3&gt;=G72,AD$3&lt;H72),F72*MIN(12,E72-(AD$3-G72)*12)/E72,0))</f>
        <v>0</v>
      </c>
      <c r="AE10" s="44" t="n">
        <f aca="false">IF(OR(D72=0,E72=0,F72=0),0,IF(AND(AE$3&gt;=G72,AE$3&lt;H72),F72*MIN(12,E72-(AE$3-G72)*12)/E72,0))</f>
        <v>0</v>
      </c>
      <c r="AF10" s="44" t="n">
        <f aca="false">IF(OR(D72=0,E72=0,F72=0),0,IF(AND(AF$3&gt;=G72,AF$3&lt;H72),F72*MIN(12,E72-(AF$3-G72)*12)/E72,0))</f>
        <v>0</v>
      </c>
      <c r="AG10" s="44" t="n">
        <f aca="false">IF(OR(D72=0,E72=0,F72=0),0,IF(AND(AG$3&gt;=G72,AG$3&lt;H72),F72*MIN(12,E72-(AG$3-G72)*12)/E72,0))</f>
        <v>0</v>
      </c>
      <c r="AH10" s="44" t="n">
        <f aca="false">IF(OR(D72=0,E72=0,F72=0),0,IF(AND(AH$3&gt;=G72,AH$3&lt;H72),F72*MIN(12,E72-(AH$3-G72)*12)/E72,0))</f>
        <v>0</v>
      </c>
      <c r="AI10" s="44" t="n">
        <f aca="false">IF(OR(D72=0,E72=0,F72=0),0,IF(AND(AI$3&gt;=G72,AI$3&lt;H72),F72*MIN(12,E72-(AI$3-G72)*12)/E72,0))</f>
        <v>0</v>
      </c>
      <c r="AJ10" s="44" t="n">
        <f aca="false">IF(OR(D72=0,E72=0,F72=0),0,IF(AND(AJ$3&gt;=G72,AJ$3&lt;H72),F72*MIN(12,E72-(AJ$3-G72)*12)/E72,0))</f>
        <v>0</v>
      </c>
      <c r="AK10" s="44" t="n">
        <f aca="false">IF(OR(D72=0,E72=0,F72=0),0,IF(AND(AK$3&gt;=G72,AK$3&lt;H72),F72*MIN(12,E72-(AK$3-G72)*12)/E72,0))</f>
        <v>0</v>
      </c>
      <c r="AL10" s="44" t="n">
        <f aca="false">IF(OR(D72=0,E72=0,F72=0),0,IF(AND(AL$3&gt;=G72,AL$3&lt;H72),F72*MIN(12,E72-(AL$3-G72)*12)/E72,0))</f>
        <v>0</v>
      </c>
      <c r="AM10" s="44" t="n">
        <f aca="false">IF(OR(D72=0,E72=0,F72=0),0,IF(AND(AM$3&gt;=G72,AM$3&lt;H72),F72*MIN(12,E72-(AM$3-G72)*12)/E72,0))</f>
        <v>0</v>
      </c>
      <c r="AN10" s="44" t="n">
        <f aca="false">IF(OR(D72=0,E72=0,F72=0),0,IF(AND(AN$3&gt;=G72,AN$3&lt;H72),F72*MIN(12,E72-(AN$3-G72)*12)/E72,0))</f>
        <v>0</v>
      </c>
      <c r="AO10" s="44" t="n">
        <f aca="false">IF(OR(D72=0,E72=0,F72=0),0,IF(AND(AO$3&gt;=G72,AO$3&lt;H72),F72*MIN(12,E72-(AO$3-G72)*12)/E72,0))</f>
        <v>0</v>
      </c>
      <c r="AP10" s="44" t="n">
        <f aca="false">IF(OR(D72=0,E72=0,F72=0),0,IF(AND(AP$3&gt;=G72,AP$3&lt;H72),F72*MIN(12,E72-(AP$3-G72)*12)/E72,0))</f>
        <v>0</v>
      </c>
      <c r="AQ10" s="44" t="n">
        <f aca="false">IF(OR(D72=0,E72=0,F72=0),0,IF(AND(AQ$3&gt;=G72,AQ$3&lt;H72),F72*MIN(12,E72-(AQ$3-G72)*12)/E72,0))</f>
        <v>0</v>
      </c>
      <c r="AR10" s="44" t="n">
        <f aca="false">IF(OR(D72=0,E72=0,F72=0),0,IF(AND(AR$3&gt;=G72,AR$3&lt;H72),F72*MIN(12,E72-(AR$3-G72)*12)/E72,0))</f>
        <v>0</v>
      </c>
      <c r="AS10" s="44" t="n">
        <f aca="false">IF(OR(D72=0,E72=0,F72=0),0,IF(AND(AS$3&gt;=G72,AS$3&lt;H72),F72*MIN(12,E72-(AS$3-G72)*12)/E72,0))</f>
        <v>0</v>
      </c>
      <c r="AT10" s="44" t="n">
        <f aca="false">IF(OR(D72=0,E72=0,F72=0),0,IF(AND(AT$3&gt;=G72,AT$3&lt;H72),F72*MIN(12,E72-(AT$3-G72)*12)/E72,0))</f>
        <v>0</v>
      </c>
      <c r="AU10" s="44" t="n">
        <f aca="false">IF(OR(D72=0,E72=0,F72=0),0,IF(AND(AU$3&gt;=G72,AU$3&lt;H72),F72*MIN(12,E72-(AU$3-G72)*12)/E72,0))</f>
        <v>0</v>
      </c>
      <c r="AV10" s="44" t="n">
        <f aca="false">IF(OR(D72=0,E72=0,F72=0),0,IF(AND(AV$3&gt;=G72,AV$3&lt;H72),F72*MIN(12,E72-(AV$3-G72)*12)/E72,0))</f>
        <v>0</v>
      </c>
      <c r="AW10" s="44" t="n">
        <f aca="false">IF(OR(D72=0,E72=0,F72=0),0,IF(AND(AW$3&gt;=G72,AW$3&lt;H72),F72*MIN(12,E72-(AW$3-G72)*12)/E72,0))</f>
        <v>0</v>
      </c>
      <c r="AX10" s="44" t="n">
        <f aca="false">IF(OR(D72=0,E72=0,F72=0),0,IF(AND(AX$3&gt;=G72,AX$3&lt;H72),F72*MIN(12,E72-(AX$3-G72)*12)/E72,0))</f>
        <v>0</v>
      </c>
      <c r="AY10" s="44" t="n">
        <f aca="false">IF(OR(D72=0,E72=0,F72=0),0,IF(AND(AY$3&gt;=G72,AY$3&lt;H72),F72*MIN(12,E72-(AY$3-G72)*12)/E72,0))</f>
        <v>0</v>
      </c>
      <c r="AZ10" s="44" t="n">
        <f aca="false">IF(OR(D72=0,E72=0,F72=0),0,IF(AND(AZ$3&gt;=G72,AZ$3&lt;H72),F72*MIN(12,E72-(AZ$3-G72)*12)/E72,0))</f>
        <v>0</v>
      </c>
      <c r="BA10" s="44" t="n">
        <f aca="false">IF(OR(D72=0,E72=0,F72=0),0,IF(AND(BA$3&gt;=G72,BA$3&lt;H72),F72*MIN(12,E72-(BA$3-G72)*12)/E72,0))</f>
        <v>0</v>
      </c>
      <c r="BB10" s="44" t="n">
        <f aca="false">IF(OR(D72=0,E72=0,F72=0),0,IF(AND(BB$3&gt;=G72,BB$3&lt;H72),F72*MIN(12,E72-(BB$3-G72)*12)/E72,0))</f>
        <v>0</v>
      </c>
    </row>
    <row r="11" customFormat="false" ht="15" hidden="false" customHeight="true" outlineLevel="0" collapsed="false">
      <c r="A11" s="44" t="n">
        <f aca="false">A73</f>
        <v>8</v>
      </c>
      <c r="B11" s="44" t="str">
        <f aca="false">B73</f>
        <v>Flexible Block (Office)</v>
      </c>
      <c r="C11" s="44" t="str">
        <f aca="false">C73</f>
        <v>ZAN 2</v>
      </c>
      <c r="D11" s="44" t="n">
        <f aca="false">SUM(E11:BB11)</f>
        <v>33537504</v>
      </c>
      <c r="E11" s="44" t="n">
        <f aca="false">IF(OR(D73=0,E73=0,F73=0),0,IF(AND(E$3&gt;=G73,E$3&lt;H73),F73*MIN(12,E73-(E$3-G73)*12)/E73,0))</f>
        <v>0</v>
      </c>
      <c r="F11" s="44" t="n">
        <f aca="false">IF(OR(D73=0,E73=0,F73=0),0,IF(AND(F$3&gt;=G73,F$3&lt;H73),F73*MIN(12,E73-(F$3-G73)*12)/E73,0))</f>
        <v>0</v>
      </c>
      <c r="G11" s="44" t="n">
        <f aca="false">IF(OR(D73=0,E73=0,F73=0),0,IF(AND(G$3&gt;=G73,G$3&lt;H73),F73*MIN(12,E73-(G$3-G73)*12)/E73,0))</f>
        <v>0</v>
      </c>
      <c r="H11" s="44" t="n">
        <f aca="false">IF(OR(D73=0,E73=0,F73=0),0,IF(AND(H$3&gt;=G73,H$3&lt;H73),F73*MIN(12,E73-(H$3-G73)*12)/E73,0))</f>
        <v>13415001.6</v>
      </c>
      <c r="I11" s="44" t="n">
        <f aca="false">IF(OR(D73=0,E73=0,F73=0),0,IF(AND(I$3&gt;=G73,I$3&lt;H73),F73*MIN(12,E73-(I$3-G73)*12)/E73,0))</f>
        <v>13415001.6</v>
      </c>
      <c r="J11" s="44" t="n">
        <f aca="false">IF(OR(D73=0,E73=0,F73=0),0,IF(AND(J$3&gt;=G73,J$3&lt;H73),F73*MIN(12,E73-(J$3-G73)*12)/E73,0))</f>
        <v>6707500.8</v>
      </c>
      <c r="K11" s="44" t="n">
        <f aca="false">IF(OR(D73=0,E73=0,F73=0),0,IF(AND(K$3&gt;=G73,K$3&lt;H73),F73*MIN(12,E73-(K$3-G73)*12)/E73,0))</f>
        <v>0</v>
      </c>
      <c r="L11" s="44" t="n">
        <f aca="false">IF(OR(D73=0,E73=0,F73=0),0,IF(AND(L$3&gt;=G73,L$3&lt;H73),F73*MIN(12,E73-(L$3-G73)*12)/E73,0))</f>
        <v>0</v>
      </c>
      <c r="M11" s="44" t="n">
        <f aca="false">IF(OR(D73=0,E73=0,F73=0),0,IF(AND(M$3&gt;=G73,M$3&lt;H73),F73*MIN(12,E73-(M$3-G73)*12)/E73,0))</f>
        <v>0</v>
      </c>
      <c r="N11" s="44" t="n">
        <f aca="false">IF(OR(D73=0,E73=0,F73=0),0,IF(AND(N$3&gt;=G73,N$3&lt;H73),F73*MIN(12,E73-(N$3-G73)*12)/E73,0))</f>
        <v>0</v>
      </c>
      <c r="O11" s="44" t="n">
        <f aca="false">IF(OR(D73=0,E73=0,F73=0),0,IF(AND(O$3&gt;=G73,O$3&lt;H73),F73*MIN(12,E73-(O$3-G73)*12)/E73,0))</f>
        <v>0</v>
      </c>
      <c r="P11" s="44" t="n">
        <f aca="false">IF(OR(D73=0,E73=0,F73=0),0,IF(AND(P$3&gt;=G73,P$3&lt;H73),F73*MIN(12,E73-(P$3-G73)*12)/E73,0))</f>
        <v>0</v>
      </c>
      <c r="Q11" s="44" t="n">
        <f aca="false">IF(OR(D73=0,E73=0,F73=0),0,IF(AND(Q$3&gt;=G73,Q$3&lt;H73),F73*MIN(12,E73-(Q$3-G73)*12)/E73,0))</f>
        <v>0</v>
      </c>
      <c r="R11" s="44" t="n">
        <f aca="false">IF(OR(D73=0,E73=0,F73=0),0,IF(AND(R$3&gt;=G73,R$3&lt;H73),F73*MIN(12,E73-(R$3-G73)*12)/E73,0))</f>
        <v>0</v>
      </c>
      <c r="S11" s="44" t="n">
        <f aca="false">IF(OR(D73=0,E73=0,F73=0),0,IF(AND(S$3&gt;=G73,S$3&lt;H73),F73*MIN(12,E73-(S$3-G73)*12)/E73,0))</f>
        <v>0</v>
      </c>
      <c r="T11" s="44" t="n">
        <f aca="false">IF(OR(D73=0,E73=0,F73=0),0,IF(AND(T$3&gt;=G73,T$3&lt;H73),F73*MIN(12,E73-(T$3-G73)*12)/E73,0))</f>
        <v>0</v>
      </c>
      <c r="U11" s="44" t="n">
        <f aca="false">IF(OR(D73=0,E73=0,F73=0),0,IF(AND(U$3&gt;=G73,U$3&lt;H73),F73*MIN(12,E73-(U$3-G73)*12)/E73,0))</f>
        <v>0</v>
      </c>
      <c r="V11" s="44" t="n">
        <f aca="false">IF(OR(D73=0,E73=0,F73=0),0,IF(AND(V$3&gt;=G73,V$3&lt;H73),F73*MIN(12,E73-(V$3-G73)*12)/E73,0))</f>
        <v>0</v>
      </c>
      <c r="W11" s="44" t="n">
        <f aca="false">IF(OR(D73=0,E73=0,F73=0),0,IF(AND(W$3&gt;=G73,W$3&lt;H73),F73*MIN(12,E73-(W$3-G73)*12)/E73,0))</f>
        <v>0</v>
      </c>
      <c r="X11" s="44" t="n">
        <f aca="false">IF(OR(D73=0,E73=0,F73=0),0,IF(AND(X$3&gt;=G73,X$3&lt;H73),F73*MIN(12,E73-(X$3-G73)*12)/E73,0))</f>
        <v>0</v>
      </c>
      <c r="Y11" s="44" t="n">
        <f aca="false">IF(OR(D73=0,E73=0,F73=0),0,IF(AND(Y$3&gt;=G73,Y$3&lt;H73),F73*MIN(12,E73-(Y$3-G73)*12)/E73,0))</f>
        <v>0</v>
      </c>
      <c r="Z11" s="44" t="n">
        <f aca="false">IF(OR(D73=0,E73=0,F73=0),0,IF(AND(Z$3&gt;=G73,Z$3&lt;H73),F73*MIN(12,E73-(Z$3-G73)*12)/E73,0))</f>
        <v>0</v>
      </c>
      <c r="AA11" s="44" t="n">
        <f aca="false">IF(OR(D73=0,E73=0,F73=0),0,IF(AND(AA$3&gt;=G73,AA$3&lt;H73),F73*MIN(12,E73-(AA$3-G73)*12)/E73,0))</f>
        <v>0</v>
      </c>
      <c r="AB11" s="44" t="n">
        <f aca="false">IF(OR(D73=0,E73=0,F73=0),0,IF(AND(AB$3&gt;=G73,AB$3&lt;H73),F73*MIN(12,E73-(AB$3-G73)*12)/E73,0))</f>
        <v>0</v>
      </c>
      <c r="AC11" s="44" t="n">
        <f aca="false">IF(OR(D73=0,E73=0,F73=0),0,IF(AND(AC$3&gt;=G73,AC$3&lt;H73),F73*MIN(12,E73-(AC$3-G73)*12)/E73,0))</f>
        <v>0</v>
      </c>
      <c r="AD11" s="44" t="n">
        <f aca="false">IF(OR(D73=0,E73=0,F73=0),0,IF(AND(AD$3&gt;=G73,AD$3&lt;H73),F73*MIN(12,E73-(AD$3-G73)*12)/E73,0))</f>
        <v>0</v>
      </c>
      <c r="AE11" s="44" t="n">
        <f aca="false">IF(OR(D73=0,E73=0,F73=0),0,IF(AND(AE$3&gt;=G73,AE$3&lt;H73),F73*MIN(12,E73-(AE$3-G73)*12)/E73,0))</f>
        <v>0</v>
      </c>
      <c r="AF11" s="44" t="n">
        <f aca="false">IF(OR(D73=0,E73=0,F73=0),0,IF(AND(AF$3&gt;=G73,AF$3&lt;H73),F73*MIN(12,E73-(AF$3-G73)*12)/E73,0))</f>
        <v>0</v>
      </c>
      <c r="AG11" s="44" t="n">
        <f aca="false">IF(OR(D73=0,E73=0,F73=0),0,IF(AND(AG$3&gt;=G73,AG$3&lt;H73),F73*MIN(12,E73-(AG$3-G73)*12)/E73,0))</f>
        <v>0</v>
      </c>
      <c r="AH11" s="44" t="n">
        <f aca="false">IF(OR(D73=0,E73=0,F73=0),0,IF(AND(AH$3&gt;=G73,AH$3&lt;H73),F73*MIN(12,E73-(AH$3-G73)*12)/E73,0))</f>
        <v>0</v>
      </c>
      <c r="AI11" s="44" t="n">
        <f aca="false">IF(OR(D73=0,E73=0,F73=0),0,IF(AND(AI$3&gt;=G73,AI$3&lt;H73),F73*MIN(12,E73-(AI$3-G73)*12)/E73,0))</f>
        <v>0</v>
      </c>
      <c r="AJ11" s="44" t="n">
        <f aca="false">IF(OR(D73=0,E73=0,F73=0),0,IF(AND(AJ$3&gt;=G73,AJ$3&lt;H73),F73*MIN(12,E73-(AJ$3-G73)*12)/E73,0))</f>
        <v>0</v>
      </c>
      <c r="AK11" s="44" t="n">
        <f aca="false">IF(OR(D73=0,E73=0,F73=0),0,IF(AND(AK$3&gt;=G73,AK$3&lt;H73),F73*MIN(12,E73-(AK$3-G73)*12)/E73,0))</f>
        <v>0</v>
      </c>
      <c r="AL11" s="44" t="n">
        <f aca="false">IF(OR(D73=0,E73=0,F73=0),0,IF(AND(AL$3&gt;=G73,AL$3&lt;H73),F73*MIN(12,E73-(AL$3-G73)*12)/E73,0))</f>
        <v>0</v>
      </c>
      <c r="AM11" s="44" t="n">
        <f aca="false">IF(OR(D73=0,E73=0,F73=0),0,IF(AND(AM$3&gt;=G73,AM$3&lt;H73),F73*MIN(12,E73-(AM$3-G73)*12)/E73,0))</f>
        <v>0</v>
      </c>
      <c r="AN11" s="44" t="n">
        <f aca="false">IF(OR(D73=0,E73=0,F73=0),0,IF(AND(AN$3&gt;=G73,AN$3&lt;H73),F73*MIN(12,E73-(AN$3-G73)*12)/E73,0))</f>
        <v>0</v>
      </c>
      <c r="AO11" s="44" t="n">
        <f aca="false">IF(OR(D73=0,E73=0,F73=0),0,IF(AND(AO$3&gt;=G73,AO$3&lt;H73),F73*MIN(12,E73-(AO$3-G73)*12)/E73,0))</f>
        <v>0</v>
      </c>
      <c r="AP11" s="44" t="n">
        <f aca="false">IF(OR(D73=0,E73=0,F73=0),0,IF(AND(AP$3&gt;=G73,AP$3&lt;H73),F73*MIN(12,E73-(AP$3-G73)*12)/E73,0))</f>
        <v>0</v>
      </c>
      <c r="AQ11" s="44" t="n">
        <f aca="false">IF(OR(D73=0,E73=0,F73=0),0,IF(AND(AQ$3&gt;=G73,AQ$3&lt;H73),F73*MIN(12,E73-(AQ$3-G73)*12)/E73,0))</f>
        <v>0</v>
      </c>
      <c r="AR11" s="44" t="n">
        <f aca="false">IF(OR(D73=0,E73=0,F73=0),0,IF(AND(AR$3&gt;=G73,AR$3&lt;H73),F73*MIN(12,E73-(AR$3-G73)*12)/E73,0))</f>
        <v>0</v>
      </c>
      <c r="AS11" s="44" t="n">
        <f aca="false">IF(OR(D73=0,E73=0,F73=0),0,IF(AND(AS$3&gt;=G73,AS$3&lt;H73),F73*MIN(12,E73-(AS$3-G73)*12)/E73,0))</f>
        <v>0</v>
      </c>
      <c r="AT11" s="44" t="n">
        <f aca="false">IF(OR(D73=0,E73=0,F73=0),0,IF(AND(AT$3&gt;=G73,AT$3&lt;H73),F73*MIN(12,E73-(AT$3-G73)*12)/E73,0))</f>
        <v>0</v>
      </c>
      <c r="AU11" s="44" t="n">
        <f aca="false">IF(OR(D73=0,E73=0,F73=0),0,IF(AND(AU$3&gt;=G73,AU$3&lt;H73),F73*MIN(12,E73-(AU$3-G73)*12)/E73,0))</f>
        <v>0</v>
      </c>
      <c r="AV11" s="44" t="n">
        <f aca="false">IF(OR(D73=0,E73=0,F73=0),0,IF(AND(AV$3&gt;=G73,AV$3&lt;H73),F73*MIN(12,E73-(AV$3-G73)*12)/E73,0))</f>
        <v>0</v>
      </c>
      <c r="AW11" s="44" t="n">
        <f aca="false">IF(OR(D73=0,E73=0,F73=0),0,IF(AND(AW$3&gt;=G73,AW$3&lt;H73),F73*MIN(12,E73-(AW$3-G73)*12)/E73,0))</f>
        <v>0</v>
      </c>
      <c r="AX11" s="44" t="n">
        <f aca="false">IF(OR(D73=0,E73=0,F73=0),0,IF(AND(AX$3&gt;=G73,AX$3&lt;H73),F73*MIN(12,E73-(AX$3-G73)*12)/E73,0))</f>
        <v>0</v>
      </c>
      <c r="AY11" s="44" t="n">
        <f aca="false">IF(OR(D73=0,E73=0,F73=0),0,IF(AND(AY$3&gt;=G73,AY$3&lt;H73),F73*MIN(12,E73-(AY$3-G73)*12)/E73,0))</f>
        <v>0</v>
      </c>
      <c r="AZ11" s="44" t="n">
        <f aca="false">IF(OR(D73=0,E73=0,F73=0),0,IF(AND(AZ$3&gt;=G73,AZ$3&lt;H73),F73*MIN(12,E73-(AZ$3-G73)*12)/E73,0))</f>
        <v>0</v>
      </c>
      <c r="BA11" s="44" t="n">
        <f aca="false">IF(OR(D73=0,E73=0,F73=0),0,IF(AND(BA$3&gt;=G73,BA$3&lt;H73),F73*MIN(12,E73-(BA$3-G73)*12)/E73,0))</f>
        <v>0</v>
      </c>
      <c r="BB11" s="44" t="n">
        <f aca="false">IF(OR(D73=0,E73=0,F73=0),0,IF(AND(BB$3&gt;=G73,BB$3&lt;H73),F73*MIN(12,E73-(BB$3-G73)*12)/E73,0))</f>
        <v>0</v>
      </c>
    </row>
    <row r="12" customFormat="false" ht="15" hidden="false" customHeight="true" outlineLevel="0" collapsed="false">
      <c r="A12" s="44" t="n">
        <f aca="false">A74</f>
        <v>9</v>
      </c>
      <c r="B12" s="44" t="str">
        <f aca="false">B74</f>
        <v>Resort</v>
      </c>
      <c r="C12" s="44" t="str">
        <f aca="false">C74</f>
        <v>ZAN 2</v>
      </c>
      <c r="D12" s="44" t="n">
        <f aca="false">SUM(E12:BB12)</f>
        <v>188218800</v>
      </c>
      <c r="E12" s="44" t="n">
        <f aca="false">IF(OR(D74=0,E74=0,F74=0),0,IF(AND(E$3&gt;=G74,E$3&lt;H74),F74*MIN(12,E74-(E$3-G74)*12)/E74,0))</f>
        <v>0</v>
      </c>
      <c r="F12" s="44" t="n">
        <f aca="false">IF(OR(D74=0,E74=0,F74=0),0,IF(AND(F$3&gt;=G74,F$3&lt;H74),F74*MIN(12,E74-(F$3-G74)*12)/E74,0))</f>
        <v>0</v>
      </c>
      <c r="G12" s="44" t="n">
        <f aca="false">IF(OR(D74=0,E74=0,F74=0),0,IF(AND(G$3&gt;=G74,G$3&lt;H74),F74*MIN(12,E74-(G$3-G74)*12)/E74,0))</f>
        <v>0</v>
      </c>
      <c r="H12" s="44" t="n">
        <f aca="false">IF(OR(D74=0,E74=0,F74=0),0,IF(AND(H$3&gt;=G74,H$3&lt;H74),F74*MIN(12,E74-(H$3-G74)*12)/E74,0))</f>
        <v>53776800</v>
      </c>
      <c r="I12" s="44" t="n">
        <f aca="false">IF(OR(D74=0,E74=0,F74=0),0,IF(AND(I$3&gt;=G74,I$3&lt;H74),F74*MIN(12,E74-(I$3-G74)*12)/E74,0))</f>
        <v>53776800</v>
      </c>
      <c r="J12" s="44" t="n">
        <f aca="false">IF(OR(D74=0,E74=0,F74=0),0,IF(AND(J$3&gt;=G74,J$3&lt;H74),F74*MIN(12,E74-(J$3-G74)*12)/E74,0))</f>
        <v>53776800</v>
      </c>
      <c r="K12" s="44" t="n">
        <f aca="false">IF(OR(D74=0,E74=0,F74=0),0,IF(AND(K$3&gt;=G74,K$3&lt;H74),F74*MIN(12,E74-(K$3-G74)*12)/E74,0))</f>
        <v>26888400</v>
      </c>
      <c r="L12" s="44" t="n">
        <f aca="false">IF(OR(D74=0,E74=0,F74=0),0,IF(AND(L$3&gt;=G74,L$3&lt;H74),F74*MIN(12,E74-(L$3-G74)*12)/E74,0))</f>
        <v>0</v>
      </c>
      <c r="M12" s="44" t="n">
        <f aca="false">IF(OR(D74=0,E74=0,F74=0),0,IF(AND(M$3&gt;=G74,M$3&lt;H74),F74*MIN(12,E74-(M$3-G74)*12)/E74,0))</f>
        <v>0</v>
      </c>
      <c r="N12" s="44" t="n">
        <f aca="false">IF(OR(D74=0,E74=0,F74=0),0,IF(AND(N$3&gt;=G74,N$3&lt;H74),F74*MIN(12,E74-(N$3-G74)*12)/E74,0))</f>
        <v>0</v>
      </c>
      <c r="O12" s="44" t="n">
        <f aca="false">IF(OR(D74=0,E74=0,F74=0),0,IF(AND(O$3&gt;=G74,O$3&lt;H74),F74*MIN(12,E74-(O$3-G74)*12)/E74,0))</f>
        <v>0</v>
      </c>
      <c r="P12" s="44" t="n">
        <f aca="false">IF(OR(D74=0,E74=0,F74=0),0,IF(AND(P$3&gt;=G74,P$3&lt;H74),F74*MIN(12,E74-(P$3-G74)*12)/E74,0))</f>
        <v>0</v>
      </c>
      <c r="Q12" s="44" t="n">
        <f aca="false">IF(OR(D74=0,E74=0,F74=0),0,IF(AND(Q$3&gt;=G74,Q$3&lt;H74),F74*MIN(12,E74-(Q$3-G74)*12)/E74,0))</f>
        <v>0</v>
      </c>
      <c r="R12" s="44" t="n">
        <f aca="false">IF(OR(D74=0,E74=0,F74=0),0,IF(AND(R$3&gt;=G74,R$3&lt;H74),F74*MIN(12,E74-(R$3-G74)*12)/E74,0))</f>
        <v>0</v>
      </c>
      <c r="S12" s="44" t="n">
        <f aca="false">IF(OR(D74=0,E74=0,F74=0),0,IF(AND(S$3&gt;=G74,S$3&lt;H74),F74*MIN(12,E74-(S$3-G74)*12)/E74,0))</f>
        <v>0</v>
      </c>
      <c r="T12" s="44" t="n">
        <f aca="false">IF(OR(D74=0,E74=0,F74=0),0,IF(AND(T$3&gt;=G74,T$3&lt;H74),F74*MIN(12,E74-(T$3-G74)*12)/E74,0))</f>
        <v>0</v>
      </c>
      <c r="U12" s="44" t="n">
        <f aca="false">IF(OR(D74=0,E74=0,F74=0),0,IF(AND(U$3&gt;=G74,U$3&lt;H74),F74*MIN(12,E74-(U$3-G74)*12)/E74,0))</f>
        <v>0</v>
      </c>
      <c r="V12" s="44" t="n">
        <f aca="false">IF(OR(D74=0,E74=0,F74=0),0,IF(AND(V$3&gt;=G74,V$3&lt;H74),F74*MIN(12,E74-(V$3-G74)*12)/E74,0))</f>
        <v>0</v>
      </c>
      <c r="W12" s="44" t="n">
        <f aca="false">IF(OR(D74=0,E74=0,F74=0),0,IF(AND(W$3&gt;=G74,W$3&lt;H74),F74*MIN(12,E74-(W$3-G74)*12)/E74,0))</f>
        <v>0</v>
      </c>
      <c r="X12" s="44" t="n">
        <f aca="false">IF(OR(D74=0,E74=0,F74=0),0,IF(AND(X$3&gt;=G74,X$3&lt;H74),F74*MIN(12,E74-(X$3-G74)*12)/E74,0))</f>
        <v>0</v>
      </c>
      <c r="Y12" s="44" t="n">
        <f aca="false">IF(OR(D74=0,E74=0,F74=0),0,IF(AND(Y$3&gt;=G74,Y$3&lt;H74),F74*MIN(12,E74-(Y$3-G74)*12)/E74,0))</f>
        <v>0</v>
      </c>
      <c r="Z12" s="44" t="n">
        <f aca="false">IF(OR(D74=0,E74=0,F74=0),0,IF(AND(Z$3&gt;=G74,Z$3&lt;H74),F74*MIN(12,E74-(Z$3-G74)*12)/E74,0))</f>
        <v>0</v>
      </c>
      <c r="AA12" s="44" t="n">
        <f aca="false">IF(OR(D74=0,E74=0,F74=0),0,IF(AND(AA$3&gt;=G74,AA$3&lt;H74),F74*MIN(12,E74-(AA$3-G74)*12)/E74,0))</f>
        <v>0</v>
      </c>
      <c r="AB12" s="44" t="n">
        <f aca="false">IF(OR(D74=0,E74=0,F74=0),0,IF(AND(AB$3&gt;=G74,AB$3&lt;H74),F74*MIN(12,E74-(AB$3-G74)*12)/E74,0))</f>
        <v>0</v>
      </c>
      <c r="AC12" s="44" t="n">
        <f aca="false">IF(OR(D74=0,E74=0,F74=0),0,IF(AND(AC$3&gt;=G74,AC$3&lt;H74),F74*MIN(12,E74-(AC$3-G74)*12)/E74,0))</f>
        <v>0</v>
      </c>
      <c r="AD12" s="44" t="n">
        <f aca="false">IF(OR(D74=0,E74=0,F74=0),0,IF(AND(AD$3&gt;=G74,AD$3&lt;H74),F74*MIN(12,E74-(AD$3-G74)*12)/E74,0))</f>
        <v>0</v>
      </c>
      <c r="AE12" s="44" t="n">
        <f aca="false">IF(OR(D74=0,E74=0,F74=0),0,IF(AND(AE$3&gt;=G74,AE$3&lt;H74),F74*MIN(12,E74-(AE$3-G74)*12)/E74,0))</f>
        <v>0</v>
      </c>
      <c r="AF12" s="44" t="n">
        <f aca="false">IF(OR(D74=0,E74=0,F74=0),0,IF(AND(AF$3&gt;=G74,AF$3&lt;H74),F74*MIN(12,E74-(AF$3-G74)*12)/E74,0))</f>
        <v>0</v>
      </c>
      <c r="AG12" s="44" t="n">
        <f aca="false">IF(OR(D74=0,E74=0,F74=0),0,IF(AND(AG$3&gt;=G74,AG$3&lt;H74),F74*MIN(12,E74-(AG$3-G74)*12)/E74,0))</f>
        <v>0</v>
      </c>
      <c r="AH12" s="44" t="n">
        <f aca="false">IF(OR(D74=0,E74=0,F74=0),0,IF(AND(AH$3&gt;=G74,AH$3&lt;H74),F74*MIN(12,E74-(AH$3-G74)*12)/E74,0))</f>
        <v>0</v>
      </c>
      <c r="AI12" s="44" t="n">
        <f aca="false">IF(OR(D74=0,E74=0,F74=0),0,IF(AND(AI$3&gt;=G74,AI$3&lt;H74),F74*MIN(12,E74-(AI$3-G74)*12)/E74,0))</f>
        <v>0</v>
      </c>
      <c r="AJ12" s="44" t="n">
        <f aca="false">IF(OR(D74=0,E74=0,F74=0),0,IF(AND(AJ$3&gt;=G74,AJ$3&lt;H74),F74*MIN(12,E74-(AJ$3-G74)*12)/E74,0))</f>
        <v>0</v>
      </c>
      <c r="AK12" s="44" t="n">
        <f aca="false">IF(OR(D74=0,E74=0,F74=0),0,IF(AND(AK$3&gt;=G74,AK$3&lt;H74),F74*MIN(12,E74-(AK$3-G74)*12)/E74,0))</f>
        <v>0</v>
      </c>
      <c r="AL12" s="44" t="n">
        <f aca="false">IF(OR(D74=0,E74=0,F74=0),0,IF(AND(AL$3&gt;=G74,AL$3&lt;H74),F74*MIN(12,E74-(AL$3-G74)*12)/E74,0))</f>
        <v>0</v>
      </c>
      <c r="AM12" s="44" t="n">
        <f aca="false">IF(OR(D74=0,E74=0,F74=0),0,IF(AND(AM$3&gt;=G74,AM$3&lt;H74),F74*MIN(12,E74-(AM$3-G74)*12)/E74,0))</f>
        <v>0</v>
      </c>
      <c r="AN12" s="44" t="n">
        <f aca="false">IF(OR(D74=0,E74=0,F74=0),0,IF(AND(AN$3&gt;=G74,AN$3&lt;H74),F74*MIN(12,E74-(AN$3-G74)*12)/E74,0))</f>
        <v>0</v>
      </c>
      <c r="AO12" s="44" t="n">
        <f aca="false">IF(OR(D74=0,E74=0,F74=0),0,IF(AND(AO$3&gt;=G74,AO$3&lt;H74),F74*MIN(12,E74-(AO$3-G74)*12)/E74,0))</f>
        <v>0</v>
      </c>
      <c r="AP12" s="44" t="n">
        <f aca="false">IF(OR(D74=0,E74=0,F74=0),0,IF(AND(AP$3&gt;=G74,AP$3&lt;H74),F74*MIN(12,E74-(AP$3-G74)*12)/E74,0))</f>
        <v>0</v>
      </c>
      <c r="AQ12" s="44" t="n">
        <f aca="false">IF(OR(D74=0,E74=0,F74=0),0,IF(AND(AQ$3&gt;=G74,AQ$3&lt;H74),F74*MIN(12,E74-(AQ$3-G74)*12)/E74,0))</f>
        <v>0</v>
      </c>
      <c r="AR12" s="44" t="n">
        <f aca="false">IF(OR(D74=0,E74=0,F74=0),0,IF(AND(AR$3&gt;=G74,AR$3&lt;H74),F74*MIN(12,E74-(AR$3-G74)*12)/E74,0))</f>
        <v>0</v>
      </c>
      <c r="AS12" s="44" t="n">
        <f aca="false">IF(OR(D74=0,E74=0,F74=0),0,IF(AND(AS$3&gt;=G74,AS$3&lt;H74),F74*MIN(12,E74-(AS$3-G74)*12)/E74,0))</f>
        <v>0</v>
      </c>
      <c r="AT12" s="44" t="n">
        <f aca="false">IF(OR(D74=0,E74=0,F74=0),0,IF(AND(AT$3&gt;=G74,AT$3&lt;H74),F74*MIN(12,E74-(AT$3-G74)*12)/E74,0))</f>
        <v>0</v>
      </c>
      <c r="AU12" s="44" t="n">
        <f aca="false">IF(OR(D74=0,E74=0,F74=0),0,IF(AND(AU$3&gt;=G74,AU$3&lt;H74),F74*MIN(12,E74-(AU$3-G74)*12)/E74,0))</f>
        <v>0</v>
      </c>
      <c r="AV12" s="44" t="n">
        <f aca="false">IF(OR(D74=0,E74=0,F74=0),0,IF(AND(AV$3&gt;=G74,AV$3&lt;H74),F74*MIN(12,E74-(AV$3-G74)*12)/E74,0))</f>
        <v>0</v>
      </c>
      <c r="AW12" s="44" t="n">
        <f aca="false">IF(OR(D74=0,E74=0,F74=0),0,IF(AND(AW$3&gt;=G74,AW$3&lt;H74),F74*MIN(12,E74-(AW$3-G74)*12)/E74,0))</f>
        <v>0</v>
      </c>
      <c r="AX12" s="44" t="n">
        <f aca="false">IF(OR(D74=0,E74=0,F74=0),0,IF(AND(AX$3&gt;=G74,AX$3&lt;H74),F74*MIN(12,E74-(AX$3-G74)*12)/E74,0))</f>
        <v>0</v>
      </c>
      <c r="AY12" s="44" t="n">
        <f aca="false">IF(OR(D74=0,E74=0,F74=0),0,IF(AND(AY$3&gt;=G74,AY$3&lt;H74),F74*MIN(12,E74-(AY$3-G74)*12)/E74,0))</f>
        <v>0</v>
      </c>
      <c r="AZ12" s="44" t="n">
        <f aca="false">IF(OR(D74=0,E74=0,F74=0),0,IF(AND(AZ$3&gt;=G74,AZ$3&lt;H74),F74*MIN(12,E74-(AZ$3-G74)*12)/E74,0))</f>
        <v>0</v>
      </c>
      <c r="BA12" s="44" t="n">
        <f aca="false">IF(OR(D74=0,E74=0,F74=0),0,IF(AND(BA$3&gt;=G74,BA$3&lt;H74),F74*MIN(12,E74-(BA$3-G74)*12)/E74,0))</f>
        <v>0</v>
      </c>
      <c r="BB12" s="44" t="n">
        <f aca="false">IF(OR(D74=0,E74=0,F74=0),0,IF(AND(BB$3&gt;=G74,BB$3&lt;H74),F74*MIN(12,E74-(BB$3-G74)*12)/E74,0))</f>
        <v>0</v>
      </c>
    </row>
    <row r="13" customFormat="false" ht="15" hidden="false" customHeight="true" outlineLevel="0" collapsed="false">
      <c r="A13" s="44" t="n">
        <f aca="false">A75</f>
        <v>10</v>
      </c>
      <c r="B13" s="44" t="str">
        <f aca="false">B75</f>
        <v>Supermarket</v>
      </c>
      <c r="C13" s="44" t="str">
        <f aca="false">C75</f>
        <v>ZAN 2</v>
      </c>
      <c r="D13" s="44" t="n">
        <f aca="false">SUM(E13:BB13)</f>
        <v>7006230</v>
      </c>
      <c r="E13" s="44" t="n">
        <f aca="false">IF(OR(D75=0,E75=0,F75=0),0,IF(AND(E$3&gt;=G75,E$3&lt;H75),F75*MIN(12,E75-(E$3-G75)*12)/E75,0))</f>
        <v>0</v>
      </c>
      <c r="F13" s="44" t="n">
        <f aca="false">IF(OR(D75=0,E75=0,F75=0),0,IF(AND(F$3&gt;=G75,F$3&lt;H75),F75*MIN(12,E75-(F$3-G75)*12)/E75,0))</f>
        <v>0</v>
      </c>
      <c r="G13" s="44" t="n">
        <f aca="false">IF(OR(D75=0,E75=0,F75=0),0,IF(AND(G$3&gt;=G75,G$3&lt;H75),F75*MIN(12,E75-(G$3-G75)*12)/E75,0))</f>
        <v>0</v>
      </c>
      <c r="H13" s="44" t="n">
        <f aca="false">IF(OR(D75=0,E75=0,F75=0),0,IF(AND(H$3&gt;=G75,H$3&lt;H75),F75*MIN(12,E75-(H$3-G75)*12)/E75,0))</f>
        <v>4670820</v>
      </c>
      <c r="I13" s="44" t="n">
        <f aca="false">IF(OR(D75=0,E75=0,F75=0),0,IF(AND(I$3&gt;=G75,I$3&lt;H75),F75*MIN(12,E75-(I$3-G75)*12)/E75,0))</f>
        <v>2335410</v>
      </c>
      <c r="J13" s="44" t="n">
        <f aca="false">IF(OR(D75=0,E75=0,F75=0),0,IF(AND(J$3&gt;=G75,J$3&lt;H75),F75*MIN(12,E75-(J$3-G75)*12)/E75,0))</f>
        <v>0</v>
      </c>
      <c r="K13" s="44" t="n">
        <f aca="false">IF(OR(D75=0,E75=0,F75=0),0,IF(AND(K$3&gt;=G75,K$3&lt;H75),F75*MIN(12,E75-(K$3-G75)*12)/E75,0))</f>
        <v>0</v>
      </c>
      <c r="L13" s="44" t="n">
        <f aca="false">IF(OR(D75=0,E75=0,F75=0),0,IF(AND(L$3&gt;=G75,L$3&lt;H75),F75*MIN(12,E75-(L$3-G75)*12)/E75,0))</f>
        <v>0</v>
      </c>
      <c r="M13" s="44" t="n">
        <f aca="false">IF(OR(D75=0,E75=0,F75=0),0,IF(AND(M$3&gt;=G75,M$3&lt;H75),F75*MIN(12,E75-(M$3-G75)*12)/E75,0))</f>
        <v>0</v>
      </c>
      <c r="N13" s="44" t="n">
        <f aca="false">IF(OR(D75=0,E75=0,F75=0),0,IF(AND(N$3&gt;=G75,N$3&lt;H75),F75*MIN(12,E75-(N$3-G75)*12)/E75,0))</f>
        <v>0</v>
      </c>
      <c r="O13" s="44" t="n">
        <f aca="false">IF(OR(D75=0,E75=0,F75=0),0,IF(AND(O$3&gt;=G75,O$3&lt;H75),F75*MIN(12,E75-(O$3-G75)*12)/E75,0))</f>
        <v>0</v>
      </c>
      <c r="P13" s="44" t="n">
        <f aca="false">IF(OR(D75=0,E75=0,F75=0),0,IF(AND(P$3&gt;=G75,P$3&lt;H75),F75*MIN(12,E75-(P$3-G75)*12)/E75,0))</f>
        <v>0</v>
      </c>
      <c r="Q13" s="44" t="n">
        <f aca="false">IF(OR(D75=0,E75=0,F75=0),0,IF(AND(Q$3&gt;=G75,Q$3&lt;H75),F75*MIN(12,E75-(Q$3-G75)*12)/E75,0))</f>
        <v>0</v>
      </c>
      <c r="R13" s="44" t="n">
        <f aca="false">IF(OR(D75=0,E75=0,F75=0),0,IF(AND(R$3&gt;=G75,R$3&lt;H75),F75*MIN(12,E75-(R$3-G75)*12)/E75,0))</f>
        <v>0</v>
      </c>
      <c r="S13" s="44" t="n">
        <f aca="false">IF(OR(D75=0,E75=0,F75=0),0,IF(AND(S$3&gt;=G75,S$3&lt;H75),F75*MIN(12,E75-(S$3-G75)*12)/E75,0))</f>
        <v>0</v>
      </c>
      <c r="T13" s="44" t="n">
        <f aca="false">IF(OR(D75=0,E75=0,F75=0),0,IF(AND(T$3&gt;=G75,T$3&lt;H75),F75*MIN(12,E75-(T$3-G75)*12)/E75,0))</f>
        <v>0</v>
      </c>
      <c r="U13" s="44" t="n">
        <f aca="false">IF(OR(D75=0,E75=0,F75=0),0,IF(AND(U$3&gt;=G75,U$3&lt;H75),F75*MIN(12,E75-(U$3-G75)*12)/E75,0))</f>
        <v>0</v>
      </c>
      <c r="V13" s="44" t="n">
        <f aca="false">IF(OR(D75=0,E75=0,F75=0),0,IF(AND(V$3&gt;=G75,V$3&lt;H75),F75*MIN(12,E75-(V$3-G75)*12)/E75,0))</f>
        <v>0</v>
      </c>
      <c r="W13" s="44" t="n">
        <f aca="false">IF(OR(D75=0,E75=0,F75=0),0,IF(AND(W$3&gt;=G75,W$3&lt;H75),F75*MIN(12,E75-(W$3-G75)*12)/E75,0))</f>
        <v>0</v>
      </c>
      <c r="X13" s="44" t="n">
        <f aca="false">IF(OR(D75=0,E75=0,F75=0),0,IF(AND(X$3&gt;=G75,X$3&lt;H75),F75*MIN(12,E75-(X$3-G75)*12)/E75,0))</f>
        <v>0</v>
      </c>
      <c r="Y13" s="44" t="n">
        <f aca="false">IF(OR(D75=0,E75=0,F75=0),0,IF(AND(Y$3&gt;=G75,Y$3&lt;H75),F75*MIN(12,E75-(Y$3-G75)*12)/E75,0))</f>
        <v>0</v>
      </c>
      <c r="Z13" s="44" t="n">
        <f aca="false">IF(OR(D75=0,E75=0,F75=0),0,IF(AND(Z$3&gt;=G75,Z$3&lt;H75),F75*MIN(12,E75-(Z$3-G75)*12)/E75,0))</f>
        <v>0</v>
      </c>
      <c r="AA13" s="44" t="n">
        <f aca="false">IF(OR(D75=0,E75=0,F75=0),0,IF(AND(AA$3&gt;=G75,AA$3&lt;H75),F75*MIN(12,E75-(AA$3-G75)*12)/E75,0))</f>
        <v>0</v>
      </c>
      <c r="AB13" s="44" t="n">
        <f aca="false">IF(OR(D75=0,E75=0,F75=0),0,IF(AND(AB$3&gt;=G75,AB$3&lt;H75),F75*MIN(12,E75-(AB$3-G75)*12)/E75,0))</f>
        <v>0</v>
      </c>
      <c r="AC13" s="44" t="n">
        <f aca="false">IF(OR(D75=0,E75=0,F75=0),0,IF(AND(AC$3&gt;=G75,AC$3&lt;H75),F75*MIN(12,E75-(AC$3-G75)*12)/E75,0))</f>
        <v>0</v>
      </c>
      <c r="AD13" s="44" t="n">
        <f aca="false">IF(OR(D75=0,E75=0,F75=0),0,IF(AND(AD$3&gt;=G75,AD$3&lt;H75),F75*MIN(12,E75-(AD$3-G75)*12)/E75,0))</f>
        <v>0</v>
      </c>
      <c r="AE13" s="44" t="n">
        <f aca="false">IF(OR(D75=0,E75=0,F75=0),0,IF(AND(AE$3&gt;=G75,AE$3&lt;H75),F75*MIN(12,E75-(AE$3-G75)*12)/E75,0))</f>
        <v>0</v>
      </c>
      <c r="AF13" s="44" t="n">
        <f aca="false">IF(OR(D75=0,E75=0,F75=0),0,IF(AND(AF$3&gt;=G75,AF$3&lt;H75),F75*MIN(12,E75-(AF$3-G75)*12)/E75,0))</f>
        <v>0</v>
      </c>
      <c r="AG13" s="44" t="n">
        <f aca="false">IF(OR(D75=0,E75=0,F75=0),0,IF(AND(AG$3&gt;=G75,AG$3&lt;H75),F75*MIN(12,E75-(AG$3-G75)*12)/E75,0))</f>
        <v>0</v>
      </c>
      <c r="AH13" s="44" t="n">
        <f aca="false">IF(OR(D75=0,E75=0,F75=0),0,IF(AND(AH$3&gt;=G75,AH$3&lt;H75),F75*MIN(12,E75-(AH$3-G75)*12)/E75,0))</f>
        <v>0</v>
      </c>
      <c r="AI13" s="44" t="n">
        <f aca="false">IF(OR(D75=0,E75=0,F75=0),0,IF(AND(AI$3&gt;=G75,AI$3&lt;H75),F75*MIN(12,E75-(AI$3-G75)*12)/E75,0))</f>
        <v>0</v>
      </c>
      <c r="AJ13" s="44" t="n">
        <f aca="false">IF(OR(D75=0,E75=0,F75=0),0,IF(AND(AJ$3&gt;=G75,AJ$3&lt;H75),F75*MIN(12,E75-(AJ$3-G75)*12)/E75,0))</f>
        <v>0</v>
      </c>
      <c r="AK13" s="44" t="n">
        <f aca="false">IF(OR(D75=0,E75=0,F75=0),0,IF(AND(AK$3&gt;=G75,AK$3&lt;H75),F75*MIN(12,E75-(AK$3-G75)*12)/E75,0))</f>
        <v>0</v>
      </c>
      <c r="AL13" s="44" t="n">
        <f aca="false">IF(OR(D75=0,E75=0,F75=0),0,IF(AND(AL$3&gt;=G75,AL$3&lt;H75),F75*MIN(12,E75-(AL$3-G75)*12)/E75,0))</f>
        <v>0</v>
      </c>
      <c r="AM13" s="44" t="n">
        <f aca="false">IF(OR(D75=0,E75=0,F75=0),0,IF(AND(AM$3&gt;=G75,AM$3&lt;H75),F75*MIN(12,E75-(AM$3-G75)*12)/E75,0))</f>
        <v>0</v>
      </c>
      <c r="AN13" s="44" t="n">
        <f aca="false">IF(OR(D75=0,E75=0,F75=0),0,IF(AND(AN$3&gt;=G75,AN$3&lt;H75),F75*MIN(12,E75-(AN$3-G75)*12)/E75,0))</f>
        <v>0</v>
      </c>
      <c r="AO13" s="44" t="n">
        <f aca="false">IF(OR(D75=0,E75=0,F75=0),0,IF(AND(AO$3&gt;=G75,AO$3&lt;H75),F75*MIN(12,E75-(AO$3-G75)*12)/E75,0))</f>
        <v>0</v>
      </c>
      <c r="AP13" s="44" t="n">
        <f aca="false">IF(OR(D75=0,E75=0,F75=0),0,IF(AND(AP$3&gt;=G75,AP$3&lt;H75),F75*MIN(12,E75-(AP$3-G75)*12)/E75,0))</f>
        <v>0</v>
      </c>
      <c r="AQ13" s="44" t="n">
        <f aca="false">IF(OR(D75=0,E75=0,F75=0),0,IF(AND(AQ$3&gt;=G75,AQ$3&lt;H75),F75*MIN(12,E75-(AQ$3-G75)*12)/E75,0))</f>
        <v>0</v>
      </c>
      <c r="AR13" s="44" t="n">
        <f aca="false">IF(OR(D75=0,E75=0,F75=0),0,IF(AND(AR$3&gt;=G75,AR$3&lt;H75),F75*MIN(12,E75-(AR$3-G75)*12)/E75,0))</f>
        <v>0</v>
      </c>
      <c r="AS13" s="44" t="n">
        <f aca="false">IF(OR(D75=0,E75=0,F75=0),0,IF(AND(AS$3&gt;=G75,AS$3&lt;H75),F75*MIN(12,E75-(AS$3-G75)*12)/E75,0))</f>
        <v>0</v>
      </c>
      <c r="AT13" s="44" t="n">
        <f aca="false">IF(OR(D75=0,E75=0,F75=0),0,IF(AND(AT$3&gt;=G75,AT$3&lt;H75),F75*MIN(12,E75-(AT$3-G75)*12)/E75,0))</f>
        <v>0</v>
      </c>
      <c r="AU13" s="44" t="n">
        <f aca="false">IF(OR(D75=0,E75=0,F75=0),0,IF(AND(AU$3&gt;=G75,AU$3&lt;H75),F75*MIN(12,E75-(AU$3-G75)*12)/E75,0))</f>
        <v>0</v>
      </c>
      <c r="AV13" s="44" t="n">
        <f aca="false">IF(OR(D75=0,E75=0,F75=0),0,IF(AND(AV$3&gt;=G75,AV$3&lt;H75),F75*MIN(12,E75-(AV$3-G75)*12)/E75,0))</f>
        <v>0</v>
      </c>
      <c r="AW13" s="44" t="n">
        <f aca="false">IF(OR(D75=0,E75=0,F75=0),0,IF(AND(AW$3&gt;=G75,AW$3&lt;H75),F75*MIN(12,E75-(AW$3-G75)*12)/E75,0))</f>
        <v>0</v>
      </c>
      <c r="AX13" s="44" t="n">
        <f aca="false">IF(OR(D75=0,E75=0,F75=0),0,IF(AND(AX$3&gt;=G75,AX$3&lt;H75),F75*MIN(12,E75-(AX$3-G75)*12)/E75,0))</f>
        <v>0</v>
      </c>
      <c r="AY13" s="44" t="n">
        <f aca="false">IF(OR(D75=0,E75=0,F75=0),0,IF(AND(AY$3&gt;=G75,AY$3&lt;H75),F75*MIN(12,E75-(AY$3-G75)*12)/E75,0))</f>
        <v>0</v>
      </c>
      <c r="AZ13" s="44" t="n">
        <f aca="false">IF(OR(D75=0,E75=0,F75=0),0,IF(AND(AZ$3&gt;=G75,AZ$3&lt;H75),F75*MIN(12,E75-(AZ$3-G75)*12)/E75,0))</f>
        <v>0</v>
      </c>
      <c r="BA13" s="44" t="n">
        <f aca="false">IF(OR(D75=0,E75=0,F75=0),0,IF(AND(BA$3&gt;=G75,BA$3&lt;H75),F75*MIN(12,E75-(BA$3-G75)*12)/E75,0))</f>
        <v>0</v>
      </c>
      <c r="BB13" s="44" t="n">
        <f aca="false">IF(OR(D75=0,E75=0,F75=0),0,IF(AND(BB$3&gt;=G75,BB$3&lt;H75),F75*MIN(12,E75-(BB$3-G75)*12)/E75,0))</f>
        <v>0</v>
      </c>
    </row>
    <row r="14" customFormat="false" ht="15" hidden="false" customHeight="true" outlineLevel="0" collapsed="false">
      <c r="A14" s="44" t="n">
        <f aca="false">A76</f>
        <v>11</v>
      </c>
      <c r="B14" s="44" t="str">
        <f aca="false">B76</f>
        <v>Shops / Cafes</v>
      </c>
      <c r="C14" s="44" t="str">
        <f aca="false">C76</f>
        <v>ZAN 2</v>
      </c>
      <c r="D14" s="44" t="n">
        <f aca="false">SUM(E14:BB14)</f>
        <v>4043655</v>
      </c>
      <c r="E14" s="44" t="n">
        <f aca="false">IF(OR(D76=0,E76=0,F76=0),0,IF(AND(E$3&gt;=G76,E$3&lt;H76),F76*MIN(12,E76-(E$3-G76)*12)/E76,0))</f>
        <v>0</v>
      </c>
      <c r="F14" s="44" t="n">
        <f aca="false">IF(OR(D76=0,E76=0,F76=0),0,IF(AND(F$3&gt;=G76,F$3&lt;H76),F76*MIN(12,E76-(F$3-G76)*12)/E76,0))</f>
        <v>0</v>
      </c>
      <c r="G14" s="44" t="n">
        <f aca="false">IF(OR(D76=0,E76=0,F76=0),0,IF(AND(G$3&gt;=G76,G$3&lt;H76),F76*MIN(12,E76-(G$3-G76)*12)/E76,0))</f>
        <v>0</v>
      </c>
      <c r="H14" s="44" t="n">
        <f aca="false">IF(OR(D76=0,E76=0,F76=0),0,IF(AND(H$3&gt;=G76,H$3&lt;H76),F76*MIN(12,E76-(H$3-G76)*12)/E76,0))</f>
        <v>2695770</v>
      </c>
      <c r="I14" s="44" t="n">
        <f aca="false">IF(OR(D76=0,E76=0,F76=0),0,IF(AND(I$3&gt;=G76,I$3&lt;H76),F76*MIN(12,E76-(I$3-G76)*12)/E76,0))</f>
        <v>1347885</v>
      </c>
      <c r="J14" s="44" t="n">
        <f aca="false">IF(OR(D76=0,E76=0,F76=0),0,IF(AND(J$3&gt;=G76,J$3&lt;H76),F76*MIN(12,E76-(J$3-G76)*12)/E76,0))</f>
        <v>0</v>
      </c>
      <c r="K14" s="44" t="n">
        <f aca="false">IF(OR(D76=0,E76=0,F76=0),0,IF(AND(K$3&gt;=G76,K$3&lt;H76),F76*MIN(12,E76-(K$3-G76)*12)/E76,0))</f>
        <v>0</v>
      </c>
      <c r="L14" s="44" t="n">
        <f aca="false">IF(OR(D76=0,E76=0,F76=0),0,IF(AND(L$3&gt;=G76,L$3&lt;H76),F76*MIN(12,E76-(L$3-G76)*12)/E76,0))</f>
        <v>0</v>
      </c>
      <c r="M14" s="44" t="n">
        <f aca="false">IF(OR(D76=0,E76=0,F76=0),0,IF(AND(M$3&gt;=G76,M$3&lt;H76),F76*MIN(12,E76-(M$3-G76)*12)/E76,0))</f>
        <v>0</v>
      </c>
      <c r="N14" s="44" t="n">
        <f aca="false">IF(OR(D76=0,E76=0,F76=0),0,IF(AND(N$3&gt;=G76,N$3&lt;H76),F76*MIN(12,E76-(N$3-G76)*12)/E76,0))</f>
        <v>0</v>
      </c>
      <c r="O14" s="44" t="n">
        <f aca="false">IF(OR(D76=0,E76=0,F76=0),0,IF(AND(O$3&gt;=G76,O$3&lt;H76),F76*MIN(12,E76-(O$3-G76)*12)/E76,0))</f>
        <v>0</v>
      </c>
      <c r="P14" s="44" t="n">
        <f aca="false">IF(OR(D76=0,E76=0,F76=0),0,IF(AND(P$3&gt;=G76,P$3&lt;H76),F76*MIN(12,E76-(P$3-G76)*12)/E76,0))</f>
        <v>0</v>
      </c>
      <c r="Q14" s="44" t="n">
        <f aca="false">IF(OR(D76=0,E76=0,F76=0),0,IF(AND(Q$3&gt;=G76,Q$3&lt;H76),F76*MIN(12,E76-(Q$3-G76)*12)/E76,0))</f>
        <v>0</v>
      </c>
      <c r="R14" s="44" t="n">
        <f aca="false">IF(OR(D76=0,E76=0,F76=0),0,IF(AND(R$3&gt;=G76,R$3&lt;H76),F76*MIN(12,E76-(R$3-G76)*12)/E76,0))</f>
        <v>0</v>
      </c>
      <c r="S14" s="44" t="n">
        <f aca="false">IF(OR(D76=0,E76=0,F76=0),0,IF(AND(S$3&gt;=G76,S$3&lt;H76),F76*MIN(12,E76-(S$3-G76)*12)/E76,0))</f>
        <v>0</v>
      </c>
      <c r="T14" s="44" t="n">
        <f aca="false">IF(OR(D76=0,E76=0,F76=0),0,IF(AND(T$3&gt;=G76,T$3&lt;H76),F76*MIN(12,E76-(T$3-G76)*12)/E76,0))</f>
        <v>0</v>
      </c>
      <c r="U14" s="44" t="n">
        <f aca="false">IF(OR(D76=0,E76=0,F76=0),0,IF(AND(U$3&gt;=G76,U$3&lt;H76),F76*MIN(12,E76-(U$3-G76)*12)/E76,0))</f>
        <v>0</v>
      </c>
      <c r="V14" s="44" t="n">
        <f aca="false">IF(OR(D76=0,E76=0,F76=0),0,IF(AND(V$3&gt;=G76,V$3&lt;H76),F76*MIN(12,E76-(V$3-G76)*12)/E76,0))</f>
        <v>0</v>
      </c>
      <c r="W14" s="44" t="n">
        <f aca="false">IF(OR(D76=0,E76=0,F76=0),0,IF(AND(W$3&gt;=G76,W$3&lt;H76),F76*MIN(12,E76-(W$3-G76)*12)/E76,0))</f>
        <v>0</v>
      </c>
      <c r="X14" s="44" t="n">
        <f aca="false">IF(OR(D76=0,E76=0,F76=0),0,IF(AND(X$3&gt;=G76,X$3&lt;H76),F76*MIN(12,E76-(X$3-G76)*12)/E76,0))</f>
        <v>0</v>
      </c>
      <c r="Y14" s="44" t="n">
        <f aca="false">IF(OR(D76=0,E76=0,F76=0),0,IF(AND(Y$3&gt;=G76,Y$3&lt;H76),F76*MIN(12,E76-(Y$3-G76)*12)/E76,0))</f>
        <v>0</v>
      </c>
      <c r="Z14" s="44" t="n">
        <f aca="false">IF(OR(D76=0,E76=0,F76=0),0,IF(AND(Z$3&gt;=G76,Z$3&lt;H76),F76*MIN(12,E76-(Z$3-G76)*12)/E76,0))</f>
        <v>0</v>
      </c>
      <c r="AA14" s="44" t="n">
        <f aca="false">IF(OR(D76=0,E76=0,F76=0),0,IF(AND(AA$3&gt;=G76,AA$3&lt;H76),F76*MIN(12,E76-(AA$3-G76)*12)/E76,0))</f>
        <v>0</v>
      </c>
      <c r="AB14" s="44" t="n">
        <f aca="false">IF(OR(D76=0,E76=0,F76=0),0,IF(AND(AB$3&gt;=G76,AB$3&lt;H76),F76*MIN(12,E76-(AB$3-G76)*12)/E76,0))</f>
        <v>0</v>
      </c>
      <c r="AC14" s="44" t="n">
        <f aca="false">IF(OR(D76=0,E76=0,F76=0),0,IF(AND(AC$3&gt;=G76,AC$3&lt;H76),F76*MIN(12,E76-(AC$3-G76)*12)/E76,0))</f>
        <v>0</v>
      </c>
      <c r="AD14" s="44" t="n">
        <f aca="false">IF(OR(D76=0,E76=0,F76=0),0,IF(AND(AD$3&gt;=G76,AD$3&lt;H76),F76*MIN(12,E76-(AD$3-G76)*12)/E76,0))</f>
        <v>0</v>
      </c>
      <c r="AE14" s="44" t="n">
        <f aca="false">IF(OR(D76=0,E76=0,F76=0),0,IF(AND(AE$3&gt;=G76,AE$3&lt;H76),F76*MIN(12,E76-(AE$3-G76)*12)/E76,0))</f>
        <v>0</v>
      </c>
      <c r="AF14" s="44" t="n">
        <f aca="false">IF(OR(D76=0,E76=0,F76=0),0,IF(AND(AF$3&gt;=G76,AF$3&lt;H76),F76*MIN(12,E76-(AF$3-G76)*12)/E76,0))</f>
        <v>0</v>
      </c>
      <c r="AG14" s="44" t="n">
        <f aca="false">IF(OR(D76=0,E76=0,F76=0),0,IF(AND(AG$3&gt;=G76,AG$3&lt;H76),F76*MIN(12,E76-(AG$3-G76)*12)/E76,0))</f>
        <v>0</v>
      </c>
      <c r="AH14" s="44" t="n">
        <f aca="false">IF(OR(D76=0,E76=0,F76=0),0,IF(AND(AH$3&gt;=G76,AH$3&lt;H76),F76*MIN(12,E76-(AH$3-G76)*12)/E76,0))</f>
        <v>0</v>
      </c>
      <c r="AI14" s="44" t="n">
        <f aca="false">IF(OR(D76=0,E76=0,F76=0),0,IF(AND(AI$3&gt;=G76,AI$3&lt;H76),F76*MIN(12,E76-(AI$3-G76)*12)/E76,0))</f>
        <v>0</v>
      </c>
      <c r="AJ14" s="44" t="n">
        <f aca="false">IF(OR(D76=0,E76=0,F76=0),0,IF(AND(AJ$3&gt;=G76,AJ$3&lt;H76),F76*MIN(12,E76-(AJ$3-G76)*12)/E76,0))</f>
        <v>0</v>
      </c>
      <c r="AK14" s="44" t="n">
        <f aca="false">IF(OR(D76=0,E76=0,F76=0),0,IF(AND(AK$3&gt;=G76,AK$3&lt;H76),F76*MIN(12,E76-(AK$3-G76)*12)/E76,0))</f>
        <v>0</v>
      </c>
      <c r="AL14" s="44" t="n">
        <f aca="false">IF(OR(D76=0,E76=0,F76=0),0,IF(AND(AL$3&gt;=G76,AL$3&lt;H76),F76*MIN(12,E76-(AL$3-G76)*12)/E76,0))</f>
        <v>0</v>
      </c>
      <c r="AM14" s="44" t="n">
        <f aca="false">IF(OR(D76=0,E76=0,F76=0),0,IF(AND(AM$3&gt;=G76,AM$3&lt;H76),F76*MIN(12,E76-(AM$3-G76)*12)/E76,0))</f>
        <v>0</v>
      </c>
      <c r="AN14" s="44" t="n">
        <f aca="false">IF(OR(D76=0,E76=0,F76=0),0,IF(AND(AN$3&gt;=G76,AN$3&lt;H76),F76*MIN(12,E76-(AN$3-G76)*12)/E76,0))</f>
        <v>0</v>
      </c>
      <c r="AO14" s="44" t="n">
        <f aca="false">IF(OR(D76=0,E76=0,F76=0),0,IF(AND(AO$3&gt;=G76,AO$3&lt;H76),F76*MIN(12,E76-(AO$3-G76)*12)/E76,0))</f>
        <v>0</v>
      </c>
      <c r="AP14" s="44" t="n">
        <f aca="false">IF(OR(D76=0,E76=0,F76=0),0,IF(AND(AP$3&gt;=G76,AP$3&lt;H76),F76*MIN(12,E76-(AP$3-G76)*12)/E76,0))</f>
        <v>0</v>
      </c>
      <c r="AQ14" s="44" t="n">
        <f aca="false">IF(OR(D76=0,E76=0,F76=0),0,IF(AND(AQ$3&gt;=G76,AQ$3&lt;H76),F76*MIN(12,E76-(AQ$3-G76)*12)/E76,0))</f>
        <v>0</v>
      </c>
      <c r="AR14" s="44" t="n">
        <f aca="false">IF(OR(D76=0,E76=0,F76=0),0,IF(AND(AR$3&gt;=G76,AR$3&lt;H76),F76*MIN(12,E76-(AR$3-G76)*12)/E76,0))</f>
        <v>0</v>
      </c>
      <c r="AS14" s="44" t="n">
        <f aca="false">IF(OR(D76=0,E76=0,F76=0),0,IF(AND(AS$3&gt;=G76,AS$3&lt;H76),F76*MIN(12,E76-(AS$3-G76)*12)/E76,0))</f>
        <v>0</v>
      </c>
      <c r="AT14" s="44" t="n">
        <f aca="false">IF(OR(D76=0,E76=0,F76=0),0,IF(AND(AT$3&gt;=G76,AT$3&lt;H76),F76*MIN(12,E76-(AT$3-G76)*12)/E76,0))</f>
        <v>0</v>
      </c>
      <c r="AU14" s="44" t="n">
        <f aca="false">IF(OR(D76=0,E76=0,F76=0),0,IF(AND(AU$3&gt;=G76,AU$3&lt;H76),F76*MIN(12,E76-(AU$3-G76)*12)/E76,0))</f>
        <v>0</v>
      </c>
      <c r="AV14" s="44" t="n">
        <f aca="false">IF(OR(D76=0,E76=0,F76=0),0,IF(AND(AV$3&gt;=G76,AV$3&lt;H76),F76*MIN(12,E76-(AV$3-G76)*12)/E76,0))</f>
        <v>0</v>
      </c>
      <c r="AW14" s="44" t="n">
        <f aca="false">IF(OR(D76=0,E76=0,F76=0),0,IF(AND(AW$3&gt;=G76,AW$3&lt;H76),F76*MIN(12,E76-(AW$3-G76)*12)/E76,0))</f>
        <v>0</v>
      </c>
      <c r="AX14" s="44" t="n">
        <f aca="false">IF(OR(D76=0,E76=0,F76=0),0,IF(AND(AX$3&gt;=G76,AX$3&lt;H76),F76*MIN(12,E76-(AX$3-G76)*12)/E76,0))</f>
        <v>0</v>
      </c>
      <c r="AY14" s="44" t="n">
        <f aca="false">IF(OR(D76=0,E76=0,F76=0),0,IF(AND(AY$3&gt;=G76,AY$3&lt;H76),F76*MIN(12,E76-(AY$3-G76)*12)/E76,0))</f>
        <v>0</v>
      </c>
      <c r="AZ14" s="44" t="n">
        <f aca="false">IF(OR(D76=0,E76=0,F76=0),0,IF(AND(AZ$3&gt;=G76,AZ$3&lt;H76),F76*MIN(12,E76-(AZ$3-G76)*12)/E76,0))</f>
        <v>0</v>
      </c>
      <c r="BA14" s="44" t="n">
        <f aca="false">IF(OR(D76=0,E76=0,F76=0),0,IF(AND(BA$3&gt;=G76,BA$3&lt;H76),F76*MIN(12,E76-(BA$3-G76)*12)/E76,0))</f>
        <v>0</v>
      </c>
      <c r="BB14" s="44" t="n">
        <f aca="false">IF(OR(D76=0,E76=0,F76=0),0,IF(AND(BB$3&gt;=G76,BB$3&lt;H76),F76*MIN(12,E76-(BB$3-G76)*12)/E76,0))</f>
        <v>0</v>
      </c>
    </row>
    <row r="15" customFormat="false" ht="15" hidden="false" customHeight="true" outlineLevel="0" collapsed="false">
      <c r="A15" s="44" t="n">
        <f aca="false">A77</f>
        <v>12</v>
      </c>
      <c r="B15" s="44" t="str">
        <f aca="false">B77</f>
        <v>Shopping Area</v>
      </c>
      <c r="C15" s="44" t="str">
        <f aca="false">C77</f>
        <v>ZAN 2</v>
      </c>
      <c r="D15" s="44" t="n">
        <f aca="false">SUM(E15:BB15)</f>
        <v>12709620</v>
      </c>
      <c r="E15" s="44" t="n">
        <f aca="false">IF(OR(D77=0,E77=0,F77=0),0,IF(AND(E$3&gt;=G77,E$3&lt;H77),F77*MIN(12,E77-(E$3-G77)*12)/E77,0))</f>
        <v>0</v>
      </c>
      <c r="F15" s="44" t="n">
        <f aca="false">IF(OR(D77=0,E77=0,F77=0),0,IF(AND(F$3&gt;=G77,F$3&lt;H77),F77*MIN(12,E77-(F$3-G77)*12)/E77,0))</f>
        <v>0</v>
      </c>
      <c r="G15" s="44" t="n">
        <f aca="false">IF(OR(D77=0,E77=0,F77=0),0,IF(AND(G$3&gt;=G77,G$3&lt;H77),F77*MIN(12,E77-(G$3-G77)*12)/E77,0))</f>
        <v>0</v>
      </c>
      <c r="H15" s="44" t="n">
        <f aca="false">IF(OR(D77=0,E77=0,F77=0),0,IF(AND(H$3&gt;=G77,H$3&lt;H77),F77*MIN(12,E77-(H$3-G77)*12)/E77,0))</f>
        <v>8473080</v>
      </c>
      <c r="I15" s="44" t="n">
        <f aca="false">IF(OR(D77=0,E77=0,F77=0),0,IF(AND(I$3&gt;=G77,I$3&lt;H77),F77*MIN(12,E77-(I$3-G77)*12)/E77,0))</f>
        <v>4236540</v>
      </c>
      <c r="J15" s="44" t="n">
        <f aca="false">IF(OR(D77=0,E77=0,F77=0),0,IF(AND(J$3&gt;=G77,J$3&lt;H77),F77*MIN(12,E77-(J$3-G77)*12)/E77,0))</f>
        <v>0</v>
      </c>
      <c r="K15" s="44" t="n">
        <f aca="false">IF(OR(D77=0,E77=0,F77=0),0,IF(AND(K$3&gt;=G77,K$3&lt;H77),F77*MIN(12,E77-(K$3-G77)*12)/E77,0))</f>
        <v>0</v>
      </c>
      <c r="L15" s="44" t="n">
        <f aca="false">IF(OR(D77=0,E77=0,F77=0),0,IF(AND(L$3&gt;=G77,L$3&lt;H77),F77*MIN(12,E77-(L$3-G77)*12)/E77,0))</f>
        <v>0</v>
      </c>
      <c r="M15" s="44" t="n">
        <f aca="false">IF(OR(D77=0,E77=0,F77=0),0,IF(AND(M$3&gt;=G77,M$3&lt;H77),F77*MIN(12,E77-(M$3-G77)*12)/E77,0))</f>
        <v>0</v>
      </c>
      <c r="N15" s="44" t="n">
        <f aca="false">IF(OR(D77=0,E77=0,F77=0),0,IF(AND(N$3&gt;=G77,N$3&lt;H77),F77*MIN(12,E77-(N$3-G77)*12)/E77,0))</f>
        <v>0</v>
      </c>
      <c r="O15" s="44" t="n">
        <f aca="false">IF(OR(D77=0,E77=0,F77=0),0,IF(AND(O$3&gt;=G77,O$3&lt;H77),F77*MIN(12,E77-(O$3-G77)*12)/E77,0))</f>
        <v>0</v>
      </c>
      <c r="P15" s="44" t="n">
        <f aca="false">IF(OR(D77=0,E77=0,F77=0),0,IF(AND(P$3&gt;=G77,P$3&lt;H77),F77*MIN(12,E77-(P$3-G77)*12)/E77,0))</f>
        <v>0</v>
      </c>
      <c r="Q15" s="44" t="n">
        <f aca="false">IF(OR(D77=0,E77=0,F77=0),0,IF(AND(Q$3&gt;=G77,Q$3&lt;H77),F77*MIN(12,E77-(Q$3-G77)*12)/E77,0))</f>
        <v>0</v>
      </c>
      <c r="R15" s="44" t="n">
        <f aca="false">IF(OR(D77=0,E77=0,F77=0),0,IF(AND(R$3&gt;=G77,R$3&lt;H77),F77*MIN(12,E77-(R$3-G77)*12)/E77,0))</f>
        <v>0</v>
      </c>
      <c r="S15" s="44" t="n">
        <f aca="false">IF(OR(D77=0,E77=0,F77=0),0,IF(AND(S$3&gt;=G77,S$3&lt;H77),F77*MIN(12,E77-(S$3-G77)*12)/E77,0))</f>
        <v>0</v>
      </c>
      <c r="T15" s="44" t="n">
        <f aca="false">IF(OR(D77=0,E77=0,F77=0),0,IF(AND(T$3&gt;=G77,T$3&lt;H77),F77*MIN(12,E77-(T$3-G77)*12)/E77,0))</f>
        <v>0</v>
      </c>
      <c r="U15" s="44" t="n">
        <f aca="false">IF(OR(D77=0,E77=0,F77=0),0,IF(AND(U$3&gt;=G77,U$3&lt;H77),F77*MIN(12,E77-(U$3-G77)*12)/E77,0))</f>
        <v>0</v>
      </c>
      <c r="V15" s="44" t="n">
        <f aca="false">IF(OR(D77=0,E77=0,F77=0),0,IF(AND(V$3&gt;=G77,V$3&lt;H77),F77*MIN(12,E77-(V$3-G77)*12)/E77,0))</f>
        <v>0</v>
      </c>
      <c r="W15" s="44" t="n">
        <f aca="false">IF(OR(D77=0,E77=0,F77=0),0,IF(AND(W$3&gt;=G77,W$3&lt;H77),F77*MIN(12,E77-(W$3-G77)*12)/E77,0))</f>
        <v>0</v>
      </c>
      <c r="X15" s="44" t="n">
        <f aca="false">IF(OR(D77=0,E77=0,F77=0),0,IF(AND(X$3&gt;=G77,X$3&lt;H77),F77*MIN(12,E77-(X$3-G77)*12)/E77,0))</f>
        <v>0</v>
      </c>
      <c r="Y15" s="44" t="n">
        <f aca="false">IF(OR(D77=0,E77=0,F77=0),0,IF(AND(Y$3&gt;=G77,Y$3&lt;H77),F77*MIN(12,E77-(Y$3-G77)*12)/E77,0))</f>
        <v>0</v>
      </c>
      <c r="Z15" s="44" t="n">
        <f aca="false">IF(OR(D77=0,E77=0,F77=0),0,IF(AND(Z$3&gt;=G77,Z$3&lt;H77),F77*MIN(12,E77-(Z$3-G77)*12)/E77,0))</f>
        <v>0</v>
      </c>
      <c r="AA15" s="44" t="n">
        <f aca="false">IF(OR(D77=0,E77=0,F77=0),0,IF(AND(AA$3&gt;=G77,AA$3&lt;H77),F77*MIN(12,E77-(AA$3-G77)*12)/E77,0))</f>
        <v>0</v>
      </c>
      <c r="AB15" s="44" t="n">
        <f aca="false">IF(OR(D77=0,E77=0,F77=0),0,IF(AND(AB$3&gt;=G77,AB$3&lt;H77),F77*MIN(12,E77-(AB$3-G77)*12)/E77,0))</f>
        <v>0</v>
      </c>
      <c r="AC15" s="44" t="n">
        <f aca="false">IF(OR(D77=0,E77=0,F77=0),0,IF(AND(AC$3&gt;=G77,AC$3&lt;H77),F77*MIN(12,E77-(AC$3-G77)*12)/E77,0))</f>
        <v>0</v>
      </c>
      <c r="AD15" s="44" t="n">
        <f aca="false">IF(OR(D77=0,E77=0,F77=0),0,IF(AND(AD$3&gt;=G77,AD$3&lt;H77),F77*MIN(12,E77-(AD$3-G77)*12)/E77,0))</f>
        <v>0</v>
      </c>
      <c r="AE15" s="44" t="n">
        <f aca="false">IF(OR(D77=0,E77=0,F77=0),0,IF(AND(AE$3&gt;=G77,AE$3&lt;H77),F77*MIN(12,E77-(AE$3-G77)*12)/E77,0))</f>
        <v>0</v>
      </c>
      <c r="AF15" s="44" t="n">
        <f aca="false">IF(OR(D77=0,E77=0,F77=0),0,IF(AND(AF$3&gt;=G77,AF$3&lt;H77),F77*MIN(12,E77-(AF$3-G77)*12)/E77,0))</f>
        <v>0</v>
      </c>
      <c r="AG15" s="44" t="n">
        <f aca="false">IF(OR(D77=0,E77=0,F77=0),0,IF(AND(AG$3&gt;=G77,AG$3&lt;H77),F77*MIN(12,E77-(AG$3-G77)*12)/E77,0))</f>
        <v>0</v>
      </c>
      <c r="AH15" s="44" t="n">
        <f aca="false">IF(OR(D77=0,E77=0,F77=0),0,IF(AND(AH$3&gt;=G77,AH$3&lt;H77),F77*MIN(12,E77-(AH$3-G77)*12)/E77,0))</f>
        <v>0</v>
      </c>
      <c r="AI15" s="44" t="n">
        <f aca="false">IF(OR(D77=0,E77=0,F77=0),0,IF(AND(AI$3&gt;=G77,AI$3&lt;H77),F77*MIN(12,E77-(AI$3-G77)*12)/E77,0))</f>
        <v>0</v>
      </c>
      <c r="AJ15" s="44" t="n">
        <f aca="false">IF(OR(D77=0,E77=0,F77=0),0,IF(AND(AJ$3&gt;=G77,AJ$3&lt;H77),F77*MIN(12,E77-(AJ$3-G77)*12)/E77,0))</f>
        <v>0</v>
      </c>
      <c r="AK15" s="44" t="n">
        <f aca="false">IF(OR(D77=0,E77=0,F77=0),0,IF(AND(AK$3&gt;=G77,AK$3&lt;H77),F77*MIN(12,E77-(AK$3-G77)*12)/E77,0))</f>
        <v>0</v>
      </c>
      <c r="AL15" s="44" t="n">
        <f aca="false">IF(OR(D77=0,E77=0,F77=0),0,IF(AND(AL$3&gt;=G77,AL$3&lt;H77),F77*MIN(12,E77-(AL$3-G77)*12)/E77,0))</f>
        <v>0</v>
      </c>
      <c r="AM15" s="44" t="n">
        <f aca="false">IF(OR(D77=0,E77=0,F77=0),0,IF(AND(AM$3&gt;=G77,AM$3&lt;H77),F77*MIN(12,E77-(AM$3-G77)*12)/E77,0))</f>
        <v>0</v>
      </c>
      <c r="AN15" s="44" t="n">
        <f aca="false">IF(OR(D77=0,E77=0,F77=0),0,IF(AND(AN$3&gt;=G77,AN$3&lt;H77),F77*MIN(12,E77-(AN$3-G77)*12)/E77,0))</f>
        <v>0</v>
      </c>
      <c r="AO15" s="44" t="n">
        <f aca="false">IF(OR(D77=0,E77=0,F77=0),0,IF(AND(AO$3&gt;=G77,AO$3&lt;H77),F77*MIN(12,E77-(AO$3-G77)*12)/E77,0))</f>
        <v>0</v>
      </c>
      <c r="AP15" s="44" t="n">
        <f aca="false">IF(OR(D77=0,E77=0,F77=0),0,IF(AND(AP$3&gt;=G77,AP$3&lt;H77),F77*MIN(12,E77-(AP$3-G77)*12)/E77,0))</f>
        <v>0</v>
      </c>
      <c r="AQ15" s="44" t="n">
        <f aca="false">IF(OR(D77=0,E77=0,F77=0),0,IF(AND(AQ$3&gt;=G77,AQ$3&lt;H77),F77*MIN(12,E77-(AQ$3-G77)*12)/E77,0))</f>
        <v>0</v>
      </c>
      <c r="AR15" s="44" t="n">
        <f aca="false">IF(OR(D77=0,E77=0,F77=0),0,IF(AND(AR$3&gt;=G77,AR$3&lt;H77),F77*MIN(12,E77-(AR$3-G77)*12)/E77,0))</f>
        <v>0</v>
      </c>
      <c r="AS15" s="44" t="n">
        <f aca="false">IF(OR(D77=0,E77=0,F77=0),0,IF(AND(AS$3&gt;=G77,AS$3&lt;H77),F77*MIN(12,E77-(AS$3-G77)*12)/E77,0))</f>
        <v>0</v>
      </c>
      <c r="AT15" s="44" t="n">
        <f aca="false">IF(OR(D77=0,E77=0,F77=0),0,IF(AND(AT$3&gt;=G77,AT$3&lt;H77),F77*MIN(12,E77-(AT$3-G77)*12)/E77,0))</f>
        <v>0</v>
      </c>
      <c r="AU15" s="44" t="n">
        <f aca="false">IF(OR(D77=0,E77=0,F77=0),0,IF(AND(AU$3&gt;=G77,AU$3&lt;H77),F77*MIN(12,E77-(AU$3-G77)*12)/E77,0))</f>
        <v>0</v>
      </c>
      <c r="AV15" s="44" t="n">
        <f aca="false">IF(OR(D77=0,E77=0,F77=0),0,IF(AND(AV$3&gt;=G77,AV$3&lt;H77),F77*MIN(12,E77-(AV$3-G77)*12)/E77,0))</f>
        <v>0</v>
      </c>
      <c r="AW15" s="44" t="n">
        <f aca="false">IF(OR(D77=0,E77=0,F77=0),0,IF(AND(AW$3&gt;=G77,AW$3&lt;H77),F77*MIN(12,E77-(AW$3-G77)*12)/E77,0))</f>
        <v>0</v>
      </c>
      <c r="AX15" s="44" t="n">
        <f aca="false">IF(OR(D77=0,E77=0,F77=0),0,IF(AND(AX$3&gt;=G77,AX$3&lt;H77),F77*MIN(12,E77-(AX$3-G77)*12)/E77,0))</f>
        <v>0</v>
      </c>
      <c r="AY15" s="44" t="n">
        <f aca="false">IF(OR(D77=0,E77=0,F77=0),0,IF(AND(AY$3&gt;=G77,AY$3&lt;H77),F77*MIN(12,E77-(AY$3-G77)*12)/E77,0))</f>
        <v>0</v>
      </c>
      <c r="AZ15" s="44" t="n">
        <f aca="false">IF(OR(D77=0,E77=0,F77=0),0,IF(AND(AZ$3&gt;=G77,AZ$3&lt;H77),F77*MIN(12,E77-(AZ$3-G77)*12)/E77,0))</f>
        <v>0</v>
      </c>
      <c r="BA15" s="44" t="n">
        <f aca="false">IF(OR(D77=0,E77=0,F77=0),0,IF(AND(BA$3&gt;=G77,BA$3&lt;H77),F77*MIN(12,E77-(BA$3-G77)*12)/E77,0))</f>
        <v>0</v>
      </c>
      <c r="BB15" s="44" t="n">
        <f aca="false">IF(OR(D77=0,E77=0,F77=0),0,IF(AND(BB$3&gt;=G77,BB$3&lt;H77),F77*MIN(12,E77-(BB$3-G77)*12)/E77,0))</f>
        <v>0</v>
      </c>
    </row>
    <row r="16" customFormat="false" ht="15" hidden="false" customHeight="true" outlineLevel="0" collapsed="false">
      <c r="A16" s="44" t="n">
        <f aca="false">A78</f>
        <v>13</v>
      </c>
      <c r="B16" s="44" t="str">
        <f aca="false">B78</f>
        <v>Shops / Cafes</v>
      </c>
      <c r="C16" s="44" t="str">
        <f aca="false">C78</f>
        <v>ZAN 2</v>
      </c>
      <c r="D16" s="44" t="n">
        <f aca="false">SUM(E16:BB16)</f>
        <v>4043655</v>
      </c>
      <c r="E16" s="44" t="n">
        <f aca="false">IF(OR(D78=0,E78=0,F78=0),0,IF(AND(E$3&gt;=G78,E$3&lt;H78),F78*MIN(12,E78-(E$3-G78)*12)/E78,0))</f>
        <v>0</v>
      </c>
      <c r="F16" s="44" t="n">
        <f aca="false">IF(OR(D78=0,E78=0,F78=0),0,IF(AND(F$3&gt;=G78,F$3&lt;H78),F78*MIN(12,E78-(F$3-G78)*12)/E78,0))</f>
        <v>0</v>
      </c>
      <c r="G16" s="44" t="n">
        <f aca="false">IF(OR(D78=0,E78=0,F78=0),0,IF(AND(G$3&gt;=G78,G$3&lt;H78),F78*MIN(12,E78-(G$3-G78)*12)/E78,0))</f>
        <v>0</v>
      </c>
      <c r="H16" s="44" t="n">
        <f aca="false">IF(OR(D78=0,E78=0,F78=0),0,IF(AND(H$3&gt;=G78,H$3&lt;H78),F78*MIN(12,E78-(H$3-G78)*12)/E78,0))</f>
        <v>2695770</v>
      </c>
      <c r="I16" s="44" t="n">
        <f aca="false">IF(OR(D78=0,E78=0,F78=0),0,IF(AND(I$3&gt;=G78,I$3&lt;H78),F78*MIN(12,E78-(I$3-G78)*12)/E78,0))</f>
        <v>1347885</v>
      </c>
      <c r="J16" s="44" t="n">
        <f aca="false">IF(OR(D78=0,E78=0,F78=0),0,IF(AND(J$3&gt;=G78,J$3&lt;H78),F78*MIN(12,E78-(J$3-G78)*12)/E78,0))</f>
        <v>0</v>
      </c>
      <c r="K16" s="44" t="n">
        <f aca="false">IF(OR(D78=0,E78=0,F78=0),0,IF(AND(K$3&gt;=G78,K$3&lt;H78),F78*MIN(12,E78-(K$3-G78)*12)/E78,0))</f>
        <v>0</v>
      </c>
      <c r="L16" s="44" t="n">
        <f aca="false">IF(OR(D78=0,E78=0,F78=0),0,IF(AND(L$3&gt;=G78,L$3&lt;H78),F78*MIN(12,E78-(L$3-G78)*12)/E78,0))</f>
        <v>0</v>
      </c>
      <c r="M16" s="44" t="n">
        <f aca="false">IF(OR(D78=0,E78=0,F78=0),0,IF(AND(M$3&gt;=G78,M$3&lt;H78),F78*MIN(12,E78-(M$3-G78)*12)/E78,0))</f>
        <v>0</v>
      </c>
      <c r="N16" s="44" t="n">
        <f aca="false">IF(OR(D78=0,E78=0,F78=0),0,IF(AND(N$3&gt;=G78,N$3&lt;H78),F78*MIN(12,E78-(N$3-G78)*12)/E78,0))</f>
        <v>0</v>
      </c>
      <c r="O16" s="44" t="n">
        <f aca="false">IF(OR(D78=0,E78=0,F78=0),0,IF(AND(O$3&gt;=G78,O$3&lt;H78),F78*MIN(12,E78-(O$3-G78)*12)/E78,0))</f>
        <v>0</v>
      </c>
      <c r="P16" s="44" t="n">
        <f aca="false">IF(OR(D78=0,E78=0,F78=0),0,IF(AND(P$3&gt;=G78,P$3&lt;H78),F78*MIN(12,E78-(P$3-G78)*12)/E78,0))</f>
        <v>0</v>
      </c>
      <c r="Q16" s="44" t="n">
        <f aca="false">IF(OR(D78=0,E78=0,F78=0),0,IF(AND(Q$3&gt;=G78,Q$3&lt;H78),F78*MIN(12,E78-(Q$3-G78)*12)/E78,0))</f>
        <v>0</v>
      </c>
      <c r="R16" s="44" t="n">
        <f aca="false">IF(OR(D78=0,E78=0,F78=0),0,IF(AND(R$3&gt;=G78,R$3&lt;H78),F78*MIN(12,E78-(R$3-G78)*12)/E78,0))</f>
        <v>0</v>
      </c>
      <c r="S16" s="44" t="n">
        <f aca="false">IF(OR(D78=0,E78=0,F78=0),0,IF(AND(S$3&gt;=G78,S$3&lt;H78),F78*MIN(12,E78-(S$3-G78)*12)/E78,0))</f>
        <v>0</v>
      </c>
      <c r="T16" s="44" t="n">
        <f aca="false">IF(OR(D78=0,E78=0,F78=0),0,IF(AND(T$3&gt;=G78,T$3&lt;H78),F78*MIN(12,E78-(T$3-G78)*12)/E78,0))</f>
        <v>0</v>
      </c>
      <c r="U16" s="44" t="n">
        <f aca="false">IF(OR(D78=0,E78=0,F78=0),0,IF(AND(U$3&gt;=G78,U$3&lt;H78),F78*MIN(12,E78-(U$3-G78)*12)/E78,0))</f>
        <v>0</v>
      </c>
      <c r="V16" s="44" t="n">
        <f aca="false">IF(OR(D78=0,E78=0,F78=0),0,IF(AND(V$3&gt;=G78,V$3&lt;H78),F78*MIN(12,E78-(V$3-G78)*12)/E78,0))</f>
        <v>0</v>
      </c>
      <c r="W16" s="44" t="n">
        <f aca="false">IF(OR(D78=0,E78=0,F78=0),0,IF(AND(W$3&gt;=G78,W$3&lt;H78),F78*MIN(12,E78-(W$3-G78)*12)/E78,0))</f>
        <v>0</v>
      </c>
      <c r="X16" s="44" t="n">
        <f aca="false">IF(OR(D78=0,E78=0,F78=0),0,IF(AND(X$3&gt;=G78,X$3&lt;H78),F78*MIN(12,E78-(X$3-G78)*12)/E78,0))</f>
        <v>0</v>
      </c>
      <c r="Y16" s="44" t="n">
        <f aca="false">IF(OR(D78=0,E78=0,F78=0),0,IF(AND(Y$3&gt;=G78,Y$3&lt;H78),F78*MIN(12,E78-(Y$3-G78)*12)/E78,0))</f>
        <v>0</v>
      </c>
      <c r="Z16" s="44" t="n">
        <f aca="false">IF(OR(D78=0,E78=0,F78=0),0,IF(AND(Z$3&gt;=G78,Z$3&lt;H78),F78*MIN(12,E78-(Z$3-G78)*12)/E78,0))</f>
        <v>0</v>
      </c>
      <c r="AA16" s="44" t="n">
        <f aca="false">IF(OR(D78=0,E78=0,F78=0),0,IF(AND(AA$3&gt;=G78,AA$3&lt;H78),F78*MIN(12,E78-(AA$3-G78)*12)/E78,0))</f>
        <v>0</v>
      </c>
      <c r="AB16" s="44" t="n">
        <f aca="false">IF(OR(D78=0,E78=0,F78=0),0,IF(AND(AB$3&gt;=G78,AB$3&lt;H78),F78*MIN(12,E78-(AB$3-G78)*12)/E78,0))</f>
        <v>0</v>
      </c>
      <c r="AC16" s="44" t="n">
        <f aca="false">IF(OR(D78=0,E78=0,F78=0),0,IF(AND(AC$3&gt;=G78,AC$3&lt;H78),F78*MIN(12,E78-(AC$3-G78)*12)/E78,0))</f>
        <v>0</v>
      </c>
      <c r="AD16" s="44" t="n">
        <f aca="false">IF(OR(D78=0,E78=0,F78=0),0,IF(AND(AD$3&gt;=G78,AD$3&lt;H78),F78*MIN(12,E78-(AD$3-G78)*12)/E78,0))</f>
        <v>0</v>
      </c>
      <c r="AE16" s="44" t="n">
        <f aca="false">IF(OR(D78=0,E78=0,F78=0),0,IF(AND(AE$3&gt;=G78,AE$3&lt;H78),F78*MIN(12,E78-(AE$3-G78)*12)/E78,0))</f>
        <v>0</v>
      </c>
      <c r="AF16" s="44" t="n">
        <f aca="false">IF(OR(D78=0,E78=0,F78=0),0,IF(AND(AF$3&gt;=G78,AF$3&lt;H78),F78*MIN(12,E78-(AF$3-G78)*12)/E78,0))</f>
        <v>0</v>
      </c>
      <c r="AG16" s="44" t="n">
        <f aca="false">IF(OR(D78=0,E78=0,F78=0),0,IF(AND(AG$3&gt;=G78,AG$3&lt;H78),F78*MIN(12,E78-(AG$3-G78)*12)/E78,0))</f>
        <v>0</v>
      </c>
      <c r="AH16" s="44" t="n">
        <f aca="false">IF(OR(D78=0,E78=0,F78=0),0,IF(AND(AH$3&gt;=G78,AH$3&lt;H78),F78*MIN(12,E78-(AH$3-G78)*12)/E78,0))</f>
        <v>0</v>
      </c>
      <c r="AI16" s="44" t="n">
        <f aca="false">IF(OR(D78=0,E78=0,F78=0),0,IF(AND(AI$3&gt;=G78,AI$3&lt;H78),F78*MIN(12,E78-(AI$3-G78)*12)/E78,0))</f>
        <v>0</v>
      </c>
      <c r="AJ16" s="44" t="n">
        <f aca="false">IF(OR(D78=0,E78=0,F78=0),0,IF(AND(AJ$3&gt;=G78,AJ$3&lt;H78),F78*MIN(12,E78-(AJ$3-G78)*12)/E78,0))</f>
        <v>0</v>
      </c>
      <c r="AK16" s="44" t="n">
        <f aca="false">IF(OR(D78=0,E78=0,F78=0),0,IF(AND(AK$3&gt;=G78,AK$3&lt;H78),F78*MIN(12,E78-(AK$3-G78)*12)/E78,0))</f>
        <v>0</v>
      </c>
      <c r="AL16" s="44" t="n">
        <f aca="false">IF(OR(D78=0,E78=0,F78=0),0,IF(AND(AL$3&gt;=G78,AL$3&lt;H78),F78*MIN(12,E78-(AL$3-G78)*12)/E78,0))</f>
        <v>0</v>
      </c>
      <c r="AM16" s="44" t="n">
        <f aca="false">IF(OR(D78=0,E78=0,F78=0),0,IF(AND(AM$3&gt;=G78,AM$3&lt;H78),F78*MIN(12,E78-(AM$3-G78)*12)/E78,0))</f>
        <v>0</v>
      </c>
      <c r="AN16" s="44" t="n">
        <f aca="false">IF(OR(D78=0,E78=0,F78=0),0,IF(AND(AN$3&gt;=G78,AN$3&lt;H78),F78*MIN(12,E78-(AN$3-G78)*12)/E78,0))</f>
        <v>0</v>
      </c>
      <c r="AO16" s="44" t="n">
        <f aca="false">IF(OR(D78=0,E78=0,F78=0),0,IF(AND(AO$3&gt;=G78,AO$3&lt;H78),F78*MIN(12,E78-(AO$3-G78)*12)/E78,0))</f>
        <v>0</v>
      </c>
      <c r="AP16" s="44" t="n">
        <f aca="false">IF(OR(D78=0,E78=0,F78=0),0,IF(AND(AP$3&gt;=G78,AP$3&lt;H78),F78*MIN(12,E78-(AP$3-G78)*12)/E78,0))</f>
        <v>0</v>
      </c>
      <c r="AQ16" s="44" t="n">
        <f aca="false">IF(OR(D78=0,E78=0,F78=0),0,IF(AND(AQ$3&gt;=G78,AQ$3&lt;H78),F78*MIN(12,E78-(AQ$3-G78)*12)/E78,0))</f>
        <v>0</v>
      </c>
      <c r="AR16" s="44" t="n">
        <f aca="false">IF(OR(D78=0,E78=0,F78=0),0,IF(AND(AR$3&gt;=G78,AR$3&lt;H78),F78*MIN(12,E78-(AR$3-G78)*12)/E78,0))</f>
        <v>0</v>
      </c>
      <c r="AS16" s="44" t="n">
        <f aca="false">IF(OR(D78=0,E78=0,F78=0),0,IF(AND(AS$3&gt;=G78,AS$3&lt;H78),F78*MIN(12,E78-(AS$3-G78)*12)/E78,0))</f>
        <v>0</v>
      </c>
      <c r="AT16" s="44" t="n">
        <f aca="false">IF(OR(D78=0,E78=0,F78=0),0,IF(AND(AT$3&gt;=G78,AT$3&lt;H78),F78*MIN(12,E78-(AT$3-G78)*12)/E78,0))</f>
        <v>0</v>
      </c>
      <c r="AU16" s="44" t="n">
        <f aca="false">IF(OR(D78=0,E78=0,F78=0),0,IF(AND(AU$3&gt;=G78,AU$3&lt;H78),F78*MIN(12,E78-(AU$3-G78)*12)/E78,0))</f>
        <v>0</v>
      </c>
      <c r="AV16" s="44" t="n">
        <f aca="false">IF(OR(D78=0,E78=0,F78=0),0,IF(AND(AV$3&gt;=G78,AV$3&lt;H78),F78*MIN(12,E78-(AV$3-G78)*12)/E78,0))</f>
        <v>0</v>
      </c>
      <c r="AW16" s="44" t="n">
        <f aca="false">IF(OR(D78=0,E78=0,F78=0),0,IF(AND(AW$3&gt;=G78,AW$3&lt;H78),F78*MIN(12,E78-(AW$3-G78)*12)/E78,0))</f>
        <v>0</v>
      </c>
      <c r="AX16" s="44" t="n">
        <f aca="false">IF(OR(D78=0,E78=0,F78=0),0,IF(AND(AX$3&gt;=G78,AX$3&lt;H78),F78*MIN(12,E78-(AX$3-G78)*12)/E78,0))</f>
        <v>0</v>
      </c>
      <c r="AY16" s="44" t="n">
        <f aca="false">IF(OR(D78=0,E78=0,F78=0),0,IF(AND(AY$3&gt;=G78,AY$3&lt;H78),F78*MIN(12,E78-(AY$3-G78)*12)/E78,0))</f>
        <v>0</v>
      </c>
      <c r="AZ16" s="44" t="n">
        <f aca="false">IF(OR(D78=0,E78=0,F78=0),0,IF(AND(AZ$3&gt;=G78,AZ$3&lt;H78),F78*MIN(12,E78-(AZ$3-G78)*12)/E78,0))</f>
        <v>0</v>
      </c>
      <c r="BA16" s="44" t="n">
        <f aca="false">IF(OR(D78=0,E78=0,F78=0),0,IF(AND(BA$3&gt;=G78,BA$3&lt;H78),F78*MIN(12,E78-(BA$3-G78)*12)/E78,0))</f>
        <v>0</v>
      </c>
      <c r="BB16" s="44" t="n">
        <f aca="false">IF(OR(D78=0,E78=0,F78=0),0,IF(AND(BB$3&gt;=G78,BB$3&lt;H78),F78*MIN(12,E78-(BB$3-G78)*12)/E78,0))</f>
        <v>0</v>
      </c>
    </row>
    <row r="17" customFormat="false" ht="15" hidden="false" customHeight="true" outlineLevel="0" collapsed="false">
      <c r="A17" s="44" t="n">
        <f aca="false">A79</f>
        <v>14</v>
      </c>
      <c r="B17" s="44" t="str">
        <f aca="false">B79</f>
        <v>Parking &amp; Landscaping ZAN2</v>
      </c>
      <c r="C17" s="44" t="str">
        <f aca="false">C79</f>
        <v>ZAN 2</v>
      </c>
      <c r="D17" s="44" t="n">
        <f aca="false">SUM(E17:BB17)</f>
        <v>45847605.7350637</v>
      </c>
      <c r="E17" s="44" t="n">
        <f aca="false">IF(OR(D79=0,E79=0,F79=0),0,IF(AND(E$3&gt;=G79,E$3&lt;H79),F79*MIN(12,E79-(E$3-G79)*12)/E79,0))</f>
        <v>0</v>
      </c>
      <c r="F17" s="44" t="n">
        <f aca="false">IF(OR(D79=0,E79=0,F79=0),0,IF(AND(F$3&gt;=G79,F$3&lt;H79),F79*MIN(12,E79-(F$3-G79)*12)/E79,0))</f>
        <v>0</v>
      </c>
      <c r="G17" s="44" t="n">
        <f aca="false">IF(OR(D79=0,E79=0,F79=0),0,IF(AND(G$3&gt;=G79,G$3&lt;H79),F79*MIN(12,E79-(G$3-G79)*12)/E79,0))</f>
        <v>0</v>
      </c>
      <c r="H17" s="44" t="n">
        <f aca="false">IF(OR(D79=0,E79=0,F79=0),0,IF(AND(H$3&gt;=G79,H$3&lt;H79),F79*MIN(12,E79-(H$3-G79)*12)/E79,0))</f>
        <v>0</v>
      </c>
      <c r="I17" s="44" t="n">
        <f aca="false">IF(OR(D79=0,E79=0,F79=0),0,IF(AND(I$3&gt;=G79,I$3&lt;H79),F79*MIN(12,E79-(I$3-G79)*12)/E79,0))</f>
        <v>45847605.7350637</v>
      </c>
      <c r="J17" s="44" t="n">
        <f aca="false">IF(OR(D79=0,E79=0,F79=0),0,IF(AND(J$3&gt;=G79,J$3&lt;H79),F79*MIN(12,E79-(J$3-G79)*12)/E79,0))</f>
        <v>0</v>
      </c>
      <c r="K17" s="44" t="n">
        <f aca="false">IF(OR(D79=0,E79=0,F79=0),0,IF(AND(K$3&gt;=G79,K$3&lt;H79),F79*MIN(12,E79-(K$3-G79)*12)/E79,0))</f>
        <v>0</v>
      </c>
      <c r="L17" s="44" t="n">
        <f aca="false">IF(OR(D79=0,E79=0,F79=0),0,IF(AND(L$3&gt;=G79,L$3&lt;H79),F79*MIN(12,E79-(L$3-G79)*12)/E79,0))</f>
        <v>0</v>
      </c>
      <c r="M17" s="44" t="n">
        <f aca="false">IF(OR(D79=0,E79=0,F79=0),0,IF(AND(M$3&gt;=G79,M$3&lt;H79),F79*MIN(12,E79-(M$3-G79)*12)/E79,0))</f>
        <v>0</v>
      </c>
      <c r="N17" s="44" t="n">
        <f aca="false">IF(OR(D79=0,E79=0,F79=0),0,IF(AND(N$3&gt;=G79,N$3&lt;H79),F79*MIN(12,E79-(N$3-G79)*12)/E79,0))</f>
        <v>0</v>
      </c>
      <c r="O17" s="44" t="n">
        <f aca="false">IF(OR(D79=0,E79=0,F79=0),0,IF(AND(O$3&gt;=G79,O$3&lt;H79),F79*MIN(12,E79-(O$3-G79)*12)/E79,0))</f>
        <v>0</v>
      </c>
      <c r="P17" s="44" t="n">
        <f aca="false">IF(OR(D79=0,E79=0,F79=0),0,IF(AND(P$3&gt;=G79,P$3&lt;H79),F79*MIN(12,E79-(P$3-G79)*12)/E79,0))</f>
        <v>0</v>
      </c>
      <c r="Q17" s="44" t="n">
        <f aca="false">IF(OR(D79=0,E79=0,F79=0),0,IF(AND(Q$3&gt;=G79,Q$3&lt;H79),F79*MIN(12,E79-(Q$3-G79)*12)/E79,0))</f>
        <v>0</v>
      </c>
      <c r="R17" s="44" t="n">
        <f aca="false">IF(OR(D79=0,E79=0,F79=0),0,IF(AND(R$3&gt;=G79,R$3&lt;H79),F79*MIN(12,E79-(R$3-G79)*12)/E79,0))</f>
        <v>0</v>
      </c>
      <c r="S17" s="44" t="n">
        <f aca="false">IF(OR(D79=0,E79=0,F79=0),0,IF(AND(S$3&gt;=G79,S$3&lt;H79),F79*MIN(12,E79-(S$3-G79)*12)/E79,0))</f>
        <v>0</v>
      </c>
      <c r="T17" s="44" t="n">
        <f aca="false">IF(OR(D79=0,E79=0,F79=0),0,IF(AND(T$3&gt;=G79,T$3&lt;H79),F79*MIN(12,E79-(T$3-G79)*12)/E79,0))</f>
        <v>0</v>
      </c>
      <c r="U17" s="44" t="n">
        <f aca="false">IF(OR(D79=0,E79=0,F79=0),0,IF(AND(U$3&gt;=G79,U$3&lt;H79),F79*MIN(12,E79-(U$3-G79)*12)/E79,0))</f>
        <v>0</v>
      </c>
      <c r="V17" s="44" t="n">
        <f aca="false">IF(OR(D79=0,E79=0,F79=0),0,IF(AND(V$3&gt;=G79,V$3&lt;H79),F79*MIN(12,E79-(V$3-G79)*12)/E79,0))</f>
        <v>0</v>
      </c>
      <c r="W17" s="44" t="n">
        <f aca="false">IF(OR(D79=0,E79=0,F79=0),0,IF(AND(W$3&gt;=G79,W$3&lt;H79),F79*MIN(12,E79-(W$3-G79)*12)/E79,0))</f>
        <v>0</v>
      </c>
      <c r="X17" s="44" t="n">
        <f aca="false">IF(OR(D79=0,E79=0,F79=0),0,IF(AND(X$3&gt;=G79,X$3&lt;H79),F79*MIN(12,E79-(X$3-G79)*12)/E79,0))</f>
        <v>0</v>
      </c>
      <c r="Y17" s="44" t="n">
        <f aca="false">IF(OR(D79=0,E79=0,F79=0),0,IF(AND(Y$3&gt;=G79,Y$3&lt;H79),F79*MIN(12,E79-(Y$3-G79)*12)/E79,0))</f>
        <v>0</v>
      </c>
      <c r="Z17" s="44" t="n">
        <f aca="false">IF(OR(D79=0,E79=0,F79=0),0,IF(AND(Z$3&gt;=G79,Z$3&lt;H79),F79*MIN(12,E79-(Z$3-G79)*12)/E79,0))</f>
        <v>0</v>
      </c>
      <c r="AA17" s="44" t="n">
        <f aca="false">IF(OR(D79=0,E79=0,F79=0),0,IF(AND(AA$3&gt;=G79,AA$3&lt;H79),F79*MIN(12,E79-(AA$3-G79)*12)/E79,0))</f>
        <v>0</v>
      </c>
      <c r="AB17" s="44" t="n">
        <f aca="false">IF(OR(D79=0,E79=0,F79=0),0,IF(AND(AB$3&gt;=G79,AB$3&lt;H79),F79*MIN(12,E79-(AB$3-G79)*12)/E79,0))</f>
        <v>0</v>
      </c>
      <c r="AC17" s="44" t="n">
        <f aca="false">IF(OR(D79=0,E79=0,F79=0),0,IF(AND(AC$3&gt;=G79,AC$3&lt;H79),F79*MIN(12,E79-(AC$3-G79)*12)/E79,0))</f>
        <v>0</v>
      </c>
      <c r="AD17" s="44" t="n">
        <f aca="false">IF(OR(D79=0,E79=0,F79=0),0,IF(AND(AD$3&gt;=G79,AD$3&lt;H79),F79*MIN(12,E79-(AD$3-G79)*12)/E79,0))</f>
        <v>0</v>
      </c>
      <c r="AE17" s="44" t="n">
        <f aca="false">IF(OR(D79=0,E79=0,F79=0),0,IF(AND(AE$3&gt;=G79,AE$3&lt;H79),F79*MIN(12,E79-(AE$3-G79)*12)/E79,0))</f>
        <v>0</v>
      </c>
      <c r="AF17" s="44" t="n">
        <f aca="false">IF(OR(D79=0,E79=0,F79=0),0,IF(AND(AF$3&gt;=G79,AF$3&lt;H79),F79*MIN(12,E79-(AF$3-G79)*12)/E79,0))</f>
        <v>0</v>
      </c>
      <c r="AG17" s="44" t="n">
        <f aca="false">IF(OR(D79=0,E79=0,F79=0),0,IF(AND(AG$3&gt;=G79,AG$3&lt;H79),F79*MIN(12,E79-(AG$3-G79)*12)/E79,0))</f>
        <v>0</v>
      </c>
      <c r="AH17" s="44" t="n">
        <f aca="false">IF(OR(D79=0,E79=0,F79=0),0,IF(AND(AH$3&gt;=G79,AH$3&lt;H79),F79*MIN(12,E79-(AH$3-G79)*12)/E79,0))</f>
        <v>0</v>
      </c>
      <c r="AI17" s="44" t="n">
        <f aca="false">IF(OR(D79=0,E79=0,F79=0),0,IF(AND(AI$3&gt;=G79,AI$3&lt;H79),F79*MIN(12,E79-(AI$3-G79)*12)/E79,0))</f>
        <v>0</v>
      </c>
      <c r="AJ17" s="44" t="n">
        <f aca="false">IF(OR(D79=0,E79=0,F79=0),0,IF(AND(AJ$3&gt;=G79,AJ$3&lt;H79),F79*MIN(12,E79-(AJ$3-G79)*12)/E79,0))</f>
        <v>0</v>
      </c>
      <c r="AK17" s="44" t="n">
        <f aca="false">IF(OR(D79=0,E79=0,F79=0),0,IF(AND(AK$3&gt;=G79,AK$3&lt;H79),F79*MIN(12,E79-(AK$3-G79)*12)/E79,0))</f>
        <v>0</v>
      </c>
      <c r="AL17" s="44" t="n">
        <f aca="false">IF(OR(D79=0,E79=0,F79=0),0,IF(AND(AL$3&gt;=G79,AL$3&lt;H79),F79*MIN(12,E79-(AL$3-G79)*12)/E79,0))</f>
        <v>0</v>
      </c>
      <c r="AM17" s="44" t="n">
        <f aca="false">IF(OR(D79=0,E79=0,F79=0),0,IF(AND(AM$3&gt;=G79,AM$3&lt;H79),F79*MIN(12,E79-(AM$3-G79)*12)/E79,0))</f>
        <v>0</v>
      </c>
      <c r="AN17" s="44" t="n">
        <f aca="false">IF(OR(D79=0,E79=0,F79=0),0,IF(AND(AN$3&gt;=G79,AN$3&lt;H79),F79*MIN(12,E79-(AN$3-G79)*12)/E79,0))</f>
        <v>0</v>
      </c>
      <c r="AO17" s="44" t="n">
        <f aca="false">IF(OR(D79=0,E79=0,F79=0),0,IF(AND(AO$3&gt;=G79,AO$3&lt;H79),F79*MIN(12,E79-(AO$3-G79)*12)/E79,0))</f>
        <v>0</v>
      </c>
      <c r="AP17" s="44" t="n">
        <f aca="false">IF(OR(D79=0,E79=0,F79=0),0,IF(AND(AP$3&gt;=G79,AP$3&lt;H79),F79*MIN(12,E79-(AP$3-G79)*12)/E79,0))</f>
        <v>0</v>
      </c>
      <c r="AQ17" s="44" t="n">
        <f aca="false">IF(OR(D79=0,E79=0,F79=0),0,IF(AND(AQ$3&gt;=G79,AQ$3&lt;H79),F79*MIN(12,E79-(AQ$3-G79)*12)/E79,0))</f>
        <v>0</v>
      </c>
      <c r="AR17" s="44" t="n">
        <f aca="false">IF(OR(D79=0,E79=0,F79=0),0,IF(AND(AR$3&gt;=G79,AR$3&lt;H79),F79*MIN(12,E79-(AR$3-G79)*12)/E79,0))</f>
        <v>0</v>
      </c>
      <c r="AS17" s="44" t="n">
        <f aca="false">IF(OR(D79=0,E79=0,F79=0),0,IF(AND(AS$3&gt;=G79,AS$3&lt;H79),F79*MIN(12,E79-(AS$3-G79)*12)/E79,0))</f>
        <v>0</v>
      </c>
      <c r="AT17" s="44" t="n">
        <f aca="false">IF(OR(D79=0,E79=0,F79=0),0,IF(AND(AT$3&gt;=G79,AT$3&lt;H79),F79*MIN(12,E79-(AT$3-G79)*12)/E79,0))</f>
        <v>0</v>
      </c>
      <c r="AU17" s="44" t="n">
        <f aca="false">IF(OR(D79=0,E79=0,F79=0),0,IF(AND(AU$3&gt;=G79,AU$3&lt;H79),F79*MIN(12,E79-(AU$3-G79)*12)/E79,0))</f>
        <v>0</v>
      </c>
      <c r="AV17" s="44" t="n">
        <f aca="false">IF(OR(D79=0,E79=0,F79=0),0,IF(AND(AV$3&gt;=G79,AV$3&lt;H79),F79*MIN(12,E79-(AV$3-G79)*12)/E79,0))</f>
        <v>0</v>
      </c>
      <c r="AW17" s="44" t="n">
        <f aca="false">IF(OR(D79=0,E79=0,F79=0),0,IF(AND(AW$3&gt;=G79,AW$3&lt;H79),F79*MIN(12,E79-(AW$3-G79)*12)/E79,0))</f>
        <v>0</v>
      </c>
      <c r="AX17" s="44" t="n">
        <f aca="false">IF(OR(D79=0,E79=0,F79=0),0,IF(AND(AX$3&gt;=G79,AX$3&lt;H79),F79*MIN(12,E79-(AX$3-G79)*12)/E79,0))</f>
        <v>0</v>
      </c>
      <c r="AY17" s="44" t="n">
        <f aca="false">IF(OR(D79=0,E79=0,F79=0),0,IF(AND(AY$3&gt;=G79,AY$3&lt;H79),F79*MIN(12,E79-(AY$3-G79)*12)/E79,0))</f>
        <v>0</v>
      </c>
      <c r="AZ17" s="44" t="n">
        <f aca="false">IF(OR(D79=0,E79=0,F79=0),0,IF(AND(AZ$3&gt;=G79,AZ$3&lt;H79),F79*MIN(12,E79-(AZ$3-G79)*12)/E79,0))</f>
        <v>0</v>
      </c>
      <c r="BA17" s="44" t="n">
        <f aca="false">IF(OR(D79=0,E79=0,F79=0),0,IF(AND(BA$3&gt;=G79,BA$3&lt;H79),F79*MIN(12,E79-(BA$3-G79)*12)/E79,0))</f>
        <v>0</v>
      </c>
      <c r="BB17" s="44" t="n">
        <f aca="false">IF(OR(D79=0,E79=0,F79=0),0,IF(AND(BB$3&gt;=G79,BB$3&lt;H79),F79*MIN(12,E79-(BB$3-G79)*12)/E79,0))</f>
        <v>0</v>
      </c>
    </row>
    <row r="18" customFormat="false" ht="15" hidden="false" customHeight="true" outlineLevel="0" collapsed="false">
      <c r="A18" s="44" t="n">
        <f aca="false">A80</f>
        <v>15</v>
      </c>
      <c r="B18" s="44" t="str">
        <f aca="false">B80</f>
        <v>Office Block</v>
      </c>
      <c r="C18" s="44" t="str">
        <f aca="false">C80</f>
        <v>ZAN 2</v>
      </c>
      <c r="D18" s="44" t="n">
        <f aca="false">SUM(E18:BB18)</f>
        <v>49336287</v>
      </c>
      <c r="E18" s="44" t="n">
        <f aca="false">IF(OR(D80=0,E80=0,F80=0),0,IF(AND(E$3&gt;=G80,E$3&lt;H80),F80*MIN(12,E80-(E$3-G80)*12)/E80,0))</f>
        <v>0</v>
      </c>
      <c r="F18" s="44" t="n">
        <f aca="false">IF(OR(D80=0,E80=0,F80=0),0,IF(AND(F$3&gt;=G80,F$3&lt;H80),F80*MIN(12,E80-(F$3-G80)*12)/E80,0))</f>
        <v>0</v>
      </c>
      <c r="G18" s="44" t="n">
        <f aca="false">IF(OR(D80=0,E80=0,F80=0),0,IF(AND(G$3&gt;=G80,G$3&lt;H80),F80*MIN(12,E80-(G$3-G80)*12)/E80,0))</f>
        <v>0</v>
      </c>
      <c r="H18" s="44" t="n">
        <f aca="false">IF(OR(D80=0,E80=0,F80=0),0,IF(AND(H$3&gt;=G80,H$3&lt;H80),F80*MIN(12,E80-(H$3-G80)*12)/E80,0))</f>
        <v>19734514.8</v>
      </c>
      <c r="I18" s="44" t="n">
        <f aca="false">IF(OR(D80=0,E80=0,F80=0),0,IF(AND(I$3&gt;=G80,I$3&lt;H80),F80*MIN(12,E80-(I$3-G80)*12)/E80,0))</f>
        <v>19734514.8</v>
      </c>
      <c r="J18" s="44" t="n">
        <f aca="false">IF(OR(D80=0,E80=0,F80=0),0,IF(AND(J$3&gt;=G80,J$3&lt;H80),F80*MIN(12,E80-(J$3-G80)*12)/E80,0))</f>
        <v>9867257.4</v>
      </c>
      <c r="K18" s="44" t="n">
        <f aca="false">IF(OR(D80=0,E80=0,F80=0),0,IF(AND(K$3&gt;=G80,K$3&lt;H80),F80*MIN(12,E80-(K$3-G80)*12)/E80,0))</f>
        <v>0</v>
      </c>
      <c r="L18" s="44" t="n">
        <f aca="false">IF(OR(D80=0,E80=0,F80=0),0,IF(AND(L$3&gt;=G80,L$3&lt;H80),F80*MIN(12,E80-(L$3-G80)*12)/E80,0))</f>
        <v>0</v>
      </c>
      <c r="M18" s="44" t="n">
        <f aca="false">IF(OR(D80=0,E80=0,F80=0),0,IF(AND(M$3&gt;=G80,M$3&lt;H80),F80*MIN(12,E80-(M$3-G80)*12)/E80,0))</f>
        <v>0</v>
      </c>
      <c r="N18" s="44" t="n">
        <f aca="false">IF(OR(D80=0,E80=0,F80=0),0,IF(AND(N$3&gt;=G80,N$3&lt;H80),F80*MIN(12,E80-(N$3-G80)*12)/E80,0))</f>
        <v>0</v>
      </c>
      <c r="O18" s="44" t="n">
        <f aca="false">IF(OR(D80=0,E80=0,F80=0),0,IF(AND(O$3&gt;=G80,O$3&lt;H80),F80*MIN(12,E80-(O$3-G80)*12)/E80,0))</f>
        <v>0</v>
      </c>
      <c r="P18" s="44" t="n">
        <f aca="false">IF(OR(D80=0,E80=0,F80=0),0,IF(AND(P$3&gt;=G80,P$3&lt;H80),F80*MIN(12,E80-(P$3-G80)*12)/E80,0))</f>
        <v>0</v>
      </c>
      <c r="Q18" s="44" t="n">
        <f aca="false">IF(OR(D80=0,E80=0,F80=0),0,IF(AND(Q$3&gt;=G80,Q$3&lt;H80),F80*MIN(12,E80-(Q$3-G80)*12)/E80,0))</f>
        <v>0</v>
      </c>
      <c r="R18" s="44" t="n">
        <f aca="false">IF(OR(D80=0,E80=0,F80=0),0,IF(AND(R$3&gt;=G80,R$3&lt;H80),F80*MIN(12,E80-(R$3-G80)*12)/E80,0))</f>
        <v>0</v>
      </c>
      <c r="S18" s="44" t="n">
        <f aca="false">IF(OR(D80=0,E80=0,F80=0),0,IF(AND(S$3&gt;=G80,S$3&lt;H80),F80*MIN(12,E80-(S$3-G80)*12)/E80,0))</f>
        <v>0</v>
      </c>
      <c r="T18" s="44" t="n">
        <f aca="false">IF(OR(D80=0,E80=0,F80=0),0,IF(AND(T$3&gt;=G80,T$3&lt;H80),F80*MIN(12,E80-(T$3-G80)*12)/E80,0))</f>
        <v>0</v>
      </c>
      <c r="U18" s="44" t="n">
        <f aca="false">IF(OR(D80=0,E80=0,F80=0),0,IF(AND(U$3&gt;=G80,U$3&lt;H80),F80*MIN(12,E80-(U$3-G80)*12)/E80,0))</f>
        <v>0</v>
      </c>
      <c r="V18" s="44" t="n">
        <f aca="false">IF(OR(D80=0,E80=0,F80=0),0,IF(AND(V$3&gt;=G80,V$3&lt;H80),F80*MIN(12,E80-(V$3-G80)*12)/E80,0))</f>
        <v>0</v>
      </c>
      <c r="W18" s="44" t="n">
        <f aca="false">IF(OR(D80=0,E80=0,F80=0),0,IF(AND(W$3&gt;=G80,W$3&lt;H80),F80*MIN(12,E80-(W$3-G80)*12)/E80,0))</f>
        <v>0</v>
      </c>
      <c r="X18" s="44" t="n">
        <f aca="false">IF(OR(D80=0,E80=0,F80=0),0,IF(AND(X$3&gt;=G80,X$3&lt;H80),F80*MIN(12,E80-(X$3-G80)*12)/E80,0))</f>
        <v>0</v>
      </c>
      <c r="Y18" s="44" t="n">
        <f aca="false">IF(OR(D80=0,E80=0,F80=0),0,IF(AND(Y$3&gt;=G80,Y$3&lt;H80),F80*MIN(12,E80-(Y$3-G80)*12)/E80,0))</f>
        <v>0</v>
      </c>
      <c r="Z18" s="44" t="n">
        <f aca="false">IF(OR(D80=0,E80=0,F80=0),0,IF(AND(Z$3&gt;=G80,Z$3&lt;H80),F80*MIN(12,E80-(Z$3-G80)*12)/E80,0))</f>
        <v>0</v>
      </c>
      <c r="AA18" s="44" t="n">
        <f aca="false">IF(OR(D80=0,E80=0,F80=0),0,IF(AND(AA$3&gt;=G80,AA$3&lt;H80),F80*MIN(12,E80-(AA$3-G80)*12)/E80,0))</f>
        <v>0</v>
      </c>
      <c r="AB18" s="44" t="n">
        <f aca="false">IF(OR(D80=0,E80=0,F80=0),0,IF(AND(AB$3&gt;=G80,AB$3&lt;H80),F80*MIN(12,E80-(AB$3-G80)*12)/E80,0))</f>
        <v>0</v>
      </c>
      <c r="AC18" s="44" t="n">
        <f aca="false">IF(OR(D80=0,E80=0,F80=0),0,IF(AND(AC$3&gt;=G80,AC$3&lt;H80),F80*MIN(12,E80-(AC$3-G80)*12)/E80,0))</f>
        <v>0</v>
      </c>
      <c r="AD18" s="44" t="n">
        <f aca="false">IF(OR(D80=0,E80=0,F80=0),0,IF(AND(AD$3&gt;=G80,AD$3&lt;H80),F80*MIN(12,E80-(AD$3-G80)*12)/E80,0))</f>
        <v>0</v>
      </c>
      <c r="AE18" s="44" t="n">
        <f aca="false">IF(OR(D80=0,E80=0,F80=0),0,IF(AND(AE$3&gt;=G80,AE$3&lt;H80),F80*MIN(12,E80-(AE$3-G80)*12)/E80,0))</f>
        <v>0</v>
      </c>
      <c r="AF18" s="44" t="n">
        <f aca="false">IF(OR(D80=0,E80=0,F80=0),0,IF(AND(AF$3&gt;=G80,AF$3&lt;H80),F80*MIN(12,E80-(AF$3-G80)*12)/E80,0))</f>
        <v>0</v>
      </c>
      <c r="AG18" s="44" t="n">
        <f aca="false">IF(OR(D80=0,E80=0,F80=0),0,IF(AND(AG$3&gt;=G80,AG$3&lt;H80),F80*MIN(12,E80-(AG$3-G80)*12)/E80,0))</f>
        <v>0</v>
      </c>
      <c r="AH18" s="44" t="n">
        <f aca="false">IF(OR(D80=0,E80=0,F80=0),0,IF(AND(AH$3&gt;=G80,AH$3&lt;H80),F80*MIN(12,E80-(AH$3-G80)*12)/E80,0))</f>
        <v>0</v>
      </c>
      <c r="AI18" s="44" t="n">
        <f aca="false">IF(OR(D80=0,E80=0,F80=0),0,IF(AND(AI$3&gt;=G80,AI$3&lt;H80),F80*MIN(12,E80-(AI$3-G80)*12)/E80,0))</f>
        <v>0</v>
      </c>
      <c r="AJ18" s="44" t="n">
        <f aca="false">IF(OR(D80=0,E80=0,F80=0),0,IF(AND(AJ$3&gt;=G80,AJ$3&lt;H80),F80*MIN(12,E80-(AJ$3-G80)*12)/E80,0))</f>
        <v>0</v>
      </c>
      <c r="AK18" s="44" t="n">
        <f aca="false">IF(OR(D80=0,E80=0,F80=0),0,IF(AND(AK$3&gt;=G80,AK$3&lt;H80),F80*MIN(12,E80-(AK$3-G80)*12)/E80,0))</f>
        <v>0</v>
      </c>
      <c r="AL18" s="44" t="n">
        <f aca="false">IF(OR(D80=0,E80=0,F80=0),0,IF(AND(AL$3&gt;=G80,AL$3&lt;H80),F80*MIN(12,E80-(AL$3-G80)*12)/E80,0))</f>
        <v>0</v>
      </c>
      <c r="AM18" s="44" t="n">
        <f aca="false">IF(OR(D80=0,E80=0,F80=0),0,IF(AND(AM$3&gt;=G80,AM$3&lt;H80),F80*MIN(12,E80-(AM$3-G80)*12)/E80,0))</f>
        <v>0</v>
      </c>
      <c r="AN18" s="44" t="n">
        <f aca="false">IF(OR(D80=0,E80=0,F80=0),0,IF(AND(AN$3&gt;=G80,AN$3&lt;H80),F80*MIN(12,E80-(AN$3-G80)*12)/E80,0))</f>
        <v>0</v>
      </c>
      <c r="AO18" s="44" t="n">
        <f aca="false">IF(OR(D80=0,E80=0,F80=0),0,IF(AND(AO$3&gt;=G80,AO$3&lt;H80),F80*MIN(12,E80-(AO$3-G80)*12)/E80,0))</f>
        <v>0</v>
      </c>
      <c r="AP18" s="44" t="n">
        <f aca="false">IF(OR(D80=0,E80=0,F80=0),0,IF(AND(AP$3&gt;=G80,AP$3&lt;H80),F80*MIN(12,E80-(AP$3-G80)*12)/E80,0))</f>
        <v>0</v>
      </c>
      <c r="AQ18" s="44" t="n">
        <f aca="false">IF(OR(D80=0,E80=0,F80=0),0,IF(AND(AQ$3&gt;=G80,AQ$3&lt;H80),F80*MIN(12,E80-(AQ$3-G80)*12)/E80,0))</f>
        <v>0</v>
      </c>
      <c r="AR18" s="44" t="n">
        <f aca="false">IF(OR(D80=0,E80=0,F80=0),0,IF(AND(AR$3&gt;=G80,AR$3&lt;H80),F80*MIN(12,E80-(AR$3-G80)*12)/E80,0))</f>
        <v>0</v>
      </c>
      <c r="AS18" s="44" t="n">
        <f aca="false">IF(OR(D80=0,E80=0,F80=0),0,IF(AND(AS$3&gt;=G80,AS$3&lt;H80),F80*MIN(12,E80-(AS$3-G80)*12)/E80,0))</f>
        <v>0</v>
      </c>
      <c r="AT18" s="44" t="n">
        <f aca="false">IF(OR(D80=0,E80=0,F80=0),0,IF(AND(AT$3&gt;=G80,AT$3&lt;H80),F80*MIN(12,E80-(AT$3-G80)*12)/E80,0))</f>
        <v>0</v>
      </c>
      <c r="AU18" s="44" t="n">
        <f aca="false">IF(OR(D80=0,E80=0,F80=0),0,IF(AND(AU$3&gt;=G80,AU$3&lt;H80),F80*MIN(12,E80-(AU$3-G80)*12)/E80,0))</f>
        <v>0</v>
      </c>
      <c r="AV18" s="44" t="n">
        <f aca="false">IF(OR(D80=0,E80=0,F80=0),0,IF(AND(AV$3&gt;=G80,AV$3&lt;H80),F80*MIN(12,E80-(AV$3-G80)*12)/E80,0))</f>
        <v>0</v>
      </c>
      <c r="AW18" s="44" t="n">
        <f aca="false">IF(OR(D80=0,E80=0,F80=0),0,IF(AND(AW$3&gt;=G80,AW$3&lt;H80),F80*MIN(12,E80-(AW$3-G80)*12)/E80,0))</f>
        <v>0</v>
      </c>
      <c r="AX18" s="44" t="n">
        <f aca="false">IF(OR(D80=0,E80=0,F80=0),0,IF(AND(AX$3&gt;=G80,AX$3&lt;H80),F80*MIN(12,E80-(AX$3-G80)*12)/E80,0))</f>
        <v>0</v>
      </c>
      <c r="AY18" s="44" t="n">
        <f aca="false">IF(OR(D80=0,E80=0,F80=0),0,IF(AND(AY$3&gt;=G80,AY$3&lt;H80),F80*MIN(12,E80-(AY$3-G80)*12)/E80,0))</f>
        <v>0</v>
      </c>
      <c r="AZ18" s="44" t="n">
        <f aca="false">IF(OR(D80=0,E80=0,F80=0),0,IF(AND(AZ$3&gt;=G80,AZ$3&lt;H80),F80*MIN(12,E80-(AZ$3-G80)*12)/E80,0))</f>
        <v>0</v>
      </c>
      <c r="BA18" s="44" t="n">
        <f aca="false">IF(OR(D80=0,E80=0,F80=0),0,IF(AND(BA$3&gt;=G80,BA$3&lt;H80),F80*MIN(12,E80-(BA$3-G80)*12)/E80,0))</f>
        <v>0</v>
      </c>
      <c r="BB18" s="44" t="n">
        <f aca="false">IF(OR(D80=0,E80=0,F80=0),0,IF(AND(BB$3&gt;=G80,BB$3&lt;H80),F80*MIN(12,E80-(BB$3-G80)*12)/E80,0))</f>
        <v>0</v>
      </c>
    </row>
    <row r="19" customFormat="false" ht="15" hidden="false" customHeight="true" outlineLevel="0" collapsed="false">
      <c r="A19" s="44" t="n">
        <f aca="false">A81</f>
        <v>16</v>
      </c>
      <c r="B19" s="44" t="str">
        <f aca="false">B81</f>
        <v>Flexible Block (Residential)</v>
      </c>
      <c r="C19" s="44" t="str">
        <f aca="false">C81</f>
        <v>ZAN 2</v>
      </c>
      <c r="D19" s="44" t="n">
        <f aca="false">SUM(E19:BB19)</f>
        <v>59435145</v>
      </c>
      <c r="E19" s="44" t="n">
        <f aca="false">IF(OR(D81=0,E81=0,F81=0),0,IF(AND(E$3&gt;=G81,E$3&lt;H81),F81*MIN(12,E81-(E$3-G81)*12)/E81,0))</f>
        <v>0</v>
      </c>
      <c r="F19" s="44" t="n">
        <f aca="false">IF(OR(D81=0,E81=0,F81=0),0,IF(AND(F$3&gt;=G81,F$3&lt;H81),F81*MIN(12,E81-(F$3-G81)*12)/E81,0))</f>
        <v>0</v>
      </c>
      <c r="G19" s="44" t="n">
        <f aca="false">IF(OR(D81=0,E81=0,F81=0),0,IF(AND(G$3&gt;=G81,G$3&lt;H81),F81*MIN(12,E81-(G$3-G81)*12)/E81,0))</f>
        <v>0</v>
      </c>
      <c r="H19" s="44" t="n">
        <f aca="false">IF(OR(D81=0,E81=0,F81=0),0,IF(AND(H$3&gt;=G81,H$3&lt;H81),F81*MIN(12,E81-(H$3-G81)*12)/E81,0))</f>
        <v>23774058</v>
      </c>
      <c r="I19" s="44" t="n">
        <f aca="false">IF(OR(D81=0,E81=0,F81=0),0,IF(AND(I$3&gt;=G81,I$3&lt;H81),F81*MIN(12,E81-(I$3-G81)*12)/E81,0))</f>
        <v>23774058</v>
      </c>
      <c r="J19" s="44" t="n">
        <f aca="false">IF(OR(D81=0,E81=0,F81=0),0,IF(AND(J$3&gt;=G81,J$3&lt;H81),F81*MIN(12,E81-(J$3-G81)*12)/E81,0))</f>
        <v>11887029</v>
      </c>
      <c r="K19" s="44" t="n">
        <f aca="false">IF(OR(D81=0,E81=0,F81=0),0,IF(AND(K$3&gt;=G81,K$3&lt;H81),F81*MIN(12,E81-(K$3-G81)*12)/E81,0))</f>
        <v>0</v>
      </c>
      <c r="L19" s="44" t="n">
        <f aca="false">IF(OR(D81=0,E81=0,F81=0),0,IF(AND(L$3&gt;=G81,L$3&lt;H81),F81*MIN(12,E81-(L$3-G81)*12)/E81,0))</f>
        <v>0</v>
      </c>
      <c r="M19" s="44" t="n">
        <f aca="false">IF(OR(D81=0,E81=0,F81=0),0,IF(AND(M$3&gt;=G81,M$3&lt;H81),F81*MIN(12,E81-(M$3-G81)*12)/E81,0))</f>
        <v>0</v>
      </c>
      <c r="N19" s="44" t="n">
        <f aca="false">IF(OR(D81=0,E81=0,F81=0),0,IF(AND(N$3&gt;=G81,N$3&lt;H81),F81*MIN(12,E81-(N$3-G81)*12)/E81,0))</f>
        <v>0</v>
      </c>
      <c r="O19" s="44" t="n">
        <f aca="false">IF(OR(D81=0,E81=0,F81=0),0,IF(AND(O$3&gt;=G81,O$3&lt;H81),F81*MIN(12,E81-(O$3-G81)*12)/E81,0))</f>
        <v>0</v>
      </c>
      <c r="P19" s="44" t="n">
        <f aca="false">IF(OR(D81=0,E81=0,F81=0),0,IF(AND(P$3&gt;=G81,P$3&lt;H81),F81*MIN(12,E81-(P$3-G81)*12)/E81,0))</f>
        <v>0</v>
      </c>
      <c r="Q19" s="44" t="n">
        <f aca="false">IF(OR(D81=0,E81=0,F81=0),0,IF(AND(Q$3&gt;=G81,Q$3&lt;H81),F81*MIN(12,E81-(Q$3-G81)*12)/E81,0))</f>
        <v>0</v>
      </c>
      <c r="R19" s="44" t="n">
        <f aca="false">IF(OR(D81=0,E81=0,F81=0),0,IF(AND(R$3&gt;=G81,R$3&lt;H81),F81*MIN(12,E81-(R$3-G81)*12)/E81,0))</f>
        <v>0</v>
      </c>
      <c r="S19" s="44" t="n">
        <f aca="false">IF(OR(D81=0,E81=0,F81=0),0,IF(AND(S$3&gt;=G81,S$3&lt;H81),F81*MIN(12,E81-(S$3-G81)*12)/E81,0))</f>
        <v>0</v>
      </c>
      <c r="T19" s="44" t="n">
        <f aca="false">IF(OR(D81=0,E81=0,F81=0),0,IF(AND(T$3&gt;=G81,T$3&lt;H81),F81*MIN(12,E81-(T$3-G81)*12)/E81,0))</f>
        <v>0</v>
      </c>
      <c r="U19" s="44" t="n">
        <f aca="false">IF(OR(D81=0,E81=0,F81=0),0,IF(AND(U$3&gt;=G81,U$3&lt;H81),F81*MIN(12,E81-(U$3-G81)*12)/E81,0))</f>
        <v>0</v>
      </c>
      <c r="V19" s="44" t="n">
        <f aca="false">IF(OR(D81=0,E81=0,F81=0),0,IF(AND(V$3&gt;=G81,V$3&lt;H81),F81*MIN(12,E81-(V$3-G81)*12)/E81,0))</f>
        <v>0</v>
      </c>
      <c r="W19" s="44" t="n">
        <f aca="false">IF(OR(D81=0,E81=0,F81=0),0,IF(AND(W$3&gt;=G81,W$3&lt;H81),F81*MIN(12,E81-(W$3-G81)*12)/E81,0))</f>
        <v>0</v>
      </c>
      <c r="X19" s="44" t="n">
        <f aca="false">IF(OR(D81=0,E81=0,F81=0),0,IF(AND(X$3&gt;=G81,X$3&lt;H81),F81*MIN(12,E81-(X$3-G81)*12)/E81,0))</f>
        <v>0</v>
      </c>
      <c r="Y19" s="44" t="n">
        <f aca="false">IF(OR(D81=0,E81=0,F81=0),0,IF(AND(Y$3&gt;=G81,Y$3&lt;H81),F81*MIN(12,E81-(Y$3-G81)*12)/E81,0))</f>
        <v>0</v>
      </c>
      <c r="Z19" s="44" t="n">
        <f aca="false">IF(OR(D81=0,E81=0,F81=0),0,IF(AND(Z$3&gt;=G81,Z$3&lt;H81),F81*MIN(12,E81-(Z$3-G81)*12)/E81,0))</f>
        <v>0</v>
      </c>
      <c r="AA19" s="44" t="n">
        <f aca="false">IF(OR(D81=0,E81=0,F81=0),0,IF(AND(AA$3&gt;=G81,AA$3&lt;H81),F81*MIN(12,E81-(AA$3-G81)*12)/E81,0))</f>
        <v>0</v>
      </c>
      <c r="AB19" s="44" t="n">
        <f aca="false">IF(OR(D81=0,E81=0,F81=0),0,IF(AND(AB$3&gt;=G81,AB$3&lt;H81),F81*MIN(12,E81-(AB$3-G81)*12)/E81,0))</f>
        <v>0</v>
      </c>
      <c r="AC19" s="44" t="n">
        <f aca="false">IF(OR(D81=0,E81=0,F81=0),0,IF(AND(AC$3&gt;=G81,AC$3&lt;H81),F81*MIN(12,E81-(AC$3-G81)*12)/E81,0))</f>
        <v>0</v>
      </c>
      <c r="AD19" s="44" t="n">
        <f aca="false">IF(OR(D81=0,E81=0,F81=0),0,IF(AND(AD$3&gt;=G81,AD$3&lt;H81),F81*MIN(12,E81-(AD$3-G81)*12)/E81,0))</f>
        <v>0</v>
      </c>
      <c r="AE19" s="44" t="n">
        <f aca="false">IF(OR(D81=0,E81=0,F81=0),0,IF(AND(AE$3&gt;=G81,AE$3&lt;H81),F81*MIN(12,E81-(AE$3-G81)*12)/E81,0))</f>
        <v>0</v>
      </c>
      <c r="AF19" s="44" t="n">
        <f aca="false">IF(OR(D81=0,E81=0,F81=0),0,IF(AND(AF$3&gt;=G81,AF$3&lt;H81),F81*MIN(12,E81-(AF$3-G81)*12)/E81,0))</f>
        <v>0</v>
      </c>
      <c r="AG19" s="44" t="n">
        <f aca="false">IF(OR(D81=0,E81=0,F81=0),0,IF(AND(AG$3&gt;=G81,AG$3&lt;H81),F81*MIN(12,E81-(AG$3-G81)*12)/E81,0))</f>
        <v>0</v>
      </c>
      <c r="AH19" s="44" t="n">
        <f aca="false">IF(OR(D81=0,E81=0,F81=0),0,IF(AND(AH$3&gt;=G81,AH$3&lt;H81),F81*MIN(12,E81-(AH$3-G81)*12)/E81,0))</f>
        <v>0</v>
      </c>
      <c r="AI19" s="44" t="n">
        <f aca="false">IF(OR(D81=0,E81=0,F81=0),0,IF(AND(AI$3&gt;=G81,AI$3&lt;H81),F81*MIN(12,E81-(AI$3-G81)*12)/E81,0))</f>
        <v>0</v>
      </c>
      <c r="AJ19" s="44" t="n">
        <f aca="false">IF(OR(D81=0,E81=0,F81=0),0,IF(AND(AJ$3&gt;=G81,AJ$3&lt;H81),F81*MIN(12,E81-(AJ$3-G81)*12)/E81,0))</f>
        <v>0</v>
      </c>
      <c r="AK19" s="44" t="n">
        <f aca="false">IF(OR(D81=0,E81=0,F81=0),0,IF(AND(AK$3&gt;=G81,AK$3&lt;H81),F81*MIN(12,E81-(AK$3-G81)*12)/E81,0))</f>
        <v>0</v>
      </c>
      <c r="AL19" s="44" t="n">
        <f aca="false">IF(OR(D81=0,E81=0,F81=0),0,IF(AND(AL$3&gt;=G81,AL$3&lt;H81),F81*MIN(12,E81-(AL$3-G81)*12)/E81,0))</f>
        <v>0</v>
      </c>
      <c r="AM19" s="44" t="n">
        <f aca="false">IF(OR(D81=0,E81=0,F81=0),0,IF(AND(AM$3&gt;=G81,AM$3&lt;H81),F81*MIN(12,E81-(AM$3-G81)*12)/E81,0))</f>
        <v>0</v>
      </c>
      <c r="AN19" s="44" t="n">
        <f aca="false">IF(OR(D81=0,E81=0,F81=0),0,IF(AND(AN$3&gt;=G81,AN$3&lt;H81),F81*MIN(12,E81-(AN$3-G81)*12)/E81,0))</f>
        <v>0</v>
      </c>
      <c r="AO19" s="44" t="n">
        <f aca="false">IF(OR(D81=0,E81=0,F81=0),0,IF(AND(AO$3&gt;=G81,AO$3&lt;H81),F81*MIN(12,E81-(AO$3-G81)*12)/E81,0))</f>
        <v>0</v>
      </c>
      <c r="AP19" s="44" t="n">
        <f aca="false">IF(OR(D81=0,E81=0,F81=0),0,IF(AND(AP$3&gt;=G81,AP$3&lt;H81),F81*MIN(12,E81-(AP$3-G81)*12)/E81,0))</f>
        <v>0</v>
      </c>
      <c r="AQ19" s="44" t="n">
        <f aca="false">IF(OR(D81=0,E81=0,F81=0),0,IF(AND(AQ$3&gt;=G81,AQ$3&lt;H81),F81*MIN(12,E81-(AQ$3-G81)*12)/E81,0))</f>
        <v>0</v>
      </c>
      <c r="AR19" s="44" t="n">
        <f aca="false">IF(OR(D81=0,E81=0,F81=0),0,IF(AND(AR$3&gt;=G81,AR$3&lt;H81),F81*MIN(12,E81-(AR$3-G81)*12)/E81,0))</f>
        <v>0</v>
      </c>
      <c r="AS19" s="44" t="n">
        <f aca="false">IF(OR(D81=0,E81=0,F81=0),0,IF(AND(AS$3&gt;=G81,AS$3&lt;H81),F81*MIN(12,E81-(AS$3-G81)*12)/E81,0))</f>
        <v>0</v>
      </c>
      <c r="AT19" s="44" t="n">
        <f aca="false">IF(OR(D81=0,E81=0,F81=0),0,IF(AND(AT$3&gt;=G81,AT$3&lt;H81),F81*MIN(12,E81-(AT$3-G81)*12)/E81,0))</f>
        <v>0</v>
      </c>
      <c r="AU19" s="44" t="n">
        <f aca="false">IF(OR(D81=0,E81=0,F81=0),0,IF(AND(AU$3&gt;=G81,AU$3&lt;H81),F81*MIN(12,E81-(AU$3-G81)*12)/E81,0))</f>
        <v>0</v>
      </c>
      <c r="AV19" s="44" t="n">
        <f aca="false">IF(OR(D81=0,E81=0,F81=0),0,IF(AND(AV$3&gt;=G81,AV$3&lt;H81),F81*MIN(12,E81-(AV$3-G81)*12)/E81,0))</f>
        <v>0</v>
      </c>
      <c r="AW19" s="44" t="n">
        <f aca="false">IF(OR(D81=0,E81=0,F81=0),0,IF(AND(AW$3&gt;=G81,AW$3&lt;H81),F81*MIN(12,E81-(AW$3-G81)*12)/E81,0))</f>
        <v>0</v>
      </c>
      <c r="AX19" s="44" t="n">
        <f aca="false">IF(OR(D81=0,E81=0,F81=0),0,IF(AND(AX$3&gt;=G81,AX$3&lt;H81),F81*MIN(12,E81-(AX$3-G81)*12)/E81,0))</f>
        <v>0</v>
      </c>
      <c r="AY19" s="44" t="n">
        <f aca="false">IF(OR(D81=0,E81=0,F81=0),0,IF(AND(AY$3&gt;=G81,AY$3&lt;H81),F81*MIN(12,E81-(AY$3-G81)*12)/E81,0))</f>
        <v>0</v>
      </c>
      <c r="AZ19" s="44" t="n">
        <f aca="false">IF(OR(D81=0,E81=0,F81=0),0,IF(AND(AZ$3&gt;=G81,AZ$3&lt;H81),F81*MIN(12,E81-(AZ$3-G81)*12)/E81,0))</f>
        <v>0</v>
      </c>
      <c r="BA19" s="44" t="n">
        <f aca="false">IF(OR(D81=0,E81=0,F81=0),0,IF(AND(BA$3&gt;=G81,BA$3&lt;H81),F81*MIN(12,E81-(BA$3-G81)*12)/E81,0))</f>
        <v>0</v>
      </c>
      <c r="BB19" s="44" t="n">
        <f aca="false">IF(OR(D81=0,E81=0,F81=0),0,IF(AND(BB$3&gt;=G81,BB$3&lt;H81),F81*MIN(12,E81-(BB$3-G81)*12)/E81,0))</f>
        <v>0</v>
      </c>
    </row>
    <row r="20" customFormat="false" ht="15" hidden="false" customHeight="true" outlineLevel="0" collapsed="false">
      <c r="A20" s="44" t="n">
        <f aca="false">A82</f>
        <v>17</v>
      </c>
      <c r="B20" s="44" t="str">
        <f aca="false">B82</f>
        <v>Flexible Block</v>
      </c>
      <c r="C20" s="44" t="str">
        <f aca="false">C82</f>
        <v>ZAN 2</v>
      </c>
      <c r="D20" s="44" t="n">
        <f aca="false">SUM(E20:BB20)</f>
        <v>55774950</v>
      </c>
      <c r="E20" s="44" t="n">
        <f aca="false">IF(OR(D82=0,E82=0,F82=0),0,IF(AND(E$3&gt;=G82,E$3&lt;H82),F82*MIN(12,E82-(E$3-G82)*12)/E82,0))</f>
        <v>0</v>
      </c>
      <c r="F20" s="44" t="n">
        <f aca="false">IF(OR(D82=0,E82=0,F82=0),0,IF(AND(F$3&gt;=G82,F$3&lt;H82),F82*MIN(12,E82-(F$3-G82)*12)/E82,0))</f>
        <v>0</v>
      </c>
      <c r="G20" s="44" t="n">
        <f aca="false">IF(OR(D82=0,E82=0,F82=0),0,IF(AND(G$3&gt;=G82,G$3&lt;H82),F82*MIN(12,E82-(G$3-G82)*12)/E82,0))</f>
        <v>0</v>
      </c>
      <c r="H20" s="44" t="n">
        <f aca="false">IF(OR(D82=0,E82=0,F82=0),0,IF(AND(H$3&gt;=G82,H$3&lt;H82),F82*MIN(12,E82-(H$3-G82)*12)/E82,0))</f>
        <v>22309980</v>
      </c>
      <c r="I20" s="44" t="n">
        <f aca="false">IF(OR(D82=0,E82=0,F82=0),0,IF(AND(I$3&gt;=G82,I$3&lt;H82),F82*MIN(12,E82-(I$3-G82)*12)/E82,0))</f>
        <v>22309980</v>
      </c>
      <c r="J20" s="44" t="n">
        <f aca="false">IF(OR(D82=0,E82=0,F82=0),0,IF(AND(J$3&gt;=G82,J$3&lt;H82),F82*MIN(12,E82-(J$3-G82)*12)/E82,0))</f>
        <v>11154990</v>
      </c>
      <c r="K20" s="44" t="n">
        <f aca="false">IF(OR(D82=0,E82=0,F82=0),0,IF(AND(K$3&gt;=G82,K$3&lt;H82),F82*MIN(12,E82-(K$3-G82)*12)/E82,0))</f>
        <v>0</v>
      </c>
      <c r="L20" s="44" t="n">
        <f aca="false">IF(OR(D82=0,E82=0,F82=0),0,IF(AND(L$3&gt;=G82,L$3&lt;H82),F82*MIN(12,E82-(L$3-G82)*12)/E82,0))</f>
        <v>0</v>
      </c>
      <c r="M20" s="44" t="n">
        <f aca="false">IF(OR(D82=0,E82=0,F82=0),0,IF(AND(M$3&gt;=G82,M$3&lt;H82),F82*MIN(12,E82-(M$3-G82)*12)/E82,0))</f>
        <v>0</v>
      </c>
      <c r="N20" s="44" t="n">
        <f aca="false">IF(OR(D82=0,E82=0,F82=0),0,IF(AND(N$3&gt;=G82,N$3&lt;H82),F82*MIN(12,E82-(N$3-G82)*12)/E82,0))</f>
        <v>0</v>
      </c>
      <c r="O20" s="44" t="n">
        <f aca="false">IF(OR(D82=0,E82=0,F82=0),0,IF(AND(O$3&gt;=G82,O$3&lt;H82),F82*MIN(12,E82-(O$3-G82)*12)/E82,0))</f>
        <v>0</v>
      </c>
      <c r="P20" s="44" t="n">
        <f aca="false">IF(OR(D82=0,E82=0,F82=0),0,IF(AND(P$3&gt;=G82,P$3&lt;H82),F82*MIN(12,E82-(P$3-G82)*12)/E82,0))</f>
        <v>0</v>
      </c>
      <c r="Q20" s="44" t="n">
        <f aca="false">IF(OR(D82=0,E82=0,F82=0),0,IF(AND(Q$3&gt;=G82,Q$3&lt;H82),F82*MIN(12,E82-(Q$3-G82)*12)/E82,0))</f>
        <v>0</v>
      </c>
      <c r="R20" s="44" t="n">
        <f aca="false">IF(OR(D82=0,E82=0,F82=0),0,IF(AND(R$3&gt;=G82,R$3&lt;H82),F82*MIN(12,E82-(R$3-G82)*12)/E82,0))</f>
        <v>0</v>
      </c>
      <c r="S20" s="44" t="n">
        <f aca="false">IF(OR(D82=0,E82=0,F82=0),0,IF(AND(S$3&gt;=G82,S$3&lt;H82),F82*MIN(12,E82-(S$3-G82)*12)/E82,0))</f>
        <v>0</v>
      </c>
      <c r="T20" s="44" t="n">
        <f aca="false">IF(OR(D82=0,E82=0,F82=0),0,IF(AND(T$3&gt;=G82,T$3&lt;H82),F82*MIN(12,E82-(T$3-G82)*12)/E82,0))</f>
        <v>0</v>
      </c>
      <c r="U20" s="44" t="n">
        <f aca="false">IF(OR(D82=0,E82=0,F82=0),0,IF(AND(U$3&gt;=G82,U$3&lt;H82),F82*MIN(12,E82-(U$3-G82)*12)/E82,0))</f>
        <v>0</v>
      </c>
      <c r="V20" s="44" t="n">
        <f aca="false">IF(OR(D82=0,E82=0,F82=0),0,IF(AND(V$3&gt;=G82,V$3&lt;H82),F82*MIN(12,E82-(V$3-G82)*12)/E82,0))</f>
        <v>0</v>
      </c>
      <c r="W20" s="44" t="n">
        <f aca="false">IF(OR(D82=0,E82=0,F82=0),0,IF(AND(W$3&gt;=G82,W$3&lt;H82),F82*MIN(12,E82-(W$3-G82)*12)/E82,0))</f>
        <v>0</v>
      </c>
      <c r="X20" s="44" t="n">
        <f aca="false">IF(OR(D82=0,E82=0,F82=0),0,IF(AND(X$3&gt;=G82,X$3&lt;H82),F82*MIN(12,E82-(X$3-G82)*12)/E82,0))</f>
        <v>0</v>
      </c>
      <c r="Y20" s="44" t="n">
        <f aca="false">IF(OR(D82=0,E82=0,F82=0),0,IF(AND(Y$3&gt;=G82,Y$3&lt;H82),F82*MIN(12,E82-(Y$3-G82)*12)/E82,0))</f>
        <v>0</v>
      </c>
      <c r="Z20" s="44" t="n">
        <f aca="false">IF(OR(D82=0,E82=0,F82=0),0,IF(AND(Z$3&gt;=G82,Z$3&lt;H82),F82*MIN(12,E82-(Z$3-G82)*12)/E82,0))</f>
        <v>0</v>
      </c>
      <c r="AA20" s="44" t="n">
        <f aca="false">IF(OR(D82=0,E82=0,F82=0),0,IF(AND(AA$3&gt;=G82,AA$3&lt;H82),F82*MIN(12,E82-(AA$3-G82)*12)/E82,0))</f>
        <v>0</v>
      </c>
      <c r="AB20" s="44" t="n">
        <f aca="false">IF(OR(D82=0,E82=0,F82=0),0,IF(AND(AB$3&gt;=G82,AB$3&lt;H82),F82*MIN(12,E82-(AB$3-G82)*12)/E82,0))</f>
        <v>0</v>
      </c>
      <c r="AC20" s="44" t="n">
        <f aca="false">IF(OR(D82=0,E82=0,F82=0),0,IF(AND(AC$3&gt;=G82,AC$3&lt;H82),F82*MIN(12,E82-(AC$3-G82)*12)/E82,0))</f>
        <v>0</v>
      </c>
      <c r="AD20" s="44" t="n">
        <f aca="false">IF(OR(D82=0,E82=0,F82=0),0,IF(AND(AD$3&gt;=G82,AD$3&lt;H82),F82*MIN(12,E82-(AD$3-G82)*12)/E82,0))</f>
        <v>0</v>
      </c>
      <c r="AE20" s="44" t="n">
        <f aca="false">IF(OR(D82=0,E82=0,F82=0),0,IF(AND(AE$3&gt;=G82,AE$3&lt;H82),F82*MIN(12,E82-(AE$3-G82)*12)/E82,0))</f>
        <v>0</v>
      </c>
      <c r="AF20" s="44" t="n">
        <f aca="false">IF(OR(D82=0,E82=0,F82=0),0,IF(AND(AF$3&gt;=G82,AF$3&lt;H82),F82*MIN(12,E82-(AF$3-G82)*12)/E82,0))</f>
        <v>0</v>
      </c>
      <c r="AG20" s="44" t="n">
        <f aca="false">IF(OR(D82=0,E82=0,F82=0),0,IF(AND(AG$3&gt;=G82,AG$3&lt;H82),F82*MIN(12,E82-(AG$3-G82)*12)/E82,0))</f>
        <v>0</v>
      </c>
      <c r="AH20" s="44" t="n">
        <f aca="false">IF(OR(D82=0,E82=0,F82=0),0,IF(AND(AH$3&gt;=G82,AH$3&lt;H82),F82*MIN(12,E82-(AH$3-G82)*12)/E82,0))</f>
        <v>0</v>
      </c>
      <c r="AI20" s="44" t="n">
        <f aca="false">IF(OR(D82=0,E82=0,F82=0),0,IF(AND(AI$3&gt;=G82,AI$3&lt;H82),F82*MIN(12,E82-(AI$3-G82)*12)/E82,0))</f>
        <v>0</v>
      </c>
      <c r="AJ20" s="44" t="n">
        <f aca="false">IF(OR(D82=0,E82=0,F82=0),0,IF(AND(AJ$3&gt;=G82,AJ$3&lt;H82),F82*MIN(12,E82-(AJ$3-G82)*12)/E82,0))</f>
        <v>0</v>
      </c>
      <c r="AK20" s="44" t="n">
        <f aca="false">IF(OR(D82=0,E82=0,F82=0),0,IF(AND(AK$3&gt;=G82,AK$3&lt;H82),F82*MIN(12,E82-(AK$3-G82)*12)/E82,0))</f>
        <v>0</v>
      </c>
      <c r="AL20" s="44" t="n">
        <f aca="false">IF(OR(D82=0,E82=0,F82=0),0,IF(AND(AL$3&gt;=G82,AL$3&lt;H82),F82*MIN(12,E82-(AL$3-G82)*12)/E82,0))</f>
        <v>0</v>
      </c>
      <c r="AM20" s="44" t="n">
        <f aca="false">IF(OR(D82=0,E82=0,F82=0),0,IF(AND(AM$3&gt;=G82,AM$3&lt;H82),F82*MIN(12,E82-(AM$3-G82)*12)/E82,0))</f>
        <v>0</v>
      </c>
      <c r="AN20" s="44" t="n">
        <f aca="false">IF(OR(D82=0,E82=0,F82=0),0,IF(AND(AN$3&gt;=G82,AN$3&lt;H82),F82*MIN(12,E82-(AN$3-G82)*12)/E82,0))</f>
        <v>0</v>
      </c>
      <c r="AO20" s="44" t="n">
        <f aca="false">IF(OR(D82=0,E82=0,F82=0),0,IF(AND(AO$3&gt;=G82,AO$3&lt;H82),F82*MIN(12,E82-(AO$3-G82)*12)/E82,0))</f>
        <v>0</v>
      </c>
      <c r="AP20" s="44" t="n">
        <f aca="false">IF(OR(D82=0,E82=0,F82=0),0,IF(AND(AP$3&gt;=G82,AP$3&lt;H82),F82*MIN(12,E82-(AP$3-G82)*12)/E82,0))</f>
        <v>0</v>
      </c>
      <c r="AQ20" s="44" t="n">
        <f aca="false">IF(OR(D82=0,E82=0,F82=0),0,IF(AND(AQ$3&gt;=G82,AQ$3&lt;H82),F82*MIN(12,E82-(AQ$3-G82)*12)/E82,0))</f>
        <v>0</v>
      </c>
      <c r="AR20" s="44" t="n">
        <f aca="false">IF(OR(D82=0,E82=0,F82=0),0,IF(AND(AR$3&gt;=G82,AR$3&lt;H82),F82*MIN(12,E82-(AR$3-G82)*12)/E82,0))</f>
        <v>0</v>
      </c>
      <c r="AS20" s="44" t="n">
        <f aca="false">IF(OR(D82=0,E82=0,F82=0),0,IF(AND(AS$3&gt;=G82,AS$3&lt;H82),F82*MIN(12,E82-(AS$3-G82)*12)/E82,0))</f>
        <v>0</v>
      </c>
      <c r="AT20" s="44" t="n">
        <f aca="false">IF(OR(D82=0,E82=0,F82=0),0,IF(AND(AT$3&gt;=G82,AT$3&lt;H82),F82*MIN(12,E82-(AT$3-G82)*12)/E82,0))</f>
        <v>0</v>
      </c>
      <c r="AU20" s="44" t="n">
        <f aca="false">IF(OR(D82=0,E82=0,F82=0),0,IF(AND(AU$3&gt;=G82,AU$3&lt;H82),F82*MIN(12,E82-(AU$3-G82)*12)/E82,0))</f>
        <v>0</v>
      </c>
      <c r="AV20" s="44" t="n">
        <f aca="false">IF(OR(D82=0,E82=0,F82=0),0,IF(AND(AV$3&gt;=G82,AV$3&lt;H82),F82*MIN(12,E82-(AV$3-G82)*12)/E82,0))</f>
        <v>0</v>
      </c>
      <c r="AW20" s="44" t="n">
        <f aca="false">IF(OR(D82=0,E82=0,F82=0),0,IF(AND(AW$3&gt;=G82,AW$3&lt;H82),F82*MIN(12,E82-(AW$3-G82)*12)/E82,0))</f>
        <v>0</v>
      </c>
      <c r="AX20" s="44" t="n">
        <f aca="false">IF(OR(D82=0,E82=0,F82=0),0,IF(AND(AX$3&gt;=G82,AX$3&lt;H82),F82*MIN(12,E82-(AX$3-G82)*12)/E82,0))</f>
        <v>0</v>
      </c>
      <c r="AY20" s="44" t="n">
        <f aca="false">IF(OR(D82=0,E82=0,F82=0),0,IF(AND(AY$3&gt;=G82,AY$3&lt;H82),F82*MIN(12,E82-(AY$3-G82)*12)/E82,0))</f>
        <v>0</v>
      </c>
      <c r="AZ20" s="44" t="n">
        <f aca="false">IF(OR(D82=0,E82=0,F82=0),0,IF(AND(AZ$3&gt;=G82,AZ$3&lt;H82),F82*MIN(12,E82-(AZ$3-G82)*12)/E82,0))</f>
        <v>0</v>
      </c>
      <c r="BA20" s="44" t="n">
        <f aca="false">IF(OR(D82=0,E82=0,F82=0),0,IF(AND(BA$3&gt;=G82,BA$3&lt;H82),F82*MIN(12,E82-(BA$3-G82)*12)/E82,0))</f>
        <v>0</v>
      </c>
      <c r="BB20" s="44" t="n">
        <f aca="false">IF(OR(D82=0,E82=0,F82=0),0,IF(AND(BB$3&gt;=G82,BB$3&lt;H82),F82*MIN(12,E82-(BB$3-G82)*12)/E82,0))</f>
        <v>0</v>
      </c>
    </row>
    <row r="21" customFormat="false" ht="15" hidden="false" customHeight="true" outlineLevel="0" collapsed="false">
      <c r="A21" s="44" t="n">
        <f aca="false">A83</f>
        <v>18</v>
      </c>
      <c r="B21" s="44" t="str">
        <f aca="false">B83</f>
        <v>Flexible Block</v>
      </c>
      <c r="C21" s="44" t="str">
        <f aca="false">C83</f>
        <v>ZAN 3</v>
      </c>
      <c r="D21" s="44" t="n">
        <f aca="false">SUM(E21:BB21)</f>
        <v>41733037.5</v>
      </c>
      <c r="E21" s="44" t="n">
        <f aca="false">IF(OR(D83=0,E83=0,F83=0),0,IF(AND(E$3&gt;=G83,E$3&lt;H83),F83*MIN(12,E83-(E$3-G83)*12)/E83,0))</f>
        <v>0</v>
      </c>
      <c r="F21" s="44" t="n">
        <f aca="false">IF(OR(D83=0,E83=0,F83=0),0,IF(AND(F$3&gt;=G83,F$3&lt;H83),F83*MIN(12,E83-(F$3-G83)*12)/E83,0))</f>
        <v>0</v>
      </c>
      <c r="G21" s="44" t="n">
        <f aca="false">IF(OR(D83=0,E83=0,F83=0),0,IF(AND(G$3&gt;=G83,G$3&lt;H83),F83*MIN(12,E83-(G$3-G83)*12)/E83,0))</f>
        <v>0</v>
      </c>
      <c r="H21" s="44" t="n">
        <f aca="false">IF(OR(D83=0,E83=0,F83=0),0,IF(AND(H$3&gt;=G83,H$3&lt;H83),F83*MIN(12,E83-(H$3-G83)*12)/E83,0))</f>
        <v>0</v>
      </c>
      <c r="I21" s="44" t="n">
        <f aca="false">IF(OR(D83=0,E83=0,F83=0),0,IF(AND(I$3&gt;=G83,I$3&lt;H83),F83*MIN(12,E83-(I$3-G83)*12)/E83,0))</f>
        <v>16693215</v>
      </c>
      <c r="J21" s="44" t="n">
        <f aca="false">IF(OR(D83=0,E83=0,F83=0),0,IF(AND(J$3&gt;=G83,J$3&lt;H83),F83*MIN(12,E83-(J$3-G83)*12)/E83,0))</f>
        <v>16693215</v>
      </c>
      <c r="K21" s="44" t="n">
        <f aca="false">IF(OR(D83=0,E83=0,F83=0),0,IF(AND(K$3&gt;=G83,K$3&lt;H83),F83*MIN(12,E83-(K$3-G83)*12)/E83,0))</f>
        <v>8346607.5</v>
      </c>
      <c r="L21" s="44" t="n">
        <f aca="false">IF(OR(D83=0,E83=0,F83=0),0,IF(AND(L$3&gt;=G83,L$3&lt;H83),F83*MIN(12,E83-(L$3-G83)*12)/E83,0))</f>
        <v>0</v>
      </c>
      <c r="M21" s="44" t="n">
        <f aca="false">IF(OR(D83=0,E83=0,F83=0),0,IF(AND(M$3&gt;=G83,M$3&lt;H83),F83*MIN(12,E83-(M$3-G83)*12)/E83,0))</f>
        <v>0</v>
      </c>
      <c r="N21" s="44" t="n">
        <f aca="false">IF(OR(D83=0,E83=0,F83=0),0,IF(AND(N$3&gt;=G83,N$3&lt;H83),F83*MIN(12,E83-(N$3-G83)*12)/E83,0))</f>
        <v>0</v>
      </c>
      <c r="O21" s="44" t="n">
        <f aca="false">IF(OR(D83=0,E83=0,F83=0),0,IF(AND(O$3&gt;=G83,O$3&lt;H83),F83*MIN(12,E83-(O$3-G83)*12)/E83,0))</f>
        <v>0</v>
      </c>
      <c r="P21" s="44" t="n">
        <f aca="false">IF(OR(D83=0,E83=0,F83=0),0,IF(AND(P$3&gt;=G83,P$3&lt;H83),F83*MIN(12,E83-(P$3-G83)*12)/E83,0))</f>
        <v>0</v>
      </c>
      <c r="Q21" s="44" t="n">
        <f aca="false">IF(OR(D83=0,E83=0,F83=0),0,IF(AND(Q$3&gt;=G83,Q$3&lt;H83),F83*MIN(12,E83-(Q$3-G83)*12)/E83,0))</f>
        <v>0</v>
      </c>
      <c r="R21" s="44" t="n">
        <f aca="false">IF(OR(D83=0,E83=0,F83=0),0,IF(AND(R$3&gt;=G83,R$3&lt;H83),F83*MIN(12,E83-(R$3-G83)*12)/E83,0))</f>
        <v>0</v>
      </c>
      <c r="S21" s="44" t="n">
        <f aca="false">IF(OR(D83=0,E83=0,F83=0),0,IF(AND(S$3&gt;=G83,S$3&lt;H83),F83*MIN(12,E83-(S$3-G83)*12)/E83,0))</f>
        <v>0</v>
      </c>
      <c r="T21" s="44" t="n">
        <f aca="false">IF(OR(D83=0,E83=0,F83=0),0,IF(AND(T$3&gt;=G83,T$3&lt;H83),F83*MIN(12,E83-(T$3-G83)*12)/E83,0))</f>
        <v>0</v>
      </c>
      <c r="U21" s="44" t="n">
        <f aca="false">IF(OR(D83=0,E83=0,F83=0),0,IF(AND(U$3&gt;=G83,U$3&lt;H83),F83*MIN(12,E83-(U$3-G83)*12)/E83,0))</f>
        <v>0</v>
      </c>
      <c r="V21" s="44" t="n">
        <f aca="false">IF(OR(D83=0,E83=0,F83=0),0,IF(AND(V$3&gt;=G83,V$3&lt;H83),F83*MIN(12,E83-(V$3-G83)*12)/E83,0))</f>
        <v>0</v>
      </c>
      <c r="W21" s="44" t="n">
        <f aca="false">IF(OR(D83=0,E83=0,F83=0),0,IF(AND(W$3&gt;=G83,W$3&lt;H83),F83*MIN(12,E83-(W$3-G83)*12)/E83,0))</f>
        <v>0</v>
      </c>
      <c r="X21" s="44" t="n">
        <f aca="false">IF(OR(D83=0,E83=0,F83=0),0,IF(AND(X$3&gt;=G83,X$3&lt;H83),F83*MIN(12,E83-(X$3-G83)*12)/E83,0))</f>
        <v>0</v>
      </c>
      <c r="Y21" s="44" t="n">
        <f aca="false">IF(OR(D83=0,E83=0,F83=0),0,IF(AND(Y$3&gt;=G83,Y$3&lt;H83),F83*MIN(12,E83-(Y$3-G83)*12)/E83,0))</f>
        <v>0</v>
      </c>
      <c r="Z21" s="44" t="n">
        <f aca="false">IF(OR(D83=0,E83=0,F83=0),0,IF(AND(Z$3&gt;=G83,Z$3&lt;H83),F83*MIN(12,E83-(Z$3-G83)*12)/E83,0))</f>
        <v>0</v>
      </c>
      <c r="AA21" s="44" t="n">
        <f aca="false">IF(OR(D83=0,E83=0,F83=0),0,IF(AND(AA$3&gt;=G83,AA$3&lt;H83),F83*MIN(12,E83-(AA$3-G83)*12)/E83,0))</f>
        <v>0</v>
      </c>
      <c r="AB21" s="44" t="n">
        <f aca="false">IF(OR(D83=0,E83=0,F83=0),0,IF(AND(AB$3&gt;=G83,AB$3&lt;H83),F83*MIN(12,E83-(AB$3-G83)*12)/E83,0))</f>
        <v>0</v>
      </c>
      <c r="AC21" s="44" t="n">
        <f aca="false">IF(OR(D83=0,E83=0,F83=0),0,IF(AND(AC$3&gt;=G83,AC$3&lt;H83),F83*MIN(12,E83-(AC$3-G83)*12)/E83,0))</f>
        <v>0</v>
      </c>
      <c r="AD21" s="44" t="n">
        <f aca="false">IF(OR(D83=0,E83=0,F83=0),0,IF(AND(AD$3&gt;=G83,AD$3&lt;H83),F83*MIN(12,E83-(AD$3-G83)*12)/E83,0))</f>
        <v>0</v>
      </c>
      <c r="AE21" s="44" t="n">
        <f aca="false">IF(OR(D83=0,E83=0,F83=0),0,IF(AND(AE$3&gt;=G83,AE$3&lt;H83),F83*MIN(12,E83-(AE$3-G83)*12)/E83,0))</f>
        <v>0</v>
      </c>
      <c r="AF21" s="44" t="n">
        <f aca="false">IF(OR(D83=0,E83=0,F83=0),0,IF(AND(AF$3&gt;=G83,AF$3&lt;H83),F83*MIN(12,E83-(AF$3-G83)*12)/E83,0))</f>
        <v>0</v>
      </c>
      <c r="AG21" s="44" t="n">
        <f aca="false">IF(OR(D83=0,E83=0,F83=0),0,IF(AND(AG$3&gt;=G83,AG$3&lt;H83),F83*MIN(12,E83-(AG$3-G83)*12)/E83,0))</f>
        <v>0</v>
      </c>
      <c r="AH21" s="44" t="n">
        <f aca="false">IF(OR(D83=0,E83=0,F83=0),0,IF(AND(AH$3&gt;=G83,AH$3&lt;H83),F83*MIN(12,E83-(AH$3-G83)*12)/E83,0))</f>
        <v>0</v>
      </c>
      <c r="AI21" s="44" t="n">
        <f aca="false">IF(OR(D83=0,E83=0,F83=0),0,IF(AND(AI$3&gt;=G83,AI$3&lt;H83),F83*MIN(12,E83-(AI$3-G83)*12)/E83,0))</f>
        <v>0</v>
      </c>
      <c r="AJ21" s="44" t="n">
        <f aca="false">IF(OR(D83=0,E83=0,F83=0),0,IF(AND(AJ$3&gt;=G83,AJ$3&lt;H83),F83*MIN(12,E83-(AJ$3-G83)*12)/E83,0))</f>
        <v>0</v>
      </c>
      <c r="AK21" s="44" t="n">
        <f aca="false">IF(OR(D83=0,E83=0,F83=0),0,IF(AND(AK$3&gt;=G83,AK$3&lt;H83),F83*MIN(12,E83-(AK$3-G83)*12)/E83,0))</f>
        <v>0</v>
      </c>
      <c r="AL21" s="44" t="n">
        <f aca="false">IF(OR(D83=0,E83=0,F83=0),0,IF(AND(AL$3&gt;=G83,AL$3&lt;H83),F83*MIN(12,E83-(AL$3-G83)*12)/E83,0))</f>
        <v>0</v>
      </c>
      <c r="AM21" s="44" t="n">
        <f aca="false">IF(OR(D83=0,E83=0,F83=0),0,IF(AND(AM$3&gt;=G83,AM$3&lt;H83),F83*MIN(12,E83-(AM$3-G83)*12)/E83,0))</f>
        <v>0</v>
      </c>
      <c r="AN21" s="44" t="n">
        <f aca="false">IF(OR(D83=0,E83=0,F83=0),0,IF(AND(AN$3&gt;=G83,AN$3&lt;H83),F83*MIN(12,E83-(AN$3-G83)*12)/E83,0))</f>
        <v>0</v>
      </c>
      <c r="AO21" s="44" t="n">
        <f aca="false">IF(OR(D83=0,E83=0,F83=0),0,IF(AND(AO$3&gt;=G83,AO$3&lt;H83),F83*MIN(12,E83-(AO$3-G83)*12)/E83,0))</f>
        <v>0</v>
      </c>
      <c r="AP21" s="44" t="n">
        <f aca="false">IF(OR(D83=0,E83=0,F83=0),0,IF(AND(AP$3&gt;=G83,AP$3&lt;H83),F83*MIN(12,E83-(AP$3-G83)*12)/E83,0))</f>
        <v>0</v>
      </c>
      <c r="AQ21" s="44" t="n">
        <f aca="false">IF(OR(D83=0,E83=0,F83=0),0,IF(AND(AQ$3&gt;=G83,AQ$3&lt;H83),F83*MIN(12,E83-(AQ$3-G83)*12)/E83,0))</f>
        <v>0</v>
      </c>
      <c r="AR21" s="44" t="n">
        <f aca="false">IF(OR(D83=0,E83=0,F83=0),0,IF(AND(AR$3&gt;=G83,AR$3&lt;H83),F83*MIN(12,E83-(AR$3-G83)*12)/E83,0))</f>
        <v>0</v>
      </c>
      <c r="AS21" s="44" t="n">
        <f aca="false">IF(OR(D83=0,E83=0,F83=0),0,IF(AND(AS$3&gt;=G83,AS$3&lt;H83),F83*MIN(12,E83-(AS$3-G83)*12)/E83,0))</f>
        <v>0</v>
      </c>
      <c r="AT21" s="44" t="n">
        <f aca="false">IF(OR(D83=0,E83=0,F83=0),0,IF(AND(AT$3&gt;=G83,AT$3&lt;H83),F83*MIN(12,E83-(AT$3-G83)*12)/E83,0))</f>
        <v>0</v>
      </c>
      <c r="AU21" s="44" t="n">
        <f aca="false">IF(OR(D83=0,E83=0,F83=0),0,IF(AND(AU$3&gt;=G83,AU$3&lt;H83),F83*MIN(12,E83-(AU$3-G83)*12)/E83,0))</f>
        <v>0</v>
      </c>
      <c r="AV21" s="44" t="n">
        <f aca="false">IF(OR(D83=0,E83=0,F83=0),0,IF(AND(AV$3&gt;=G83,AV$3&lt;H83),F83*MIN(12,E83-(AV$3-G83)*12)/E83,0))</f>
        <v>0</v>
      </c>
      <c r="AW21" s="44" t="n">
        <f aca="false">IF(OR(D83=0,E83=0,F83=0),0,IF(AND(AW$3&gt;=G83,AW$3&lt;H83),F83*MIN(12,E83-(AW$3-G83)*12)/E83,0))</f>
        <v>0</v>
      </c>
      <c r="AX21" s="44" t="n">
        <f aca="false">IF(OR(D83=0,E83=0,F83=0),0,IF(AND(AX$3&gt;=G83,AX$3&lt;H83),F83*MIN(12,E83-(AX$3-G83)*12)/E83,0))</f>
        <v>0</v>
      </c>
      <c r="AY21" s="44" t="n">
        <f aca="false">IF(OR(D83=0,E83=0,F83=0),0,IF(AND(AY$3&gt;=G83,AY$3&lt;H83),F83*MIN(12,E83-(AY$3-G83)*12)/E83,0))</f>
        <v>0</v>
      </c>
      <c r="AZ21" s="44" t="n">
        <f aca="false">IF(OR(D83=0,E83=0,F83=0),0,IF(AND(AZ$3&gt;=G83,AZ$3&lt;H83),F83*MIN(12,E83-(AZ$3-G83)*12)/E83,0))</f>
        <v>0</v>
      </c>
      <c r="BA21" s="44" t="n">
        <f aca="false">IF(OR(D83=0,E83=0,F83=0),0,IF(AND(BA$3&gt;=G83,BA$3&lt;H83),F83*MIN(12,E83-(BA$3-G83)*12)/E83,0))</f>
        <v>0</v>
      </c>
      <c r="BB21" s="44" t="n">
        <f aca="false">IF(OR(D83=0,E83=0,F83=0),0,IF(AND(BB$3&gt;=G83,BB$3&lt;H83),F83*MIN(12,E83-(BB$3-G83)*12)/E83,0))</f>
        <v>0</v>
      </c>
    </row>
    <row r="22" customFormat="false" ht="15" hidden="false" customHeight="true" outlineLevel="0" collapsed="false">
      <c r="A22" s="44" t="n">
        <f aca="false">A84</f>
        <v>19</v>
      </c>
      <c r="B22" s="44" t="str">
        <f aca="false">B84</f>
        <v>Multi-Purpose Hall</v>
      </c>
      <c r="C22" s="44" t="str">
        <f aca="false">C84</f>
        <v>ZAN 3</v>
      </c>
      <c r="D22" s="44" t="n">
        <f aca="false">SUM(E22:BB22)</f>
        <v>28135800</v>
      </c>
      <c r="E22" s="44" t="n">
        <f aca="false">IF(OR(D84=0,E84=0,F84=0),0,IF(AND(E$3&gt;=G84,E$3&lt;H84),F84*MIN(12,E84-(E$3-G84)*12)/E84,0))</f>
        <v>0</v>
      </c>
      <c r="F22" s="44" t="n">
        <f aca="false">IF(OR(D84=0,E84=0,F84=0),0,IF(AND(F$3&gt;=G84,F$3&lt;H84),F84*MIN(12,E84-(F$3-G84)*12)/E84,0))</f>
        <v>0</v>
      </c>
      <c r="G22" s="44" t="n">
        <f aca="false">IF(OR(D84=0,E84=0,F84=0),0,IF(AND(G$3&gt;=G84,G$3&lt;H84),F84*MIN(12,E84-(G$3-G84)*12)/E84,0))</f>
        <v>0</v>
      </c>
      <c r="H22" s="44" t="n">
        <f aca="false">IF(OR(D84=0,E84=0,F84=0),0,IF(AND(H$3&gt;=G84,H$3&lt;H84),F84*MIN(12,E84-(H$3-G84)*12)/E84,0))</f>
        <v>0</v>
      </c>
      <c r="I22" s="44" t="n">
        <f aca="false">IF(OR(D84=0,E84=0,F84=0),0,IF(AND(I$3&gt;=G84,I$3&lt;H84),F84*MIN(12,E84-(I$3-G84)*12)/E84,0))</f>
        <v>14067900</v>
      </c>
      <c r="J22" s="44" t="n">
        <f aca="false">IF(OR(D84=0,E84=0,F84=0),0,IF(AND(J$3&gt;=G84,J$3&lt;H84),F84*MIN(12,E84-(J$3-G84)*12)/E84,0))</f>
        <v>14067900</v>
      </c>
      <c r="K22" s="44" t="n">
        <f aca="false">IF(OR(D84=0,E84=0,F84=0),0,IF(AND(K$3&gt;=G84,K$3&lt;H84),F84*MIN(12,E84-(K$3-G84)*12)/E84,0))</f>
        <v>0</v>
      </c>
      <c r="L22" s="44" t="n">
        <f aca="false">IF(OR(D84=0,E84=0,F84=0),0,IF(AND(L$3&gt;=G84,L$3&lt;H84),F84*MIN(12,E84-(L$3-G84)*12)/E84,0))</f>
        <v>0</v>
      </c>
      <c r="M22" s="44" t="n">
        <f aca="false">IF(OR(D84=0,E84=0,F84=0),0,IF(AND(M$3&gt;=G84,M$3&lt;H84),F84*MIN(12,E84-(M$3-G84)*12)/E84,0))</f>
        <v>0</v>
      </c>
      <c r="N22" s="44" t="n">
        <f aca="false">IF(OR(D84=0,E84=0,F84=0),0,IF(AND(N$3&gt;=G84,N$3&lt;H84),F84*MIN(12,E84-(N$3-G84)*12)/E84,0))</f>
        <v>0</v>
      </c>
      <c r="O22" s="44" t="n">
        <f aca="false">IF(OR(D84=0,E84=0,F84=0),0,IF(AND(O$3&gt;=G84,O$3&lt;H84),F84*MIN(12,E84-(O$3-G84)*12)/E84,0))</f>
        <v>0</v>
      </c>
      <c r="P22" s="44" t="n">
        <f aca="false">IF(OR(D84=0,E84=0,F84=0),0,IF(AND(P$3&gt;=G84,P$3&lt;H84),F84*MIN(12,E84-(P$3-G84)*12)/E84,0))</f>
        <v>0</v>
      </c>
      <c r="Q22" s="44" t="n">
        <f aca="false">IF(OR(D84=0,E84=0,F84=0),0,IF(AND(Q$3&gt;=G84,Q$3&lt;H84),F84*MIN(12,E84-(Q$3-G84)*12)/E84,0))</f>
        <v>0</v>
      </c>
      <c r="R22" s="44" t="n">
        <f aca="false">IF(OR(D84=0,E84=0,F84=0),0,IF(AND(R$3&gt;=G84,R$3&lt;H84),F84*MIN(12,E84-(R$3-G84)*12)/E84,0))</f>
        <v>0</v>
      </c>
      <c r="S22" s="44" t="n">
        <f aca="false">IF(OR(D84=0,E84=0,F84=0),0,IF(AND(S$3&gt;=G84,S$3&lt;H84),F84*MIN(12,E84-(S$3-G84)*12)/E84,0))</f>
        <v>0</v>
      </c>
      <c r="T22" s="44" t="n">
        <f aca="false">IF(OR(D84=0,E84=0,F84=0),0,IF(AND(T$3&gt;=G84,T$3&lt;H84),F84*MIN(12,E84-(T$3-G84)*12)/E84,0))</f>
        <v>0</v>
      </c>
      <c r="U22" s="44" t="n">
        <f aca="false">IF(OR(D84=0,E84=0,F84=0),0,IF(AND(U$3&gt;=G84,U$3&lt;H84),F84*MIN(12,E84-(U$3-G84)*12)/E84,0))</f>
        <v>0</v>
      </c>
      <c r="V22" s="44" t="n">
        <f aca="false">IF(OR(D84=0,E84=0,F84=0),0,IF(AND(V$3&gt;=G84,V$3&lt;H84),F84*MIN(12,E84-(V$3-G84)*12)/E84,0))</f>
        <v>0</v>
      </c>
      <c r="W22" s="44" t="n">
        <f aca="false">IF(OR(D84=0,E84=0,F84=0),0,IF(AND(W$3&gt;=G84,W$3&lt;H84),F84*MIN(12,E84-(W$3-G84)*12)/E84,0))</f>
        <v>0</v>
      </c>
      <c r="X22" s="44" t="n">
        <f aca="false">IF(OR(D84=0,E84=0,F84=0),0,IF(AND(X$3&gt;=G84,X$3&lt;H84),F84*MIN(12,E84-(X$3-G84)*12)/E84,0))</f>
        <v>0</v>
      </c>
      <c r="Y22" s="44" t="n">
        <f aca="false">IF(OR(D84=0,E84=0,F84=0),0,IF(AND(Y$3&gt;=G84,Y$3&lt;H84),F84*MIN(12,E84-(Y$3-G84)*12)/E84,0))</f>
        <v>0</v>
      </c>
      <c r="Z22" s="44" t="n">
        <f aca="false">IF(OR(D84=0,E84=0,F84=0),0,IF(AND(Z$3&gt;=G84,Z$3&lt;H84),F84*MIN(12,E84-(Z$3-G84)*12)/E84,0))</f>
        <v>0</v>
      </c>
      <c r="AA22" s="44" t="n">
        <f aca="false">IF(OR(D84=0,E84=0,F84=0),0,IF(AND(AA$3&gt;=G84,AA$3&lt;H84),F84*MIN(12,E84-(AA$3-G84)*12)/E84,0))</f>
        <v>0</v>
      </c>
      <c r="AB22" s="44" t="n">
        <f aca="false">IF(OR(D84=0,E84=0,F84=0),0,IF(AND(AB$3&gt;=G84,AB$3&lt;H84),F84*MIN(12,E84-(AB$3-G84)*12)/E84,0))</f>
        <v>0</v>
      </c>
      <c r="AC22" s="44" t="n">
        <f aca="false">IF(OR(D84=0,E84=0,F84=0),0,IF(AND(AC$3&gt;=G84,AC$3&lt;H84),F84*MIN(12,E84-(AC$3-G84)*12)/E84,0))</f>
        <v>0</v>
      </c>
      <c r="AD22" s="44" t="n">
        <f aca="false">IF(OR(D84=0,E84=0,F84=0),0,IF(AND(AD$3&gt;=G84,AD$3&lt;H84),F84*MIN(12,E84-(AD$3-G84)*12)/E84,0))</f>
        <v>0</v>
      </c>
      <c r="AE22" s="44" t="n">
        <f aca="false">IF(OR(D84=0,E84=0,F84=0),0,IF(AND(AE$3&gt;=G84,AE$3&lt;H84),F84*MIN(12,E84-(AE$3-G84)*12)/E84,0))</f>
        <v>0</v>
      </c>
      <c r="AF22" s="44" t="n">
        <f aca="false">IF(OR(D84=0,E84=0,F84=0),0,IF(AND(AF$3&gt;=G84,AF$3&lt;H84),F84*MIN(12,E84-(AF$3-G84)*12)/E84,0))</f>
        <v>0</v>
      </c>
      <c r="AG22" s="44" t="n">
        <f aca="false">IF(OR(D84=0,E84=0,F84=0),0,IF(AND(AG$3&gt;=G84,AG$3&lt;H84),F84*MIN(12,E84-(AG$3-G84)*12)/E84,0))</f>
        <v>0</v>
      </c>
      <c r="AH22" s="44" t="n">
        <f aca="false">IF(OR(D84=0,E84=0,F84=0),0,IF(AND(AH$3&gt;=G84,AH$3&lt;H84),F84*MIN(12,E84-(AH$3-G84)*12)/E84,0))</f>
        <v>0</v>
      </c>
      <c r="AI22" s="44" t="n">
        <f aca="false">IF(OR(D84=0,E84=0,F84=0),0,IF(AND(AI$3&gt;=G84,AI$3&lt;H84),F84*MIN(12,E84-(AI$3-G84)*12)/E84,0))</f>
        <v>0</v>
      </c>
      <c r="AJ22" s="44" t="n">
        <f aca="false">IF(OR(D84=0,E84=0,F84=0),0,IF(AND(AJ$3&gt;=G84,AJ$3&lt;H84),F84*MIN(12,E84-(AJ$3-G84)*12)/E84,0))</f>
        <v>0</v>
      </c>
      <c r="AK22" s="44" t="n">
        <f aca="false">IF(OR(D84=0,E84=0,F84=0),0,IF(AND(AK$3&gt;=G84,AK$3&lt;H84),F84*MIN(12,E84-(AK$3-G84)*12)/E84,0))</f>
        <v>0</v>
      </c>
      <c r="AL22" s="44" t="n">
        <f aca="false">IF(OR(D84=0,E84=0,F84=0),0,IF(AND(AL$3&gt;=G84,AL$3&lt;H84),F84*MIN(12,E84-(AL$3-G84)*12)/E84,0))</f>
        <v>0</v>
      </c>
      <c r="AM22" s="44" t="n">
        <f aca="false">IF(OR(D84=0,E84=0,F84=0),0,IF(AND(AM$3&gt;=G84,AM$3&lt;H84),F84*MIN(12,E84-(AM$3-G84)*12)/E84,0))</f>
        <v>0</v>
      </c>
      <c r="AN22" s="44" t="n">
        <f aca="false">IF(OR(D84=0,E84=0,F84=0),0,IF(AND(AN$3&gt;=G84,AN$3&lt;H84),F84*MIN(12,E84-(AN$3-G84)*12)/E84,0))</f>
        <v>0</v>
      </c>
      <c r="AO22" s="44" t="n">
        <f aca="false">IF(OR(D84=0,E84=0,F84=0),0,IF(AND(AO$3&gt;=G84,AO$3&lt;H84),F84*MIN(12,E84-(AO$3-G84)*12)/E84,0))</f>
        <v>0</v>
      </c>
      <c r="AP22" s="44" t="n">
        <f aca="false">IF(OR(D84=0,E84=0,F84=0),0,IF(AND(AP$3&gt;=G84,AP$3&lt;H84),F84*MIN(12,E84-(AP$3-G84)*12)/E84,0))</f>
        <v>0</v>
      </c>
      <c r="AQ22" s="44" t="n">
        <f aca="false">IF(OR(D84=0,E84=0,F84=0),0,IF(AND(AQ$3&gt;=G84,AQ$3&lt;H84),F84*MIN(12,E84-(AQ$3-G84)*12)/E84,0))</f>
        <v>0</v>
      </c>
      <c r="AR22" s="44" t="n">
        <f aca="false">IF(OR(D84=0,E84=0,F84=0),0,IF(AND(AR$3&gt;=G84,AR$3&lt;H84),F84*MIN(12,E84-(AR$3-G84)*12)/E84,0))</f>
        <v>0</v>
      </c>
      <c r="AS22" s="44" t="n">
        <f aca="false">IF(OR(D84=0,E84=0,F84=0),0,IF(AND(AS$3&gt;=G84,AS$3&lt;H84),F84*MIN(12,E84-(AS$3-G84)*12)/E84,0))</f>
        <v>0</v>
      </c>
      <c r="AT22" s="44" t="n">
        <f aca="false">IF(OR(D84=0,E84=0,F84=0),0,IF(AND(AT$3&gt;=G84,AT$3&lt;H84),F84*MIN(12,E84-(AT$3-G84)*12)/E84,0))</f>
        <v>0</v>
      </c>
      <c r="AU22" s="44" t="n">
        <f aca="false">IF(OR(D84=0,E84=0,F84=0),0,IF(AND(AU$3&gt;=G84,AU$3&lt;H84),F84*MIN(12,E84-(AU$3-G84)*12)/E84,0))</f>
        <v>0</v>
      </c>
      <c r="AV22" s="44" t="n">
        <f aca="false">IF(OR(D84=0,E84=0,F84=0),0,IF(AND(AV$3&gt;=G84,AV$3&lt;H84),F84*MIN(12,E84-(AV$3-G84)*12)/E84,0))</f>
        <v>0</v>
      </c>
      <c r="AW22" s="44" t="n">
        <f aca="false">IF(OR(D84=0,E84=0,F84=0),0,IF(AND(AW$3&gt;=G84,AW$3&lt;H84),F84*MIN(12,E84-(AW$3-G84)*12)/E84,0))</f>
        <v>0</v>
      </c>
      <c r="AX22" s="44" t="n">
        <f aca="false">IF(OR(D84=0,E84=0,F84=0),0,IF(AND(AX$3&gt;=G84,AX$3&lt;H84),F84*MIN(12,E84-(AX$3-G84)*12)/E84,0))</f>
        <v>0</v>
      </c>
      <c r="AY22" s="44" t="n">
        <f aca="false">IF(OR(D84=0,E84=0,F84=0),0,IF(AND(AY$3&gt;=G84,AY$3&lt;H84),F84*MIN(12,E84-(AY$3-G84)*12)/E84,0))</f>
        <v>0</v>
      </c>
      <c r="AZ22" s="44" t="n">
        <f aca="false">IF(OR(D84=0,E84=0,F84=0),0,IF(AND(AZ$3&gt;=G84,AZ$3&lt;H84),F84*MIN(12,E84-(AZ$3-G84)*12)/E84,0))</f>
        <v>0</v>
      </c>
      <c r="BA22" s="44" t="n">
        <f aca="false">IF(OR(D84=0,E84=0,F84=0),0,IF(AND(BA$3&gt;=G84,BA$3&lt;H84),F84*MIN(12,E84-(BA$3-G84)*12)/E84,0))</f>
        <v>0</v>
      </c>
      <c r="BB22" s="44" t="n">
        <f aca="false">IF(OR(D84=0,E84=0,F84=0),0,IF(AND(BB$3&gt;=G84,BB$3&lt;H84),F84*MIN(12,E84-(BB$3-G84)*12)/E84,0))</f>
        <v>0</v>
      </c>
    </row>
    <row r="23" customFormat="false" ht="15" hidden="false" customHeight="true" outlineLevel="0" collapsed="false">
      <c r="A23" s="44" t="n">
        <f aca="false">A85</f>
        <v>20</v>
      </c>
      <c r="B23" s="44" t="str">
        <f aca="false">B85</f>
        <v>Unallocated / Open Area</v>
      </c>
      <c r="C23" s="44" t="str">
        <f aca="false">C85</f>
        <v>ZAN 3</v>
      </c>
      <c r="D23" s="44" t="n">
        <f aca="false">SUM(E23:BB23)</f>
        <v>86496.795</v>
      </c>
      <c r="E23" s="44" t="n">
        <f aca="false">IF(OR(D85=0,E85=0,F85=0),0,IF(AND(E$3&gt;=G85,E$3&lt;H85),F85*MIN(12,E85-(E$3-G85)*12)/E85,0))</f>
        <v>0</v>
      </c>
      <c r="F23" s="44" t="n">
        <f aca="false">IF(OR(D85=0,E85=0,F85=0),0,IF(AND(F$3&gt;=G85,F$3&lt;H85),F85*MIN(12,E85-(F$3-G85)*12)/E85,0))</f>
        <v>0</v>
      </c>
      <c r="G23" s="44" t="n">
        <f aca="false">IF(OR(D85=0,E85=0,F85=0),0,IF(AND(G$3&gt;=G85,G$3&lt;H85),F85*MIN(12,E85-(G$3-G85)*12)/E85,0))</f>
        <v>0</v>
      </c>
      <c r="H23" s="44" t="n">
        <f aca="false">IF(OR(D85=0,E85=0,F85=0),0,IF(AND(H$3&gt;=G85,H$3&lt;H85),F85*MIN(12,E85-(H$3-G85)*12)/E85,0))</f>
        <v>0</v>
      </c>
      <c r="I23" s="44" t="n">
        <f aca="false">IF(OR(D85=0,E85=0,F85=0),0,IF(AND(I$3&gt;=G85,I$3&lt;H85),F85*MIN(12,E85-(I$3-G85)*12)/E85,0))</f>
        <v>86496.795</v>
      </c>
      <c r="J23" s="44" t="n">
        <f aca="false">IF(OR(D85=0,E85=0,F85=0),0,IF(AND(J$3&gt;=G85,J$3&lt;H85),F85*MIN(12,E85-(J$3-G85)*12)/E85,0))</f>
        <v>0</v>
      </c>
      <c r="K23" s="44" t="n">
        <f aca="false">IF(OR(D85=0,E85=0,F85=0),0,IF(AND(K$3&gt;=G85,K$3&lt;H85),F85*MIN(12,E85-(K$3-G85)*12)/E85,0))</f>
        <v>0</v>
      </c>
      <c r="L23" s="44" t="n">
        <f aca="false">IF(OR(D85=0,E85=0,F85=0),0,IF(AND(L$3&gt;=G85,L$3&lt;H85),F85*MIN(12,E85-(L$3-G85)*12)/E85,0))</f>
        <v>0</v>
      </c>
      <c r="M23" s="44" t="n">
        <f aca="false">IF(OR(D85=0,E85=0,F85=0),0,IF(AND(M$3&gt;=G85,M$3&lt;H85),F85*MIN(12,E85-(M$3-G85)*12)/E85,0))</f>
        <v>0</v>
      </c>
      <c r="N23" s="44" t="n">
        <f aca="false">IF(OR(D85=0,E85=0,F85=0),0,IF(AND(N$3&gt;=G85,N$3&lt;H85),F85*MIN(12,E85-(N$3-G85)*12)/E85,0))</f>
        <v>0</v>
      </c>
      <c r="O23" s="44" t="n">
        <f aca="false">IF(OR(D85=0,E85=0,F85=0),0,IF(AND(O$3&gt;=G85,O$3&lt;H85),F85*MIN(12,E85-(O$3-G85)*12)/E85,0))</f>
        <v>0</v>
      </c>
      <c r="P23" s="44" t="n">
        <f aca="false">IF(OR(D85=0,E85=0,F85=0),0,IF(AND(P$3&gt;=G85,P$3&lt;H85),F85*MIN(12,E85-(P$3-G85)*12)/E85,0))</f>
        <v>0</v>
      </c>
      <c r="Q23" s="44" t="n">
        <f aca="false">IF(OR(D85=0,E85=0,F85=0),0,IF(AND(Q$3&gt;=G85,Q$3&lt;H85),F85*MIN(12,E85-(Q$3-G85)*12)/E85,0))</f>
        <v>0</v>
      </c>
      <c r="R23" s="44" t="n">
        <f aca="false">IF(OR(D85=0,E85=0,F85=0),0,IF(AND(R$3&gt;=G85,R$3&lt;H85),F85*MIN(12,E85-(R$3-G85)*12)/E85,0))</f>
        <v>0</v>
      </c>
      <c r="S23" s="44" t="n">
        <f aca="false">IF(OR(D85=0,E85=0,F85=0),0,IF(AND(S$3&gt;=G85,S$3&lt;H85),F85*MIN(12,E85-(S$3-G85)*12)/E85,0))</f>
        <v>0</v>
      </c>
      <c r="T23" s="44" t="n">
        <f aca="false">IF(OR(D85=0,E85=0,F85=0),0,IF(AND(T$3&gt;=G85,T$3&lt;H85),F85*MIN(12,E85-(T$3-G85)*12)/E85,0))</f>
        <v>0</v>
      </c>
      <c r="U23" s="44" t="n">
        <f aca="false">IF(OR(D85=0,E85=0,F85=0),0,IF(AND(U$3&gt;=G85,U$3&lt;H85),F85*MIN(12,E85-(U$3-G85)*12)/E85,0))</f>
        <v>0</v>
      </c>
      <c r="V23" s="44" t="n">
        <f aca="false">IF(OR(D85=0,E85=0,F85=0),0,IF(AND(V$3&gt;=G85,V$3&lt;H85),F85*MIN(12,E85-(V$3-G85)*12)/E85,0))</f>
        <v>0</v>
      </c>
      <c r="W23" s="44" t="n">
        <f aca="false">IF(OR(D85=0,E85=0,F85=0),0,IF(AND(W$3&gt;=G85,W$3&lt;H85),F85*MIN(12,E85-(W$3-G85)*12)/E85,0))</f>
        <v>0</v>
      </c>
      <c r="X23" s="44" t="n">
        <f aca="false">IF(OR(D85=0,E85=0,F85=0),0,IF(AND(X$3&gt;=G85,X$3&lt;H85),F85*MIN(12,E85-(X$3-G85)*12)/E85,0))</f>
        <v>0</v>
      </c>
      <c r="Y23" s="44" t="n">
        <f aca="false">IF(OR(D85=0,E85=0,F85=0),0,IF(AND(Y$3&gt;=G85,Y$3&lt;H85),F85*MIN(12,E85-(Y$3-G85)*12)/E85,0))</f>
        <v>0</v>
      </c>
      <c r="Z23" s="44" t="n">
        <f aca="false">IF(OR(D85=0,E85=0,F85=0),0,IF(AND(Z$3&gt;=G85,Z$3&lt;H85),F85*MIN(12,E85-(Z$3-G85)*12)/E85,0))</f>
        <v>0</v>
      </c>
      <c r="AA23" s="44" t="n">
        <f aca="false">IF(OR(D85=0,E85=0,F85=0),0,IF(AND(AA$3&gt;=G85,AA$3&lt;H85),F85*MIN(12,E85-(AA$3-G85)*12)/E85,0))</f>
        <v>0</v>
      </c>
      <c r="AB23" s="44" t="n">
        <f aca="false">IF(OR(D85=0,E85=0,F85=0),0,IF(AND(AB$3&gt;=G85,AB$3&lt;H85),F85*MIN(12,E85-(AB$3-G85)*12)/E85,0))</f>
        <v>0</v>
      </c>
      <c r="AC23" s="44" t="n">
        <f aca="false">IF(OR(D85=0,E85=0,F85=0),0,IF(AND(AC$3&gt;=G85,AC$3&lt;H85),F85*MIN(12,E85-(AC$3-G85)*12)/E85,0))</f>
        <v>0</v>
      </c>
      <c r="AD23" s="44" t="n">
        <f aca="false">IF(OR(D85=0,E85=0,F85=0),0,IF(AND(AD$3&gt;=G85,AD$3&lt;H85),F85*MIN(12,E85-(AD$3-G85)*12)/E85,0))</f>
        <v>0</v>
      </c>
      <c r="AE23" s="44" t="n">
        <f aca="false">IF(OR(D85=0,E85=0,F85=0),0,IF(AND(AE$3&gt;=G85,AE$3&lt;H85),F85*MIN(12,E85-(AE$3-G85)*12)/E85,0))</f>
        <v>0</v>
      </c>
      <c r="AF23" s="44" t="n">
        <f aca="false">IF(OR(D85=0,E85=0,F85=0),0,IF(AND(AF$3&gt;=G85,AF$3&lt;H85),F85*MIN(12,E85-(AF$3-G85)*12)/E85,0))</f>
        <v>0</v>
      </c>
      <c r="AG23" s="44" t="n">
        <f aca="false">IF(OR(D85=0,E85=0,F85=0),0,IF(AND(AG$3&gt;=G85,AG$3&lt;H85),F85*MIN(12,E85-(AG$3-G85)*12)/E85,0))</f>
        <v>0</v>
      </c>
      <c r="AH23" s="44" t="n">
        <f aca="false">IF(OR(D85=0,E85=0,F85=0),0,IF(AND(AH$3&gt;=G85,AH$3&lt;H85),F85*MIN(12,E85-(AH$3-G85)*12)/E85,0))</f>
        <v>0</v>
      </c>
      <c r="AI23" s="44" t="n">
        <f aca="false">IF(OR(D85=0,E85=0,F85=0),0,IF(AND(AI$3&gt;=G85,AI$3&lt;H85),F85*MIN(12,E85-(AI$3-G85)*12)/E85,0))</f>
        <v>0</v>
      </c>
      <c r="AJ23" s="44" t="n">
        <f aca="false">IF(OR(D85=0,E85=0,F85=0),0,IF(AND(AJ$3&gt;=G85,AJ$3&lt;H85),F85*MIN(12,E85-(AJ$3-G85)*12)/E85,0))</f>
        <v>0</v>
      </c>
      <c r="AK23" s="44" t="n">
        <f aca="false">IF(OR(D85=0,E85=0,F85=0),0,IF(AND(AK$3&gt;=G85,AK$3&lt;H85),F85*MIN(12,E85-(AK$3-G85)*12)/E85,0))</f>
        <v>0</v>
      </c>
      <c r="AL23" s="44" t="n">
        <f aca="false">IF(OR(D85=0,E85=0,F85=0),0,IF(AND(AL$3&gt;=G85,AL$3&lt;H85),F85*MIN(12,E85-(AL$3-G85)*12)/E85,0))</f>
        <v>0</v>
      </c>
      <c r="AM23" s="44" t="n">
        <f aca="false">IF(OR(D85=0,E85=0,F85=0),0,IF(AND(AM$3&gt;=G85,AM$3&lt;H85),F85*MIN(12,E85-(AM$3-G85)*12)/E85,0))</f>
        <v>0</v>
      </c>
      <c r="AN23" s="44" t="n">
        <f aca="false">IF(OR(D85=0,E85=0,F85=0),0,IF(AND(AN$3&gt;=G85,AN$3&lt;H85),F85*MIN(12,E85-(AN$3-G85)*12)/E85,0))</f>
        <v>0</v>
      </c>
      <c r="AO23" s="44" t="n">
        <f aca="false">IF(OR(D85=0,E85=0,F85=0),0,IF(AND(AO$3&gt;=G85,AO$3&lt;H85),F85*MIN(12,E85-(AO$3-G85)*12)/E85,0))</f>
        <v>0</v>
      </c>
      <c r="AP23" s="44" t="n">
        <f aca="false">IF(OR(D85=0,E85=0,F85=0),0,IF(AND(AP$3&gt;=G85,AP$3&lt;H85),F85*MIN(12,E85-(AP$3-G85)*12)/E85,0))</f>
        <v>0</v>
      </c>
      <c r="AQ23" s="44" t="n">
        <f aca="false">IF(OR(D85=0,E85=0,F85=0),0,IF(AND(AQ$3&gt;=G85,AQ$3&lt;H85),F85*MIN(12,E85-(AQ$3-G85)*12)/E85,0))</f>
        <v>0</v>
      </c>
      <c r="AR23" s="44" t="n">
        <f aca="false">IF(OR(D85=0,E85=0,F85=0),0,IF(AND(AR$3&gt;=G85,AR$3&lt;H85),F85*MIN(12,E85-(AR$3-G85)*12)/E85,0))</f>
        <v>0</v>
      </c>
      <c r="AS23" s="44" t="n">
        <f aca="false">IF(OR(D85=0,E85=0,F85=0),0,IF(AND(AS$3&gt;=G85,AS$3&lt;H85),F85*MIN(12,E85-(AS$3-G85)*12)/E85,0))</f>
        <v>0</v>
      </c>
      <c r="AT23" s="44" t="n">
        <f aca="false">IF(OR(D85=0,E85=0,F85=0),0,IF(AND(AT$3&gt;=G85,AT$3&lt;H85),F85*MIN(12,E85-(AT$3-G85)*12)/E85,0))</f>
        <v>0</v>
      </c>
      <c r="AU23" s="44" t="n">
        <f aca="false">IF(OR(D85=0,E85=0,F85=0),0,IF(AND(AU$3&gt;=G85,AU$3&lt;H85),F85*MIN(12,E85-(AU$3-G85)*12)/E85,0))</f>
        <v>0</v>
      </c>
      <c r="AV23" s="44" t="n">
        <f aca="false">IF(OR(D85=0,E85=0,F85=0),0,IF(AND(AV$3&gt;=G85,AV$3&lt;H85),F85*MIN(12,E85-(AV$3-G85)*12)/E85,0))</f>
        <v>0</v>
      </c>
      <c r="AW23" s="44" t="n">
        <f aca="false">IF(OR(D85=0,E85=0,F85=0),0,IF(AND(AW$3&gt;=G85,AW$3&lt;H85),F85*MIN(12,E85-(AW$3-G85)*12)/E85,0))</f>
        <v>0</v>
      </c>
      <c r="AX23" s="44" t="n">
        <f aca="false">IF(OR(D85=0,E85=0,F85=0),0,IF(AND(AX$3&gt;=G85,AX$3&lt;H85),F85*MIN(12,E85-(AX$3-G85)*12)/E85,0))</f>
        <v>0</v>
      </c>
      <c r="AY23" s="44" t="n">
        <f aca="false">IF(OR(D85=0,E85=0,F85=0),0,IF(AND(AY$3&gt;=G85,AY$3&lt;H85),F85*MIN(12,E85-(AY$3-G85)*12)/E85,0))</f>
        <v>0</v>
      </c>
      <c r="AZ23" s="44" t="n">
        <f aca="false">IF(OR(D85=0,E85=0,F85=0),0,IF(AND(AZ$3&gt;=G85,AZ$3&lt;H85),F85*MIN(12,E85-(AZ$3-G85)*12)/E85,0))</f>
        <v>0</v>
      </c>
      <c r="BA23" s="44" t="n">
        <f aca="false">IF(OR(D85=0,E85=0,F85=0),0,IF(AND(BA$3&gt;=G85,BA$3&lt;H85),F85*MIN(12,E85-(BA$3-G85)*12)/E85,0))</f>
        <v>0</v>
      </c>
      <c r="BB23" s="44" t="n">
        <f aca="false">IF(OR(D85=0,E85=0,F85=0),0,IF(AND(BB$3&gt;=G85,BB$3&lt;H85),F85*MIN(12,E85-(BB$3-G85)*12)/E85,0))</f>
        <v>0</v>
      </c>
    </row>
    <row r="24" customFormat="false" ht="15" hidden="false" customHeight="true" outlineLevel="0" collapsed="false">
      <c r="A24" s="44" t="n">
        <f aca="false">A86</f>
        <v>21</v>
      </c>
      <c r="B24" s="44" t="str">
        <f aca="false">B86</f>
        <v>Shops / Cafes</v>
      </c>
      <c r="C24" s="44" t="str">
        <f aca="false">C86</f>
        <v>ZAN 3</v>
      </c>
      <c r="D24" s="44" t="n">
        <f aca="false">SUM(E24:BB24)</f>
        <v>3482325</v>
      </c>
      <c r="E24" s="44" t="n">
        <f aca="false">IF(OR(D86=0,E86=0,F86=0),0,IF(AND(E$3&gt;=G86,E$3&lt;H86),F86*MIN(12,E86-(E$3-G86)*12)/E86,0))</f>
        <v>0</v>
      </c>
      <c r="F24" s="44" t="n">
        <f aca="false">IF(OR(D86=0,E86=0,F86=0),0,IF(AND(F$3&gt;=G86,F$3&lt;H86),F86*MIN(12,E86-(F$3-G86)*12)/E86,0))</f>
        <v>0</v>
      </c>
      <c r="G24" s="44" t="n">
        <f aca="false">IF(OR(D86=0,E86=0,F86=0),0,IF(AND(G$3&gt;=G86,G$3&lt;H86),F86*MIN(12,E86-(G$3-G86)*12)/E86,0))</f>
        <v>0</v>
      </c>
      <c r="H24" s="44" t="n">
        <f aca="false">IF(OR(D86=0,E86=0,F86=0),0,IF(AND(H$3&gt;=G86,H$3&lt;H86),F86*MIN(12,E86-(H$3-G86)*12)/E86,0))</f>
        <v>0</v>
      </c>
      <c r="I24" s="44" t="n">
        <f aca="false">IF(OR(D86=0,E86=0,F86=0),0,IF(AND(I$3&gt;=G86,I$3&lt;H86),F86*MIN(12,E86-(I$3-G86)*12)/E86,0))</f>
        <v>2321550</v>
      </c>
      <c r="J24" s="44" t="n">
        <f aca="false">IF(OR(D86=0,E86=0,F86=0),0,IF(AND(J$3&gt;=G86,J$3&lt;H86),F86*MIN(12,E86-(J$3-G86)*12)/E86,0))</f>
        <v>1160775</v>
      </c>
      <c r="K24" s="44" t="n">
        <f aca="false">IF(OR(D86=0,E86=0,F86=0),0,IF(AND(K$3&gt;=G86,K$3&lt;H86),F86*MIN(12,E86-(K$3-G86)*12)/E86,0))</f>
        <v>0</v>
      </c>
      <c r="L24" s="44" t="n">
        <f aca="false">IF(OR(D86=0,E86=0,F86=0),0,IF(AND(L$3&gt;=G86,L$3&lt;H86),F86*MIN(12,E86-(L$3-G86)*12)/E86,0))</f>
        <v>0</v>
      </c>
      <c r="M24" s="44" t="n">
        <f aca="false">IF(OR(D86=0,E86=0,F86=0),0,IF(AND(M$3&gt;=G86,M$3&lt;H86),F86*MIN(12,E86-(M$3-G86)*12)/E86,0))</f>
        <v>0</v>
      </c>
      <c r="N24" s="44" t="n">
        <f aca="false">IF(OR(D86=0,E86=0,F86=0),0,IF(AND(N$3&gt;=G86,N$3&lt;H86),F86*MIN(12,E86-(N$3-G86)*12)/E86,0))</f>
        <v>0</v>
      </c>
      <c r="O24" s="44" t="n">
        <f aca="false">IF(OR(D86=0,E86=0,F86=0),0,IF(AND(O$3&gt;=G86,O$3&lt;H86),F86*MIN(12,E86-(O$3-G86)*12)/E86,0))</f>
        <v>0</v>
      </c>
      <c r="P24" s="44" t="n">
        <f aca="false">IF(OR(D86=0,E86=0,F86=0),0,IF(AND(P$3&gt;=G86,P$3&lt;H86),F86*MIN(12,E86-(P$3-G86)*12)/E86,0))</f>
        <v>0</v>
      </c>
      <c r="Q24" s="44" t="n">
        <f aca="false">IF(OR(D86=0,E86=0,F86=0),0,IF(AND(Q$3&gt;=G86,Q$3&lt;H86),F86*MIN(12,E86-(Q$3-G86)*12)/E86,0))</f>
        <v>0</v>
      </c>
      <c r="R24" s="44" t="n">
        <f aca="false">IF(OR(D86=0,E86=0,F86=0),0,IF(AND(R$3&gt;=G86,R$3&lt;H86),F86*MIN(12,E86-(R$3-G86)*12)/E86,0))</f>
        <v>0</v>
      </c>
      <c r="S24" s="44" t="n">
        <f aca="false">IF(OR(D86=0,E86=0,F86=0),0,IF(AND(S$3&gt;=G86,S$3&lt;H86),F86*MIN(12,E86-(S$3-G86)*12)/E86,0))</f>
        <v>0</v>
      </c>
      <c r="T24" s="44" t="n">
        <f aca="false">IF(OR(D86=0,E86=0,F86=0),0,IF(AND(T$3&gt;=G86,T$3&lt;H86),F86*MIN(12,E86-(T$3-G86)*12)/E86,0))</f>
        <v>0</v>
      </c>
      <c r="U24" s="44" t="n">
        <f aca="false">IF(OR(D86=0,E86=0,F86=0),0,IF(AND(U$3&gt;=G86,U$3&lt;H86),F86*MIN(12,E86-(U$3-G86)*12)/E86,0))</f>
        <v>0</v>
      </c>
      <c r="V24" s="44" t="n">
        <f aca="false">IF(OR(D86=0,E86=0,F86=0),0,IF(AND(V$3&gt;=G86,V$3&lt;H86),F86*MIN(12,E86-(V$3-G86)*12)/E86,0))</f>
        <v>0</v>
      </c>
      <c r="W24" s="44" t="n">
        <f aca="false">IF(OR(D86=0,E86=0,F86=0),0,IF(AND(W$3&gt;=G86,W$3&lt;H86),F86*MIN(12,E86-(W$3-G86)*12)/E86,0))</f>
        <v>0</v>
      </c>
      <c r="X24" s="44" t="n">
        <f aca="false">IF(OR(D86=0,E86=0,F86=0),0,IF(AND(X$3&gt;=G86,X$3&lt;H86),F86*MIN(12,E86-(X$3-G86)*12)/E86,0))</f>
        <v>0</v>
      </c>
      <c r="Y24" s="44" t="n">
        <f aca="false">IF(OR(D86=0,E86=0,F86=0),0,IF(AND(Y$3&gt;=G86,Y$3&lt;H86),F86*MIN(12,E86-(Y$3-G86)*12)/E86,0))</f>
        <v>0</v>
      </c>
      <c r="Z24" s="44" t="n">
        <f aca="false">IF(OR(D86=0,E86=0,F86=0),0,IF(AND(Z$3&gt;=G86,Z$3&lt;H86),F86*MIN(12,E86-(Z$3-G86)*12)/E86,0))</f>
        <v>0</v>
      </c>
      <c r="AA24" s="44" t="n">
        <f aca="false">IF(OR(D86=0,E86=0,F86=0),0,IF(AND(AA$3&gt;=G86,AA$3&lt;H86),F86*MIN(12,E86-(AA$3-G86)*12)/E86,0))</f>
        <v>0</v>
      </c>
      <c r="AB24" s="44" t="n">
        <f aca="false">IF(OR(D86=0,E86=0,F86=0),0,IF(AND(AB$3&gt;=G86,AB$3&lt;H86),F86*MIN(12,E86-(AB$3-G86)*12)/E86,0))</f>
        <v>0</v>
      </c>
      <c r="AC24" s="44" t="n">
        <f aca="false">IF(OR(D86=0,E86=0,F86=0),0,IF(AND(AC$3&gt;=G86,AC$3&lt;H86),F86*MIN(12,E86-(AC$3-G86)*12)/E86,0))</f>
        <v>0</v>
      </c>
      <c r="AD24" s="44" t="n">
        <f aca="false">IF(OR(D86=0,E86=0,F86=0),0,IF(AND(AD$3&gt;=G86,AD$3&lt;H86),F86*MIN(12,E86-(AD$3-G86)*12)/E86,0))</f>
        <v>0</v>
      </c>
      <c r="AE24" s="44" t="n">
        <f aca="false">IF(OR(D86=0,E86=0,F86=0),0,IF(AND(AE$3&gt;=G86,AE$3&lt;H86),F86*MIN(12,E86-(AE$3-G86)*12)/E86,0))</f>
        <v>0</v>
      </c>
      <c r="AF24" s="44" t="n">
        <f aca="false">IF(OR(D86=0,E86=0,F86=0),0,IF(AND(AF$3&gt;=G86,AF$3&lt;H86),F86*MIN(12,E86-(AF$3-G86)*12)/E86,0))</f>
        <v>0</v>
      </c>
      <c r="AG24" s="44" t="n">
        <f aca="false">IF(OR(D86=0,E86=0,F86=0),0,IF(AND(AG$3&gt;=G86,AG$3&lt;H86),F86*MIN(12,E86-(AG$3-G86)*12)/E86,0))</f>
        <v>0</v>
      </c>
      <c r="AH24" s="44" t="n">
        <f aca="false">IF(OR(D86=0,E86=0,F86=0),0,IF(AND(AH$3&gt;=G86,AH$3&lt;H86),F86*MIN(12,E86-(AH$3-G86)*12)/E86,0))</f>
        <v>0</v>
      </c>
      <c r="AI24" s="44" t="n">
        <f aca="false">IF(OR(D86=0,E86=0,F86=0),0,IF(AND(AI$3&gt;=G86,AI$3&lt;H86),F86*MIN(12,E86-(AI$3-G86)*12)/E86,0))</f>
        <v>0</v>
      </c>
      <c r="AJ24" s="44" t="n">
        <f aca="false">IF(OR(D86=0,E86=0,F86=0),0,IF(AND(AJ$3&gt;=G86,AJ$3&lt;H86),F86*MIN(12,E86-(AJ$3-G86)*12)/E86,0))</f>
        <v>0</v>
      </c>
      <c r="AK24" s="44" t="n">
        <f aca="false">IF(OR(D86=0,E86=0,F86=0),0,IF(AND(AK$3&gt;=G86,AK$3&lt;H86),F86*MIN(12,E86-(AK$3-G86)*12)/E86,0))</f>
        <v>0</v>
      </c>
      <c r="AL24" s="44" t="n">
        <f aca="false">IF(OR(D86=0,E86=0,F86=0),0,IF(AND(AL$3&gt;=G86,AL$3&lt;H86),F86*MIN(12,E86-(AL$3-G86)*12)/E86,0))</f>
        <v>0</v>
      </c>
      <c r="AM24" s="44" t="n">
        <f aca="false">IF(OR(D86=0,E86=0,F86=0),0,IF(AND(AM$3&gt;=G86,AM$3&lt;H86),F86*MIN(12,E86-(AM$3-G86)*12)/E86,0))</f>
        <v>0</v>
      </c>
      <c r="AN24" s="44" t="n">
        <f aca="false">IF(OR(D86=0,E86=0,F86=0),0,IF(AND(AN$3&gt;=G86,AN$3&lt;H86),F86*MIN(12,E86-(AN$3-G86)*12)/E86,0))</f>
        <v>0</v>
      </c>
      <c r="AO24" s="44" t="n">
        <f aca="false">IF(OR(D86=0,E86=0,F86=0),0,IF(AND(AO$3&gt;=G86,AO$3&lt;H86),F86*MIN(12,E86-(AO$3-G86)*12)/E86,0))</f>
        <v>0</v>
      </c>
      <c r="AP24" s="44" t="n">
        <f aca="false">IF(OR(D86=0,E86=0,F86=0),0,IF(AND(AP$3&gt;=G86,AP$3&lt;H86),F86*MIN(12,E86-(AP$3-G86)*12)/E86,0))</f>
        <v>0</v>
      </c>
      <c r="AQ24" s="44" t="n">
        <f aca="false">IF(OR(D86=0,E86=0,F86=0),0,IF(AND(AQ$3&gt;=G86,AQ$3&lt;H86),F86*MIN(12,E86-(AQ$3-G86)*12)/E86,0))</f>
        <v>0</v>
      </c>
      <c r="AR24" s="44" t="n">
        <f aca="false">IF(OR(D86=0,E86=0,F86=0),0,IF(AND(AR$3&gt;=G86,AR$3&lt;H86),F86*MIN(12,E86-(AR$3-G86)*12)/E86,0))</f>
        <v>0</v>
      </c>
      <c r="AS24" s="44" t="n">
        <f aca="false">IF(OR(D86=0,E86=0,F86=0),0,IF(AND(AS$3&gt;=G86,AS$3&lt;H86),F86*MIN(12,E86-(AS$3-G86)*12)/E86,0))</f>
        <v>0</v>
      </c>
      <c r="AT24" s="44" t="n">
        <f aca="false">IF(OR(D86=0,E86=0,F86=0),0,IF(AND(AT$3&gt;=G86,AT$3&lt;H86),F86*MIN(12,E86-(AT$3-G86)*12)/E86,0))</f>
        <v>0</v>
      </c>
      <c r="AU24" s="44" t="n">
        <f aca="false">IF(OR(D86=0,E86=0,F86=0),0,IF(AND(AU$3&gt;=G86,AU$3&lt;H86),F86*MIN(12,E86-(AU$3-G86)*12)/E86,0))</f>
        <v>0</v>
      </c>
      <c r="AV24" s="44" t="n">
        <f aca="false">IF(OR(D86=0,E86=0,F86=0),0,IF(AND(AV$3&gt;=G86,AV$3&lt;H86),F86*MIN(12,E86-(AV$3-G86)*12)/E86,0))</f>
        <v>0</v>
      </c>
      <c r="AW24" s="44" t="n">
        <f aca="false">IF(OR(D86=0,E86=0,F86=0),0,IF(AND(AW$3&gt;=G86,AW$3&lt;H86),F86*MIN(12,E86-(AW$3-G86)*12)/E86,0))</f>
        <v>0</v>
      </c>
      <c r="AX24" s="44" t="n">
        <f aca="false">IF(OR(D86=0,E86=0,F86=0),0,IF(AND(AX$3&gt;=G86,AX$3&lt;H86),F86*MIN(12,E86-(AX$3-G86)*12)/E86,0))</f>
        <v>0</v>
      </c>
      <c r="AY24" s="44" t="n">
        <f aca="false">IF(OR(D86=0,E86=0,F86=0),0,IF(AND(AY$3&gt;=G86,AY$3&lt;H86),F86*MIN(12,E86-(AY$3-G86)*12)/E86,0))</f>
        <v>0</v>
      </c>
      <c r="AZ24" s="44" t="n">
        <f aca="false">IF(OR(D86=0,E86=0,F86=0),0,IF(AND(AZ$3&gt;=G86,AZ$3&lt;H86),F86*MIN(12,E86-(AZ$3-G86)*12)/E86,0))</f>
        <v>0</v>
      </c>
      <c r="BA24" s="44" t="n">
        <f aca="false">IF(OR(D86=0,E86=0,F86=0),0,IF(AND(BA$3&gt;=G86,BA$3&lt;H86),F86*MIN(12,E86-(BA$3-G86)*12)/E86,0))</f>
        <v>0</v>
      </c>
      <c r="BB24" s="44" t="n">
        <f aca="false">IF(OR(D86=0,E86=0,F86=0),0,IF(AND(BB$3&gt;=G86,BB$3&lt;H86),F86*MIN(12,E86-(BB$3-G86)*12)/E86,0))</f>
        <v>0</v>
      </c>
    </row>
    <row r="25" customFormat="false" ht="15" hidden="false" customHeight="true" outlineLevel="0" collapsed="false">
      <c r="A25" s="44" t="n">
        <f aca="false">A87</f>
        <v>22</v>
      </c>
      <c r="B25" s="44" t="str">
        <f aca="false">B87</f>
        <v>Small Market</v>
      </c>
      <c r="C25" s="44" t="str">
        <f aca="false">C87</f>
        <v>ZAN 3</v>
      </c>
      <c r="D25" s="44" t="n">
        <f aca="false">SUM(E25:BB25)</f>
        <v>725340</v>
      </c>
      <c r="E25" s="44" t="n">
        <f aca="false">IF(OR(D87=0,E87=0,F87=0),0,IF(AND(E$3&gt;=G87,E$3&lt;H87),F87*MIN(12,E87-(E$3-G87)*12)/E87,0))</f>
        <v>0</v>
      </c>
      <c r="F25" s="44" t="n">
        <f aca="false">IF(OR(D87=0,E87=0,F87=0),0,IF(AND(F$3&gt;=G87,F$3&lt;H87),F87*MIN(12,E87-(F$3-G87)*12)/E87,0))</f>
        <v>0</v>
      </c>
      <c r="G25" s="44" t="n">
        <f aca="false">IF(OR(D87=0,E87=0,F87=0),0,IF(AND(G$3&gt;=G87,G$3&lt;H87),F87*MIN(12,E87-(G$3-G87)*12)/E87,0))</f>
        <v>0</v>
      </c>
      <c r="H25" s="44" t="n">
        <f aca="false">IF(OR(D87=0,E87=0,F87=0),0,IF(AND(H$3&gt;=G87,H$3&lt;H87),F87*MIN(12,E87-(H$3-G87)*12)/E87,0))</f>
        <v>0</v>
      </c>
      <c r="I25" s="44" t="n">
        <f aca="false">IF(OR(D87=0,E87=0,F87=0),0,IF(AND(I$3&gt;=G87,I$3&lt;H87),F87*MIN(12,E87-(I$3-G87)*12)/E87,0))</f>
        <v>483560</v>
      </c>
      <c r="J25" s="44" t="n">
        <f aca="false">IF(OR(D87=0,E87=0,F87=0),0,IF(AND(J$3&gt;=G87,J$3&lt;H87),F87*MIN(12,E87-(J$3-G87)*12)/E87,0))</f>
        <v>241780</v>
      </c>
      <c r="K25" s="44" t="n">
        <f aca="false">IF(OR(D87=0,E87=0,F87=0),0,IF(AND(K$3&gt;=G87,K$3&lt;H87),F87*MIN(12,E87-(K$3-G87)*12)/E87,0))</f>
        <v>0</v>
      </c>
      <c r="L25" s="44" t="n">
        <f aca="false">IF(OR(D87=0,E87=0,F87=0),0,IF(AND(L$3&gt;=G87,L$3&lt;H87),F87*MIN(12,E87-(L$3-G87)*12)/E87,0))</f>
        <v>0</v>
      </c>
      <c r="M25" s="44" t="n">
        <f aca="false">IF(OR(D87=0,E87=0,F87=0),0,IF(AND(M$3&gt;=G87,M$3&lt;H87),F87*MIN(12,E87-(M$3-G87)*12)/E87,0))</f>
        <v>0</v>
      </c>
      <c r="N25" s="44" t="n">
        <f aca="false">IF(OR(D87=0,E87=0,F87=0),0,IF(AND(N$3&gt;=G87,N$3&lt;H87),F87*MIN(12,E87-(N$3-G87)*12)/E87,0))</f>
        <v>0</v>
      </c>
      <c r="O25" s="44" t="n">
        <f aca="false">IF(OR(D87=0,E87=0,F87=0),0,IF(AND(O$3&gt;=G87,O$3&lt;H87),F87*MIN(12,E87-(O$3-G87)*12)/E87,0))</f>
        <v>0</v>
      </c>
      <c r="P25" s="44" t="n">
        <f aca="false">IF(OR(D87=0,E87=0,F87=0),0,IF(AND(P$3&gt;=G87,P$3&lt;H87),F87*MIN(12,E87-(P$3-G87)*12)/E87,0))</f>
        <v>0</v>
      </c>
      <c r="Q25" s="44" t="n">
        <f aca="false">IF(OR(D87=0,E87=0,F87=0),0,IF(AND(Q$3&gt;=G87,Q$3&lt;H87),F87*MIN(12,E87-(Q$3-G87)*12)/E87,0))</f>
        <v>0</v>
      </c>
      <c r="R25" s="44" t="n">
        <f aca="false">IF(OR(D87=0,E87=0,F87=0),0,IF(AND(R$3&gt;=G87,R$3&lt;H87),F87*MIN(12,E87-(R$3-G87)*12)/E87,0))</f>
        <v>0</v>
      </c>
      <c r="S25" s="44" t="n">
        <f aca="false">IF(OR(D87=0,E87=0,F87=0),0,IF(AND(S$3&gt;=G87,S$3&lt;H87),F87*MIN(12,E87-(S$3-G87)*12)/E87,0))</f>
        <v>0</v>
      </c>
      <c r="T25" s="44" t="n">
        <f aca="false">IF(OR(D87=0,E87=0,F87=0),0,IF(AND(T$3&gt;=G87,T$3&lt;H87),F87*MIN(12,E87-(T$3-G87)*12)/E87,0))</f>
        <v>0</v>
      </c>
      <c r="U25" s="44" t="n">
        <f aca="false">IF(OR(D87=0,E87=0,F87=0),0,IF(AND(U$3&gt;=G87,U$3&lt;H87),F87*MIN(12,E87-(U$3-G87)*12)/E87,0))</f>
        <v>0</v>
      </c>
      <c r="V25" s="44" t="n">
        <f aca="false">IF(OR(D87=0,E87=0,F87=0),0,IF(AND(V$3&gt;=G87,V$3&lt;H87),F87*MIN(12,E87-(V$3-G87)*12)/E87,0))</f>
        <v>0</v>
      </c>
      <c r="W25" s="44" t="n">
        <f aca="false">IF(OR(D87=0,E87=0,F87=0),0,IF(AND(W$3&gt;=G87,W$3&lt;H87),F87*MIN(12,E87-(W$3-G87)*12)/E87,0))</f>
        <v>0</v>
      </c>
      <c r="X25" s="44" t="n">
        <f aca="false">IF(OR(D87=0,E87=0,F87=0),0,IF(AND(X$3&gt;=G87,X$3&lt;H87),F87*MIN(12,E87-(X$3-G87)*12)/E87,0))</f>
        <v>0</v>
      </c>
      <c r="Y25" s="44" t="n">
        <f aca="false">IF(OR(D87=0,E87=0,F87=0),0,IF(AND(Y$3&gt;=G87,Y$3&lt;H87),F87*MIN(12,E87-(Y$3-G87)*12)/E87,0))</f>
        <v>0</v>
      </c>
      <c r="Z25" s="44" t="n">
        <f aca="false">IF(OR(D87=0,E87=0,F87=0),0,IF(AND(Z$3&gt;=G87,Z$3&lt;H87),F87*MIN(12,E87-(Z$3-G87)*12)/E87,0))</f>
        <v>0</v>
      </c>
      <c r="AA25" s="44" t="n">
        <f aca="false">IF(OR(D87=0,E87=0,F87=0),0,IF(AND(AA$3&gt;=G87,AA$3&lt;H87),F87*MIN(12,E87-(AA$3-G87)*12)/E87,0))</f>
        <v>0</v>
      </c>
      <c r="AB25" s="44" t="n">
        <f aca="false">IF(OR(D87=0,E87=0,F87=0),0,IF(AND(AB$3&gt;=G87,AB$3&lt;H87),F87*MIN(12,E87-(AB$3-G87)*12)/E87,0))</f>
        <v>0</v>
      </c>
      <c r="AC25" s="44" t="n">
        <f aca="false">IF(OR(D87=0,E87=0,F87=0),0,IF(AND(AC$3&gt;=G87,AC$3&lt;H87),F87*MIN(12,E87-(AC$3-G87)*12)/E87,0))</f>
        <v>0</v>
      </c>
      <c r="AD25" s="44" t="n">
        <f aca="false">IF(OR(D87=0,E87=0,F87=0),0,IF(AND(AD$3&gt;=G87,AD$3&lt;H87),F87*MIN(12,E87-(AD$3-G87)*12)/E87,0))</f>
        <v>0</v>
      </c>
      <c r="AE25" s="44" t="n">
        <f aca="false">IF(OR(D87=0,E87=0,F87=0),0,IF(AND(AE$3&gt;=G87,AE$3&lt;H87),F87*MIN(12,E87-(AE$3-G87)*12)/E87,0))</f>
        <v>0</v>
      </c>
      <c r="AF25" s="44" t="n">
        <f aca="false">IF(OR(D87=0,E87=0,F87=0),0,IF(AND(AF$3&gt;=G87,AF$3&lt;H87),F87*MIN(12,E87-(AF$3-G87)*12)/E87,0))</f>
        <v>0</v>
      </c>
      <c r="AG25" s="44" t="n">
        <f aca="false">IF(OR(D87=0,E87=0,F87=0),0,IF(AND(AG$3&gt;=G87,AG$3&lt;H87),F87*MIN(12,E87-(AG$3-G87)*12)/E87,0))</f>
        <v>0</v>
      </c>
      <c r="AH25" s="44" t="n">
        <f aca="false">IF(OR(D87=0,E87=0,F87=0),0,IF(AND(AH$3&gt;=G87,AH$3&lt;H87),F87*MIN(12,E87-(AH$3-G87)*12)/E87,0))</f>
        <v>0</v>
      </c>
      <c r="AI25" s="44" t="n">
        <f aca="false">IF(OR(D87=0,E87=0,F87=0),0,IF(AND(AI$3&gt;=G87,AI$3&lt;H87),F87*MIN(12,E87-(AI$3-G87)*12)/E87,0))</f>
        <v>0</v>
      </c>
      <c r="AJ25" s="44" t="n">
        <f aca="false">IF(OR(D87=0,E87=0,F87=0),0,IF(AND(AJ$3&gt;=G87,AJ$3&lt;H87),F87*MIN(12,E87-(AJ$3-G87)*12)/E87,0))</f>
        <v>0</v>
      </c>
      <c r="AK25" s="44" t="n">
        <f aca="false">IF(OR(D87=0,E87=0,F87=0),0,IF(AND(AK$3&gt;=G87,AK$3&lt;H87),F87*MIN(12,E87-(AK$3-G87)*12)/E87,0))</f>
        <v>0</v>
      </c>
      <c r="AL25" s="44" t="n">
        <f aca="false">IF(OR(D87=0,E87=0,F87=0),0,IF(AND(AL$3&gt;=G87,AL$3&lt;H87),F87*MIN(12,E87-(AL$3-G87)*12)/E87,0))</f>
        <v>0</v>
      </c>
      <c r="AM25" s="44" t="n">
        <f aca="false">IF(OR(D87=0,E87=0,F87=0),0,IF(AND(AM$3&gt;=G87,AM$3&lt;H87),F87*MIN(12,E87-(AM$3-G87)*12)/E87,0))</f>
        <v>0</v>
      </c>
      <c r="AN25" s="44" t="n">
        <f aca="false">IF(OR(D87=0,E87=0,F87=0),0,IF(AND(AN$3&gt;=G87,AN$3&lt;H87),F87*MIN(12,E87-(AN$3-G87)*12)/E87,0))</f>
        <v>0</v>
      </c>
      <c r="AO25" s="44" t="n">
        <f aca="false">IF(OR(D87=0,E87=0,F87=0),0,IF(AND(AO$3&gt;=G87,AO$3&lt;H87),F87*MIN(12,E87-(AO$3-G87)*12)/E87,0))</f>
        <v>0</v>
      </c>
      <c r="AP25" s="44" t="n">
        <f aca="false">IF(OR(D87=0,E87=0,F87=0),0,IF(AND(AP$3&gt;=G87,AP$3&lt;H87),F87*MIN(12,E87-(AP$3-G87)*12)/E87,0))</f>
        <v>0</v>
      </c>
      <c r="AQ25" s="44" t="n">
        <f aca="false">IF(OR(D87=0,E87=0,F87=0),0,IF(AND(AQ$3&gt;=G87,AQ$3&lt;H87),F87*MIN(12,E87-(AQ$3-G87)*12)/E87,0))</f>
        <v>0</v>
      </c>
      <c r="AR25" s="44" t="n">
        <f aca="false">IF(OR(D87=0,E87=0,F87=0),0,IF(AND(AR$3&gt;=G87,AR$3&lt;H87),F87*MIN(12,E87-(AR$3-G87)*12)/E87,0))</f>
        <v>0</v>
      </c>
      <c r="AS25" s="44" t="n">
        <f aca="false">IF(OR(D87=0,E87=0,F87=0),0,IF(AND(AS$3&gt;=G87,AS$3&lt;H87),F87*MIN(12,E87-(AS$3-G87)*12)/E87,0))</f>
        <v>0</v>
      </c>
      <c r="AT25" s="44" t="n">
        <f aca="false">IF(OR(D87=0,E87=0,F87=0),0,IF(AND(AT$3&gt;=G87,AT$3&lt;H87),F87*MIN(12,E87-(AT$3-G87)*12)/E87,0))</f>
        <v>0</v>
      </c>
      <c r="AU25" s="44" t="n">
        <f aca="false">IF(OR(D87=0,E87=0,F87=0),0,IF(AND(AU$3&gt;=G87,AU$3&lt;H87),F87*MIN(12,E87-(AU$3-G87)*12)/E87,0))</f>
        <v>0</v>
      </c>
      <c r="AV25" s="44" t="n">
        <f aca="false">IF(OR(D87=0,E87=0,F87=0),0,IF(AND(AV$3&gt;=G87,AV$3&lt;H87),F87*MIN(12,E87-(AV$3-G87)*12)/E87,0))</f>
        <v>0</v>
      </c>
      <c r="AW25" s="44" t="n">
        <f aca="false">IF(OR(D87=0,E87=0,F87=0),0,IF(AND(AW$3&gt;=G87,AW$3&lt;H87),F87*MIN(12,E87-(AW$3-G87)*12)/E87,0))</f>
        <v>0</v>
      </c>
      <c r="AX25" s="44" t="n">
        <f aca="false">IF(OR(D87=0,E87=0,F87=0),0,IF(AND(AX$3&gt;=G87,AX$3&lt;H87),F87*MIN(12,E87-(AX$3-G87)*12)/E87,0))</f>
        <v>0</v>
      </c>
      <c r="AY25" s="44" t="n">
        <f aca="false">IF(OR(D87=0,E87=0,F87=0),0,IF(AND(AY$3&gt;=G87,AY$3&lt;H87),F87*MIN(12,E87-(AY$3-G87)*12)/E87,0))</f>
        <v>0</v>
      </c>
      <c r="AZ25" s="44" t="n">
        <f aca="false">IF(OR(D87=0,E87=0,F87=0),0,IF(AND(AZ$3&gt;=G87,AZ$3&lt;H87),F87*MIN(12,E87-(AZ$3-G87)*12)/E87,0))</f>
        <v>0</v>
      </c>
      <c r="BA25" s="44" t="n">
        <f aca="false">IF(OR(D87=0,E87=0,F87=0),0,IF(AND(BA$3&gt;=G87,BA$3&lt;H87),F87*MIN(12,E87-(BA$3-G87)*12)/E87,0))</f>
        <v>0</v>
      </c>
      <c r="BB25" s="44" t="n">
        <f aca="false">IF(OR(D87=0,E87=0,F87=0),0,IF(AND(BB$3&gt;=G87,BB$3&lt;H87),F87*MIN(12,E87-(BB$3-G87)*12)/E87,0))</f>
        <v>0</v>
      </c>
    </row>
    <row r="26" customFormat="false" ht="15" hidden="false" customHeight="true" outlineLevel="0" collapsed="false">
      <c r="A26" s="44" t="n">
        <f aca="false">A88</f>
        <v>23</v>
      </c>
      <c r="B26" s="44" t="str">
        <f aca="false">B88</f>
        <v>Small Pavilions / Shops</v>
      </c>
      <c r="C26" s="44" t="str">
        <f aca="false">C88</f>
        <v>ZAN 3</v>
      </c>
      <c r="D26" s="44" t="n">
        <f aca="false">SUM(E26:BB26)</f>
        <v>8757210</v>
      </c>
      <c r="E26" s="44" t="n">
        <f aca="false">IF(OR(D88=0,E88=0,F88=0),0,IF(AND(E$3&gt;=G88,E$3&lt;H88),F88*MIN(12,E88-(E$3-G88)*12)/E88,0))</f>
        <v>0</v>
      </c>
      <c r="F26" s="44" t="n">
        <f aca="false">IF(OR(D88=0,E88=0,F88=0),0,IF(AND(F$3&gt;=G88,F$3&lt;H88),F88*MIN(12,E88-(F$3-G88)*12)/E88,0))</f>
        <v>0</v>
      </c>
      <c r="G26" s="44" t="n">
        <f aca="false">IF(OR(D88=0,E88=0,F88=0),0,IF(AND(G$3&gt;=G88,G$3&lt;H88),F88*MIN(12,E88-(G$3-G88)*12)/E88,0))</f>
        <v>0</v>
      </c>
      <c r="H26" s="44" t="n">
        <f aca="false">IF(OR(D88=0,E88=0,F88=0),0,IF(AND(H$3&gt;=G88,H$3&lt;H88),F88*MIN(12,E88-(H$3-G88)*12)/E88,0))</f>
        <v>0</v>
      </c>
      <c r="I26" s="44" t="n">
        <f aca="false">IF(OR(D88=0,E88=0,F88=0),0,IF(AND(I$3&gt;=G88,I$3&lt;H88),F88*MIN(12,E88-(I$3-G88)*12)/E88,0))</f>
        <v>5838140</v>
      </c>
      <c r="J26" s="44" t="n">
        <f aca="false">IF(OR(D88=0,E88=0,F88=0),0,IF(AND(J$3&gt;=G88,J$3&lt;H88),F88*MIN(12,E88-(J$3-G88)*12)/E88,0))</f>
        <v>2919070</v>
      </c>
      <c r="K26" s="44" t="n">
        <f aca="false">IF(OR(D88=0,E88=0,F88=0),0,IF(AND(K$3&gt;=G88,K$3&lt;H88),F88*MIN(12,E88-(K$3-G88)*12)/E88,0))</f>
        <v>0</v>
      </c>
      <c r="L26" s="44" t="n">
        <f aca="false">IF(OR(D88=0,E88=0,F88=0),0,IF(AND(L$3&gt;=G88,L$3&lt;H88),F88*MIN(12,E88-(L$3-G88)*12)/E88,0))</f>
        <v>0</v>
      </c>
      <c r="M26" s="44" t="n">
        <f aca="false">IF(OR(D88=0,E88=0,F88=0),0,IF(AND(M$3&gt;=G88,M$3&lt;H88),F88*MIN(12,E88-(M$3-G88)*12)/E88,0))</f>
        <v>0</v>
      </c>
      <c r="N26" s="44" t="n">
        <f aca="false">IF(OR(D88=0,E88=0,F88=0),0,IF(AND(N$3&gt;=G88,N$3&lt;H88),F88*MIN(12,E88-(N$3-G88)*12)/E88,0))</f>
        <v>0</v>
      </c>
      <c r="O26" s="44" t="n">
        <f aca="false">IF(OR(D88=0,E88=0,F88=0),0,IF(AND(O$3&gt;=G88,O$3&lt;H88),F88*MIN(12,E88-(O$3-G88)*12)/E88,0))</f>
        <v>0</v>
      </c>
      <c r="P26" s="44" t="n">
        <f aca="false">IF(OR(D88=0,E88=0,F88=0),0,IF(AND(P$3&gt;=G88,P$3&lt;H88),F88*MIN(12,E88-(P$3-G88)*12)/E88,0))</f>
        <v>0</v>
      </c>
      <c r="Q26" s="44" t="n">
        <f aca="false">IF(OR(D88=0,E88=0,F88=0),0,IF(AND(Q$3&gt;=G88,Q$3&lt;H88),F88*MIN(12,E88-(Q$3-G88)*12)/E88,0))</f>
        <v>0</v>
      </c>
      <c r="R26" s="44" t="n">
        <f aca="false">IF(OR(D88=0,E88=0,F88=0),0,IF(AND(R$3&gt;=G88,R$3&lt;H88),F88*MIN(12,E88-(R$3-G88)*12)/E88,0))</f>
        <v>0</v>
      </c>
      <c r="S26" s="44" t="n">
        <f aca="false">IF(OR(D88=0,E88=0,F88=0),0,IF(AND(S$3&gt;=G88,S$3&lt;H88),F88*MIN(12,E88-(S$3-G88)*12)/E88,0))</f>
        <v>0</v>
      </c>
      <c r="T26" s="44" t="n">
        <f aca="false">IF(OR(D88=0,E88=0,F88=0),0,IF(AND(T$3&gt;=G88,T$3&lt;H88),F88*MIN(12,E88-(T$3-G88)*12)/E88,0))</f>
        <v>0</v>
      </c>
      <c r="U26" s="44" t="n">
        <f aca="false">IF(OR(D88=0,E88=0,F88=0),0,IF(AND(U$3&gt;=G88,U$3&lt;H88),F88*MIN(12,E88-(U$3-G88)*12)/E88,0))</f>
        <v>0</v>
      </c>
      <c r="V26" s="44" t="n">
        <f aca="false">IF(OR(D88=0,E88=0,F88=0),0,IF(AND(V$3&gt;=G88,V$3&lt;H88),F88*MIN(12,E88-(V$3-G88)*12)/E88,0))</f>
        <v>0</v>
      </c>
      <c r="W26" s="44" t="n">
        <f aca="false">IF(OR(D88=0,E88=0,F88=0),0,IF(AND(W$3&gt;=G88,W$3&lt;H88),F88*MIN(12,E88-(W$3-G88)*12)/E88,0))</f>
        <v>0</v>
      </c>
      <c r="X26" s="44" t="n">
        <f aca="false">IF(OR(D88=0,E88=0,F88=0),0,IF(AND(X$3&gt;=G88,X$3&lt;H88),F88*MIN(12,E88-(X$3-G88)*12)/E88,0))</f>
        <v>0</v>
      </c>
      <c r="Y26" s="44" t="n">
        <f aca="false">IF(OR(D88=0,E88=0,F88=0),0,IF(AND(Y$3&gt;=G88,Y$3&lt;H88),F88*MIN(12,E88-(Y$3-G88)*12)/E88,0))</f>
        <v>0</v>
      </c>
      <c r="Z26" s="44" t="n">
        <f aca="false">IF(OR(D88=0,E88=0,F88=0),0,IF(AND(Z$3&gt;=G88,Z$3&lt;H88),F88*MIN(12,E88-(Z$3-G88)*12)/E88,0))</f>
        <v>0</v>
      </c>
      <c r="AA26" s="44" t="n">
        <f aca="false">IF(OR(D88=0,E88=0,F88=0),0,IF(AND(AA$3&gt;=G88,AA$3&lt;H88),F88*MIN(12,E88-(AA$3-G88)*12)/E88,0))</f>
        <v>0</v>
      </c>
      <c r="AB26" s="44" t="n">
        <f aca="false">IF(OR(D88=0,E88=0,F88=0),0,IF(AND(AB$3&gt;=G88,AB$3&lt;H88),F88*MIN(12,E88-(AB$3-G88)*12)/E88,0))</f>
        <v>0</v>
      </c>
      <c r="AC26" s="44" t="n">
        <f aca="false">IF(OR(D88=0,E88=0,F88=0),0,IF(AND(AC$3&gt;=G88,AC$3&lt;H88),F88*MIN(12,E88-(AC$3-G88)*12)/E88,0))</f>
        <v>0</v>
      </c>
      <c r="AD26" s="44" t="n">
        <f aca="false">IF(OR(D88=0,E88=0,F88=0),0,IF(AND(AD$3&gt;=G88,AD$3&lt;H88),F88*MIN(12,E88-(AD$3-G88)*12)/E88,0))</f>
        <v>0</v>
      </c>
      <c r="AE26" s="44" t="n">
        <f aca="false">IF(OR(D88=0,E88=0,F88=0),0,IF(AND(AE$3&gt;=G88,AE$3&lt;H88),F88*MIN(12,E88-(AE$3-G88)*12)/E88,0))</f>
        <v>0</v>
      </c>
      <c r="AF26" s="44" t="n">
        <f aca="false">IF(OR(D88=0,E88=0,F88=0),0,IF(AND(AF$3&gt;=G88,AF$3&lt;H88),F88*MIN(12,E88-(AF$3-G88)*12)/E88,0))</f>
        <v>0</v>
      </c>
      <c r="AG26" s="44" t="n">
        <f aca="false">IF(OR(D88=0,E88=0,F88=0),0,IF(AND(AG$3&gt;=G88,AG$3&lt;H88),F88*MIN(12,E88-(AG$3-G88)*12)/E88,0))</f>
        <v>0</v>
      </c>
      <c r="AH26" s="44" t="n">
        <f aca="false">IF(OR(D88=0,E88=0,F88=0),0,IF(AND(AH$3&gt;=G88,AH$3&lt;H88),F88*MIN(12,E88-(AH$3-G88)*12)/E88,0))</f>
        <v>0</v>
      </c>
      <c r="AI26" s="44" t="n">
        <f aca="false">IF(OR(D88=0,E88=0,F88=0),0,IF(AND(AI$3&gt;=G88,AI$3&lt;H88),F88*MIN(12,E88-(AI$3-G88)*12)/E88,0))</f>
        <v>0</v>
      </c>
      <c r="AJ26" s="44" t="n">
        <f aca="false">IF(OR(D88=0,E88=0,F88=0),0,IF(AND(AJ$3&gt;=G88,AJ$3&lt;H88),F88*MIN(12,E88-(AJ$3-G88)*12)/E88,0))</f>
        <v>0</v>
      </c>
      <c r="AK26" s="44" t="n">
        <f aca="false">IF(OR(D88=0,E88=0,F88=0),0,IF(AND(AK$3&gt;=G88,AK$3&lt;H88),F88*MIN(12,E88-(AK$3-G88)*12)/E88,0))</f>
        <v>0</v>
      </c>
      <c r="AL26" s="44" t="n">
        <f aca="false">IF(OR(D88=0,E88=0,F88=0),0,IF(AND(AL$3&gt;=G88,AL$3&lt;H88),F88*MIN(12,E88-(AL$3-G88)*12)/E88,0))</f>
        <v>0</v>
      </c>
      <c r="AM26" s="44" t="n">
        <f aca="false">IF(OR(D88=0,E88=0,F88=0),0,IF(AND(AM$3&gt;=G88,AM$3&lt;H88),F88*MIN(12,E88-(AM$3-G88)*12)/E88,0))</f>
        <v>0</v>
      </c>
      <c r="AN26" s="44" t="n">
        <f aca="false">IF(OR(D88=0,E88=0,F88=0),0,IF(AND(AN$3&gt;=G88,AN$3&lt;H88),F88*MIN(12,E88-(AN$3-G88)*12)/E88,0))</f>
        <v>0</v>
      </c>
      <c r="AO26" s="44" t="n">
        <f aca="false">IF(OR(D88=0,E88=0,F88=0),0,IF(AND(AO$3&gt;=G88,AO$3&lt;H88),F88*MIN(12,E88-(AO$3-G88)*12)/E88,0))</f>
        <v>0</v>
      </c>
      <c r="AP26" s="44" t="n">
        <f aca="false">IF(OR(D88=0,E88=0,F88=0),0,IF(AND(AP$3&gt;=G88,AP$3&lt;H88),F88*MIN(12,E88-(AP$3-G88)*12)/E88,0))</f>
        <v>0</v>
      </c>
      <c r="AQ26" s="44" t="n">
        <f aca="false">IF(OR(D88=0,E88=0,F88=0),0,IF(AND(AQ$3&gt;=G88,AQ$3&lt;H88),F88*MIN(12,E88-(AQ$3-G88)*12)/E88,0))</f>
        <v>0</v>
      </c>
      <c r="AR26" s="44" t="n">
        <f aca="false">IF(OR(D88=0,E88=0,F88=0),0,IF(AND(AR$3&gt;=G88,AR$3&lt;H88),F88*MIN(12,E88-(AR$3-G88)*12)/E88,0))</f>
        <v>0</v>
      </c>
      <c r="AS26" s="44" t="n">
        <f aca="false">IF(OR(D88=0,E88=0,F88=0),0,IF(AND(AS$3&gt;=G88,AS$3&lt;H88),F88*MIN(12,E88-(AS$3-G88)*12)/E88,0))</f>
        <v>0</v>
      </c>
      <c r="AT26" s="44" t="n">
        <f aca="false">IF(OR(D88=0,E88=0,F88=0),0,IF(AND(AT$3&gt;=G88,AT$3&lt;H88),F88*MIN(12,E88-(AT$3-G88)*12)/E88,0))</f>
        <v>0</v>
      </c>
      <c r="AU26" s="44" t="n">
        <f aca="false">IF(OR(D88=0,E88=0,F88=0),0,IF(AND(AU$3&gt;=G88,AU$3&lt;H88),F88*MIN(12,E88-(AU$3-G88)*12)/E88,0))</f>
        <v>0</v>
      </c>
      <c r="AV26" s="44" t="n">
        <f aca="false">IF(OR(D88=0,E88=0,F88=0),0,IF(AND(AV$3&gt;=G88,AV$3&lt;H88),F88*MIN(12,E88-(AV$3-G88)*12)/E88,0))</f>
        <v>0</v>
      </c>
      <c r="AW26" s="44" t="n">
        <f aca="false">IF(OR(D88=0,E88=0,F88=0),0,IF(AND(AW$3&gt;=G88,AW$3&lt;H88),F88*MIN(12,E88-(AW$3-G88)*12)/E88,0))</f>
        <v>0</v>
      </c>
      <c r="AX26" s="44" t="n">
        <f aca="false">IF(OR(D88=0,E88=0,F88=0),0,IF(AND(AX$3&gt;=G88,AX$3&lt;H88),F88*MIN(12,E88-(AX$3-G88)*12)/E88,0))</f>
        <v>0</v>
      </c>
      <c r="AY26" s="44" t="n">
        <f aca="false">IF(OR(D88=0,E88=0,F88=0),0,IF(AND(AY$3&gt;=G88,AY$3&lt;H88),F88*MIN(12,E88-(AY$3-G88)*12)/E88,0))</f>
        <v>0</v>
      </c>
      <c r="AZ26" s="44" t="n">
        <f aca="false">IF(OR(D88=0,E88=0,F88=0),0,IF(AND(AZ$3&gt;=G88,AZ$3&lt;H88),F88*MIN(12,E88-(AZ$3-G88)*12)/E88,0))</f>
        <v>0</v>
      </c>
      <c r="BA26" s="44" t="n">
        <f aca="false">IF(OR(D88=0,E88=0,F88=0),0,IF(AND(BA$3&gt;=G88,BA$3&lt;H88),F88*MIN(12,E88-(BA$3-G88)*12)/E88,0))</f>
        <v>0</v>
      </c>
      <c r="BB26" s="44" t="n">
        <f aca="false">IF(OR(D88=0,E88=0,F88=0),0,IF(AND(BB$3&gt;=G88,BB$3&lt;H88),F88*MIN(12,E88-(BB$3-G88)*12)/E88,0))</f>
        <v>0</v>
      </c>
    </row>
    <row r="27" customFormat="false" ht="15" hidden="false" customHeight="true" outlineLevel="0" collapsed="false">
      <c r="A27" s="44" t="n">
        <f aca="false">A89</f>
        <v>24</v>
      </c>
      <c r="B27" s="44" t="str">
        <f aca="false">B89</f>
        <v>Flexible Block</v>
      </c>
      <c r="C27" s="44" t="str">
        <f aca="false">C89</f>
        <v>ZAN 3</v>
      </c>
      <c r="D27" s="44" t="n">
        <f aca="false">SUM(E27:BB27)</f>
        <v>83847918</v>
      </c>
      <c r="E27" s="44" t="n">
        <f aca="false">IF(OR(D89=0,E89=0,F89=0),0,IF(AND(E$3&gt;=G89,E$3&lt;H89),F89*MIN(12,E89-(E$3-G89)*12)/E89,0))</f>
        <v>0</v>
      </c>
      <c r="F27" s="44" t="n">
        <f aca="false">IF(OR(D89=0,E89=0,F89=0),0,IF(AND(F$3&gt;=G89,F$3&lt;H89),F89*MIN(12,E89-(F$3-G89)*12)/E89,0))</f>
        <v>0</v>
      </c>
      <c r="G27" s="44" t="n">
        <f aca="false">IF(OR(D89=0,E89=0,F89=0),0,IF(AND(G$3&gt;=G89,G$3&lt;H89),F89*MIN(12,E89-(G$3-G89)*12)/E89,0))</f>
        <v>0</v>
      </c>
      <c r="H27" s="44" t="n">
        <f aca="false">IF(OR(D89=0,E89=0,F89=0),0,IF(AND(H$3&gt;=G89,H$3&lt;H89),F89*MIN(12,E89-(H$3-G89)*12)/E89,0))</f>
        <v>0</v>
      </c>
      <c r="I27" s="44" t="n">
        <f aca="false">IF(OR(D89=0,E89=0,F89=0),0,IF(AND(I$3&gt;=G89,I$3&lt;H89),F89*MIN(12,E89-(I$3-G89)*12)/E89,0))</f>
        <v>33539167.2</v>
      </c>
      <c r="J27" s="44" t="n">
        <f aca="false">IF(OR(D89=0,E89=0,F89=0),0,IF(AND(J$3&gt;=G89,J$3&lt;H89),F89*MIN(12,E89-(J$3-G89)*12)/E89,0))</f>
        <v>33539167.2</v>
      </c>
      <c r="K27" s="44" t="n">
        <f aca="false">IF(OR(D89=0,E89=0,F89=0),0,IF(AND(K$3&gt;=G89,K$3&lt;H89),F89*MIN(12,E89-(K$3-G89)*12)/E89,0))</f>
        <v>16769583.6</v>
      </c>
      <c r="L27" s="44" t="n">
        <f aca="false">IF(OR(D89=0,E89=0,F89=0),0,IF(AND(L$3&gt;=G89,L$3&lt;H89),F89*MIN(12,E89-(L$3-G89)*12)/E89,0))</f>
        <v>0</v>
      </c>
      <c r="M27" s="44" t="n">
        <f aca="false">IF(OR(D89=0,E89=0,F89=0),0,IF(AND(M$3&gt;=G89,M$3&lt;H89),F89*MIN(12,E89-(M$3-G89)*12)/E89,0))</f>
        <v>0</v>
      </c>
      <c r="N27" s="44" t="n">
        <f aca="false">IF(OR(D89=0,E89=0,F89=0),0,IF(AND(N$3&gt;=G89,N$3&lt;H89),F89*MIN(12,E89-(N$3-G89)*12)/E89,0))</f>
        <v>0</v>
      </c>
      <c r="O27" s="44" t="n">
        <f aca="false">IF(OR(D89=0,E89=0,F89=0),0,IF(AND(O$3&gt;=G89,O$3&lt;H89),F89*MIN(12,E89-(O$3-G89)*12)/E89,0))</f>
        <v>0</v>
      </c>
      <c r="P27" s="44" t="n">
        <f aca="false">IF(OR(D89=0,E89=0,F89=0),0,IF(AND(P$3&gt;=G89,P$3&lt;H89),F89*MIN(12,E89-(P$3-G89)*12)/E89,0))</f>
        <v>0</v>
      </c>
      <c r="Q27" s="44" t="n">
        <f aca="false">IF(OR(D89=0,E89=0,F89=0),0,IF(AND(Q$3&gt;=G89,Q$3&lt;H89),F89*MIN(12,E89-(Q$3-G89)*12)/E89,0))</f>
        <v>0</v>
      </c>
      <c r="R27" s="44" t="n">
        <f aca="false">IF(OR(D89=0,E89=0,F89=0),0,IF(AND(R$3&gt;=G89,R$3&lt;H89),F89*MIN(12,E89-(R$3-G89)*12)/E89,0))</f>
        <v>0</v>
      </c>
      <c r="S27" s="44" t="n">
        <f aca="false">IF(OR(D89=0,E89=0,F89=0),0,IF(AND(S$3&gt;=G89,S$3&lt;H89),F89*MIN(12,E89-(S$3-G89)*12)/E89,0))</f>
        <v>0</v>
      </c>
      <c r="T27" s="44" t="n">
        <f aca="false">IF(OR(D89=0,E89=0,F89=0),0,IF(AND(T$3&gt;=G89,T$3&lt;H89),F89*MIN(12,E89-(T$3-G89)*12)/E89,0))</f>
        <v>0</v>
      </c>
      <c r="U27" s="44" t="n">
        <f aca="false">IF(OR(D89=0,E89=0,F89=0),0,IF(AND(U$3&gt;=G89,U$3&lt;H89),F89*MIN(12,E89-(U$3-G89)*12)/E89,0))</f>
        <v>0</v>
      </c>
      <c r="V27" s="44" t="n">
        <f aca="false">IF(OR(D89=0,E89=0,F89=0),0,IF(AND(V$3&gt;=G89,V$3&lt;H89),F89*MIN(12,E89-(V$3-G89)*12)/E89,0))</f>
        <v>0</v>
      </c>
      <c r="W27" s="44" t="n">
        <f aca="false">IF(OR(D89=0,E89=0,F89=0),0,IF(AND(W$3&gt;=G89,W$3&lt;H89),F89*MIN(12,E89-(W$3-G89)*12)/E89,0))</f>
        <v>0</v>
      </c>
      <c r="X27" s="44" t="n">
        <f aca="false">IF(OR(D89=0,E89=0,F89=0),0,IF(AND(X$3&gt;=G89,X$3&lt;H89),F89*MIN(12,E89-(X$3-G89)*12)/E89,0))</f>
        <v>0</v>
      </c>
      <c r="Y27" s="44" t="n">
        <f aca="false">IF(OR(D89=0,E89=0,F89=0),0,IF(AND(Y$3&gt;=G89,Y$3&lt;H89),F89*MIN(12,E89-(Y$3-G89)*12)/E89,0))</f>
        <v>0</v>
      </c>
      <c r="Z27" s="44" t="n">
        <f aca="false">IF(OR(D89=0,E89=0,F89=0),0,IF(AND(Z$3&gt;=G89,Z$3&lt;H89),F89*MIN(12,E89-(Z$3-G89)*12)/E89,0))</f>
        <v>0</v>
      </c>
      <c r="AA27" s="44" t="n">
        <f aca="false">IF(OR(D89=0,E89=0,F89=0),0,IF(AND(AA$3&gt;=G89,AA$3&lt;H89),F89*MIN(12,E89-(AA$3-G89)*12)/E89,0))</f>
        <v>0</v>
      </c>
      <c r="AB27" s="44" t="n">
        <f aca="false">IF(OR(D89=0,E89=0,F89=0),0,IF(AND(AB$3&gt;=G89,AB$3&lt;H89),F89*MIN(12,E89-(AB$3-G89)*12)/E89,0))</f>
        <v>0</v>
      </c>
      <c r="AC27" s="44" t="n">
        <f aca="false">IF(OR(D89=0,E89=0,F89=0),0,IF(AND(AC$3&gt;=G89,AC$3&lt;H89),F89*MIN(12,E89-(AC$3-G89)*12)/E89,0))</f>
        <v>0</v>
      </c>
      <c r="AD27" s="44" t="n">
        <f aca="false">IF(OR(D89=0,E89=0,F89=0),0,IF(AND(AD$3&gt;=G89,AD$3&lt;H89),F89*MIN(12,E89-(AD$3-G89)*12)/E89,0))</f>
        <v>0</v>
      </c>
      <c r="AE27" s="44" t="n">
        <f aca="false">IF(OR(D89=0,E89=0,F89=0),0,IF(AND(AE$3&gt;=G89,AE$3&lt;H89),F89*MIN(12,E89-(AE$3-G89)*12)/E89,0))</f>
        <v>0</v>
      </c>
      <c r="AF27" s="44" t="n">
        <f aca="false">IF(OR(D89=0,E89=0,F89=0),0,IF(AND(AF$3&gt;=G89,AF$3&lt;H89),F89*MIN(12,E89-(AF$3-G89)*12)/E89,0))</f>
        <v>0</v>
      </c>
      <c r="AG27" s="44" t="n">
        <f aca="false">IF(OR(D89=0,E89=0,F89=0),0,IF(AND(AG$3&gt;=G89,AG$3&lt;H89),F89*MIN(12,E89-(AG$3-G89)*12)/E89,0))</f>
        <v>0</v>
      </c>
      <c r="AH27" s="44" t="n">
        <f aca="false">IF(OR(D89=0,E89=0,F89=0),0,IF(AND(AH$3&gt;=G89,AH$3&lt;H89),F89*MIN(12,E89-(AH$3-G89)*12)/E89,0))</f>
        <v>0</v>
      </c>
      <c r="AI27" s="44" t="n">
        <f aca="false">IF(OR(D89=0,E89=0,F89=0),0,IF(AND(AI$3&gt;=G89,AI$3&lt;H89),F89*MIN(12,E89-(AI$3-G89)*12)/E89,0))</f>
        <v>0</v>
      </c>
      <c r="AJ27" s="44" t="n">
        <f aca="false">IF(OR(D89=0,E89=0,F89=0),0,IF(AND(AJ$3&gt;=G89,AJ$3&lt;H89),F89*MIN(12,E89-(AJ$3-G89)*12)/E89,0))</f>
        <v>0</v>
      </c>
      <c r="AK27" s="44" t="n">
        <f aca="false">IF(OR(D89=0,E89=0,F89=0),0,IF(AND(AK$3&gt;=G89,AK$3&lt;H89),F89*MIN(12,E89-(AK$3-G89)*12)/E89,0))</f>
        <v>0</v>
      </c>
      <c r="AL27" s="44" t="n">
        <f aca="false">IF(OR(D89=0,E89=0,F89=0),0,IF(AND(AL$3&gt;=G89,AL$3&lt;H89),F89*MIN(12,E89-(AL$3-G89)*12)/E89,0))</f>
        <v>0</v>
      </c>
      <c r="AM27" s="44" t="n">
        <f aca="false">IF(OR(D89=0,E89=0,F89=0),0,IF(AND(AM$3&gt;=G89,AM$3&lt;H89),F89*MIN(12,E89-(AM$3-G89)*12)/E89,0))</f>
        <v>0</v>
      </c>
      <c r="AN27" s="44" t="n">
        <f aca="false">IF(OR(D89=0,E89=0,F89=0),0,IF(AND(AN$3&gt;=G89,AN$3&lt;H89),F89*MIN(12,E89-(AN$3-G89)*12)/E89,0))</f>
        <v>0</v>
      </c>
      <c r="AO27" s="44" t="n">
        <f aca="false">IF(OR(D89=0,E89=0,F89=0),0,IF(AND(AO$3&gt;=G89,AO$3&lt;H89),F89*MIN(12,E89-(AO$3-G89)*12)/E89,0))</f>
        <v>0</v>
      </c>
      <c r="AP27" s="44" t="n">
        <f aca="false">IF(OR(D89=0,E89=0,F89=0),0,IF(AND(AP$3&gt;=G89,AP$3&lt;H89),F89*MIN(12,E89-(AP$3-G89)*12)/E89,0))</f>
        <v>0</v>
      </c>
      <c r="AQ27" s="44" t="n">
        <f aca="false">IF(OR(D89=0,E89=0,F89=0),0,IF(AND(AQ$3&gt;=G89,AQ$3&lt;H89),F89*MIN(12,E89-(AQ$3-G89)*12)/E89,0))</f>
        <v>0</v>
      </c>
      <c r="AR27" s="44" t="n">
        <f aca="false">IF(OR(D89=0,E89=0,F89=0),0,IF(AND(AR$3&gt;=G89,AR$3&lt;H89),F89*MIN(12,E89-(AR$3-G89)*12)/E89,0))</f>
        <v>0</v>
      </c>
      <c r="AS27" s="44" t="n">
        <f aca="false">IF(OR(D89=0,E89=0,F89=0),0,IF(AND(AS$3&gt;=G89,AS$3&lt;H89),F89*MIN(12,E89-(AS$3-G89)*12)/E89,0))</f>
        <v>0</v>
      </c>
      <c r="AT27" s="44" t="n">
        <f aca="false">IF(OR(D89=0,E89=0,F89=0),0,IF(AND(AT$3&gt;=G89,AT$3&lt;H89),F89*MIN(12,E89-(AT$3-G89)*12)/E89,0))</f>
        <v>0</v>
      </c>
      <c r="AU27" s="44" t="n">
        <f aca="false">IF(OR(D89=0,E89=0,F89=0),0,IF(AND(AU$3&gt;=G89,AU$3&lt;H89),F89*MIN(12,E89-(AU$3-G89)*12)/E89,0))</f>
        <v>0</v>
      </c>
      <c r="AV27" s="44" t="n">
        <f aca="false">IF(OR(D89=0,E89=0,F89=0),0,IF(AND(AV$3&gt;=G89,AV$3&lt;H89),F89*MIN(12,E89-(AV$3-G89)*12)/E89,0))</f>
        <v>0</v>
      </c>
      <c r="AW27" s="44" t="n">
        <f aca="false">IF(OR(D89=0,E89=0,F89=0),0,IF(AND(AW$3&gt;=G89,AW$3&lt;H89),F89*MIN(12,E89-(AW$3-G89)*12)/E89,0))</f>
        <v>0</v>
      </c>
      <c r="AX27" s="44" t="n">
        <f aca="false">IF(OR(D89=0,E89=0,F89=0),0,IF(AND(AX$3&gt;=G89,AX$3&lt;H89),F89*MIN(12,E89-(AX$3-G89)*12)/E89,0))</f>
        <v>0</v>
      </c>
      <c r="AY27" s="44" t="n">
        <f aca="false">IF(OR(D89=0,E89=0,F89=0),0,IF(AND(AY$3&gt;=G89,AY$3&lt;H89),F89*MIN(12,E89-(AY$3-G89)*12)/E89,0))</f>
        <v>0</v>
      </c>
      <c r="AZ27" s="44" t="n">
        <f aca="false">IF(OR(D89=0,E89=0,F89=0),0,IF(AND(AZ$3&gt;=G89,AZ$3&lt;H89),F89*MIN(12,E89-(AZ$3-G89)*12)/E89,0))</f>
        <v>0</v>
      </c>
      <c r="BA27" s="44" t="n">
        <f aca="false">IF(OR(D89=0,E89=0,F89=0),0,IF(AND(BA$3&gt;=G89,BA$3&lt;H89),F89*MIN(12,E89-(BA$3-G89)*12)/E89,0))</f>
        <v>0</v>
      </c>
      <c r="BB27" s="44" t="n">
        <f aca="false">IF(OR(D89=0,E89=0,F89=0),0,IF(AND(BB$3&gt;=G89,BB$3&lt;H89),F89*MIN(12,E89-(BB$3-G89)*12)/E89,0))</f>
        <v>0</v>
      </c>
    </row>
    <row r="28" customFormat="false" ht="15" hidden="false" customHeight="true" outlineLevel="0" collapsed="false">
      <c r="A28" s="44" t="n">
        <f aca="false">A90</f>
        <v>25</v>
      </c>
      <c r="B28" s="44" t="str">
        <f aca="false">B90</f>
        <v>Shops / Cafes</v>
      </c>
      <c r="C28" s="44" t="str">
        <f aca="false">C90</f>
        <v>ZAN 3</v>
      </c>
      <c r="D28" s="44" t="n">
        <f aca="false">SUM(E28:BB28)</f>
        <v>4539150</v>
      </c>
      <c r="E28" s="44" t="n">
        <f aca="false">IF(OR(D90=0,E90=0,F90=0),0,IF(AND(E$3&gt;=G90,E$3&lt;H90),F90*MIN(12,E90-(E$3-G90)*12)/E90,0))</f>
        <v>0</v>
      </c>
      <c r="F28" s="44" t="n">
        <f aca="false">IF(OR(D90=0,E90=0,F90=0),0,IF(AND(F$3&gt;=G90,F$3&lt;H90),F90*MIN(12,E90-(F$3-G90)*12)/E90,0))</f>
        <v>0</v>
      </c>
      <c r="G28" s="44" t="n">
        <f aca="false">IF(OR(D90=0,E90=0,F90=0),0,IF(AND(G$3&gt;=G90,G$3&lt;H90),F90*MIN(12,E90-(G$3-G90)*12)/E90,0))</f>
        <v>0</v>
      </c>
      <c r="H28" s="44" t="n">
        <f aca="false">IF(OR(D90=0,E90=0,F90=0),0,IF(AND(H$3&gt;=G90,H$3&lt;H90),F90*MIN(12,E90-(H$3-G90)*12)/E90,0))</f>
        <v>0</v>
      </c>
      <c r="I28" s="44" t="n">
        <f aca="false">IF(OR(D90=0,E90=0,F90=0),0,IF(AND(I$3&gt;=G90,I$3&lt;H90),F90*MIN(12,E90-(I$3-G90)*12)/E90,0))</f>
        <v>3026100</v>
      </c>
      <c r="J28" s="44" t="n">
        <f aca="false">IF(OR(D90=0,E90=0,F90=0),0,IF(AND(J$3&gt;=G90,J$3&lt;H90),F90*MIN(12,E90-(J$3-G90)*12)/E90,0))</f>
        <v>1513050</v>
      </c>
      <c r="K28" s="44" t="n">
        <f aca="false">IF(OR(D90=0,E90=0,F90=0),0,IF(AND(K$3&gt;=G90,K$3&lt;H90),F90*MIN(12,E90-(K$3-G90)*12)/E90,0))</f>
        <v>0</v>
      </c>
      <c r="L28" s="44" t="n">
        <f aca="false">IF(OR(D90=0,E90=0,F90=0),0,IF(AND(L$3&gt;=G90,L$3&lt;H90),F90*MIN(12,E90-(L$3-G90)*12)/E90,0))</f>
        <v>0</v>
      </c>
      <c r="M28" s="44" t="n">
        <f aca="false">IF(OR(D90=0,E90=0,F90=0),0,IF(AND(M$3&gt;=G90,M$3&lt;H90),F90*MIN(12,E90-(M$3-G90)*12)/E90,0))</f>
        <v>0</v>
      </c>
      <c r="N28" s="44" t="n">
        <f aca="false">IF(OR(D90=0,E90=0,F90=0),0,IF(AND(N$3&gt;=G90,N$3&lt;H90),F90*MIN(12,E90-(N$3-G90)*12)/E90,0))</f>
        <v>0</v>
      </c>
      <c r="O28" s="44" t="n">
        <f aca="false">IF(OR(D90=0,E90=0,F90=0),0,IF(AND(O$3&gt;=G90,O$3&lt;H90),F90*MIN(12,E90-(O$3-G90)*12)/E90,0))</f>
        <v>0</v>
      </c>
      <c r="P28" s="44" t="n">
        <f aca="false">IF(OR(D90=0,E90=0,F90=0),0,IF(AND(P$3&gt;=G90,P$3&lt;H90),F90*MIN(12,E90-(P$3-G90)*12)/E90,0))</f>
        <v>0</v>
      </c>
      <c r="Q28" s="44" t="n">
        <f aca="false">IF(OR(D90=0,E90=0,F90=0),0,IF(AND(Q$3&gt;=G90,Q$3&lt;H90),F90*MIN(12,E90-(Q$3-G90)*12)/E90,0))</f>
        <v>0</v>
      </c>
      <c r="R28" s="44" t="n">
        <f aca="false">IF(OR(D90=0,E90=0,F90=0),0,IF(AND(R$3&gt;=G90,R$3&lt;H90),F90*MIN(12,E90-(R$3-G90)*12)/E90,0))</f>
        <v>0</v>
      </c>
      <c r="S28" s="44" t="n">
        <f aca="false">IF(OR(D90=0,E90=0,F90=0),0,IF(AND(S$3&gt;=G90,S$3&lt;H90),F90*MIN(12,E90-(S$3-G90)*12)/E90,0))</f>
        <v>0</v>
      </c>
      <c r="T28" s="44" t="n">
        <f aca="false">IF(OR(D90=0,E90=0,F90=0),0,IF(AND(T$3&gt;=G90,T$3&lt;H90),F90*MIN(12,E90-(T$3-G90)*12)/E90,0))</f>
        <v>0</v>
      </c>
      <c r="U28" s="44" t="n">
        <f aca="false">IF(OR(D90=0,E90=0,F90=0),0,IF(AND(U$3&gt;=G90,U$3&lt;H90),F90*MIN(12,E90-(U$3-G90)*12)/E90,0))</f>
        <v>0</v>
      </c>
      <c r="V28" s="44" t="n">
        <f aca="false">IF(OR(D90=0,E90=0,F90=0),0,IF(AND(V$3&gt;=G90,V$3&lt;H90),F90*MIN(12,E90-(V$3-G90)*12)/E90,0))</f>
        <v>0</v>
      </c>
      <c r="W28" s="44" t="n">
        <f aca="false">IF(OR(D90=0,E90=0,F90=0),0,IF(AND(W$3&gt;=G90,W$3&lt;H90),F90*MIN(12,E90-(W$3-G90)*12)/E90,0))</f>
        <v>0</v>
      </c>
      <c r="X28" s="44" t="n">
        <f aca="false">IF(OR(D90=0,E90=0,F90=0),0,IF(AND(X$3&gt;=G90,X$3&lt;H90),F90*MIN(12,E90-(X$3-G90)*12)/E90,0))</f>
        <v>0</v>
      </c>
      <c r="Y28" s="44" t="n">
        <f aca="false">IF(OR(D90=0,E90=0,F90=0),0,IF(AND(Y$3&gt;=G90,Y$3&lt;H90),F90*MIN(12,E90-(Y$3-G90)*12)/E90,0))</f>
        <v>0</v>
      </c>
      <c r="Z28" s="44" t="n">
        <f aca="false">IF(OR(D90=0,E90=0,F90=0),0,IF(AND(Z$3&gt;=G90,Z$3&lt;H90),F90*MIN(12,E90-(Z$3-G90)*12)/E90,0))</f>
        <v>0</v>
      </c>
      <c r="AA28" s="44" t="n">
        <f aca="false">IF(OR(D90=0,E90=0,F90=0),0,IF(AND(AA$3&gt;=G90,AA$3&lt;H90),F90*MIN(12,E90-(AA$3-G90)*12)/E90,0))</f>
        <v>0</v>
      </c>
      <c r="AB28" s="44" t="n">
        <f aca="false">IF(OR(D90=0,E90=0,F90=0),0,IF(AND(AB$3&gt;=G90,AB$3&lt;H90),F90*MIN(12,E90-(AB$3-G90)*12)/E90,0))</f>
        <v>0</v>
      </c>
      <c r="AC28" s="44" t="n">
        <f aca="false">IF(OR(D90=0,E90=0,F90=0),0,IF(AND(AC$3&gt;=G90,AC$3&lt;H90),F90*MIN(12,E90-(AC$3-G90)*12)/E90,0))</f>
        <v>0</v>
      </c>
      <c r="AD28" s="44" t="n">
        <f aca="false">IF(OR(D90=0,E90=0,F90=0),0,IF(AND(AD$3&gt;=G90,AD$3&lt;H90),F90*MIN(12,E90-(AD$3-G90)*12)/E90,0))</f>
        <v>0</v>
      </c>
      <c r="AE28" s="44" t="n">
        <f aca="false">IF(OR(D90=0,E90=0,F90=0),0,IF(AND(AE$3&gt;=G90,AE$3&lt;H90),F90*MIN(12,E90-(AE$3-G90)*12)/E90,0))</f>
        <v>0</v>
      </c>
      <c r="AF28" s="44" t="n">
        <f aca="false">IF(OR(D90=0,E90=0,F90=0),0,IF(AND(AF$3&gt;=G90,AF$3&lt;H90),F90*MIN(12,E90-(AF$3-G90)*12)/E90,0))</f>
        <v>0</v>
      </c>
      <c r="AG28" s="44" t="n">
        <f aca="false">IF(OR(D90=0,E90=0,F90=0),0,IF(AND(AG$3&gt;=G90,AG$3&lt;H90),F90*MIN(12,E90-(AG$3-G90)*12)/E90,0))</f>
        <v>0</v>
      </c>
      <c r="AH28" s="44" t="n">
        <f aca="false">IF(OR(D90=0,E90=0,F90=0),0,IF(AND(AH$3&gt;=G90,AH$3&lt;H90),F90*MIN(12,E90-(AH$3-G90)*12)/E90,0))</f>
        <v>0</v>
      </c>
      <c r="AI28" s="44" t="n">
        <f aca="false">IF(OR(D90=0,E90=0,F90=0),0,IF(AND(AI$3&gt;=G90,AI$3&lt;H90),F90*MIN(12,E90-(AI$3-G90)*12)/E90,0))</f>
        <v>0</v>
      </c>
      <c r="AJ28" s="44" t="n">
        <f aca="false">IF(OR(D90=0,E90=0,F90=0),0,IF(AND(AJ$3&gt;=G90,AJ$3&lt;H90),F90*MIN(12,E90-(AJ$3-G90)*12)/E90,0))</f>
        <v>0</v>
      </c>
      <c r="AK28" s="44" t="n">
        <f aca="false">IF(OR(D90=0,E90=0,F90=0),0,IF(AND(AK$3&gt;=G90,AK$3&lt;H90),F90*MIN(12,E90-(AK$3-G90)*12)/E90,0))</f>
        <v>0</v>
      </c>
      <c r="AL28" s="44" t="n">
        <f aca="false">IF(OR(D90=0,E90=0,F90=0),0,IF(AND(AL$3&gt;=G90,AL$3&lt;H90),F90*MIN(12,E90-(AL$3-G90)*12)/E90,0))</f>
        <v>0</v>
      </c>
      <c r="AM28" s="44" t="n">
        <f aca="false">IF(OR(D90=0,E90=0,F90=0),0,IF(AND(AM$3&gt;=G90,AM$3&lt;H90),F90*MIN(12,E90-(AM$3-G90)*12)/E90,0))</f>
        <v>0</v>
      </c>
      <c r="AN28" s="44" t="n">
        <f aca="false">IF(OR(D90=0,E90=0,F90=0),0,IF(AND(AN$3&gt;=G90,AN$3&lt;H90),F90*MIN(12,E90-(AN$3-G90)*12)/E90,0))</f>
        <v>0</v>
      </c>
      <c r="AO28" s="44" t="n">
        <f aca="false">IF(OR(D90=0,E90=0,F90=0),0,IF(AND(AO$3&gt;=G90,AO$3&lt;H90),F90*MIN(12,E90-(AO$3-G90)*12)/E90,0))</f>
        <v>0</v>
      </c>
      <c r="AP28" s="44" t="n">
        <f aca="false">IF(OR(D90=0,E90=0,F90=0),0,IF(AND(AP$3&gt;=G90,AP$3&lt;H90),F90*MIN(12,E90-(AP$3-G90)*12)/E90,0))</f>
        <v>0</v>
      </c>
      <c r="AQ28" s="44" t="n">
        <f aca="false">IF(OR(D90=0,E90=0,F90=0),0,IF(AND(AQ$3&gt;=G90,AQ$3&lt;H90),F90*MIN(12,E90-(AQ$3-G90)*12)/E90,0))</f>
        <v>0</v>
      </c>
      <c r="AR28" s="44" t="n">
        <f aca="false">IF(OR(D90=0,E90=0,F90=0),0,IF(AND(AR$3&gt;=G90,AR$3&lt;H90),F90*MIN(12,E90-(AR$3-G90)*12)/E90,0))</f>
        <v>0</v>
      </c>
      <c r="AS28" s="44" t="n">
        <f aca="false">IF(OR(D90=0,E90=0,F90=0),0,IF(AND(AS$3&gt;=G90,AS$3&lt;H90),F90*MIN(12,E90-(AS$3-G90)*12)/E90,0))</f>
        <v>0</v>
      </c>
      <c r="AT28" s="44" t="n">
        <f aca="false">IF(OR(D90=0,E90=0,F90=0),0,IF(AND(AT$3&gt;=G90,AT$3&lt;H90),F90*MIN(12,E90-(AT$3-G90)*12)/E90,0))</f>
        <v>0</v>
      </c>
      <c r="AU28" s="44" t="n">
        <f aca="false">IF(OR(D90=0,E90=0,F90=0),0,IF(AND(AU$3&gt;=G90,AU$3&lt;H90),F90*MIN(12,E90-(AU$3-G90)*12)/E90,0))</f>
        <v>0</v>
      </c>
      <c r="AV28" s="44" t="n">
        <f aca="false">IF(OR(D90=0,E90=0,F90=0),0,IF(AND(AV$3&gt;=G90,AV$3&lt;H90),F90*MIN(12,E90-(AV$3-G90)*12)/E90,0))</f>
        <v>0</v>
      </c>
      <c r="AW28" s="44" t="n">
        <f aca="false">IF(OR(D90=0,E90=0,F90=0),0,IF(AND(AW$3&gt;=G90,AW$3&lt;H90),F90*MIN(12,E90-(AW$3-G90)*12)/E90,0))</f>
        <v>0</v>
      </c>
      <c r="AX28" s="44" t="n">
        <f aca="false">IF(OR(D90=0,E90=0,F90=0),0,IF(AND(AX$3&gt;=G90,AX$3&lt;H90),F90*MIN(12,E90-(AX$3-G90)*12)/E90,0))</f>
        <v>0</v>
      </c>
      <c r="AY28" s="44" t="n">
        <f aca="false">IF(OR(D90=0,E90=0,F90=0),0,IF(AND(AY$3&gt;=G90,AY$3&lt;H90),F90*MIN(12,E90-(AY$3-G90)*12)/E90,0))</f>
        <v>0</v>
      </c>
      <c r="AZ28" s="44" t="n">
        <f aca="false">IF(OR(D90=0,E90=0,F90=0),0,IF(AND(AZ$3&gt;=G90,AZ$3&lt;H90),F90*MIN(12,E90-(AZ$3-G90)*12)/E90,0))</f>
        <v>0</v>
      </c>
      <c r="BA28" s="44" t="n">
        <f aca="false">IF(OR(D90=0,E90=0,F90=0),0,IF(AND(BA$3&gt;=G90,BA$3&lt;H90),F90*MIN(12,E90-(BA$3-G90)*12)/E90,0))</f>
        <v>0</v>
      </c>
      <c r="BB28" s="44" t="n">
        <f aca="false">IF(OR(D90=0,E90=0,F90=0),0,IF(AND(BB$3&gt;=G90,BB$3&lt;H90),F90*MIN(12,E90-(BB$3-G90)*12)/E90,0))</f>
        <v>0</v>
      </c>
    </row>
    <row r="29" customFormat="false" ht="15" hidden="false" customHeight="true" outlineLevel="0" collapsed="false">
      <c r="A29" s="44" t="n">
        <f aca="false">A91</f>
        <v>26</v>
      </c>
      <c r="B29" s="44" t="str">
        <f aca="false">B91</f>
        <v>Small Market</v>
      </c>
      <c r="C29" s="44" t="str">
        <f aca="false">C91</f>
        <v>ZAN 3</v>
      </c>
      <c r="D29" s="44" t="n">
        <f aca="false">SUM(E29:BB29)</f>
        <v>801570</v>
      </c>
      <c r="E29" s="44" t="n">
        <f aca="false">IF(OR(D91=0,E91=0,F91=0),0,IF(AND(E$3&gt;=G91,E$3&lt;H91),F91*MIN(12,E91-(E$3-G91)*12)/E91,0))</f>
        <v>0</v>
      </c>
      <c r="F29" s="44" t="n">
        <f aca="false">IF(OR(D91=0,E91=0,F91=0),0,IF(AND(F$3&gt;=G91,F$3&lt;H91),F91*MIN(12,E91-(F$3-G91)*12)/E91,0))</f>
        <v>0</v>
      </c>
      <c r="G29" s="44" t="n">
        <f aca="false">IF(OR(D91=0,E91=0,F91=0),0,IF(AND(G$3&gt;=G91,G$3&lt;H91),F91*MIN(12,E91-(G$3-G91)*12)/E91,0))</f>
        <v>0</v>
      </c>
      <c r="H29" s="44" t="n">
        <f aca="false">IF(OR(D91=0,E91=0,F91=0),0,IF(AND(H$3&gt;=G91,H$3&lt;H91),F91*MIN(12,E91-(H$3-G91)*12)/E91,0))</f>
        <v>0</v>
      </c>
      <c r="I29" s="44" t="n">
        <f aca="false">IF(OR(D91=0,E91=0,F91=0),0,IF(AND(I$3&gt;=G91,I$3&lt;H91),F91*MIN(12,E91-(I$3-G91)*12)/E91,0))</f>
        <v>534380</v>
      </c>
      <c r="J29" s="44" t="n">
        <f aca="false">IF(OR(D91=0,E91=0,F91=0),0,IF(AND(J$3&gt;=G91,J$3&lt;H91),F91*MIN(12,E91-(J$3-G91)*12)/E91,0))</f>
        <v>267190</v>
      </c>
      <c r="K29" s="44" t="n">
        <f aca="false">IF(OR(D91=0,E91=0,F91=0),0,IF(AND(K$3&gt;=G91,K$3&lt;H91),F91*MIN(12,E91-(K$3-G91)*12)/E91,0))</f>
        <v>0</v>
      </c>
      <c r="L29" s="44" t="n">
        <f aca="false">IF(OR(D91=0,E91=0,F91=0),0,IF(AND(L$3&gt;=G91,L$3&lt;H91),F91*MIN(12,E91-(L$3-G91)*12)/E91,0))</f>
        <v>0</v>
      </c>
      <c r="M29" s="44" t="n">
        <f aca="false">IF(OR(D91=0,E91=0,F91=0),0,IF(AND(M$3&gt;=G91,M$3&lt;H91),F91*MIN(12,E91-(M$3-G91)*12)/E91,0))</f>
        <v>0</v>
      </c>
      <c r="N29" s="44" t="n">
        <f aca="false">IF(OR(D91=0,E91=0,F91=0),0,IF(AND(N$3&gt;=G91,N$3&lt;H91),F91*MIN(12,E91-(N$3-G91)*12)/E91,0))</f>
        <v>0</v>
      </c>
      <c r="O29" s="44" t="n">
        <f aca="false">IF(OR(D91=0,E91=0,F91=0),0,IF(AND(O$3&gt;=G91,O$3&lt;H91),F91*MIN(12,E91-(O$3-G91)*12)/E91,0))</f>
        <v>0</v>
      </c>
      <c r="P29" s="44" t="n">
        <f aca="false">IF(OR(D91=0,E91=0,F91=0),0,IF(AND(P$3&gt;=G91,P$3&lt;H91),F91*MIN(12,E91-(P$3-G91)*12)/E91,0))</f>
        <v>0</v>
      </c>
      <c r="Q29" s="44" t="n">
        <f aca="false">IF(OR(D91=0,E91=0,F91=0),0,IF(AND(Q$3&gt;=G91,Q$3&lt;H91),F91*MIN(12,E91-(Q$3-G91)*12)/E91,0))</f>
        <v>0</v>
      </c>
      <c r="R29" s="44" t="n">
        <f aca="false">IF(OR(D91=0,E91=0,F91=0),0,IF(AND(R$3&gt;=G91,R$3&lt;H91),F91*MIN(12,E91-(R$3-G91)*12)/E91,0))</f>
        <v>0</v>
      </c>
      <c r="S29" s="44" t="n">
        <f aca="false">IF(OR(D91=0,E91=0,F91=0),0,IF(AND(S$3&gt;=G91,S$3&lt;H91),F91*MIN(12,E91-(S$3-G91)*12)/E91,0))</f>
        <v>0</v>
      </c>
      <c r="T29" s="44" t="n">
        <f aca="false">IF(OR(D91=0,E91=0,F91=0),0,IF(AND(T$3&gt;=G91,T$3&lt;H91),F91*MIN(12,E91-(T$3-G91)*12)/E91,0))</f>
        <v>0</v>
      </c>
      <c r="U29" s="44" t="n">
        <f aca="false">IF(OR(D91=0,E91=0,F91=0),0,IF(AND(U$3&gt;=G91,U$3&lt;H91),F91*MIN(12,E91-(U$3-G91)*12)/E91,0))</f>
        <v>0</v>
      </c>
      <c r="V29" s="44" t="n">
        <f aca="false">IF(OR(D91=0,E91=0,F91=0),0,IF(AND(V$3&gt;=G91,V$3&lt;H91),F91*MIN(12,E91-(V$3-G91)*12)/E91,0))</f>
        <v>0</v>
      </c>
      <c r="W29" s="44" t="n">
        <f aca="false">IF(OR(D91=0,E91=0,F91=0),0,IF(AND(W$3&gt;=G91,W$3&lt;H91),F91*MIN(12,E91-(W$3-G91)*12)/E91,0))</f>
        <v>0</v>
      </c>
      <c r="X29" s="44" t="n">
        <f aca="false">IF(OR(D91=0,E91=0,F91=0),0,IF(AND(X$3&gt;=G91,X$3&lt;H91),F91*MIN(12,E91-(X$3-G91)*12)/E91,0))</f>
        <v>0</v>
      </c>
      <c r="Y29" s="44" t="n">
        <f aca="false">IF(OR(D91=0,E91=0,F91=0),0,IF(AND(Y$3&gt;=G91,Y$3&lt;H91),F91*MIN(12,E91-(Y$3-G91)*12)/E91,0))</f>
        <v>0</v>
      </c>
      <c r="Z29" s="44" t="n">
        <f aca="false">IF(OR(D91=0,E91=0,F91=0),0,IF(AND(Z$3&gt;=G91,Z$3&lt;H91),F91*MIN(12,E91-(Z$3-G91)*12)/E91,0))</f>
        <v>0</v>
      </c>
      <c r="AA29" s="44" t="n">
        <f aca="false">IF(OR(D91=0,E91=0,F91=0),0,IF(AND(AA$3&gt;=G91,AA$3&lt;H91),F91*MIN(12,E91-(AA$3-G91)*12)/E91,0))</f>
        <v>0</v>
      </c>
      <c r="AB29" s="44" t="n">
        <f aca="false">IF(OR(D91=0,E91=0,F91=0),0,IF(AND(AB$3&gt;=G91,AB$3&lt;H91),F91*MIN(12,E91-(AB$3-G91)*12)/E91,0))</f>
        <v>0</v>
      </c>
      <c r="AC29" s="44" t="n">
        <f aca="false">IF(OR(D91=0,E91=0,F91=0),0,IF(AND(AC$3&gt;=G91,AC$3&lt;H91),F91*MIN(12,E91-(AC$3-G91)*12)/E91,0))</f>
        <v>0</v>
      </c>
      <c r="AD29" s="44" t="n">
        <f aca="false">IF(OR(D91=0,E91=0,F91=0),0,IF(AND(AD$3&gt;=G91,AD$3&lt;H91),F91*MIN(12,E91-(AD$3-G91)*12)/E91,0))</f>
        <v>0</v>
      </c>
      <c r="AE29" s="44" t="n">
        <f aca="false">IF(OR(D91=0,E91=0,F91=0),0,IF(AND(AE$3&gt;=G91,AE$3&lt;H91),F91*MIN(12,E91-(AE$3-G91)*12)/E91,0))</f>
        <v>0</v>
      </c>
      <c r="AF29" s="44" t="n">
        <f aca="false">IF(OR(D91=0,E91=0,F91=0),0,IF(AND(AF$3&gt;=G91,AF$3&lt;H91),F91*MIN(12,E91-(AF$3-G91)*12)/E91,0))</f>
        <v>0</v>
      </c>
      <c r="AG29" s="44" t="n">
        <f aca="false">IF(OR(D91=0,E91=0,F91=0),0,IF(AND(AG$3&gt;=G91,AG$3&lt;H91),F91*MIN(12,E91-(AG$3-G91)*12)/E91,0))</f>
        <v>0</v>
      </c>
      <c r="AH29" s="44" t="n">
        <f aca="false">IF(OR(D91=0,E91=0,F91=0),0,IF(AND(AH$3&gt;=G91,AH$3&lt;H91),F91*MIN(12,E91-(AH$3-G91)*12)/E91,0))</f>
        <v>0</v>
      </c>
      <c r="AI29" s="44" t="n">
        <f aca="false">IF(OR(D91=0,E91=0,F91=0),0,IF(AND(AI$3&gt;=G91,AI$3&lt;H91),F91*MIN(12,E91-(AI$3-G91)*12)/E91,0))</f>
        <v>0</v>
      </c>
      <c r="AJ29" s="44" t="n">
        <f aca="false">IF(OR(D91=0,E91=0,F91=0),0,IF(AND(AJ$3&gt;=G91,AJ$3&lt;H91),F91*MIN(12,E91-(AJ$3-G91)*12)/E91,0))</f>
        <v>0</v>
      </c>
      <c r="AK29" s="44" t="n">
        <f aca="false">IF(OR(D91=0,E91=0,F91=0),0,IF(AND(AK$3&gt;=G91,AK$3&lt;H91),F91*MIN(12,E91-(AK$3-G91)*12)/E91,0))</f>
        <v>0</v>
      </c>
      <c r="AL29" s="44" t="n">
        <f aca="false">IF(OR(D91=0,E91=0,F91=0),0,IF(AND(AL$3&gt;=G91,AL$3&lt;H91),F91*MIN(12,E91-(AL$3-G91)*12)/E91,0))</f>
        <v>0</v>
      </c>
      <c r="AM29" s="44" t="n">
        <f aca="false">IF(OR(D91=0,E91=0,F91=0),0,IF(AND(AM$3&gt;=G91,AM$3&lt;H91),F91*MIN(12,E91-(AM$3-G91)*12)/E91,0))</f>
        <v>0</v>
      </c>
      <c r="AN29" s="44" t="n">
        <f aca="false">IF(OR(D91=0,E91=0,F91=0),0,IF(AND(AN$3&gt;=G91,AN$3&lt;H91),F91*MIN(12,E91-(AN$3-G91)*12)/E91,0))</f>
        <v>0</v>
      </c>
      <c r="AO29" s="44" t="n">
        <f aca="false">IF(OR(D91=0,E91=0,F91=0),0,IF(AND(AO$3&gt;=G91,AO$3&lt;H91),F91*MIN(12,E91-(AO$3-G91)*12)/E91,0))</f>
        <v>0</v>
      </c>
      <c r="AP29" s="44" t="n">
        <f aca="false">IF(OR(D91=0,E91=0,F91=0),0,IF(AND(AP$3&gt;=G91,AP$3&lt;H91),F91*MIN(12,E91-(AP$3-G91)*12)/E91,0))</f>
        <v>0</v>
      </c>
      <c r="AQ29" s="44" t="n">
        <f aca="false">IF(OR(D91=0,E91=0,F91=0),0,IF(AND(AQ$3&gt;=G91,AQ$3&lt;H91),F91*MIN(12,E91-(AQ$3-G91)*12)/E91,0))</f>
        <v>0</v>
      </c>
      <c r="AR29" s="44" t="n">
        <f aca="false">IF(OR(D91=0,E91=0,F91=0),0,IF(AND(AR$3&gt;=G91,AR$3&lt;H91),F91*MIN(12,E91-(AR$3-G91)*12)/E91,0))</f>
        <v>0</v>
      </c>
      <c r="AS29" s="44" t="n">
        <f aca="false">IF(OR(D91=0,E91=0,F91=0),0,IF(AND(AS$3&gt;=G91,AS$3&lt;H91),F91*MIN(12,E91-(AS$3-G91)*12)/E91,0))</f>
        <v>0</v>
      </c>
      <c r="AT29" s="44" t="n">
        <f aca="false">IF(OR(D91=0,E91=0,F91=0),0,IF(AND(AT$3&gt;=G91,AT$3&lt;H91),F91*MIN(12,E91-(AT$3-G91)*12)/E91,0))</f>
        <v>0</v>
      </c>
      <c r="AU29" s="44" t="n">
        <f aca="false">IF(OR(D91=0,E91=0,F91=0),0,IF(AND(AU$3&gt;=G91,AU$3&lt;H91),F91*MIN(12,E91-(AU$3-G91)*12)/E91,0))</f>
        <v>0</v>
      </c>
      <c r="AV29" s="44" t="n">
        <f aca="false">IF(OR(D91=0,E91=0,F91=0),0,IF(AND(AV$3&gt;=G91,AV$3&lt;H91),F91*MIN(12,E91-(AV$3-G91)*12)/E91,0))</f>
        <v>0</v>
      </c>
      <c r="AW29" s="44" t="n">
        <f aca="false">IF(OR(D91=0,E91=0,F91=0),0,IF(AND(AW$3&gt;=G91,AW$3&lt;H91),F91*MIN(12,E91-(AW$3-G91)*12)/E91,0))</f>
        <v>0</v>
      </c>
      <c r="AX29" s="44" t="n">
        <f aca="false">IF(OR(D91=0,E91=0,F91=0),0,IF(AND(AX$3&gt;=G91,AX$3&lt;H91),F91*MIN(12,E91-(AX$3-G91)*12)/E91,0))</f>
        <v>0</v>
      </c>
      <c r="AY29" s="44" t="n">
        <f aca="false">IF(OR(D91=0,E91=0,F91=0),0,IF(AND(AY$3&gt;=G91,AY$3&lt;H91),F91*MIN(12,E91-(AY$3-G91)*12)/E91,0))</f>
        <v>0</v>
      </c>
      <c r="AZ29" s="44" t="n">
        <f aca="false">IF(OR(D91=0,E91=0,F91=0),0,IF(AND(AZ$3&gt;=G91,AZ$3&lt;H91),F91*MIN(12,E91-(AZ$3-G91)*12)/E91,0))</f>
        <v>0</v>
      </c>
      <c r="BA29" s="44" t="n">
        <f aca="false">IF(OR(D91=0,E91=0,F91=0),0,IF(AND(BA$3&gt;=G91,BA$3&lt;H91),F91*MIN(12,E91-(BA$3-G91)*12)/E91,0))</f>
        <v>0</v>
      </c>
      <c r="BB29" s="44" t="n">
        <f aca="false">IF(OR(D91=0,E91=0,F91=0),0,IF(AND(BB$3&gt;=G91,BB$3&lt;H91),F91*MIN(12,E91-(BB$3-G91)*12)/E91,0))</f>
        <v>0</v>
      </c>
    </row>
    <row r="30" customFormat="false" ht="15" hidden="false" customHeight="true" outlineLevel="0" collapsed="false">
      <c r="A30" s="44" t="n">
        <f aca="false">A92</f>
        <v>27</v>
      </c>
      <c r="B30" s="44" t="str">
        <f aca="false">B92</f>
        <v>Flexible Block  (Branded)</v>
      </c>
      <c r="C30" s="44" t="str">
        <f aca="false">C92</f>
        <v>ZAN 3</v>
      </c>
      <c r="D30" s="44" t="n">
        <f aca="false">SUM(E30:BB30)</f>
        <v>229823055</v>
      </c>
      <c r="E30" s="44" t="n">
        <f aca="false">IF(OR(D92=0,E92=0,F92=0),0,IF(AND(E$3&gt;=G92,E$3&lt;H92),F92*MIN(12,E92-(E$3-G92)*12)/E92,0))</f>
        <v>0</v>
      </c>
      <c r="F30" s="44" t="n">
        <f aca="false">IF(OR(D92=0,E92=0,F92=0),0,IF(AND(F$3&gt;=G92,F$3&lt;H92),F92*MIN(12,E92-(F$3-G92)*12)/E92,0))</f>
        <v>0</v>
      </c>
      <c r="G30" s="44" t="n">
        <f aca="false">IF(OR(D92=0,E92=0,F92=0),0,IF(AND(G$3&gt;=G92,G$3&lt;H92),F92*MIN(12,E92-(G$3-G92)*12)/E92,0))</f>
        <v>0</v>
      </c>
      <c r="H30" s="44" t="n">
        <f aca="false">IF(OR(D92=0,E92=0,F92=0),0,IF(AND(H$3&gt;=G92,H$3&lt;H92),F92*MIN(12,E92-(H$3-G92)*12)/E92,0))</f>
        <v>0</v>
      </c>
      <c r="I30" s="44" t="n">
        <f aca="false">IF(OR(D92=0,E92=0,F92=0),0,IF(AND(I$3&gt;=G92,I$3&lt;H92),F92*MIN(12,E92-(I$3-G92)*12)/E92,0))</f>
        <v>91929222</v>
      </c>
      <c r="J30" s="44" t="n">
        <f aca="false">IF(OR(D92=0,E92=0,F92=0),0,IF(AND(J$3&gt;=G92,J$3&lt;H92),F92*MIN(12,E92-(J$3-G92)*12)/E92,0))</f>
        <v>91929222</v>
      </c>
      <c r="K30" s="44" t="n">
        <f aca="false">IF(OR(D92=0,E92=0,F92=0),0,IF(AND(K$3&gt;=G92,K$3&lt;H92),F92*MIN(12,E92-(K$3-G92)*12)/E92,0))</f>
        <v>45964611</v>
      </c>
      <c r="L30" s="44" t="n">
        <f aca="false">IF(OR(D92=0,E92=0,F92=0),0,IF(AND(L$3&gt;=G92,L$3&lt;H92),F92*MIN(12,E92-(L$3-G92)*12)/E92,0))</f>
        <v>0</v>
      </c>
      <c r="M30" s="44" t="n">
        <f aca="false">IF(OR(D92=0,E92=0,F92=0),0,IF(AND(M$3&gt;=G92,M$3&lt;H92),F92*MIN(12,E92-(M$3-G92)*12)/E92,0))</f>
        <v>0</v>
      </c>
      <c r="N30" s="44" t="n">
        <f aca="false">IF(OR(D92=0,E92=0,F92=0),0,IF(AND(N$3&gt;=G92,N$3&lt;H92),F92*MIN(12,E92-(N$3-G92)*12)/E92,0))</f>
        <v>0</v>
      </c>
      <c r="O30" s="44" t="n">
        <f aca="false">IF(OR(D92=0,E92=0,F92=0),0,IF(AND(O$3&gt;=G92,O$3&lt;H92),F92*MIN(12,E92-(O$3-G92)*12)/E92,0))</f>
        <v>0</v>
      </c>
      <c r="P30" s="44" t="n">
        <f aca="false">IF(OR(D92=0,E92=0,F92=0),0,IF(AND(P$3&gt;=G92,P$3&lt;H92),F92*MIN(12,E92-(P$3-G92)*12)/E92,0))</f>
        <v>0</v>
      </c>
      <c r="Q30" s="44" t="n">
        <f aca="false">IF(OR(D92=0,E92=0,F92=0),0,IF(AND(Q$3&gt;=G92,Q$3&lt;H92),F92*MIN(12,E92-(Q$3-G92)*12)/E92,0))</f>
        <v>0</v>
      </c>
      <c r="R30" s="44" t="n">
        <f aca="false">IF(OR(D92=0,E92=0,F92=0),0,IF(AND(R$3&gt;=G92,R$3&lt;H92),F92*MIN(12,E92-(R$3-G92)*12)/E92,0))</f>
        <v>0</v>
      </c>
      <c r="S30" s="44" t="n">
        <f aca="false">IF(OR(D92=0,E92=0,F92=0),0,IF(AND(S$3&gt;=G92,S$3&lt;H92),F92*MIN(12,E92-(S$3-G92)*12)/E92,0))</f>
        <v>0</v>
      </c>
      <c r="T30" s="44" t="n">
        <f aca="false">IF(OR(D92=0,E92=0,F92=0),0,IF(AND(T$3&gt;=G92,T$3&lt;H92),F92*MIN(12,E92-(T$3-G92)*12)/E92,0))</f>
        <v>0</v>
      </c>
      <c r="U30" s="44" t="n">
        <f aca="false">IF(OR(D92=0,E92=0,F92=0),0,IF(AND(U$3&gt;=G92,U$3&lt;H92),F92*MIN(12,E92-(U$3-G92)*12)/E92,0))</f>
        <v>0</v>
      </c>
      <c r="V30" s="44" t="n">
        <f aca="false">IF(OR(D92=0,E92=0,F92=0),0,IF(AND(V$3&gt;=G92,V$3&lt;H92),F92*MIN(12,E92-(V$3-G92)*12)/E92,0))</f>
        <v>0</v>
      </c>
      <c r="W30" s="44" t="n">
        <f aca="false">IF(OR(D92=0,E92=0,F92=0),0,IF(AND(W$3&gt;=G92,W$3&lt;H92),F92*MIN(12,E92-(W$3-G92)*12)/E92,0))</f>
        <v>0</v>
      </c>
      <c r="X30" s="44" t="n">
        <f aca="false">IF(OR(D92=0,E92=0,F92=0),0,IF(AND(X$3&gt;=G92,X$3&lt;H92),F92*MIN(12,E92-(X$3-G92)*12)/E92,0))</f>
        <v>0</v>
      </c>
      <c r="Y30" s="44" t="n">
        <f aca="false">IF(OR(D92=0,E92=0,F92=0),0,IF(AND(Y$3&gt;=G92,Y$3&lt;H92),F92*MIN(12,E92-(Y$3-G92)*12)/E92,0))</f>
        <v>0</v>
      </c>
      <c r="Z30" s="44" t="n">
        <f aca="false">IF(OR(D92=0,E92=0,F92=0),0,IF(AND(Z$3&gt;=G92,Z$3&lt;H92),F92*MIN(12,E92-(Z$3-G92)*12)/E92,0))</f>
        <v>0</v>
      </c>
      <c r="AA30" s="44" t="n">
        <f aca="false">IF(OR(D92=0,E92=0,F92=0),0,IF(AND(AA$3&gt;=G92,AA$3&lt;H92),F92*MIN(12,E92-(AA$3-G92)*12)/E92,0))</f>
        <v>0</v>
      </c>
      <c r="AB30" s="44" t="n">
        <f aca="false">IF(OR(D92=0,E92=0,F92=0),0,IF(AND(AB$3&gt;=G92,AB$3&lt;H92),F92*MIN(12,E92-(AB$3-G92)*12)/E92,0))</f>
        <v>0</v>
      </c>
      <c r="AC30" s="44" t="n">
        <f aca="false">IF(OR(D92=0,E92=0,F92=0),0,IF(AND(AC$3&gt;=G92,AC$3&lt;H92),F92*MIN(12,E92-(AC$3-G92)*12)/E92,0))</f>
        <v>0</v>
      </c>
      <c r="AD30" s="44" t="n">
        <f aca="false">IF(OR(D92=0,E92=0,F92=0),0,IF(AND(AD$3&gt;=G92,AD$3&lt;H92),F92*MIN(12,E92-(AD$3-G92)*12)/E92,0))</f>
        <v>0</v>
      </c>
      <c r="AE30" s="44" t="n">
        <f aca="false">IF(OR(D92=0,E92=0,F92=0),0,IF(AND(AE$3&gt;=G92,AE$3&lt;H92),F92*MIN(12,E92-(AE$3-G92)*12)/E92,0))</f>
        <v>0</v>
      </c>
      <c r="AF30" s="44" t="n">
        <f aca="false">IF(OR(D92=0,E92=0,F92=0),0,IF(AND(AF$3&gt;=G92,AF$3&lt;H92),F92*MIN(12,E92-(AF$3-G92)*12)/E92,0))</f>
        <v>0</v>
      </c>
      <c r="AG30" s="44" t="n">
        <f aca="false">IF(OR(D92=0,E92=0,F92=0),0,IF(AND(AG$3&gt;=G92,AG$3&lt;H92),F92*MIN(12,E92-(AG$3-G92)*12)/E92,0))</f>
        <v>0</v>
      </c>
      <c r="AH30" s="44" t="n">
        <f aca="false">IF(OR(D92=0,E92=0,F92=0),0,IF(AND(AH$3&gt;=G92,AH$3&lt;H92),F92*MIN(12,E92-(AH$3-G92)*12)/E92,0))</f>
        <v>0</v>
      </c>
      <c r="AI30" s="44" t="n">
        <f aca="false">IF(OR(D92=0,E92=0,F92=0),0,IF(AND(AI$3&gt;=G92,AI$3&lt;H92),F92*MIN(12,E92-(AI$3-G92)*12)/E92,0))</f>
        <v>0</v>
      </c>
      <c r="AJ30" s="44" t="n">
        <f aca="false">IF(OR(D92=0,E92=0,F92=0),0,IF(AND(AJ$3&gt;=G92,AJ$3&lt;H92),F92*MIN(12,E92-(AJ$3-G92)*12)/E92,0))</f>
        <v>0</v>
      </c>
      <c r="AK30" s="44" t="n">
        <f aca="false">IF(OR(D92=0,E92=0,F92=0),0,IF(AND(AK$3&gt;=G92,AK$3&lt;H92),F92*MIN(12,E92-(AK$3-G92)*12)/E92,0))</f>
        <v>0</v>
      </c>
      <c r="AL30" s="44" t="n">
        <f aca="false">IF(OR(D92=0,E92=0,F92=0),0,IF(AND(AL$3&gt;=G92,AL$3&lt;H92),F92*MIN(12,E92-(AL$3-G92)*12)/E92,0))</f>
        <v>0</v>
      </c>
      <c r="AM30" s="44" t="n">
        <f aca="false">IF(OR(D92=0,E92=0,F92=0),0,IF(AND(AM$3&gt;=G92,AM$3&lt;H92),F92*MIN(12,E92-(AM$3-G92)*12)/E92,0))</f>
        <v>0</v>
      </c>
      <c r="AN30" s="44" t="n">
        <f aca="false">IF(OR(D92=0,E92=0,F92=0),0,IF(AND(AN$3&gt;=G92,AN$3&lt;H92),F92*MIN(12,E92-(AN$3-G92)*12)/E92,0))</f>
        <v>0</v>
      </c>
      <c r="AO30" s="44" t="n">
        <f aca="false">IF(OR(D92=0,E92=0,F92=0),0,IF(AND(AO$3&gt;=G92,AO$3&lt;H92),F92*MIN(12,E92-(AO$3-G92)*12)/E92,0))</f>
        <v>0</v>
      </c>
      <c r="AP30" s="44" t="n">
        <f aca="false">IF(OR(D92=0,E92=0,F92=0),0,IF(AND(AP$3&gt;=G92,AP$3&lt;H92),F92*MIN(12,E92-(AP$3-G92)*12)/E92,0))</f>
        <v>0</v>
      </c>
      <c r="AQ30" s="44" t="n">
        <f aca="false">IF(OR(D92=0,E92=0,F92=0),0,IF(AND(AQ$3&gt;=G92,AQ$3&lt;H92),F92*MIN(12,E92-(AQ$3-G92)*12)/E92,0))</f>
        <v>0</v>
      </c>
      <c r="AR30" s="44" t="n">
        <f aca="false">IF(OR(D92=0,E92=0,F92=0),0,IF(AND(AR$3&gt;=G92,AR$3&lt;H92),F92*MIN(12,E92-(AR$3-G92)*12)/E92,0))</f>
        <v>0</v>
      </c>
      <c r="AS30" s="44" t="n">
        <f aca="false">IF(OR(D92=0,E92=0,F92=0),0,IF(AND(AS$3&gt;=G92,AS$3&lt;H92),F92*MIN(12,E92-(AS$3-G92)*12)/E92,0))</f>
        <v>0</v>
      </c>
      <c r="AT30" s="44" t="n">
        <f aca="false">IF(OR(D92=0,E92=0,F92=0),0,IF(AND(AT$3&gt;=G92,AT$3&lt;H92),F92*MIN(12,E92-(AT$3-G92)*12)/E92,0))</f>
        <v>0</v>
      </c>
      <c r="AU30" s="44" t="n">
        <f aca="false">IF(OR(D92=0,E92=0,F92=0),0,IF(AND(AU$3&gt;=G92,AU$3&lt;H92),F92*MIN(12,E92-(AU$3-G92)*12)/E92,0))</f>
        <v>0</v>
      </c>
      <c r="AV30" s="44" t="n">
        <f aca="false">IF(OR(D92=0,E92=0,F92=0),0,IF(AND(AV$3&gt;=G92,AV$3&lt;H92),F92*MIN(12,E92-(AV$3-G92)*12)/E92,0))</f>
        <v>0</v>
      </c>
      <c r="AW30" s="44" t="n">
        <f aca="false">IF(OR(D92=0,E92=0,F92=0),0,IF(AND(AW$3&gt;=G92,AW$3&lt;H92),F92*MIN(12,E92-(AW$3-G92)*12)/E92,0))</f>
        <v>0</v>
      </c>
      <c r="AX30" s="44" t="n">
        <f aca="false">IF(OR(D92=0,E92=0,F92=0),0,IF(AND(AX$3&gt;=G92,AX$3&lt;H92),F92*MIN(12,E92-(AX$3-G92)*12)/E92,0))</f>
        <v>0</v>
      </c>
      <c r="AY30" s="44" t="n">
        <f aca="false">IF(OR(D92=0,E92=0,F92=0),0,IF(AND(AY$3&gt;=G92,AY$3&lt;H92),F92*MIN(12,E92-(AY$3-G92)*12)/E92,0))</f>
        <v>0</v>
      </c>
      <c r="AZ30" s="44" t="n">
        <f aca="false">IF(OR(D92=0,E92=0,F92=0),0,IF(AND(AZ$3&gt;=G92,AZ$3&lt;H92),F92*MIN(12,E92-(AZ$3-G92)*12)/E92,0))</f>
        <v>0</v>
      </c>
      <c r="BA30" s="44" t="n">
        <f aca="false">IF(OR(D92=0,E92=0,F92=0),0,IF(AND(BA$3&gt;=G92,BA$3&lt;H92),F92*MIN(12,E92-(BA$3-G92)*12)/E92,0))</f>
        <v>0</v>
      </c>
      <c r="BB30" s="44" t="n">
        <f aca="false">IF(OR(D92=0,E92=0,F92=0),0,IF(AND(BB$3&gt;=G92,BB$3&lt;H92),F92*MIN(12,E92-(BB$3-G92)*12)/E92,0))</f>
        <v>0</v>
      </c>
    </row>
    <row r="31" customFormat="false" ht="15" hidden="false" customHeight="true" outlineLevel="0" collapsed="false">
      <c r="A31" s="44" t="n">
        <f aca="false">A93</f>
        <v>28</v>
      </c>
      <c r="B31" s="44" t="str">
        <f aca="false">B93</f>
        <v>Flexible Block</v>
      </c>
      <c r="C31" s="44" t="str">
        <f aca="false">C93</f>
        <v>ZAN 3</v>
      </c>
      <c r="D31" s="44" t="n">
        <f aca="false">SUM(E31:BB31)</f>
        <v>12806062.5</v>
      </c>
      <c r="E31" s="44" t="n">
        <f aca="false">IF(OR(D93=0,E93=0,F93=0),0,IF(AND(E$3&gt;=G93,E$3&lt;H93),F93*MIN(12,E93-(E$3-G93)*12)/E93,0))</f>
        <v>0</v>
      </c>
      <c r="F31" s="44" t="n">
        <f aca="false">IF(OR(D93=0,E93=0,F93=0),0,IF(AND(F$3&gt;=G93,F$3&lt;H93),F93*MIN(12,E93-(F$3-G93)*12)/E93,0))</f>
        <v>0</v>
      </c>
      <c r="G31" s="44" t="n">
        <f aca="false">IF(OR(D93=0,E93=0,F93=0),0,IF(AND(G$3&gt;=G93,G$3&lt;H93),F93*MIN(12,E93-(G$3-G93)*12)/E93,0))</f>
        <v>0</v>
      </c>
      <c r="H31" s="44" t="n">
        <f aca="false">IF(OR(D93=0,E93=0,F93=0),0,IF(AND(H$3&gt;=G93,H$3&lt;H93),F93*MIN(12,E93-(H$3-G93)*12)/E93,0))</f>
        <v>0</v>
      </c>
      <c r="I31" s="44" t="n">
        <f aca="false">IF(OR(D93=0,E93=0,F93=0),0,IF(AND(I$3&gt;=G93,I$3&lt;H93),F93*MIN(12,E93-(I$3-G93)*12)/E93,0))</f>
        <v>5122425</v>
      </c>
      <c r="J31" s="44" t="n">
        <f aca="false">IF(OR(D93=0,E93=0,F93=0),0,IF(AND(J$3&gt;=G93,J$3&lt;H93),F93*MIN(12,E93-(J$3-G93)*12)/E93,0))</f>
        <v>5122425</v>
      </c>
      <c r="K31" s="44" t="n">
        <f aca="false">IF(OR(D93=0,E93=0,F93=0),0,IF(AND(K$3&gt;=G93,K$3&lt;H93),F93*MIN(12,E93-(K$3-G93)*12)/E93,0))</f>
        <v>2561212.5</v>
      </c>
      <c r="L31" s="44" t="n">
        <f aca="false">IF(OR(D93=0,E93=0,F93=0),0,IF(AND(L$3&gt;=G93,L$3&lt;H93),F93*MIN(12,E93-(L$3-G93)*12)/E93,0))</f>
        <v>0</v>
      </c>
      <c r="M31" s="44" t="n">
        <f aca="false">IF(OR(D93=0,E93=0,F93=0),0,IF(AND(M$3&gt;=G93,M$3&lt;H93),F93*MIN(12,E93-(M$3-G93)*12)/E93,0))</f>
        <v>0</v>
      </c>
      <c r="N31" s="44" t="n">
        <f aca="false">IF(OR(D93=0,E93=0,F93=0),0,IF(AND(N$3&gt;=G93,N$3&lt;H93),F93*MIN(12,E93-(N$3-G93)*12)/E93,0))</f>
        <v>0</v>
      </c>
      <c r="O31" s="44" t="n">
        <f aca="false">IF(OR(D93=0,E93=0,F93=0),0,IF(AND(O$3&gt;=G93,O$3&lt;H93),F93*MIN(12,E93-(O$3-G93)*12)/E93,0))</f>
        <v>0</v>
      </c>
      <c r="P31" s="44" t="n">
        <f aca="false">IF(OR(D93=0,E93=0,F93=0),0,IF(AND(P$3&gt;=G93,P$3&lt;H93),F93*MIN(12,E93-(P$3-G93)*12)/E93,0))</f>
        <v>0</v>
      </c>
      <c r="Q31" s="44" t="n">
        <f aca="false">IF(OR(D93=0,E93=0,F93=0),0,IF(AND(Q$3&gt;=G93,Q$3&lt;H93),F93*MIN(12,E93-(Q$3-G93)*12)/E93,0))</f>
        <v>0</v>
      </c>
      <c r="R31" s="44" t="n">
        <f aca="false">IF(OR(D93=0,E93=0,F93=0),0,IF(AND(R$3&gt;=G93,R$3&lt;H93),F93*MIN(12,E93-(R$3-G93)*12)/E93,0))</f>
        <v>0</v>
      </c>
      <c r="S31" s="44" t="n">
        <f aca="false">IF(OR(D93=0,E93=0,F93=0),0,IF(AND(S$3&gt;=G93,S$3&lt;H93),F93*MIN(12,E93-(S$3-G93)*12)/E93,0))</f>
        <v>0</v>
      </c>
      <c r="T31" s="44" t="n">
        <f aca="false">IF(OR(D93=0,E93=0,F93=0),0,IF(AND(T$3&gt;=G93,T$3&lt;H93),F93*MIN(12,E93-(T$3-G93)*12)/E93,0))</f>
        <v>0</v>
      </c>
      <c r="U31" s="44" t="n">
        <f aca="false">IF(OR(D93=0,E93=0,F93=0),0,IF(AND(U$3&gt;=G93,U$3&lt;H93),F93*MIN(12,E93-(U$3-G93)*12)/E93,0))</f>
        <v>0</v>
      </c>
      <c r="V31" s="44" t="n">
        <f aca="false">IF(OR(D93=0,E93=0,F93=0),0,IF(AND(V$3&gt;=G93,V$3&lt;H93),F93*MIN(12,E93-(V$3-G93)*12)/E93,0))</f>
        <v>0</v>
      </c>
      <c r="W31" s="44" t="n">
        <f aca="false">IF(OR(D93=0,E93=0,F93=0),0,IF(AND(W$3&gt;=G93,W$3&lt;H93),F93*MIN(12,E93-(W$3-G93)*12)/E93,0))</f>
        <v>0</v>
      </c>
      <c r="X31" s="44" t="n">
        <f aca="false">IF(OR(D93=0,E93=0,F93=0),0,IF(AND(X$3&gt;=G93,X$3&lt;H93),F93*MIN(12,E93-(X$3-G93)*12)/E93,0))</f>
        <v>0</v>
      </c>
      <c r="Y31" s="44" t="n">
        <f aca="false">IF(OR(D93=0,E93=0,F93=0),0,IF(AND(Y$3&gt;=G93,Y$3&lt;H93),F93*MIN(12,E93-(Y$3-G93)*12)/E93,0))</f>
        <v>0</v>
      </c>
      <c r="Z31" s="44" t="n">
        <f aca="false">IF(OR(D93=0,E93=0,F93=0),0,IF(AND(Z$3&gt;=G93,Z$3&lt;H93),F93*MIN(12,E93-(Z$3-G93)*12)/E93,0))</f>
        <v>0</v>
      </c>
      <c r="AA31" s="44" t="n">
        <f aca="false">IF(OR(D93=0,E93=0,F93=0),0,IF(AND(AA$3&gt;=G93,AA$3&lt;H93),F93*MIN(12,E93-(AA$3-G93)*12)/E93,0))</f>
        <v>0</v>
      </c>
      <c r="AB31" s="44" t="n">
        <f aca="false">IF(OR(D93=0,E93=0,F93=0),0,IF(AND(AB$3&gt;=G93,AB$3&lt;H93),F93*MIN(12,E93-(AB$3-G93)*12)/E93,0))</f>
        <v>0</v>
      </c>
      <c r="AC31" s="44" t="n">
        <f aca="false">IF(OR(D93=0,E93=0,F93=0),0,IF(AND(AC$3&gt;=G93,AC$3&lt;H93),F93*MIN(12,E93-(AC$3-G93)*12)/E93,0))</f>
        <v>0</v>
      </c>
      <c r="AD31" s="44" t="n">
        <f aca="false">IF(OR(D93=0,E93=0,F93=0),0,IF(AND(AD$3&gt;=G93,AD$3&lt;H93),F93*MIN(12,E93-(AD$3-G93)*12)/E93,0))</f>
        <v>0</v>
      </c>
      <c r="AE31" s="44" t="n">
        <f aca="false">IF(OR(D93=0,E93=0,F93=0),0,IF(AND(AE$3&gt;=G93,AE$3&lt;H93),F93*MIN(12,E93-(AE$3-G93)*12)/E93,0))</f>
        <v>0</v>
      </c>
      <c r="AF31" s="44" t="n">
        <f aca="false">IF(OR(D93=0,E93=0,F93=0),0,IF(AND(AF$3&gt;=G93,AF$3&lt;H93),F93*MIN(12,E93-(AF$3-G93)*12)/E93,0))</f>
        <v>0</v>
      </c>
      <c r="AG31" s="44" t="n">
        <f aca="false">IF(OR(D93=0,E93=0,F93=0),0,IF(AND(AG$3&gt;=G93,AG$3&lt;H93),F93*MIN(12,E93-(AG$3-G93)*12)/E93,0))</f>
        <v>0</v>
      </c>
      <c r="AH31" s="44" t="n">
        <f aca="false">IF(OR(D93=0,E93=0,F93=0),0,IF(AND(AH$3&gt;=G93,AH$3&lt;H93),F93*MIN(12,E93-(AH$3-G93)*12)/E93,0))</f>
        <v>0</v>
      </c>
      <c r="AI31" s="44" t="n">
        <f aca="false">IF(OR(D93=0,E93=0,F93=0),0,IF(AND(AI$3&gt;=G93,AI$3&lt;H93),F93*MIN(12,E93-(AI$3-G93)*12)/E93,0))</f>
        <v>0</v>
      </c>
      <c r="AJ31" s="44" t="n">
        <f aca="false">IF(OR(D93=0,E93=0,F93=0),0,IF(AND(AJ$3&gt;=G93,AJ$3&lt;H93),F93*MIN(12,E93-(AJ$3-G93)*12)/E93,0))</f>
        <v>0</v>
      </c>
      <c r="AK31" s="44" t="n">
        <f aca="false">IF(OR(D93=0,E93=0,F93=0),0,IF(AND(AK$3&gt;=G93,AK$3&lt;H93),F93*MIN(12,E93-(AK$3-G93)*12)/E93,0))</f>
        <v>0</v>
      </c>
      <c r="AL31" s="44" t="n">
        <f aca="false">IF(OR(D93=0,E93=0,F93=0),0,IF(AND(AL$3&gt;=G93,AL$3&lt;H93),F93*MIN(12,E93-(AL$3-G93)*12)/E93,0))</f>
        <v>0</v>
      </c>
      <c r="AM31" s="44" t="n">
        <f aca="false">IF(OR(D93=0,E93=0,F93=0),0,IF(AND(AM$3&gt;=G93,AM$3&lt;H93),F93*MIN(12,E93-(AM$3-G93)*12)/E93,0))</f>
        <v>0</v>
      </c>
      <c r="AN31" s="44" t="n">
        <f aca="false">IF(OR(D93=0,E93=0,F93=0),0,IF(AND(AN$3&gt;=G93,AN$3&lt;H93),F93*MIN(12,E93-(AN$3-G93)*12)/E93,0))</f>
        <v>0</v>
      </c>
      <c r="AO31" s="44" t="n">
        <f aca="false">IF(OR(D93=0,E93=0,F93=0),0,IF(AND(AO$3&gt;=G93,AO$3&lt;H93),F93*MIN(12,E93-(AO$3-G93)*12)/E93,0))</f>
        <v>0</v>
      </c>
      <c r="AP31" s="44" t="n">
        <f aca="false">IF(OR(D93=0,E93=0,F93=0),0,IF(AND(AP$3&gt;=G93,AP$3&lt;H93),F93*MIN(12,E93-(AP$3-G93)*12)/E93,0))</f>
        <v>0</v>
      </c>
      <c r="AQ31" s="44" t="n">
        <f aca="false">IF(OR(D93=0,E93=0,F93=0),0,IF(AND(AQ$3&gt;=G93,AQ$3&lt;H93),F93*MIN(12,E93-(AQ$3-G93)*12)/E93,0))</f>
        <v>0</v>
      </c>
      <c r="AR31" s="44" t="n">
        <f aca="false">IF(OR(D93=0,E93=0,F93=0),0,IF(AND(AR$3&gt;=G93,AR$3&lt;H93),F93*MIN(12,E93-(AR$3-G93)*12)/E93,0))</f>
        <v>0</v>
      </c>
      <c r="AS31" s="44" t="n">
        <f aca="false">IF(OR(D93=0,E93=0,F93=0),0,IF(AND(AS$3&gt;=G93,AS$3&lt;H93),F93*MIN(12,E93-(AS$3-G93)*12)/E93,0))</f>
        <v>0</v>
      </c>
      <c r="AT31" s="44" t="n">
        <f aca="false">IF(OR(D93=0,E93=0,F93=0),0,IF(AND(AT$3&gt;=G93,AT$3&lt;H93),F93*MIN(12,E93-(AT$3-G93)*12)/E93,0))</f>
        <v>0</v>
      </c>
      <c r="AU31" s="44" t="n">
        <f aca="false">IF(OR(D93=0,E93=0,F93=0),0,IF(AND(AU$3&gt;=G93,AU$3&lt;H93),F93*MIN(12,E93-(AU$3-G93)*12)/E93,0))</f>
        <v>0</v>
      </c>
      <c r="AV31" s="44" t="n">
        <f aca="false">IF(OR(D93=0,E93=0,F93=0),0,IF(AND(AV$3&gt;=G93,AV$3&lt;H93),F93*MIN(12,E93-(AV$3-G93)*12)/E93,0))</f>
        <v>0</v>
      </c>
      <c r="AW31" s="44" t="n">
        <f aca="false">IF(OR(D93=0,E93=0,F93=0),0,IF(AND(AW$3&gt;=G93,AW$3&lt;H93),F93*MIN(12,E93-(AW$3-G93)*12)/E93,0))</f>
        <v>0</v>
      </c>
      <c r="AX31" s="44" t="n">
        <f aca="false">IF(OR(D93=0,E93=0,F93=0),0,IF(AND(AX$3&gt;=G93,AX$3&lt;H93),F93*MIN(12,E93-(AX$3-G93)*12)/E93,0))</f>
        <v>0</v>
      </c>
      <c r="AY31" s="44" t="n">
        <f aca="false">IF(OR(D93=0,E93=0,F93=0),0,IF(AND(AY$3&gt;=G93,AY$3&lt;H93),F93*MIN(12,E93-(AY$3-G93)*12)/E93,0))</f>
        <v>0</v>
      </c>
      <c r="AZ31" s="44" t="n">
        <f aca="false">IF(OR(D93=0,E93=0,F93=0),0,IF(AND(AZ$3&gt;=G93,AZ$3&lt;H93),F93*MIN(12,E93-(AZ$3-G93)*12)/E93,0))</f>
        <v>0</v>
      </c>
      <c r="BA31" s="44" t="n">
        <f aca="false">IF(OR(D93=0,E93=0,F93=0),0,IF(AND(BA$3&gt;=G93,BA$3&lt;H93),F93*MIN(12,E93-(BA$3-G93)*12)/E93,0))</f>
        <v>0</v>
      </c>
      <c r="BB31" s="44" t="n">
        <f aca="false">IF(OR(D93=0,E93=0,F93=0),0,IF(AND(BB$3&gt;=G93,BB$3&lt;H93),F93*MIN(12,E93-(BB$3-G93)*12)/E93,0))</f>
        <v>0</v>
      </c>
    </row>
    <row r="32" customFormat="false" ht="15" hidden="false" customHeight="true" outlineLevel="0" collapsed="false">
      <c r="A32" s="44" t="n">
        <f aca="false">A94</f>
        <v>29</v>
      </c>
      <c r="B32" s="44" t="str">
        <f aca="false">B94</f>
        <v>Yacht Club</v>
      </c>
      <c r="C32" s="44" t="str">
        <f aca="false">C94</f>
        <v>ZAN 3</v>
      </c>
      <c r="D32" s="44" t="n">
        <f aca="false">SUM(E32:BB32)</f>
        <v>18018000</v>
      </c>
      <c r="E32" s="44" t="n">
        <f aca="false">IF(OR(D94=0,E94=0,F94=0),0,IF(AND(E$3&gt;=G94,E$3&lt;H94),F94*MIN(12,E94-(E$3-G94)*12)/E94,0))</f>
        <v>0</v>
      </c>
      <c r="F32" s="44" t="n">
        <f aca="false">IF(OR(D94=0,E94=0,F94=0),0,IF(AND(F$3&gt;=G94,F$3&lt;H94),F94*MIN(12,E94-(F$3-G94)*12)/E94,0))</f>
        <v>0</v>
      </c>
      <c r="G32" s="44" t="n">
        <f aca="false">IF(OR(D94=0,E94=0,F94=0),0,IF(AND(G$3&gt;=G94,G$3&lt;H94),F94*MIN(12,E94-(G$3-G94)*12)/E94,0))</f>
        <v>0</v>
      </c>
      <c r="H32" s="44" t="n">
        <f aca="false">IF(OR(D94=0,E94=0,F94=0),0,IF(AND(H$3&gt;=G94,H$3&lt;H94),F94*MIN(12,E94-(H$3-G94)*12)/E94,0))</f>
        <v>0</v>
      </c>
      <c r="I32" s="44" t="n">
        <f aca="false">IF(OR(D94=0,E94=0,F94=0),0,IF(AND(I$3&gt;=G94,I$3&lt;H94),F94*MIN(12,E94-(I$3-G94)*12)/E94,0))</f>
        <v>7207200</v>
      </c>
      <c r="J32" s="44" t="n">
        <f aca="false">IF(OR(D94=0,E94=0,F94=0),0,IF(AND(J$3&gt;=G94,J$3&lt;H94),F94*MIN(12,E94-(J$3-G94)*12)/E94,0))</f>
        <v>7207200</v>
      </c>
      <c r="K32" s="44" t="n">
        <f aca="false">IF(OR(D94=0,E94=0,F94=0),0,IF(AND(K$3&gt;=G94,K$3&lt;H94),F94*MIN(12,E94-(K$3-G94)*12)/E94,0))</f>
        <v>3603600</v>
      </c>
      <c r="L32" s="44" t="n">
        <f aca="false">IF(OR(D94=0,E94=0,F94=0),0,IF(AND(L$3&gt;=G94,L$3&lt;H94),F94*MIN(12,E94-(L$3-G94)*12)/E94,0))</f>
        <v>0</v>
      </c>
      <c r="M32" s="44" t="n">
        <f aca="false">IF(OR(D94=0,E94=0,F94=0),0,IF(AND(M$3&gt;=G94,M$3&lt;H94),F94*MIN(12,E94-(M$3-G94)*12)/E94,0))</f>
        <v>0</v>
      </c>
      <c r="N32" s="44" t="n">
        <f aca="false">IF(OR(D94=0,E94=0,F94=0),0,IF(AND(N$3&gt;=G94,N$3&lt;H94),F94*MIN(12,E94-(N$3-G94)*12)/E94,0))</f>
        <v>0</v>
      </c>
      <c r="O32" s="44" t="n">
        <f aca="false">IF(OR(D94=0,E94=0,F94=0),0,IF(AND(O$3&gt;=G94,O$3&lt;H94),F94*MIN(12,E94-(O$3-G94)*12)/E94,0))</f>
        <v>0</v>
      </c>
      <c r="P32" s="44" t="n">
        <f aca="false">IF(OR(D94=0,E94=0,F94=0),0,IF(AND(P$3&gt;=G94,P$3&lt;H94),F94*MIN(12,E94-(P$3-G94)*12)/E94,0))</f>
        <v>0</v>
      </c>
      <c r="Q32" s="44" t="n">
        <f aca="false">IF(OR(D94=0,E94=0,F94=0),0,IF(AND(Q$3&gt;=G94,Q$3&lt;H94),F94*MIN(12,E94-(Q$3-G94)*12)/E94,0))</f>
        <v>0</v>
      </c>
      <c r="R32" s="44" t="n">
        <f aca="false">IF(OR(D94=0,E94=0,F94=0),0,IF(AND(R$3&gt;=G94,R$3&lt;H94),F94*MIN(12,E94-(R$3-G94)*12)/E94,0))</f>
        <v>0</v>
      </c>
      <c r="S32" s="44" t="n">
        <f aca="false">IF(OR(D94=0,E94=0,F94=0),0,IF(AND(S$3&gt;=G94,S$3&lt;H94),F94*MIN(12,E94-(S$3-G94)*12)/E94,0))</f>
        <v>0</v>
      </c>
      <c r="T32" s="44" t="n">
        <f aca="false">IF(OR(D94=0,E94=0,F94=0),0,IF(AND(T$3&gt;=G94,T$3&lt;H94),F94*MIN(12,E94-(T$3-G94)*12)/E94,0))</f>
        <v>0</v>
      </c>
      <c r="U32" s="44" t="n">
        <f aca="false">IF(OR(D94=0,E94=0,F94=0),0,IF(AND(U$3&gt;=G94,U$3&lt;H94),F94*MIN(12,E94-(U$3-G94)*12)/E94,0))</f>
        <v>0</v>
      </c>
      <c r="V32" s="44" t="n">
        <f aca="false">IF(OR(D94=0,E94=0,F94=0),0,IF(AND(V$3&gt;=G94,V$3&lt;H94),F94*MIN(12,E94-(V$3-G94)*12)/E94,0))</f>
        <v>0</v>
      </c>
      <c r="W32" s="44" t="n">
        <f aca="false">IF(OR(D94=0,E94=0,F94=0),0,IF(AND(W$3&gt;=G94,W$3&lt;H94),F94*MIN(12,E94-(W$3-G94)*12)/E94,0))</f>
        <v>0</v>
      </c>
      <c r="X32" s="44" t="n">
        <f aca="false">IF(OR(D94=0,E94=0,F94=0),0,IF(AND(X$3&gt;=G94,X$3&lt;H94),F94*MIN(12,E94-(X$3-G94)*12)/E94,0))</f>
        <v>0</v>
      </c>
      <c r="Y32" s="44" t="n">
        <f aca="false">IF(OR(D94=0,E94=0,F94=0),0,IF(AND(Y$3&gt;=G94,Y$3&lt;H94),F94*MIN(12,E94-(Y$3-G94)*12)/E94,0))</f>
        <v>0</v>
      </c>
      <c r="Z32" s="44" t="n">
        <f aca="false">IF(OR(D94=0,E94=0,F94=0),0,IF(AND(Z$3&gt;=G94,Z$3&lt;H94),F94*MIN(12,E94-(Z$3-G94)*12)/E94,0))</f>
        <v>0</v>
      </c>
      <c r="AA32" s="44" t="n">
        <f aca="false">IF(OR(D94=0,E94=0,F94=0),0,IF(AND(AA$3&gt;=G94,AA$3&lt;H94),F94*MIN(12,E94-(AA$3-G94)*12)/E94,0))</f>
        <v>0</v>
      </c>
      <c r="AB32" s="44" t="n">
        <f aca="false">IF(OR(D94=0,E94=0,F94=0),0,IF(AND(AB$3&gt;=G94,AB$3&lt;H94),F94*MIN(12,E94-(AB$3-G94)*12)/E94,0))</f>
        <v>0</v>
      </c>
      <c r="AC32" s="44" t="n">
        <f aca="false">IF(OR(D94=0,E94=0,F94=0),0,IF(AND(AC$3&gt;=G94,AC$3&lt;H94),F94*MIN(12,E94-(AC$3-G94)*12)/E94,0))</f>
        <v>0</v>
      </c>
      <c r="AD32" s="44" t="n">
        <f aca="false">IF(OR(D94=0,E94=0,F94=0),0,IF(AND(AD$3&gt;=G94,AD$3&lt;H94),F94*MIN(12,E94-(AD$3-G94)*12)/E94,0))</f>
        <v>0</v>
      </c>
      <c r="AE32" s="44" t="n">
        <f aca="false">IF(OR(D94=0,E94=0,F94=0),0,IF(AND(AE$3&gt;=G94,AE$3&lt;H94),F94*MIN(12,E94-(AE$3-G94)*12)/E94,0))</f>
        <v>0</v>
      </c>
      <c r="AF32" s="44" t="n">
        <f aca="false">IF(OR(D94=0,E94=0,F94=0),0,IF(AND(AF$3&gt;=G94,AF$3&lt;H94),F94*MIN(12,E94-(AF$3-G94)*12)/E94,0))</f>
        <v>0</v>
      </c>
      <c r="AG32" s="44" t="n">
        <f aca="false">IF(OR(D94=0,E94=0,F94=0),0,IF(AND(AG$3&gt;=G94,AG$3&lt;H94),F94*MIN(12,E94-(AG$3-G94)*12)/E94,0))</f>
        <v>0</v>
      </c>
      <c r="AH32" s="44" t="n">
        <f aca="false">IF(OR(D94=0,E94=0,F94=0),0,IF(AND(AH$3&gt;=G94,AH$3&lt;H94),F94*MIN(12,E94-(AH$3-G94)*12)/E94,0))</f>
        <v>0</v>
      </c>
      <c r="AI32" s="44" t="n">
        <f aca="false">IF(OR(D94=0,E94=0,F94=0),0,IF(AND(AI$3&gt;=G94,AI$3&lt;H94),F94*MIN(12,E94-(AI$3-G94)*12)/E94,0))</f>
        <v>0</v>
      </c>
      <c r="AJ32" s="44" t="n">
        <f aca="false">IF(OR(D94=0,E94=0,F94=0),0,IF(AND(AJ$3&gt;=G94,AJ$3&lt;H94),F94*MIN(12,E94-(AJ$3-G94)*12)/E94,0))</f>
        <v>0</v>
      </c>
      <c r="AK32" s="44" t="n">
        <f aca="false">IF(OR(D94=0,E94=0,F94=0),0,IF(AND(AK$3&gt;=G94,AK$3&lt;H94),F94*MIN(12,E94-(AK$3-G94)*12)/E94,0))</f>
        <v>0</v>
      </c>
      <c r="AL32" s="44" t="n">
        <f aca="false">IF(OR(D94=0,E94=0,F94=0),0,IF(AND(AL$3&gt;=G94,AL$3&lt;H94),F94*MIN(12,E94-(AL$3-G94)*12)/E94,0))</f>
        <v>0</v>
      </c>
      <c r="AM32" s="44" t="n">
        <f aca="false">IF(OR(D94=0,E94=0,F94=0),0,IF(AND(AM$3&gt;=G94,AM$3&lt;H94),F94*MIN(12,E94-(AM$3-G94)*12)/E94,0))</f>
        <v>0</v>
      </c>
      <c r="AN32" s="44" t="n">
        <f aca="false">IF(OR(D94=0,E94=0,F94=0),0,IF(AND(AN$3&gt;=G94,AN$3&lt;H94),F94*MIN(12,E94-(AN$3-G94)*12)/E94,0))</f>
        <v>0</v>
      </c>
      <c r="AO32" s="44" t="n">
        <f aca="false">IF(OR(D94=0,E94=0,F94=0),0,IF(AND(AO$3&gt;=G94,AO$3&lt;H94),F94*MIN(12,E94-(AO$3-G94)*12)/E94,0))</f>
        <v>0</v>
      </c>
      <c r="AP32" s="44" t="n">
        <f aca="false">IF(OR(D94=0,E94=0,F94=0),0,IF(AND(AP$3&gt;=G94,AP$3&lt;H94),F94*MIN(12,E94-(AP$3-G94)*12)/E94,0))</f>
        <v>0</v>
      </c>
      <c r="AQ32" s="44" t="n">
        <f aca="false">IF(OR(D94=0,E94=0,F94=0),0,IF(AND(AQ$3&gt;=G94,AQ$3&lt;H94),F94*MIN(12,E94-(AQ$3-G94)*12)/E94,0))</f>
        <v>0</v>
      </c>
      <c r="AR32" s="44" t="n">
        <f aca="false">IF(OR(D94=0,E94=0,F94=0),0,IF(AND(AR$3&gt;=G94,AR$3&lt;H94),F94*MIN(12,E94-(AR$3-G94)*12)/E94,0))</f>
        <v>0</v>
      </c>
      <c r="AS32" s="44" t="n">
        <f aca="false">IF(OR(D94=0,E94=0,F94=0),0,IF(AND(AS$3&gt;=G94,AS$3&lt;H94),F94*MIN(12,E94-(AS$3-G94)*12)/E94,0))</f>
        <v>0</v>
      </c>
      <c r="AT32" s="44" t="n">
        <f aca="false">IF(OR(D94=0,E94=0,F94=0),0,IF(AND(AT$3&gt;=G94,AT$3&lt;H94),F94*MIN(12,E94-(AT$3-G94)*12)/E94,0))</f>
        <v>0</v>
      </c>
      <c r="AU32" s="44" t="n">
        <f aca="false">IF(OR(D94=0,E94=0,F94=0),0,IF(AND(AU$3&gt;=G94,AU$3&lt;H94),F94*MIN(12,E94-(AU$3-G94)*12)/E94,0))</f>
        <v>0</v>
      </c>
      <c r="AV32" s="44" t="n">
        <f aca="false">IF(OR(D94=0,E94=0,F94=0),0,IF(AND(AV$3&gt;=G94,AV$3&lt;H94),F94*MIN(12,E94-(AV$3-G94)*12)/E94,0))</f>
        <v>0</v>
      </c>
      <c r="AW32" s="44" t="n">
        <f aca="false">IF(OR(D94=0,E94=0,F94=0),0,IF(AND(AW$3&gt;=G94,AW$3&lt;H94),F94*MIN(12,E94-(AW$3-G94)*12)/E94,0))</f>
        <v>0</v>
      </c>
      <c r="AX32" s="44" t="n">
        <f aca="false">IF(OR(D94=0,E94=0,F94=0),0,IF(AND(AX$3&gt;=G94,AX$3&lt;H94),F94*MIN(12,E94-(AX$3-G94)*12)/E94,0))</f>
        <v>0</v>
      </c>
      <c r="AY32" s="44" t="n">
        <f aca="false">IF(OR(D94=0,E94=0,F94=0),0,IF(AND(AY$3&gt;=G94,AY$3&lt;H94),F94*MIN(12,E94-(AY$3-G94)*12)/E94,0))</f>
        <v>0</v>
      </c>
      <c r="AZ32" s="44" t="n">
        <f aca="false">IF(OR(D94=0,E94=0,F94=0),0,IF(AND(AZ$3&gt;=G94,AZ$3&lt;H94),F94*MIN(12,E94-(AZ$3-G94)*12)/E94,0))</f>
        <v>0</v>
      </c>
      <c r="BA32" s="44" t="n">
        <f aca="false">IF(OR(D94=0,E94=0,F94=0),0,IF(AND(BA$3&gt;=G94,BA$3&lt;H94),F94*MIN(12,E94-(BA$3-G94)*12)/E94,0))</f>
        <v>0</v>
      </c>
      <c r="BB32" s="44" t="n">
        <f aca="false">IF(OR(D94=0,E94=0,F94=0),0,IF(AND(BB$3&gt;=G94,BB$3&lt;H94),F94*MIN(12,E94-(BB$3-G94)*12)/E94,0))</f>
        <v>0</v>
      </c>
    </row>
    <row r="33" customFormat="false" ht="15" hidden="false" customHeight="true" outlineLevel="0" collapsed="false">
      <c r="A33" s="44" t="n">
        <f aca="false">A95</f>
        <v>30</v>
      </c>
      <c r="B33" s="44" t="str">
        <f aca="false">B95</f>
        <v>Parking &amp; Landscaping ZAN3</v>
      </c>
      <c r="C33" s="44" t="str">
        <f aca="false">C95</f>
        <v>ZAN 3</v>
      </c>
      <c r="D33" s="44" t="n">
        <f aca="false">SUM(E33:BB33)</f>
        <v>33038934.7430961</v>
      </c>
      <c r="E33" s="44" t="n">
        <f aca="false">IF(OR(D95=0,E95=0,F95=0),0,IF(AND(E$3&gt;=G95,E$3&lt;H95),F95*MIN(12,E95-(E$3-G95)*12)/E95,0))</f>
        <v>0</v>
      </c>
      <c r="F33" s="44" t="n">
        <f aca="false">IF(OR(D95=0,E95=0,F95=0),0,IF(AND(F$3&gt;=G95,F$3&lt;H95),F95*MIN(12,E95-(F$3-G95)*12)/E95,0))</f>
        <v>0</v>
      </c>
      <c r="G33" s="44" t="n">
        <f aca="false">IF(OR(D95=0,E95=0,F95=0),0,IF(AND(G$3&gt;=G95,G$3&lt;H95),F95*MIN(12,E95-(G$3-G95)*12)/E95,0))</f>
        <v>0</v>
      </c>
      <c r="H33" s="44" t="n">
        <f aca="false">IF(OR(D95=0,E95=0,F95=0),0,IF(AND(H$3&gt;=G95,H$3&lt;H95),F95*MIN(12,E95-(H$3-G95)*12)/E95,0))</f>
        <v>0</v>
      </c>
      <c r="I33" s="44" t="n">
        <f aca="false">IF(OR(D95=0,E95=0,F95=0),0,IF(AND(I$3&gt;=G95,I$3&lt;H95),F95*MIN(12,E95-(I$3-G95)*12)/E95,0))</f>
        <v>33038934.7430961</v>
      </c>
      <c r="J33" s="44" t="n">
        <f aca="false">IF(OR(D95=0,E95=0,F95=0),0,IF(AND(J$3&gt;=G95,J$3&lt;H95),F95*MIN(12,E95-(J$3-G95)*12)/E95,0))</f>
        <v>0</v>
      </c>
      <c r="K33" s="44" t="n">
        <f aca="false">IF(OR(D95=0,E95=0,F95=0),0,IF(AND(K$3&gt;=G95,K$3&lt;H95),F95*MIN(12,E95-(K$3-G95)*12)/E95,0))</f>
        <v>0</v>
      </c>
      <c r="L33" s="44" t="n">
        <f aca="false">IF(OR(D95=0,E95=0,F95=0),0,IF(AND(L$3&gt;=G95,L$3&lt;H95),F95*MIN(12,E95-(L$3-G95)*12)/E95,0))</f>
        <v>0</v>
      </c>
      <c r="M33" s="44" t="n">
        <f aca="false">IF(OR(D95=0,E95=0,F95=0),0,IF(AND(M$3&gt;=G95,M$3&lt;H95),F95*MIN(12,E95-(M$3-G95)*12)/E95,0))</f>
        <v>0</v>
      </c>
      <c r="N33" s="44" t="n">
        <f aca="false">IF(OR(D95=0,E95=0,F95=0),0,IF(AND(N$3&gt;=G95,N$3&lt;H95),F95*MIN(12,E95-(N$3-G95)*12)/E95,0))</f>
        <v>0</v>
      </c>
      <c r="O33" s="44" t="n">
        <f aca="false">IF(OR(D95=0,E95=0,F95=0),0,IF(AND(O$3&gt;=G95,O$3&lt;H95),F95*MIN(12,E95-(O$3-G95)*12)/E95,0))</f>
        <v>0</v>
      </c>
      <c r="P33" s="44" t="n">
        <f aca="false">IF(OR(D95=0,E95=0,F95=0),0,IF(AND(P$3&gt;=G95,P$3&lt;H95),F95*MIN(12,E95-(P$3-G95)*12)/E95,0))</f>
        <v>0</v>
      </c>
      <c r="Q33" s="44" t="n">
        <f aca="false">IF(OR(D95=0,E95=0,F95=0),0,IF(AND(Q$3&gt;=G95,Q$3&lt;H95),F95*MIN(12,E95-(Q$3-G95)*12)/E95,0))</f>
        <v>0</v>
      </c>
      <c r="R33" s="44" t="n">
        <f aca="false">IF(OR(D95=0,E95=0,F95=0),0,IF(AND(R$3&gt;=G95,R$3&lt;H95),F95*MIN(12,E95-(R$3-G95)*12)/E95,0))</f>
        <v>0</v>
      </c>
      <c r="S33" s="44" t="n">
        <f aca="false">IF(OR(D95=0,E95=0,F95=0),0,IF(AND(S$3&gt;=G95,S$3&lt;H95),F95*MIN(12,E95-(S$3-G95)*12)/E95,0))</f>
        <v>0</v>
      </c>
      <c r="T33" s="44" t="n">
        <f aca="false">IF(OR(D95=0,E95=0,F95=0),0,IF(AND(T$3&gt;=G95,T$3&lt;H95),F95*MIN(12,E95-(T$3-G95)*12)/E95,0))</f>
        <v>0</v>
      </c>
      <c r="U33" s="44" t="n">
        <f aca="false">IF(OR(D95=0,E95=0,F95=0),0,IF(AND(U$3&gt;=G95,U$3&lt;H95),F95*MIN(12,E95-(U$3-G95)*12)/E95,0))</f>
        <v>0</v>
      </c>
      <c r="V33" s="44" t="n">
        <f aca="false">IF(OR(D95=0,E95=0,F95=0),0,IF(AND(V$3&gt;=G95,V$3&lt;H95),F95*MIN(12,E95-(V$3-G95)*12)/E95,0))</f>
        <v>0</v>
      </c>
      <c r="W33" s="44" t="n">
        <f aca="false">IF(OR(D95=0,E95=0,F95=0),0,IF(AND(W$3&gt;=G95,W$3&lt;H95),F95*MIN(12,E95-(W$3-G95)*12)/E95,0))</f>
        <v>0</v>
      </c>
      <c r="X33" s="44" t="n">
        <f aca="false">IF(OR(D95=0,E95=0,F95=0),0,IF(AND(X$3&gt;=G95,X$3&lt;H95),F95*MIN(12,E95-(X$3-G95)*12)/E95,0))</f>
        <v>0</v>
      </c>
      <c r="Y33" s="44" t="n">
        <f aca="false">IF(OR(D95=0,E95=0,F95=0),0,IF(AND(Y$3&gt;=G95,Y$3&lt;H95),F95*MIN(12,E95-(Y$3-G95)*12)/E95,0))</f>
        <v>0</v>
      </c>
      <c r="Z33" s="44" t="n">
        <f aca="false">IF(OR(D95=0,E95=0,F95=0),0,IF(AND(Z$3&gt;=G95,Z$3&lt;H95),F95*MIN(12,E95-(Z$3-G95)*12)/E95,0))</f>
        <v>0</v>
      </c>
      <c r="AA33" s="44" t="n">
        <f aca="false">IF(OR(D95=0,E95=0,F95=0),0,IF(AND(AA$3&gt;=G95,AA$3&lt;H95),F95*MIN(12,E95-(AA$3-G95)*12)/E95,0))</f>
        <v>0</v>
      </c>
      <c r="AB33" s="44" t="n">
        <f aca="false">IF(OR(D95=0,E95=0,F95=0),0,IF(AND(AB$3&gt;=G95,AB$3&lt;H95),F95*MIN(12,E95-(AB$3-G95)*12)/E95,0))</f>
        <v>0</v>
      </c>
      <c r="AC33" s="44" t="n">
        <f aca="false">IF(OR(D95=0,E95=0,F95=0),0,IF(AND(AC$3&gt;=G95,AC$3&lt;H95),F95*MIN(12,E95-(AC$3-G95)*12)/E95,0))</f>
        <v>0</v>
      </c>
      <c r="AD33" s="44" t="n">
        <f aca="false">IF(OR(D95=0,E95=0,F95=0),0,IF(AND(AD$3&gt;=G95,AD$3&lt;H95),F95*MIN(12,E95-(AD$3-G95)*12)/E95,0))</f>
        <v>0</v>
      </c>
      <c r="AE33" s="44" t="n">
        <f aca="false">IF(OR(D95=0,E95=0,F95=0),0,IF(AND(AE$3&gt;=G95,AE$3&lt;H95),F95*MIN(12,E95-(AE$3-G95)*12)/E95,0))</f>
        <v>0</v>
      </c>
      <c r="AF33" s="44" t="n">
        <f aca="false">IF(OR(D95=0,E95=0,F95=0),0,IF(AND(AF$3&gt;=G95,AF$3&lt;H95),F95*MIN(12,E95-(AF$3-G95)*12)/E95,0))</f>
        <v>0</v>
      </c>
      <c r="AG33" s="44" t="n">
        <f aca="false">IF(OR(D95=0,E95=0,F95=0),0,IF(AND(AG$3&gt;=G95,AG$3&lt;H95),F95*MIN(12,E95-(AG$3-G95)*12)/E95,0))</f>
        <v>0</v>
      </c>
      <c r="AH33" s="44" t="n">
        <f aca="false">IF(OR(D95=0,E95=0,F95=0),0,IF(AND(AH$3&gt;=G95,AH$3&lt;H95),F95*MIN(12,E95-(AH$3-G95)*12)/E95,0))</f>
        <v>0</v>
      </c>
      <c r="AI33" s="44" t="n">
        <f aca="false">IF(OR(D95=0,E95=0,F95=0),0,IF(AND(AI$3&gt;=G95,AI$3&lt;H95),F95*MIN(12,E95-(AI$3-G95)*12)/E95,0))</f>
        <v>0</v>
      </c>
      <c r="AJ33" s="44" t="n">
        <f aca="false">IF(OR(D95=0,E95=0,F95=0),0,IF(AND(AJ$3&gt;=G95,AJ$3&lt;H95),F95*MIN(12,E95-(AJ$3-G95)*12)/E95,0))</f>
        <v>0</v>
      </c>
      <c r="AK33" s="44" t="n">
        <f aca="false">IF(OR(D95=0,E95=0,F95=0),0,IF(AND(AK$3&gt;=G95,AK$3&lt;H95),F95*MIN(12,E95-(AK$3-G95)*12)/E95,0))</f>
        <v>0</v>
      </c>
      <c r="AL33" s="44" t="n">
        <f aca="false">IF(OR(D95=0,E95=0,F95=0),0,IF(AND(AL$3&gt;=G95,AL$3&lt;H95),F95*MIN(12,E95-(AL$3-G95)*12)/E95,0))</f>
        <v>0</v>
      </c>
      <c r="AM33" s="44" t="n">
        <f aca="false">IF(OR(D95=0,E95=0,F95=0),0,IF(AND(AM$3&gt;=G95,AM$3&lt;H95),F95*MIN(12,E95-(AM$3-G95)*12)/E95,0))</f>
        <v>0</v>
      </c>
      <c r="AN33" s="44" t="n">
        <f aca="false">IF(OR(D95=0,E95=0,F95=0),0,IF(AND(AN$3&gt;=G95,AN$3&lt;H95),F95*MIN(12,E95-(AN$3-G95)*12)/E95,0))</f>
        <v>0</v>
      </c>
      <c r="AO33" s="44" t="n">
        <f aca="false">IF(OR(D95=0,E95=0,F95=0),0,IF(AND(AO$3&gt;=G95,AO$3&lt;H95),F95*MIN(12,E95-(AO$3-G95)*12)/E95,0))</f>
        <v>0</v>
      </c>
      <c r="AP33" s="44" t="n">
        <f aca="false">IF(OR(D95=0,E95=0,F95=0),0,IF(AND(AP$3&gt;=G95,AP$3&lt;H95),F95*MIN(12,E95-(AP$3-G95)*12)/E95,0))</f>
        <v>0</v>
      </c>
      <c r="AQ33" s="44" t="n">
        <f aca="false">IF(OR(D95=0,E95=0,F95=0),0,IF(AND(AQ$3&gt;=G95,AQ$3&lt;H95),F95*MIN(12,E95-(AQ$3-G95)*12)/E95,0))</f>
        <v>0</v>
      </c>
      <c r="AR33" s="44" t="n">
        <f aca="false">IF(OR(D95=0,E95=0,F95=0),0,IF(AND(AR$3&gt;=G95,AR$3&lt;H95),F95*MIN(12,E95-(AR$3-G95)*12)/E95,0))</f>
        <v>0</v>
      </c>
      <c r="AS33" s="44" t="n">
        <f aca="false">IF(OR(D95=0,E95=0,F95=0),0,IF(AND(AS$3&gt;=G95,AS$3&lt;H95),F95*MIN(12,E95-(AS$3-G95)*12)/E95,0))</f>
        <v>0</v>
      </c>
      <c r="AT33" s="44" t="n">
        <f aca="false">IF(OR(D95=0,E95=0,F95=0),0,IF(AND(AT$3&gt;=G95,AT$3&lt;H95),F95*MIN(12,E95-(AT$3-G95)*12)/E95,0))</f>
        <v>0</v>
      </c>
      <c r="AU33" s="44" t="n">
        <f aca="false">IF(OR(D95=0,E95=0,F95=0),0,IF(AND(AU$3&gt;=G95,AU$3&lt;H95),F95*MIN(12,E95-(AU$3-G95)*12)/E95,0))</f>
        <v>0</v>
      </c>
      <c r="AV33" s="44" t="n">
        <f aca="false">IF(OR(D95=0,E95=0,F95=0),0,IF(AND(AV$3&gt;=G95,AV$3&lt;H95),F95*MIN(12,E95-(AV$3-G95)*12)/E95,0))</f>
        <v>0</v>
      </c>
      <c r="AW33" s="44" t="n">
        <f aca="false">IF(OR(D95=0,E95=0,F95=0),0,IF(AND(AW$3&gt;=G95,AW$3&lt;H95),F95*MIN(12,E95-(AW$3-G95)*12)/E95,0))</f>
        <v>0</v>
      </c>
      <c r="AX33" s="44" t="n">
        <f aca="false">IF(OR(D95=0,E95=0,F95=0),0,IF(AND(AX$3&gt;=G95,AX$3&lt;H95),F95*MIN(12,E95-(AX$3-G95)*12)/E95,0))</f>
        <v>0</v>
      </c>
      <c r="AY33" s="44" t="n">
        <f aca="false">IF(OR(D95=0,E95=0,F95=0),0,IF(AND(AY$3&gt;=G95,AY$3&lt;H95),F95*MIN(12,E95-(AY$3-G95)*12)/E95,0))</f>
        <v>0</v>
      </c>
      <c r="AZ33" s="44" t="n">
        <f aca="false">IF(OR(D95=0,E95=0,F95=0),0,IF(AND(AZ$3&gt;=G95,AZ$3&lt;H95),F95*MIN(12,E95-(AZ$3-G95)*12)/E95,0))</f>
        <v>0</v>
      </c>
      <c r="BA33" s="44" t="n">
        <f aca="false">IF(OR(D95=0,E95=0,F95=0),0,IF(AND(BA$3&gt;=G95,BA$3&lt;H95),F95*MIN(12,E95-(BA$3-G95)*12)/E95,0))</f>
        <v>0</v>
      </c>
      <c r="BB33" s="44" t="n">
        <f aca="false">IF(OR(D95=0,E95=0,F95=0),0,IF(AND(BB$3&gt;=G95,BB$3&lt;H95),F95*MIN(12,E95-(BB$3-G95)*12)/E95,0))</f>
        <v>0</v>
      </c>
    </row>
    <row r="35" customFormat="false" ht="15" hidden="false" customHeight="true" outlineLevel="0" collapsed="false">
      <c r="A35" s="45" t="s">
        <v>231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</row>
    <row r="36" customFormat="false" ht="15" hidden="false" customHeight="true" outlineLevel="0" collapsed="false">
      <c r="B36" s="47" t="s">
        <v>45</v>
      </c>
      <c r="D36" s="44" t="n">
        <f aca="false">SUM(E36:BB36)</f>
        <v>386354389.52184</v>
      </c>
      <c r="E36" s="44" t="n">
        <f aca="false">SUMPRODUCT(($C$4:$C$33="ZAN 1")*E$4:E$33)</f>
        <v>0</v>
      </c>
      <c r="F36" s="44" t="n">
        <f aca="false">SUMPRODUCT(($C$4:$C$33="ZAN 1")*F$4:F$33)</f>
        <v>0</v>
      </c>
      <c r="G36" s="44" t="n">
        <f aca="false">SUMPRODUCT(($C$4:$C$33="ZAN 1")*G$4:G$33)</f>
        <v>115257373</v>
      </c>
      <c r="H36" s="44" t="n">
        <f aca="false">SUMPRODUCT(($C$4:$C$33="ZAN 1")*H$4:H$33)</f>
        <v>107381428</v>
      </c>
      <c r="I36" s="44" t="n">
        <f aca="false">SUMPRODUCT(($C$4:$C$33="ZAN 1")*I$4:I$33)</f>
        <v>163715588.52184</v>
      </c>
      <c r="J36" s="44" t="n">
        <f aca="false">SUMPRODUCT(($C$4:$C$33="ZAN 1")*J$4:J$33)</f>
        <v>0</v>
      </c>
      <c r="K36" s="44" t="n">
        <f aca="false">SUMPRODUCT(($C$4:$C$33="ZAN 1")*K$4:K$33)</f>
        <v>0</v>
      </c>
      <c r="L36" s="44" t="n">
        <f aca="false">SUMPRODUCT(($C$4:$C$33="ZAN 1")*L$4:L$33)</f>
        <v>0</v>
      </c>
      <c r="M36" s="44" t="n">
        <f aca="false">SUMPRODUCT(($C$4:$C$33="ZAN 1")*M$4:M$33)</f>
        <v>0</v>
      </c>
      <c r="N36" s="44" t="n">
        <f aca="false">SUMPRODUCT(($C$4:$C$33="ZAN 1")*N$4:N$33)</f>
        <v>0</v>
      </c>
      <c r="O36" s="44" t="n">
        <f aca="false">SUMPRODUCT(($C$4:$C$33="ZAN 1")*O$4:O$33)</f>
        <v>0</v>
      </c>
      <c r="P36" s="44" t="n">
        <f aca="false">SUMPRODUCT(($C$4:$C$33="ZAN 1")*P$4:P$33)</f>
        <v>0</v>
      </c>
      <c r="Q36" s="44" t="n">
        <f aca="false">SUMPRODUCT(($C$4:$C$33="ZAN 1")*Q$4:Q$33)</f>
        <v>0</v>
      </c>
      <c r="R36" s="44" t="n">
        <f aca="false">SUMPRODUCT(($C$4:$C$33="ZAN 1")*R$4:R$33)</f>
        <v>0</v>
      </c>
      <c r="S36" s="44" t="n">
        <f aca="false">SUMPRODUCT(($C$4:$C$33="ZAN 1")*S$4:S$33)</f>
        <v>0</v>
      </c>
      <c r="T36" s="44" t="n">
        <f aca="false">SUMPRODUCT(($C$4:$C$33="ZAN 1")*T$4:T$33)</f>
        <v>0</v>
      </c>
      <c r="U36" s="44" t="n">
        <f aca="false">SUMPRODUCT(($C$4:$C$33="ZAN 1")*U$4:U$33)</f>
        <v>0</v>
      </c>
      <c r="V36" s="44" t="n">
        <f aca="false">SUMPRODUCT(($C$4:$C$33="ZAN 1")*V$4:V$33)</f>
        <v>0</v>
      </c>
      <c r="W36" s="44" t="n">
        <f aca="false">SUMPRODUCT(($C$4:$C$33="ZAN 1")*W$4:W$33)</f>
        <v>0</v>
      </c>
      <c r="X36" s="44" t="n">
        <f aca="false">SUMPRODUCT(($C$4:$C$33="ZAN 1")*X$4:X$33)</f>
        <v>0</v>
      </c>
      <c r="Y36" s="44" t="n">
        <f aca="false">SUMPRODUCT(($C$4:$C$33="ZAN 1")*Y$4:Y$33)</f>
        <v>0</v>
      </c>
      <c r="Z36" s="44" t="n">
        <f aca="false">SUMPRODUCT(($C$4:$C$33="ZAN 1")*Z$4:Z$33)</f>
        <v>0</v>
      </c>
      <c r="AA36" s="44" t="n">
        <f aca="false">SUMPRODUCT(($C$4:$C$33="ZAN 1")*AA$4:AA$33)</f>
        <v>0</v>
      </c>
      <c r="AB36" s="44" t="n">
        <f aca="false">SUMPRODUCT(($C$4:$C$33="ZAN 1")*AB$4:AB$33)</f>
        <v>0</v>
      </c>
      <c r="AC36" s="44" t="n">
        <f aca="false">SUMPRODUCT(($C$4:$C$33="ZAN 1")*AC$4:AC$33)</f>
        <v>0</v>
      </c>
      <c r="AD36" s="44" t="n">
        <f aca="false">SUMPRODUCT(($C$4:$C$33="ZAN 1")*AD$4:AD$33)</f>
        <v>0</v>
      </c>
      <c r="AE36" s="44" t="n">
        <f aca="false">SUMPRODUCT(($C$4:$C$33="ZAN 1")*AE$4:AE$33)</f>
        <v>0</v>
      </c>
      <c r="AF36" s="44" t="n">
        <f aca="false">SUMPRODUCT(($C$4:$C$33="ZAN 1")*AF$4:AF$33)</f>
        <v>0</v>
      </c>
      <c r="AG36" s="44" t="n">
        <f aca="false">SUMPRODUCT(($C$4:$C$33="ZAN 1")*AG$4:AG$33)</f>
        <v>0</v>
      </c>
      <c r="AH36" s="44" t="n">
        <f aca="false">SUMPRODUCT(($C$4:$C$33="ZAN 1")*AH$4:AH$33)</f>
        <v>0</v>
      </c>
      <c r="AI36" s="44" t="n">
        <f aca="false">SUMPRODUCT(($C$4:$C$33="ZAN 1")*AI$4:AI$33)</f>
        <v>0</v>
      </c>
      <c r="AJ36" s="44" t="n">
        <f aca="false">SUMPRODUCT(($C$4:$C$33="ZAN 1")*AJ$4:AJ$33)</f>
        <v>0</v>
      </c>
      <c r="AK36" s="44" t="n">
        <f aca="false">SUMPRODUCT(($C$4:$C$33="ZAN 1")*AK$4:AK$33)</f>
        <v>0</v>
      </c>
      <c r="AL36" s="44" t="n">
        <f aca="false">SUMPRODUCT(($C$4:$C$33="ZAN 1")*AL$4:AL$33)</f>
        <v>0</v>
      </c>
      <c r="AM36" s="44" t="n">
        <f aca="false">SUMPRODUCT(($C$4:$C$33="ZAN 1")*AM$4:AM$33)</f>
        <v>0</v>
      </c>
      <c r="AN36" s="44" t="n">
        <f aca="false">SUMPRODUCT(($C$4:$C$33="ZAN 1")*AN$4:AN$33)</f>
        <v>0</v>
      </c>
      <c r="AO36" s="44" t="n">
        <f aca="false">SUMPRODUCT(($C$4:$C$33="ZAN 1")*AO$4:AO$33)</f>
        <v>0</v>
      </c>
      <c r="AP36" s="44" t="n">
        <f aca="false">SUMPRODUCT(($C$4:$C$33="ZAN 1")*AP$4:AP$33)</f>
        <v>0</v>
      </c>
      <c r="AQ36" s="44" t="n">
        <f aca="false">SUMPRODUCT(($C$4:$C$33="ZAN 1")*AQ$4:AQ$33)</f>
        <v>0</v>
      </c>
      <c r="AR36" s="44" t="n">
        <f aca="false">SUMPRODUCT(($C$4:$C$33="ZAN 1")*AR$4:AR$33)</f>
        <v>0</v>
      </c>
      <c r="AS36" s="44" t="n">
        <f aca="false">SUMPRODUCT(($C$4:$C$33="ZAN 1")*AS$4:AS$33)</f>
        <v>0</v>
      </c>
      <c r="AT36" s="44" t="n">
        <f aca="false">SUMPRODUCT(($C$4:$C$33="ZAN 1")*AT$4:AT$33)</f>
        <v>0</v>
      </c>
      <c r="AU36" s="44" t="n">
        <f aca="false">SUMPRODUCT(($C$4:$C$33="ZAN 1")*AU$4:AU$33)</f>
        <v>0</v>
      </c>
      <c r="AV36" s="44" t="n">
        <f aca="false">SUMPRODUCT(($C$4:$C$33="ZAN 1")*AV$4:AV$33)</f>
        <v>0</v>
      </c>
      <c r="AW36" s="44" t="n">
        <f aca="false">SUMPRODUCT(($C$4:$C$33="ZAN 1")*AW$4:AW$33)</f>
        <v>0</v>
      </c>
      <c r="AX36" s="44" t="n">
        <f aca="false">SUMPRODUCT(($C$4:$C$33="ZAN 1")*AX$4:AX$33)</f>
        <v>0</v>
      </c>
      <c r="AY36" s="44" t="n">
        <f aca="false">SUMPRODUCT(($C$4:$C$33="ZAN 1")*AY$4:AY$33)</f>
        <v>0</v>
      </c>
      <c r="AZ36" s="44" t="n">
        <f aca="false">SUMPRODUCT(($C$4:$C$33="ZAN 1")*AZ$4:AZ$33)</f>
        <v>0</v>
      </c>
      <c r="BA36" s="44" t="n">
        <f aca="false">SUMPRODUCT(($C$4:$C$33="ZAN 1")*BA$4:BA$33)</f>
        <v>0</v>
      </c>
      <c r="BB36" s="44" t="n">
        <f aca="false">SUMPRODUCT(($C$4:$C$33="ZAN 1")*BB$4:BB$33)</f>
        <v>0</v>
      </c>
    </row>
    <row r="37" customFormat="false" ht="15" hidden="false" customHeight="true" outlineLevel="0" collapsed="false">
      <c r="B37" s="47" t="s">
        <v>46</v>
      </c>
      <c r="D37" s="44" t="n">
        <f aca="false">SUM(E37:BB37)</f>
        <v>496004466.735064</v>
      </c>
      <c r="E37" s="44" t="n">
        <f aca="false">SUMPRODUCT(($C$4:$C$33="ZAN 2")*E$4:E$33)</f>
        <v>0</v>
      </c>
      <c r="F37" s="44" t="n">
        <f aca="false">SUMPRODUCT(($C$4:$C$33="ZAN 2")*F$4:F$33)</f>
        <v>0</v>
      </c>
      <c r="G37" s="44" t="n">
        <f aca="false">SUMPRODUCT(($C$4:$C$33="ZAN 2")*G$4:G$33)</f>
        <v>0</v>
      </c>
      <c r="H37" s="44" t="n">
        <f aca="false">SUMPRODUCT(($C$4:$C$33="ZAN 2")*H$4:H$33)</f>
        <v>169571301.9</v>
      </c>
      <c r="I37" s="44" t="n">
        <f aca="false">SUMPRODUCT(($C$4:$C$33="ZAN 2")*I$4:I$33)</f>
        <v>206151187.635064</v>
      </c>
      <c r="J37" s="44" t="n">
        <f aca="false">SUMPRODUCT(($C$4:$C$33="ZAN 2")*J$4:J$33)</f>
        <v>93393577.2</v>
      </c>
      <c r="K37" s="44" t="n">
        <f aca="false">SUMPRODUCT(($C$4:$C$33="ZAN 2")*K$4:K$33)</f>
        <v>26888400</v>
      </c>
      <c r="L37" s="44" t="n">
        <f aca="false">SUMPRODUCT(($C$4:$C$33="ZAN 2")*L$4:L$33)</f>
        <v>0</v>
      </c>
      <c r="M37" s="44" t="n">
        <f aca="false">SUMPRODUCT(($C$4:$C$33="ZAN 2")*M$4:M$33)</f>
        <v>0</v>
      </c>
      <c r="N37" s="44" t="n">
        <f aca="false">SUMPRODUCT(($C$4:$C$33="ZAN 2")*N$4:N$33)</f>
        <v>0</v>
      </c>
      <c r="O37" s="44" t="n">
        <f aca="false">SUMPRODUCT(($C$4:$C$33="ZAN 2")*O$4:O$33)</f>
        <v>0</v>
      </c>
      <c r="P37" s="44" t="n">
        <f aca="false">SUMPRODUCT(($C$4:$C$33="ZAN 2")*P$4:P$33)</f>
        <v>0</v>
      </c>
      <c r="Q37" s="44" t="n">
        <f aca="false">SUMPRODUCT(($C$4:$C$33="ZAN 2")*Q$4:Q$33)</f>
        <v>0</v>
      </c>
      <c r="R37" s="44" t="n">
        <f aca="false">SUMPRODUCT(($C$4:$C$33="ZAN 2")*R$4:R$33)</f>
        <v>0</v>
      </c>
      <c r="S37" s="44" t="n">
        <f aca="false">SUMPRODUCT(($C$4:$C$33="ZAN 2")*S$4:S$33)</f>
        <v>0</v>
      </c>
      <c r="T37" s="44" t="n">
        <f aca="false">SUMPRODUCT(($C$4:$C$33="ZAN 2")*T$4:T$33)</f>
        <v>0</v>
      </c>
      <c r="U37" s="44" t="n">
        <f aca="false">SUMPRODUCT(($C$4:$C$33="ZAN 2")*U$4:U$33)</f>
        <v>0</v>
      </c>
      <c r="V37" s="44" t="n">
        <f aca="false">SUMPRODUCT(($C$4:$C$33="ZAN 2")*V$4:V$33)</f>
        <v>0</v>
      </c>
      <c r="W37" s="44" t="n">
        <f aca="false">SUMPRODUCT(($C$4:$C$33="ZAN 2")*W$4:W$33)</f>
        <v>0</v>
      </c>
      <c r="X37" s="44" t="n">
        <f aca="false">SUMPRODUCT(($C$4:$C$33="ZAN 2")*X$4:X$33)</f>
        <v>0</v>
      </c>
      <c r="Y37" s="44" t="n">
        <f aca="false">SUMPRODUCT(($C$4:$C$33="ZAN 2")*Y$4:Y$33)</f>
        <v>0</v>
      </c>
      <c r="Z37" s="44" t="n">
        <f aca="false">SUMPRODUCT(($C$4:$C$33="ZAN 2")*Z$4:Z$33)</f>
        <v>0</v>
      </c>
      <c r="AA37" s="44" t="n">
        <f aca="false">SUMPRODUCT(($C$4:$C$33="ZAN 2")*AA$4:AA$33)</f>
        <v>0</v>
      </c>
      <c r="AB37" s="44" t="n">
        <f aca="false">SUMPRODUCT(($C$4:$C$33="ZAN 2")*AB$4:AB$33)</f>
        <v>0</v>
      </c>
      <c r="AC37" s="44" t="n">
        <f aca="false">SUMPRODUCT(($C$4:$C$33="ZAN 2")*AC$4:AC$33)</f>
        <v>0</v>
      </c>
      <c r="AD37" s="44" t="n">
        <f aca="false">SUMPRODUCT(($C$4:$C$33="ZAN 2")*AD$4:AD$33)</f>
        <v>0</v>
      </c>
      <c r="AE37" s="44" t="n">
        <f aca="false">SUMPRODUCT(($C$4:$C$33="ZAN 2")*AE$4:AE$33)</f>
        <v>0</v>
      </c>
      <c r="AF37" s="44" t="n">
        <f aca="false">SUMPRODUCT(($C$4:$C$33="ZAN 2")*AF$4:AF$33)</f>
        <v>0</v>
      </c>
      <c r="AG37" s="44" t="n">
        <f aca="false">SUMPRODUCT(($C$4:$C$33="ZAN 2")*AG$4:AG$33)</f>
        <v>0</v>
      </c>
      <c r="AH37" s="44" t="n">
        <f aca="false">SUMPRODUCT(($C$4:$C$33="ZAN 2")*AH$4:AH$33)</f>
        <v>0</v>
      </c>
      <c r="AI37" s="44" t="n">
        <f aca="false">SUMPRODUCT(($C$4:$C$33="ZAN 2")*AI$4:AI$33)</f>
        <v>0</v>
      </c>
      <c r="AJ37" s="44" t="n">
        <f aca="false">SUMPRODUCT(($C$4:$C$33="ZAN 2")*AJ$4:AJ$33)</f>
        <v>0</v>
      </c>
      <c r="AK37" s="44" t="n">
        <f aca="false">SUMPRODUCT(($C$4:$C$33="ZAN 2")*AK$4:AK$33)</f>
        <v>0</v>
      </c>
      <c r="AL37" s="44" t="n">
        <f aca="false">SUMPRODUCT(($C$4:$C$33="ZAN 2")*AL$4:AL$33)</f>
        <v>0</v>
      </c>
      <c r="AM37" s="44" t="n">
        <f aca="false">SUMPRODUCT(($C$4:$C$33="ZAN 2")*AM$4:AM$33)</f>
        <v>0</v>
      </c>
      <c r="AN37" s="44" t="n">
        <f aca="false">SUMPRODUCT(($C$4:$C$33="ZAN 2")*AN$4:AN$33)</f>
        <v>0</v>
      </c>
      <c r="AO37" s="44" t="n">
        <f aca="false">SUMPRODUCT(($C$4:$C$33="ZAN 2")*AO$4:AO$33)</f>
        <v>0</v>
      </c>
      <c r="AP37" s="44" t="n">
        <f aca="false">SUMPRODUCT(($C$4:$C$33="ZAN 2")*AP$4:AP$33)</f>
        <v>0</v>
      </c>
      <c r="AQ37" s="44" t="n">
        <f aca="false">SUMPRODUCT(($C$4:$C$33="ZAN 2")*AQ$4:AQ$33)</f>
        <v>0</v>
      </c>
      <c r="AR37" s="44" t="n">
        <f aca="false">SUMPRODUCT(($C$4:$C$33="ZAN 2")*AR$4:AR$33)</f>
        <v>0</v>
      </c>
      <c r="AS37" s="44" t="n">
        <f aca="false">SUMPRODUCT(($C$4:$C$33="ZAN 2")*AS$4:AS$33)</f>
        <v>0</v>
      </c>
      <c r="AT37" s="44" t="n">
        <f aca="false">SUMPRODUCT(($C$4:$C$33="ZAN 2")*AT$4:AT$33)</f>
        <v>0</v>
      </c>
      <c r="AU37" s="44" t="n">
        <f aca="false">SUMPRODUCT(($C$4:$C$33="ZAN 2")*AU$4:AU$33)</f>
        <v>0</v>
      </c>
      <c r="AV37" s="44" t="n">
        <f aca="false">SUMPRODUCT(($C$4:$C$33="ZAN 2")*AV$4:AV$33)</f>
        <v>0</v>
      </c>
      <c r="AW37" s="44" t="n">
        <f aca="false">SUMPRODUCT(($C$4:$C$33="ZAN 2")*AW$4:AW$33)</f>
        <v>0</v>
      </c>
      <c r="AX37" s="44" t="n">
        <f aca="false">SUMPRODUCT(($C$4:$C$33="ZAN 2")*AX$4:AX$33)</f>
        <v>0</v>
      </c>
      <c r="AY37" s="44" t="n">
        <f aca="false">SUMPRODUCT(($C$4:$C$33="ZAN 2")*AY$4:AY$33)</f>
        <v>0</v>
      </c>
      <c r="AZ37" s="44" t="n">
        <f aca="false">SUMPRODUCT(($C$4:$C$33="ZAN 2")*AZ$4:AZ$33)</f>
        <v>0</v>
      </c>
      <c r="BA37" s="44" t="n">
        <f aca="false">SUMPRODUCT(($C$4:$C$33="ZAN 2")*BA$4:BA$33)</f>
        <v>0</v>
      </c>
      <c r="BB37" s="44" t="n">
        <f aca="false">SUMPRODUCT(($C$4:$C$33="ZAN 2")*BB$4:BB$33)</f>
        <v>0</v>
      </c>
    </row>
    <row r="38" customFormat="false" ht="15" hidden="false" customHeight="true" outlineLevel="0" collapsed="false">
      <c r="B38" s="47" t="s">
        <v>47</v>
      </c>
      <c r="D38" s="44" t="n">
        <f aca="false">SUM(E38:BB38)</f>
        <v>465794899.538096</v>
      </c>
      <c r="E38" s="44" t="n">
        <f aca="false">SUMPRODUCT(($C$4:$C$33="ZAN 3")*E$4:E$33)</f>
        <v>0</v>
      </c>
      <c r="F38" s="44" t="n">
        <f aca="false">SUMPRODUCT(($C$4:$C$33="ZAN 3")*F$4:F$33)</f>
        <v>0</v>
      </c>
      <c r="G38" s="44" t="n">
        <f aca="false">SUMPRODUCT(($C$4:$C$33="ZAN 3")*G$4:G$33)</f>
        <v>0</v>
      </c>
      <c r="H38" s="44" t="n">
        <f aca="false">SUMPRODUCT(($C$4:$C$33="ZAN 3")*H$4:H$33)</f>
        <v>0</v>
      </c>
      <c r="I38" s="44" t="n">
        <f aca="false">SUMPRODUCT(($C$4:$C$33="ZAN 3")*I$4:I$33)</f>
        <v>213888290.738096</v>
      </c>
      <c r="J38" s="44" t="n">
        <f aca="false">SUMPRODUCT(($C$4:$C$33="ZAN 3")*J$4:J$33)</f>
        <v>174660994.2</v>
      </c>
      <c r="K38" s="44" t="n">
        <f aca="false">SUMPRODUCT(($C$4:$C$33="ZAN 3")*K$4:K$33)</f>
        <v>77245614.6</v>
      </c>
      <c r="L38" s="44" t="n">
        <f aca="false">SUMPRODUCT(($C$4:$C$33="ZAN 3")*L$4:L$33)</f>
        <v>0</v>
      </c>
      <c r="M38" s="44" t="n">
        <f aca="false">SUMPRODUCT(($C$4:$C$33="ZAN 3")*M$4:M$33)</f>
        <v>0</v>
      </c>
      <c r="N38" s="44" t="n">
        <f aca="false">SUMPRODUCT(($C$4:$C$33="ZAN 3")*N$4:N$33)</f>
        <v>0</v>
      </c>
      <c r="O38" s="44" t="n">
        <f aca="false">SUMPRODUCT(($C$4:$C$33="ZAN 3")*O$4:O$33)</f>
        <v>0</v>
      </c>
      <c r="P38" s="44" t="n">
        <f aca="false">SUMPRODUCT(($C$4:$C$33="ZAN 3")*P$4:P$33)</f>
        <v>0</v>
      </c>
      <c r="Q38" s="44" t="n">
        <f aca="false">SUMPRODUCT(($C$4:$C$33="ZAN 3")*Q$4:Q$33)</f>
        <v>0</v>
      </c>
      <c r="R38" s="44" t="n">
        <f aca="false">SUMPRODUCT(($C$4:$C$33="ZAN 3")*R$4:R$33)</f>
        <v>0</v>
      </c>
      <c r="S38" s="44" t="n">
        <f aca="false">SUMPRODUCT(($C$4:$C$33="ZAN 3")*S$4:S$33)</f>
        <v>0</v>
      </c>
      <c r="T38" s="44" t="n">
        <f aca="false">SUMPRODUCT(($C$4:$C$33="ZAN 3")*T$4:T$33)</f>
        <v>0</v>
      </c>
      <c r="U38" s="44" t="n">
        <f aca="false">SUMPRODUCT(($C$4:$C$33="ZAN 3")*U$4:U$33)</f>
        <v>0</v>
      </c>
      <c r="V38" s="44" t="n">
        <f aca="false">SUMPRODUCT(($C$4:$C$33="ZAN 3")*V$4:V$33)</f>
        <v>0</v>
      </c>
      <c r="W38" s="44" t="n">
        <f aca="false">SUMPRODUCT(($C$4:$C$33="ZAN 3")*W$4:W$33)</f>
        <v>0</v>
      </c>
      <c r="X38" s="44" t="n">
        <f aca="false">SUMPRODUCT(($C$4:$C$33="ZAN 3")*X$4:X$33)</f>
        <v>0</v>
      </c>
      <c r="Y38" s="44" t="n">
        <f aca="false">SUMPRODUCT(($C$4:$C$33="ZAN 3")*Y$4:Y$33)</f>
        <v>0</v>
      </c>
      <c r="Z38" s="44" t="n">
        <f aca="false">SUMPRODUCT(($C$4:$C$33="ZAN 3")*Z$4:Z$33)</f>
        <v>0</v>
      </c>
      <c r="AA38" s="44" t="n">
        <f aca="false">SUMPRODUCT(($C$4:$C$33="ZAN 3")*AA$4:AA$33)</f>
        <v>0</v>
      </c>
      <c r="AB38" s="44" t="n">
        <f aca="false">SUMPRODUCT(($C$4:$C$33="ZAN 3")*AB$4:AB$33)</f>
        <v>0</v>
      </c>
      <c r="AC38" s="44" t="n">
        <f aca="false">SUMPRODUCT(($C$4:$C$33="ZAN 3")*AC$4:AC$33)</f>
        <v>0</v>
      </c>
      <c r="AD38" s="44" t="n">
        <f aca="false">SUMPRODUCT(($C$4:$C$33="ZAN 3")*AD$4:AD$33)</f>
        <v>0</v>
      </c>
      <c r="AE38" s="44" t="n">
        <f aca="false">SUMPRODUCT(($C$4:$C$33="ZAN 3")*AE$4:AE$33)</f>
        <v>0</v>
      </c>
      <c r="AF38" s="44" t="n">
        <f aca="false">SUMPRODUCT(($C$4:$C$33="ZAN 3")*AF$4:AF$33)</f>
        <v>0</v>
      </c>
      <c r="AG38" s="44" t="n">
        <f aca="false">SUMPRODUCT(($C$4:$C$33="ZAN 3")*AG$4:AG$33)</f>
        <v>0</v>
      </c>
      <c r="AH38" s="44" t="n">
        <f aca="false">SUMPRODUCT(($C$4:$C$33="ZAN 3")*AH$4:AH$33)</f>
        <v>0</v>
      </c>
      <c r="AI38" s="44" t="n">
        <f aca="false">SUMPRODUCT(($C$4:$C$33="ZAN 3")*AI$4:AI$33)</f>
        <v>0</v>
      </c>
      <c r="AJ38" s="44" t="n">
        <f aca="false">SUMPRODUCT(($C$4:$C$33="ZAN 3")*AJ$4:AJ$33)</f>
        <v>0</v>
      </c>
      <c r="AK38" s="44" t="n">
        <f aca="false">SUMPRODUCT(($C$4:$C$33="ZAN 3")*AK$4:AK$33)</f>
        <v>0</v>
      </c>
      <c r="AL38" s="44" t="n">
        <f aca="false">SUMPRODUCT(($C$4:$C$33="ZAN 3")*AL$4:AL$33)</f>
        <v>0</v>
      </c>
      <c r="AM38" s="44" t="n">
        <f aca="false">SUMPRODUCT(($C$4:$C$33="ZAN 3")*AM$4:AM$33)</f>
        <v>0</v>
      </c>
      <c r="AN38" s="44" t="n">
        <f aca="false">SUMPRODUCT(($C$4:$C$33="ZAN 3")*AN$4:AN$33)</f>
        <v>0</v>
      </c>
      <c r="AO38" s="44" t="n">
        <f aca="false">SUMPRODUCT(($C$4:$C$33="ZAN 3")*AO$4:AO$33)</f>
        <v>0</v>
      </c>
      <c r="AP38" s="44" t="n">
        <f aca="false">SUMPRODUCT(($C$4:$C$33="ZAN 3")*AP$4:AP$33)</f>
        <v>0</v>
      </c>
      <c r="AQ38" s="44" t="n">
        <f aca="false">SUMPRODUCT(($C$4:$C$33="ZAN 3")*AQ$4:AQ$33)</f>
        <v>0</v>
      </c>
      <c r="AR38" s="44" t="n">
        <f aca="false">SUMPRODUCT(($C$4:$C$33="ZAN 3")*AR$4:AR$33)</f>
        <v>0</v>
      </c>
      <c r="AS38" s="44" t="n">
        <f aca="false">SUMPRODUCT(($C$4:$C$33="ZAN 3")*AS$4:AS$33)</f>
        <v>0</v>
      </c>
      <c r="AT38" s="44" t="n">
        <f aca="false">SUMPRODUCT(($C$4:$C$33="ZAN 3")*AT$4:AT$33)</f>
        <v>0</v>
      </c>
      <c r="AU38" s="44" t="n">
        <f aca="false">SUMPRODUCT(($C$4:$C$33="ZAN 3")*AU$4:AU$33)</f>
        <v>0</v>
      </c>
      <c r="AV38" s="44" t="n">
        <f aca="false">SUMPRODUCT(($C$4:$C$33="ZAN 3")*AV$4:AV$33)</f>
        <v>0</v>
      </c>
      <c r="AW38" s="44" t="n">
        <f aca="false">SUMPRODUCT(($C$4:$C$33="ZAN 3")*AW$4:AW$33)</f>
        <v>0</v>
      </c>
      <c r="AX38" s="44" t="n">
        <f aca="false">SUMPRODUCT(($C$4:$C$33="ZAN 3")*AX$4:AX$33)</f>
        <v>0</v>
      </c>
      <c r="AY38" s="44" t="n">
        <f aca="false">SUMPRODUCT(($C$4:$C$33="ZAN 3")*AY$4:AY$33)</f>
        <v>0</v>
      </c>
      <c r="AZ38" s="44" t="n">
        <f aca="false">SUMPRODUCT(($C$4:$C$33="ZAN 3")*AZ$4:AZ$33)</f>
        <v>0</v>
      </c>
      <c r="BA38" s="44" t="n">
        <f aca="false">SUMPRODUCT(($C$4:$C$33="ZAN 3")*BA$4:BA$33)</f>
        <v>0</v>
      </c>
      <c r="BB38" s="44" t="n">
        <f aca="false">SUMPRODUCT(($C$4:$C$33="ZAN 3")*BB$4:BB$33)</f>
        <v>0</v>
      </c>
    </row>
    <row r="39" customFormat="false" ht="15" hidden="false" customHeight="true" outlineLevel="0" collapsed="false">
      <c r="B39" s="47" t="s">
        <v>48</v>
      </c>
      <c r="D39" s="44" t="n">
        <f aca="false">SUM(E39:BB39)</f>
        <v>0</v>
      </c>
      <c r="E39" s="44" t="n">
        <f aca="false">SUMPRODUCT(($C$4:$C$33="ZAN 4")*E$4:E$33)</f>
        <v>0</v>
      </c>
      <c r="F39" s="44" t="n">
        <f aca="false">SUMPRODUCT(($C$4:$C$33="ZAN 4")*F$4:F$33)</f>
        <v>0</v>
      </c>
      <c r="G39" s="44" t="n">
        <f aca="false">SUMPRODUCT(($C$4:$C$33="ZAN 4")*G$4:G$33)</f>
        <v>0</v>
      </c>
      <c r="H39" s="44" t="n">
        <f aca="false">SUMPRODUCT(($C$4:$C$33="ZAN 4")*H$4:H$33)</f>
        <v>0</v>
      </c>
      <c r="I39" s="44" t="n">
        <f aca="false">SUMPRODUCT(($C$4:$C$33="ZAN 4")*I$4:I$33)</f>
        <v>0</v>
      </c>
      <c r="J39" s="44" t="n">
        <f aca="false">SUMPRODUCT(($C$4:$C$33="ZAN 4")*J$4:J$33)</f>
        <v>0</v>
      </c>
      <c r="K39" s="44" t="n">
        <f aca="false">SUMPRODUCT(($C$4:$C$33="ZAN 4")*K$4:K$33)</f>
        <v>0</v>
      </c>
      <c r="L39" s="44" t="n">
        <f aca="false">SUMPRODUCT(($C$4:$C$33="ZAN 4")*L$4:L$33)</f>
        <v>0</v>
      </c>
      <c r="M39" s="44" t="n">
        <f aca="false">SUMPRODUCT(($C$4:$C$33="ZAN 4")*M$4:M$33)</f>
        <v>0</v>
      </c>
      <c r="N39" s="44" t="n">
        <f aca="false">SUMPRODUCT(($C$4:$C$33="ZAN 4")*N$4:N$33)</f>
        <v>0</v>
      </c>
      <c r="O39" s="44" t="n">
        <f aca="false">SUMPRODUCT(($C$4:$C$33="ZAN 4")*O$4:O$33)</f>
        <v>0</v>
      </c>
      <c r="P39" s="44" t="n">
        <f aca="false">SUMPRODUCT(($C$4:$C$33="ZAN 4")*P$4:P$33)</f>
        <v>0</v>
      </c>
      <c r="Q39" s="44" t="n">
        <f aca="false">SUMPRODUCT(($C$4:$C$33="ZAN 4")*Q$4:Q$33)</f>
        <v>0</v>
      </c>
      <c r="R39" s="44" t="n">
        <f aca="false">SUMPRODUCT(($C$4:$C$33="ZAN 4")*R$4:R$33)</f>
        <v>0</v>
      </c>
      <c r="S39" s="44" t="n">
        <f aca="false">SUMPRODUCT(($C$4:$C$33="ZAN 4")*S$4:S$33)</f>
        <v>0</v>
      </c>
      <c r="T39" s="44" t="n">
        <f aca="false">SUMPRODUCT(($C$4:$C$33="ZAN 4")*T$4:T$33)</f>
        <v>0</v>
      </c>
      <c r="U39" s="44" t="n">
        <f aca="false">SUMPRODUCT(($C$4:$C$33="ZAN 4")*U$4:U$33)</f>
        <v>0</v>
      </c>
      <c r="V39" s="44" t="n">
        <f aca="false">SUMPRODUCT(($C$4:$C$33="ZAN 4")*V$4:V$33)</f>
        <v>0</v>
      </c>
      <c r="W39" s="44" t="n">
        <f aca="false">SUMPRODUCT(($C$4:$C$33="ZAN 4")*W$4:W$33)</f>
        <v>0</v>
      </c>
      <c r="X39" s="44" t="n">
        <f aca="false">SUMPRODUCT(($C$4:$C$33="ZAN 4")*X$4:X$33)</f>
        <v>0</v>
      </c>
      <c r="Y39" s="44" t="n">
        <f aca="false">SUMPRODUCT(($C$4:$C$33="ZAN 4")*Y$4:Y$33)</f>
        <v>0</v>
      </c>
      <c r="Z39" s="44" t="n">
        <f aca="false">SUMPRODUCT(($C$4:$C$33="ZAN 4")*Z$4:Z$33)</f>
        <v>0</v>
      </c>
      <c r="AA39" s="44" t="n">
        <f aca="false">SUMPRODUCT(($C$4:$C$33="ZAN 4")*AA$4:AA$33)</f>
        <v>0</v>
      </c>
      <c r="AB39" s="44" t="n">
        <f aca="false">SUMPRODUCT(($C$4:$C$33="ZAN 4")*AB$4:AB$33)</f>
        <v>0</v>
      </c>
      <c r="AC39" s="44" t="n">
        <f aca="false">SUMPRODUCT(($C$4:$C$33="ZAN 4")*AC$4:AC$33)</f>
        <v>0</v>
      </c>
      <c r="AD39" s="44" t="n">
        <f aca="false">SUMPRODUCT(($C$4:$C$33="ZAN 4")*AD$4:AD$33)</f>
        <v>0</v>
      </c>
      <c r="AE39" s="44" t="n">
        <f aca="false">SUMPRODUCT(($C$4:$C$33="ZAN 4")*AE$4:AE$33)</f>
        <v>0</v>
      </c>
      <c r="AF39" s="44" t="n">
        <f aca="false">SUMPRODUCT(($C$4:$C$33="ZAN 4")*AF$4:AF$33)</f>
        <v>0</v>
      </c>
      <c r="AG39" s="44" t="n">
        <f aca="false">SUMPRODUCT(($C$4:$C$33="ZAN 4")*AG$4:AG$33)</f>
        <v>0</v>
      </c>
      <c r="AH39" s="44" t="n">
        <f aca="false">SUMPRODUCT(($C$4:$C$33="ZAN 4")*AH$4:AH$33)</f>
        <v>0</v>
      </c>
      <c r="AI39" s="44" t="n">
        <f aca="false">SUMPRODUCT(($C$4:$C$33="ZAN 4")*AI$4:AI$33)</f>
        <v>0</v>
      </c>
      <c r="AJ39" s="44" t="n">
        <f aca="false">SUMPRODUCT(($C$4:$C$33="ZAN 4")*AJ$4:AJ$33)</f>
        <v>0</v>
      </c>
      <c r="AK39" s="44" t="n">
        <f aca="false">SUMPRODUCT(($C$4:$C$33="ZAN 4")*AK$4:AK$33)</f>
        <v>0</v>
      </c>
      <c r="AL39" s="44" t="n">
        <f aca="false">SUMPRODUCT(($C$4:$C$33="ZAN 4")*AL$4:AL$33)</f>
        <v>0</v>
      </c>
      <c r="AM39" s="44" t="n">
        <f aca="false">SUMPRODUCT(($C$4:$C$33="ZAN 4")*AM$4:AM$33)</f>
        <v>0</v>
      </c>
      <c r="AN39" s="44" t="n">
        <f aca="false">SUMPRODUCT(($C$4:$C$33="ZAN 4")*AN$4:AN$33)</f>
        <v>0</v>
      </c>
      <c r="AO39" s="44" t="n">
        <f aca="false">SUMPRODUCT(($C$4:$C$33="ZAN 4")*AO$4:AO$33)</f>
        <v>0</v>
      </c>
      <c r="AP39" s="44" t="n">
        <f aca="false">SUMPRODUCT(($C$4:$C$33="ZAN 4")*AP$4:AP$33)</f>
        <v>0</v>
      </c>
      <c r="AQ39" s="44" t="n">
        <f aca="false">SUMPRODUCT(($C$4:$C$33="ZAN 4")*AQ$4:AQ$33)</f>
        <v>0</v>
      </c>
      <c r="AR39" s="44" t="n">
        <f aca="false">SUMPRODUCT(($C$4:$C$33="ZAN 4")*AR$4:AR$33)</f>
        <v>0</v>
      </c>
      <c r="AS39" s="44" t="n">
        <f aca="false">SUMPRODUCT(($C$4:$C$33="ZAN 4")*AS$4:AS$33)</f>
        <v>0</v>
      </c>
      <c r="AT39" s="44" t="n">
        <f aca="false">SUMPRODUCT(($C$4:$C$33="ZAN 4")*AT$4:AT$33)</f>
        <v>0</v>
      </c>
      <c r="AU39" s="44" t="n">
        <f aca="false">SUMPRODUCT(($C$4:$C$33="ZAN 4")*AU$4:AU$33)</f>
        <v>0</v>
      </c>
      <c r="AV39" s="44" t="n">
        <f aca="false">SUMPRODUCT(($C$4:$C$33="ZAN 4")*AV$4:AV$33)</f>
        <v>0</v>
      </c>
      <c r="AW39" s="44" t="n">
        <f aca="false">SUMPRODUCT(($C$4:$C$33="ZAN 4")*AW$4:AW$33)</f>
        <v>0</v>
      </c>
      <c r="AX39" s="44" t="n">
        <f aca="false">SUMPRODUCT(($C$4:$C$33="ZAN 4")*AX$4:AX$33)</f>
        <v>0</v>
      </c>
      <c r="AY39" s="44" t="n">
        <f aca="false">SUMPRODUCT(($C$4:$C$33="ZAN 4")*AY$4:AY$33)</f>
        <v>0</v>
      </c>
      <c r="AZ39" s="44" t="n">
        <f aca="false">SUMPRODUCT(($C$4:$C$33="ZAN 4")*AZ$4:AZ$33)</f>
        <v>0</v>
      </c>
      <c r="BA39" s="44" t="n">
        <f aca="false">SUMPRODUCT(($C$4:$C$33="ZAN 4")*BA$4:BA$33)</f>
        <v>0</v>
      </c>
      <c r="BB39" s="44" t="n">
        <f aca="false">SUMPRODUCT(($C$4:$C$33="ZAN 4")*BB$4:BB$33)</f>
        <v>0</v>
      </c>
    </row>
    <row r="40" customFormat="false" ht="15" hidden="false" customHeight="true" outlineLevel="0" collapsed="false">
      <c r="B40" s="47" t="s">
        <v>49</v>
      </c>
      <c r="D40" s="44" t="n">
        <f aca="false">SUM(E40:BB40)</f>
        <v>0</v>
      </c>
      <c r="E40" s="44" t="n">
        <f aca="false">SUMPRODUCT(($C$4:$C$33="ZAN 5")*E$4:E$33)</f>
        <v>0</v>
      </c>
      <c r="F40" s="44" t="n">
        <f aca="false">SUMPRODUCT(($C$4:$C$33="ZAN 5")*F$4:F$33)</f>
        <v>0</v>
      </c>
      <c r="G40" s="44" t="n">
        <f aca="false">SUMPRODUCT(($C$4:$C$33="ZAN 5")*G$4:G$33)</f>
        <v>0</v>
      </c>
      <c r="H40" s="44" t="n">
        <f aca="false">SUMPRODUCT(($C$4:$C$33="ZAN 5")*H$4:H$33)</f>
        <v>0</v>
      </c>
      <c r="I40" s="44" t="n">
        <f aca="false">SUMPRODUCT(($C$4:$C$33="ZAN 5")*I$4:I$33)</f>
        <v>0</v>
      </c>
      <c r="J40" s="44" t="n">
        <f aca="false">SUMPRODUCT(($C$4:$C$33="ZAN 5")*J$4:J$33)</f>
        <v>0</v>
      </c>
      <c r="K40" s="44" t="n">
        <f aca="false">SUMPRODUCT(($C$4:$C$33="ZAN 5")*K$4:K$33)</f>
        <v>0</v>
      </c>
      <c r="L40" s="44" t="n">
        <f aca="false">SUMPRODUCT(($C$4:$C$33="ZAN 5")*L$4:L$33)</f>
        <v>0</v>
      </c>
      <c r="M40" s="44" t="n">
        <f aca="false">SUMPRODUCT(($C$4:$C$33="ZAN 5")*M$4:M$33)</f>
        <v>0</v>
      </c>
      <c r="N40" s="44" t="n">
        <f aca="false">SUMPRODUCT(($C$4:$C$33="ZAN 5")*N$4:N$33)</f>
        <v>0</v>
      </c>
      <c r="O40" s="44" t="n">
        <f aca="false">SUMPRODUCT(($C$4:$C$33="ZAN 5")*O$4:O$33)</f>
        <v>0</v>
      </c>
      <c r="P40" s="44" t="n">
        <f aca="false">SUMPRODUCT(($C$4:$C$33="ZAN 5")*P$4:P$33)</f>
        <v>0</v>
      </c>
      <c r="Q40" s="44" t="n">
        <f aca="false">SUMPRODUCT(($C$4:$C$33="ZAN 5")*Q$4:Q$33)</f>
        <v>0</v>
      </c>
      <c r="R40" s="44" t="n">
        <f aca="false">SUMPRODUCT(($C$4:$C$33="ZAN 5")*R$4:R$33)</f>
        <v>0</v>
      </c>
      <c r="S40" s="44" t="n">
        <f aca="false">SUMPRODUCT(($C$4:$C$33="ZAN 5")*S$4:S$33)</f>
        <v>0</v>
      </c>
      <c r="T40" s="44" t="n">
        <f aca="false">SUMPRODUCT(($C$4:$C$33="ZAN 5")*T$4:T$33)</f>
        <v>0</v>
      </c>
      <c r="U40" s="44" t="n">
        <f aca="false">SUMPRODUCT(($C$4:$C$33="ZAN 5")*U$4:U$33)</f>
        <v>0</v>
      </c>
      <c r="V40" s="44" t="n">
        <f aca="false">SUMPRODUCT(($C$4:$C$33="ZAN 5")*V$4:V$33)</f>
        <v>0</v>
      </c>
      <c r="W40" s="44" t="n">
        <f aca="false">SUMPRODUCT(($C$4:$C$33="ZAN 5")*W$4:W$33)</f>
        <v>0</v>
      </c>
      <c r="X40" s="44" t="n">
        <f aca="false">SUMPRODUCT(($C$4:$C$33="ZAN 5")*X$4:X$33)</f>
        <v>0</v>
      </c>
      <c r="Y40" s="44" t="n">
        <f aca="false">SUMPRODUCT(($C$4:$C$33="ZAN 5")*Y$4:Y$33)</f>
        <v>0</v>
      </c>
      <c r="Z40" s="44" t="n">
        <f aca="false">SUMPRODUCT(($C$4:$C$33="ZAN 5")*Z$4:Z$33)</f>
        <v>0</v>
      </c>
      <c r="AA40" s="44" t="n">
        <f aca="false">SUMPRODUCT(($C$4:$C$33="ZAN 5")*AA$4:AA$33)</f>
        <v>0</v>
      </c>
      <c r="AB40" s="44" t="n">
        <f aca="false">SUMPRODUCT(($C$4:$C$33="ZAN 5")*AB$4:AB$33)</f>
        <v>0</v>
      </c>
      <c r="AC40" s="44" t="n">
        <f aca="false">SUMPRODUCT(($C$4:$C$33="ZAN 5")*AC$4:AC$33)</f>
        <v>0</v>
      </c>
      <c r="AD40" s="44" t="n">
        <f aca="false">SUMPRODUCT(($C$4:$C$33="ZAN 5")*AD$4:AD$33)</f>
        <v>0</v>
      </c>
      <c r="AE40" s="44" t="n">
        <f aca="false">SUMPRODUCT(($C$4:$C$33="ZAN 5")*AE$4:AE$33)</f>
        <v>0</v>
      </c>
      <c r="AF40" s="44" t="n">
        <f aca="false">SUMPRODUCT(($C$4:$C$33="ZAN 5")*AF$4:AF$33)</f>
        <v>0</v>
      </c>
      <c r="AG40" s="44" t="n">
        <f aca="false">SUMPRODUCT(($C$4:$C$33="ZAN 5")*AG$4:AG$33)</f>
        <v>0</v>
      </c>
      <c r="AH40" s="44" t="n">
        <f aca="false">SUMPRODUCT(($C$4:$C$33="ZAN 5")*AH$4:AH$33)</f>
        <v>0</v>
      </c>
      <c r="AI40" s="44" t="n">
        <f aca="false">SUMPRODUCT(($C$4:$C$33="ZAN 5")*AI$4:AI$33)</f>
        <v>0</v>
      </c>
      <c r="AJ40" s="44" t="n">
        <f aca="false">SUMPRODUCT(($C$4:$C$33="ZAN 5")*AJ$4:AJ$33)</f>
        <v>0</v>
      </c>
      <c r="AK40" s="44" t="n">
        <f aca="false">SUMPRODUCT(($C$4:$C$33="ZAN 5")*AK$4:AK$33)</f>
        <v>0</v>
      </c>
      <c r="AL40" s="44" t="n">
        <f aca="false">SUMPRODUCT(($C$4:$C$33="ZAN 5")*AL$4:AL$33)</f>
        <v>0</v>
      </c>
      <c r="AM40" s="44" t="n">
        <f aca="false">SUMPRODUCT(($C$4:$C$33="ZAN 5")*AM$4:AM$33)</f>
        <v>0</v>
      </c>
      <c r="AN40" s="44" t="n">
        <f aca="false">SUMPRODUCT(($C$4:$C$33="ZAN 5")*AN$4:AN$33)</f>
        <v>0</v>
      </c>
      <c r="AO40" s="44" t="n">
        <f aca="false">SUMPRODUCT(($C$4:$C$33="ZAN 5")*AO$4:AO$33)</f>
        <v>0</v>
      </c>
      <c r="AP40" s="44" t="n">
        <f aca="false">SUMPRODUCT(($C$4:$C$33="ZAN 5")*AP$4:AP$33)</f>
        <v>0</v>
      </c>
      <c r="AQ40" s="44" t="n">
        <f aca="false">SUMPRODUCT(($C$4:$C$33="ZAN 5")*AQ$4:AQ$33)</f>
        <v>0</v>
      </c>
      <c r="AR40" s="44" t="n">
        <f aca="false">SUMPRODUCT(($C$4:$C$33="ZAN 5")*AR$4:AR$33)</f>
        <v>0</v>
      </c>
      <c r="AS40" s="44" t="n">
        <f aca="false">SUMPRODUCT(($C$4:$C$33="ZAN 5")*AS$4:AS$33)</f>
        <v>0</v>
      </c>
      <c r="AT40" s="44" t="n">
        <f aca="false">SUMPRODUCT(($C$4:$C$33="ZAN 5")*AT$4:AT$33)</f>
        <v>0</v>
      </c>
      <c r="AU40" s="44" t="n">
        <f aca="false">SUMPRODUCT(($C$4:$C$33="ZAN 5")*AU$4:AU$33)</f>
        <v>0</v>
      </c>
      <c r="AV40" s="44" t="n">
        <f aca="false">SUMPRODUCT(($C$4:$C$33="ZAN 5")*AV$4:AV$33)</f>
        <v>0</v>
      </c>
      <c r="AW40" s="44" t="n">
        <f aca="false">SUMPRODUCT(($C$4:$C$33="ZAN 5")*AW$4:AW$33)</f>
        <v>0</v>
      </c>
      <c r="AX40" s="44" t="n">
        <f aca="false">SUMPRODUCT(($C$4:$C$33="ZAN 5")*AX$4:AX$33)</f>
        <v>0</v>
      </c>
      <c r="AY40" s="44" t="n">
        <f aca="false">SUMPRODUCT(($C$4:$C$33="ZAN 5")*AY$4:AY$33)</f>
        <v>0</v>
      </c>
      <c r="AZ40" s="44" t="n">
        <f aca="false">SUMPRODUCT(($C$4:$C$33="ZAN 5")*AZ$4:AZ$33)</f>
        <v>0</v>
      </c>
      <c r="BA40" s="44" t="n">
        <f aca="false">SUMPRODUCT(($C$4:$C$33="ZAN 5")*BA$4:BA$33)</f>
        <v>0</v>
      </c>
      <c r="BB40" s="44" t="n">
        <f aca="false">SUMPRODUCT(($C$4:$C$33="ZAN 5")*BB$4:BB$33)</f>
        <v>0</v>
      </c>
    </row>
    <row r="41" customFormat="false" ht="15" hidden="false" customHeight="true" outlineLevel="0" collapsed="false">
      <c r="B41" s="47" t="s">
        <v>50</v>
      </c>
      <c r="D41" s="44" t="n">
        <f aca="false">SUM(E41:BB41)</f>
        <v>0</v>
      </c>
      <c r="E41" s="44" t="n">
        <f aca="false">SUMPRODUCT(($C$4:$C$33="ZAN 6")*E$4:E$33)</f>
        <v>0</v>
      </c>
      <c r="F41" s="44" t="n">
        <f aca="false">SUMPRODUCT(($C$4:$C$33="ZAN 6")*F$4:F$33)</f>
        <v>0</v>
      </c>
      <c r="G41" s="44" t="n">
        <f aca="false">SUMPRODUCT(($C$4:$C$33="ZAN 6")*G$4:G$33)</f>
        <v>0</v>
      </c>
      <c r="H41" s="44" t="n">
        <f aca="false">SUMPRODUCT(($C$4:$C$33="ZAN 6")*H$4:H$33)</f>
        <v>0</v>
      </c>
      <c r="I41" s="44" t="n">
        <f aca="false">SUMPRODUCT(($C$4:$C$33="ZAN 6")*I$4:I$33)</f>
        <v>0</v>
      </c>
      <c r="J41" s="44" t="n">
        <f aca="false">SUMPRODUCT(($C$4:$C$33="ZAN 6")*J$4:J$33)</f>
        <v>0</v>
      </c>
      <c r="K41" s="44" t="n">
        <f aca="false">SUMPRODUCT(($C$4:$C$33="ZAN 6")*K$4:K$33)</f>
        <v>0</v>
      </c>
      <c r="L41" s="44" t="n">
        <f aca="false">SUMPRODUCT(($C$4:$C$33="ZAN 6")*L$4:L$33)</f>
        <v>0</v>
      </c>
      <c r="M41" s="44" t="n">
        <f aca="false">SUMPRODUCT(($C$4:$C$33="ZAN 6")*M$4:M$33)</f>
        <v>0</v>
      </c>
      <c r="N41" s="44" t="n">
        <f aca="false">SUMPRODUCT(($C$4:$C$33="ZAN 6")*N$4:N$33)</f>
        <v>0</v>
      </c>
      <c r="O41" s="44" t="n">
        <f aca="false">SUMPRODUCT(($C$4:$C$33="ZAN 6")*O$4:O$33)</f>
        <v>0</v>
      </c>
      <c r="P41" s="44" t="n">
        <f aca="false">SUMPRODUCT(($C$4:$C$33="ZAN 6")*P$4:P$33)</f>
        <v>0</v>
      </c>
      <c r="Q41" s="44" t="n">
        <f aca="false">SUMPRODUCT(($C$4:$C$33="ZAN 6")*Q$4:Q$33)</f>
        <v>0</v>
      </c>
      <c r="R41" s="44" t="n">
        <f aca="false">SUMPRODUCT(($C$4:$C$33="ZAN 6")*R$4:R$33)</f>
        <v>0</v>
      </c>
      <c r="S41" s="44" t="n">
        <f aca="false">SUMPRODUCT(($C$4:$C$33="ZAN 6")*S$4:S$33)</f>
        <v>0</v>
      </c>
      <c r="T41" s="44" t="n">
        <f aca="false">SUMPRODUCT(($C$4:$C$33="ZAN 6")*T$4:T$33)</f>
        <v>0</v>
      </c>
      <c r="U41" s="44" t="n">
        <f aca="false">SUMPRODUCT(($C$4:$C$33="ZAN 6")*U$4:U$33)</f>
        <v>0</v>
      </c>
      <c r="V41" s="44" t="n">
        <f aca="false">SUMPRODUCT(($C$4:$C$33="ZAN 6")*V$4:V$33)</f>
        <v>0</v>
      </c>
      <c r="W41" s="44" t="n">
        <f aca="false">SUMPRODUCT(($C$4:$C$33="ZAN 6")*W$4:W$33)</f>
        <v>0</v>
      </c>
      <c r="X41" s="44" t="n">
        <f aca="false">SUMPRODUCT(($C$4:$C$33="ZAN 6")*X$4:X$33)</f>
        <v>0</v>
      </c>
      <c r="Y41" s="44" t="n">
        <f aca="false">SUMPRODUCT(($C$4:$C$33="ZAN 6")*Y$4:Y$33)</f>
        <v>0</v>
      </c>
      <c r="Z41" s="44" t="n">
        <f aca="false">SUMPRODUCT(($C$4:$C$33="ZAN 6")*Z$4:Z$33)</f>
        <v>0</v>
      </c>
      <c r="AA41" s="44" t="n">
        <f aca="false">SUMPRODUCT(($C$4:$C$33="ZAN 6")*AA$4:AA$33)</f>
        <v>0</v>
      </c>
      <c r="AB41" s="44" t="n">
        <f aca="false">SUMPRODUCT(($C$4:$C$33="ZAN 6")*AB$4:AB$33)</f>
        <v>0</v>
      </c>
      <c r="AC41" s="44" t="n">
        <f aca="false">SUMPRODUCT(($C$4:$C$33="ZAN 6")*AC$4:AC$33)</f>
        <v>0</v>
      </c>
      <c r="AD41" s="44" t="n">
        <f aca="false">SUMPRODUCT(($C$4:$C$33="ZAN 6")*AD$4:AD$33)</f>
        <v>0</v>
      </c>
      <c r="AE41" s="44" t="n">
        <f aca="false">SUMPRODUCT(($C$4:$C$33="ZAN 6")*AE$4:AE$33)</f>
        <v>0</v>
      </c>
      <c r="AF41" s="44" t="n">
        <f aca="false">SUMPRODUCT(($C$4:$C$33="ZAN 6")*AF$4:AF$33)</f>
        <v>0</v>
      </c>
      <c r="AG41" s="44" t="n">
        <f aca="false">SUMPRODUCT(($C$4:$C$33="ZAN 6")*AG$4:AG$33)</f>
        <v>0</v>
      </c>
      <c r="AH41" s="44" t="n">
        <f aca="false">SUMPRODUCT(($C$4:$C$33="ZAN 6")*AH$4:AH$33)</f>
        <v>0</v>
      </c>
      <c r="AI41" s="44" t="n">
        <f aca="false">SUMPRODUCT(($C$4:$C$33="ZAN 6")*AI$4:AI$33)</f>
        <v>0</v>
      </c>
      <c r="AJ41" s="44" t="n">
        <f aca="false">SUMPRODUCT(($C$4:$C$33="ZAN 6")*AJ$4:AJ$33)</f>
        <v>0</v>
      </c>
      <c r="AK41" s="44" t="n">
        <f aca="false">SUMPRODUCT(($C$4:$C$33="ZAN 6")*AK$4:AK$33)</f>
        <v>0</v>
      </c>
      <c r="AL41" s="44" t="n">
        <f aca="false">SUMPRODUCT(($C$4:$C$33="ZAN 6")*AL$4:AL$33)</f>
        <v>0</v>
      </c>
      <c r="AM41" s="44" t="n">
        <f aca="false">SUMPRODUCT(($C$4:$C$33="ZAN 6")*AM$4:AM$33)</f>
        <v>0</v>
      </c>
      <c r="AN41" s="44" t="n">
        <f aca="false">SUMPRODUCT(($C$4:$C$33="ZAN 6")*AN$4:AN$33)</f>
        <v>0</v>
      </c>
      <c r="AO41" s="44" t="n">
        <f aca="false">SUMPRODUCT(($C$4:$C$33="ZAN 6")*AO$4:AO$33)</f>
        <v>0</v>
      </c>
      <c r="AP41" s="44" t="n">
        <f aca="false">SUMPRODUCT(($C$4:$C$33="ZAN 6")*AP$4:AP$33)</f>
        <v>0</v>
      </c>
      <c r="AQ41" s="44" t="n">
        <f aca="false">SUMPRODUCT(($C$4:$C$33="ZAN 6")*AQ$4:AQ$33)</f>
        <v>0</v>
      </c>
      <c r="AR41" s="44" t="n">
        <f aca="false">SUMPRODUCT(($C$4:$C$33="ZAN 6")*AR$4:AR$33)</f>
        <v>0</v>
      </c>
      <c r="AS41" s="44" t="n">
        <f aca="false">SUMPRODUCT(($C$4:$C$33="ZAN 6")*AS$4:AS$33)</f>
        <v>0</v>
      </c>
      <c r="AT41" s="44" t="n">
        <f aca="false">SUMPRODUCT(($C$4:$C$33="ZAN 6")*AT$4:AT$33)</f>
        <v>0</v>
      </c>
      <c r="AU41" s="44" t="n">
        <f aca="false">SUMPRODUCT(($C$4:$C$33="ZAN 6")*AU$4:AU$33)</f>
        <v>0</v>
      </c>
      <c r="AV41" s="44" t="n">
        <f aca="false">SUMPRODUCT(($C$4:$C$33="ZAN 6")*AV$4:AV$33)</f>
        <v>0</v>
      </c>
      <c r="AW41" s="44" t="n">
        <f aca="false">SUMPRODUCT(($C$4:$C$33="ZAN 6")*AW$4:AW$33)</f>
        <v>0</v>
      </c>
      <c r="AX41" s="44" t="n">
        <f aca="false">SUMPRODUCT(($C$4:$C$33="ZAN 6")*AX$4:AX$33)</f>
        <v>0</v>
      </c>
      <c r="AY41" s="44" t="n">
        <f aca="false">SUMPRODUCT(($C$4:$C$33="ZAN 6")*AY$4:AY$33)</f>
        <v>0</v>
      </c>
      <c r="AZ41" s="44" t="n">
        <f aca="false">SUMPRODUCT(($C$4:$C$33="ZAN 6")*AZ$4:AZ$33)</f>
        <v>0</v>
      </c>
      <c r="BA41" s="44" t="n">
        <f aca="false">SUMPRODUCT(($C$4:$C$33="ZAN 6")*BA$4:BA$33)</f>
        <v>0</v>
      </c>
      <c r="BB41" s="44" t="n">
        <f aca="false">SUMPRODUCT(($C$4:$C$33="ZAN 6")*BB$4:BB$33)</f>
        <v>0</v>
      </c>
    </row>
    <row r="42" customFormat="false" ht="15" hidden="false" customHeight="true" outlineLevel="0" collapsed="false">
      <c r="B42" s="47" t="s">
        <v>51</v>
      </c>
      <c r="D42" s="44" t="n">
        <f aca="false">SUM(E42:BB42)</f>
        <v>0</v>
      </c>
      <c r="E42" s="44" t="n">
        <f aca="false">SUMPRODUCT(($C$4:$C$33="ZAN 7")*E$4:E$33)</f>
        <v>0</v>
      </c>
      <c r="F42" s="44" t="n">
        <f aca="false">SUMPRODUCT(($C$4:$C$33="ZAN 7")*F$4:F$33)</f>
        <v>0</v>
      </c>
      <c r="G42" s="44" t="n">
        <f aca="false">SUMPRODUCT(($C$4:$C$33="ZAN 7")*G$4:G$33)</f>
        <v>0</v>
      </c>
      <c r="H42" s="44" t="n">
        <f aca="false">SUMPRODUCT(($C$4:$C$33="ZAN 7")*H$4:H$33)</f>
        <v>0</v>
      </c>
      <c r="I42" s="44" t="n">
        <f aca="false">SUMPRODUCT(($C$4:$C$33="ZAN 7")*I$4:I$33)</f>
        <v>0</v>
      </c>
      <c r="J42" s="44" t="n">
        <f aca="false">SUMPRODUCT(($C$4:$C$33="ZAN 7")*J$4:J$33)</f>
        <v>0</v>
      </c>
      <c r="K42" s="44" t="n">
        <f aca="false">SUMPRODUCT(($C$4:$C$33="ZAN 7")*K$4:K$33)</f>
        <v>0</v>
      </c>
      <c r="L42" s="44" t="n">
        <f aca="false">SUMPRODUCT(($C$4:$C$33="ZAN 7")*L$4:L$33)</f>
        <v>0</v>
      </c>
      <c r="M42" s="44" t="n">
        <f aca="false">SUMPRODUCT(($C$4:$C$33="ZAN 7")*M$4:M$33)</f>
        <v>0</v>
      </c>
      <c r="N42" s="44" t="n">
        <f aca="false">SUMPRODUCT(($C$4:$C$33="ZAN 7")*N$4:N$33)</f>
        <v>0</v>
      </c>
      <c r="O42" s="44" t="n">
        <f aca="false">SUMPRODUCT(($C$4:$C$33="ZAN 7")*O$4:O$33)</f>
        <v>0</v>
      </c>
      <c r="P42" s="44" t="n">
        <f aca="false">SUMPRODUCT(($C$4:$C$33="ZAN 7")*P$4:P$33)</f>
        <v>0</v>
      </c>
      <c r="Q42" s="44" t="n">
        <f aca="false">SUMPRODUCT(($C$4:$C$33="ZAN 7")*Q$4:Q$33)</f>
        <v>0</v>
      </c>
      <c r="R42" s="44" t="n">
        <f aca="false">SUMPRODUCT(($C$4:$C$33="ZAN 7")*R$4:R$33)</f>
        <v>0</v>
      </c>
      <c r="S42" s="44" t="n">
        <f aca="false">SUMPRODUCT(($C$4:$C$33="ZAN 7")*S$4:S$33)</f>
        <v>0</v>
      </c>
      <c r="T42" s="44" t="n">
        <f aca="false">SUMPRODUCT(($C$4:$C$33="ZAN 7")*T$4:T$33)</f>
        <v>0</v>
      </c>
      <c r="U42" s="44" t="n">
        <f aca="false">SUMPRODUCT(($C$4:$C$33="ZAN 7")*U$4:U$33)</f>
        <v>0</v>
      </c>
      <c r="V42" s="44" t="n">
        <f aca="false">SUMPRODUCT(($C$4:$C$33="ZAN 7")*V$4:V$33)</f>
        <v>0</v>
      </c>
      <c r="W42" s="44" t="n">
        <f aca="false">SUMPRODUCT(($C$4:$C$33="ZAN 7")*W$4:W$33)</f>
        <v>0</v>
      </c>
      <c r="X42" s="44" t="n">
        <f aca="false">SUMPRODUCT(($C$4:$C$33="ZAN 7")*X$4:X$33)</f>
        <v>0</v>
      </c>
      <c r="Y42" s="44" t="n">
        <f aca="false">SUMPRODUCT(($C$4:$C$33="ZAN 7")*Y$4:Y$33)</f>
        <v>0</v>
      </c>
      <c r="Z42" s="44" t="n">
        <f aca="false">SUMPRODUCT(($C$4:$C$33="ZAN 7")*Z$4:Z$33)</f>
        <v>0</v>
      </c>
      <c r="AA42" s="44" t="n">
        <f aca="false">SUMPRODUCT(($C$4:$C$33="ZAN 7")*AA$4:AA$33)</f>
        <v>0</v>
      </c>
      <c r="AB42" s="44" t="n">
        <f aca="false">SUMPRODUCT(($C$4:$C$33="ZAN 7")*AB$4:AB$33)</f>
        <v>0</v>
      </c>
      <c r="AC42" s="44" t="n">
        <f aca="false">SUMPRODUCT(($C$4:$C$33="ZAN 7")*AC$4:AC$33)</f>
        <v>0</v>
      </c>
      <c r="AD42" s="44" t="n">
        <f aca="false">SUMPRODUCT(($C$4:$C$33="ZAN 7")*AD$4:AD$33)</f>
        <v>0</v>
      </c>
      <c r="AE42" s="44" t="n">
        <f aca="false">SUMPRODUCT(($C$4:$C$33="ZAN 7")*AE$4:AE$33)</f>
        <v>0</v>
      </c>
      <c r="AF42" s="44" t="n">
        <f aca="false">SUMPRODUCT(($C$4:$C$33="ZAN 7")*AF$4:AF$33)</f>
        <v>0</v>
      </c>
      <c r="AG42" s="44" t="n">
        <f aca="false">SUMPRODUCT(($C$4:$C$33="ZAN 7")*AG$4:AG$33)</f>
        <v>0</v>
      </c>
      <c r="AH42" s="44" t="n">
        <f aca="false">SUMPRODUCT(($C$4:$C$33="ZAN 7")*AH$4:AH$33)</f>
        <v>0</v>
      </c>
      <c r="AI42" s="44" t="n">
        <f aca="false">SUMPRODUCT(($C$4:$C$33="ZAN 7")*AI$4:AI$33)</f>
        <v>0</v>
      </c>
      <c r="AJ42" s="44" t="n">
        <f aca="false">SUMPRODUCT(($C$4:$C$33="ZAN 7")*AJ$4:AJ$33)</f>
        <v>0</v>
      </c>
      <c r="AK42" s="44" t="n">
        <f aca="false">SUMPRODUCT(($C$4:$C$33="ZAN 7")*AK$4:AK$33)</f>
        <v>0</v>
      </c>
      <c r="AL42" s="44" t="n">
        <f aca="false">SUMPRODUCT(($C$4:$C$33="ZAN 7")*AL$4:AL$33)</f>
        <v>0</v>
      </c>
      <c r="AM42" s="44" t="n">
        <f aca="false">SUMPRODUCT(($C$4:$C$33="ZAN 7")*AM$4:AM$33)</f>
        <v>0</v>
      </c>
      <c r="AN42" s="44" t="n">
        <f aca="false">SUMPRODUCT(($C$4:$C$33="ZAN 7")*AN$4:AN$33)</f>
        <v>0</v>
      </c>
      <c r="AO42" s="44" t="n">
        <f aca="false">SUMPRODUCT(($C$4:$C$33="ZAN 7")*AO$4:AO$33)</f>
        <v>0</v>
      </c>
      <c r="AP42" s="44" t="n">
        <f aca="false">SUMPRODUCT(($C$4:$C$33="ZAN 7")*AP$4:AP$33)</f>
        <v>0</v>
      </c>
      <c r="AQ42" s="44" t="n">
        <f aca="false">SUMPRODUCT(($C$4:$C$33="ZAN 7")*AQ$4:AQ$33)</f>
        <v>0</v>
      </c>
      <c r="AR42" s="44" t="n">
        <f aca="false">SUMPRODUCT(($C$4:$C$33="ZAN 7")*AR$4:AR$33)</f>
        <v>0</v>
      </c>
      <c r="AS42" s="44" t="n">
        <f aca="false">SUMPRODUCT(($C$4:$C$33="ZAN 7")*AS$4:AS$33)</f>
        <v>0</v>
      </c>
      <c r="AT42" s="44" t="n">
        <f aca="false">SUMPRODUCT(($C$4:$C$33="ZAN 7")*AT$4:AT$33)</f>
        <v>0</v>
      </c>
      <c r="AU42" s="44" t="n">
        <f aca="false">SUMPRODUCT(($C$4:$C$33="ZAN 7")*AU$4:AU$33)</f>
        <v>0</v>
      </c>
      <c r="AV42" s="44" t="n">
        <f aca="false">SUMPRODUCT(($C$4:$C$33="ZAN 7")*AV$4:AV$33)</f>
        <v>0</v>
      </c>
      <c r="AW42" s="44" t="n">
        <f aca="false">SUMPRODUCT(($C$4:$C$33="ZAN 7")*AW$4:AW$33)</f>
        <v>0</v>
      </c>
      <c r="AX42" s="44" t="n">
        <f aca="false">SUMPRODUCT(($C$4:$C$33="ZAN 7")*AX$4:AX$33)</f>
        <v>0</v>
      </c>
      <c r="AY42" s="44" t="n">
        <f aca="false">SUMPRODUCT(($C$4:$C$33="ZAN 7")*AY$4:AY$33)</f>
        <v>0</v>
      </c>
      <c r="AZ42" s="44" t="n">
        <f aca="false">SUMPRODUCT(($C$4:$C$33="ZAN 7")*AZ$4:AZ$33)</f>
        <v>0</v>
      </c>
      <c r="BA42" s="44" t="n">
        <f aca="false">SUMPRODUCT(($C$4:$C$33="ZAN 7")*BA$4:BA$33)</f>
        <v>0</v>
      </c>
      <c r="BB42" s="44" t="n">
        <f aca="false">SUMPRODUCT(($C$4:$C$33="ZAN 7")*BB$4:BB$33)</f>
        <v>0</v>
      </c>
    </row>
    <row r="43" customFormat="false" ht="15" hidden="false" customHeight="true" outlineLevel="0" collapsed="false">
      <c r="B43" s="47" t="s">
        <v>52</v>
      </c>
      <c r="D43" s="44" t="n">
        <f aca="false">SUM(E43:BB43)</f>
        <v>0</v>
      </c>
      <c r="E43" s="44" t="n">
        <f aca="false">SUMPRODUCT(($C$4:$C$33="ZAN 8")*E$4:E$33)</f>
        <v>0</v>
      </c>
      <c r="F43" s="44" t="n">
        <f aca="false">SUMPRODUCT(($C$4:$C$33="ZAN 8")*F$4:F$33)</f>
        <v>0</v>
      </c>
      <c r="G43" s="44" t="n">
        <f aca="false">SUMPRODUCT(($C$4:$C$33="ZAN 8")*G$4:G$33)</f>
        <v>0</v>
      </c>
      <c r="H43" s="44" t="n">
        <f aca="false">SUMPRODUCT(($C$4:$C$33="ZAN 8")*H$4:H$33)</f>
        <v>0</v>
      </c>
      <c r="I43" s="44" t="n">
        <f aca="false">SUMPRODUCT(($C$4:$C$33="ZAN 8")*I$4:I$33)</f>
        <v>0</v>
      </c>
      <c r="J43" s="44" t="n">
        <f aca="false">SUMPRODUCT(($C$4:$C$33="ZAN 8")*J$4:J$33)</f>
        <v>0</v>
      </c>
      <c r="K43" s="44" t="n">
        <f aca="false">SUMPRODUCT(($C$4:$C$33="ZAN 8")*K$4:K$33)</f>
        <v>0</v>
      </c>
      <c r="L43" s="44" t="n">
        <f aca="false">SUMPRODUCT(($C$4:$C$33="ZAN 8")*L$4:L$33)</f>
        <v>0</v>
      </c>
      <c r="M43" s="44" t="n">
        <f aca="false">SUMPRODUCT(($C$4:$C$33="ZAN 8")*M$4:M$33)</f>
        <v>0</v>
      </c>
      <c r="N43" s="44" t="n">
        <f aca="false">SUMPRODUCT(($C$4:$C$33="ZAN 8")*N$4:N$33)</f>
        <v>0</v>
      </c>
      <c r="O43" s="44" t="n">
        <f aca="false">SUMPRODUCT(($C$4:$C$33="ZAN 8")*O$4:O$33)</f>
        <v>0</v>
      </c>
      <c r="P43" s="44" t="n">
        <f aca="false">SUMPRODUCT(($C$4:$C$33="ZAN 8")*P$4:P$33)</f>
        <v>0</v>
      </c>
      <c r="Q43" s="44" t="n">
        <f aca="false">SUMPRODUCT(($C$4:$C$33="ZAN 8")*Q$4:Q$33)</f>
        <v>0</v>
      </c>
      <c r="R43" s="44" t="n">
        <f aca="false">SUMPRODUCT(($C$4:$C$33="ZAN 8")*R$4:R$33)</f>
        <v>0</v>
      </c>
      <c r="S43" s="44" t="n">
        <f aca="false">SUMPRODUCT(($C$4:$C$33="ZAN 8")*S$4:S$33)</f>
        <v>0</v>
      </c>
      <c r="T43" s="44" t="n">
        <f aca="false">SUMPRODUCT(($C$4:$C$33="ZAN 8")*T$4:T$33)</f>
        <v>0</v>
      </c>
      <c r="U43" s="44" t="n">
        <f aca="false">SUMPRODUCT(($C$4:$C$33="ZAN 8")*U$4:U$33)</f>
        <v>0</v>
      </c>
      <c r="V43" s="44" t="n">
        <f aca="false">SUMPRODUCT(($C$4:$C$33="ZAN 8")*V$4:V$33)</f>
        <v>0</v>
      </c>
      <c r="W43" s="44" t="n">
        <f aca="false">SUMPRODUCT(($C$4:$C$33="ZAN 8")*W$4:W$33)</f>
        <v>0</v>
      </c>
      <c r="X43" s="44" t="n">
        <f aca="false">SUMPRODUCT(($C$4:$C$33="ZAN 8")*X$4:X$33)</f>
        <v>0</v>
      </c>
      <c r="Y43" s="44" t="n">
        <f aca="false">SUMPRODUCT(($C$4:$C$33="ZAN 8")*Y$4:Y$33)</f>
        <v>0</v>
      </c>
      <c r="Z43" s="44" t="n">
        <f aca="false">SUMPRODUCT(($C$4:$C$33="ZAN 8")*Z$4:Z$33)</f>
        <v>0</v>
      </c>
      <c r="AA43" s="44" t="n">
        <f aca="false">SUMPRODUCT(($C$4:$C$33="ZAN 8")*AA$4:AA$33)</f>
        <v>0</v>
      </c>
      <c r="AB43" s="44" t="n">
        <f aca="false">SUMPRODUCT(($C$4:$C$33="ZAN 8")*AB$4:AB$33)</f>
        <v>0</v>
      </c>
      <c r="AC43" s="44" t="n">
        <f aca="false">SUMPRODUCT(($C$4:$C$33="ZAN 8")*AC$4:AC$33)</f>
        <v>0</v>
      </c>
      <c r="AD43" s="44" t="n">
        <f aca="false">SUMPRODUCT(($C$4:$C$33="ZAN 8")*AD$4:AD$33)</f>
        <v>0</v>
      </c>
      <c r="AE43" s="44" t="n">
        <f aca="false">SUMPRODUCT(($C$4:$C$33="ZAN 8")*AE$4:AE$33)</f>
        <v>0</v>
      </c>
      <c r="AF43" s="44" t="n">
        <f aca="false">SUMPRODUCT(($C$4:$C$33="ZAN 8")*AF$4:AF$33)</f>
        <v>0</v>
      </c>
      <c r="AG43" s="44" t="n">
        <f aca="false">SUMPRODUCT(($C$4:$C$33="ZAN 8")*AG$4:AG$33)</f>
        <v>0</v>
      </c>
      <c r="AH43" s="44" t="n">
        <f aca="false">SUMPRODUCT(($C$4:$C$33="ZAN 8")*AH$4:AH$33)</f>
        <v>0</v>
      </c>
      <c r="AI43" s="44" t="n">
        <f aca="false">SUMPRODUCT(($C$4:$C$33="ZAN 8")*AI$4:AI$33)</f>
        <v>0</v>
      </c>
      <c r="AJ43" s="44" t="n">
        <f aca="false">SUMPRODUCT(($C$4:$C$33="ZAN 8")*AJ$4:AJ$33)</f>
        <v>0</v>
      </c>
      <c r="AK43" s="44" t="n">
        <f aca="false">SUMPRODUCT(($C$4:$C$33="ZAN 8")*AK$4:AK$33)</f>
        <v>0</v>
      </c>
      <c r="AL43" s="44" t="n">
        <f aca="false">SUMPRODUCT(($C$4:$C$33="ZAN 8")*AL$4:AL$33)</f>
        <v>0</v>
      </c>
      <c r="AM43" s="44" t="n">
        <f aca="false">SUMPRODUCT(($C$4:$C$33="ZAN 8")*AM$4:AM$33)</f>
        <v>0</v>
      </c>
      <c r="AN43" s="44" t="n">
        <f aca="false">SUMPRODUCT(($C$4:$C$33="ZAN 8")*AN$4:AN$33)</f>
        <v>0</v>
      </c>
      <c r="AO43" s="44" t="n">
        <f aca="false">SUMPRODUCT(($C$4:$C$33="ZAN 8")*AO$4:AO$33)</f>
        <v>0</v>
      </c>
      <c r="AP43" s="44" t="n">
        <f aca="false">SUMPRODUCT(($C$4:$C$33="ZAN 8")*AP$4:AP$33)</f>
        <v>0</v>
      </c>
      <c r="AQ43" s="44" t="n">
        <f aca="false">SUMPRODUCT(($C$4:$C$33="ZAN 8")*AQ$4:AQ$33)</f>
        <v>0</v>
      </c>
      <c r="AR43" s="44" t="n">
        <f aca="false">SUMPRODUCT(($C$4:$C$33="ZAN 8")*AR$4:AR$33)</f>
        <v>0</v>
      </c>
      <c r="AS43" s="44" t="n">
        <f aca="false">SUMPRODUCT(($C$4:$C$33="ZAN 8")*AS$4:AS$33)</f>
        <v>0</v>
      </c>
      <c r="AT43" s="44" t="n">
        <f aca="false">SUMPRODUCT(($C$4:$C$33="ZAN 8")*AT$4:AT$33)</f>
        <v>0</v>
      </c>
      <c r="AU43" s="44" t="n">
        <f aca="false">SUMPRODUCT(($C$4:$C$33="ZAN 8")*AU$4:AU$33)</f>
        <v>0</v>
      </c>
      <c r="AV43" s="44" t="n">
        <f aca="false">SUMPRODUCT(($C$4:$C$33="ZAN 8")*AV$4:AV$33)</f>
        <v>0</v>
      </c>
      <c r="AW43" s="44" t="n">
        <f aca="false">SUMPRODUCT(($C$4:$C$33="ZAN 8")*AW$4:AW$33)</f>
        <v>0</v>
      </c>
      <c r="AX43" s="44" t="n">
        <f aca="false">SUMPRODUCT(($C$4:$C$33="ZAN 8")*AX$4:AX$33)</f>
        <v>0</v>
      </c>
      <c r="AY43" s="44" t="n">
        <f aca="false">SUMPRODUCT(($C$4:$C$33="ZAN 8")*AY$4:AY$33)</f>
        <v>0</v>
      </c>
      <c r="AZ43" s="44" t="n">
        <f aca="false">SUMPRODUCT(($C$4:$C$33="ZAN 8")*AZ$4:AZ$33)</f>
        <v>0</v>
      </c>
      <c r="BA43" s="44" t="n">
        <f aca="false">SUMPRODUCT(($C$4:$C$33="ZAN 8")*BA$4:BA$33)</f>
        <v>0</v>
      </c>
      <c r="BB43" s="44" t="n">
        <f aca="false">SUMPRODUCT(($C$4:$C$33="ZAN 8")*BB$4:BB$33)</f>
        <v>0</v>
      </c>
    </row>
    <row r="44" customFormat="false" ht="15" hidden="false" customHeight="true" outlineLevel="0" collapsed="false">
      <c r="B44" s="47" t="s">
        <v>53</v>
      </c>
      <c r="D44" s="44" t="n">
        <f aca="false">SUM(E44:BB44)</f>
        <v>0</v>
      </c>
      <c r="E44" s="44" t="n">
        <f aca="false">SUMPRODUCT(($C$4:$C$33="ZAN 9")*E$4:E$33)</f>
        <v>0</v>
      </c>
      <c r="F44" s="44" t="n">
        <f aca="false">SUMPRODUCT(($C$4:$C$33="ZAN 9")*F$4:F$33)</f>
        <v>0</v>
      </c>
      <c r="G44" s="44" t="n">
        <f aca="false">SUMPRODUCT(($C$4:$C$33="ZAN 9")*G$4:G$33)</f>
        <v>0</v>
      </c>
      <c r="H44" s="44" t="n">
        <f aca="false">SUMPRODUCT(($C$4:$C$33="ZAN 9")*H$4:H$33)</f>
        <v>0</v>
      </c>
      <c r="I44" s="44" t="n">
        <f aca="false">SUMPRODUCT(($C$4:$C$33="ZAN 9")*I$4:I$33)</f>
        <v>0</v>
      </c>
      <c r="J44" s="44" t="n">
        <f aca="false">SUMPRODUCT(($C$4:$C$33="ZAN 9")*J$4:J$33)</f>
        <v>0</v>
      </c>
      <c r="K44" s="44" t="n">
        <f aca="false">SUMPRODUCT(($C$4:$C$33="ZAN 9")*K$4:K$33)</f>
        <v>0</v>
      </c>
      <c r="L44" s="44" t="n">
        <f aca="false">SUMPRODUCT(($C$4:$C$33="ZAN 9")*L$4:L$33)</f>
        <v>0</v>
      </c>
      <c r="M44" s="44" t="n">
        <f aca="false">SUMPRODUCT(($C$4:$C$33="ZAN 9")*M$4:M$33)</f>
        <v>0</v>
      </c>
      <c r="N44" s="44" t="n">
        <f aca="false">SUMPRODUCT(($C$4:$C$33="ZAN 9")*N$4:N$33)</f>
        <v>0</v>
      </c>
      <c r="O44" s="44" t="n">
        <f aca="false">SUMPRODUCT(($C$4:$C$33="ZAN 9")*O$4:O$33)</f>
        <v>0</v>
      </c>
      <c r="P44" s="44" t="n">
        <f aca="false">SUMPRODUCT(($C$4:$C$33="ZAN 9")*P$4:P$33)</f>
        <v>0</v>
      </c>
      <c r="Q44" s="44" t="n">
        <f aca="false">SUMPRODUCT(($C$4:$C$33="ZAN 9")*Q$4:Q$33)</f>
        <v>0</v>
      </c>
      <c r="R44" s="44" t="n">
        <f aca="false">SUMPRODUCT(($C$4:$C$33="ZAN 9")*R$4:R$33)</f>
        <v>0</v>
      </c>
      <c r="S44" s="44" t="n">
        <f aca="false">SUMPRODUCT(($C$4:$C$33="ZAN 9")*S$4:S$33)</f>
        <v>0</v>
      </c>
      <c r="T44" s="44" t="n">
        <f aca="false">SUMPRODUCT(($C$4:$C$33="ZAN 9")*T$4:T$33)</f>
        <v>0</v>
      </c>
      <c r="U44" s="44" t="n">
        <f aca="false">SUMPRODUCT(($C$4:$C$33="ZAN 9")*U$4:U$33)</f>
        <v>0</v>
      </c>
      <c r="V44" s="44" t="n">
        <f aca="false">SUMPRODUCT(($C$4:$C$33="ZAN 9")*V$4:V$33)</f>
        <v>0</v>
      </c>
      <c r="W44" s="44" t="n">
        <f aca="false">SUMPRODUCT(($C$4:$C$33="ZAN 9")*W$4:W$33)</f>
        <v>0</v>
      </c>
      <c r="X44" s="44" t="n">
        <f aca="false">SUMPRODUCT(($C$4:$C$33="ZAN 9")*X$4:X$33)</f>
        <v>0</v>
      </c>
      <c r="Y44" s="44" t="n">
        <f aca="false">SUMPRODUCT(($C$4:$C$33="ZAN 9")*Y$4:Y$33)</f>
        <v>0</v>
      </c>
      <c r="Z44" s="44" t="n">
        <f aca="false">SUMPRODUCT(($C$4:$C$33="ZAN 9")*Z$4:Z$33)</f>
        <v>0</v>
      </c>
      <c r="AA44" s="44" t="n">
        <f aca="false">SUMPRODUCT(($C$4:$C$33="ZAN 9")*AA$4:AA$33)</f>
        <v>0</v>
      </c>
      <c r="AB44" s="44" t="n">
        <f aca="false">SUMPRODUCT(($C$4:$C$33="ZAN 9")*AB$4:AB$33)</f>
        <v>0</v>
      </c>
      <c r="AC44" s="44" t="n">
        <f aca="false">SUMPRODUCT(($C$4:$C$33="ZAN 9")*AC$4:AC$33)</f>
        <v>0</v>
      </c>
      <c r="AD44" s="44" t="n">
        <f aca="false">SUMPRODUCT(($C$4:$C$33="ZAN 9")*AD$4:AD$33)</f>
        <v>0</v>
      </c>
      <c r="AE44" s="44" t="n">
        <f aca="false">SUMPRODUCT(($C$4:$C$33="ZAN 9")*AE$4:AE$33)</f>
        <v>0</v>
      </c>
      <c r="AF44" s="44" t="n">
        <f aca="false">SUMPRODUCT(($C$4:$C$33="ZAN 9")*AF$4:AF$33)</f>
        <v>0</v>
      </c>
      <c r="AG44" s="44" t="n">
        <f aca="false">SUMPRODUCT(($C$4:$C$33="ZAN 9")*AG$4:AG$33)</f>
        <v>0</v>
      </c>
      <c r="AH44" s="44" t="n">
        <f aca="false">SUMPRODUCT(($C$4:$C$33="ZAN 9")*AH$4:AH$33)</f>
        <v>0</v>
      </c>
      <c r="AI44" s="44" t="n">
        <f aca="false">SUMPRODUCT(($C$4:$C$33="ZAN 9")*AI$4:AI$33)</f>
        <v>0</v>
      </c>
      <c r="AJ44" s="44" t="n">
        <f aca="false">SUMPRODUCT(($C$4:$C$33="ZAN 9")*AJ$4:AJ$33)</f>
        <v>0</v>
      </c>
      <c r="AK44" s="44" t="n">
        <f aca="false">SUMPRODUCT(($C$4:$C$33="ZAN 9")*AK$4:AK$33)</f>
        <v>0</v>
      </c>
      <c r="AL44" s="44" t="n">
        <f aca="false">SUMPRODUCT(($C$4:$C$33="ZAN 9")*AL$4:AL$33)</f>
        <v>0</v>
      </c>
      <c r="AM44" s="44" t="n">
        <f aca="false">SUMPRODUCT(($C$4:$C$33="ZAN 9")*AM$4:AM$33)</f>
        <v>0</v>
      </c>
      <c r="AN44" s="44" t="n">
        <f aca="false">SUMPRODUCT(($C$4:$C$33="ZAN 9")*AN$4:AN$33)</f>
        <v>0</v>
      </c>
      <c r="AO44" s="44" t="n">
        <f aca="false">SUMPRODUCT(($C$4:$C$33="ZAN 9")*AO$4:AO$33)</f>
        <v>0</v>
      </c>
      <c r="AP44" s="44" t="n">
        <f aca="false">SUMPRODUCT(($C$4:$C$33="ZAN 9")*AP$4:AP$33)</f>
        <v>0</v>
      </c>
      <c r="AQ44" s="44" t="n">
        <f aca="false">SUMPRODUCT(($C$4:$C$33="ZAN 9")*AQ$4:AQ$33)</f>
        <v>0</v>
      </c>
      <c r="AR44" s="44" t="n">
        <f aca="false">SUMPRODUCT(($C$4:$C$33="ZAN 9")*AR$4:AR$33)</f>
        <v>0</v>
      </c>
      <c r="AS44" s="44" t="n">
        <f aca="false">SUMPRODUCT(($C$4:$C$33="ZAN 9")*AS$4:AS$33)</f>
        <v>0</v>
      </c>
      <c r="AT44" s="44" t="n">
        <f aca="false">SUMPRODUCT(($C$4:$C$33="ZAN 9")*AT$4:AT$33)</f>
        <v>0</v>
      </c>
      <c r="AU44" s="44" t="n">
        <f aca="false">SUMPRODUCT(($C$4:$C$33="ZAN 9")*AU$4:AU$33)</f>
        <v>0</v>
      </c>
      <c r="AV44" s="44" t="n">
        <f aca="false">SUMPRODUCT(($C$4:$C$33="ZAN 9")*AV$4:AV$33)</f>
        <v>0</v>
      </c>
      <c r="AW44" s="44" t="n">
        <f aca="false">SUMPRODUCT(($C$4:$C$33="ZAN 9")*AW$4:AW$33)</f>
        <v>0</v>
      </c>
      <c r="AX44" s="44" t="n">
        <f aca="false">SUMPRODUCT(($C$4:$C$33="ZAN 9")*AX$4:AX$33)</f>
        <v>0</v>
      </c>
      <c r="AY44" s="44" t="n">
        <f aca="false">SUMPRODUCT(($C$4:$C$33="ZAN 9")*AY$4:AY$33)</f>
        <v>0</v>
      </c>
      <c r="AZ44" s="44" t="n">
        <f aca="false">SUMPRODUCT(($C$4:$C$33="ZAN 9")*AZ$4:AZ$33)</f>
        <v>0</v>
      </c>
      <c r="BA44" s="44" t="n">
        <f aca="false">SUMPRODUCT(($C$4:$C$33="ZAN 9")*BA$4:BA$33)</f>
        <v>0</v>
      </c>
      <c r="BB44" s="44" t="n">
        <f aca="false">SUMPRODUCT(($C$4:$C$33="ZAN 9")*BB$4:BB$33)</f>
        <v>0</v>
      </c>
    </row>
    <row r="45" customFormat="false" ht="15" hidden="false" customHeight="true" outlineLevel="0" collapsed="false">
      <c r="B45" s="47" t="s">
        <v>54</v>
      </c>
      <c r="D45" s="44" t="n">
        <f aca="false">SUM(E45:BB45)</f>
        <v>0</v>
      </c>
      <c r="E45" s="44" t="n">
        <f aca="false">SUMPRODUCT(($C$4:$C$33="ZAN 10")*E$4:E$33)</f>
        <v>0</v>
      </c>
      <c r="F45" s="44" t="n">
        <f aca="false">SUMPRODUCT(($C$4:$C$33="ZAN 10")*F$4:F$33)</f>
        <v>0</v>
      </c>
      <c r="G45" s="44" t="n">
        <f aca="false">SUMPRODUCT(($C$4:$C$33="ZAN 10")*G$4:G$33)</f>
        <v>0</v>
      </c>
      <c r="H45" s="44" t="n">
        <f aca="false">SUMPRODUCT(($C$4:$C$33="ZAN 10")*H$4:H$33)</f>
        <v>0</v>
      </c>
      <c r="I45" s="44" t="n">
        <f aca="false">SUMPRODUCT(($C$4:$C$33="ZAN 10")*I$4:I$33)</f>
        <v>0</v>
      </c>
      <c r="J45" s="44" t="n">
        <f aca="false">SUMPRODUCT(($C$4:$C$33="ZAN 10")*J$4:J$33)</f>
        <v>0</v>
      </c>
      <c r="K45" s="44" t="n">
        <f aca="false">SUMPRODUCT(($C$4:$C$33="ZAN 10")*K$4:K$33)</f>
        <v>0</v>
      </c>
      <c r="L45" s="44" t="n">
        <f aca="false">SUMPRODUCT(($C$4:$C$33="ZAN 10")*L$4:L$33)</f>
        <v>0</v>
      </c>
      <c r="M45" s="44" t="n">
        <f aca="false">SUMPRODUCT(($C$4:$C$33="ZAN 10")*M$4:M$33)</f>
        <v>0</v>
      </c>
      <c r="N45" s="44" t="n">
        <f aca="false">SUMPRODUCT(($C$4:$C$33="ZAN 10")*N$4:N$33)</f>
        <v>0</v>
      </c>
      <c r="O45" s="44" t="n">
        <f aca="false">SUMPRODUCT(($C$4:$C$33="ZAN 10")*O$4:O$33)</f>
        <v>0</v>
      </c>
      <c r="P45" s="44" t="n">
        <f aca="false">SUMPRODUCT(($C$4:$C$33="ZAN 10")*P$4:P$33)</f>
        <v>0</v>
      </c>
      <c r="Q45" s="44" t="n">
        <f aca="false">SUMPRODUCT(($C$4:$C$33="ZAN 10")*Q$4:Q$33)</f>
        <v>0</v>
      </c>
      <c r="R45" s="44" t="n">
        <f aca="false">SUMPRODUCT(($C$4:$C$33="ZAN 10")*R$4:R$33)</f>
        <v>0</v>
      </c>
      <c r="S45" s="44" t="n">
        <f aca="false">SUMPRODUCT(($C$4:$C$33="ZAN 10")*S$4:S$33)</f>
        <v>0</v>
      </c>
      <c r="T45" s="44" t="n">
        <f aca="false">SUMPRODUCT(($C$4:$C$33="ZAN 10")*T$4:T$33)</f>
        <v>0</v>
      </c>
      <c r="U45" s="44" t="n">
        <f aca="false">SUMPRODUCT(($C$4:$C$33="ZAN 10")*U$4:U$33)</f>
        <v>0</v>
      </c>
      <c r="V45" s="44" t="n">
        <f aca="false">SUMPRODUCT(($C$4:$C$33="ZAN 10")*V$4:V$33)</f>
        <v>0</v>
      </c>
      <c r="W45" s="44" t="n">
        <f aca="false">SUMPRODUCT(($C$4:$C$33="ZAN 10")*W$4:W$33)</f>
        <v>0</v>
      </c>
      <c r="X45" s="44" t="n">
        <f aca="false">SUMPRODUCT(($C$4:$C$33="ZAN 10")*X$4:X$33)</f>
        <v>0</v>
      </c>
      <c r="Y45" s="44" t="n">
        <f aca="false">SUMPRODUCT(($C$4:$C$33="ZAN 10")*Y$4:Y$33)</f>
        <v>0</v>
      </c>
      <c r="Z45" s="44" t="n">
        <f aca="false">SUMPRODUCT(($C$4:$C$33="ZAN 10")*Z$4:Z$33)</f>
        <v>0</v>
      </c>
      <c r="AA45" s="44" t="n">
        <f aca="false">SUMPRODUCT(($C$4:$C$33="ZAN 10")*AA$4:AA$33)</f>
        <v>0</v>
      </c>
      <c r="AB45" s="44" t="n">
        <f aca="false">SUMPRODUCT(($C$4:$C$33="ZAN 10")*AB$4:AB$33)</f>
        <v>0</v>
      </c>
      <c r="AC45" s="44" t="n">
        <f aca="false">SUMPRODUCT(($C$4:$C$33="ZAN 10")*AC$4:AC$33)</f>
        <v>0</v>
      </c>
      <c r="AD45" s="44" t="n">
        <f aca="false">SUMPRODUCT(($C$4:$C$33="ZAN 10")*AD$4:AD$33)</f>
        <v>0</v>
      </c>
      <c r="AE45" s="44" t="n">
        <f aca="false">SUMPRODUCT(($C$4:$C$33="ZAN 10")*AE$4:AE$33)</f>
        <v>0</v>
      </c>
      <c r="AF45" s="44" t="n">
        <f aca="false">SUMPRODUCT(($C$4:$C$33="ZAN 10")*AF$4:AF$33)</f>
        <v>0</v>
      </c>
      <c r="AG45" s="44" t="n">
        <f aca="false">SUMPRODUCT(($C$4:$C$33="ZAN 10")*AG$4:AG$33)</f>
        <v>0</v>
      </c>
      <c r="AH45" s="44" t="n">
        <f aca="false">SUMPRODUCT(($C$4:$C$33="ZAN 10")*AH$4:AH$33)</f>
        <v>0</v>
      </c>
      <c r="AI45" s="44" t="n">
        <f aca="false">SUMPRODUCT(($C$4:$C$33="ZAN 10")*AI$4:AI$33)</f>
        <v>0</v>
      </c>
      <c r="AJ45" s="44" t="n">
        <f aca="false">SUMPRODUCT(($C$4:$C$33="ZAN 10")*AJ$4:AJ$33)</f>
        <v>0</v>
      </c>
      <c r="AK45" s="44" t="n">
        <f aca="false">SUMPRODUCT(($C$4:$C$33="ZAN 10")*AK$4:AK$33)</f>
        <v>0</v>
      </c>
      <c r="AL45" s="44" t="n">
        <f aca="false">SUMPRODUCT(($C$4:$C$33="ZAN 10")*AL$4:AL$33)</f>
        <v>0</v>
      </c>
      <c r="AM45" s="44" t="n">
        <f aca="false">SUMPRODUCT(($C$4:$C$33="ZAN 10")*AM$4:AM$33)</f>
        <v>0</v>
      </c>
      <c r="AN45" s="44" t="n">
        <f aca="false">SUMPRODUCT(($C$4:$C$33="ZAN 10")*AN$4:AN$33)</f>
        <v>0</v>
      </c>
      <c r="AO45" s="44" t="n">
        <f aca="false">SUMPRODUCT(($C$4:$C$33="ZAN 10")*AO$4:AO$33)</f>
        <v>0</v>
      </c>
      <c r="AP45" s="44" t="n">
        <f aca="false">SUMPRODUCT(($C$4:$C$33="ZAN 10")*AP$4:AP$33)</f>
        <v>0</v>
      </c>
      <c r="AQ45" s="44" t="n">
        <f aca="false">SUMPRODUCT(($C$4:$C$33="ZAN 10")*AQ$4:AQ$33)</f>
        <v>0</v>
      </c>
      <c r="AR45" s="44" t="n">
        <f aca="false">SUMPRODUCT(($C$4:$C$33="ZAN 10")*AR$4:AR$33)</f>
        <v>0</v>
      </c>
      <c r="AS45" s="44" t="n">
        <f aca="false">SUMPRODUCT(($C$4:$C$33="ZAN 10")*AS$4:AS$33)</f>
        <v>0</v>
      </c>
      <c r="AT45" s="44" t="n">
        <f aca="false">SUMPRODUCT(($C$4:$C$33="ZAN 10")*AT$4:AT$33)</f>
        <v>0</v>
      </c>
      <c r="AU45" s="44" t="n">
        <f aca="false">SUMPRODUCT(($C$4:$C$33="ZAN 10")*AU$4:AU$33)</f>
        <v>0</v>
      </c>
      <c r="AV45" s="44" t="n">
        <f aca="false">SUMPRODUCT(($C$4:$C$33="ZAN 10")*AV$4:AV$33)</f>
        <v>0</v>
      </c>
      <c r="AW45" s="44" t="n">
        <f aca="false">SUMPRODUCT(($C$4:$C$33="ZAN 10")*AW$4:AW$33)</f>
        <v>0</v>
      </c>
      <c r="AX45" s="44" t="n">
        <f aca="false">SUMPRODUCT(($C$4:$C$33="ZAN 10")*AX$4:AX$33)</f>
        <v>0</v>
      </c>
      <c r="AY45" s="44" t="n">
        <f aca="false">SUMPRODUCT(($C$4:$C$33="ZAN 10")*AY$4:AY$33)</f>
        <v>0</v>
      </c>
      <c r="AZ45" s="44" t="n">
        <f aca="false">SUMPRODUCT(($C$4:$C$33="ZAN 10")*AZ$4:AZ$33)</f>
        <v>0</v>
      </c>
      <c r="BA45" s="44" t="n">
        <f aca="false">SUMPRODUCT(($C$4:$C$33="ZAN 10")*BA$4:BA$33)</f>
        <v>0</v>
      </c>
      <c r="BB45" s="44" t="n">
        <f aca="false">SUMPRODUCT(($C$4:$C$33="ZAN 10")*BB$4:BB$33)</f>
        <v>0</v>
      </c>
    </row>
    <row r="46" customFormat="false" ht="15" hidden="false" customHeight="true" outlineLevel="0" collapsed="false">
      <c r="B46" s="47" t="s">
        <v>55</v>
      </c>
      <c r="D46" s="44" t="n">
        <f aca="false">SUM(E46:BB46)</f>
        <v>0</v>
      </c>
      <c r="E46" s="44" t="n">
        <f aca="false">SUMPRODUCT(($C$4:$C$33="ZAN 11")*E$4:E$33)</f>
        <v>0</v>
      </c>
      <c r="F46" s="44" t="n">
        <f aca="false">SUMPRODUCT(($C$4:$C$33="ZAN 11")*F$4:F$33)</f>
        <v>0</v>
      </c>
      <c r="G46" s="44" t="n">
        <f aca="false">SUMPRODUCT(($C$4:$C$33="ZAN 11")*G$4:G$33)</f>
        <v>0</v>
      </c>
      <c r="H46" s="44" t="n">
        <f aca="false">SUMPRODUCT(($C$4:$C$33="ZAN 11")*H$4:H$33)</f>
        <v>0</v>
      </c>
      <c r="I46" s="44" t="n">
        <f aca="false">SUMPRODUCT(($C$4:$C$33="ZAN 11")*I$4:I$33)</f>
        <v>0</v>
      </c>
      <c r="J46" s="44" t="n">
        <f aca="false">SUMPRODUCT(($C$4:$C$33="ZAN 11")*J$4:J$33)</f>
        <v>0</v>
      </c>
      <c r="K46" s="44" t="n">
        <f aca="false">SUMPRODUCT(($C$4:$C$33="ZAN 11")*K$4:K$33)</f>
        <v>0</v>
      </c>
      <c r="L46" s="44" t="n">
        <f aca="false">SUMPRODUCT(($C$4:$C$33="ZAN 11")*L$4:L$33)</f>
        <v>0</v>
      </c>
      <c r="M46" s="44" t="n">
        <f aca="false">SUMPRODUCT(($C$4:$C$33="ZAN 11")*M$4:M$33)</f>
        <v>0</v>
      </c>
      <c r="N46" s="44" t="n">
        <f aca="false">SUMPRODUCT(($C$4:$C$33="ZAN 11")*N$4:N$33)</f>
        <v>0</v>
      </c>
      <c r="O46" s="44" t="n">
        <f aca="false">SUMPRODUCT(($C$4:$C$33="ZAN 11")*O$4:O$33)</f>
        <v>0</v>
      </c>
      <c r="P46" s="44" t="n">
        <f aca="false">SUMPRODUCT(($C$4:$C$33="ZAN 11")*P$4:P$33)</f>
        <v>0</v>
      </c>
      <c r="Q46" s="44" t="n">
        <f aca="false">SUMPRODUCT(($C$4:$C$33="ZAN 11")*Q$4:Q$33)</f>
        <v>0</v>
      </c>
      <c r="R46" s="44" t="n">
        <f aca="false">SUMPRODUCT(($C$4:$C$33="ZAN 11")*R$4:R$33)</f>
        <v>0</v>
      </c>
      <c r="S46" s="44" t="n">
        <f aca="false">SUMPRODUCT(($C$4:$C$33="ZAN 11")*S$4:S$33)</f>
        <v>0</v>
      </c>
      <c r="T46" s="44" t="n">
        <f aca="false">SUMPRODUCT(($C$4:$C$33="ZAN 11")*T$4:T$33)</f>
        <v>0</v>
      </c>
      <c r="U46" s="44" t="n">
        <f aca="false">SUMPRODUCT(($C$4:$C$33="ZAN 11")*U$4:U$33)</f>
        <v>0</v>
      </c>
      <c r="V46" s="44" t="n">
        <f aca="false">SUMPRODUCT(($C$4:$C$33="ZAN 11")*V$4:V$33)</f>
        <v>0</v>
      </c>
      <c r="W46" s="44" t="n">
        <f aca="false">SUMPRODUCT(($C$4:$C$33="ZAN 11")*W$4:W$33)</f>
        <v>0</v>
      </c>
      <c r="X46" s="44" t="n">
        <f aca="false">SUMPRODUCT(($C$4:$C$33="ZAN 11")*X$4:X$33)</f>
        <v>0</v>
      </c>
      <c r="Y46" s="44" t="n">
        <f aca="false">SUMPRODUCT(($C$4:$C$33="ZAN 11")*Y$4:Y$33)</f>
        <v>0</v>
      </c>
      <c r="Z46" s="44" t="n">
        <f aca="false">SUMPRODUCT(($C$4:$C$33="ZAN 11")*Z$4:Z$33)</f>
        <v>0</v>
      </c>
      <c r="AA46" s="44" t="n">
        <f aca="false">SUMPRODUCT(($C$4:$C$33="ZAN 11")*AA$4:AA$33)</f>
        <v>0</v>
      </c>
      <c r="AB46" s="44" t="n">
        <f aca="false">SUMPRODUCT(($C$4:$C$33="ZAN 11")*AB$4:AB$33)</f>
        <v>0</v>
      </c>
      <c r="AC46" s="44" t="n">
        <f aca="false">SUMPRODUCT(($C$4:$C$33="ZAN 11")*AC$4:AC$33)</f>
        <v>0</v>
      </c>
      <c r="AD46" s="44" t="n">
        <f aca="false">SUMPRODUCT(($C$4:$C$33="ZAN 11")*AD$4:AD$33)</f>
        <v>0</v>
      </c>
      <c r="AE46" s="44" t="n">
        <f aca="false">SUMPRODUCT(($C$4:$C$33="ZAN 11")*AE$4:AE$33)</f>
        <v>0</v>
      </c>
      <c r="AF46" s="44" t="n">
        <f aca="false">SUMPRODUCT(($C$4:$C$33="ZAN 11")*AF$4:AF$33)</f>
        <v>0</v>
      </c>
      <c r="AG46" s="44" t="n">
        <f aca="false">SUMPRODUCT(($C$4:$C$33="ZAN 11")*AG$4:AG$33)</f>
        <v>0</v>
      </c>
      <c r="AH46" s="44" t="n">
        <f aca="false">SUMPRODUCT(($C$4:$C$33="ZAN 11")*AH$4:AH$33)</f>
        <v>0</v>
      </c>
      <c r="AI46" s="44" t="n">
        <f aca="false">SUMPRODUCT(($C$4:$C$33="ZAN 11")*AI$4:AI$33)</f>
        <v>0</v>
      </c>
      <c r="AJ46" s="44" t="n">
        <f aca="false">SUMPRODUCT(($C$4:$C$33="ZAN 11")*AJ$4:AJ$33)</f>
        <v>0</v>
      </c>
      <c r="AK46" s="44" t="n">
        <f aca="false">SUMPRODUCT(($C$4:$C$33="ZAN 11")*AK$4:AK$33)</f>
        <v>0</v>
      </c>
      <c r="AL46" s="44" t="n">
        <f aca="false">SUMPRODUCT(($C$4:$C$33="ZAN 11")*AL$4:AL$33)</f>
        <v>0</v>
      </c>
      <c r="AM46" s="44" t="n">
        <f aca="false">SUMPRODUCT(($C$4:$C$33="ZAN 11")*AM$4:AM$33)</f>
        <v>0</v>
      </c>
      <c r="AN46" s="44" t="n">
        <f aca="false">SUMPRODUCT(($C$4:$C$33="ZAN 11")*AN$4:AN$33)</f>
        <v>0</v>
      </c>
      <c r="AO46" s="44" t="n">
        <f aca="false">SUMPRODUCT(($C$4:$C$33="ZAN 11")*AO$4:AO$33)</f>
        <v>0</v>
      </c>
      <c r="AP46" s="44" t="n">
        <f aca="false">SUMPRODUCT(($C$4:$C$33="ZAN 11")*AP$4:AP$33)</f>
        <v>0</v>
      </c>
      <c r="AQ46" s="44" t="n">
        <f aca="false">SUMPRODUCT(($C$4:$C$33="ZAN 11")*AQ$4:AQ$33)</f>
        <v>0</v>
      </c>
      <c r="AR46" s="44" t="n">
        <f aca="false">SUMPRODUCT(($C$4:$C$33="ZAN 11")*AR$4:AR$33)</f>
        <v>0</v>
      </c>
      <c r="AS46" s="44" t="n">
        <f aca="false">SUMPRODUCT(($C$4:$C$33="ZAN 11")*AS$4:AS$33)</f>
        <v>0</v>
      </c>
      <c r="AT46" s="44" t="n">
        <f aca="false">SUMPRODUCT(($C$4:$C$33="ZAN 11")*AT$4:AT$33)</f>
        <v>0</v>
      </c>
      <c r="AU46" s="44" t="n">
        <f aca="false">SUMPRODUCT(($C$4:$C$33="ZAN 11")*AU$4:AU$33)</f>
        <v>0</v>
      </c>
      <c r="AV46" s="44" t="n">
        <f aca="false">SUMPRODUCT(($C$4:$C$33="ZAN 11")*AV$4:AV$33)</f>
        <v>0</v>
      </c>
      <c r="AW46" s="44" t="n">
        <f aca="false">SUMPRODUCT(($C$4:$C$33="ZAN 11")*AW$4:AW$33)</f>
        <v>0</v>
      </c>
      <c r="AX46" s="44" t="n">
        <f aca="false">SUMPRODUCT(($C$4:$C$33="ZAN 11")*AX$4:AX$33)</f>
        <v>0</v>
      </c>
      <c r="AY46" s="44" t="n">
        <f aca="false">SUMPRODUCT(($C$4:$C$33="ZAN 11")*AY$4:AY$33)</f>
        <v>0</v>
      </c>
      <c r="AZ46" s="44" t="n">
        <f aca="false">SUMPRODUCT(($C$4:$C$33="ZAN 11")*AZ$4:AZ$33)</f>
        <v>0</v>
      </c>
      <c r="BA46" s="44" t="n">
        <f aca="false">SUMPRODUCT(($C$4:$C$33="ZAN 11")*BA$4:BA$33)</f>
        <v>0</v>
      </c>
      <c r="BB46" s="44" t="n">
        <f aca="false">SUMPRODUCT(($C$4:$C$33="ZAN 11")*BB$4:BB$33)</f>
        <v>0</v>
      </c>
    </row>
    <row r="47" customFormat="false" ht="15" hidden="false" customHeight="true" outlineLevel="0" collapsed="false">
      <c r="B47" s="47" t="s">
        <v>56</v>
      </c>
      <c r="D47" s="44" t="n">
        <f aca="false">SUM(E47:BB47)</f>
        <v>0</v>
      </c>
      <c r="E47" s="44" t="n">
        <f aca="false">SUMPRODUCT(($C$4:$C$33="ZAN 12")*E$4:E$33)</f>
        <v>0</v>
      </c>
      <c r="F47" s="44" t="n">
        <f aca="false">SUMPRODUCT(($C$4:$C$33="ZAN 12")*F$4:F$33)</f>
        <v>0</v>
      </c>
      <c r="G47" s="44" t="n">
        <f aca="false">SUMPRODUCT(($C$4:$C$33="ZAN 12")*G$4:G$33)</f>
        <v>0</v>
      </c>
      <c r="H47" s="44" t="n">
        <f aca="false">SUMPRODUCT(($C$4:$C$33="ZAN 12")*H$4:H$33)</f>
        <v>0</v>
      </c>
      <c r="I47" s="44" t="n">
        <f aca="false">SUMPRODUCT(($C$4:$C$33="ZAN 12")*I$4:I$33)</f>
        <v>0</v>
      </c>
      <c r="J47" s="44" t="n">
        <f aca="false">SUMPRODUCT(($C$4:$C$33="ZAN 12")*J$4:J$33)</f>
        <v>0</v>
      </c>
      <c r="K47" s="44" t="n">
        <f aca="false">SUMPRODUCT(($C$4:$C$33="ZAN 12")*K$4:K$33)</f>
        <v>0</v>
      </c>
      <c r="L47" s="44" t="n">
        <f aca="false">SUMPRODUCT(($C$4:$C$33="ZAN 12")*L$4:L$33)</f>
        <v>0</v>
      </c>
      <c r="M47" s="44" t="n">
        <f aca="false">SUMPRODUCT(($C$4:$C$33="ZAN 12")*M$4:M$33)</f>
        <v>0</v>
      </c>
      <c r="N47" s="44" t="n">
        <f aca="false">SUMPRODUCT(($C$4:$C$33="ZAN 12")*N$4:N$33)</f>
        <v>0</v>
      </c>
      <c r="O47" s="44" t="n">
        <f aca="false">SUMPRODUCT(($C$4:$C$33="ZAN 12")*O$4:O$33)</f>
        <v>0</v>
      </c>
      <c r="P47" s="44" t="n">
        <f aca="false">SUMPRODUCT(($C$4:$C$33="ZAN 12")*P$4:P$33)</f>
        <v>0</v>
      </c>
      <c r="Q47" s="44" t="n">
        <f aca="false">SUMPRODUCT(($C$4:$C$33="ZAN 12")*Q$4:Q$33)</f>
        <v>0</v>
      </c>
      <c r="R47" s="44" t="n">
        <f aca="false">SUMPRODUCT(($C$4:$C$33="ZAN 12")*R$4:R$33)</f>
        <v>0</v>
      </c>
      <c r="S47" s="44" t="n">
        <f aca="false">SUMPRODUCT(($C$4:$C$33="ZAN 12")*S$4:S$33)</f>
        <v>0</v>
      </c>
      <c r="T47" s="44" t="n">
        <f aca="false">SUMPRODUCT(($C$4:$C$33="ZAN 12")*T$4:T$33)</f>
        <v>0</v>
      </c>
      <c r="U47" s="44" t="n">
        <f aca="false">SUMPRODUCT(($C$4:$C$33="ZAN 12")*U$4:U$33)</f>
        <v>0</v>
      </c>
      <c r="V47" s="44" t="n">
        <f aca="false">SUMPRODUCT(($C$4:$C$33="ZAN 12")*V$4:V$33)</f>
        <v>0</v>
      </c>
      <c r="W47" s="44" t="n">
        <f aca="false">SUMPRODUCT(($C$4:$C$33="ZAN 12")*W$4:W$33)</f>
        <v>0</v>
      </c>
      <c r="X47" s="44" t="n">
        <f aca="false">SUMPRODUCT(($C$4:$C$33="ZAN 12")*X$4:X$33)</f>
        <v>0</v>
      </c>
      <c r="Y47" s="44" t="n">
        <f aca="false">SUMPRODUCT(($C$4:$C$33="ZAN 12")*Y$4:Y$33)</f>
        <v>0</v>
      </c>
      <c r="Z47" s="44" t="n">
        <f aca="false">SUMPRODUCT(($C$4:$C$33="ZAN 12")*Z$4:Z$33)</f>
        <v>0</v>
      </c>
      <c r="AA47" s="44" t="n">
        <f aca="false">SUMPRODUCT(($C$4:$C$33="ZAN 12")*AA$4:AA$33)</f>
        <v>0</v>
      </c>
      <c r="AB47" s="44" t="n">
        <f aca="false">SUMPRODUCT(($C$4:$C$33="ZAN 12")*AB$4:AB$33)</f>
        <v>0</v>
      </c>
      <c r="AC47" s="44" t="n">
        <f aca="false">SUMPRODUCT(($C$4:$C$33="ZAN 12")*AC$4:AC$33)</f>
        <v>0</v>
      </c>
      <c r="AD47" s="44" t="n">
        <f aca="false">SUMPRODUCT(($C$4:$C$33="ZAN 12")*AD$4:AD$33)</f>
        <v>0</v>
      </c>
      <c r="AE47" s="44" t="n">
        <f aca="false">SUMPRODUCT(($C$4:$C$33="ZAN 12")*AE$4:AE$33)</f>
        <v>0</v>
      </c>
      <c r="AF47" s="44" t="n">
        <f aca="false">SUMPRODUCT(($C$4:$C$33="ZAN 12")*AF$4:AF$33)</f>
        <v>0</v>
      </c>
      <c r="AG47" s="44" t="n">
        <f aca="false">SUMPRODUCT(($C$4:$C$33="ZAN 12")*AG$4:AG$33)</f>
        <v>0</v>
      </c>
      <c r="AH47" s="44" t="n">
        <f aca="false">SUMPRODUCT(($C$4:$C$33="ZAN 12")*AH$4:AH$33)</f>
        <v>0</v>
      </c>
      <c r="AI47" s="44" t="n">
        <f aca="false">SUMPRODUCT(($C$4:$C$33="ZAN 12")*AI$4:AI$33)</f>
        <v>0</v>
      </c>
      <c r="AJ47" s="44" t="n">
        <f aca="false">SUMPRODUCT(($C$4:$C$33="ZAN 12")*AJ$4:AJ$33)</f>
        <v>0</v>
      </c>
      <c r="AK47" s="44" t="n">
        <f aca="false">SUMPRODUCT(($C$4:$C$33="ZAN 12")*AK$4:AK$33)</f>
        <v>0</v>
      </c>
      <c r="AL47" s="44" t="n">
        <f aca="false">SUMPRODUCT(($C$4:$C$33="ZAN 12")*AL$4:AL$33)</f>
        <v>0</v>
      </c>
      <c r="AM47" s="44" t="n">
        <f aca="false">SUMPRODUCT(($C$4:$C$33="ZAN 12")*AM$4:AM$33)</f>
        <v>0</v>
      </c>
      <c r="AN47" s="44" t="n">
        <f aca="false">SUMPRODUCT(($C$4:$C$33="ZAN 12")*AN$4:AN$33)</f>
        <v>0</v>
      </c>
      <c r="AO47" s="44" t="n">
        <f aca="false">SUMPRODUCT(($C$4:$C$33="ZAN 12")*AO$4:AO$33)</f>
        <v>0</v>
      </c>
      <c r="AP47" s="44" t="n">
        <f aca="false">SUMPRODUCT(($C$4:$C$33="ZAN 12")*AP$4:AP$33)</f>
        <v>0</v>
      </c>
      <c r="AQ47" s="44" t="n">
        <f aca="false">SUMPRODUCT(($C$4:$C$33="ZAN 12")*AQ$4:AQ$33)</f>
        <v>0</v>
      </c>
      <c r="AR47" s="44" t="n">
        <f aca="false">SUMPRODUCT(($C$4:$C$33="ZAN 12")*AR$4:AR$33)</f>
        <v>0</v>
      </c>
      <c r="AS47" s="44" t="n">
        <f aca="false">SUMPRODUCT(($C$4:$C$33="ZAN 12")*AS$4:AS$33)</f>
        <v>0</v>
      </c>
      <c r="AT47" s="44" t="n">
        <f aca="false">SUMPRODUCT(($C$4:$C$33="ZAN 12")*AT$4:AT$33)</f>
        <v>0</v>
      </c>
      <c r="AU47" s="44" t="n">
        <f aca="false">SUMPRODUCT(($C$4:$C$33="ZAN 12")*AU$4:AU$33)</f>
        <v>0</v>
      </c>
      <c r="AV47" s="44" t="n">
        <f aca="false">SUMPRODUCT(($C$4:$C$33="ZAN 12")*AV$4:AV$33)</f>
        <v>0</v>
      </c>
      <c r="AW47" s="44" t="n">
        <f aca="false">SUMPRODUCT(($C$4:$C$33="ZAN 12")*AW$4:AW$33)</f>
        <v>0</v>
      </c>
      <c r="AX47" s="44" t="n">
        <f aca="false">SUMPRODUCT(($C$4:$C$33="ZAN 12")*AX$4:AX$33)</f>
        <v>0</v>
      </c>
      <c r="AY47" s="44" t="n">
        <f aca="false">SUMPRODUCT(($C$4:$C$33="ZAN 12")*AY$4:AY$33)</f>
        <v>0</v>
      </c>
      <c r="AZ47" s="44" t="n">
        <f aca="false">SUMPRODUCT(($C$4:$C$33="ZAN 12")*AZ$4:AZ$33)</f>
        <v>0</v>
      </c>
      <c r="BA47" s="44" t="n">
        <f aca="false">SUMPRODUCT(($C$4:$C$33="ZAN 12")*BA$4:BA$33)</f>
        <v>0</v>
      </c>
      <c r="BB47" s="44" t="n">
        <f aca="false">SUMPRODUCT(($C$4:$C$33="ZAN 12")*BB$4:BB$33)</f>
        <v>0</v>
      </c>
    </row>
    <row r="48" customFormat="false" ht="15" hidden="false" customHeight="true" outlineLevel="0" collapsed="false">
      <c r="B48" s="47" t="s">
        <v>57</v>
      </c>
      <c r="D48" s="44" t="n">
        <f aca="false">SUM(E48:BB48)</f>
        <v>0</v>
      </c>
      <c r="E48" s="44" t="n">
        <f aca="false">SUMPRODUCT(($C$4:$C$33="ZAN 13")*E$4:E$33)</f>
        <v>0</v>
      </c>
      <c r="F48" s="44" t="n">
        <f aca="false">SUMPRODUCT(($C$4:$C$33="ZAN 13")*F$4:F$33)</f>
        <v>0</v>
      </c>
      <c r="G48" s="44" t="n">
        <f aca="false">SUMPRODUCT(($C$4:$C$33="ZAN 13")*G$4:G$33)</f>
        <v>0</v>
      </c>
      <c r="H48" s="44" t="n">
        <f aca="false">SUMPRODUCT(($C$4:$C$33="ZAN 13")*H$4:H$33)</f>
        <v>0</v>
      </c>
      <c r="I48" s="44" t="n">
        <f aca="false">SUMPRODUCT(($C$4:$C$33="ZAN 13")*I$4:I$33)</f>
        <v>0</v>
      </c>
      <c r="J48" s="44" t="n">
        <f aca="false">SUMPRODUCT(($C$4:$C$33="ZAN 13")*J$4:J$33)</f>
        <v>0</v>
      </c>
      <c r="K48" s="44" t="n">
        <f aca="false">SUMPRODUCT(($C$4:$C$33="ZAN 13")*K$4:K$33)</f>
        <v>0</v>
      </c>
      <c r="L48" s="44" t="n">
        <f aca="false">SUMPRODUCT(($C$4:$C$33="ZAN 13")*L$4:L$33)</f>
        <v>0</v>
      </c>
      <c r="M48" s="44" t="n">
        <f aca="false">SUMPRODUCT(($C$4:$C$33="ZAN 13")*M$4:M$33)</f>
        <v>0</v>
      </c>
      <c r="N48" s="44" t="n">
        <f aca="false">SUMPRODUCT(($C$4:$C$33="ZAN 13")*N$4:N$33)</f>
        <v>0</v>
      </c>
      <c r="O48" s="44" t="n">
        <f aca="false">SUMPRODUCT(($C$4:$C$33="ZAN 13")*O$4:O$33)</f>
        <v>0</v>
      </c>
      <c r="P48" s="44" t="n">
        <f aca="false">SUMPRODUCT(($C$4:$C$33="ZAN 13")*P$4:P$33)</f>
        <v>0</v>
      </c>
      <c r="Q48" s="44" t="n">
        <f aca="false">SUMPRODUCT(($C$4:$C$33="ZAN 13")*Q$4:Q$33)</f>
        <v>0</v>
      </c>
      <c r="R48" s="44" t="n">
        <f aca="false">SUMPRODUCT(($C$4:$C$33="ZAN 13")*R$4:R$33)</f>
        <v>0</v>
      </c>
      <c r="S48" s="44" t="n">
        <f aca="false">SUMPRODUCT(($C$4:$C$33="ZAN 13")*S$4:S$33)</f>
        <v>0</v>
      </c>
      <c r="T48" s="44" t="n">
        <f aca="false">SUMPRODUCT(($C$4:$C$33="ZAN 13")*T$4:T$33)</f>
        <v>0</v>
      </c>
      <c r="U48" s="44" t="n">
        <f aca="false">SUMPRODUCT(($C$4:$C$33="ZAN 13")*U$4:U$33)</f>
        <v>0</v>
      </c>
      <c r="V48" s="44" t="n">
        <f aca="false">SUMPRODUCT(($C$4:$C$33="ZAN 13")*V$4:V$33)</f>
        <v>0</v>
      </c>
      <c r="W48" s="44" t="n">
        <f aca="false">SUMPRODUCT(($C$4:$C$33="ZAN 13")*W$4:W$33)</f>
        <v>0</v>
      </c>
      <c r="X48" s="44" t="n">
        <f aca="false">SUMPRODUCT(($C$4:$C$33="ZAN 13")*X$4:X$33)</f>
        <v>0</v>
      </c>
      <c r="Y48" s="44" t="n">
        <f aca="false">SUMPRODUCT(($C$4:$C$33="ZAN 13")*Y$4:Y$33)</f>
        <v>0</v>
      </c>
      <c r="Z48" s="44" t="n">
        <f aca="false">SUMPRODUCT(($C$4:$C$33="ZAN 13")*Z$4:Z$33)</f>
        <v>0</v>
      </c>
      <c r="AA48" s="44" t="n">
        <f aca="false">SUMPRODUCT(($C$4:$C$33="ZAN 13")*AA$4:AA$33)</f>
        <v>0</v>
      </c>
      <c r="AB48" s="44" t="n">
        <f aca="false">SUMPRODUCT(($C$4:$C$33="ZAN 13")*AB$4:AB$33)</f>
        <v>0</v>
      </c>
      <c r="AC48" s="44" t="n">
        <f aca="false">SUMPRODUCT(($C$4:$C$33="ZAN 13")*AC$4:AC$33)</f>
        <v>0</v>
      </c>
      <c r="AD48" s="44" t="n">
        <f aca="false">SUMPRODUCT(($C$4:$C$33="ZAN 13")*AD$4:AD$33)</f>
        <v>0</v>
      </c>
      <c r="AE48" s="44" t="n">
        <f aca="false">SUMPRODUCT(($C$4:$C$33="ZAN 13")*AE$4:AE$33)</f>
        <v>0</v>
      </c>
      <c r="AF48" s="44" t="n">
        <f aca="false">SUMPRODUCT(($C$4:$C$33="ZAN 13")*AF$4:AF$33)</f>
        <v>0</v>
      </c>
      <c r="AG48" s="44" t="n">
        <f aca="false">SUMPRODUCT(($C$4:$C$33="ZAN 13")*AG$4:AG$33)</f>
        <v>0</v>
      </c>
      <c r="AH48" s="44" t="n">
        <f aca="false">SUMPRODUCT(($C$4:$C$33="ZAN 13")*AH$4:AH$33)</f>
        <v>0</v>
      </c>
      <c r="AI48" s="44" t="n">
        <f aca="false">SUMPRODUCT(($C$4:$C$33="ZAN 13")*AI$4:AI$33)</f>
        <v>0</v>
      </c>
      <c r="AJ48" s="44" t="n">
        <f aca="false">SUMPRODUCT(($C$4:$C$33="ZAN 13")*AJ$4:AJ$33)</f>
        <v>0</v>
      </c>
      <c r="AK48" s="44" t="n">
        <f aca="false">SUMPRODUCT(($C$4:$C$33="ZAN 13")*AK$4:AK$33)</f>
        <v>0</v>
      </c>
      <c r="AL48" s="44" t="n">
        <f aca="false">SUMPRODUCT(($C$4:$C$33="ZAN 13")*AL$4:AL$33)</f>
        <v>0</v>
      </c>
      <c r="AM48" s="44" t="n">
        <f aca="false">SUMPRODUCT(($C$4:$C$33="ZAN 13")*AM$4:AM$33)</f>
        <v>0</v>
      </c>
      <c r="AN48" s="44" t="n">
        <f aca="false">SUMPRODUCT(($C$4:$C$33="ZAN 13")*AN$4:AN$33)</f>
        <v>0</v>
      </c>
      <c r="AO48" s="44" t="n">
        <f aca="false">SUMPRODUCT(($C$4:$C$33="ZAN 13")*AO$4:AO$33)</f>
        <v>0</v>
      </c>
      <c r="AP48" s="44" t="n">
        <f aca="false">SUMPRODUCT(($C$4:$C$33="ZAN 13")*AP$4:AP$33)</f>
        <v>0</v>
      </c>
      <c r="AQ48" s="44" t="n">
        <f aca="false">SUMPRODUCT(($C$4:$C$33="ZAN 13")*AQ$4:AQ$33)</f>
        <v>0</v>
      </c>
      <c r="AR48" s="44" t="n">
        <f aca="false">SUMPRODUCT(($C$4:$C$33="ZAN 13")*AR$4:AR$33)</f>
        <v>0</v>
      </c>
      <c r="AS48" s="44" t="n">
        <f aca="false">SUMPRODUCT(($C$4:$C$33="ZAN 13")*AS$4:AS$33)</f>
        <v>0</v>
      </c>
      <c r="AT48" s="44" t="n">
        <f aca="false">SUMPRODUCT(($C$4:$C$33="ZAN 13")*AT$4:AT$33)</f>
        <v>0</v>
      </c>
      <c r="AU48" s="44" t="n">
        <f aca="false">SUMPRODUCT(($C$4:$C$33="ZAN 13")*AU$4:AU$33)</f>
        <v>0</v>
      </c>
      <c r="AV48" s="44" t="n">
        <f aca="false">SUMPRODUCT(($C$4:$C$33="ZAN 13")*AV$4:AV$33)</f>
        <v>0</v>
      </c>
      <c r="AW48" s="44" t="n">
        <f aca="false">SUMPRODUCT(($C$4:$C$33="ZAN 13")*AW$4:AW$33)</f>
        <v>0</v>
      </c>
      <c r="AX48" s="44" t="n">
        <f aca="false">SUMPRODUCT(($C$4:$C$33="ZAN 13")*AX$4:AX$33)</f>
        <v>0</v>
      </c>
      <c r="AY48" s="44" t="n">
        <f aca="false">SUMPRODUCT(($C$4:$C$33="ZAN 13")*AY$4:AY$33)</f>
        <v>0</v>
      </c>
      <c r="AZ48" s="44" t="n">
        <f aca="false">SUMPRODUCT(($C$4:$C$33="ZAN 13")*AZ$4:AZ$33)</f>
        <v>0</v>
      </c>
      <c r="BA48" s="44" t="n">
        <f aca="false">SUMPRODUCT(($C$4:$C$33="ZAN 13")*BA$4:BA$33)</f>
        <v>0</v>
      </c>
      <c r="BB48" s="44" t="n">
        <f aca="false">SUMPRODUCT(($C$4:$C$33="ZAN 13")*BB$4:BB$33)</f>
        <v>0</v>
      </c>
    </row>
    <row r="49" customFormat="false" ht="15" hidden="false" customHeight="true" outlineLevel="0" collapsed="false">
      <c r="B49" s="47" t="s">
        <v>58</v>
      </c>
      <c r="D49" s="44" t="n">
        <f aca="false">SUM(E49:BB49)</f>
        <v>0</v>
      </c>
      <c r="E49" s="44" t="n">
        <f aca="false">SUMPRODUCT(($C$4:$C$33="ZAN 14")*E$4:E$33)</f>
        <v>0</v>
      </c>
      <c r="F49" s="44" t="n">
        <f aca="false">SUMPRODUCT(($C$4:$C$33="ZAN 14")*F$4:F$33)</f>
        <v>0</v>
      </c>
      <c r="G49" s="44" t="n">
        <f aca="false">SUMPRODUCT(($C$4:$C$33="ZAN 14")*G$4:G$33)</f>
        <v>0</v>
      </c>
      <c r="H49" s="44" t="n">
        <f aca="false">SUMPRODUCT(($C$4:$C$33="ZAN 14")*H$4:H$33)</f>
        <v>0</v>
      </c>
      <c r="I49" s="44" t="n">
        <f aca="false">SUMPRODUCT(($C$4:$C$33="ZAN 14")*I$4:I$33)</f>
        <v>0</v>
      </c>
      <c r="J49" s="44" t="n">
        <f aca="false">SUMPRODUCT(($C$4:$C$33="ZAN 14")*J$4:J$33)</f>
        <v>0</v>
      </c>
      <c r="K49" s="44" t="n">
        <f aca="false">SUMPRODUCT(($C$4:$C$33="ZAN 14")*K$4:K$33)</f>
        <v>0</v>
      </c>
      <c r="L49" s="44" t="n">
        <f aca="false">SUMPRODUCT(($C$4:$C$33="ZAN 14")*L$4:L$33)</f>
        <v>0</v>
      </c>
      <c r="M49" s="44" t="n">
        <f aca="false">SUMPRODUCT(($C$4:$C$33="ZAN 14")*M$4:M$33)</f>
        <v>0</v>
      </c>
      <c r="N49" s="44" t="n">
        <f aca="false">SUMPRODUCT(($C$4:$C$33="ZAN 14")*N$4:N$33)</f>
        <v>0</v>
      </c>
      <c r="O49" s="44" t="n">
        <f aca="false">SUMPRODUCT(($C$4:$C$33="ZAN 14")*O$4:O$33)</f>
        <v>0</v>
      </c>
      <c r="P49" s="44" t="n">
        <f aca="false">SUMPRODUCT(($C$4:$C$33="ZAN 14")*P$4:P$33)</f>
        <v>0</v>
      </c>
      <c r="Q49" s="44" t="n">
        <f aca="false">SUMPRODUCT(($C$4:$C$33="ZAN 14")*Q$4:Q$33)</f>
        <v>0</v>
      </c>
      <c r="R49" s="44" t="n">
        <f aca="false">SUMPRODUCT(($C$4:$C$33="ZAN 14")*R$4:R$33)</f>
        <v>0</v>
      </c>
      <c r="S49" s="44" t="n">
        <f aca="false">SUMPRODUCT(($C$4:$C$33="ZAN 14")*S$4:S$33)</f>
        <v>0</v>
      </c>
      <c r="T49" s="44" t="n">
        <f aca="false">SUMPRODUCT(($C$4:$C$33="ZAN 14")*T$4:T$33)</f>
        <v>0</v>
      </c>
      <c r="U49" s="44" t="n">
        <f aca="false">SUMPRODUCT(($C$4:$C$33="ZAN 14")*U$4:U$33)</f>
        <v>0</v>
      </c>
      <c r="V49" s="44" t="n">
        <f aca="false">SUMPRODUCT(($C$4:$C$33="ZAN 14")*V$4:V$33)</f>
        <v>0</v>
      </c>
      <c r="W49" s="44" t="n">
        <f aca="false">SUMPRODUCT(($C$4:$C$33="ZAN 14")*W$4:W$33)</f>
        <v>0</v>
      </c>
      <c r="X49" s="44" t="n">
        <f aca="false">SUMPRODUCT(($C$4:$C$33="ZAN 14")*X$4:X$33)</f>
        <v>0</v>
      </c>
      <c r="Y49" s="44" t="n">
        <f aca="false">SUMPRODUCT(($C$4:$C$33="ZAN 14")*Y$4:Y$33)</f>
        <v>0</v>
      </c>
      <c r="Z49" s="44" t="n">
        <f aca="false">SUMPRODUCT(($C$4:$C$33="ZAN 14")*Z$4:Z$33)</f>
        <v>0</v>
      </c>
      <c r="AA49" s="44" t="n">
        <f aca="false">SUMPRODUCT(($C$4:$C$33="ZAN 14")*AA$4:AA$33)</f>
        <v>0</v>
      </c>
      <c r="AB49" s="44" t="n">
        <f aca="false">SUMPRODUCT(($C$4:$C$33="ZAN 14")*AB$4:AB$33)</f>
        <v>0</v>
      </c>
      <c r="AC49" s="44" t="n">
        <f aca="false">SUMPRODUCT(($C$4:$C$33="ZAN 14")*AC$4:AC$33)</f>
        <v>0</v>
      </c>
      <c r="AD49" s="44" t="n">
        <f aca="false">SUMPRODUCT(($C$4:$C$33="ZAN 14")*AD$4:AD$33)</f>
        <v>0</v>
      </c>
      <c r="AE49" s="44" t="n">
        <f aca="false">SUMPRODUCT(($C$4:$C$33="ZAN 14")*AE$4:AE$33)</f>
        <v>0</v>
      </c>
      <c r="AF49" s="44" t="n">
        <f aca="false">SUMPRODUCT(($C$4:$C$33="ZAN 14")*AF$4:AF$33)</f>
        <v>0</v>
      </c>
      <c r="AG49" s="44" t="n">
        <f aca="false">SUMPRODUCT(($C$4:$C$33="ZAN 14")*AG$4:AG$33)</f>
        <v>0</v>
      </c>
      <c r="AH49" s="44" t="n">
        <f aca="false">SUMPRODUCT(($C$4:$C$33="ZAN 14")*AH$4:AH$33)</f>
        <v>0</v>
      </c>
      <c r="AI49" s="44" t="n">
        <f aca="false">SUMPRODUCT(($C$4:$C$33="ZAN 14")*AI$4:AI$33)</f>
        <v>0</v>
      </c>
      <c r="AJ49" s="44" t="n">
        <f aca="false">SUMPRODUCT(($C$4:$C$33="ZAN 14")*AJ$4:AJ$33)</f>
        <v>0</v>
      </c>
      <c r="AK49" s="44" t="n">
        <f aca="false">SUMPRODUCT(($C$4:$C$33="ZAN 14")*AK$4:AK$33)</f>
        <v>0</v>
      </c>
      <c r="AL49" s="44" t="n">
        <f aca="false">SUMPRODUCT(($C$4:$C$33="ZAN 14")*AL$4:AL$33)</f>
        <v>0</v>
      </c>
      <c r="AM49" s="44" t="n">
        <f aca="false">SUMPRODUCT(($C$4:$C$33="ZAN 14")*AM$4:AM$33)</f>
        <v>0</v>
      </c>
      <c r="AN49" s="44" t="n">
        <f aca="false">SUMPRODUCT(($C$4:$C$33="ZAN 14")*AN$4:AN$33)</f>
        <v>0</v>
      </c>
      <c r="AO49" s="44" t="n">
        <f aca="false">SUMPRODUCT(($C$4:$C$33="ZAN 14")*AO$4:AO$33)</f>
        <v>0</v>
      </c>
      <c r="AP49" s="44" t="n">
        <f aca="false">SUMPRODUCT(($C$4:$C$33="ZAN 14")*AP$4:AP$33)</f>
        <v>0</v>
      </c>
      <c r="AQ49" s="44" t="n">
        <f aca="false">SUMPRODUCT(($C$4:$C$33="ZAN 14")*AQ$4:AQ$33)</f>
        <v>0</v>
      </c>
      <c r="AR49" s="44" t="n">
        <f aca="false">SUMPRODUCT(($C$4:$C$33="ZAN 14")*AR$4:AR$33)</f>
        <v>0</v>
      </c>
      <c r="AS49" s="44" t="n">
        <f aca="false">SUMPRODUCT(($C$4:$C$33="ZAN 14")*AS$4:AS$33)</f>
        <v>0</v>
      </c>
      <c r="AT49" s="44" t="n">
        <f aca="false">SUMPRODUCT(($C$4:$C$33="ZAN 14")*AT$4:AT$33)</f>
        <v>0</v>
      </c>
      <c r="AU49" s="44" t="n">
        <f aca="false">SUMPRODUCT(($C$4:$C$33="ZAN 14")*AU$4:AU$33)</f>
        <v>0</v>
      </c>
      <c r="AV49" s="44" t="n">
        <f aca="false">SUMPRODUCT(($C$4:$C$33="ZAN 14")*AV$4:AV$33)</f>
        <v>0</v>
      </c>
      <c r="AW49" s="44" t="n">
        <f aca="false">SUMPRODUCT(($C$4:$C$33="ZAN 14")*AW$4:AW$33)</f>
        <v>0</v>
      </c>
      <c r="AX49" s="44" t="n">
        <f aca="false">SUMPRODUCT(($C$4:$C$33="ZAN 14")*AX$4:AX$33)</f>
        <v>0</v>
      </c>
      <c r="AY49" s="44" t="n">
        <f aca="false">SUMPRODUCT(($C$4:$C$33="ZAN 14")*AY$4:AY$33)</f>
        <v>0</v>
      </c>
      <c r="AZ49" s="44" t="n">
        <f aca="false">SUMPRODUCT(($C$4:$C$33="ZAN 14")*AZ$4:AZ$33)</f>
        <v>0</v>
      </c>
      <c r="BA49" s="44" t="n">
        <f aca="false">SUMPRODUCT(($C$4:$C$33="ZAN 14")*BA$4:BA$33)</f>
        <v>0</v>
      </c>
      <c r="BB49" s="44" t="n">
        <f aca="false">SUMPRODUCT(($C$4:$C$33="ZAN 14")*BB$4:BB$33)</f>
        <v>0</v>
      </c>
    </row>
    <row r="50" customFormat="false" ht="15" hidden="false" customHeight="true" outlineLevel="0" collapsed="false">
      <c r="B50" s="47" t="s">
        <v>59</v>
      </c>
      <c r="D50" s="44" t="n">
        <f aca="false">SUM(E50:BB50)</f>
        <v>0</v>
      </c>
      <c r="E50" s="44" t="n">
        <f aca="false">SUMPRODUCT(($C$4:$C$33="ZAN 15")*E$4:E$33)</f>
        <v>0</v>
      </c>
      <c r="F50" s="44" t="n">
        <f aca="false">SUMPRODUCT(($C$4:$C$33="ZAN 15")*F$4:F$33)</f>
        <v>0</v>
      </c>
      <c r="G50" s="44" t="n">
        <f aca="false">SUMPRODUCT(($C$4:$C$33="ZAN 15")*G$4:G$33)</f>
        <v>0</v>
      </c>
      <c r="H50" s="44" t="n">
        <f aca="false">SUMPRODUCT(($C$4:$C$33="ZAN 15")*H$4:H$33)</f>
        <v>0</v>
      </c>
      <c r="I50" s="44" t="n">
        <f aca="false">SUMPRODUCT(($C$4:$C$33="ZAN 15")*I$4:I$33)</f>
        <v>0</v>
      </c>
      <c r="J50" s="44" t="n">
        <f aca="false">SUMPRODUCT(($C$4:$C$33="ZAN 15")*J$4:J$33)</f>
        <v>0</v>
      </c>
      <c r="K50" s="44" t="n">
        <f aca="false">SUMPRODUCT(($C$4:$C$33="ZAN 15")*K$4:K$33)</f>
        <v>0</v>
      </c>
      <c r="L50" s="44" t="n">
        <f aca="false">SUMPRODUCT(($C$4:$C$33="ZAN 15")*L$4:L$33)</f>
        <v>0</v>
      </c>
      <c r="M50" s="44" t="n">
        <f aca="false">SUMPRODUCT(($C$4:$C$33="ZAN 15")*M$4:M$33)</f>
        <v>0</v>
      </c>
      <c r="N50" s="44" t="n">
        <f aca="false">SUMPRODUCT(($C$4:$C$33="ZAN 15")*N$4:N$33)</f>
        <v>0</v>
      </c>
      <c r="O50" s="44" t="n">
        <f aca="false">SUMPRODUCT(($C$4:$C$33="ZAN 15")*O$4:O$33)</f>
        <v>0</v>
      </c>
      <c r="P50" s="44" t="n">
        <f aca="false">SUMPRODUCT(($C$4:$C$33="ZAN 15")*P$4:P$33)</f>
        <v>0</v>
      </c>
      <c r="Q50" s="44" t="n">
        <f aca="false">SUMPRODUCT(($C$4:$C$33="ZAN 15")*Q$4:Q$33)</f>
        <v>0</v>
      </c>
      <c r="R50" s="44" t="n">
        <f aca="false">SUMPRODUCT(($C$4:$C$33="ZAN 15")*R$4:R$33)</f>
        <v>0</v>
      </c>
      <c r="S50" s="44" t="n">
        <f aca="false">SUMPRODUCT(($C$4:$C$33="ZAN 15")*S$4:S$33)</f>
        <v>0</v>
      </c>
      <c r="T50" s="44" t="n">
        <f aca="false">SUMPRODUCT(($C$4:$C$33="ZAN 15")*T$4:T$33)</f>
        <v>0</v>
      </c>
      <c r="U50" s="44" t="n">
        <f aca="false">SUMPRODUCT(($C$4:$C$33="ZAN 15")*U$4:U$33)</f>
        <v>0</v>
      </c>
      <c r="V50" s="44" t="n">
        <f aca="false">SUMPRODUCT(($C$4:$C$33="ZAN 15")*V$4:V$33)</f>
        <v>0</v>
      </c>
      <c r="W50" s="44" t="n">
        <f aca="false">SUMPRODUCT(($C$4:$C$33="ZAN 15")*W$4:W$33)</f>
        <v>0</v>
      </c>
      <c r="X50" s="44" t="n">
        <f aca="false">SUMPRODUCT(($C$4:$C$33="ZAN 15")*X$4:X$33)</f>
        <v>0</v>
      </c>
      <c r="Y50" s="44" t="n">
        <f aca="false">SUMPRODUCT(($C$4:$C$33="ZAN 15")*Y$4:Y$33)</f>
        <v>0</v>
      </c>
      <c r="Z50" s="44" t="n">
        <f aca="false">SUMPRODUCT(($C$4:$C$33="ZAN 15")*Z$4:Z$33)</f>
        <v>0</v>
      </c>
      <c r="AA50" s="44" t="n">
        <f aca="false">SUMPRODUCT(($C$4:$C$33="ZAN 15")*AA$4:AA$33)</f>
        <v>0</v>
      </c>
      <c r="AB50" s="44" t="n">
        <f aca="false">SUMPRODUCT(($C$4:$C$33="ZAN 15")*AB$4:AB$33)</f>
        <v>0</v>
      </c>
      <c r="AC50" s="44" t="n">
        <f aca="false">SUMPRODUCT(($C$4:$C$33="ZAN 15")*AC$4:AC$33)</f>
        <v>0</v>
      </c>
      <c r="AD50" s="44" t="n">
        <f aca="false">SUMPRODUCT(($C$4:$C$33="ZAN 15")*AD$4:AD$33)</f>
        <v>0</v>
      </c>
      <c r="AE50" s="44" t="n">
        <f aca="false">SUMPRODUCT(($C$4:$C$33="ZAN 15")*AE$4:AE$33)</f>
        <v>0</v>
      </c>
      <c r="AF50" s="44" t="n">
        <f aca="false">SUMPRODUCT(($C$4:$C$33="ZAN 15")*AF$4:AF$33)</f>
        <v>0</v>
      </c>
      <c r="AG50" s="44" t="n">
        <f aca="false">SUMPRODUCT(($C$4:$C$33="ZAN 15")*AG$4:AG$33)</f>
        <v>0</v>
      </c>
      <c r="AH50" s="44" t="n">
        <f aca="false">SUMPRODUCT(($C$4:$C$33="ZAN 15")*AH$4:AH$33)</f>
        <v>0</v>
      </c>
      <c r="AI50" s="44" t="n">
        <f aca="false">SUMPRODUCT(($C$4:$C$33="ZAN 15")*AI$4:AI$33)</f>
        <v>0</v>
      </c>
      <c r="AJ50" s="44" t="n">
        <f aca="false">SUMPRODUCT(($C$4:$C$33="ZAN 15")*AJ$4:AJ$33)</f>
        <v>0</v>
      </c>
      <c r="AK50" s="44" t="n">
        <f aca="false">SUMPRODUCT(($C$4:$C$33="ZAN 15")*AK$4:AK$33)</f>
        <v>0</v>
      </c>
      <c r="AL50" s="44" t="n">
        <f aca="false">SUMPRODUCT(($C$4:$C$33="ZAN 15")*AL$4:AL$33)</f>
        <v>0</v>
      </c>
      <c r="AM50" s="44" t="n">
        <f aca="false">SUMPRODUCT(($C$4:$C$33="ZAN 15")*AM$4:AM$33)</f>
        <v>0</v>
      </c>
      <c r="AN50" s="44" t="n">
        <f aca="false">SUMPRODUCT(($C$4:$C$33="ZAN 15")*AN$4:AN$33)</f>
        <v>0</v>
      </c>
      <c r="AO50" s="44" t="n">
        <f aca="false">SUMPRODUCT(($C$4:$C$33="ZAN 15")*AO$4:AO$33)</f>
        <v>0</v>
      </c>
      <c r="AP50" s="44" t="n">
        <f aca="false">SUMPRODUCT(($C$4:$C$33="ZAN 15")*AP$4:AP$33)</f>
        <v>0</v>
      </c>
      <c r="AQ50" s="44" t="n">
        <f aca="false">SUMPRODUCT(($C$4:$C$33="ZAN 15")*AQ$4:AQ$33)</f>
        <v>0</v>
      </c>
      <c r="AR50" s="44" t="n">
        <f aca="false">SUMPRODUCT(($C$4:$C$33="ZAN 15")*AR$4:AR$33)</f>
        <v>0</v>
      </c>
      <c r="AS50" s="44" t="n">
        <f aca="false">SUMPRODUCT(($C$4:$C$33="ZAN 15")*AS$4:AS$33)</f>
        <v>0</v>
      </c>
      <c r="AT50" s="44" t="n">
        <f aca="false">SUMPRODUCT(($C$4:$C$33="ZAN 15")*AT$4:AT$33)</f>
        <v>0</v>
      </c>
      <c r="AU50" s="44" t="n">
        <f aca="false">SUMPRODUCT(($C$4:$C$33="ZAN 15")*AU$4:AU$33)</f>
        <v>0</v>
      </c>
      <c r="AV50" s="44" t="n">
        <f aca="false">SUMPRODUCT(($C$4:$C$33="ZAN 15")*AV$4:AV$33)</f>
        <v>0</v>
      </c>
      <c r="AW50" s="44" t="n">
        <f aca="false">SUMPRODUCT(($C$4:$C$33="ZAN 15")*AW$4:AW$33)</f>
        <v>0</v>
      </c>
      <c r="AX50" s="44" t="n">
        <f aca="false">SUMPRODUCT(($C$4:$C$33="ZAN 15")*AX$4:AX$33)</f>
        <v>0</v>
      </c>
      <c r="AY50" s="44" t="n">
        <f aca="false">SUMPRODUCT(($C$4:$C$33="ZAN 15")*AY$4:AY$33)</f>
        <v>0</v>
      </c>
      <c r="AZ50" s="44" t="n">
        <f aca="false">SUMPRODUCT(($C$4:$C$33="ZAN 15")*AZ$4:AZ$33)</f>
        <v>0</v>
      </c>
      <c r="BA50" s="44" t="n">
        <f aca="false">SUMPRODUCT(($C$4:$C$33="ZAN 15")*BA$4:BA$33)</f>
        <v>0</v>
      </c>
      <c r="BB50" s="44" t="n">
        <f aca="false">SUMPRODUCT(($C$4:$C$33="ZAN 15")*BB$4:BB$33)</f>
        <v>0</v>
      </c>
    </row>
    <row r="52" customFormat="false" ht="15" hidden="false" customHeight="true" outlineLevel="0" collapsed="false">
      <c r="B52" s="48" t="s">
        <v>232</v>
      </c>
      <c r="D52" s="44" t="n">
        <f aca="false">SUM(D4:D33)</f>
        <v>1348153755.795</v>
      </c>
      <c r="E52" s="44" t="n">
        <f aca="false">SUM(E36:E50)</f>
        <v>0</v>
      </c>
      <c r="F52" s="44" t="n">
        <f aca="false">SUM(F36:F50)</f>
        <v>0</v>
      </c>
      <c r="G52" s="44" t="n">
        <f aca="false">SUM(G36:G50)</f>
        <v>115257373</v>
      </c>
      <c r="H52" s="44" t="n">
        <f aca="false">SUM(H36:H50)</f>
        <v>276952729.9</v>
      </c>
      <c r="I52" s="44" t="n">
        <f aca="false">SUM(I36:I50)</f>
        <v>583755066.895</v>
      </c>
      <c r="J52" s="44" t="n">
        <f aca="false">SUM(J36:J50)</f>
        <v>268054571.4</v>
      </c>
      <c r="K52" s="44" t="n">
        <f aca="false">SUM(K36:K50)</f>
        <v>104134014.6</v>
      </c>
      <c r="L52" s="44" t="n">
        <f aca="false">SUM(L36:L50)</f>
        <v>0</v>
      </c>
      <c r="M52" s="44" t="n">
        <f aca="false">SUM(M36:M50)</f>
        <v>0</v>
      </c>
      <c r="N52" s="44" t="n">
        <f aca="false">SUM(N36:N50)</f>
        <v>0</v>
      </c>
      <c r="O52" s="44" t="n">
        <f aca="false">SUM(O36:O50)</f>
        <v>0</v>
      </c>
      <c r="P52" s="44" t="n">
        <f aca="false">SUM(P36:P50)</f>
        <v>0</v>
      </c>
      <c r="Q52" s="44" t="n">
        <f aca="false">SUM(Q36:Q50)</f>
        <v>0</v>
      </c>
      <c r="R52" s="44" t="n">
        <f aca="false">SUM(R36:R50)</f>
        <v>0</v>
      </c>
      <c r="S52" s="44" t="n">
        <f aca="false">SUM(S36:S50)</f>
        <v>0</v>
      </c>
      <c r="T52" s="44" t="n">
        <f aca="false">SUM(T36:T50)</f>
        <v>0</v>
      </c>
      <c r="U52" s="44" t="n">
        <f aca="false">SUM(U36:U50)</f>
        <v>0</v>
      </c>
      <c r="V52" s="44" t="n">
        <f aca="false">SUM(V36:V50)</f>
        <v>0</v>
      </c>
      <c r="W52" s="44" t="n">
        <f aca="false">SUM(W36:W50)</f>
        <v>0</v>
      </c>
      <c r="X52" s="44" t="n">
        <f aca="false">SUM(X36:X50)</f>
        <v>0</v>
      </c>
      <c r="Y52" s="44" t="n">
        <f aca="false">SUM(Y36:Y50)</f>
        <v>0</v>
      </c>
      <c r="Z52" s="44" t="n">
        <f aca="false">SUM(Z36:Z50)</f>
        <v>0</v>
      </c>
      <c r="AA52" s="44" t="n">
        <f aca="false">SUM(AA36:AA50)</f>
        <v>0</v>
      </c>
      <c r="AB52" s="44" t="n">
        <f aca="false">SUM(AB36:AB50)</f>
        <v>0</v>
      </c>
      <c r="AC52" s="44" t="n">
        <f aca="false">SUM(AC36:AC50)</f>
        <v>0</v>
      </c>
      <c r="AD52" s="44" t="n">
        <f aca="false">SUM(AD36:AD50)</f>
        <v>0</v>
      </c>
      <c r="AE52" s="44" t="n">
        <f aca="false">SUM(AE36:AE50)</f>
        <v>0</v>
      </c>
      <c r="AF52" s="44" t="n">
        <f aca="false">SUM(AF36:AF50)</f>
        <v>0</v>
      </c>
      <c r="AG52" s="44" t="n">
        <f aca="false">SUM(AG36:AG50)</f>
        <v>0</v>
      </c>
      <c r="AH52" s="44" t="n">
        <f aca="false">SUM(AH36:AH50)</f>
        <v>0</v>
      </c>
      <c r="AI52" s="44" t="n">
        <f aca="false">SUM(AI36:AI50)</f>
        <v>0</v>
      </c>
      <c r="AJ52" s="44" t="n">
        <f aca="false">SUM(AJ36:AJ50)</f>
        <v>0</v>
      </c>
      <c r="AK52" s="44" t="n">
        <f aca="false">SUM(AK36:AK50)</f>
        <v>0</v>
      </c>
      <c r="AL52" s="44" t="n">
        <f aca="false">SUM(AL36:AL50)</f>
        <v>0</v>
      </c>
      <c r="AM52" s="44" t="n">
        <f aca="false">SUM(AM36:AM50)</f>
        <v>0</v>
      </c>
      <c r="AN52" s="44" t="n">
        <f aca="false">SUM(AN36:AN50)</f>
        <v>0</v>
      </c>
      <c r="AO52" s="44" t="n">
        <f aca="false">SUM(AO36:AO50)</f>
        <v>0</v>
      </c>
      <c r="AP52" s="44" t="n">
        <f aca="false">SUM(AP36:AP50)</f>
        <v>0</v>
      </c>
      <c r="AQ52" s="44" t="n">
        <f aca="false">SUM(AQ36:AQ50)</f>
        <v>0</v>
      </c>
      <c r="AR52" s="44" t="n">
        <f aca="false">SUM(AR36:AR50)</f>
        <v>0</v>
      </c>
      <c r="AS52" s="44" t="n">
        <f aca="false">SUM(AS36:AS50)</f>
        <v>0</v>
      </c>
      <c r="AT52" s="44" t="n">
        <f aca="false">SUM(AT36:AT50)</f>
        <v>0</v>
      </c>
      <c r="AU52" s="44" t="n">
        <f aca="false">SUM(AU36:AU50)</f>
        <v>0</v>
      </c>
      <c r="AV52" s="44" t="n">
        <f aca="false">SUM(AV36:AV50)</f>
        <v>0</v>
      </c>
      <c r="AW52" s="44" t="n">
        <f aca="false">SUM(AW36:AW50)</f>
        <v>0</v>
      </c>
      <c r="AX52" s="44" t="n">
        <f aca="false">SUM(AX36:AX50)</f>
        <v>0</v>
      </c>
      <c r="AY52" s="44" t="n">
        <f aca="false">SUM(AY36:AY50)</f>
        <v>0</v>
      </c>
      <c r="AZ52" s="44" t="n">
        <f aca="false">SUM(AZ36:AZ50)</f>
        <v>0</v>
      </c>
      <c r="BA52" s="44" t="n">
        <f aca="false">SUM(BA36:BA50)</f>
        <v>0</v>
      </c>
      <c r="BB52" s="44" t="n">
        <f aca="false">SUM(BB36:BB50)</f>
        <v>0</v>
      </c>
    </row>
    <row r="54" customFormat="false" ht="15" hidden="false" customHeight="true" outlineLevel="0" collapsed="false">
      <c r="A54" s="45" t="s">
        <v>233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</row>
    <row r="55" customFormat="false" ht="15" hidden="false" customHeight="true" outlineLevel="0" collapsed="false">
      <c r="B55" s="35" t="s">
        <v>234</v>
      </c>
      <c r="D55" s="44" t="n">
        <f aca="false">SUM(E55:BB55)</f>
        <v>330796929.587109</v>
      </c>
      <c r="E55" s="44" t="n">
        <f aca="false">IF(E$3-$C63+1&lt;=$K$63,0,$E$63*(1+$I$63)^INT((E$3-$C63+1-$K$63-1)/$G$63))</f>
        <v>0</v>
      </c>
      <c r="F55" s="44" t="n">
        <f aca="false">IF(F$3-$C63+1&lt;=$K$63,0,$E$63*(1+$I$63)^INT((F$3-$C63+1-$K$63-1)/$G$63))</f>
        <v>0</v>
      </c>
      <c r="G55" s="44" t="n">
        <f aca="false">IF(G$3-$C63+1&lt;=$K$63,0,$E$63*(1+$I$63)^INT((G$3-$C63+1-$K$63-1)/$G$63))</f>
        <v>0</v>
      </c>
      <c r="H55" s="44" t="n">
        <f aca="false">IF(H$3-$C63+1&lt;=$K$63,0,$E$63*(1+$I$63)^INT((H$3-$C63+1-$K$63-1)/$G$63))</f>
        <v>0</v>
      </c>
      <c r="I55" s="44" t="n">
        <f aca="false">IF(I$3-$C63+1&lt;=$K$63,0,$E$63*(1+$I$63)^INT((I$3-$C63+1-$K$63-1)/$G$63))</f>
        <v>0</v>
      </c>
      <c r="J55" s="44" t="n">
        <f aca="false">IF(J$3-$C63+1&lt;=$K$63,0,$E$63*(1+$I$63)^INT((J$3-$C63+1-$K$63-1)/$G$63))</f>
        <v>6000000</v>
      </c>
      <c r="K55" s="44" t="n">
        <f aca="false">IF(K$3-$C63+1&lt;=$K$63,0,$E$63*(1+$I$63)^INT((K$3-$C63+1-$K$63-1)/$G$63))</f>
        <v>6000000</v>
      </c>
      <c r="L55" s="44" t="n">
        <f aca="false">IF(L$3-$C63+1&lt;=$K$63,0,$E$63*(1+$I$63)^INT((L$3-$C63+1-$K$63-1)/$G$63))</f>
        <v>6000000</v>
      </c>
      <c r="M55" s="44" t="n">
        <f aca="false">IF(M$3-$C63+1&lt;=$K$63,0,$E$63*(1+$I$63)^INT((M$3-$C63+1-$K$63-1)/$G$63))</f>
        <v>6000000</v>
      </c>
      <c r="N55" s="44" t="n">
        <f aca="false">IF(N$3-$C63+1&lt;=$K$63,0,$E$63*(1+$I$63)^INT((N$3-$C63+1-$K$63-1)/$G$63))</f>
        <v>6000000</v>
      </c>
      <c r="O55" s="44" t="n">
        <f aca="false">IF(O$3-$C63+1&lt;=$K$63,0,$E$63*(1+$I$63)^INT((O$3-$C63+1-$K$63-1)/$G$63))</f>
        <v>6300000</v>
      </c>
      <c r="P55" s="44" t="n">
        <f aca="false">IF(P$3-$C63+1&lt;=$K$63,0,$E$63*(1+$I$63)^INT((P$3-$C63+1-$K$63-1)/$G$63))</f>
        <v>6300000</v>
      </c>
      <c r="Q55" s="44" t="n">
        <f aca="false">IF(Q$3-$C63+1&lt;=$K$63,0,$E$63*(1+$I$63)^INT((Q$3-$C63+1-$K$63-1)/$G$63))</f>
        <v>6300000</v>
      </c>
      <c r="R55" s="44" t="n">
        <f aca="false">IF(R$3-$C63+1&lt;=$K$63,0,$E$63*(1+$I$63)^INT((R$3-$C63+1-$K$63-1)/$G$63))</f>
        <v>6300000</v>
      </c>
      <c r="S55" s="44" t="n">
        <f aca="false">IF(S$3-$C63+1&lt;=$K$63,0,$E$63*(1+$I$63)^INT((S$3-$C63+1-$K$63-1)/$G$63))</f>
        <v>6300000</v>
      </c>
      <c r="T55" s="44" t="n">
        <f aca="false">IF(T$3-$C63+1&lt;=$K$63,0,$E$63*(1+$I$63)^INT((T$3-$C63+1-$K$63-1)/$G$63))</f>
        <v>6615000</v>
      </c>
      <c r="U55" s="44" t="n">
        <f aca="false">IF(U$3-$C63+1&lt;=$K$63,0,$E$63*(1+$I$63)^INT((U$3-$C63+1-$K$63-1)/$G$63))</f>
        <v>6615000</v>
      </c>
      <c r="V55" s="44" t="n">
        <f aca="false">IF(V$3-$C63+1&lt;=$K$63,0,$E$63*(1+$I$63)^INT((V$3-$C63+1-$K$63-1)/$G$63))</f>
        <v>6615000</v>
      </c>
      <c r="W55" s="44" t="n">
        <f aca="false">IF(W$3-$C63+1&lt;=$K$63,0,$E$63*(1+$I$63)^INT((W$3-$C63+1-$K$63-1)/$G$63))</f>
        <v>6615000</v>
      </c>
      <c r="X55" s="44" t="n">
        <f aca="false">IF(X$3-$C63+1&lt;=$K$63,0,$E$63*(1+$I$63)^INT((X$3-$C63+1-$K$63-1)/$G$63))</f>
        <v>6615000</v>
      </c>
      <c r="Y55" s="44" t="n">
        <f aca="false">IF(Y$3-$C63+1&lt;=$K$63,0,$E$63*(1+$I$63)^INT((Y$3-$C63+1-$K$63-1)/$G$63))</f>
        <v>6945750</v>
      </c>
      <c r="Z55" s="44" t="n">
        <f aca="false">IF(Z$3-$C63+1&lt;=$K$63,0,$E$63*(1+$I$63)^INT((Z$3-$C63+1-$K$63-1)/$G$63))</f>
        <v>6945750</v>
      </c>
      <c r="AA55" s="44" t="n">
        <f aca="false">IF(AA$3-$C63+1&lt;=$K$63,0,$E$63*(1+$I$63)^INT((AA$3-$C63+1-$K$63-1)/$G$63))</f>
        <v>6945750</v>
      </c>
      <c r="AB55" s="44" t="n">
        <f aca="false">IF(AB$3-$C63+1&lt;=$K$63,0,$E$63*(1+$I$63)^INT((AB$3-$C63+1-$K$63-1)/$G$63))</f>
        <v>6945750</v>
      </c>
      <c r="AC55" s="44" t="n">
        <f aca="false">IF(AC$3-$C63+1&lt;=$K$63,0,$E$63*(1+$I$63)^INT((AC$3-$C63+1-$K$63-1)/$G$63))</f>
        <v>6945750</v>
      </c>
      <c r="AD55" s="44" t="n">
        <f aca="false">IF(AD$3-$C63+1&lt;=$K$63,0,$E$63*(1+$I$63)^INT((AD$3-$C63+1-$K$63-1)/$G$63))</f>
        <v>7293037.5</v>
      </c>
      <c r="AE55" s="44" t="n">
        <f aca="false">IF(AE$3-$C63+1&lt;=$K$63,0,$E$63*(1+$I$63)^INT((AE$3-$C63+1-$K$63-1)/$G$63))</f>
        <v>7293037.5</v>
      </c>
      <c r="AF55" s="44" t="n">
        <f aca="false">IF(AF$3-$C63+1&lt;=$K$63,0,$E$63*(1+$I$63)^INT((AF$3-$C63+1-$K$63-1)/$G$63))</f>
        <v>7293037.5</v>
      </c>
      <c r="AG55" s="44" t="n">
        <f aca="false">IF(AG$3-$C63+1&lt;=$K$63,0,$E$63*(1+$I$63)^INT((AG$3-$C63+1-$K$63-1)/$G$63))</f>
        <v>7293037.5</v>
      </c>
      <c r="AH55" s="44" t="n">
        <f aca="false">IF(AH$3-$C63+1&lt;=$K$63,0,$E$63*(1+$I$63)^INT((AH$3-$C63+1-$K$63-1)/$G$63))</f>
        <v>7293037.5</v>
      </c>
      <c r="AI55" s="44" t="n">
        <f aca="false">IF(AI$3-$C63+1&lt;=$K$63,0,$E$63*(1+$I$63)^INT((AI$3-$C63+1-$K$63-1)/$G$63))</f>
        <v>7657689.375</v>
      </c>
      <c r="AJ55" s="44" t="n">
        <f aca="false">IF(AJ$3-$C63+1&lt;=$K$63,0,$E$63*(1+$I$63)^INT((AJ$3-$C63+1-$K$63-1)/$G$63))</f>
        <v>7657689.375</v>
      </c>
      <c r="AK55" s="44" t="n">
        <f aca="false">IF(AK$3-$C63+1&lt;=$K$63,0,$E$63*(1+$I$63)^INT((AK$3-$C63+1-$K$63-1)/$G$63))</f>
        <v>7657689.375</v>
      </c>
      <c r="AL55" s="44" t="n">
        <f aca="false">IF(AL$3-$C63+1&lt;=$K$63,0,$E$63*(1+$I$63)^INT((AL$3-$C63+1-$K$63-1)/$G$63))</f>
        <v>7657689.375</v>
      </c>
      <c r="AM55" s="44" t="n">
        <f aca="false">IF(AM$3-$C63+1&lt;=$K$63,0,$E$63*(1+$I$63)^INT((AM$3-$C63+1-$K$63-1)/$G$63))</f>
        <v>7657689.375</v>
      </c>
      <c r="AN55" s="44" t="n">
        <f aca="false">IF(AN$3-$C63+1&lt;=$K$63,0,$E$63*(1+$I$63)^INT((AN$3-$C63+1-$K$63-1)/$G$63))</f>
        <v>8040573.84375</v>
      </c>
      <c r="AO55" s="44" t="n">
        <f aca="false">IF(AO$3-$C63+1&lt;=$K$63,0,$E$63*(1+$I$63)^INT((AO$3-$C63+1-$K$63-1)/$G$63))</f>
        <v>8040573.84375</v>
      </c>
      <c r="AP55" s="44" t="n">
        <f aca="false">IF(AP$3-$C63+1&lt;=$K$63,0,$E$63*(1+$I$63)^INT((AP$3-$C63+1-$K$63-1)/$G$63))</f>
        <v>8040573.84375</v>
      </c>
      <c r="AQ55" s="44" t="n">
        <f aca="false">IF(AQ$3-$C63+1&lt;=$K$63,0,$E$63*(1+$I$63)^INT((AQ$3-$C63+1-$K$63-1)/$G$63))</f>
        <v>8040573.84375</v>
      </c>
      <c r="AR55" s="44" t="n">
        <f aca="false">IF(AR$3-$C63+1&lt;=$K$63,0,$E$63*(1+$I$63)^INT((AR$3-$C63+1-$K$63-1)/$G$63))</f>
        <v>8040573.84375</v>
      </c>
      <c r="AS55" s="44" t="n">
        <f aca="false">IF(AS$3-$C63+1&lt;=$K$63,0,$E$63*(1+$I$63)^INT((AS$3-$C63+1-$K$63-1)/$G$63))</f>
        <v>8442602.5359375</v>
      </c>
      <c r="AT55" s="44" t="n">
        <f aca="false">IF(AT$3-$C63+1&lt;=$K$63,0,$E$63*(1+$I$63)^INT((AT$3-$C63+1-$K$63-1)/$G$63))</f>
        <v>8442602.5359375</v>
      </c>
      <c r="AU55" s="44" t="n">
        <f aca="false">IF(AU$3-$C63+1&lt;=$K$63,0,$E$63*(1+$I$63)^INT((AU$3-$C63+1-$K$63-1)/$G$63))</f>
        <v>8442602.5359375</v>
      </c>
      <c r="AV55" s="44" t="n">
        <f aca="false">IF(AV$3-$C63+1&lt;=$K$63,0,$E$63*(1+$I$63)^INT((AV$3-$C63+1-$K$63-1)/$G$63))</f>
        <v>8442602.5359375</v>
      </c>
      <c r="AW55" s="44" t="n">
        <f aca="false">IF(AW$3-$C63+1&lt;=$K$63,0,$E$63*(1+$I$63)^INT((AW$3-$C63+1-$K$63-1)/$G$63))</f>
        <v>8442602.5359375</v>
      </c>
      <c r="AX55" s="44" t="n">
        <f aca="false">IF(AX$3-$C63+1&lt;=$K$63,0,$E$63*(1+$I$63)^INT((AX$3-$C63+1-$K$63-1)/$G$63))</f>
        <v>8864732.66273438</v>
      </c>
      <c r="AY55" s="44" t="n">
        <f aca="false">IF(AY$3-$C63+1&lt;=$K$63,0,$E$63*(1+$I$63)^INT((AY$3-$C63+1-$K$63-1)/$G$63))</f>
        <v>8864732.66273438</v>
      </c>
      <c r="AZ55" s="44" t="n">
        <f aca="false">IF(AZ$3-$C63+1&lt;=$K$63,0,$E$63*(1+$I$63)^INT((AZ$3-$C63+1-$K$63-1)/$G$63))</f>
        <v>8864732.66273438</v>
      </c>
      <c r="BA55" s="44" t="n">
        <f aca="false">IF(BA$3-$C63+1&lt;=$K$63,0,$E$63*(1+$I$63)^INT((BA$3-$C63+1-$K$63-1)/$G$63))</f>
        <v>8864732.66273438</v>
      </c>
      <c r="BB55" s="44" t="n">
        <f aca="false">IF(BB$3-$C63+1&lt;=$K$63,0,$E$63*(1+$I$63)^INT((BB$3-$C63+1-$K$63-1)/$G$63))</f>
        <v>8864732.66273438</v>
      </c>
    </row>
    <row r="56" customFormat="false" ht="15" hidden="false" customHeight="true" outlineLevel="0" collapsed="false">
      <c r="B56" s="35" t="s">
        <v>235</v>
      </c>
      <c r="D56" s="44" t="n">
        <f aca="false">SUM(E56:BB56)</f>
        <v>111564447.718655</v>
      </c>
      <c r="E56" s="44" t="n">
        <f aca="false">E55*$C64</f>
        <v>0</v>
      </c>
      <c r="F56" s="44" t="n">
        <f aca="false">F55*$C64</f>
        <v>0</v>
      </c>
      <c r="G56" s="44" t="n">
        <f aca="false">G55*$C64</f>
        <v>0</v>
      </c>
      <c r="H56" s="44" t="n">
        <f aca="false">H55*$C64</f>
        <v>0</v>
      </c>
      <c r="I56" s="44" t="n">
        <f aca="false">I55*$C64</f>
        <v>0</v>
      </c>
      <c r="J56" s="44" t="n">
        <f aca="false">J55*$C64</f>
        <v>2023557.73721188</v>
      </c>
      <c r="K56" s="44" t="n">
        <f aca="false">K55*$C64</f>
        <v>2023557.73721188</v>
      </c>
      <c r="L56" s="44" t="n">
        <f aca="false">L55*$C64</f>
        <v>2023557.73721188</v>
      </c>
      <c r="M56" s="44" t="n">
        <f aca="false">M55*$C64</f>
        <v>2023557.73721188</v>
      </c>
      <c r="N56" s="44" t="n">
        <f aca="false">N55*$C64</f>
        <v>2023557.73721188</v>
      </c>
      <c r="O56" s="44" t="n">
        <f aca="false">O55*$C64</f>
        <v>2124735.62407248</v>
      </c>
      <c r="P56" s="44" t="n">
        <f aca="false">P55*$C64</f>
        <v>2124735.62407248</v>
      </c>
      <c r="Q56" s="44" t="n">
        <f aca="false">Q55*$C64</f>
        <v>2124735.62407248</v>
      </c>
      <c r="R56" s="44" t="n">
        <f aca="false">R55*$C64</f>
        <v>2124735.62407248</v>
      </c>
      <c r="S56" s="44" t="n">
        <f aca="false">S55*$C64</f>
        <v>2124735.62407248</v>
      </c>
      <c r="T56" s="44" t="n">
        <f aca="false">T55*$C64</f>
        <v>2230972.4052761</v>
      </c>
      <c r="U56" s="44" t="n">
        <f aca="false">U55*$C64</f>
        <v>2230972.4052761</v>
      </c>
      <c r="V56" s="44" t="n">
        <f aca="false">V55*$C64</f>
        <v>2230972.4052761</v>
      </c>
      <c r="W56" s="44" t="n">
        <f aca="false">W55*$C64</f>
        <v>2230972.4052761</v>
      </c>
      <c r="X56" s="44" t="n">
        <f aca="false">X55*$C64</f>
        <v>2230972.4052761</v>
      </c>
      <c r="Y56" s="44" t="n">
        <f aca="false">Y55*$C64</f>
        <v>2342521.02553991</v>
      </c>
      <c r="Z56" s="44" t="n">
        <f aca="false">Z55*$C64</f>
        <v>2342521.02553991</v>
      </c>
      <c r="AA56" s="44" t="n">
        <f aca="false">AA55*$C64</f>
        <v>2342521.02553991</v>
      </c>
      <c r="AB56" s="44" t="n">
        <f aca="false">AB55*$C64</f>
        <v>2342521.02553991</v>
      </c>
      <c r="AC56" s="44" t="n">
        <f aca="false">AC55*$C64</f>
        <v>2342521.02553991</v>
      </c>
      <c r="AD56" s="44" t="n">
        <f aca="false">AD55*$C64</f>
        <v>2459647.0768169</v>
      </c>
      <c r="AE56" s="44" t="n">
        <f aca="false">AE55*$C64</f>
        <v>2459647.0768169</v>
      </c>
      <c r="AF56" s="44" t="n">
        <f aca="false">AF55*$C64</f>
        <v>2459647.0768169</v>
      </c>
      <c r="AG56" s="44" t="n">
        <f aca="false">AG55*$C64</f>
        <v>2459647.0768169</v>
      </c>
      <c r="AH56" s="44" t="n">
        <f aca="false">AH55*$C64</f>
        <v>2459647.0768169</v>
      </c>
      <c r="AI56" s="44" t="n">
        <f aca="false">AI55*$C64</f>
        <v>2582629.43065775</v>
      </c>
      <c r="AJ56" s="44" t="n">
        <f aca="false">AJ55*$C64</f>
        <v>2582629.43065775</v>
      </c>
      <c r="AK56" s="44" t="n">
        <f aca="false">AK55*$C64</f>
        <v>2582629.43065775</v>
      </c>
      <c r="AL56" s="44" t="n">
        <f aca="false">AL55*$C64</f>
        <v>2582629.43065775</v>
      </c>
      <c r="AM56" s="44" t="n">
        <f aca="false">AM55*$C64</f>
        <v>2582629.43065775</v>
      </c>
      <c r="AN56" s="44" t="n">
        <f aca="false">AN55*$C64</f>
        <v>2711760.90219064</v>
      </c>
      <c r="AO56" s="44" t="n">
        <f aca="false">AO55*$C64</f>
        <v>2711760.90219064</v>
      </c>
      <c r="AP56" s="44" t="n">
        <f aca="false">AP55*$C64</f>
        <v>2711760.90219064</v>
      </c>
      <c r="AQ56" s="44" t="n">
        <f aca="false">AQ55*$C64</f>
        <v>2711760.90219064</v>
      </c>
      <c r="AR56" s="44" t="n">
        <f aca="false">AR55*$C64</f>
        <v>2711760.90219064</v>
      </c>
      <c r="AS56" s="44" t="n">
        <f aca="false">AS55*$C64</f>
        <v>2847348.94730017</v>
      </c>
      <c r="AT56" s="44" t="n">
        <f aca="false">AT55*$C64</f>
        <v>2847348.94730017</v>
      </c>
      <c r="AU56" s="44" t="n">
        <f aca="false">AU55*$C64</f>
        <v>2847348.94730017</v>
      </c>
      <c r="AV56" s="44" t="n">
        <f aca="false">AV55*$C64</f>
        <v>2847348.94730017</v>
      </c>
      <c r="AW56" s="44" t="n">
        <f aca="false">AW55*$C64</f>
        <v>2847348.94730017</v>
      </c>
      <c r="AX56" s="44" t="n">
        <f aca="false">AX55*$C64</f>
        <v>2989716.39466518</v>
      </c>
      <c r="AY56" s="44" t="n">
        <f aca="false">AY55*$C64</f>
        <v>2989716.39466518</v>
      </c>
      <c r="AZ56" s="44" t="n">
        <f aca="false">AZ55*$C64</f>
        <v>2989716.39466518</v>
      </c>
      <c r="BA56" s="44" t="n">
        <f aca="false">BA55*$C64</f>
        <v>2989716.39466518</v>
      </c>
      <c r="BB56" s="44" t="n">
        <f aca="false">BB55*$C64</f>
        <v>2989716.39466518</v>
      </c>
    </row>
    <row r="57" customFormat="false" ht="15" hidden="false" customHeight="true" outlineLevel="0" collapsed="false">
      <c r="B57" s="35" t="s">
        <v>236</v>
      </c>
      <c r="D57" s="44" t="n">
        <f aca="false">SUM(E57:BB57)</f>
        <v>127414440.183331</v>
      </c>
      <c r="E57" s="44" t="n">
        <f aca="false">E55*$D64</f>
        <v>0</v>
      </c>
      <c r="F57" s="44" t="n">
        <f aca="false">F55*$D64</f>
        <v>0</v>
      </c>
      <c r="G57" s="44" t="n">
        <f aca="false">G55*$D64</f>
        <v>0</v>
      </c>
      <c r="H57" s="44" t="n">
        <f aca="false">H55*$D64</f>
        <v>0</v>
      </c>
      <c r="I57" s="44" t="n">
        <f aca="false">I55*$D64</f>
        <v>0</v>
      </c>
      <c r="J57" s="44" t="n">
        <f aca="false">J55*$D64</f>
        <v>2311045.1540593</v>
      </c>
      <c r="K57" s="44" t="n">
        <f aca="false">K55*$D64</f>
        <v>2311045.1540593</v>
      </c>
      <c r="L57" s="44" t="n">
        <f aca="false">L55*$D64</f>
        <v>2311045.1540593</v>
      </c>
      <c r="M57" s="44" t="n">
        <f aca="false">M55*$D64</f>
        <v>2311045.1540593</v>
      </c>
      <c r="N57" s="44" t="n">
        <f aca="false">N55*$D64</f>
        <v>2311045.1540593</v>
      </c>
      <c r="O57" s="44" t="n">
        <f aca="false">O55*$D64</f>
        <v>2426597.41176226</v>
      </c>
      <c r="P57" s="44" t="n">
        <f aca="false">P55*$D64</f>
        <v>2426597.41176226</v>
      </c>
      <c r="Q57" s="44" t="n">
        <f aca="false">Q55*$D64</f>
        <v>2426597.41176226</v>
      </c>
      <c r="R57" s="44" t="n">
        <f aca="false">R55*$D64</f>
        <v>2426597.41176226</v>
      </c>
      <c r="S57" s="44" t="n">
        <f aca="false">S55*$D64</f>
        <v>2426597.41176226</v>
      </c>
      <c r="T57" s="44" t="n">
        <f aca="false">T55*$D64</f>
        <v>2547927.28235038</v>
      </c>
      <c r="U57" s="44" t="n">
        <f aca="false">U55*$D64</f>
        <v>2547927.28235038</v>
      </c>
      <c r="V57" s="44" t="n">
        <f aca="false">V55*$D64</f>
        <v>2547927.28235038</v>
      </c>
      <c r="W57" s="44" t="n">
        <f aca="false">W55*$D64</f>
        <v>2547927.28235038</v>
      </c>
      <c r="X57" s="44" t="n">
        <f aca="false">X55*$D64</f>
        <v>2547927.28235038</v>
      </c>
      <c r="Y57" s="44" t="n">
        <f aca="false">Y55*$D64</f>
        <v>2675323.6464679</v>
      </c>
      <c r="Z57" s="44" t="n">
        <f aca="false">Z55*$D64</f>
        <v>2675323.6464679</v>
      </c>
      <c r="AA57" s="44" t="n">
        <f aca="false">AA55*$D64</f>
        <v>2675323.6464679</v>
      </c>
      <c r="AB57" s="44" t="n">
        <f aca="false">AB55*$D64</f>
        <v>2675323.6464679</v>
      </c>
      <c r="AC57" s="44" t="n">
        <f aca="false">AC55*$D64</f>
        <v>2675323.6464679</v>
      </c>
      <c r="AD57" s="44" t="n">
        <f aca="false">AD55*$D64</f>
        <v>2809089.82879129</v>
      </c>
      <c r="AE57" s="44" t="n">
        <f aca="false">AE55*$D64</f>
        <v>2809089.82879129</v>
      </c>
      <c r="AF57" s="44" t="n">
        <f aca="false">AF55*$D64</f>
        <v>2809089.82879129</v>
      </c>
      <c r="AG57" s="44" t="n">
        <f aca="false">AG55*$D64</f>
        <v>2809089.82879129</v>
      </c>
      <c r="AH57" s="44" t="n">
        <f aca="false">AH55*$D64</f>
        <v>2809089.82879129</v>
      </c>
      <c r="AI57" s="44" t="n">
        <f aca="false">AI55*$D64</f>
        <v>2949544.32023086</v>
      </c>
      <c r="AJ57" s="44" t="n">
        <f aca="false">AJ55*$D64</f>
        <v>2949544.32023086</v>
      </c>
      <c r="AK57" s="44" t="n">
        <f aca="false">AK55*$D64</f>
        <v>2949544.32023086</v>
      </c>
      <c r="AL57" s="44" t="n">
        <f aca="false">AL55*$D64</f>
        <v>2949544.32023086</v>
      </c>
      <c r="AM57" s="44" t="n">
        <f aca="false">AM55*$D64</f>
        <v>2949544.32023086</v>
      </c>
      <c r="AN57" s="44" t="n">
        <f aca="false">AN55*$D64</f>
        <v>3097021.5362424</v>
      </c>
      <c r="AO57" s="44" t="n">
        <f aca="false">AO55*$D64</f>
        <v>3097021.5362424</v>
      </c>
      <c r="AP57" s="44" t="n">
        <f aca="false">AP55*$D64</f>
        <v>3097021.5362424</v>
      </c>
      <c r="AQ57" s="44" t="n">
        <f aca="false">AQ55*$D64</f>
        <v>3097021.5362424</v>
      </c>
      <c r="AR57" s="44" t="n">
        <f aca="false">AR55*$D64</f>
        <v>3097021.5362424</v>
      </c>
      <c r="AS57" s="44" t="n">
        <f aca="false">AS55*$D64</f>
        <v>3251872.61305452</v>
      </c>
      <c r="AT57" s="44" t="n">
        <f aca="false">AT55*$D64</f>
        <v>3251872.61305452</v>
      </c>
      <c r="AU57" s="44" t="n">
        <f aca="false">AU55*$D64</f>
        <v>3251872.61305452</v>
      </c>
      <c r="AV57" s="44" t="n">
        <f aca="false">AV55*$D64</f>
        <v>3251872.61305452</v>
      </c>
      <c r="AW57" s="44" t="n">
        <f aca="false">AW55*$D64</f>
        <v>3251872.61305452</v>
      </c>
      <c r="AX57" s="44" t="n">
        <f aca="false">AX55*$D64</f>
        <v>3414466.24370725</v>
      </c>
      <c r="AY57" s="44" t="n">
        <f aca="false">AY55*$D64</f>
        <v>3414466.24370725</v>
      </c>
      <c r="AZ57" s="44" t="n">
        <f aca="false">AZ55*$D64</f>
        <v>3414466.24370725</v>
      </c>
      <c r="BA57" s="44" t="n">
        <f aca="false">BA55*$D64</f>
        <v>3414466.24370725</v>
      </c>
      <c r="BB57" s="44" t="n">
        <f aca="false">BB55*$D64</f>
        <v>3414466.24370725</v>
      </c>
    </row>
    <row r="58" customFormat="false" ht="15" hidden="false" customHeight="true" outlineLevel="0" collapsed="false">
      <c r="B58" s="35" t="s">
        <v>237</v>
      </c>
      <c r="D58" s="44" t="n">
        <f aca="false">SUM(E58:BB58)</f>
        <v>91818041.6851236</v>
      </c>
      <c r="E58" s="44" t="n">
        <f aca="false">E55*$E64</f>
        <v>0</v>
      </c>
      <c r="F58" s="44" t="n">
        <f aca="false">F55*$E64</f>
        <v>0</v>
      </c>
      <c r="G58" s="44" t="n">
        <f aca="false">G55*$E64</f>
        <v>0</v>
      </c>
      <c r="H58" s="44" t="n">
        <f aca="false">H55*$E64</f>
        <v>0</v>
      </c>
      <c r="I58" s="44" t="n">
        <f aca="false">I55*$E64</f>
        <v>0</v>
      </c>
      <c r="J58" s="44" t="n">
        <f aca="false">J55*$E64</f>
        <v>1665397.10872882</v>
      </c>
      <c r="K58" s="44" t="n">
        <f aca="false">K55*$E64</f>
        <v>1665397.10872882</v>
      </c>
      <c r="L58" s="44" t="n">
        <f aca="false">L55*$E64</f>
        <v>1665397.10872882</v>
      </c>
      <c r="M58" s="44" t="n">
        <f aca="false">M55*$E64</f>
        <v>1665397.10872882</v>
      </c>
      <c r="N58" s="44" t="n">
        <f aca="false">N55*$E64</f>
        <v>1665397.10872882</v>
      </c>
      <c r="O58" s="44" t="n">
        <f aca="false">O55*$E64</f>
        <v>1748666.96416526</v>
      </c>
      <c r="P58" s="44" t="n">
        <f aca="false">P55*$E64</f>
        <v>1748666.96416526</v>
      </c>
      <c r="Q58" s="44" t="n">
        <f aca="false">Q55*$E64</f>
        <v>1748666.96416526</v>
      </c>
      <c r="R58" s="44" t="n">
        <f aca="false">R55*$E64</f>
        <v>1748666.96416526</v>
      </c>
      <c r="S58" s="44" t="n">
        <f aca="false">S55*$E64</f>
        <v>1748666.96416526</v>
      </c>
      <c r="T58" s="44" t="n">
        <f aca="false">T55*$E64</f>
        <v>1836100.31237352</v>
      </c>
      <c r="U58" s="44" t="n">
        <f aca="false">U55*$E64</f>
        <v>1836100.31237352</v>
      </c>
      <c r="V58" s="44" t="n">
        <f aca="false">V55*$E64</f>
        <v>1836100.31237352</v>
      </c>
      <c r="W58" s="44" t="n">
        <f aca="false">W55*$E64</f>
        <v>1836100.31237352</v>
      </c>
      <c r="X58" s="44" t="n">
        <f aca="false">X55*$E64</f>
        <v>1836100.31237352</v>
      </c>
      <c r="Y58" s="44" t="n">
        <f aca="false">Y55*$E64</f>
        <v>1927905.3279922</v>
      </c>
      <c r="Z58" s="44" t="n">
        <f aca="false">Z55*$E64</f>
        <v>1927905.3279922</v>
      </c>
      <c r="AA58" s="44" t="n">
        <f aca="false">AA55*$E64</f>
        <v>1927905.3279922</v>
      </c>
      <c r="AB58" s="44" t="n">
        <f aca="false">AB55*$E64</f>
        <v>1927905.3279922</v>
      </c>
      <c r="AC58" s="44" t="n">
        <f aca="false">AC55*$E64</f>
        <v>1927905.3279922</v>
      </c>
      <c r="AD58" s="44" t="n">
        <f aca="false">AD55*$E64</f>
        <v>2024300.59439181</v>
      </c>
      <c r="AE58" s="44" t="n">
        <f aca="false">AE55*$E64</f>
        <v>2024300.59439181</v>
      </c>
      <c r="AF58" s="44" t="n">
        <f aca="false">AF55*$E64</f>
        <v>2024300.59439181</v>
      </c>
      <c r="AG58" s="44" t="n">
        <f aca="false">AG55*$E64</f>
        <v>2024300.59439181</v>
      </c>
      <c r="AH58" s="44" t="n">
        <f aca="false">AH55*$E64</f>
        <v>2024300.59439181</v>
      </c>
      <c r="AI58" s="44" t="n">
        <f aca="false">AI55*$E64</f>
        <v>2125515.6241114</v>
      </c>
      <c r="AJ58" s="44" t="n">
        <f aca="false">AJ55*$E64</f>
        <v>2125515.6241114</v>
      </c>
      <c r="AK58" s="44" t="n">
        <f aca="false">AK55*$E64</f>
        <v>2125515.6241114</v>
      </c>
      <c r="AL58" s="44" t="n">
        <f aca="false">AL55*$E64</f>
        <v>2125515.6241114</v>
      </c>
      <c r="AM58" s="44" t="n">
        <f aca="false">AM55*$E64</f>
        <v>2125515.6241114</v>
      </c>
      <c r="AN58" s="44" t="n">
        <f aca="false">AN55*$E64</f>
        <v>2231791.40531697</v>
      </c>
      <c r="AO58" s="44" t="n">
        <f aca="false">AO55*$E64</f>
        <v>2231791.40531697</v>
      </c>
      <c r="AP58" s="44" t="n">
        <f aca="false">AP55*$E64</f>
        <v>2231791.40531697</v>
      </c>
      <c r="AQ58" s="44" t="n">
        <f aca="false">AQ55*$E64</f>
        <v>2231791.40531697</v>
      </c>
      <c r="AR58" s="44" t="n">
        <f aca="false">AR55*$E64</f>
        <v>2231791.40531697</v>
      </c>
      <c r="AS58" s="44" t="n">
        <f aca="false">AS55*$E64</f>
        <v>2343380.97558282</v>
      </c>
      <c r="AT58" s="44" t="n">
        <f aca="false">AT55*$E64</f>
        <v>2343380.97558282</v>
      </c>
      <c r="AU58" s="44" t="n">
        <f aca="false">AU55*$E64</f>
        <v>2343380.97558282</v>
      </c>
      <c r="AV58" s="44" t="n">
        <f aca="false">AV55*$E64</f>
        <v>2343380.97558282</v>
      </c>
      <c r="AW58" s="44" t="n">
        <f aca="false">AW55*$E64</f>
        <v>2343380.97558282</v>
      </c>
      <c r="AX58" s="44" t="n">
        <f aca="false">AX55*$E64</f>
        <v>2460550.02436196</v>
      </c>
      <c r="AY58" s="44" t="n">
        <f aca="false">AY55*$E64</f>
        <v>2460550.02436196</v>
      </c>
      <c r="AZ58" s="44" t="n">
        <f aca="false">AZ55*$E64</f>
        <v>2460550.02436196</v>
      </c>
      <c r="BA58" s="44" t="n">
        <f aca="false">BA55*$E64</f>
        <v>2460550.02436196</v>
      </c>
      <c r="BB58" s="44" t="n">
        <f aca="false">BB55*$E64</f>
        <v>2460550.02436196</v>
      </c>
    </row>
    <row r="62" customFormat="false" ht="15" hidden="false" customHeight="true" outlineLevel="1" collapsed="false">
      <c r="A62" s="49" t="s">
        <v>238</v>
      </c>
      <c r="B62" s="49"/>
      <c r="C62" s="49"/>
      <c r="D62" s="49"/>
      <c r="E62" s="49"/>
      <c r="F62" s="49"/>
      <c r="G62" s="49"/>
      <c r="H62" s="49"/>
    </row>
    <row r="63" customFormat="false" ht="15" hidden="false" customHeight="true" outlineLevel="1" collapsed="false">
      <c r="A63" s="50" t="s">
        <v>239</v>
      </c>
      <c r="B63" s="51" t="s">
        <v>240</v>
      </c>
      <c r="C63" s="52" t="n">
        <f aca="false">Inputs!C7</f>
        <v>2026</v>
      </c>
      <c r="D63" s="51" t="s">
        <v>241</v>
      </c>
      <c r="E63" s="52" t="n">
        <f aca="false">Inputs!C18</f>
        <v>6000000</v>
      </c>
      <c r="F63" s="51" t="s">
        <v>242</v>
      </c>
      <c r="G63" s="52" t="n">
        <f aca="false">Inputs!C19</f>
        <v>5</v>
      </c>
      <c r="H63" s="51" t="s">
        <v>243</v>
      </c>
      <c r="I63" s="53" t="n">
        <f aca="false">Inputs!C20</f>
        <v>0.05</v>
      </c>
      <c r="J63" s="51" t="s">
        <v>244</v>
      </c>
      <c r="K63" s="52" t="n">
        <f aca="false">Inputs!C21</f>
        <v>5</v>
      </c>
    </row>
    <row r="64" customFormat="false" ht="15" hidden="false" customHeight="true" outlineLevel="1" collapsed="false">
      <c r="B64" s="51" t="s">
        <v>245</v>
      </c>
      <c r="C64" s="53" t="n">
        <f aca="false">Inputs!E45</f>
        <v>0.337259622868647</v>
      </c>
      <c r="D64" s="53" t="n">
        <f aca="false">Inputs!E46</f>
        <v>0.385174192343217</v>
      </c>
      <c r="E64" s="53" t="n">
        <f aca="false">Inputs!E47</f>
        <v>0.277566184788136</v>
      </c>
    </row>
    <row r="65" customFormat="false" ht="15" hidden="false" customHeight="true" outlineLevel="1" collapsed="false">
      <c r="A65" s="50" t="s">
        <v>229</v>
      </c>
      <c r="B65" s="50" t="s">
        <v>230</v>
      </c>
      <c r="C65" s="50" t="s">
        <v>64</v>
      </c>
      <c r="D65" s="50" t="s">
        <v>246</v>
      </c>
      <c r="E65" s="50" t="s">
        <v>247</v>
      </c>
      <c r="F65" s="50" t="s">
        <v>248</v>
      </c>
      <c r="G65" s="50" t="s">
        <v>249</v>
      </c>
      <c r="H65" s="50" t="s">
        <v>250</v>
      </c>
    </row>
    <row r="66" customFormat="false" ht="15" hidden="false" customHeight="true" outlineLevel="1" collapsed="false">
      <c r="A66" s="44" t="n">
        <f aca="false">1</f>
        <v>1</v>
      </c>
      <c r="B66" s="52" t="str">
        <f aca="false">Program!C4</f>
        <v>Hotel</v>
      </c>
      <c r="C66" s="52" t="str">
        <f aca="false">Program!A4</f>
        <v>ZAN 1</v>
      </c>
      <c r="D66" s="52" t="n">
        <f aca="false">Program!H4</f>
        <v>16577</v>
      </c>
      <c r="E66" s="52" t="n">
        <f aca="false">Program!S4</f>
        <v>36</v>
      </c>
      <c r="F66" s="52" t="n">
        <f aca="false">Program!T4</f>
        <v>153171480</v>
      </c>
      <c r="G66" s="52" t="n">
        <f aca="false">Program!U4</f>
        <v>2028</v>
      </c>
      <c r="H66" s="52" t="n">
        <f aca="false">Program!V4</f>
        <v>2031</v>
      </c>
    </row>
    <row r="67" customFormat="false" ht="15" hidden="false" customHeight="true" outlineLevel="1" collapsed="false">
      <c r="A67" s="44" t="n">
        <f aca="false">2</f>
        <v>2</v>
      </c>
      <c r="B67" s="52" t="str">
        <f aca="false">Program!C5</f>
        <v>Retail - Sport Complex</v>
      </c>
      <c r="C67" s="52" t="str">
        <f aca="false">Program!A5</f>
        <v>ZAN 1</v>
      </c>
      <c r="D67" s="52" t="n">
        <f aca="false">Program!H5</f>
        <v>6000</v>
      </c>
      <c r="E67" s="52" t="n">
        <f aca="false">Program!S5</f>
        <v>6</v>
      </c>
      <c r="F67" s="52" t="n">
        <f aca="false">Program!T5</f>
        <v>1663200</v>
      </c>
      <c r="G67" s="52" t="n">
        <f aca="false">Program!U5</f>
        <v>2028</v>
      </c>
      <c r="H67" s="52" t="n">
        <f aca="false">Program!V5</f>
        <v>2029</v>
      </c>
    </row>
    <row r="68" customFormat="false" ht="15" hidden="false" customHeight="true" outlineLevel="1" collapsed="false">
      <c r="A68" s="44" t="n">
        <f aca="false">3</f>
        <v>3</v>
      </c>
      <c r="B68" s="52" t="str">
        <f aca="false">Program!C6</f>
        <v>Parking &amp; Landscaping ZAN1</v>
      </c>
      <c r="C68" s="52" t="str">
        <f aca="false">Program!A6</f>
        <v>ZAN 1</v>
      </c>
      <c r="D68" s="52" t="n">
        <f aca="false">Program!H6</f>
        <v>69513.9299079484</v>
      </c>
      <c r="E68" s="52" t="n">
        <f aca="false">Program!S6</f>
        <v>12</v>
      </c>
      <c r="F68" s="52" t="n">
        <f aca="false">Program!T6</f>
        <v>40144294.5218402</v>
      </c>
      <c r="G68" s="52" t="n">
        <f aca="false">Program!U6</f>
        <v>2030</v>
      </c>
      <c r="H68" s="52" t="n">
        <f aca="false">Program!V6</f>
        <v>2031</v>
      </c>
    </row>
    <row r="69" customFormat="false" ht="15" hidden="false" customHeight="true" outlineLevel="1" collapsed="false">
      <c r="A69" s="44" t="n">
        <f aca="false">4</f>
        <v>4</v>
      </c>
      <c r="B69" s="52" t="str">
        <f aca="false">Program!C7</f>
        <v>Fuel Station</v>
      </c>
      <c r="C69" s="52" t="str">
        <f aca="false">Program!A7</f>
        <v>ZAN 1</v>
      </c>
      <c r="D69" s="52" t="n">
        <f aca="false">Program!H7</f>
        <v>3586</v>
      </c>
      <c r="E69" s="52" t="n">
        <f aca="false">Program!S7</f>
        <v>12</v>
      </c>
      <c r="F69" s="52" t="n">
        <f aca="false">Program!T7</f>
        <v>6212745</v>
      </c>
      <c r="G69" s="52" t="n">
        <f aca="false">Program!U7</f>
        <v>2028</v>
      </c>
      <c r="H69" s="52" t="n">
        <f aca="false">Program!V7</f>
        <v>2029</v>
      </c>
    </row>
    <row r="70" customFormat="false" ht="15" hidden="false" customHeight="true" outlineLevel="1" collapsed="false">
      <c r="A70" s="44" t="n">
        <f aca="false">5</f>
        <v>5</v>
      </c>
      <c r="B70" s="52" t="str">
        <f aca="false">Program!C8</f>
        <v>Marina Berths</v>
      </c>
      <c r="C70" s="52" t="str">
        <f aca="false">Program!A8</f>
        <v>ZAN 1</v>
      </c>
      <c r="D70" s="52" t="n">
        <f aca="false">Program!H8</f>
        <v>2400</v>
      </c>
      <c r="E70" s="52" t="n">
        <f aca="false">Program!S8</f>
        <v>12</v>
      </c>
      <c r="F70" s="52" t="n">
        <f aca="false">Program!T8</f>
        <v>44352000</v>
      </c>
      <c r="G70" s="52" t="n">
        <f aca="false">Program!U8</f>
        <v>2030</v>
      </c>
      <c r="H70" s="52" t="n">
        <f aca="false">Program!V8</f>
        <v>2031</v>
      </c>
    </row>
    <row r="71" customFormat="false" ht="15" hidden="false" customHeight="true" outlineLevel="1" collapsed="false">
      <c r="A71" s="44" t="n">
        <f aca="false">6</f>
        <v>6</v>
      </c>
      <c r="B71" s="52" t="str">
        <f aca="false">Program!C9</f>
        <v>Marina Mall</v>
      </c>
      <c r="C71" s="52" t="str">
        <f aca="false">Program!A9</f>
        <v>ZAN 1</v>
      </c>
      <c r="D71" s="52" t="n">
        <f aca="false">Program!H9</f>
        <v>31260</v>
      </c>
      <c r="E71" s="52" t="n">
        <f aca="false">Program!S9</f>
        <v>30</v>
      </c>
      <c r="F71" s="52" t="n">
        <f aca="false">Program!T9</f>
        <v>140810670</v>
      </c>
      <c r="G71" s="52" t="n">
        <f aca="false">Program!U9</f>
        <v>2028</v>
      </c>
      <c r="H71" s="52" t="n">
        <f aca="false">Program!V9</f>
        <v>2031</v>
      </c>
    </row>
    <row r="72" customFormat="false" ht="15" hidden="false" customHeight="true" outlineLevel="1" collapsed="false">
      <c r="A72" s="44" t="n">
        <f aca="false">7</f>
        <v>7</v>
      </c>
      <c r="B72" s="52" t="str">
        <f aca="false">Program!C10</f>
        <v>Seafront Mall</v>
      </c>
      <c r="C72" s="52" t="str">
        <f aca="false">Program!A10</f>
        <v>ZAN 2</v>
      </c>
      <c r="D72" s="52" t="n">
        <f aca="false">Program!H10</f>
        <v>8918</v>
      </c>
      <c r="E72" s="52" t="n">
        <f aca="false">Program!S10</f>
        <v>24</v>
      </c>
      <c r="F72" s="52" t="n">
        <f aca="false">Program!T10</f>
        <v>36051015</v>
      </c>
      <c r="G72" s="52" t="n">
        <f aca="false">Program!U10</f>
        <v>2029</v>
      </c>
      <c r="H72" s="52" t="n">
        <f aca="false">Program!V10</f>
        <v>2031</v>
      </c>
    </row>
    <row r="73" customFormat="false" ht="15" hidden="false" customHeight="true" outlineLevel="1" collapsed="false">
      <c r="A73" s="44" t="n">
        <f aca="false">8</f>
        <v>8</v>
      </c>
      <c r="B73" s="52" t="str">
        <f aca="false">Program!C11</f>
        <v>Flexible Block (Office)</v>
      </c>
      <c r="C73" s="52" t="str">
        <f aca="false">Program!A11</f>
        <v>ZAN 2</v>
      </c>
      <c r="D73" s="52" t="n">
        <f aca="false">Program!H11</f>
        <v>11168</v>
      </c>
      <c r="E73" s="52" t="n">
        <f aca="false">Program!S11</f>
        <v>30</v>
      </c>
      <c r="F73" s="52" t="n">
        <f aca="false">Program!T11</f>
        <v>33537504</v>
      </c>
      <c r="G73" s="52" t="n">
        <f aca="false">Program!U11</f>
        <v>2029</v>
      </c>
      <c r="H73" s="52" t="n">
        <f aca="false">Program!V11</f>
        <v>2032</v>
      </c>
    </row>
    <row r="74" customFormat="false" ht="15" hidden="false" customHeight="true" outlineLevel="1" collapsed="false">
      <c r="A74" s="44" t="n">
        <f aca="false">9</f>
        <v>9</v>
      </c>
      <c r="B74" s="52" t="str">
        <f aca="false">Program!C12</f>
        <v>Resort</v>
      </c>
      <c r="C74" s="52" t="str">
        <f aca="false">Program!A12</f>
        <v>ZAN 2</v>
      </c>
      <c r="D74" s="52" t="n">
        <f aca="false">Program!H12</f>
        <v>16296</v>
      </c>
      <c r="E74" s="52" t="n">
        <f aca="false">Program!S12</f>
        <v>42</v>
      </c>
      <c r="F74" s="52" t="n">
        <f aca="false">Program!T12</f>
        <v>188218800</v>
      </c>
      <c r="G74" s="52" t="n">
        <f aca="false">Program!U12</f>
        <v>2029</v>
      </c>
      <c r="H74" s="52" t="n">
        <f aca="false">Program!V12</f>
        <v>2033</v>
      </c>
    </row>
    <row r="75" customFormat="false" ht="15" hidden="false" customHeight="true" outlineLevel="1" collapsed="false">
      <c r="A75" s="44" t="n">
        <f aca="false">10</f>
        <v>10</v>
      </c>
      <c r="B75" s="52" t="str">
        <f aca="false">Program!C13</f>
        <v>Supermarket</v>
      </c>
      <c r="C75" s="52" t="str">
        <f aca="false">Program!A13</f>
        <v>ZAN 2</v>
      </c>
      <c r="D75" s="52" t="n">
        <f aca="false">Program!H13</f>
        <v>4044</v>
      </c>
      <c r="E75" s="52" t="n">
        <f aca="false">Program!S13</f>
        <v>18</v>
      </c>
      <c r="F75" s="52" t="n">
        <f aca="false">Program!T13</f>
        <v>7006230</v>
      </c>
      <c r="G75" s="52" t="n">
        <f aca="false">Program!U13</f>
        <v>2029</v>
      </c>
      <c r="H75" s="52" t="n">
        <f aca="false">Program!V13</f>
        <v>2031</v>
      </c>
    </row>
    <row r="76" customFormat="false" ht="15" hidden="false" customHeight="true" outlineLevel="1" collapsed="false">
      <c r="A76" s="44" t="n">
        <f aca="false">11</f>
        <v>11</v>
      </c>
      <c r="B76" s="52" t="str">
        <f aca="false">Program!C14</f>
        <v>Shops / Cafes</v>
      </c>
      <c r="C76" s="52" t="str">
        <f aca="false">Program!A14</f>
        <v>ZAN 2</v>
      </c>
      <c r="D76" s="52" t="n">
        <f aca="false">Program!H14</f>
        <v>1167</v>
      </c>
      <c r="E76" s="52" t="n">
        <f aca="false">Program!S14</f>
        <v>18</v>
      </c>
      <c r="F76" s="52" t="n">
        <f aca="false">Program!T14</f>
        <v>4043655</v>
      </c>
      <c r="G76" s="52" t="n">
        <f aca="false">Program!U14</f>
        <v>2029</v>
      </c>
      <c r="H76" s="52" t="n">
        <f aca="false">Program!V14</f>
        <v>2031</v>
      </c>
    </row>
    <row r="77" customFormat="false" ht="15" hidden="false" customHeight="true" outlineLevel="1" collapsed="false">
      <c r="A77" s="44" t="n">
        <f aca="false">12</f>
        <v>12</v>
      </c>
      <c r="B77" s="52" t="str">
        <f aca="false">Program!C15</f>
        <v>Shopping Area</v>
      </c>
      <c r="C77" s="52" t="str">
        <f aca="false">Program!A15</f>
        <v>ZAN 2</v>
      </c>
      <c r="D77" s="52" t="n">
        <f aca="false">Program!H15</f>
        <v>3668</v>
      </c>
      <c r="E77" s="52" t="n">
        <f aca="false">Program!S15</f>
        <v>18</v>
      </c>
      <c r="F77" s="52" t="n">
        <f aca="false">Program!T15</f>
        <v>12709620</v>
      </c>
      <c r="G77" s="52" t="n">
        <f aca="false">Program!U15</f>
        <v>2029</v>
      </c>
      <c r="H77" s="52" t="n">
        <f aca="false">Program!V15</f>
        <v>2031</v>
      </c>
    </row>
    <row r="78" customFormat="false" ht="15" hidden="false" customHeight="true" outlineLevel="1" collapsed="false">
      <c r="A78" s="44" t="n">
        <f aca="false">13</f>
        <v>13</v>
      </c>
      <c r="B78" s="52" t="str">
        <f aca="false">Program!C16</f>
        <v>Shops / Cafes</v>
      </c>
      <c r="C78" s="52" t="str">
        <f aca="false">Program!A16</f>
        <v>ZAN 2</v>
      </c>
      <c r="D78" s="52" t="n">
        <f aca="false">Program!H16</f>
        <v>1167</v>
      </c>
      <c r="E78" s="52" t="n">
        <f aca="false">Program!S16</f>
        <v>18</v>
      </c>
      <c r="F78" s="52" t="n">
        <f aca="false">Program!T16</f>
        <v>4043655</v>
      </c>
      <c r="G78" s="52" t="n">
        <f aca="false">Program!U16</f>
        <v>2029</v>
      </c>
      <c r="H78" s="52" t="n">
        <f aca="false">Program!V16</f>
        <v>2031</v>
      </c>
    </row>
    <row r="79" customFormat="false" ht="15" hidden="false" customHeight="true" outlineLevel="1" collapsed="false">
      <c r="A79" s="44" t="n">
        <f aca="false">14</f>
        <v>14</v>
      </c>
      <c r="B79" s="52" t="str">
        <f aca="false">Program!C17</f>
        <v>Parking &amp; Landscaping ZAN2</v>
      </c>
      <c r="C79" s="52" t="str">
        <f aca="false">Program!A17</f>
        <v>ZAN 2</v>
      </c>
      <c r="D79" s="52" t="n">
        <f aca="false">Program!H17</f>
        <v>79389.7934806297</v>
      </c>
      <c r="E79" s="52" t="n">
        <f aca="false">Program!S17</f>
        <v>12</v>
      </c>
      <c r="F79" s="52" t="n">
        <f aca="false">Program!T17</f>
        <v>45847605.7350637</v>
      </c>
      <c r="G79" s="52" t="n">
        <f aca="false">Program!U17</f>
        <v>2030</v>
      </c>
      <c r="H79" s="52" t="n">
        <f aca="false">Program!V17</f>
        <v>2031</v>
      </c>
    </row>
    <row r="80" customFormat="false" ht="15" hidden="false" customHeight="true" outlineLevel="1" collapsed="false">
      <c r="A80" s="44" t="n">
        <f aca="false">15</f>
        <v>15</v>
      </c>
      <c r="B80" s="52" t="str">
        <f aca="false">Program!C18</f>
        <v>Office Block</v>
      </c>
      <c r="C80" s="52" t="str">
        <f aca="false">Program!A18</f>
        <v>ZAN 2</v>
      </c>
      <c r="D80" s="52" t="n">
        <f aca="false">Program!H18</f>
        <v>16429</v>
      </c>
      <c r="E80" s="52" t="n">
        <f aca="false">Program!S18</f>
        <v>30</v>
      </c>
      <c r="F80" s="52" t="n">
        <f aca="false">Program!T18</f>
        <v>49336287</v>
      </c>
      <c r="G80" s="52" t="n">
        <f aca="false">Program!U18</f>
        <v>2029</v>
      </c>
      <c r="H80" s="52" t="n">
        <f aca="false">Program!V18</f>
        <v>2032</v>
      </c>
    </row>
    <row r="81" customFormat="false" ht="15" hidden="false" customHeight="true" outlineLevel="1" collapsed="false">
      <c r="A81" s="44" t="n">
        <f aca="false">16</f>
        <v>16</v>
      </c>
      <c r="B81" s="52" t="str">
        <f aca="false">Program!C19</f>
        <v>Flexible Block (Residential)</v>
      </c>
      <c r="C81" s="52" t="str">
        <f aca="false">Program!A19</f>
        <v>ZAN 2</v>
      </c>
      <c r="D81" s="52" t="n">
        <f aca="false">Program!H19</f>
        <v>17153</v>
      </c>
      <c r="E81" s="52" t="n">
        <f aca="false">Program!S19</f>
        <v>30</v>
      </c>
      <c r="F81" s="52" t="n">
        <f aca="false">Program!T19</f>
        <v>59435145</v>
      </c>
      <c r="G81" s="52" t="n">
        <f aca="false">Program!U19</f>
        <v>2029</v>
      </c>
      <c r="H81" s="52" t="n">
        <f aca="false">Program!V19</f>
        <v>2032</v>
      </c>
    </row>
    <row r="82" customFormat="false" ht="15" hidden="false" customHeight="true" outlineLevel="1" collapsed="false">
      <c r="A82" s="44" t="n">
        <f aca="false">17</f>
        <v>17</v>
      </c>
      <c r="B82" s="52" t="str">
        <f aca="false">Program!C20</f>
        <v>Flexible Block</v>
      </c>
      <c r="C82" s="52" t="str">
        <f aca="false">Program!A20</f>
        <v>ZAN 2</v>
      </c>
      <c r="D82" s="52" t="n">
        <f aca="false">Program!H20</f>
        <v>19316</v>
      </c>
      <c r="E82" s="52" t="n">
        <f aca="false">Program!S20</f>
        <v>30</v>
      </c>
      <c r="F82" s="52" t="n">
        <f aca="false">Program!T20</f>
        <v>55774950</v>
      </c>
      <c r="G82" s="52" t="n">
        <f aca="false">Program!U20</f>
        <v>2029</v>
      </c>
      <c r="H82" s="52" t="n">
        <f aca="false">Program!V20</f>
        <v>2032</v>
      </c>
    </row>
    <row r="83" customFormat="false" ht="15" hidden="false" customHeight="true" outlineLevel="1" collapsed="false">
      <c r="A83" s="44" t="n">
        <f aca="false">18</f>
        <v>18</v>
      </c>
      <c r="B83" s="52" t="str">
        <f aca="false">Program!C21</f>
        <v>Flexible Block</v>
      </c>
      <c r="C83" s="52" t="str">
        <f aca="false">Program!A21</f>
        <v>ZAN 3</v>
      </c>
      <c r="D83" s="52" t="n">
        <f aca="false">Program!H21</f>
        <v>14453</v>
      </c>
      <c r="E83" s="52" t="n">
        <f aca="false">Program!S21</f>
        <v>30</v>
      </c>
      <c r="F83" s="52" t="n">
        <f aca="false">Program!T21</f>
        <v>41733037.5</v>
      </c>
      <c r="G83" s="52" t="n">
        <f aca="false">Program!U21</f>
        <v>2030</v>
      </c>
      <c r="H83" s="52" t="n">
        <f aca="false">Program!V21</f>
        <v>2033</v>
      </c>
    </row>
    <row r="84" customFormat="false" ht="15" hidden="false" customHeight="true" outlineLevel="1" collapsed="false">
      <c r="A84" s="44" t="n">
        <f aca="false">19</f>
        <v>19</v>
      </c>
      <c r="B84" s="52" t="str">
        <f aca="false">Program!C22</f>
        <v>Multi-Purpose Hall</v>
      </c>
      <c r="C84" s="52" t="str">
        <f aca="false">Program!A22</f>
        <v>ZAN 3</v>
      </c>
      <c r="D84" s="52" t="n">
        <f aca="false">Program!H22</f>
        <v>3248</v>
      </c>
      <c r="E84" s="52" t="n">
        <f aca="false">Program!S22</f>
        <v>24</v>
      </c>
      <c r="F84" s="52" t="n">
        <f aca="false">Program!T22</f>
        <v>28135800</v>
      </c>
      <c r="G84" s="52" t="n">
        <f aca="false">Program!U22</f>
        <v>2030</v>
      </c>
      <c r="H84" s="52" t="n">
        <f aca="false">Program!V22</f>
        <v>2032</v>
      </c>
    </row>
    <row r="85" customFormat="false" ht="15" hidden="false" customHeight="true" outlineLevel="1" collapsed="false">
      <c r="A85" s="44" t="n">
        <f aca="false">20</f>
        <v>20</v>
      </c>
      <c r="B85" s="52" t="str">
        <f aca="false">Program!C23</f>
        <v>Unallocated / Open Area</v>
      </c>
      <c r="C85" s="52" t="str">
        <f aca="false">Program!A23</f>
        <v>ZAN 3</v>
      </c>
      <c r="D85" s="52" t="n">
        <f aca="false">Program!H23</f>
        <v>166.42</v>
      </c>
      <c r="E85" s="52" t="n">
        <f aca="false">Program!S23</f>
        <v>12</v>
      </c>
      <c r="F85" s="52" t="n">
        <f aca="false">Program!T23</f>
        <v>86496.795</v>
      </c>
      <c r="G85" s="52" t="n">
        <f aca="false">Program!U23</f>
        <v>2030</v>
      </c>
      <c r="H85" s="52" t="n">
        <f aca="false">Program!V23</f>
        <v>2031</v>
      </c>
    </row>
    <row r="86" customFormat="false" ht="15" hidden="false" customHeight="true" outlineLevel="1" collapsed="false">
      <c r="A86" s="44" t="n">
        <f aca="false">21</f>
        <v>21</v>
      </c>
      <c r="B86" s="52" t="str">
        <f aca="false">Program!C24</f>
        <v>Shops / Cafes</v>
      </c>
      <c r="C86" s="52" t="str">
        <f aca="false">Program!A24</f>
        <v>ZAN 3</v>
      </c>
      <c r="D86" s="52" t="n">
        <f aca="false">Program!H24</f>
        <v>1005</v>
      </c>
      <c r="E86" s="52" t="n">
        <f aca="false">Program!S24</f>
        <v>18</v>
      </c>
      <c r="F86" s="52" t="n">
        <f aca="false">Program!T24</f>
        <v>3482325</v>
      </c>
      <c r="G86" s="52" t="n">
        <f aca="false">Program!U24</f>
        <v>2030</v>
      </c>
      <c r="H86" s="52" t="n">
        <f aca="false">Program!V24</f>
        <v>2032</v>
      </c>
    </row>
    <row r="87" customFormat="false" ht="15" hidden="false" customHeight="true" outlineLevel="1" collapsed="false">
      <c r="A87" s="44" t="n">
        <f aca="false">22</f>
        <v>22</v>
      </c>
      <c r="B87" s="52" t="str">
        <f aca="false">Program!C25</f>
        <v>Small Market</v>
      </c>
      <c r="C87" s="52" t="str">
        <f aca="false">Program!A25</f>
        <v>ZAN 3</v>
      </c>
      <c r="D87" s="52" t="n">
        <f aca="false">Program!H25</f>
        <v>314</v>
      </c>
      <c r="E87" s="52" t="n">
        <f aca="false">Program!S25</f>
        <v>18</v>
      </c>
      <c r="F87" s="52" t="n">
        <f aca="false">Program!T25</f>
        <v>725340</v>
      </c>
      <c r="G87" s="52" t="n">
        <f aca="false">Program!U25</f>
        <v>2030</v>
      </c>
      <c r="H87" s="52" t="n">
        <f aca="false">Program!V25</f>
        <v>2032</v>
      </c>
    </row>
    <row r="88" customFormat="false" ht="15" hidden="false" customHeight="true" outlineLevel="1" collapsed="false">
      <c r="A88" s="44" t="n">
        <f aca="false">23</f>
        <v>23</v>
      </c>
      <c r="B88" s="52" t="str">
        <f aca="false">Program!C26</f>
        <v>Small Pavilions / Shops</v>
      </c>
      <c r="C88" s="52" t="str">
        <f aca="false">Program!A26</f>
        <v>ZAN 3</v>
      </c>
      <c r="D88" s="52" t="n">
        <f aca="false">Program!H26</f>
        <v>3791</v>
      </c>
      <c r="E88" s="52" t="n">
        <f aca="false">Program!S26</f>
        <v>18</v>
      </c>
      <c r="F88" s="52" t="n">
        <f aca="false">Program!T26</f>
        <v>8757210</v>
      </c>
      <c r="G88" s="52" t="n">
        <f aca="false">Program!U26</f>
        <v>2030</v>
      </c>
      <c r="H88" s="52" t="n">
        <f aca="false">Program!V26</f>
        <v>2032</v>
      </c>
    </row>
    <row r="89" customFormat="false" ht="15" hidden="false" customHeight="true" outlineLevel="1" collapsed="false">
      <c r="A89" s="44" t="n">
        <f aca="false">24</f>
        <v>24</v>
      </c>
      <c r="B89" s="52" t="str">
        <f aca="false">Program!C27</f>
        <v>Flexible Block</v>
      </c>
      <c r="C89" s="52" t="str">
        <f aca="false">Program!A27</f>
        <v>ZAN 3</v>
      </c>
      <c r="D89" s="52" t="n">
        <f aca="false">Program!H27</f>
        <v>25927</v>
      </c>
      <c r="E89" s="52" t="n">
        <f aca="false">Program!S27</f>
        <v>30</v>
      </c>
      <c r="F89" s="52" t="n">
        <f aca="false">Program!T27</f>
        <v>83847918</v>
      </c>
      <c r="G89" s="52" t="n">
        <f aca="false">Program!U27</f>
        <v>2030</v>
      </c>
      <c r="H89" s="52" t="n">
        <f aca="false">Program!V27</f>
        <v>2033</v>
      </c>
    </row>
    <row r="90" customFormat="false" ht="15" hidden="false" customHeight="true" outlineLevel="1" collapsed="false">
      <c r="A90" s="44" t="n">
        <f aca="false">25</f>
        <v>25</v>
      </c>
      <c r="B90" s="52" t="str">
        <f aca="false">Program!C28</f>
        <v>Shops / Cafes</v>
      </c>
      <c r="C90" s="52" t="str">
        <f aca="false">Program!A28</f>
        <v>ZAN 3</v>
      </c>
      <c r="D90" s="52" t="n">
        <f aca="false">Program!H28</f>
        <v>1310</v>
      </c>
      <c r="E90" s="52" t="n">
        <f aca="false">Program!S28</f>
        <v>18</v>
      </c>
      <c r="F90" s="52" t="n">
        <f aca="false">Program!T28</f>
        <v>4539150</v>
      </c>
      <c r="G90" s="52" t="n">
        <f aca="false">Program!U28</f>
        <v>2030</v>
      </c>
      <c r="H90" s="52" t="n">
        <f aca="false">Program!V28</f>
        <v>2032</v>
      </c>
    </row>
    <row r="91" customFormat="false" ht="15" hidden="false" customHeight="true" outlineLevel="1" collapsed="false">
      <c r="A91" s="44" t="n">
        <f aca="false">26</f>
        <v>26</v>
      </c>
      <c r="B91" s="52" t="str">
        <f aca="false">Program!C29</f>
        <v>Small Market</v>
      </c>
      <c r="C91" s="52" t="str">
        <f aca="false">Program!A29</f>
        <v>ZAN 3</v>
      </c>
      <c r="D91" s="52" t="n">
        <f aca="false">Program!H29</f>
        <v>347</v>
      </c>
      <c r="E91" s="52" t="n">
        <f aca="false">Program!S29</f>
        <v>18</v>
      </c>
      <c r="F91" s="52" t="n">
        <f aca="false">Program!T29</f>
        <v>801570</v>
      </c>
      <c r="G91" s="52" t="n">
        <f aca="false">Program!U29</f>
        <v>2030</v>
      </c>
      <c r="H91" s="52" t="n">
        <f aca="false">Program!V29</f>
        <v>2032</v>
      </c>
    </row>
    <row r="92" customFormat="false" ht="15" hidden="false" customHeight="true" outlineLevel="1" collapsed="false">
      <c r="A92" s="44" t="n">
        <f aca="false">27</f>
        <v>27</v>
      </c>
      <c r="B92" s="52" t="str">
        <f aca="false">Program!C30</f>
        <v>Flexible Block  (Branded)</v>
      </c>
      <c r="C92" s="52" t="str">
        <f aca="false">Program!A30</f>
        <v>ZAN 3</v>
      </c>
      <c r="D92" s="52" t="n">
        <f aca="false">Program!H30</f>
        <v>44218</v>
      </c>
      <c r="E92" s="52" t="n">
        <f aca="false">Program!S30</f>
        <v>30</v>
      </c>
      <c r="F92" s="52" t="n">
        <f aca="false">Program!T30</f>
        <v>229823055</v>
      </c>
      <c r="G92" s="52" t="n">
        <f aca="false">Program!U30</f>
        <v>2030</v>
      </c>
      <c r="H92" s="52" t="n">
        <f aca="false">Program!V30</f>
        <v>2033</v>
      </c>
    </row>
    <row r="93" customFormat="false" ht="15" hidden="false" customHeight="true" outlineLevel="1" collapsed="false">
      <c r="A93" s="44" t="n">
        <f aca="false">28</f>
        <v>28</v>
      </c>
      <c r="B93" s="52" t="str">
        <f aca="false">Program!C31</f>
        <v>Flexible Block</v>
      </c>
      <c r="C93" s="52" t="str">
        <f aca="false">Program!A31</f>
        <v>ZAN 3</v>
      </c>
      <c r="D93" s="52" t="n">
        <f aca="false">Program!H31</f>
        <v>4435</v>
      </c>
      <c r="E93" s="52" t="n">
        <f aca="false">Program!S31</f>
        <v>30</v>
      </c>
      <c r="F93" s="52" t="n">
        <f aca="false">Program!T31</f>
        <v>12806062.5</v>
      </c>
      <c r="G93" s="52" t="n">
        <f aca="false">Program!U31</f>
        <v>2030</v>
      </c>
      <c r="H93" s="52" t="n">
        <f aca="false">Program!V31</f>
        <v>2033</v>
      </c>
    </row>
    <row r="94" customFormat="false" ht="15" hidden="false" customHeight="true" outlineLevel="1" collapsed="false">
      <c r="A94" s="44" t="n">
        <f aca="false">29</f>
        <v>29</v>
      </c>
      <c r="B94" s="52" t="str">
        <f aca="false">Program!C32</f>
        <v>Yacht Club</v>
      </c>
      <c r="C94" s="52" t="str">
        <f aca="false">Program!A32</f>
        <v>ZAN 3</v>
      </c>
      <c r="D94" s="52" t="n">
        <f aca="false">Program!H32</f>
        <v>2400</v>
      </c>
      <c r="E94" s="52" t="n">
        <f aca="false">Program!S32</f>
        <v>30</v>
      </c>
      <c r="F94" s="52" t="n">
        <f aca="false">Program!T32</f>
        <v>18018000</v>
      </c>
      <c r="G94" s="52" t="n">
        <f aca="false">Program!U32</f>
        <v>2030</v>
      </c>
      <c r="H94" s="52" t="n">
        <f aca="false">Program!V32</f>
        <v>2033</v>
      </c>
    </row>
    <row r="95" customFormat="false" ht="15" hidden="false" customHeight="true" outlineLevel="1" collapsed="false">
      <c r="A95" s="44" t="n">
        <f aca="false">30</f>
        <v>30</v>
      </c>
      <c r="B95" s="52" t="str">
        <f aca="false">Program!C33</f>
        <v>Parking &amp; Landscaping ZAN3</v>
      </c>
      <c r="C95" s="52" t="str">
        <f aca="false">Program!A33</f>
        <v>ZAN 3</v>
      </c>
      <c r="D95" s="52" t="n">
        <f aca="false">Program!H33</f>
        <v>57210.2766114219</v>
      </c>
      <c r="E95" s="52" t="n">
        <f aca="false">Program!S33</f>
        <v>12</v>
      </c>
      <c r="F95" s="52" t="n">
        <f aca="false">Program!T33</f>
        <v>33038934.7430961</v>
      </c>
      <c r="G95" s="52" t="n">
        <f aca="false">Program!U33</f>
        <v>2030</v>
      </c>
      <c r="H95" s="52" t="n">
        <f aca="false">Program!V33</f>
        <v>2031</v>
      </c>
    </row>
  </sheetData>
  <sheetProtection sheet="true" sort="false" autoFilter="false"/>
  <mergeCells count="2">
    <mergeCell ref="A1:BB1"/>
    <mergeCell ref="A62:H6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3" min="3" style="1" width="8"/>
    <col collapsed="false" customWidth="true" hidden="false" outlineLevel="0" max="4" min="4" style="1" width="14"/>
    <col collapsed="false" customWidth="true" hidden="false" outlineLevel="0" max="54" min="5" style="1" width="12"/>
  </cols>
  <sheetData>
    <row r="1" customFormat="false" ht="36" hidden="false" customHeight="true" outlineLevel="0" collapsed="false">
      <c r="A1" s="42" t="s">
        <v>251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</row>
    <row r="3" customFormat="false" ht="15" hidden="false" customHeight="true" outlineLevel="0" collapsed="false">
      <c r="A3" s="15" t="s">
        <v>229</v>
      </c>
      <c r="B3" s="15" t="s">
        <v>230</v>
      </c>
      <c r="C3" s="15" t="s">
        <v>64</v>
      </c>
      <c r="D3" s="15" t="s">
        <v>60</v>
      </c>
      <c r="E3" s="43" t="n">
        <f aca="false">$C93+0</f>
        <v>2026</v>
      </c>
      <c r="F3" s="43" t="n">
        <f aca="false">$C93+1</f>
        <v>2027</v>
      </c>
      <c r="G3" s="43" t="n">
        <f aca="false">$C93+2</f>
        <v>2028</v>
      </c>
      <c r="H3" s="43" t="n">
        <f aca="false">$C93+3</f>
        <v>2029</v>
      </c>
      <c r="I3" s="43" t="n">
        <f aca="false">$C93+4</f>
        <v>2030</v>
      </c>
      <c r="J3" s="43" t="n">
        <f aca="false">$C93+5</f>
        <v>2031</v>
      </c>
      <c r="K3" s="43" t="n">
        <f aca="false">$C93+6</f>
        <v>2032</v>
      </c>
      <c r="L3" s="43" t="n">
        <f aca="false">$C93+7</f>
        <v>2033</v>
      </c>
      <c r="M3" s="43" t="n">
        <f aca="false">$C93+8</f>
        <v>2034</v>
      </c>
      <c r="N3" s="43" t="n">
        <f aca="false">$C93+9</f>
        <v>2035</v>
      </c>
      <c r="O3" s="43" t="n">
        <f aca="false">$C93+10</f>
        <v>2036</v>
      </c>
      <c r="P3" s="43" t="n">
        <f aca="false">$C93+11</f>
        <v>2037</v>
      </c>
      <c r="Q3" s="43" t="n">
        <f aca="false">$C93+12</f>
        <v>2038</v>
      </c>
      <c r="R3" s="43" t="n">
        <f aca="false">$C93+13</f>
        <v>2039</v>
      </c>
      <c r="S3" s="43" t="n">
        <f aca="false">$C93+14</f>
        <v>2040</v>
      </c>
      <c r="T3" s="43" t="n">
        <f aca="false">$C93+15</f>
        <v>2041</v>
      </c>
      <c r="U3" s="43" t="n">
        <f aca="false">$C93+16</f>
        <v>2042</v>
      </c>
      <c r="V3" s="43" t="n">
        <f aca="false">$C93+17</f>
        <v>2043</v>
      </c>
      <c r="W3" s="43" t="n">
        <f aca="false">$C93+18</f>
        <v>2044</v>
      </c>
      <c r="X3" s="43" t="n">
        <f aca="false">$C93+19</f>
        <v>2045</v>
      </c>
      <c r="Y3" s="43" t="n">
        <f aca="false">$C93+20</f>
        <v>2046</v>
      </c>
      <c r="Z3" s="43" t="n">
        <f aca="false">$C93+21</f>
        <v>2047</v>
      </c>
      <c r="AA3" s="43" t="n">
        <f aca="false">$C93+22</f>
        <v>2048</v>
      </c>
      <c r="AB3" s="43" t="n">
        <f aca="false">$C93+23</f>
        <v>2049</v>
      </c>
      <c r="AC3" s="43" t="n">
        <f aca="false">$C93+24</f>
        <v>2050</v>
      </c>
      <c r="AD3" s="43" t="n">
        <f aca="false">$C93+25</f>
        <v>2051</v>
      </c>
      <c r="AE3" s="43" t="n">
        <f aca="false">$C93+26</f>
        <v>2052</v>
      </c>
      <c r="AF3" s="43" t="n">
        <f aca="false">$C93+27</f>
        <v>2053</v>
      </c>
      <c r="AG3" s="43" t="n">
        <f aca="false">$C93+28</f>
        <v>2054</v>
      </c>
      <c r="AH3" s="43" t="n">
        <f aca="false">$C93+29</f>
        <v>2055</v>
      </c>
      <c r="AI3" s="43" t="n">
        <f aca="false">$C93+30</f>
        <v>2056</v>
      </c>
      <c r="AJ3" s="43" t="n">
        <f aca="false">$C93+31</f>
        <v>2057</v>
      </c>
      <c r="AK3" s="43" t="n">
        <f aca="false">$C93+32</f>
        <v>2058</v>
      </c>
      <c r="AL3" s="43" t="n">
        <f aca="false">$C93+33</f>
        <v>2059</v>
      </c>
      <c r="AM3" s="43" t="n">
        <f aca="false">$C93+34</f>
        <v>2060</v>
      </c>
      <c r="AN3" s="43" t="n">
        <f aca="false">$C93+35</f>
        <v>2061</v>
      </c>
      <c r="AO3" s="43" t="n">
        <f aca="false">$C93+36</f>
        <v>2062</v>
      </c>
      <c r="AP3" s="43" t="n">
        <f aca="false">$C93+37</f>
        <v>2063</v>
      </c>
      <c r="AQ3" s="43" t="n">
        <f aca="false">$C93+38</f>
        <v>2064</v>
      </c>
      <c r="AR3" s="43" t="n">
        <f aca="false">$C93+39</f>
        <v>2065</v>
      </c>
      <c r="AS3" s="43" t="n">
        <f aca="false">$C93+40</f>
        <v>2066</v>
      </c>
      <c r="AT3" s="43" t="n">
        <f aca="false">$C93+41</f>
        <v>2067</v>
      </c>
      <c r="AU3" s="43" t="n">
        <f aca="false">$C93+42</f>
        <v>2068</v>
      </c>
      <c r="AV3" s="43" t="n">
        <f aca="false">$C93+43</f>
        <v>2069</v>
      </c>
      <c r="AW3" s="43" t="n">
        <f aca="false">$C93+44</f>
        <v>2070</v>
      </c>
      <c r="AX3" s="43" t="n">
        <f aca="false">$C93+45</f>
        <v>2071</v>
      </c>
      <c r="AY3" s="43" t="n">
        <f aca="false">$C93+46</f>
        <v>2072</v>
      </c>
      <c r="AZ3" s="43" t="n">
        <f aca="false">$C93+47</f>
        <v>2073</v>
      </c>
      <c r="BA3" s="43" t="n">
        <f aca="false">$C93+48</f>
        <v>2074</v>
      </c>
      <c r="BB3" s="43" t="n">
        <f aca="false">$C93+49</f>
        <v>2075</v>
      </c>
    </row>
    <row r="4" customFormat="false" ht="15" hidden="false" customHeight="true" outlineLevel="0" collapsed="false">
      <c r="A4" s="44" t="n">
        <f aca="false">A95</f>
        <v>1</v>
      </c>
      <c r="B4" s="44" t="str">
        <f aca="false">B95</f>
        <v>Hotel</v>
      </c>
      <c r="C4" s="44" t="str">
        <f aca="false">C95</f>
        <v>ZAN 1</v>
      </c>
      <c r="D4" s="44" t="n">
        <f aca="false">SUM(E4:BB4)</f>
        <v>719832828.593717</v>
      </c>
      <c r="E4" s="44" t="n">
        <f aca="false">IF(OR(E95=0,E$3&lt;D95),0,E95*IF(G95=0,H95,MIN(H95,H95*(E$3-D95+1)/MAX(1,G95)))*(1+F95)^(E$3-D95)*$E93)</f>
        <v>0</v>
      </c>
      <c r="F4" s="44" t="n">
        <f aca="false">IF(OR(E95=0,F$3&lt;D95),0,E95*IF(G95=0,H95,MIN(H95,H95*(F$3-D95+1)/MAX(1,G95)))*(1+F95)^(F$3-D95)*$E93)</f>
        <v>0</v>
      </c>
      <c r="G4" s="44" t="n">
        <f aca="false">IF(OR(E95=0,G$3&lt;D95),0,E95*IF(G95=0,H95,MIN(H95,H95*(G$3-D95+1)/MAX(1,G95)))*(1+F95)^(G$3-D95)*$E93)</f>
        <v>0</v>
      </c>
      <c r="H4" s="44" t="n">
        <f aca="false">IF(OR(E95=0,H$3&lt;D95),0,E95*IF(G95=0,H95,MIN(H95,H95*(H$3-D95+1)/MAX(1,G95)))*(1+F95)^(H$3-D95)*$E93)</f>
        <v>0</v>
      </c>
      <c r="I4" s="44" t="n">
        <f aca="false">IF(OR(E95=0,I$3&lt;D95),0,E95*IF(G95=0,H95,MIN(H95,H95*(I$3-D95+1)/MAX(1,G95)))*(1+F95)^(I$3-D95)*$E93)</f>
        <v>0</v>
      </c>
      <c r="J4" s="44" t="n">
        <f aca="false">IF(OR(E95=0,J$3&lt;D95),0,E95*IF(G95=0,H95,MIN(H95,H95*(J$3-D95+1)/MAX(1,G95)))*(1+F95)^(J$3-D95)*$E93)</f>
        <v>3475264.15833333</v>
      </c>
      <c r="K4" s="44" t="n">
        <f aca="false">IF(OR(E95=0,K$3&lt;D95),0,E95*IF(G95=0,H95,MIN(H95,H95*(K$3-D95+1)/MAX(1,G95)))*(1+F95)^(K$3-D95)*$E93)</f>
        <v>7002657.27904167</v>
      </c>
      <c r="L4" s="44" t="n">
        <f aca="false">IF(OR(E95=0,L$3&lt;D95),0,E95*IF(G95=0,H95,MIN(H95,H95*(L$3-D95+1)/MAX(1,G95)))*(1+F95)^(L$3-D95)*$E93)</f>
        <v>10582765.8129517</v>
      </c>
      <c r="M4" s="44" t="n">
        <f aca="false">IF(OR(E95=0,M$3&lt;D95),0,E95*IF(G95=0,H95,MIN(H95,H95*(M$3-D95+1)/MAX(1,G95)))*(1+F95)^(M$3-D95)*$E93)</f>
        <v>14216182.0753985</v>
      </c>
      <c r="N4" s="44" t="n">
        <f aca="false">IF(OR(E95=0,N$3&lt;D95),0,E95*IF(G95=0,H95,MIN(H95,H95*(N$3-D95+1)/MAX(1,G95)))*(1+F95)^(N$3-D95)*$E93)</f>
        <v>14322803.440964</v>
      </c>
      <c r="O4" s="44" t="n">
        <f aca="false">IF(OR(E95=0,O$3&lt;D95),0,E95*IF(G95=0,H95,MIN(H95,H95*(O$3-D95+1)/MAX(1,G95)))*(1+F95)^(O$3-D95)*$E93)</f>
        <v>14430224.4667712</v>
      </c>
      <c r="P4" s="44" t="n">
        <f aca="false">IF(OR(E95=0,P$3&lt;D95),0,E95*IF(G95=0,H95,MIN(H95,H95*(P$3-D95+1)/MAX(1,G95)))*(1+F95)^(P$3-D95)*$E93)</f>
        <v>14538451.150272</v>
      </c>
      <c r="Q4" s="44" t="n">
        <f aca="false">IF(OR(E95=0,Q$3&lt;D95),0,E95*IF(G95=0,H95,MIN(H95,H95*(Q$3-D95+1)/MAX(1,G95)))*(1+F95)^(Q$3-D95)*$E93)</f>
        <v>14647489.533899</v>
      </c>
      <c r="R4" s="44" t="n">
        <f aca="false">IF(OR(E95=0,R$3&lt;D95),0,E95*IF(G95=0,H95,MIN(H95,H95*(R$3-D95+1)/MAX(1,G95)))*(1+F95)^(R$3-D95)*$E93)</f>
        <v>14757345.7054033</v>
      </c>
      <c r="S4" s="44" t="n">
        <f aca="false">IF(OR(E95=0,S$3&lt;D95),0,E95*IF(G95=0,H95,MIN(H95,H95*(S$3-D95+1)/MAX(1,G95)))*(1+F95)^(S$3-D95)*$E93)</f>
        <v>14868025.7981938</v>
      </c>
      <c r="T4" s="44" t="n">
        <f aca="false">IF(OR(E95=0,T$3&lt;D95),0,E95*IF(G95=0,H95,MIN(H95,H95*(T$3-D95+1)/MAX(1,G95)))*(1+F95)^(T$3-D95)*$E93)</f>
        <v>14979535.9916802</v>
      </c>
      <c r="U4" s="44" t="n">
        <f aca="false">IF(OR(E95=0,U$3&lt;D95),0,E95*IF(G95=0,H95,MIN(H95,H95*(U$3-D95+1)/MAX(1,G95)))*(1+F95)^(U$3-D95)*$E93)</f>
        <v>15091882.5116178</v>
      </c>
      <c r="V4" s="44" t="n">
        <f aca="false">IF(OR(E95=0,V$3&lt;D95),0,E95*IF(G95=0,H95,MIN(H95,H95*(V$3-D95+1)/MAX(1,G95)))*(1+F95)^(V$3-D95)*$E93)</f>
        <v>15205071.630455</v>
      </c>
      <c r="W4" s="44" t="n">
        <f aca="false">IF(OR(E95=0,W$3&lt;D95),0,E95*IF(G95=0,H95,MIN(H95,H95*(W$3-D95+1)/MAX(1,G95)))*(1+F95)^(W$3-D95)*$E93)</f>
        <v>15319109.6676834</v>
      </c>
      <c r="X4" s="44" t="n">
        <f aca="false">IF(OR(E95=0,X$3&lt;D95),0,E95*IF(G95=0,H95,MIN(H95,H95*(X$3-D95+1)/MAX(1,G95)))*(1+F95)^(X$3-D95)*$E93)</f>
        <v>15434002.990191</v>
      </c>
      <c r="Y4" s="44" t="n">
        <f aca="false">IF(OR(E95=0,Y$3&lt;D95),0,E95*IF(G95=0,H95,MIN(H95,H95*(Y$3-D95+1)/MAX(1,G95)))*(1+F95)^(Y$3-D95)*$E93)</f>
        <v>15549758.0126175</v>
      </c>
      <c r="Z4" s="44" t="n">
        <f aca="false">IF(OR(E95=0,Z$3&lt;D95),0,E95*IF(G95=0,H95,MIN(H95,H95*(Z$3-D95+1)/MAX(1,G95)))*(1+F95)^(Z$3-D95)*$E93)</f>
        <v>15666381.1977121</v>
      </c>
      <c r="AA4" s="44" t="n">
        <f aca="false">IF(OR(E95=0,AA$3&lt;D95),0,E95*IF(G95=0,H95,MIN(H95,H95*(AA$3-D95+1)/MAX(1,G95)))*(1+F95)^(AA$3-D95)*$E93)</f>
        <v>15783879.0566949</v>
      </c>
      <c r="AB4" s="44" t="n">
        <f aca="false">IF(OR(E95=0,AB$3&lt;D95),0,E95*IF(G95=0,H95,MIN(H95,H95*(AB$3-D95+1)/MAX(1,G95)))*(1+F95)^(AB$3-D95)*$E93)</f>
        <v>15902258.1496201</v>
      </c>
      <c r="AC4" s="44" t="n">
        <f aca="false">IF(OR(E95=0,AC$3&lt;D95),0,E95*IF(G95=0,H95,MIN(H95,H95*(AC$3-D95+1)/MAX(1,G95)))*(1+F95)^(AC$3-D95)*$E93)</f>
        <v>16021525.0857423</v>
      </c>
      <c r="AD4" s="44" t="n">
        <f aca="false">IF(OR(E95=0,AD$3&lt;D95),0,E95*IF(G95=0,H95,MIN(H95,H95*(AD$3-D95+1)/MAX(1,G95)))*(1+F95)^(AD$3-D95)*$E93)</f>
        <v>16141686.5238854</v>
      </c>
      <c r="AE4" s="44" t="n">
        <f aca="false">IF(OR(E95=0,AE$3&lt;D95),0,E95*IF(G95=0,H95,MIN(H95,H95*(AE$3-D95+1)/MAX(1,G95)))*(1+F95)^(AE$3-D95)*$E93)</f>
        <v>16262749.1728145</v>
      </c>
      <c r="AF4" s="44" t="n">
        <f aca="false">IF(OR(E95=0,AF$3&lt;D95),0,E95*IF(G95=0,H95,MIN(H95,H95*(AF$3-D95+1)/MAX(1,G95)))*(1+F95)^(AF$3-D95)*$E93)</f>
        <v>16384719.7916106</v>
      </c>
      <c r="AG4" s="44" t="n">
        <f aca="false">IF(OR(E95=0,AG$3&lt;D95),0,E95*IF(G95=0,H95,MIN(H95,H95*(AG$3-D95+1)/MAX(1,G95)))*(1+F95)^(AG$3-D95)*$E93)</f>
        <v>16507605.1900477</v>
      </c>
      <c r="AH4" s="44" t="n">
        <f aca="false">IF(OR(E95=0,AH$3&lt;D95),0,E95*IF(G95=0,H95,MIN(H95,H95*(AH$3-D95+1)/MAX(1,G95)))*(1+F95)^(AH$3-D95)*$E93)</f>
        <v>16631412.2289731</v>
      </c>
      <c r="AI4" s="44" t="n">
        <f aca="false">IF(OR(E95=0,AI$3&lt;D95),0,E95*IF(G95=0,H95,MIN(H95,H95*(AI$3-D95+1)/MAX(1,G95)))*(1+F95)^(AI$3-D95)*$E93)</f>
        <v>16756147.8206904</v>
      </c>
      <c r="AJ4" s="44" t="n">
        <f aca="false">IF(OR(E95=0,AJ$3&lt;D95),0,E95*IF(G95=0,H95,MIN(H95,H95*(AJ$3-D95+1)/MAX(1,G95)))*(1+F95)^(AJ$3-D95)*$E93)</f>
        <v>16881818.9293455</v>
      </c>
      <c r="AK4" s="44" t="n">
        <f aca="false">IF(OR(E95=0,AK$3&lt;D95),0,E95*IF(G95=0,H95,MIN(H95,H95*(AK$3-D95+1)/MAX(1,G95)))*(1+F95)^(AK$3-D95)*$E93)</f>
        <v>17008432.5713156</v>
      </c>
      <c r="AL4" s="44" t="n">
        <f aca="false">IF(OR(E95=0,AL$3&lt;D95),0,E95*IF(G95=0,H95,MIN(H95,H95*(AL$3-D95+1)/MAX(1,G95)))*(1+F95)^(AL$3-D95)*$E93)</f>
        <v>17135995.8156005</v>
      </c>
      <c r="AM4" s="44" t="n">
        <f aca="false">IF(OR(E95=0,AM$3&lt;D95),0,E95*IF(G95=0,H95,MIN(H95,H95*(AM$3-D95+1)/MAX(1,G95)))*(1+F95)^(AM$3-D95)*$E93)</f>
        <v>17264515.7842175</v>
      </c>
      <c r="AN4" s="44" t="n">
        <f aca="false">IF(OR(E95=0,AN$3&lt;D95),0,E95*IF(G95=0,H95,MIN(H95,H95*(AN$3-D95+1)/MAX(1,G95)))*(1+F95)^(AN$3-D95)*$E93)</f>
        <v>17393999.6525991</v>
      </c>
      <c r="AO4" s="44" t="n">
        <f aca="false">IF(OR(E95=0,AO$3&lt;D95),0,E95*IF(G95=0,H95,MIN(H95,H95*(AO$3-D95+1)/MAX(1,G95)))*(1+F95)^(AO$3-D95)*$E93)</f>
        <v>17524454.6499936</v>
      </c>
      <c r="AP4" s="44" t="n">
        <f aca="false">IF(OR(E95=0,AP$3&lt;D95),0,E95*IF(G95=0,H95,MIN(H95,H95*(AP$3-D95+1)/MAX(1,G95)))*(1+F95)^(AP$3-D95)*$E93)</f>
        <v>17655888.0598686</v>
      </c>
      <c r="AQ4" s="44" t="n">
        <f aca="false">IF(OR(E95=0,AQ$3&lt;D95),0,E95*IF(G95=0,H95,MIN(H95,H95*(AQ$3-D95+1)/MAX(1,G95)))*(1+F95)^(AQ$3-D95)*$E93)</f>
        <v>17788307.2203176</v>
      </c>
      <c r="AR4" s="44" t="n">
        <f aca="false">IF(OR(E95=0,AR$3&lt;D95),0,E95*IF(G95=0,H95,MIN(H95,H95*(AR$3-D95+1)/MAX(1,G95)))*(1+F95)^(AR$3-D95)*$E93)</f>
        <v>17921719.52447</v>
      </c>
      <c r="AS4" s="44" t="n">
        <f aca="false">IF(OR(E95=0,AS$3&lt;D95),0,E95*IF(G95=0,H95,MIN(H95,H95*(AS$3-D95+1)/MAX(1,G95)))*(1+F95)^(AS$3-D95)*$E93)</f>
        <v>18056132.4209035</v>
      </c>
      <c r="AT4" s="44" t="n">
        <f aca="false">IF(OR(E95=0,AT$3&lt;D95),0,E95*IF(G95=0,H95,MIN(H95,H95*(AT$3-D95+1)/MAX(1,G95)))*(1+F95)^(AT$3-D95)*$E93)</f>
        <v>18191553.4140603</v>
      </c>
      <c r="AU4" s="44" t="n">
        <f aca="false">IF(OR(E95=0,AU$3&lt;D95),0,E95*IF(G95=0,H95,MIN(H95,H95*(AU$3-D95+1)/MAX(1,G95)))*(1+F95)^(AU$3-D95)*$E93)</f>
        <v>18327990.0646657</v>
      </c>
      <c r="AV4" s="44" t="n">
        <f aca="false">IF(OR(E95=0,AV$3&lt;D95),0,E95*IF(G95=0,H95,MIN(H95,H95*(AV$3-D95+1)/MAX(1,G95)))*(1+F95)^(AV$3-D95)*$E93)</f>
        <v>18465449.9901507</v>
      </c>
      <c r="AW4" s="44" t="n">
        <f aca="false">IF(OR(E95=0,AW$3&lt;D95),0,E95*IF(G95=0,H95,MIN(H95,H95*(AW$3-D95+1)/MAX(1,G95)))*(1+F95)^(AW$3-D95)*$E93)</f>
        <v>18603940.8650769</v>
      </c>
      <c r="AX4" s="44" t="n">
        <f aca="false">IF(OR(E95=0,AX$3&lt;D95),0,E95*IF(G95=0,H95,MIN(H95,H95*(AX$3-D95+1)/MAX(1,G95)))*(1+F95)^(AX$3-D95)*$E93)</f>
        <v>18743470.4215649</v>
      </c>
      <c r="AY4" s="44" t="n">
        <f aca="false">IF(OR(E95=0,AY$3&lt;D95),0,E95*IF(G95=0,H95,MIN(H95,H95*(AY$3-D95+1)/MAX(1,G95)))*(1+F95)^(AY$3-D95)*$E93)</f>
        <v>18884046.4497267</v>
      </c>
      <c r="AZ4" s="44" t="n">
        <f aca="false">IF(OR(E95=0,AZ$3&lt;D95),0,E95*IF(G95=0,H95,MIN(H95,H95*(AZ$3-D95+1)/MAX(1,G95)))*(1+F95)^(AZ$3-D95)*$E93)</f>
        <v>19025676.7980996</v>
      </c>
      <c r="BA4" s="44" t="n">
        <f aca="false">IF(OR(E95=0,BA$3&lt;D95),0,E95*IF(G95=0,H95,MIN(H95,H95*(BA$3-D95+1)/MAX(1,G95)))*(1+F95)^(BA$3-D95)*$E93)</f>
        <v>19168369.3740854</v>
      </c>
      <c r="BB4" s="44" t="n">
        <f aca="false">IF(OR(E95=0,BB$3&lt;D95),0,E95*IF(G95=0,H95,MIN(H95,H95*(BB$3-D95+1)/MAX(1,G95)))*(1+F95)^(BB$3-D95)*$E93)</f>
        <v>19312132.144391</v>
      </c>
    </row>
    <row r="5" customFormat="false" ht="15" hidden="false" customHeight="true" outlineLevel="0" collapsed="false">
      <c r="A5" s="44" t="n">
        <f aca="false">A96</f>
        <v>2</v>
      </c>
      <c r="B5" s="44" t="str">
        <f aca="false">B96</f>
        <v>Retail - Sport Complex</v>
      </c>
      <c r="C5" s="44" t="str">
        <f aca="false">C96</f>
        <v>ZAN 1</v>
      </c>
      <c r="D5" s="44" t="n">
        <f aca="false">SUM(E5:BB5)</f>
        <v>51472048.4380202</v>
      </c>
      <c r="E5" s="44" t="n">
        <f aca="false">IF(OR(E96=0,E$3&lt;D96),0,E96*IF(G96=0,H96,MIN(H96,H96*(E$3-D96+1)/MAX(1,G96)))*(1+F96)^(E$3-D96)*$E93)</f>
        <v>0</v>
      </c>
      <c r="F5" s="44" t="n">
        <f aca="false">IF(OR(E96=0,F$3&lt;D96),0,E96*IF(G96=0,H96,MIN(H96,H96*(F$3-D96+1)/MAX(1,G96)))*(1+F96)^(F$3-D96)*$E93)</f>
        <v>0</v>
      </c>
      <c r="G5" s="44" t="n">
        <f aca="false">IF(OR(E96=0,G$3&lt;D96),0,E96*IF(G96=0,H96,MIN(H96,H96*(G$3-D96+1)/MAX(1,G96)))*(1+F96)^(G$3-D96)*$E93)</f>
        <v>0</v>
      </c>
      <c r="H5" s="44" t="n">
        <f aca="false">IF(OR(E96=0,H$3&lt;D96),0,E96*IF(G96=0,H96,MIN(H96,H96*(H$3-D96+1)/MAX(1,G96)))*(1+F96)^(H$3-D96)*$E93)</f>
        <v>311400</v>
      </c>
      <c r="I5" s="44" t="n">
        <f aca="false">IF(OR(E96=0,I$3&lt;D96),0,E96*IF(G96=0,H96,MIN(H96,H96*(I$3-D96+1)/MAX(1,G96)))*(1+F96)^(I$3-D96)*$E93)</f>
        <v>627471</v>
      </c>
      <c r="J5" s="44" t="n">
        <f aca="false">IF(OR(E96=0,J$3&lt;D96),0,E96*IF(G96=0,H96,MIN(H96,H96*(J$3-D96+1)/MAX(1,G96)))*(1+F96)^(J$3-D96)*$E93)</f>
        <v>948265.54875</v>
      </c>
      <c r="K5" s="44" t="n">
        <f aca="false">IF(OR(E96=0,K$3&lt;D96),0,E96*IF(G96=0,H96,MIN(H96,H96*(K$3-D96+1)/MAX(1,G96)))*(1+F96)^(K$3-D96)*$E93)</f>
        <v>955377.540365625</v>
      </c>
      <c r="L5" s="44" t="n">
        <f aca="false">IF(OR(E96=0,L$3&lt;D96),0,E96*IF(G96=0,H96,MIN(H96,H96*(L$3-D96+1)/MAX(1,G96)))*(1+F96)^(L$3-D96)*$E93)</f>
        <v>962542.871918367</v>
      </c>
      <c r="M5" s="44" t="n">
        <f aca="false">IF(OR(E96=0,M$3&lt;D96),0,E96*IF(G96=0,H96,MIN(H96,H96*(M$3-D96+1)/MAX(1,G96)))*(1+F96)^(M$3-D96)*$E93)</f>
        <v>969761.943457755</v>
      </c>
      <c r="N5" s="44" t="n">
        <f aca="false">IF(OR(E96=0,N$3&lt;D96),0,E96*IF(G96=0,H96,MIN(H96,H96*(N$3-D96+1)/MAX(1,G96)))*(1+F96)^(N$3-D96)*$E93)</f>
        <v>977035.158033688</v>
      </c>
      <c r="O5" s="44" t="n">
        <f aca="false">IF(OR(E96=0,O$3&lt;D96),0,E96*IF(G96=0,H96,MIN(H96,H96*(O$3-D96+1)/MAX(1,G96)))*(1+F96)^(O$3-D96)*$E93)</f>
        <v>984362.921718941</v>
      </c>
      <c r="P5" s="44" t="n">
        <f aca="false">IF(OR(E96=0,P$3&lt;D96),0,E96*IF(G96=0,H96,MIN(H96,H96*(P$3-D96+1)/MAX(1,G96)))*(1+F96)^(P$3-D96)*$E93)</f>
        <v>991745.643631833</v>
      </c>
      <c r="Q5" s="44" t="n">
        <f aca="false">IF(OR(E96=0,Q$3&lt;D96),0,E96*IF(G96=0,H96,MIN(H96,H96*(Q$3-D96+1)/MAX(1,G96)))*(1+F96)^(Q$3-D96)*$E93)</f>
        <v>999183.735959072</v>
      </c>
      <c r="R5" s="44" t="n">
        <f aca="false">IF(OR(E96=0,R$3&lt;D96),0,E96*IF(G96=0,H96,MIN(H96,H96*(R$3-D96+1)/MAX(1,G96)))*(1+F96)^(R$3-D96)*$E93)</f>
        <v>1006677.61397877</v>
      </c>
      <c r="S5" s="44" t="n">
        <f aca="false">IF(OR(E96=0,S$3&lt;D96),0,E96*IF(G96=0,H96,MIN(H96,H96*(S$3-D96+1)/MAX(1,G96)))*(1+F96)^(S$3-D96)*$E93)</f>
        <v>1014227.69608361</v>
      </c>
      <c r="T5" s="44" t="n">
        <f aca="false">IF(OR(E96=0,T$3&lt;D96),0,E96*IF(G96=0,H96,MIN(H96,H96*(T$3-D96+1)/MAX(1,G96)))*(1+F96)^(T$3-D96)*$E93)</f>
        <v>1021834.40380423</v>
      </c>
      <c r="U5" s="44" t="n">
        <f aca="false">IF(OR(E96=0,U$3&lt;D96),0,E96*IF(G96=0,H96,MIN(H96,H96*(U$3-D96+1)/MAX(1,G96)))*(1+F96)^(U$3-D96)*$E93)</f>
        <v>1029498.16183277</v>
      </c>
      <c r="V5" s="44" t="n">
        <f aca="false">IF(OR(E96=0,V$3&lt;D96),0,E96*IF(G96=0,H96,MIN(H96,H96*(V$3-D96+1)/MAX(1,G96)))*(1+F96)^(V$3-D96)*$E93)</f>
        <v>1037219.39804651</v>
      </c>
      <c r="W5" s="44" t="n">
        <f aca="false">IF(OR(E96=0,W$3&lt;D96),0,E96*IF(G96=0,H96,MIN(H96,H96*(W$3-D96+1)/MAX(1,G96)))*(1+F96)^(W$3-D96)*$E93)</f>
        <v>1044998.54353186</v>
      </c>
      <c r="X5" s="44" t="n">
        <f aca="false">IF(OR(E96=0,X$3&lt;D96),0,E96*IF(G96=0,H96,MIN(H96,H96*(X$3-D96+1)/MAX(1,G96)))*(1+F96)^(X$3-D96)*$E93)</f>
        <v>1052836.03260835</v>
      </c>
      <c r="Y5" s="44" t="n">
        <f aca="false">IF(OR(E96=0,Y$3&lt;D96),0,E96*IF(G96=0,H96,MIN(H96,H96*(Y$3-D96+1)/MAX(1,G96)))*(1+F96)^(Y$3-D96)*$E93)</f>
        <v>1060732.30285291</v>
      </c>
      <c r="Z5" s="44" t="n">
        <f aca="false">IF(OR(E96=0,Z$3&lt;D96),0,E96*IF(G96=0,H96,MIN(H96,H96*(Z$3-D96+1)/MAX(1,G96)))*(1+F96)^(Z$3-D96)*$E93)</f>
        <v>1068687.79512431</v>
      </c>
      <c r="AA5" s="44" t="n">
        <f aca="false">IF(OR(E96=0,AA$3&lt;D96),0,E96*IF(G96=0,H96,MIN(H96,H96*(AA$3-D96+1)/MAX(1,G96)))*(1+F96)^(AA$3-D96)*$E93)</f>
        <v>1076702.95358774</v>
      </c>
      <c r="AB5" s="44" t="n">
        <f aca="false">IF(OR(E96=0,AB$3&lt;D96),0,E96*IF(G96=0,H96,MIN(H96,H96*(AB$3-D96+1)/MAX(1,G96)))*(1+F96)^(AB$3-D96)*$E93)</f>
        <v>1084778.22573965</v>
      </c>
      <c r="AC5" s="44" t="n">
        <f aca="false">IF(OR(E96=0,AC$3&lt;D96),0,E96*IF(G96=0,H96,MIN(H96,H96*(AC$3-D96+1)/MAX(1,G96)))*(1+F96)^(AC$3-D96)*$E93)</f>
        <v>1092914.0624327</v>
      </c>
      <c r="AD5" s="44" t="n">
        <f aca="false">IF(OR(E96=0,AD$3&lt;D96),0,E96*IF(G96=0,H96,MIN(H96,H96*(AD$3-D96+1)/MAX(1,G96)))*(1+F96)^(AD$3-D96)*$E93)</f>
        <v>1101110.91790094</v>
      </c>
      <c r="AE5" s="44" t="n">
        <f aca="false">IF(OR(E96=0,AE$3&lt;D96),0,E96*IF(G96=0,H96,MIN(H96,H96*(AE$3-D96+1)/MAX(1,G96)))*(1+F96)^(AE$3-D96)*$E93)</f>
        <v>1109369.2497852</v>
      </c>
      <c r="AF5" s="44" t="n">
        <f aca="false">IF(OR(E96=0,AF$3&lt;D96),0,E96*IF(G96=0,H96,MIN(H96,H96*(AF$3-D96+1)/MAX(1,G96)))*(1+F96)^(AF$3-D96)*$E93)</f>
        <v>1117689.51915859</v>
      </c>
      <c r="AG5" s="44" t="n">
        <f aca="false">IF(OR(E96=0,AG$3&lt;D96),0,E96*IF(G96=0,H96,MIN(H96,H96*(AG$3-D96+1)/MAX(1,G96)))*(1+F96)^(AG$3-D96)*$E93)</f>
        <v>1126072.19055228</v>
      </c>
      <c r="AH5" s="44" t="n">
        <f aca="false">IF(OR(E96=0,AH$3&lt;D96),0,E96*IF(G96=0,H96,MIN(H96,H96*(AH$3-D96+1)/MAX(1,G96)))*(1+F96)^(AH$3-D96)*$E93)</f>
        <v>1134517.73198142</v>
      </c>
      <c r="AI5" s="44" t="n">
        <f aca="false">IF(OR(E96=0,AI$3&lt;D96),0,E96*IF(G96=0,H96,MIN(H96,H96*(AI$3-D96+1)/MAX(1,G96)))*(1+F96)^(AI$3-D96)*$E93)</f>
        <v>1143026.61497128</v>
      </c>
      <c r="AJ5" s="44" t="n">
        <f aca="false">IF(OR(E96=0,AJ$3&lt;D96),0,E96*IF(G96=0,H96,MIN(H96,H96*(AJ$3-D96+1)/MAX(1,G96)))*(1+F96)^(AJ$3-D96)*$E93)</f>
        <v>1151599.31458356</v>
      </c>
      <c r="AK5" s="44" t="n">
        <f aca="false">IF(OR(E96=0,AK$3&lt;D96),0,E96*IF(G96=0,H96,MIN(H96,H96*(AK$3-D96+1)/MAX(1,G96)))*(1+F96)^(AK$3-D96)*$E93)</f>
        <v>1160236.30944294</v>
      </c>
      <c r="AL5" s="44" t="n">
        <f aca="false">IF(OR(E96=0,AL$3&lt;D96),0,E96*IF(G96=0,H96,MIN(H96,H96*(AL$3-D96+1)/MAX(1,G96)))*(1+F96)^(AL$3-D96)*$E93)</f>
        <v>1168938.08176376</v>
      </c>
      <c r="AM5" s="44" t="n">
        <f aca="false">IF(OR(E96=0,AM$3&lt;D96),0,E96*IF(G96=0,H96,MIN(H96,H96*(AM$3-D96+1)/MAX(1,G96)))*(1+F96)^(AM$3-D96)*$E93)</f>
        <v>1177705.11737699</v>
      </c>
      <c r="AN5" s="44" t="n">
        <f aca="false">IF(OR(E96=0,AN$3&lt;D96),0,E96*IF(G96=0,H96,MIN(H96,H96*(AN$3-D96+1)/MAX(1,G96)))*(1+F96)^(AN$3-D96)*$E93)</f>
        <v>1186537.90575732</v>
      </c>
      <c r="AO5" s="44" t="n">
        <f aca="false">IF(OR(E96=0,AO$3&lt;D96),0,E96*IF(G96=0,H96,MIN(H96,H96*(AO$3-D96+1)/MAX(1,G96)))*(1+F96)^(AO$3-D96)*$E93)</f>
        <v>1195436.9400505</v>
      </c>
      <c r="AP5" s="44" t="n">
        <f aca="false">IF(OR(E96=0,AP$3&lt;D96),0,E96*IF(G96=0,H96,MIN(H96,H96*(AP$3-D96+1)/MAX(1,G96)))*(1+F96)^(AP$3-D96)*$E93)</f>
        <v>1204402.71710088</v>
      </c>
      <c r="AQ5" s="44" t="n">
        <f aca="false">IF(OR(E96=0,AQ$3&lt;D96),0,E96*IF(G96=0,H96,MIN(H96,H96*(AQ$3-D96+1)/MAX(1,G96)))*(1+F96)^(AQ$3-D96)*$E93)</f>
        <v>1213435.73747914</v>
      </c>
      <c r="AR5" s="44" t="n">
        <f aca="false">IF(OR(E96=0,AR$3&lt;D96),0,E96*IF(G96=0,H96,MIN(H96,H96*(AR$3-D96+1)/MAX(1,G96)))*(1+F96)^(AR$3-D96)*$E93)</f>
        <v>1222536.50551023</v>
      </c>
      <c r="AS5" s="44" t="n">
        <f aca="false">IF(OR(E96=0,AS$3&lt;D96),0,E96*IF(G96=0,H96,MIN(H96,H96*(AS$3-D96+1)/MAX(1,G96)))*(1+F96)^(AS$3-D96)*$E93)</f>
        <v>1231705.52930156</v>
      </c>
      <c r="AT5" s="44" t="n">
        <f aca="false">IF(OR(E96=0,AT$3&lt;D96),0,E96*IF(G96=0,H96,MIN(H96,H96*(AT$3-D96+1)/MAX(1,G96)))*(1+F96)^(AT$3-D96)*$E93)</f>
        <v>1240943.32077132</v>
      </c>
      <c r="AU5" s="44" t="n">
        <f aca="false">IF(OR(E96=0,AU$3&lt;D96),0,E96*IF(G96=0,H96,MIN(H96,H96*(AU$3-D96+1)/MAX(1,G96)))*(1+F96)^(AU$3-D96)*$E93)</f>
        <v>1250250.3956771</v>
      </c>
      <c r="AV5" s="44" t="n">
        <f aca="false">IF(OR(E96=0,AV$3&lt;D96),0,E96*IF(G96=0,H96,MIN(H96,H96*(AV$3-D96+1)/MAX(1,G96)))*(1+F96)^(AV$3-D96)*$E93)</f>
        <v>1259627.27364468</v>
      </c>
      <c r="AW5" s="44" t="n">
        <f aca="false">IF(OR(E96=0,AW$3&lt;D96),0,E96*IF(G96=0,H96,MIN(H96,H96*(AW$3-D96+1)/MAX(1,G96)))*(1+F96)^(AW$3-D96)*$E93)</f>
        <v>1269074.47819702</v>
      </c>
      <c r="AX5" s="44" t="n">
        <f aca="false">IF(OR(E96=0,AX$3&lt;D96),0,E96*IF(G96=0,H96,MIN(H96,H96*(AX$3-D96+1)/MAX(1,G96)))*(1+F96)^(AX$3-D96)*$E93)</f>
        <v>1278592.53678349</v>
      </c>
      <c r="AY5" s="44" t="n">
        <f aca="false">IF(OR(E96=0,AY$3&lt;D96),0,E96*IF(G96=0,H96,MIN(H96,H96*(AY$3-D96+1)/MAX(1,G96)))*(1+F96)^(AY$3-D96)*$E93)</f>
        <v>1288181.98080937</v>
      </c>
      <c r="AZ5" s="44" t="n">
        <f aca="false">IF(OR(E96=0,AZ$3&lt;D96),0,E96*IF(G96=0,H96,MIN(H96,H96*(AZ$3-D96+1)/MAX(1,G96)))*(1+F96)^(AZ$3-D96)*$E93)</f>
        <v>1297843.34566544</v>
      </c>
      <c r="BA5" s="44" t="n">
        <f aca="false">IF(OR(E96=0,BA$3&lt;D96),0,E96*IF(G96=0,H96,MIN(H96,H96*(BA$3-D96+1)/MAX(1,G96)))*(1+F96)^(BA$3-D96)*$E93)</f>
        <v>1307577.17075793</v>
      </c>
      <c r="BB5" s="44" t="n">
        <f aca="false">IF(OR(E96=0,BB$3&lt;D96),0,E96*IF(G96=0,H96,MIN(H96,H96*(BB$3-D96+1)/MAX(1,G96)))*(1+F96)^(BB$3-D96)*$E93)</f>
        <v>1317383.99953862</v>
      </c>
    </row>
    <row r="6" customFormat="false" ht="15" hidden="false" customHeight="true" outlineLevel="0" collapsed="false">
      <c r="A6" s="44" t="n">
        <f aca="false">A97</f>
        <v>3</v>
      </c>
      <c r="B6" s="44" t="str">
        <f aca="false">B97</f>
        <v>Parking &amp; Landscaping ZAN1</v>
      </c>
      <c r="C6" s="44" t="str">
        <f aca="false">C97</f>
        <v>ZAN 1</v>
      </c>
      <c r="D6" s="44" t="n">
        <f aca="false">SUM(E6:BB6)</f>
        <v>0</v>
      </c>
      <c r="E6" s="44" t="n">
        <f aca="false">IF(OR(E97=0,E$3&lt;D97),0,E97*IF(G97=0,H97,MIN(H97,H97*(E$3-D97+1)/MAX(1,G97)))*(1+F97)^(E$3-D97)*$E93)</f>
        <v>0</v>
      </c>
      <c r="F6" s="44" t="n">
        <f aca="false">IF(OR(E97=0,F$3&lt;D97),0,E97*IF(G97=0,H97,MIN(H97,H97*(F$3-D97+1)/MAX(1,G97)))*(1+F97)^(F$3-D97)*$E93)</f>
        <v>0</v>
      </c>
      <c r="G6" s="44" t="n">
        <f aca="false">IF(OR(E97=0,G$3&lt;D97),0,E97*IF(G97=0,H97,MIN(H97,H97*(G$3-D97+1)/MAX(1,G97)))*(1+F97)^(G$3-D97)*$E93)</f>
        <v>0</v>
      </c>
      <c r="H6" s="44" t="n">
        <f aca="false">IF(OR(E97=0,H$3&lt;D97),0,E97*IF(G97=0,H97,MIN(H97,H97*(H$3-D97+1)/MAX(1,G97)))*(1+F97)^(H$3-D97)*$E93)</f>
        <v>0</v>
      </c>
      <c r="I6" s="44" t="n">
        <f aca="false">IF(OR(E97=0,I$3&lt;D97),0,E97*IF(G97=0,H97,MIN(H97,H97*(I$3-D97+1)/MAX(1,G97)))*(1+F97)^(I$3-D97)*$E93)</f>
        <v>0</v>
      </c>
      <c r="J6" s="44" t="n">
        <f aca="false">IF(OR(E97=0,J$3&lt;D97),0,E97*IF(G97=0,H97,MIN(H97,H97*(J$3-D97+1)/MAX(1,G97)))*(1+F97)^(J$3-D97)*$E93)</f>
        <v>0</v>
      </c>
      <c r="K6" s="44" t="n">
        <f aca="false">IF(OR(E97=0,K$3&lt;D97),0,E97*IF(G97=0,H97,MIN(H97,H97*(K$3-D97+1)/MAX(1,G97)))*(1+F97)^(K$3-D97)*$E93)</f>
        <v>0</v>
      </c>
      <c r="L6" s="44" t="n">
        <f aca="false">IF(OR(E97=0,L$3&lt;D97),0,E97*IF(G97=0,H97,MIN(H97,H97*(L$3-D97+1)/MAX(1,G97)))*(1+F97)^(L$3-D97)*$E93)</f>
        <v>0</v>
      </c>
      <c r="M6" s="44" t="n">
        <f aca="false">IF(OR(E97=0,M$3&lt;D97),0,E97*IF(G97=0,H97,MIN(H97,H97*(M$3-D97+1)/MAX(1,G97)))*(1+F97)^(M$3-D97)*$E93)</f>
        <v>0</v>
      </c>
      <c r="N6" s="44" t="n">
        <f aca="false">IF(OR(E97=0,N$3&lt;D97),0,E97*IF(G97=0,H97,MIN(H97,H97*(N$3-D97+1)/MAX(1,G97)))*(1+F97)^(N$3-D97)*$E93)</f>
        <v>0</v>
      </c>
      <c r="O6" s="44" t="n">
        <f aca="false">IF(OR(E97=0,O$3&lt;D97),0,E97*IF(G97=0,H97,MIN(H97,H97*(O$3-D97+1)/MAX(1,G97)))*(1+F97)^(O$3-D97)*$E93)</f>
        <v>0</v>
      </c>
      <c r="P6" s="44" t="n">
        <f aca="false">IF(OR(E97=0,P$3&lt;D97),0,E97*IF(G97=0,H97,MIN(H97,H97*(P$3-D97+1)/MAX(1,G97)))*(1+F97)^(P$3-D97)*$E93)</f>
        <v>0</v>
      </c>
      <c r="Q6" s="44" t="n">
        <f aca="false">IF(OR(E97=0,Q$3&lt;D97),0,E97*IF(G97=0,H97,MIN(H97,H97*(Q$3-D97+1)/MAX(1,G97)))*(1+F97)^(Q$3-D97)*$E93)</f>
        <v>0</v>
      </c>
      <c r="R6" s="44" t="n">
        <f aca="false">IF(OR(E97=0,R$3&lt;D97),0,E97*IF(G97=0,H97,MIN(H97,H97*(R$3-D97+1)/MAX(1,G97)))*(1+F97)^(R$3-D97)*$E93)</f>
        <v>0</v>
      </c>
      <c r="S6" s="44" t="n">
        <f aca="false">IF(OR(E97=0,S$3&lt;D97),0,E97*IF(G97=0,H97,MIN(H97,H97*(S$3-D97+1)/MAX(1,G97)))*(1+F97)^(S$3-D97)*$E93)</f>
        <v>0</v>
      </c>
      <c r="T6" s="44" t="n">
        <f aca="false">IF(OR(E97=0,T$3&lt;D97),0,E97*IF(G97=0,H97,MIN(H97,H97*(T$3-D97+1)/MAX(1,G97)))*(1+F97)^(T$3-D97)*$E93)</f>
        <v>0</v>
      </c>
      <c r="U6" s="44" t="n">
        <f aca="false">IF(OR(E97=0,U$3&lt;D97),0,E97*IF(G97=0,H97,MIN(H97,H97*(U$3-D97+1)/MAX(1,G97)))*(1+F97)^(U$3-D97)*$E93)</f>
        <v>0</v>
      </c>
      <c r="V6" s="44" t="n">
        <f aca="false">IF(OR(E97=0,V$3&lt;D97),0,E97*IF(G97=0,H97,MIN(H97,H97*(V$3-D97+1)/MAX(1,G97)))*(1+F97)^(V$3-D97)*$E93)</f>
        <v>0</v>
      </c>
      <c r="W6" s="44" t="n">
        <f aca="false">IF(OR(E97=0,W$3&lt;D97),0,E97*IF(G97=0,H97,MIN(H97,H97*(W$3-D97+1)/MAX(1,G97)))*(1+F97)^(W$3-D97)*$E93)</f>
        <v>0</v>
      </c>
      <c r="X6" s="44" t="n">
        <f aca="false">IF(OR(E97=0,X$3&lt;D97),0,E97*IF(G97=0,H97,MIN(H97,H97*(X$3-D97+1)/MAX(1,G97)))*(1+F97)^(X$3-D97)*$E93)</f>
        <v>0</v>
      </c>
      <c r="Y6" s="44" t="n">
        <f aca="false">IF(OR(E97=0,Y$3&lt;D97),0,E97*IF(G97=0,H97,MIN(H97,H97*(Y$3-D97+1)/MAX(1,G97)))*(1+F97)^(Y$3-D97)*$E93)</f>
        <v>0</v>
      </c>
      <c r="Z6" s="44" t="n">
        <f aca="false">IF(OR(E97=0,Z$3&lt;D97),0,E97*IF(G97=0,H97,MIN(H97,H97*(Z$3-D97+1)/MAX(1,G97)))*(1+F97)^(Z$3-D97)*$E93)</f>
        <v>0</v>
      </c>
      <c r="AA6" s="44" t="n">
        <f aca="false">IF(OR(E97=0,AA$3&lt;D97),0,E97*IF(G97=0,H97,MIN(H97,H97*(AA$3-D97+1)/MAX(1,G97)))*(1+F97)^(AA$3-D97)*$E93)</f>
        <v>0</v>
      </c>
      <c r="AB6" s="44" t="n">
        <f aca="false">IF(OR(E97=0,AB$3&lt;D97),0,E97*IF(G97=0,H97,MIN(H97,H97*(AB$3-D97+1)/MAX(1,G97)))*(1+F97)^(AB$3-D97)*$E93)</f>
        <v>0</v>
      </c>
      <c r="AC6" s="44" t="n">
        <f aca="false">IF(OR(E97=0,AC$3&lt;D97),0,E97*IF(G97=0,H97,MIN(H97,H97*(AC$3-D97+1)/MAX(1,G97)))*(1+F97)^(AC$3-D97)*$E93)</f>
        <v>0</v>
      </c>
      <c r="AD6" s="44" t="n">
        <f aca="false">IF(OR(E97=0,AD$3&lt;D97),0,E97*IF(G97=0,H97,MIN(H97,H97*(AD$3-D97+1)/MAX(1,G97)))*(1+F97)^(AD$3-D97)*$E93)</f>
        <v>0</v>
      </c>
      <c r="AE6" s="44" t="n">
        <f aca="false">IF(OR(E97=0,AE$3&lt;D97),0,E97*IF(G97=0,H97,MIN(H97,H97*(AE$3-D97+1)/MAX(1,G97)))*(1+F97)^(AE$3-D97)*$E93)</f>
        <v>0</v>
      </c>
      <c r="AF6" s="44" t="n">
        <f aca="false">IF(OR(E97=0,AF$3&lt;D97),0,E97*IF(G97=0,H97,MIN(H97,H97*(AF$3-D97+1)/MAX(1,G97)))*(1+F97)^(AF$3-D97)*$E93)</f>
        <v>0</v>
      </c>
      <c r="AG6" s="44" t="n">
        <f aca="false">IF(OR(E97=0,AG$3&lt;D97),0,E97*IF(G97=0,H97,MIN(H97,H97*(AG$3-D97+1)/MAX(1,G97)))*(1+F97)^(AG$3-D97)*$E93)</f>
        <v>0</v>
      </c>
      <c r="AH6" s="44" t="n">
        <f aca="false">IF(OR(E97=0,AH$3&lt;D97),0,E97*IF(G97=0,H97,MIN(H97,H97*(AH$3-D97+1)/MAX(1,G97)))*(1+F97)^(AH$3-D97)*$E93)</f>
        <v>0</v>
      </c>
      <c r="AI6" s="44" t="n">
        <f aca="false">IF(OR(E97=0,AI$3&lt;D97),0,E97*IF(G97=0,H97,MIN(H97,H97*(AI$3-D97+1)/MAX(1,G97)))*(1+F97)^(AI$3-D97)*$E93)</f>
        <v>0</v>
      </c>
      <c r="AJ6" s="44" t="n">
        <f aca="false">IF(OR(E97=0,AJ$3&lt;D97),0,E97*IF(G97=0,H97,MIN(H97,H97*(AJ$3-D97+1)/MAX(1,G97)))*(1+F97)^(AJ$3-D97)*$E93)</f>
        <v>0</v>
      </c>
      <c r="AK6" s="44" t="n">
        <f aca="false">IF(OR(E97=0,AK$3&lt;D97),0,E97*IF(G97=0,H97,MIN(H97,H97*(AK$3-D97+1)/MAX(1,G97)))*(1+F97)^(AK$3-D97)*$E93)</f>
        <v>0</v>
      </c>
      <c r="AL6" s="44" t="n">
        <f aca="false">IF(OR(E97=0,AL$3&lt;D97),0,E97*IF(G97=0,H97,MIN(H97,H97*(AL$3-D97+1)/MAX(1,G97)))*(1+F97)^(AL$3-D97)*$E93)</f>
        <v>0</v>
      </c>
      <c r="AM6" s="44" t="n">
        <f aca="false">IF(OR(E97=0,AM$3&lt;D97),0,E97*IF(G97=0,H97,MIN(H97,H97*(AM$3-D97+1)/MAX(1,G97)))*(1+F97)^(AM$3-D97)*$E93)</f>
        <v>0</v>
      </c>
      <c r="AN6" s="44" t="n">
        <f aca="false">IF(OR(E97=0,AN$3&lt;D97),0,E97*IF(G97=0,H97,MIN(H97,H97*(AN$3-D97+1)/MAX(1,G97)))*(1+F97)^(AN$3-D97)*$E93)</f>
        <v>0</v>
      </c>
      <c r="AO6" s="44" t="n">
        <f aca="false">IF(OR(E97=0,AO$3&lt;D97),0,E97*IF(G97=0,H97,MIN(H97,H97*(AO$3-D97+1)/MAX(1,G97)))*(1+F97)^(AO$3-D97)*$E93)</f>
        <v>0</v>
      </c>
      <c r="AP6" s="44" t="n">
        <f aca="false">IF(OR(E97=0,AP$3&lt;D97),0,E97*IF(G97=0,H97,MIN(H97,H97*(AP$3-D97+1)/MAX(1,G97)))*(1+F97)^(AP$3-D97)*$E93)</f>
        <v>0</v>
      </c>
      <c r="AQ6" s="44" t="n">
        <f aca="false">IF(OR(E97=0,AQ$3&lt;D97),0,E97*IF(G97=0,H97,MIN(H97,H97*(AQ$3-D97+1)/MAX(1,G97)))*(1+F97)^(AQ$3-D97)*$E93)</f>
        <v>0</v>
      </c>
      <c r="AR6" s="44" t="n">
        <f aca="false">IF(OR(E97=0,AR$3&lt;D97),0,E97*IF(G97=0,H97,MIN(H97,H97*(AR$3-D97+1)/MAX(1,G97)))*(1+F97)^(AR$3-D97)*$E93)</f>
        <v>0</v>
      </c>
      <c r="AS6" s="44" t="n">
        <f aca="false">IF(OR(E97=0,AS$3&lt;D97),0,E97*IF(G97=0,H97,MIN(H97,H97*(AS$3-D97+1)/MAX(1,G97)))*(1+F97)^(AS$3-D97)*$E93)</f>
        <v>0</v>
      </c>
      <c r="AT6" s="44" t="n">
        <f aca="false">IF(OR(E97=0,AT$3&lt;D97),0,E97*IF(G97=0,H97,MIN(H97,H97*(AT$3-D97+1)/MAX(1,G97)))*(1+F97)^(AT$3-D97)*$E93)</f>
        <v>0</v>
      </c>
      <c r="AU6" s="44" t="n">
        <f aca="false">IF(OR(E97=0,AU$3&lt;D97),0,E97*IF(G97=0,H97,MIN(H97,H97*(AU$3-D97+1)/MAX(1,G97)))*(1+F97)^(AU$3-D97)*$E93)</f>
        <v>0</v>
      </c>
      <c r="AV6" s="44" t="n">
        <f aca="false">IF(OR(E97=0,AV$3&lt;D97),0,E97*IF(G97=0,H97,MIN(H97,H97*(AV$3-D97+1)/MAX(1,G97)))*(1+F97)^(AV$3-D97)*$E93)</f>
        <v>0</v>
      </c>
      <c r="AW6" s="44" t="n">
        <f aca="false">IF(OR(E97=0,AW$3&lt;D97),0,E97*IF(G97=0,H97,MIN(H97,H97*(AW$3-D97+1)/MAX(1,G97)))*(1+F97)^(AW$3-D97)*$E93)</f>
        <v>0</v>
      </c>
      <c r="AX6" s="44" t="n">
        <f aca="false">IF(OR(E97=0,AX$3&lt;D97),0,E97*IF(G97=0,H97,MIN(H97,H97*(AX$3-D97+1)/MAX(1,G97)))*(1+F97)^(AX$3-D97)*$E93)</f>
        <v>0</v>
      </c>
      <c r="AY6" s="44" t="n">
        <f aca="false">IF(OR(E97=0,AY$3&lt;D97),0,E97*IF(G97=0,H97,MIN(H97,H97*(AY$3-D97+1)/MAX(1,G97)))*(1+F97)^(AY$3-D97)*$E93)</f>
        <v>0</v>
      </c>
      <c r="AZ6" s="44" t="n">
        <f aca="false">IF(OR(E97=0,AZ$3&lt;D97),0,E97*IF(G97=0,H97,MIN(H97,H97*(AZ$3-D97+1)/MAX(1,G97)))*(1+F97)^(AZ$3-D97)*$E93)</f>
        <v>0</v>
      </c>
      <c r="BA6" s="44" t="n">
        <f aca="false">IF(OR(E97=0,BA$3&lt;D97),0,E97*IF(G97=0,H97,MIN(H97,H97*(BA$3-D97+1)/MAX(1,G97)))*(1+F97)^(BA$3-D97)*$E93)</f>
        <v>0</v>
      </c>
      <c r="BB6" s="44" t="n">
        <f aca="false">IF(OR(E97=0,BB$3&lt;D97),0,E97*IF(G97=0,H97,MIN(H97,H97*(BB$3-D97+1)/MAX(1,G97)))*(1+F97)^(BB$3-D97)*$E93)</f>
        <v>0</v>
      </c>
    </row>
    <row r="7" customFormat="false" ht="15" hidden="false" customHeight="true" outlineLevel="0" collapsed="false">
      <c r="A7" s="44" t="n">
        <f aca="false">A98</f>
        <v>4</v>
      </c>
      <c r="B7" s="44" t="str">
        <f aca="false">B98</f>
        <v>Fuel Station</v>
      </c>
      <c r="C7" s="44" t="str">
        <f aca="false">C98</f>
        <v>ZAN 1</v>
      </c>
      <c r="D7" s="44" t="n">
        <f aca="false">SUM(E7:BB7)</f>
        <v>48011817.6673024</v>
      </c>
      <c r="E7" s="44" t="n">
        <f aca="false">IF(OR(E98=0,E$3&lt;D98),0,E98*IF(G98=0,H98,MIN(H98,H98*(E$3-D98+1)/MAX(1,G98)))*(1+F98)^(E$3-D98)*$E93)</f>
        <v>0</v>
      </c>
      <c r="F7" s="44" t="n">
        <f aca="false">IF(OR(E98=0,F$3&lt;D98),0,E98*IF(G98=0,H98,MIN(H98,H98*(F$3-D98+1)/MAX(1,G98)))*(1+F98)^(F$3-D98)*$E93)</f>
        <v>0</v>
      </c>
      <c r="G7" s="44" t="n">
        <f aca="false">IF(OR(E98=0,G$3&lt;D98),0,E98*IF(G98=0,H98,MIN(H98,H98*(G$3-D98+1)/MAX(1,G98)))*(1+F98)^(G$3-D98)*$E93)</f>
        <v>0</v>
      </c>
      <c r="H7" s="44" t="n">
        <f aca="false">IF(OR(E98=0,H$3&lt;D98),0,E98*IF(G98=0,H98,MIN(H98,H98*(H$3-D98+1)/MAX(1,G98)))*(1+F98)^(H$3-D98)*$E93)</f>
        <v>290466</v>
      </c>
      <c r="I7" s="44" t="n">
        <f aca="false">IF(OR(E98=0,I$3&lt;D98),0,E98*IF(G98=0,H98,MIN(H98,H98*(I$3-D98+1)/MAX(1,G98)))*(1+F98)^(I$3-D98)*$E93)</f>
        <v>585288.99</v>
      </c>
      <c r="J7" s="44" t="n">
        <f aca="false">IF(OR(E98=0,J$3&lt;D98),0,E98*IF(G98=0,H98,MIN(H98,H98*(J$3-D98+1)/MAX(1,G98)))*(1+F98)^(J$3-D98)*$E93)</f>
        <v>884517.9861375</v>
      </c>
      <c r="K7" s="44" t="n">
        <f aca="false">IF(OR(E98=0,K$3&lt;D98),0,E98*IF(G98=0,H98,MIN(H98,H98*(K$3-D98+1)/MAX(1,G98)))*(1+F98)^(K$3-D98)*$E93)</f>
        <v>891151.871033532</v>
      </c>
      <c r="L7" s="44" t="n">
        <f aca="false">IF(OR(E98=0,L$3&lt;D98),0,E98*IF(G98=0,H98,MIN(H98,H98*(L$3-D98+1)/MAX(1,G98)))*(1+F98)^(L$3-D98)*$E93)</f>
        <v>897835.510066283</v>
      </c>
      <c r="M7" s="44" t="n">
        <f aca="false">IF(OR(E98=0,M$3&lt;D98),0,E98*IF(G98=0,H98,MIN(H98,H98*(M$3-D98+1)/MAX(1,G98)))*(1+F98)^(M$3-D98)*$E93)</f>
        <v>904569.27639178</v>
      </c>
      <c r="N7" s="44" t="n">
        <f aca="false">IF(OR(E98=0,N$3&lt;D98),0,E98*IF(G98=0,H98,MIN(H98,H98*(N$3-D98+1)/MAX(1,G98)))*(1+F98)^(N$3-D98)*$E93)</f>
        <v>911353.545964719</v>
      </c>
      <c r="O7" s="44" t="n">
        <f aca="false">IF(OR(E98=0,O$3&lt;D98),0,E98*IF(G98=0,H98,MIN(H98,H98*(O$3-D98+1)/MAX(1,G98)))*(1+F98)^(O$3-D98)*$E93)</f>
        <v>918188.697559454</v>
      </c>
      <c r="P7" s="44" t="n">
        <f aca="false">IF(OR(E98=0,P$3&lt;D98),0,E98*IF(G98=0,H98,MIN(H98,H98*(P$3-D98+1)/MAX(1,G98)))*(1+F98)^(P$3-D98)*$E93)</f>
        <v>925075.11279115</v>
      </c>
      <c r="Q7" s="44" t="n">
        <f aca="false">IF(OR(E98=0,Q$3&lt;D98),0,E98*IF(G98=0,H98,MIN(H98,H98*(Q$3-D98+1)/MAX(1,G98)))*(1+F98)^(Q$3-D98)*$E93)</f>
        <v>932013.176137084</v>
      </c>
      <c r="R7" s="44" t="n">
        <f aca="false">IF(OR(E98=0,R$3&lt;D98),0,E98*IF(G98=0,H98,MIN(H98,H98*(R$3-D98+1)/MAX(1,G98)))*(1+F98)^(R$3-D98)*$E93)</f>
        <v>939003.274958112</v>
      </c>
      <c r="S7" s="44" t="n">
        <f aca="false">IF(OR(E98=0,S$3&lt;D98),0,E98*IF(G98=0,H98,MIN(H98,H98*(S$3-D98+1)/MAX(1,G98)))*(1+F98)^(S$3-D98)*$E93)</f>
        <v>946045.799520298</v>
      </c>
      <c r="T7" s="44" t="n">
        <f aca="false">IF(OR(E98=0,T$3&lt;D98),0,E98*IF(G98=0,H98,MIN(H98,H98*(T$3-D98+1)/MAX(1,G98)))*(1+F98)^(T$3-D98)*$E93)</f>
        <v>953141.1430167</v>
      </c>
      <c r="U7" s="44" t="n">
        <f aca="false">IF(OR(E98=0,U$3&lt;D98),0,E98*IF(G98=0,H98,MIN(H98,H98*(U$3-D98+1)/MAX(1,G98)))*(1+F98)^(U$3-D98)*$E93)</f>
        <v>960289.701589325</v>
      </c>
      <c r="V7" s="44" t="n">
        <f aca="false">IF(OR(E98=0,V$3&lt;D98),0,E98*IF(G98=0,H98,MIN(H98,H98*(V$3-D98+1)/MAX(1,G98)))*(1+F98)^(V$3-D98)*$E93)</f>
        <v>967491.874351245</v>
      </c>
      <c r="W7" s="44" t="n">
        <f aca="false">IF(OR(E98=0,W$3&lt;D98),0,E98*IF(G98=0,H98,MIN(H98,H98*(W$3-D98+1)/MAX(1,G98)))*(1+F98)^(W$3-D98)*$E93)</f>
        <v>974748.06340888</v>
      </c>
      <c r="X7" s="44" t="n">
        <f aca="false">IF(OR(E98=0,X$3&lt;D98),0,E98*IF(G98=0,H98,MIN(H98,H98*(X$3-D98+1)/MAX(1,G98)))*(1+F98)^(X$3-D98)*$E93)</f>
        <v>982058.673884446</v>
      </c>
      <c r="Y7" s="44" t="n">
        <f aca="false">IF(OR(E98=0,Y$3&lt;D98),0,E98*IF(G98=0,H98,MIN(H98,H98*(Y$3-D98+1)/MAX(1,G98)))*(1+F98)^(Y$3-D98)*$E93)</f>
        <v>989424.11393858</v>
      </c>
      <c r="Z7" s="44" t="n">
        <f aca="false">IF(OR(E98=0,Z$3&lt;D98),0,E98*IF(G98=0,H98,MIN(H98,H98*(Z$3-D98+1)/MAX(1,G98)))*(1+F98)^(Z$3-D98)*$E93)</f>
        <v>996844.794793119</v>
      </c>
      <c r="AA7" s="44" t="n">
        <f aca="false">IF(OR(E98=0,AA$3&lt;D98),0,E98*IF(G98=0,H98,MIN(H98,H98*(AA$3-D98+1)/MAX(1,G98)))*(1+F98)^(AA$3-D98)*$E93)</f>
        <v>1004321.13075407</v>
      </c>
      <c r="AB7" s="44" t="n">
        <f aca="false">IF(OR(E98=0,AB$3&lt;D98),0,E98*IF(G98=0,H98,MIN(H98,H98*(AB$3-D98+1)/MAX(1,G98)))*(1+F98)^(AB$3-D98)*$E93)</f>
        <v>1011853.53923472</v>
      </c>
      <c r="AC7" s="44" t="n">
        <f aca="false">IF(OR(E98=0,AC$3&lt;D98),0,E98*IF(G98=0,H98,MIN(H98,H98*(AC$3-D98+1)/MAX(1,G98)))*(1+F98)^(AC$3-D98)*$E93)</f>
        <v>1019442.44077898</v>
      </c>
      <c r="AD7" s="44" t="n">
        <f aca="false">IF(OR(E98=0,AD$3&lt;D98),0,E98*IF(G98=0,H98,MIN(H98,H98*(AD$3-D98+1)/MAX(1,G98)))*(1+F98)^(AD$3-D98)*$E93)</f>
        <v>1027088.25908483</v>
      </c>
      <c r="AE7" s="44" t="n">
        <f aca="false">IF(OR(E98=0,AE$3&lt;D98),0,E98*IF(G98=0,H98,MIN(H98,H98*(AE$3-D98+1)/MAX(1,G98)))*(1+F98)^(AE$3-D98)*$E93)</f>
        <v>1034791.42102796</v>
      </c>
      <c r="AF7" s="44" t="n">
        <f aca="false">IF(OR(E98=0,AF$3&lt;D98),0,E98*IF(G98=0,H98,MIN(H98,H98*(AF$3-D98+1)/MAX(1,G98)))*(1+F98)^(AF$3-D98)*$E93)</f>
        <v>1042552.35668567</v>
      </c>
      <c r="AG7" s="44" t="n">
        <f aca="false">IF(OR(E98=0,AG$3&lt;D98),0,E98*IF(G98=0,H98,MIN(H98,H98*(AG$3-D98+1)/MAX(1,G98)))*(1+F98)^(AG$3-D98)*$E93)</f>
        <v>1050371.49936082</v>
      </c>
      <c r="AH7" s="44" t="n">
        <f aca="false">IF(OR(E98=0,AH$3&lt;D98),0,E98*IF(G98=0,H98,MIN(H98,H98*(AH$3-D98+1)/MAX(1,G98)))*(1+F98)^(AH$3-D98)*$E93)</f>
        <v>1058249.28560602</v>
      </c>
      <c r="AI7" s="44" t="n">
        <f aca="false">IF(OR(E98=0,AI$3&lt;D98),0,E98*IF(G98=0,H98,MIN(H98,H98*(AI$3-D98+1)/MAX(1,G98)))*(1+F98)^(AI$3-D98)*$E93)</f>
        <v>1066186.15524807</v>
      </c>
      <c r="AJ7" s="44" t="n">
        <f aca="false">IF(OR(E98=0,AJ$3&lt;D98),0,E98*IF(G98=0,H98,MIN(H98,H98*(AJ$3-D98+1)/MAX(1,G98)))*(1+F98)^(AJ$3-D98)*$E93)</f>
        <v>1074182.55141243</v>
      </c>
      <c r="AK7" s="44" t="n">
        <f aca="false">IF(OR(E98=0,AK$3&lt;D98),0,E98*IF(G98=0,H98,MIN(H98,H98*(AK$3-D98+1)/MAX(1,G98)))*(1+F98)^(AK$3-D98)*$E93)</f>
        <v>1082238.92054802</v>
      </c>
      <c r="AL7" s="44" t="n">
        <f aca="false">IF(OR(E98=0,AL$3&lt;D98),0,E98*IF(G98=0,H98,MIN(H98,H98*(AL$3-D98+1)/MAX(1,G98)))*(1+F98)^(AL$3-D98)*$E93)</f>
        <v>1090355.71245213</v>
      </c>
      <c r="AM7" s="44" t="n">
        <f aca="false">IF(OR(E98=0,AM$3&lt;D98),0,E98*IF(G98=0,H98,MIN(H98,H98*(AM$3-D98+1)/MAX(1,G98)))*(1+F98)^(AM$3-D98)*$E93)</f>
        <v>1098533.38029552</v>
      </c>
      <c r="AN7" s="44" t="n">
        <f aca="false">IF(OR(E98=0,AN$3&lt;D98),0,E98*IF(G98=0,H98,MIN(H98,H98*(AN$3-D98+1)/MAX(1,G98)))*(1+F98)^(AN$3-D98)*$E93)</f>
        <v>1106772.38064774</v>
      </c>
      <c r="AO7" s="44" t="n">
        <f aca="false">IF(OR(E98=0,AO$3&lt;D98),0,E98*IF(G98=0,H98,MIN(H98,H98*(AO$3-D98+1)/MAX(1,G98)))*(1+F98)^(AO$3-D98)*$E93)</f>
        <v>1115073.1735026</v>
      </c>
      <c r="AP7" s="44" t="n">
        <f aca="false">IF(OR(E98=0,AP$3&lt;D98),0,E98*IF(G98=0,H98,MIN(H98,H98*(AP$3-D98+1)/MAX(1,G98)))*(1+F98)^(AP$3-D98)*$E93)</f>
        <v>1123436.22230387</v>
      </c>
      <c r="AQ7" s="44" t="n">
        <f aca="false">IF(OR(E98=0,AQ$3&lt;D98),0,E98*IF(G98=0,H98,MIN(H98,H98*(AQ$3-D98+1)/MAX(1,G98)))*(1+F98)^(AQ$3-D98)*$E93)</f>
        <v>1131861.99397114</v>
      </c>
      <c r="AR7" s="44" t="n">
        <f aca="false">IF(OR(E98=0,AR$3&lt;D98),0,E98*IF(G98=0,H98,MIN(H98,H98*(AR$3-D98+1)/MAX(1,G98)))*(1+F98)^(AR$3-D98)*$E93)</f>
        <v>1140350.95892593</v>
      </c>
      <c r="AS7" s="44" t="n">
        <f aca="false">IF(OR(E98=0,AS$3&lt;D98),0,E98*IF(G98=0,H98,MIN(H98,H98*(AS$3-D98+1)/MAX(1,G98)))*(1+F98)^(AS$3-D98)*$E93)</f>
        <v>1148903.59111787</v>
      </c>
      <c r="AT7" s="44" t="n">
        <f aca="false">IF(OR(E98=0,AT$3&lt;D98),0,E98*IF(G98=0,H98,MIN(H98,H98*(AT$3-D98+1)/MAX(1,G98)))*(1+F98)^(AT$3-D98)*$E93)</f>
        <v>1157520.36805126</v>
      </c>
      <c r="AU7" s="44" t="n">
        <f aca="false">IF(OR(E98=0,AU$3&lt;D98),0,E98*IF(G98=0,H98,MIN(H98,H98*(AU$3-D98+1)/MAX(1,G98)))*(1+F98)^(AU$3-D98)*$E93)</f>
        <v>1166201.77081164</v>
      </c>
      <c r="AV7" s="44" t="n">
        <f aca="false">IF(OR(E98=0,AV$3&lt;D98),0,E98*IF(G98=0,H98,MIN(H98,H98*(AV$3-D98+1)/MAX(1,G98)))*(1+F98)^(AV$3-D98)*$E93)</f>
        <v>1174948.28409273</v>
      </c>
      <c r="AW7" s="44" t="n">
        <f aca="false">IF(OR(E98=0,AW$3&lt;D98),0,E98*IF(G98=0,H98,MIN(H98,H98*(AW$3-D98+1)/MAX(1,G98)))*(1+F98)^(AW$3-D98)*$E93)</f>
        <v>1183760.39622342</v>
      </c>
      <c r="AX7" s="44" t="n">
        <f aca="false">IF(OR(E98=0,AX$3&lt;D98),0,E98*IF(G98=0,H98,MIN(H98,H98*(AX$3-D98+1)/MAX(1,G98)))*(1+F98)^(AX$3-D98)*$E93)</f>
        <v>1192638.5991951</v>
      </c>
      <c r="AY7" s="44" t="n">
        <f aca="false">IF(OR(E98=0,AY$3&lt;D98),0,E98*IF(G98=0,H98,MIN(H98,H98*(AY$3-D98+1)/MAX(1,G98)))*(1+F98)^(AY$3-D98)*$E93)</f>
        <v>1201583.38868906</v>
      </c>
      <c r="AZ7" s="44" t="n">
        <f aca="false">IF(OR(E98=0,AZ$3&lt;D98),0,E98*IF(G98=0,H98,MIN(H98,H98*(AZ$3-D98+1)/MAX(1,G98)))*(1+F98)^(AZ$3-D98)*$E93)</f>
        <v>1210595.26410423</v>
      </c>
      <c r="BA7" s="44" t="n">
        <f aca="false">IF(OR(E98=0,BA$3&lt;D98),0,E98*IF(G98=0,H98,MIN(H98,H98*(BA$3-D98+1)/MAX(1,G98)))*(1+F98)^(BA$3-D98)*$E93)</f>
        <v>1219674.72858501</v>
      </c>
      <c r="BB7" s="44" t="n">
        <f aca="false">IF(OR(E98=0,BB$3&lt;D98),0,E98*IF(G98=0,H98,MIN(H98,H98*(BB$3-D98+1)/MAX(1,G98)))*(1+F98)^(BB$3-D98)*$E93)</f>
        <v>1228822.2890494</v>
      </c>
    </row>
    <row r="8" customFormat="false" ht="15" hidden="false" customHeight="true" outlineLevel="0" collapsed="false">
      <c r="A8" s="44" t="n">
        <f aca="false">A99</f>
        <v>5</v>
      </c>
      <c r="B8" s="44" t="str">
        <f aca="false">B99</f>
        <v>Marina Berths</v>
      </c>
      <c r="C8" s="44" t="str">
        <f aca="false">C99</f>
        <v>ZAN 1</v>
      </c>
      <c r="D8" s="44" t="n">
        <f aca="false">SUM(E8:BB8)</f>
        <v>58479674.3169645</v>
      </c>
      <c r="E8" s="44" t="n">
        <f aca="false">IF(OR(E99=0,E$3&lt;D99),0,E99*IF(G99=0,H99,MIN(H99,H99*(E$3-D99+1)/MAX(1,G99)))*(1+F99)^(E$3-D99)*$E93)</f>
        <v>0</v>
      </c>
      <c r="F8" s="44" t="n">
        <f aca="false">IF(OR(E99=0,F$3&lt;D99),0,E99*IF(G99=0,H99,MIN(H99,H99*(F$3-D99+1)/MAX(1,G99)))*(1+F99)^(F$3-D99)*$E93)</f>
        <v>0</v>
      </c>
      <c r="G8" s="44" t="n">
        <f aca="false">IF(OR(E99=0,G$3&lt;D99),0,E99*IF(G99=0,H99,MIN(H99,H99*(G$3-D99+1)/MAX(1,G99)))*(1+F99)^(G$3-D99)*$E93)</f>
        <v>0</v>
      </c>
      <c r="H8" s="44" t="n">
        <f aca="false">IF(OR(E99=0,H$3&lt;D99),0,E99*IF(G99=0,H99,MIN(H99,H99*(H$3-D99+1)/MAX(1,G99)))*(1+F99)^(H$3-D99)*$E93)</f>
        <v>0</v>
      </c>
      <c r="I8" s="44" t="n">
        <f aca="false">IF(OR(E99=0,I$3&lt;D99),0,E99*IF(G99=0,H99,MIN(H99,H99*(I$3-D99+1)/MAX(1,G99)))*(1+F99)^(I$3-D99)*$E93)</f>
        <v>0</v>
      </c>
      <c r="J8" s="44" t="n">
        <f aca="false">IF(OR(E99=0,J$3&lt;D99),0,E99*IF(G99=0,H99,MIN(H99,H99*(J$3-D99+1)/MAX(1,G99)))*(1+F99)^(J$3-D99)*$E93)</f>
        <v>282332.658461539</v>
      </c>
      <c r="K8" s="44" t="n">
        <f aca="false">IF(OR(E99=0,K$3&lt;D99),0,E99*IF(G99=0,H99,MIN(H99,H99*(K$3-D99+1)/MAX(1,G99)))*(1+F99)^(K$3-D99)*$E93)</f>
        <v>568900.3068</v>
      </c>
      <c r="L8" s="44" t="n">
        <f aca="false">IF(OR(E99=0,L$3&lt;D99),0,E99*IF(G99=0,H99,MIN(H99,H99*(L$3-D99+1)/MAX(1,G99)))*(1+F99)^(L$3-D99)*$E93)</f>
        <v>859750.5886515</v>
      </c>
      <c r="M8" s="44" t="n">
        <f aca="false">IF(OR(E99=0,M$3&lt;D99),0,E99*IF(G99=0,H99,MIN(H99,H99*(M$3-D99+1)/MAX(1,G99)))*(1+F99)^(M$3-D99)*$E93)</f>
        <v>1154931.62408852</v>
      </c>
      <c r="N8" s="44" t="n">
        <f aca="false">IF(OR(E99=0,N$3&lt;D99),0,E99*IF(G99=0,H99,MIN(H99,H99*(N$3-D99+1)/MAX(1,G99)))*(1+F99)^(N$3-D99)*$E93)</f>
        <v>1163593.61126918</v>
      </c>
      <c r="O8" s="44" t="n">
        <f aca="false">IF(OR(E99=0,O$3&lt;D99),0,E99*IF(G99=0,H99,MIN(H99,H99*(O$3-D99+1)/MAX(1,G99)))*(1+F99)^(O$3-D99)*$E93)</f>
        <v>1172320.5633537</v>
      </c>
      <c r="P8" s="44" t="n">
        <f aca="false">IF(OR(E99=0,P$3&lt;D99),0,E99*IF(G99=0,H99,MIN(H99,H99*(P$3-D99+1)/MAX(1,G99)))*(1+F99)^(P$3-D99)*$E93)</f>
        <v>1181112.96757885</v>
      </c>
      <c r="Q8" s="44" t="n">
        <f aca="false">IF(OR(E99=0,Q$3&lt;D99),0,E99*IF(G99=0,H99,MIN(H99,H99*(Q$3-D99+1)/MAX(1,G99)))*(1+F99)^(Q$3-D99)*$E93)</f>
        <v>1189971.31483569</v>
      </c>
      <c r="R8" s="44" t="n">
        <f aca="false">IF(OR(E99=0,R$3&lt;D99),0,E99*IF(G99=0,H99,MIN(H99,H99*(R$3-D99+1)/MAX(1,G99)))*(1+F99)^(R$3-D99)*$E93)</f>
        <v>1198896.09969696</v>
      </c>
      <c r="S8" s="44" t="n">
        <f aca="false">IF(OR(E99=0,S$3&lt;D99),0,E99*IF(G99=0,H99,MIN(H99,H99*(S$3-D99+1)/MAX(1,G99)))*(1+F99)^(S$3-D99)*$E93)</f>
        <v>1207887.82044469</v>
      </c>
      <c r="T8" s="44" t="n">
        <f aca="false">IF(OR(E99=0,T$3&lt;D99),0,E99*IF(G99=0,H99,MIN(H99,H99*(T$3-D99+1)/MAX(1,G99)))*(1+F99)^(T$3-D99)*$E93)</f>
        <v>1216946.97909802</v>
      </c>
      <c r="U8" s="44" t="n">
        <f aca="false">IF(OR(E99=0,U$3&lt;D99),0,E99*IF(G99=0,H99,MIN(H99,H99*(U$3-D99+1)/MAX(1,G99)))*(1+F99)^(U$3-D99)*$E93)</f>
        <v>1226074.08144126</v>
      </c>
      <c r="V8" s="44" t="n">
        <f aca="false">IF(OR(E99=0,V$3&lt;D99),0,E99*IF(G99=0,H99,MIN(H99,H99*(V$3-D99+1)/MAX(1,G99)))*(1+F99)^(V$3-D99)*$E93)</f>
        <v>1235269.63705207</v>
      </c>
      <c r="W8" s="44" t="n">
        <f aca="false">IF(OR(E99=0,W$3&lt;D99),0,E99*IF(G99=0,H99,MIN(H99,H99*(W$3-D99+1)/MAX(1,G99)))*(1+F99)^(W$3-D99)*$E93)</f>
        <v>1244534.15932996</v>
      </c>
      <c r="X8" s="44" t="n">
        <f aca="false">IF(OR(E99=0,X$3&lt;D99),0,E99*IF(G99=0,H99,MIN(H99,H99*(X$3-D99+1)/MAX(1,G99)))*(1+F99)^(X$3-D99)*$E93)</f>
        <v>1253868.16552493</v>
      </c>
      <c r="Y8" s="44" t="n">
        <f aca="false">IF(OR(E99=0,Y$3&lt;D99),0,E99*IF(G99=0,H99,MIN(H99,H99*(Y$3-D99+1)/MAX(1,G99)))*(1+F99)^(Y$3-D99)*$E93)</f>
        <v>1263272.17676637</v>
      </c>
      <c r="Z8" s="44" t="n">
        <f aca="false">IF(OR(E99=0,Z$3&lt;D99),0,E99*IF(G99=0,H99,MIN(H99,H99*(Z$3-D99+1)/MAX(1,G99)))*(1+F99)^(Z$3-D99)*$E93)</f>
        <v>1272746.71809212</v>
      </c>
      <c r="AA8" s="44" t="n">
        <f aca="false">IF(OR(E99=0,AA$3&lt;D99),0,E99*IF(G99=0,H99,MIN(H99,H99*(AA$3-D99+1)/MAX(1,G99)))*(1+F99)^(AA$3-D99)*$E93)</f>
        <v>1282292.31847781</v>
      </c>
      <c r="AB8" s="44" t="n">
        <f aca="false">IF(OR(E99=0,AB$3&lt;D99),0,E99*IF(G99=0,H99,MIN(H99,H99*(AB$3-D99+1)/MAX(1,G99)))*(1+F99)^(AB$3-D99)*$E93)</f>
        <v>1291909.51086639</v>
      </c>
      <c r="AC8" s="44" t="n">
        <f aca="false">IF(OR(E99=0,AC$3&lt;D99),0,E99*IF(G99=0,H99,MIN(H99,H99*(AC$3-D99+1)/MAX(1,G99)))*(1+F99)^(AC$3-D99)*$E93)</f>
        <v>1301598.83219789</v>
      </c>
      <c r="AD8" s="44" t="n">
        <f aca="false">IF(OR(E99=0,AD$3&lt;D99),0,E99*IF(G99=0,H99,MIN(H99,H99*(AD$3-D99+1)/MAX(1,G99)))*(1+F99)^(AD$3-D99)*$E93)</f>
        <v>1311360.82343937</v>
      </c>
      <c r="AE8" s="44" t="n">
        <f aca="false">IF(OR(E99=0,AE$3&lt;D99),0,E99*IF(G99=0,H99,MIN(H99,H99*(AE$3-D99+1)/MAX(1,G99)))*(1+F99)^(AE$3-D99)*$E93)</f>
        <v>1321196.02961517</v>
      </c>
      <c r="AF8" s="44" t="n">
        <f aca="false">IF(OR(E99=0,AF$3&lt;D99),0,E99*IF(G99=0,H99,MIN(H99,H99*(AF$3-D99+1)/MAX(1,G99)))*(1+F99)^(AF$3-D99)*$E93)</f>
        <v>1331104.99983728</v>
      </c>
      <c r="AG8" s="44" t="n">
        <f aca="false">IF(OR(E99=0,AG$3&lt;D99),0,E99*IF(G99=0,H99,MIN(H99,H99*(AG$3-D99+1)/MAX(1,G99)))*(1+F99)^(AG$3-D99)*$E93)</f>
        <v>1341088.28733606</v>
      </c>
      <c r="AH8" s="44" t="n">
        <f aca="false">IF(OR(E99=0,AH$3&lt;D99),0,E99*IF(G99=0,H99,MIN(H99,H99*(AH$3-D99+1)/MAX(1,G99)))*(1+F99)^(AH$3-D99)*$E93)</f>
        <v>1351146.44949108</v>
      </c>
      <c r="AI8" s="44" t="n">
        <f aca="false">IF(OR(E99=0,AI$3&lt;D99),0,E99*IF(G99=0,H99,MIN(H99,H99*(AI$3-D99+1)/MAX(1,G99)))*(1+F99)^(AI$3-D99)*$E93)</f>
        <v>1361280.04786227</v>
      </c>
      <c r="AJ8" s="44" t="n">
        <f aca="false">IF(OR(E99=0,AJ$3&lt;D99),0,E99*IF(G99=0,H99,MIN(H99,H99*(AJ$3-D99+1)/MAX(1,G99)))*(1+F99)^(AJ$3-D99)*$E93)</f>
        <v>1371489.64822123</v>
      </c>
      <c r="AK8" s="44" t="n">
        <f aca="false">IF(OR(E99=0,AK$3&lt;D99),0,E99*IF(G99=0,H99,MIN(H99,H99*(AK$3-D99+1)/MAX(1,G99)))*(1+F99)^(AK$3-D99)*$E93)</f>
        <v>1381775.82058289</v>
      </c>
      <c r="AL8" s="44" t="n">
        <f aca="false">IF(OR(E99=0,AL$3&lt;D99),0,E99*IF(G99=0,H99,MIN(H99,H99*(AL$3-D99+1)/MAX(1,G99)))*(1+F99)^(AL$3-D99)*$E93)</f>
        <v>1392139.13923727</v>
      </c>
      <c r="AM8" s="44" t="n">
        <f aca="false">IF(OR(E99=0,AM$3&lt;D99),0,E99*IF(G99=0,H99,MIN(H99,H99*(AM$3-D99+1)/MAX(1,G99)))*(1+F99)^(AM$3-D99)*$E93)</f>
        <v>1402580.18278155</v>
      </c>
      <c r="AN8" s="44" t="n">
        <f aca="false">IF(OR(E99=0,AN$3&lt;D99),0,E99*IF(G99=0,H99,MIN(H99,H99*(AN$3-D99+1)/MAX(1,G99)))*(1+F99)^(AN$3-D99)*$E93)</f>
        <v>1413099.53415241</v>
      </c>
      <c r="AO8" s="44" t="n">
        <f aca="false">IF(OR(E99=0,AO$3&lt;D99),0,E99*IF(G99=0,H99,MIN(H99,H99*(AO$3-D99+1)/MAX(1,G99)))*(1+F99)^(AO$3-D99)*$E93)</f>
        <v>1423697.78065855</v>
      </c>
      <c r="AP8" s="44" t="n">
        <f aca="false">IF(OR(E99=0,AP$3&lt;D99),0,E99*IF(G99=0,H99,MIN(H99,H99*(AP$3-D99+1)/MAX(1,G99)))*(1+F99)^(AP$3-D99)*$E93)</f>
        <v>1434375.51401349</v>
      </c>
      <c r="AQ8" s="44" t="n">
        <f aca="false">IF(OR(E99=0,AQ$3&lt;D99),0,E99*IF(G99=0,H99,MIN(H99,H99*(AQ$3-D99+1)/MAX(1,G99)))*(1+F99)^(AQ$3-D99)*$E93)</f>
        <v>1445133.33036859</v>
      </c>
      <c r="AR8" s="44" t="n">
        <f aca="false">IF(OR(E99=0,AR$3&lt;D99),0,E99*IF(G99=0,H99,MIN(H99,H99*(AR$3-D99+1)/MAX(1,G99)))*(1+F99)^(AR$3-D99)*$E93)</f>
        <v>1455971.83034636</v>
      </c>
      <c r="AS8" s="44" t="n">
        <f aca="false">IF(OR(E99=0,AS$3&lt;D99),0,E99*IF(G99=0,H99,MIN(H99,H99*(AS$3-D99+1)/MAX(1,G99)))*(1+F99)^(AS$3-D99)*$E93)</f>
        <v>1466891.61907395</v>
      </c>
      <c r="AT8" s="44" t="n">
        <f aca="false">IF(OR(E99=0,AT$3&lt;D99),0,E99*IF(G99=0,H99,MIN(H99,H99*(AT$3-D99+1)/MAX(1,G99)))*(1+F99)^(AT$3-D99)*$E93)</f>
        <v>1477893.30621701</v>
      </c>
      <c r="AU8" s="44" t="n">
        <f aca="false">IF(OR(E99=0,AU$3&lt;D99),0,E99*IF(G99=0,H99,MIN(H99,H99*(AU$3-D99+1)/MAX(1,G99)))*(1+F99)^(AU$3-D99)*$E93)</f>
        <v>1488977.50601364</v>
      </c>
      <c r="AV8" s="44" t="n">
        <f aca="false">IF(OR(E99=0,AV$3&lt;D99),0,E99*IF(G99=0,H99,MIN(H99,H99*(AV$3-D99+1)/MAX(1,G99)))*(1+F99)^(AV$3-D99)*$E93)</f>
        <v>1500144.83730874</v>
      </c>
      <c r="AW8" s="44" t="n">
        <f aca="false">IF(OR(E99=0,AW$3&lt;D99),0,E99*IF(G99=0,H99,MIN(H99,H99*(AW$3-D99+1)/MAX(1,G99)))*(1+F99)^(AW$3-D99)*$E93)</f>
        <v>1511395.92358855</v>
      </c>
      <c r="AX8" s="44" t="n">
        <f aca="false">IF(OR(E99=0,AX$3&lt;D99),0,E99*IF(G99=0,H99,MIN(H99,H99*(AX$3-D99+1)/MAX(1,G99)))*(1+F99)^(AX$3-D99)*$E93)</f>
        <v>1522731.39301547</v>
      </c>
      <c r="AY8" s="44" t="n">
        <f aca="false">IF(OR(E99=0,AY$3&lt;D99),0,E99*IF(G99=0,H99,MIN(H99,H99*(AY$3-D99+1)/MAX(1,G99)))*(1+F99)^(AY$3-D99)*$E93)</f>
        <v>1534151.87846308</v>
      </c>
      <c r="AZ8" s="44" t="n">
        <f aca="false">IF(OR(E99=0,AZ$3&lt;D99),0,E99*IF(G99=0,H99,MIN(H99,H99*(AZ$3-D99+1)/MAX(1,G99)))*(1+F99)^(AZ$3-D99)*$E93)</f>
        <v>1545658.01755156</v>
      </c>
      <c r="BA8" s="44" t="n">
        <f aca="false">IF(OR(E99=0,BA$3&lt;D99),0,E99*IF(G99=0,H99,MIN(H99,H99*(BA$3-D99+1)/MAX(1,G99)))*(1+F99)^(BA$3-D99)*$E93)</f>
        <v>1557250.45268319</v>
      </c>
      <c r="BB8" s="44" t="n">
        <f aca="false">IF(OR(E99=0,BB$3&lt;D99),0,E99*IF(G99=0,H99,MIN(H99,H99*(BB$3-D99+1)/MAX(1,G99)))*(1+F99)^(BB$3-D99)*$E93)</f>
        <v>1568929.83107832</v>
      </c>
    </row>
    <row r="9" customFormat="false" ht="15" hidden="false" customHeight="true" outlineLevel="0" collapsed="false">
      <c r="A9" s="44" t="n">
        <f aca="false">A100</f>
        <v>6</v>
      </c>
      <c r="B9" s="44" t="str">
        <f aca="false">B100</f>
        <v>Marina Mall</v>
      </c>
      <c r="C9" s="44" t="str">
        <f aca="false">C100</f>
        <v>ZAN 1</v>
      </c>
      <c r="D9" s="44" t="n">
        <f aca="false">SUM(E9:BB9)</f>
        <v>2471380262.64122</v>
      </c>
      <c r="E9" s="44" t="n">
        <f aca="false">IF(OR(E100=0,E$3&lt;D100),0,E100*IF(G100=0,H100,MIN(H100,H100*(E$3-D100+1)/MAX(1,G100)))*(1+F100)^(E$3-D100)*$E93)</f>
        <v>0</v>
      </c>
      <c r="F9" s="44" t="n">
        <f aca="false">IF(OR(E100=0,F$3&lt;D100),0,E100*IF(G100=0,H100,MIN(H100,H100*(F$3-D100+1)/MAX(1,G100)))*(1+F100)^(F$3-D100)*$E93)</f>
        <v>0</v>
      </c>
      <c r="G9" s="44" t="n">
        <f aca="false">IF(OR(E100=0,G$3&lt;D100),0,E100*IF(G100=0,H100,MIN(H100,H100*(G$3-D100+1)/MAX(1,G100)))*(1+F100)^(G$3-D100)*$E93)</f>
        <v>0</v>
      </c>
      <c r="H9" s="44" t="n">
        <f aca="false">IF(OR(E100=0,H$3&lt;D100),0,E100*IF(G100=0,H100,MIN(H100,H100*(H$3-D100+1)/MAX(1,G100)))*(1+F100)^(H$3-D100)*$E93)</f>
        <v>0</v>
      </c>
      <c r="I9" s="44" t="n">
        <f aca="false">IF(OR(E100=0,I$3&lt;D100),0,E100*IF(G100=0,H100,MIN(H100,H100*(I$3-D100+1)/MAX(1,G100)))*(1+F100)^(I$3-D100)*$E93)</f>
        <v>0</v>
      </c>
      <c r="J9" s="44" t="n">
        <f aca="false">IF(OR(E100=0,J$3&lt;D100),0,E100*IF(G100=0,H100,MIN(H100,H100*(J$3-D100+1)/MAX(1,G100)))*(1+F100)^(J$3-D100)*$E93)</f>
        <v>15755040</v>
      </c>
      <c r="K9" s="44" t="n">
        <f aca="false">IF(OR(E100=0,K$3&lt;D100),0,E100*IF(G100=0,H100,MIN(H100,H100*(K$3-D100+1)/MAX(1,G100)))*(1+F100)^(K$3-D100)*$E93)</f>
        <v>31746405.6</v>
      </c>
      <c r="L9" s="44" t="n">
        <f aca="false">IF(OR(E100=0,L$3&lt;D100),0,E100*IF(G100=0,H100,MIN(H100,H100*(L$3-D100+1)/MAX(1,G100)))*(1+F100)^(L$3-D100)*$E93)</f>
        <v>47976755.463</v>
      </c>
      <c r="M9" s="44" t="n">
        <f aca="false">IF(OR(E100=0,M$3&lt;D100),0,E100*IF(G100=0,H100,MIN(H100,H100*(M$3-D100+1)/MAX(1,G100)))*(1+F100)^(M$3-D100)*$E93)</f>
        <v>48336581.1289725</v>
      </c>
      <c r="N9" s="44" t="n">
        <f aca="false">IF(OR(E100=0,N$3&lt;D100),0,E100*IF(G100=0,H100,MIN(H100,H100*(N$3-D100+1)/MAX(1,G100)))*(1+F100)^(N$3-D100)*$E93)</f>
        <v>48699105.4874398</v>
      </c>
      <c r="O9" s="44" t="n">
        <f aca="false">IF(OR(E100=0,O$3&lt;D100),0,E100*IF(G100=0,H100,MIN(H100,H100*(O$3-D100+1)/MAX(1,G100)))*(1+F100)^(O$3-D100)*$E93)</f>
        <v>49064348.7785956</v>
      </c>
      <c r="P9" s="44" t="n">
        <f aca="false">IF(OR(E100=0,P$3&lt;D100),0,E100*IF(G100=0,H100,MIN(H100,H100*(P$3-D100+1)/MAX(1,G100)))*(1+F100)^(P$3-D100)*$E93)</f>
        <v>49432331.3944351</v>
      </c>
      <c r="Q9" s="44" t="n">
        <f aca="false">IF(OR(E100=0,Q$3&lt;D100),0,E100*IF(G100=0,H100,MIN(H100,H100*(Q$3-D100+1)/MAX(1,G100)))*(1+F100)^(Q$3-D100)*$E93)</f>
        <v>49803073.8798934</v>
      </c>
      <c r="R9" s="44" t="n">
        <f aca="false">IF(OR(E100=0,R$3&lt;D100),0,E100*IF(G100=0,H100,MIN(H100,H100*(R$3-D100+1)/MAX(1,G100)))*(1+F100)^(R$3-D100)*$E93)</f>
        <v>50176596.9339926</v>
      </c>
      <c r="S9" s="44" t="n">
        <f aca="false">IF(OR(E100=0,S$3&lt;D100),0,E100*IF(G100=0,H100,MIN(H100,H100*(S$3-D100+1)/MAX(1,G100)))*(1+F100)^(S$3-D100)*$E93)</f>
        <v>50552921.4109975</v>
      </c>
      <c r="T9" s="44" t="n">
        <f aca="false">IF(OR(E100=0,T$3&lt;D100),0,E100*IF(G100=0,H100,MIN(H100,H100*(T$3-D100+1)/MAX(1,G100)))*(1+F100)^(T$3-D100)*$E93)</f>
        <v>50932068.32158</v>
      </c>
      <c r="U9" s="44" t="n">
        <f aca="false">IF(OR(E100=0,U$3&lt;D100),0,E100*IF(G100=0,H100,MIN(H100,H100*(U$3-D100+1)/MAX(1,G100)))*(1+F100)^(U$3-D100)*$E93)</f>
        <v>51314058.8339918</v>
      </c>
      <c r="V9" s="44" t="n">
        <f aca="false">IF(OR(E100=0,V$3&lt;D100),0,E100*IF(G100=0,H100,MIN(H100,H100*(V$3-D100+1)/MAX(1,G100)))*(1+F100)^(V$3-D100)*$E93)</f>
        <v>51698914.2752468</v>
      </c>
      <c r="W9" s="44" t="n">
        <f aca="false">IF(OR(E100=0,W$3&lt;D100),0,E100*IF(G100=0,H100,MIN(H100,H100*(W$3-D100+1)/MAX(1,G100)))*(1+F100)^(W$3-D100)*$E93)</f>
        <v>52086656.1323111</v>
      </c>
      <c r="X9" s="44" t="n">
        <f aca="false">IF(OR(E100=0,X$3&lt;D100),0,E100*IF(G100=0,H100,MIN(H100,H100*(X$3-D100+1)/MAX(1,G100)))*(1+F100)^(X$3-D100)*$E93)</f>
        <v>52477306.0533035</v>
      </c>
      <c r="Y9" s="44" t="n">
        <f aca="false">IF(OR(E100=0,Y$3&lt;D100),0,E100*IF(G100=0,H100,MIN(H100,H100*(Y$3-D100+1)/MAX(1,G100)))*(1+F100)^(Y$3-D100)*$E93)</f>
        <v>52870885.8487032</v>
      </c>
      <c r="Z9" s="44" t="n">
        <f aca="false">IF(OR(E100=0,Z$3&lt;D100),0,E100*IF(G100=0,H100,MIN(H100,H100*(Z$3-D100+1)/MAX(1,G100)))*(1+F100)^(Z$3-D100)*$E93)</f>
        <v>53267417.4925685</v>
      </c>
      <c r="AA9" s="44" t="n">
        <f aca="false">IF(OR(E100=0,AA$3&lt;D100),0,E100*IF(G100=0,H100,MIN(H100,H100*(AA$3-D100+1)/MAX(1,G100)))*(1+F100)^(AA$3-D100)*$E93)</f>
        <v>53666923.1237628</v>
      </c>
      <c r="AB9" s="44" t="n">
        <f aca="false">IF(OR(E100=0,AB$3&lt;D100),0,E100*IF(G100=0,H100,MIN(H100,H100*(AB$3-D100+1)/MAX(1,G100)))*(1+F100)^(AB$3-D100)*$E93)</f>
        <v>54069425.047191</v>
      </c>
      <c r="AC9" s="44" t="n">
        <f aca="false">IF(OR(E100=0,AC$3&lt;D100),0,E100*IF(G100=0,H100,MIN(H100,H100*(AC$3-D100+1)/MAX(1,G100)))*(1+F100)^(AC$3-D100)*$E93)</f>
        <v>54474945.735045</v>
      </c>
      <c r="AD9" s="44" t="n">
        <f aca="false">IF(OR(E100=0,AD$3&lt;D100),0,E100*IF(G100=0,H100,MIN(H100,H100*(AD$3-D100+1)/MAX(1,G100)))*(1+F100)^(AD$3-D100)*$E93)</f>
        <v>54883507.8280578</v>
      </c>
      <c r="AE9" s="44" t="n">
        <f aca="false">IF(OR(E100=0,AE$3&lt;D100),0,E100*IF(G100=0,H100,MIN(H100,H100*(AE$3-D100+1)/MAX(1,G100)))*(1+F100)^(AE$3-D100)*$E93)</f>
        <v>55295134.1367682</v>
      </c>
      <c r="AF9" s="44" t="n">
        <f aca="false">IF(OR(E100=0,AF$3&lt;D100),0,E100*IF(G100=0,H100,MIN(H100,H100*(AF$3-D100+1)/MAX(1,G100)))*(1+F100)^(AF$3-D100)*$E93)</f>
        <v>55709847.642794</v>
      </c>
      <c r="AG9" s="44" t="n">
        <f aca="false">IF(OR(E100=0,AG$3&lt;D100),0,E100*IF(G100=0,H100,MIN(H100,H100*(AG$3-D100+1)/MAX(1,G100)))*(1+F100)^(AG$3-D100)*$E93)</f>
        <v>56127671.500115</v>
      </c>
      <c r="AH9" s="44" t="n">
        <f aca="false">IF(OR(E100=0,AH$3&lt;D100),0,E100*IF(G100=0,H100,MIN(H100,H100*(AH$3-D100+1)/MAX(1,G100)))*(1+F100)^(AH$3-D100)*$E93)</f>
        <v>56548629.0363658</v>
      </c>
      <c r="AI9" s="44" t="n">
        <f aca="false">IF(OR(E100=0,AI$3&lt;D100),0,E100*IF(G100=0,H100,MIN(H100,H100*(AI$3-D100+1)/MAX(1,G100)))*(1+F100)^(AI$3-D100)*$E93)</f>
        <v>56972743.7541386</v>
      </c>
      <c r="AJ9" s="44" t="n">
        <f aca="false">IF(OR(E100=0,AJ$3&lt;D100),0,E100*IF(G100=0,H100,MIN(H100,H100*(AJ$3-D100+1)/MAX(1,G100)))*(1+F100)^(AJ$3-D100)*$E93)</f>
        <v>57400039.3322946</v>
      </c>
      <c r="AK9" s="44" t="n">
        <f aca="false">IF(OR(E100=0,AK$3&lt;D100),0,E100*IF(G100=0,H100,MIN(H100,H100*(AK$3-D100+1)/MAX(1,G100)))*(1+F100)^(AK$3-D100)*$E93)</f>
        <v>57830539.6272868</v>
      </c>
      <c r="AL9" s="44" t="n">
        <f aca="false">IF(OR(E100=0,AL$3&lt;D100),0,E100*IF(G100=0,H100,MIN(H100,H100*(AL$3-D100+1)/MAX(1,G100)))*(1+F100)^(AL$3-D100)*$E93)</f>
        <v>58264268.6744915</v>
      </c>
      <c r="AM9" s="44" t="n">
        <f aca="false">IF(OR(E100=0,AM$3&lt;D100),0,E100*IF(G100=0,H100,MIN(H100,H100*(AM$3-D100+1)/MAX(1,G100)))*(1+F100)^(AM$3-D100)*$E93)</f>
        <v>58701250.6895502</v>
      </c>
      <c r="AN9" s="44" t="n">
        <f aca="false">IF(OR(E100=0,AN$3&lt;D100),0,E100*IF(G100=0,H100,MIN(H100,H100*(AN$3-D100+1)/MAX(1,G100)))*(1+F100)^(AN$3-D100)*$E93)</f>
        <v>59141510.0697218</v>
      </c>
      <c r="AO9" s="44" t="n">
        <f aca="false">IF(OR(E100=0,AO$3&lt;D100),0,E100*IF(G100=0,H100,MIN(H100,H100*(AO$3-D100+1)/MAX(1,G100)))*(1+F100)^(AO$3-D100)*$E93)</f>
        <v>59585071.3952447</v>
      </c>
      <c r="AP9" s="44" t="n">
        <f aca="false">IF(OR(E100=0,AP$3&lt;D100),0,E100*IF(G100=0,H100,MIN(H100,H100*(AP$3-D100+1)/MAX(1,G100)))*(1+F100)^(AP$3-D100)*$E93)</f>
        <v>60031959.4307091</v>
      </c>
      <c r="AQ9" s="44" t="n">
        <f aca="false">IF(OR(E100=0,AQ$3&lt;D100),0,E100*IF(G100=0,H100,MIN(H100,H100*(AQ$3-D100+1)/MAX(1,G100)))*(1+F100)^(AQ$3-D100)*$E93)</f>
        <v>60482199.1264394</v>
      </c>
      <c r="AR9" s="44" t="n">
        <f aca="false">IF(OR(E100=0,AR$3&lt;D100),0,E100*IF(G100=0,H100,MIN(H100,H100*(AR$3-D100+1)/MAX(1,G100)))*(1+F100)^(AR$3-D100)*$E93)</f>
        <v>60935815.6198877</v>
      </c>
      <c r="AS9" s="44" t="n">
        <f aca="false">IF(OR(E100=0,AS$3&lt;D100),0,E100*IF(G100=0,H100,MIN(H100,H100*(AS$3-D100+1)/MAX(1,G100)))*(1+F100)^(AS$3-D100)*$E93)</f>
        <v>61392834.2370368</v>
      </c>
      <c r="AT9" s="44" t="n">
        <f aca="false">IF(OR(E100=0,AT$3&lt;D100),0,E100*IF(G100=0,H100,MIN(H100,H100*(AT$3-D100+1)/MAX(1,G100)))*(1+F100)^(AT$3-D100)*$E93)</f>
        <v>61853280.4938146</v>
      </c>
      <c r="AU9" s="44" t="n">
        <f aca="false">IF(OR(E100=0,AU$3&lt;D100),0,E100*IF(G100=0,H100,MIN(H100,H100*(AU$3-D100+1)/MAX(1,G100)))*(1+F100)^(AU$3-D100)*$E93)</f>
        <v>62317180.0975182</v>
      </c>
      <c r="AV9" s="44" t="n">
        <f aca="false">IF(OR(E100=0,AV$3&lt;D100),0,E100*IF(G100=0,H100,MIN(H100,H100*(AV$3-D100+1)/MAX(1,G100)))*(1+F100)^(AV$3-D100)*$E93)</f>
        <v>62784558.9482496</v>
      </c>
      <c r="AW9" s="44" t="n">
        <f aca="false">IF(OR(E100=0,AW$3&lt;D100),0,E100*IF(G100=0,H100,MIN(H100,H100*(AW$3-D100+1)/MAX(1,G100)))*(1+F100)^(AW$3-D100)*$E93)</f>
        <v>63255443.1403615</v>
      </c>
      <c r="AX9" s="44" t="n">
        <f aca="false">IF(OR(E100=0,AX$3&lt;D100),0,E100*IF(G100=0,H100,MIN(H100,H100*(AX$3-D100+1)/MAX(1,G100)))*(1+F100)^(AX$3-D100)*$E93)</f>
        <v>63729858.9639142</v>
      </c>
      <c r="AY9" s="44" t="n">
        <f aca="false">IF(OR(E100=0,AY$3&lt;D100),0,E100*IF(G100=0,H100,MIN(H100,H100*(AY$3-D100+1)/MAX(1,G100)))*(1+F100)^(AY$3-D100)*$E93)</f>
        <v>64207832.9061436</v>
      </c>
      <c r="AZ9" s="44" t="n">
        <f aca="false">IF(OR(E100=0,AZ$3&lt;D100),0,E100*IF(G100=0,H100,MIN(H100,H100*(AZ$3-D100+1)/MAX(1,G100)))*(1+F100)^(AZ$3-D100)*$E93)</f>
        <v>64689391.6529397</v>
      </c>
      <c r="BA9" s="44" t="n">
        <f aca="false">IF(OR(E100=0,BA$3&lt;D100),0,E100*IF(G100=0,H100,MIN(H100,H100*(BA$3-D100+1)/MAX(1,G100)))*(1+F100)^(BA$3-D100)*$E93)</f>
        <v>65174562.0903367</v>
      </c>
      <c r="BB9" s="44" t="n">
        <f aca="false">IF(OR(E100=0,BB$3&lt;D100),0,E100*IF(G100=0,H100,MIN(H100,H100*(BB$3-D100+1)/MAX(1,G100)))*(1+F100)^(BB$3-D100)*$E93)</f>
        <v>65663371.3060142</v>
      </c>
    </row>
    <row r="10" customFormat="false" ht="15" hidden="false" customHeight="true" outlineLevel="0" collapsed="false">
      <c r="A10" s="44" t="n">
        <f aca="false">A101</f>
        <v>7</v>
      </c>
      <c r="B10" s="44" t="str">
        <f aca="false">B101</f>
        <v>Seafront Mall</v>
      </c>
      <c r="C10" s="44" t="str">
        <f aca="false">C101</f>
        <v>ZAN 2</v>
      </c>
      <c r="D10" s="44" t="n">
        <f aca="false">SUM(E10:BB10)</f>
        <v>755407498.705595</v>
      </c>
      <c r="E10" s="44" t="n">
        <f aca="false">IF(OR(E101=0,E$3&lt;D101),0,E101*IF(G101=0,H101,MIN(H101,H101*(E$3-D101+1)/MAX(1,G101)))*(1+F101)^(E$3-D101)*$E93)</f>
        <v>0</v>
      </c>
      <c r="F10" s="44" t="n">
        <f aca="false">IF(OR(E101=0,F$3&lt;D101),0,E101*IF(G101=0,H101,MIN(H101,H101*(F$3-D101+1)/MAX(1,G101)))*(1+F101)^(F$3-D101)*$E93)</f>
        <v>0</v>
      </c>
      <c r="G10" s="44" t="n">
        <f aca="false">IF(OR(E101=0,G$3&lt;D101),0,E101*IF(G101=0,H101,MIN(H101,H101*(G$3-D101+1)/MAX(1,G101)))*(1+F101)^(G$3-D101)*$E93)</f>
        <v>0</v>
      </c>
      <c r="H10" s="44" t="n">
        <f aca="false">IF(OR(E101=0,H$3&lt;D101),0,E101*IF(G101=0,H101,MIN(H101,H101*(H$3-D101+1)/MAX(1,G101)))*(1+F101)^(H$3-D101)*$E93)</f>
        <v>0</v>
      </c>
      <c r="I10" s="44" t="n">
        <f aca="false">IF(OR(E101=0,I$3&lt;D101),0,E101*IF(G101=0,H101,MIN(H101,H101*(I$3-D101+1)/MAX(1,G101)))*(1+F101)^(I$3-D101)*$E93)</f>
        <v>0</v>
      </c>
      <c r="J10" s="44" t="n">
        <f aca="false">IF(OR(E101=0,J$3&lt;D101),0,E101*IF(G101=0,H101,MIN(H101,H101*(J$3-D101+1)/MAX(1,G101)))*(1+F101)^(J$3-D101)*$E93)</f>
        <v>4815720</v>
      </c>
      <c r="K10" s="44" t="n">
        <f aca="false">IF(OR(E101=0,K$3&lt;D101),0,E101*IF(G101=0,H101,MIN(H101,H101*(K$3-D101+1)/MAX(1,G101)))*(1+F101)^(K$3-D101)*$E93)</f>
        <v>9703675.8</v>
      </c>
      <c r="L10" s="44" t="n">
        <f aca="false">IF(OR(E101=0,L$3&lt;D101),0,E101*IF(G101=0,H101,MIN(H101,H101*(L$3-D101+1)/MAX(1,G101)))*(1+F101)^(L$3-D101)*$E93)</f>
        <v>14664680.05275</v>
      </c>
      <c r="M10" s="44" t="n">
        <f aca="false">IF(OR(E101=0,M$3&lt;D101),0,E101*IF(G101=0,H101,MIN(H101,H101*(M$3-D101+1)/MAX(1,G101)))*(1+F101)^(M$3-D101)*$E93)</f>
        <v>14774665.1531456</v>
      </c>
      <c r="N10" s="44" t="n">
        <f aca="false">IF(OR(E101=0,N$3&lt;D101),0,E101*IF(G101=0,H101,MIN(H101,H101*(N$3-D101+1)/MAX(1,G101)))*(1+F101)^(N$3-D101)*$E93)</f>
        <v>14885475.1417942</v>
      </c>
      <c r="O10" s="44" t="n">
        <f aca="false">IF(OR(E101=0,O$3&lt;D101),0,E101*IF(G101=0,H101,MIN(H101,H101*(O$3-D101+1)/MAX(1,G101)))*(1+F101)^(O$3-D101)*$E93)</f>
        <v>14997116.2053577</v>
      </c>
      <c r="P10" s="44" t="n">
        <f aca="false">IF(OR(E101=0,P$3&lt;D101),0,E101*IF(G101=0,H101,MIN(H101,H101*(P$3-D101+1)/MAX(1,G101)))*(1+F101)^(P$3-D101)*$E93)</f>
        <v>15109594.5768979</v>
      </c>
      <c r="Q10" s="44" t="n">
        <f aca="false">IF(OR(E101=0,Q$3&lt;D101),0,E101*IF(G101=0,H101,MIN(H101,H101*(Q$3-D101+1)/MAX(1,G101)))*(1+F101)^(Q$3-D101)*$E93)</f>
        <v>15222916.5362246</v>
      </c>
      <c r="R10" s="44" t="n">
        <f aca="false">IF(OR(E101=0,R$3&lt;D101),0,E101*IF(G101=0,H101,MIN(H101,H101*(R$3-D101+1)/MAX(1,G101)))*(1+F101)^(R$3-D101)*$E93)</f>
        <v>15337088.4102463</v>
      </c>
      <c r="S10" s="44" t="n">
        <f aca="false">IF(OR(E101=0,S$3&lt;D101),0,E101*IF(G101=0,H101,MIN(H101,H101*(S$3-D101+1)/MAX(1,G101)))*(1+F101)^(S$3-D101)*$E93)</f>
        <v>15452116.5733231</v>
      </c>
      <c r="T10" s="44" t="n">
        <f aca="false">IF(OR(E101=0,T$3&lt;D101),0,E101*IF(G101=0,H101,MIN(H101,H101*(T$3-D101+1)/MAX(1,G101)))*(1+F101)^(T$3-D101)*$E93)</f>
        <v>15568007.4476231</v>
      </c>
      <c r="U10" s="44" t="n">
        <f aca="false">IF(OR(E101=0,U$3&lt;D101),0,E101*IF(G101=0,H101,MIN(H101,H101*(U$3-D101+1)/MAX(1,G101)))*(1+F101)^(U$3-D101)*$E93)</f>
        <v>15684767.5034802</v>
      </c>
      <c r="V10" s="44" t="n">
        <f aca="false">IF(OR(E101=0,V$3&lt;D101),0,E101*IF(G101=0,H101,MIN(H101,H101*(V$3-D101+1)/MAX(1,G101)))*(1+F101)^(V$3-D101)*$E93)</f>
        <v>15802403.2597563</v>
      </c>
      <c r="W10" s="44" t="n">
        <f aca="false">IF(OR(E101=0,W$3&lt;D101),0,E101*IF(G101=0,H101,MIN(H101,H101*(W$3-D101+1)/MAX(1,G101)))*(1+F101)^(W$3-D101)*$E93)</f>
        <v>15920921.2842045</v>
      </c>
      <c r="X10" s="44" t="n">
        <f aca="false">IF(OR(E101=0,X$3&lt;D101),0,E101*IF(G101=0,H101,MIN(H101,H101*(X$3-D101+1)/MAX(1,G101)))*(1+F101)^(X$3-D101)*$E93)</f>
        <v>16040328.193836</v>
      </c>
      <c r="Y10" s="44" t="n">
        <f aca="false">IF(OR(E101=0,Y$3&lt;D101),0,E101*IF(G101=0,H101,MIN(H101,H101*(Y$3-D101+1)/MAX(1,G101)))*(1+F101)^(Y$3-D101)*$E93)</f>
        <v>16160630.6552898</v>
      </c>
      <c r="Z10" s="44" t="n">
        <f aca="false">IF(OR(E101=0,Z$3&lt;D101),0,E101*IF(G101=0,H101,MIN(H101,H101*(Z$3-D101+1)/MAX(1,G101)))*(1+F101)^(Z$3-D101)*$E93)</f>
        <v>16281835.3852045</v>
      </c>
      <c r="AA10" s="44" t="n">
        <f aca="false">IF(OR(E101=0,AA$3&lt;D101),0,E101*IF(G101=0,H101,MIN(H101,H101*(AA$3-D101+1)/MAX(1,G101)))*(1+F101)^(AA$3-D101)*$E93)</f>
        <v>16403949.1505935</v>
      </c>
      <c r="AB10" s="44" t="n">
        <f aca="false">IF(OR(E101=0,AB$3&lt;D101),0,E101*IF(G101=0,H101,MIN(H101,H101*(AB$3-D101+1)/MAX(1,G101)))*(1+F101)^(AB$3-D101)*$E93)</f>
        <v>16526978.769223</v>
      </c>
      <c r="AC10" s="44" t="n">
        <f aca="false">IF(OR(E101=0,AC$3&lt;D101),0,E101*IF(G101=0,H101,MIN(H101,H101*(AC$3-D101+1)/MAX(1,G101)))*(1+F101)^(AC$3-D101)*$E93)</f>
        <v>16650931.1099921</v>
      </c>
      <c r="AD10" s="44" t="n">
        <f aca="false">IF(OR(E101=0,AD$3&lt;D101),0,E101*IF(G101=0,H101,MIN(H101,H101*(AD$3-D101+1)/MAX(1,G101)))*(1+F101)^(AD$3-D101)*$E93)</f>
        <v>16775813.0933171</v>
      </c>
      <c r="AE10" s="44" t="n">
        <f aca="false">IF(OR(E101=0,AE$3&lt;D101),0,E101*IF(G101=0,H101,MIN(H101,H101*(AE$3-D101+1)/MAX(1,G101)))*(1+F101)^(AE$3-D101)*$E93)</f>
        <v>16901631.691517</v>
      </c>
      <c r="AF10" s="44" t="n">
        <f aca="false">IF(OR(E101=0,AF$3&lt;D101),0,E101*IF(G101=0,H101,MIN(H101,H101*(AF$3-D101+1)/MAX(1,G101)))*(1+F101)^(AF$3-D101)*$E93)</f>
        <v>17028393.9292033</v>
      </c>
      <c r="AG10" s="44" t="n">
        <f aca="false">IF(OR(E101=0,AG$3&lt;D101),0,E101*IF(G101=0,H101,MIN(H101,H101*(AG$3-D101+1)/MAX(1,G101)))*(1+F101)^(AG$3-D101)*$E93)</f>
        <v>17156106.8836724</v>
      </c>
      <c r="AH10" s="44" t="n">
        <f aca="false">IF(OR(E101=0,AH$3&lt;D101),0,E101*IF(G101=0,H101,MIN(H101,H101*(AH$3-D101+1)/MAX(1,G101)))*(1+F101)^(AH$3-D101)*$E93)</f>
        <v>17284777.6852999</v>
      </c>
      <c r="AI10" s="44" t="n">
        <f aca="false">IF(OR(E101=0,AI$3&lt;D101),0,E101*IF(G101=0,H101,MIN(H101,H101*(AI$3-D101+1)/MAX(1,G101)))*(1+F101)^(AI$3-D101)*$E93)</f>
        <v>17414413.5179397</v>
      </c>
      <c r="AJ10" s="44" t="n">
        <f aca="false">IF(OR(E101=0,AJ$3&lt;D101),0,E101*IF(G101=0,H101,MIN(H101,H101*(AJ$3-D101+1)/MAX(1,G101)))*(1+F101)^(AJ$3-D101)*$E93)</f>
        <v>17545021.6193242</v>
      </c>
      <c r="AK10" s="44" t="n">
        <f aca="false">IF(OR(E101=0,AK$3&lt;D101),0,E101*IF(G101=0,H101,MIN(H101,H101*(AK$3-D101+1)/MAX(1,G101)))*(1+F101)^(AK$3-D101)*$E93)</f>
        <v>17676609.2814691</v>
      </c>
      <c r="AL10" s="44" t="n">
        <f aca="false">IF(OR(E101=0,AL$3&lt;D101),0,E101*IF(G101=0,H101,MIN(H101,H101*(AL$3-D101+1)/MAX(1,G101)))*(1+F101)^(AL$3-D101)*$E93)</f>
        <v>17809183.8510802</v>
      </c>
      <c r="AM10" s="44" t="n">
        <f aca="false">IF(OR(E101=0,AM$3&lt;D101),0,E101*IF(G101=0,H101,MIN(H101,H101*(AM$3-D101+1)/MAX(1,G101)))*(1+F101)^(AM$3-D101)*$E93)</f>
        <v>17942752.7299633</v>
      </c>
      <c r="AN10" s="44" t="n">
        <f aca="false">IF(OR(E101=0,AN$3&lt;D101),0,E101*IF(G101=0,H101,MIN(H101,H101*(AN$3-D101+1)/MAX(1,G101)))*(1+F101)^(AN$3-D101)*$E93)</f>
        <v>18077323.375438</v>
      </c>
      <c r="AO10" s="44" t="n">
        <f aca="false">IF(OR(E101=0,AO$3&lt;D101),0,E101*IF(G101=0,H101,MIN(H101,H101*(AO$3-D101+1)/MAX(1,G101)))*(1+F101)^(AO$3-D101)*$E93)</f>
        <v>18212903.3007538</v>
      </c>
      <c r="AP10" s="44" t="n">
        <f aca="false">IF(OR(E101=0,AP$3&lt;D101),0,E101*IF(G101=0,H101,MIN(H101,H101*(AP$3-D101+1)/MAX(1,G101)))*(1+F101)^(AP$3-D101)*$E93)</f>
        <v>18349500.0755094</v>
      </c>
      <c r="AQ10" s="44" t="n">
        <f aca="false">IF(OR(E101=0,AQ$3&lt;D101),0,E101*IF(G101=0,H101,MIN(H101,H101*(AQ$3-D101+1)/MAX(1,G101)))*(1+F101)^(AQ$3-D101)*$E93)</f>
        <v>18487121.3260758</v>
      </c>
      <c r="AR10" s="44" t="n">
        <f aca="false">IF(OR(E101=0,AR$3&lt;D101),0,E101*IF(G101=0,H101,MIN(H101,H101*(AR$3-D101+1)/MAX(1,G101)))*(1+F101)^(AR$3-D101)*$E93)</f>
        <v>18625774.7360213</v>
      </c>
      <c r="AS10" s="44" t="n">
        <f aca="false">IF(OR(E101=0,AS$3&lt;D101),0,E101*IF(G101=0,H101,MIN(H101,H101*(AS$3-D101+1)/MAX(1,G101)))*(1+F101)^(AS$3-D101)*$E93)</f>
        <v>18765468.0465415</v>
      </c>
      <c r="AT10" s="44" t="n">
        <f aca="false">IF(OR(E101=0,AT$3&lt;D101),0,E101*IF(G101=0,H101,MIN(H101,H101*(AT$3-D101+1)/MAX(1,G101)))*(1+F101)^(AT$3-D101)*$E93)</f>
        <v>18906209.0568906</v>
      </c>
      <c r="AU10" s="44" t="n">
        <f aca="false">IF(OR(E101=0,AU$3&lt;D101),0,E101*IF(G101=0,H101,MIN(H101,H101*(AU$3-D101+1)/MAX(1,G101)))*(1+F101)^(AU$3-D101)*$E93)</f>
        <v>19048005.6248172</v>
      </c>
      <c r="AV10" s="44" t="n">
        <f aca="false">IF(OR(E101=0,AV$3&lt;D101),0,E101*IF(G101=0,H101,MIN(H101,H101*(AV$3-D101+1)/MAX(1,G101)))*(1+F101)^(AV$3-D101)*$E93)</f>
        <v>19190865.6670034</v>
      </c>
      <c r="AW10" s="44" t="n">
        <f aca="false">IF(OR(E101=0,AW$3&lt;D101),0,E101*IF(G101=0,H101,MIN(H101,H101*(AW$3-D101+1)/MAX(1,G101)))*(1+F101)^(AW$3-D101)*$E93)</f>
        <v>19334797.1595059</v>
      </c>
      <c r="AX10" s="44" t="n">
        <f aca="false">IF(OR(E101=0,AX$3&lt;D101),0,E101*IF(G101=0,H101,MIN(H101,H101*(AX$3-D101+1)/MAX(1,G101)))*(1+F101)^(AX$3-D101)*$E93)</f>
        <v>19479808.1382022</v>
      </c>
      <c r="AY10" s="44" t="n">
        <f aca="false">IF(OR(E101=0,AY$3&lt;D101),0,E101*IF(G101=0,H101,MIN(H101,H101*(AY$3-D101+1)/MAX(1,G101)))*(1+F101)^(AY$3-D101)*$E93)</f>
        <v>19625906.6992387</v>
      </c>
      <c r="AZ10" s="44" t="n">
        <f aca="false">IF(OR(E101=0,AZ$3&lt;D101),0,E101*IF(G101=0,H101,MIN(H101,H101*(AZ$3-D101+1)/MAX(1,G101)))*(1+F101)^(AZ$3-D101)*$E93)</f>
        <v>19773100.999483</v>
      </c>
      <c r="BA10" s="44" t="n">
        <f aca="false">IF(OR(E101=0,BA$3&lt;D101),0,E101*IF(G101=0,H101,MIN(H101,H101*(BA$3-D101+1)/MAX(1,G101)))*(1+F101)^(BA$3-D101)*$E93)</f>
        <v>19921399.2569791</v>
      </c>
      <c r="BB10" s="44" t="n">
        <f aca="false">IF(OR(E101=0,BB$3&lt;D101),0,E101*IF(G101=0,H101,MIN(H101,H101*(BB$3-D101+1)/MAX(1,G101)))*(1+F101)^(BB$3-D101)*$E93)</f>
        <v>20070809.7514065</v>
      </c>
    </row>
    <row r="11" customFormat="false" ht="15" hidden="false" customHeight="true" outlineLevel="0" collapsed="false">
      <c r="A11" s="44" t="n">
        <f aca="false">A102</f>
        <v>8</v>
      </c>
      <c r="B11" s="44" t="str">
        <f aca="false">B102</f>
        <v>Flexible Block (Office)</v>
      </c>
      <c r="C11" s="44" t="str">
        <f aca="false">C102</f>
        <v>ZAN 2</v>
      </c>
      <c r="D11" s="44" t="n">
        <f aca="false">SUM(E11:BB11)</f>
        <v>369623452.117358</v>
      </c>
      <c r="E11" s="44" t="n">
        <f aca="false">IF(OR(E102=0,E$3&lt;D102),0,E102*IF(G102=0,H102,MIN(H102,H102*(E$3-D102+1)/MAX(1,G102)))*(1+F102)^(E$3-D102)*$E93)</f>
        <v>0</v>
      </c>
      <c r="F11" s="44" t="n">
        <f aca="false">IF(OR(E102=0,F$3&lt;D102),0,E102*IF(G102=0,H102,MIN(H102,H102*(F$3-D102+1)/MAX(1,G102)))*(1+F102)^(F$3-D102)*$E93)</f>
        <v>0</v>
      </c>
      <c r="G11" s="44" t="n">
        <f aca="false">IF(OR(E102=0,G$3&lt;D102),0,E102*IF(G102=0,H102,MIN(H102,H102*(G$3-D102+1)/MAX(1,G102)))*(1+F102)^(G$3-D102)*$E93)</f>
        <v>0</v>
      </c>
      <c r="H11" s="44" t="n">
        <f aca="false">IF(OR(E102=0,H$3&lt;D102),0,E102*IF(G102=0,H102,MIN(H102,H102*(H$3-D102+1)/MAX(1,G102)))*(1+F102)^(H$3-D102)*$E93)</f>
        <v>0</v>
      </c>
      <c r="I11" s="44" t="n">
        <f aca="false">IF(OR(E102=0,I$3&lt;D102),0,E102*IF(G102=0,H102,MIN(H102,H102*(I$3-D102+1)/MAX(1,G102)))*(1+F102)^(I$3-D102)*$E93)</f>
        <v>0</v>
      </c>
      <c r="J11" s="44" t="n">
        <f aca="false">IF(OR(E102=0,J$3&lt;D102),0,E102*IF(G102=0,H102,MIN(H102,H102*(J$3-D102+1)/MAX(1,G102)))*(1+F102)^(J$3-D102)*$E93)</f>
        <v>0</v>
      </c>
      <c r="K11" s="44" t="n">
        <f aca="false">IF(OR(E102=0,K$3&lt;D102),0,E102*IF(G102=0,H102,MIN(H102,H102*(K$3-D102+1)/MAX(1,G102)))*(1+F102)^(K$3-D102)*$E93)</f>
        <v>2420664</v>
      </c>
      <c r="L11" s="44" t="n">
        <f aca="false">IF(OR(E102=0,L$3&lt;D102),0,E102*IF(G102=0,H102,MIN(H102,H102*(L$3-D102+1)/MAX(1,G102)))*(1+F102)^(L$3-D102)*$E93)</f>
        <v>4877637.96</v>
      </c>
      <c r="M11" s="44" t="n">
        <f aca="false">IF(OR(E102=0,M$3&lt;D102),0,E102*IF(G102=0,H102,MIN(H102,H102*(M$3-D102+1)/MAX(1,G102)))*(1+F102)^(M$3-D102)*$E93)</f>
        <v>7371330.36705</v>
      </c>
      <c r="N11" s="44" t="n">
        <f aca="false">IF(OR(E102=0,N$3&lt;D102),0,E102*IF(G102=0,H102,MIN(H102,H102*(N$3-D102+1)/MAX(1,G102)))*(1+F102)^(N$3-D102)*$E93)</f>
        <v>7426615.34480288</v>
      </c>
      <c r="O11" s="44" t="n">
        <f aca="false">IF(OR(E102=0,O$3&lt;D102),0,E102*IF(G102=0,H102,MIN(H102,H102*(O$3-D102+1)/MAX(1,G102)))*(1+F102)^(O$3-D102)*$E93)</f>
        <v>7482314.9598889</v>
      </c>
      <c r="P11" s="44" t="n">
        <f aca="false">IF(OR(E102=0,P$3&lt;D102),0,E102*IF(G102=0,H102,MIN(H102,H102*(P$3-D102+1)/MAX(1,G102)))*(1+F102)^(P$3-D102)*$E93)</f>
        <v>7538432.32208807</v>
      </c>
      <c r="Q11" s="44" t="n">
        <f aca="false">IF(OR(E102=0,Q$3&lt;D102),0,E102*IF(G102=0,H102,MIN(H102,H102*(Q$3-D102+1)/MAX(1,G102)))*(1+F102)^(Q$3-D102)*$E93)</f>
        <v>7594970.56450373</v>
      </c>
      <c r="R11" s="44" t="n">
        <f aca="false">IF(OR(E102=0,R$3&lt;D102),0,E102*IF(G102=0,H102,MIN(H102,H102*(R$3-D102+1)/MAX(1,G102)))*(1+F102)^(R$3-D102)*$E93)</f>
        <v>7651932.8437375</v>
      </c>
      <c r="S11" s="44" t="n">
        <f aca="false">IF(OR(E102=0,S$3&lt;D102),0,E102*IF(G102=0,H102,MIN(H102,H102*(S$3-D102+1)/MAX(1,G102)))*(1+F102)^(S$3-D102)*$E93)</f>
        <v>7709322.34006554</v>
      </c>
      <c r="T11" s="44" t="n">
        <f aca="false">IF(OR(E102=0,T$3&lt;D102),0,E102*IF(G102=0,H102,MIN(H102,H102*(T$3-D102+1)/MAX(1,G102)))*(1+F102)^(T$3-D102)*$E93)</f>
        <v>7767142.25761603</v>
      </c>
      <c r="U11" s="44" t="n">
        <f aca="false">IF(OR(E102=0,U$3&lt;D102),0,E102*IF(G102=0,H102,MIN(H102,H102*(U$3-D102+1)/MAX(1,G102)))*(1+F102)^(U$3-D102)*$E93)</f>
        <v>7825395.82454815</v>
      </c>
      <c r="V11" s="44" t="n">
        <f aca="false">IF(OR(E102=0,V$3&lt;D102),0,E102*IF(G102=0,H102,MIN(H102,H102*(V$3-D102+1)/MAX(1,G102)))*(1+F102)^(V$3-D102)*$E93)</f>
        <v>7884086.29323226</v>
      </c>
      <c r="W11" s="44" t="n">
        <f aca="false">IF(OR(E102=0,W$3&lt;D102),0,E102*IF(G102=0,H102,MIN(H102,H102*(W$3-D102+1)/MAX(1,G102)))*(1+F102)^(W$3-D102)*$E93)</f>
        <v>7943216.9404315</v>
      </c>
      <c r="X11" s="44" t="n">
        <f aca="false">IF(OR(E102=0,X$3&lt;D102),0,E102*IF(G102=0,H102,MIN(H102,H102*(X$3-D102+1)/MAX(1,G102)))*(1+F102)^(X$3-D102)*$E93)</f>
        <v>8002791.06748474</v>
      </c>
      <c r="Y11" s="44" t="n">
        <f aca="false">IF(OR(E102=0,Y$3&lt;D102),0,E102*IF(G102=0,H102,MIN(H102,H102*(Y$3-D102+1)/MAX(1,G102)))*(1+F102)^(Y$3-D102)*$E93)</f>
        <v>8062812.00049088</v>
      </c>
      <c r="Z11" s="44" t="n">
        <f aca="false">IF(OR(E102=0,Z$3&lt;D102),0,E102*IF(G102=0,H102,MIN(H102,H102*(Z$3-D102+1)/MAX(1,G102)))*(1+F102)^(Z$3-D102)*$E93)</f>
        <v>8123283.09049456</v>
      </c>
      <c r="AA11" s="44" t="n">
        <f aca="false">IF(OR(E102=0,AA$3&lt;D102),0,E102*IF(G102=0,H102,MIN(H102,H102*(AA$3-D102+1)/MAX(1,G102)))*(1+F102)^(AA$3-D102)*$E93)</f>
        <v>8184207.71367327</v>
      </c>
      <c r="AB11" s="44" t="n">
        <f aca="false">IF(OR(E102=0,AB$3&lt;D102),0,E102*IF(G102=0,H102,MIN(H102,H102*(AB$3-D102+1)/MAX(1,G102)))*(1+F102)^(AB$3-D102)*$E93)</f>
        <v>8245589.27152582</v>
      </c>
      <c r="AC11" s="44" t="n">
        <f aca="false">IF(OR(E102=0,AC$3&lt;D102),0,E102*IF(G102=0,H102,MIN(H102,H102*(AC$3-D102+1)/MAX(1,G102)))*(1+F102)^(AC$3-D102)*$E93)</f>
        <v>8307431.19106226</v>
      </c>
      <c r="AD11" s="44" t="n">
        <f aca="false">IF(OR(E102=0,AD$3&lt;D102),0,E102*IF(G102=0,H102,MIN(H102,H102*(AD$3-D102+1)/MAX(1,G102)))*(1+F102)^(AD$3-D102)*$E93)</f>
        <v>8369736.92499523</v>
      </c>
      <c r="AE11" s="44" t="n">
        <f aca="false">IF(OR(E102=0,AE$3&lt;D102),0,E102*IF(G102=0,H102,MIN(H102,H102*(AE$3-D102+1)/MAX(1,G102)))*(1+F102)^(AE$3-D102)*$E93)</f>
        <v>8432509.95193269</v>
      </c>
      <c r="AF11" s="44" t="n">
        <f aca="false">IF(OR(E102=0,AF$3&lt;D102),0,E102*IF(G102=0,H102,MIN(H102,H102*(AF$3-D102+1)/MAX(1,G102)))*(1+F102)^(AF$3-D102)*$E93)</f>
        <v>8495753.77657219</v>
      </c>
      <c r="AG11" s="44" t="n">
        <f aca="false">IF(OR(E102=0,AG$3&lt;D102),0,E102*IF(G102=0,H102,MIN(H102,H102*(AG$3-D102+1)/MAX(1,G102)))*(1+F102)^(AG$3-D102)*$E93)</f>
        <v>8559471.92989648</v>
      </c>
      <c r="AH11" s="44" t="n">
        <f aca="false">IF(OR(E102=0,AH$3&lt;D102),0,E102*IF(G102=0,H102,MIN(H102,H102*(AH$3-D102+1)/MAX(1,G102)))*(1+F102)^(AH$3-D102)*$E93)</f>
        <v>8623667.96937071</v>
      </c>
      <c r="AI11" s="44" t="n">
        <f aca="false">IF(OR(E102=0,AI$3&lt;D102),0,E102*IF(G102=0,H102,MIN(H102,H102*(AI$3-D102+1)/MAX(1,G102)))*(1+F102)^(AI$3-D102)*$E93)</f>
        <v>8688345.47914099</v>
      </c>
      <c r="AJ11" s="44" t="n">
        <f aca="false">IF(OR(E102=0,AJ$3&lt;D102),0,E102*IF(G102=0,H102,MIN(H102,H102*(AJ$3-D102+1)/MAX(1,G102)))*(1+F102)^(AJ$3-D102)*$E93)</f>
        <v>8753508.07023455</v>
      </c>
      <c r="AK11" s="44" t="n">
        <f aca="false">IF(OR(E102=0,AK$3&lt;D102),0,E102*IF(G102=0,H102,MIN(H102,H102*(AK$3-D102+1)/MAX(1,G102)))*(1+F102)^(AK$3-D102)*$E93)</f>
        <v>8819159.3807613</v>
      </c>
      <c r="AL11" s="44" t="n">
        <f aca="false">IF(OR(E102=0,AL$3&lt;D102),0,E102*IF(G102=0,H102,MIN(H102,H102*(AL$3-D102+1)/MAX(1,G102)))*(1+F102)^(AL$3-D102)*$E93)</f>
        <v>8885303.07611701</v>
      </c>
      <c r="AM11" s="44" t="n">
        <f aca="false">IF(OR(E102=0,AM$3&lt;D102),0,E102*IF(G102=0,H102,MIN(H102,H102*(AM$3-D102+1)/MAX(1,G102)))*(1+F102)^(AM$3-D102)*$E93)</f>
        <v>8951942.84918789</v>
      </c>
      <c r="AN11" s="44" t="n">
        <f aca="false">IF(OR(E102=0,AN$3&lt;D102),0,E102*IF(G102=0,H102,MIN(H102,H102*(AN$3-D102+1)/MAX(1,G102)))*(1+F102)^(AN$3-D102)*$E93)</f>
        <v>9019082.4205568</v>
      </c>
      <c r="AO11" s="44" t="n">
        <f aca="false">IF(OR(E102=0,AO$3&lt;D102),0,E102*IF(G102=0,H102,MIN(H102,H102*(AO$3-D102+1)/MAX(1,G102)))*(1+F102)^(AO$3-D102)*$E93)</f>
        <v>9086725.53871098</v>
      </c>
      <c r="AP11" s="44" t="n">
        <f aca="false">IF(OR(E102=0,AP$3&lt;D102),0,E102*IF(G102=0,H102,MIN(H102,H102*(AP$3-D102+1)/MAX(1,G102)))*(1+F102)^(AP$3-D102)*$E93)</f>
        <v>9154875.98025131</v>
      </c>
      <c r="AQ11" s="44" t="n">
        <f aca="false">IF(OR(E102=0,AQ$3&lt;D102),0,E102*IF(G102=0,H102,MIN(H102,H102*(AQ$3-D102+1)/MAX(1,G102)))*(1+F102)^(AQ$3-D102)*$E93)</f>
        <v>9223537.5501032</v>
      </c>
      <c r="AR11" s="44" t="n">
        <f aca="false">IF(OR(E102=0,AR$3&lt;D102),0,E102*IF(G102=0,H102,MIN(H102,H102*(AR$3-D102+1)/MAX(1,G102)))*(1+F102)^(AR$3-D102)*$E93)</f>
        <v>9292714.08172897</v>
      </c>
      <c r="AS11" s="44" t="n">
        <f aca="false">IF(OR(E102=0,AS$3&lt;D102),0,E102*IF(G102=0,H102,MIN(H102,H102*(AS$3-D102+1)/MAX(1,G102)))*(1+F102)^(AS$3-D102)*$E93)</f>
        <v>9362409.43734194</v>
      </c>
      <c r="AT11" s="44" t="n">
        <f aca="false">IF(OR(E102=0,AT$3&lt;D102),0,E102*IF(G102=0,H102,MIN(H102,H102*(AT$3-D102+1)/MAX(1,G102)))*(1+F102)^(AT$3-D102)*$E93)</f>
        <v>9432627.50812201</v>
      </c>
      <c r="AU11" s="44" t="n">
        <f aca="false">IF(OR(E102=0,AU$3&lt;D102),0,E102*IF(G102=0,H102,MIN(H102,H102*(AU$3-D102+1)/MAX(1,G102)))*(1+F102)^(AU$3-D102)*$E93)</f>
        <v>9503372.21443292</v>
      </c>
      <c r="AV11" s="44" t="n">
        <f aca="false">IF(OR(E102=0,AV$3&lt;D102),0,E102*IF(G102=0,H102,MIN(H102,H102*(AV$3-D102+1)/MAX(1,G102)))*(1+F102)^(AV$3-D102)*$E93)</f>
        <v>9574647.50604117</v>
      </c>
      <c r="AW11" s="44" t="n">
        <f aca="false">IF(OR(E102=0,AW$3&lt;D102),0,E102*IF(G102=0,H102,MIN(H102,H102*(AW$3-D102+1)/MAX(1,G102)))*(1+F102)^(AW$3-D102)*$E93)</f>
        <v>9646457.36233648</v>
      </c>
      <c r="AX11" s="44" t="n">
        <f aca="false">IF(OR(E102=0,AX$3&lt;D102),0,E102*IF(G102=0,H102,MIN(H102,H102*(AX$3-D102+1)/MAX(1,G102)))*(1+F102)^(AX$3-D102)*$E93)</f>
        <v>9718805.792554</v>
      </c>
      <c r="AY11" s="44" t="n">
        <f aca="false">IF(OR(E102=0,AY$3&lt;D102),0,E102*IF(G102=0,H102,MIN(H102,H102*(AY$3-D102+1)/MAX(1,G102)))*(1+F102)^(AY$3-D102)*$E93)</f>
        <v>9791696.83599816</v>
      </c>
      <c r="AZ11" s="44" t="n">
        <f aca="false">IF(OR(E102=0,AZ$3&lt;D102),0,E102*IF(G102=0,H102,MIN(H102,H102*(AZ$3-D102+1)/MAX(1,G102)))*(1+F102)^(AZ$3-D102)*$E93)</f>
        <v>9865134.56226814</v>
      </c>
      <c r="BA11" s="44" t="n">
        <f aca="false">IF(OR(E102=0,BA$3&lt;D102),0,E102*IF(G102=0,H102,MIN(H102,H102*(BA$3-D102+1)/MAX(1,G102)))*(1+F102)^(BA$3-D102)*$E93)</f>
        <v>9939123.07148515</v>
      </c>
      <c r="BB11" s="44" t="n">
        <f aca="false">IF(OR(E102=0,BB$3&lt;D102),0,E102*IF(G102=0,H102,MIN(H102,H102*(BB$3-D102+1)/MAX(1,G102)))*(1+F102)^(BB$3-D102)*$E93)</f>
        <v>10013666.4945213</v>
      </c>
    </row>
    <row r="12" customFormat="false" ht="15" hidden="false" customHeight="true" outlineLevel="0" collapsed="false">
      <c r="A12" s="44" t="n">
        <f aca="false">A103</f>
        <v>9</v>
      </c>
      <c r="B12" s="44" t="str">
        <f aca="false">B103</f>
        <v>Resort</v>
      </c>
      <c r="C12" s="44" t="str">
        <f aca="false">C103</f>
        <v>ZAN 2</v>
      </c>
      <c r="D12" s="44" t="n">
        <f aca="false">SUM(E12:BB12)</f>
        <v>950788859.206585</v>
      </c>
      <c r="E12" s="44" t="n">
        <f aca="false">IF(OR(E103=0,E$3&lt;D103),0,E103*IF(G103=0,H103,MIN(H103,H103*(E$3-D103+1)/MAX(1,G103)))*(1+F103)^(E$3-D103)*$E93)</f>
        <v>0</v>
      </c>
      <c r="F12" s="44" t="n">
        <f aca="false">IF(OR(E103=0,F$3&lt;D103),0,E103*IF(G103=0,H103,MIN(H103,H103*(F$3-D103+1)/MAX(1,G103)))*(1+F103)^(F$3-D103)*$E93)</f>
        <v>0</v>
      </c>
      <c r="G12" s="44" t="n">
        <f aca="false">IF(OR(E103=0,G$3&lt;D103),0,E103*IF(G103=0,H103,MIN(H103,H103*(G$3-D103+1)/MAX(1,G103)))*(1+F103)^(G$3-D103)*$E93)</f>
        <v>0</v>
      </c>
      <c r="H12" s="44" t="n">
        <f aca="false">IF(OR(E103=0,H$3&lt;D103),0,E103*IF(G103=0,H103,MIN(H103,H103*(H$3-D103+1)/MAX(1,G103)))*(1+F103)^(H$3-D103)*$E93)</f>
        <v>0</v>
      </c>
      <c r="I12" s="44" t="n">
        <f aca="false">IF(OR(E103=0,I$3&lt;D103),0,E103*IF(G103=0,H103,MIN(H103,H103*(I$3-D103+1)/MAX(1,G103)))*(1+F103)^(I$3-D103)*$E93)</f>
        <v>0</v>
      </c>
      <c r="J12" s="44" t="n">
        <f aca="false">IF(OR(E103=0,J$3&lt;D103),0,E103*IF(G103=0,H103,MIN(H103,H103*(J$3-D103+1)/MAX(1,G103)))*(1+F103)^(J$3-D103)*$E93)</f>
        <v>0</v>
      </c>
      <c r="K12" s="44" t="n">
        <f aca="false">IF(OR(E103=0,K$3&lt;D103),0,E103*IF(G103=0,H103,MIN(H103,H103*(K$3-D103+1)/MAX(1,G103)))*(1+F103)^(K$3-D103)*$E93)</f>
        <v>0</v>
      </c>
      <c r="L12" s="44" t="n">
        <f aca="false">IF(OR(E103=0,L$3&lt;D103),0,E103*IF(G103=0,H103,MIN(H103,H103*(L$3-D103+1)/MAX(1,G103)))*(1+F103)^(L$3-D103)*$E93)</f>
        <v>4849535.71484375</v>
      </c>
      <c r="M12" s="44" t="n">
        <f aca="false">IF(OR(E103=0,M$3&lt;D103),0,E103*IF(G103=0,H103,MIN(H103,H103*(M$3-D103+1)/MAX(1,G103)))*(1+F103)^(M$3-D103)*$E93)</f>
        <v>9771814.46541016</v>
      </c>
      <c r="N12" s="44" t="n">
        <f aca="false">IF(OR(E103=0,N$3&lt;D103),0,E103*IF(G103=0,H103,MIN(H103,H103*(N$3-D103+1)/MAX(1,G103)))*(1+F103)^(N$3-D103)*$E93)</f>
        <v>14767654.6108511</v>
      </c>
      <c r="O12" s="44" t="n">
        <f aca="false">IF(OR(E103=0,O$3&lt;D103),0,E103*IF(G103=0,H103,MIN(H103,H103*(O$3-D103+1)/MAX(1,G103)))*(1+F103)^(O$3-D103)*$E93)</f>
        <v>19837882.69391</v>
      </c>
      <c r="P12" s="44" t="n">
        <f aca="false">IF(OR(E103=0,P$3&lt;D103),0,E103*IF(G103=0,H103,MIN(H103,H103*(P$3-D103+1)/MAX(1,G103)))*(1+F103)^(P$3-D103)*$E93)</f>
        <v>19986666.8141143</v>
      </c>
      <c r="Q12" s="44" t="n">
        <f aca="false">IF(OR(E103=0,Q$3&lt;D103),0,E103*IF(G103=0,H103,MIN(H103,H103*(Q$3-D103+1)/MAX(1,G103)))*(1+F103)^(Q$3-D103)*$E93)</f>
        <v>20136566.8152202</v>
      </c>
      <c r="R12" s="44" t="n">
        <f aca="false">IF(OR(E103=0,R$3&lt;D103),0,E103*IF(G103=0,H103,MIN(H103,H103*(R$3-D103+1)/MAX(1,G103)))*(1+F103)^(R$3-D103)*$E93)</f>
        <v>20287591.0663343</v>
      </c>
      <c r="S12" s="44" t="n">
        <f aca="false">IF(OR(E103=0,S$3&lt;D103),0,E103*IF(G103=0,H103,MIN(H103,H103*(S$3-D103+1)/MAX(1,G103)))*(1+F103)^(S$3-D103)*$E93)</f>
        <v>20439747.9993318</v>
      </c>
      <c r="T12" s="44" t="n">
        <f aca="false">IF(OR(E103=0,T$3&lt;D103),0,E103*IF(G103=0,H103,MIN(H103,H103*(T$3-D103+1)/MAX(1,G103)))*(1+F103)^(T$3-D103)*$E93)</f>
        <v>20593046.1093268</v>
      </c>
      <c r="U12" s="44" t="n">
        <f aca="false">IF(OR(E103=0,U$3&lt;D103),0,E103*IF(G103=0,H103,MIN(H103,H103*(U$3-D103+1)/MAX(1,G103)))*(1+F103)^(U$3-D103)*$E93)</f>
        <v>20747493.9551468</v>
      </c>
      <c r="V12" s="44" t="n">
        <f aca="false">IF(OR(E103=0,V$3&lt;D103),0,E103*IF(G103=0,H103,MIN(H103,H103*(V$3-D103+1)/MAX(1,G103)))*(1+F103)^(V$3-D103)*$E93)</f>
        <v>20903100.1598104</v>
      </c>
      <c r="W12" s="44" t="n">
        <f aca="false">IF(OR(E103=0,W$3&lt;D103),0,E103*IF(G103=0,H103,MIN(H103,H103*(W$3-D103+1)/MAX(1,G103)))*(1+F103)^(W$3-D103)*$E93)</f>
        <v>21059873.4110089</v>
      </c>
      <c r="X12" s="44" t="n">
        <f aca="false">IF(OR(E103=0,X$3&lt;D103),0,E103*IF(G103=0,H103,MIN(H103,H103*(X$3-D103+1)/MAX(1,G103)))*(1+F103)^(X$3-D103)*$E93)</f>
        <v>21217822.4615915</v>
      </c>
      <c r="Y12" s="44" t="n">
        <f aca="false">IF(OR(E103=0,Y$3&lt;D103),0,E103*IF(G103=0,H103,MIN(H103,H103*(Y$3-D103+1)/MAX(1,G103)))*(1+F103)^(Y$3-D103)*$E93)</f>
        <v>21376956.1300535</v>
      </c>
      <c r="Z12" s="44" t="n">
        <f aca="false">IF(OR(E103=0,Z$3&lt;D103),0,E103*IF(G103=0,H103,MIN(H103,H103*(Z$3-D103+1)/MAX(1,G103)))*(1+F103)^(Z$3-D103)*$E93)</f>
        <v>21537283.3010289</v>
      </c>
      <c r="AA12" s="44" t="n">
        <f aca="false">IF(OR(E103=0,AA$3&lt;D103),0,E103*IF(G103=0,H103,MIN(H103,H103*(AA$3-D103+1)/MAX(1,G103)))*(1+F103)^(AA$3-D103)*$E93)</f>
        <v>21698812.9257866</v>
      </c>
      <c r="AB12" s="44" t="n">
        <f aca="false">IF(OR(E103=0,AB$3&lt;D103),0,E103*IF(G103=0,H103,MIN(H103,H103*(AB$3-D103+1)/MAX(1,G103)))*(1+F103)^(AB$3-D103)*$E93)</f>
        <v>21861554.02273</v>
      </c>
      <c r="AC12" s="44" t="n">
        <f aca="false">IF(OR(E103=0,AC$3&lt;D103),0,E103*IF(G103=0,H103,MIN(H103,H103*(AC$3-D103+1)/MAX(1,G103)))*(1+F103)^(AC$3-D103)*$E93)</f>
        <v>22025515.6779005</v>
      </c>
      <c r="AD12" s="44" t="n">
        <f aca="false">IF(OR(E103=0,AD$3&lt;D103),0,E103*IF(G103=0,H103,MIN(H103,H103*(AD$3-D103+1)/MAX(1,G103)))*(1+F103)^(AD$3-D103)*$E93)</f>
        <v>22190707.0454847</v>
      </c>
      <c r="AE12" s="44" t="n">
        <f aca="false">IF(OR(E103=0,AE$3&lt;D103),0,E103*IF(G103=0,H103,MIN(H103,H103*(AE$3-D103+1)/MAX(1,G103)))*(1+F103)^(AE$3-D103)*$E93)</f>
        <v>22357137.3483258</v>
      </c>
      <c r="AF12" s="44" t="n">
        <f aca="false">IF(OR(E103=0,AF$3&lt;D103),0,E103*IF(G103=0,H103,MIN(H103,H103*(AF$3-D103+1)/MAX(1,G103)))*(1+F103)^(AF$3-D103)*$E93)</f>
        <v>22524815.8784383</v>
      </c>
      <c r="AG12" s="44" t="n">
        <f aca="false">IF(OR(E103=0,AG$3&lt;D103),0,E103*IF(G103=0,H103,MIN(H103,H103*(AG$3-D103+1)/MAX(1,G103)))*(1+F103)^(AG$3-D103)*$E93)</f>
        <v>22693751.9975266</v>
      </c>
      <c r="AH12" s="44" t="n">
        <f aca="false">IF(OR(E103=0,AH$3&lt;D103),0,E103*IF(G103=0,H103,MIN(H103,H103*(AH$3-D103+1)/MAX(1,G103)))*(1+F103)^(AH$3-D103)*$E93)</f>
        <v>22863955.137508</v>
      </c>
      <c r="AI12" s="44" t="n">
        <f aca="false">IF(OR(E103=0,AI$3&lt;D103),0,E103*IF(G103=0,H103,MIN(H103,H103*(AI$3-D103+1)/MAX(1,G103)))*(1+F103)^(AI$3-D103)*$E93)</f>
        <v>23035434.8010393</v>
      </c>
      <c r="AJ12" s="44" t="n">
        <f aca="false">IF(OR(E103=0,AJ$3&lt;D103),0,E103*IF(G103=0,H103,MIN(H103,H103*(AJ$3-D103+1)/MAX(1,G103)))*(1+F103)^(AJ$3-D103)*$E93)</f>
        <v>23208200.5620471</v>
      </c>
      <c r="AK12" s="44" t="n">
        <f aca="false">IF(OR(E103=0,AK$3&lt;D103),0,E103*IF(G103=0,H103,MIN(H103,H103*(AK$3-D103+1)/MAX(1,G103)))*(1+F103)^(AK$3-D103)*$E93)</f>
        <v>23382262.0662625</v>
      </c>
      <c r="AL12" s="44" t="n">
        <f aca="false">IF(OR(E103=0,AL$3&lt;D103),0,E103*IF(G103=0,H103,MIN(H103,H103*(AL$3-D103+1)/MAX(1,G103)))*(1+F103)^(AL$3-D103)*$E93)</f>
        <v>23557629.0317595</v>
      </c>
      <c r="AM12" s="44" t="n">
        <f aca="false">IF(OR(E103=0,AM$3&lt;D103),0,E103*IF(G103=0,H103,MIN(H103,H103*(AM$3-D103+1)/MAX(1,G103)))*(1+F103)^(AM$3-D103)*$E93)</f>
        <v>23734311.2494977</v>
      </c>
      <c r="AN12" s="44" t="n">
        <f aca="false">IF(OR(E103=0,AN$3&lt;D103),0,E103*IF(G103=0,H103,MIN(H103,H103*(AN$3-D103+1)/MAX(1,G103)))*(1+F103)^(AN$3-D103)*$E93)</f>
        <v>23912318.5838689</v>
      </c>
      <c r="AO12" s="44" t="n">
        <f aca="false">IF(OR(E103=0,AO$3&lt;D103),0,E103*IF(G103=0,H103,MIN(H103,H103*(AO$3-D103+1)/MAX(1,G103)))*(1+F103)^(AO$3-D103)*$E93)</f>
        <v>24091660.9732479</v>
      </c>
      <c r="AP12" s="44" t="n">
        <f aca="false">IF(OR(E103=0,AP$3&lt;D103),0,E103*IF(G103=0,H103,MIN(H103,H103*(AP$3-D103+1)/MAX(1,G103)))*(1+F103)^(AP$3-D103)*$E93)</f>
        <v>24272348.4305473</v>
      </c>
      <c r="AQ12" s="44" t="n">
        <f aca="false">IF(OR(E103=0,AQ$3&lt;D103),0,E103*IF(G103=0,H103,MIN(H103,H103*(AQ$3-D103+1)/MAX(1,G103)))*(1+F103)^(AQ$3-D103)*$E93)</f>
        <v>24454391.0437764</v>
      </c>
      <c r="AR12" s="44" t="n">
        <f aca="false">IF(OR(E103=0,AR$3&lt;D103),0,E103*IF(G103=0,H103,MIN(H103,H103*(AR$3-D103+1)/MAX(1,G103)))*(1+F103)^(AR$3-D103)*$E93)</f>
        <v>24637798.9766047</v>
      </c>
      <c r="AS12" s="44" t="n">
        <f aca="false">IF(OR(E103=0,AS$3&lt;D103),0,E103*IF(G103=0,H103,MIN(H103,H103*(AS$3-D103+1)/MAX(1,G103)))*(1+F103)^(AS$3-D103)*$E93)</f>
        <v>24822582.4689292</v>
      </c>
      <c r="AT12" s="44" t="n">
        <f aca="false">IF(OR(E103=0,AT$3&lt;D103),0,E103*IF(G103=0,H103,MIN(H103,H103*(AT$3-D103+1)/MAX(1,G103)))*(1+F103)^(AT$3-D103)*$E93)</f>
        <v>25008751.8374462</v>
      </c>
      <c r="AU12" s="44" t="n">
        <f aca="false">IF(OR(E103=0,AU$3&lt;D103),0,E103*IF(G103=0,H103,MIN(H103,H103*(AU$3-D103+1)/MAX(1,G103)))*(1+F103)^(AU$3-D103)*$E93)</f>
        <v>25196317.4762271</v>
      </c>
      <c r="AV12" s="44" t="n">
        <f aca="false">IF(OR(E103=0,AV$3&lt;D103),0,E103*IF(G103=0,H103,MIN(H103,H103*(AV$3-D103+1)/MAX(1,G103)))*(1+F103)^(AV$3-D103)*$E93)</f>
        <v>25385289.8572988</v>
      </c>
      <c r="AW12" s="44" t="n">
        <f aca="false">IF(OR(E103=0,AW$3&lt;D103),0,E103*IF(G103=0,H103,MIN(H103,H103*(AW$3-D103+1)/MAX(1,G103)))*(1+F103)^(AW$3-D103)*$E93)</f>
        <v>25575679.5312285</v>
      </c>
      <c r="AX12" s="44" t="n">
        <f aca="false">IF(OR(E103=0,AX$3&lt;D103),0,E103*IF(G103=0,H103,MIN(H103,H103*(AX$3-D103+1)/MAX(1,G103)))*(1+F103)^(AX$3-D103)*$E93)</f>
        <v>25767497.1277127</v>
      </c>
      <c r="AY12" s="44" t="n">
        <f aca="false">IF(OR(E103=0,AY$3&lt;D103),0,E103*IF(G103=0,H103,MIN(H103,H103*(AY$3-D103+1)/MAX(1,G103)))*(1+F103)^(AY$3-D103)*$E93)</f>
        <v>25960753.3561706</v>
      </c>
      <c r="AZ12" s="44" t="n">
        <f aca="false">IF(OR(E103=0,AZ$3&lt;D103),0,E103*IF(G103=0,H103,MIN(H103,H103*(AZ$3-D103+1)/MAX(1,G103)))*(1+F103)^(AZ$3-D103)*$E93)</f>
        <v>26155459.0063419</v>
      </c>
      <c r="BA12" s="44" t="n">
        <f aca="false">IF(OR(E103=0,BA$3&lt;D103),0,E103*IF(G103=0,H103,MIN(H103,H103*(BA$3-D103+1)/MAX(1,G103)))*(1+F103)^(BA$3-D103)*$E93)</f>
        <v>26351624.9488894</v>
      </c>
      <c r="BB12" s="44" t="n">
        <f aca="false">IF(OR(E103=0,BB$3&lt;D103),0,E103*IF(G103=0,H103,MIN(H103,H103*(BB$3-D103+1)/MAX(1,G103)))*(1+F103)^(BB$3-D103)*$E93)</f>
        <v>26549262.1360061</v>
      </c>
    </row>
    <row r="13" customFormat="false" ht="15" hidden="false" customHeight="true" outlineLevel="0" collapsed="false">
      <c r="A13" s="44" t="n">
        <f aca="false">A104</f>
        <v>10</v>
      </c>
      <c r="B13" s="44" t="str">
        <f aca="false">B104</f>
        <v>Supermarket</v>
      </c>
      <c r="C13" s="44" t="str">
        <f aca="false">C104</f>
        <v>ZAN 2</v>
      </c>
      <c r="D13" s="44" t="n">
        <f aca="false">SUM(E13:BB13)</f>
        <v>86460701.476593</v>
      </c>
      <c r="E13" s="44" t="n">
        <f aca="false">IF(OR(E104=0,E$3&lt;D104),0,E104*IF(G104=0,H104,MIN(H104,H104*(E$3-D104+1)/MAX(1,G104)))*(1+F104)^(E$3-D104)*$E93)</f>
        <v>0</v>
      </c>
      <c r="F13" s="44" t="n">
        <f aca="false">IF(OR(E104=0,F$3&lt;D104),0,E104*IF(G104=0,H104,MIN(H104,H104*(F$3-D104+1)/MAX(1,G104)))*(1+F104)^(F$3-D104)*$E93)</f>
        <v>0</v>
      </c>
      <c r="G13" s="44" t="n">
        <f aca="false">IF(OR(E104=0,G$3&lt;D104),0,E104*IF(G104=0,H104,MIN(H104,H104*(G$3-D104+1)/MAX(1,G104)))*(1+F104)^(G$3-D104)*$E93)</f>
        <v>0</v>
      </c>
      <c r="H13" s="44" t="n">
        <f aca="false">IF(OR(E104=0,H$3&lt;D104),0,E104*IF(G104=0,H104,MIN(H104,H104*(H$3-D104+1)/MAX(1,G104)))*(1+F104)^(H$3-D104)*$E93)</f>
        <v>0</v>
      </c>
      <c r="I13" s="44" t="n">
        <f aca="false">IF(OR(E104=0,I$3&lt;D104),0,E104*IF(G104=0,H104,MIN(H104,H104*(I$3-D104+1)/MAX(1,G104)))*(1+F104)^(I$3-D104)*$E93)</f>
        <v>0</v>
      </c>
      <c r="J13" s="44" t="n">
        <f aca="false">IF(OR(E104=0,J$3&lt;D104),0,E104*IF(G104=0,H104,MIN(H104,H104*(J$3-D104+1)/MAX(1,G104)))*(1+F104)^(J$3-D104)*$E93)</f>
        <v>818910</v>
      </c>
      <c r="K13" s="44" t="n">
        <f aca="false">IF(OR(E104=0,K$3&lt;D104),0,E104*IF(G104=0,H104,MIN(H104,H104*(K$3-D104+1)/MAX(1,G104)))*(1+F104)^(K$3-D104)*$E93)</f>
        <v>1650103.65</v>
      </c>
      <c r="L13" s="44" t="n">
        <f aca="false">IF(OR(E104=0,L$3&lt;D104),0,E104*IF(G104=0,H104,MIN(H104,H104*(L$3-D104+1)/MAX(1,G104)))*(1+F104)^(L$3-D104)*$E93)</f>
        <v>1662479.427375</v>
      </c>
      <c r="M13" s="44" t="n">
        <f aca="false">IF(OR(E104=0,M$3&lt;D104),0,E104*IF(G104=0,H104,MIN(H104,H104*(M$3-D104+1)/MAX(1,G104)))*(1+F104)^(M$3-D104)*$E93)</f>
        <v>1674948.02308031</v>
      </c>
      <c r="N13" s="44" t="n">
        <f aca="false">IF(OR(E104=0,N$3&lt;D104),0,E104*IF(G104=0,H104,MIN(H104,H104*(N$3-D104+1)/MAX(1,G104)))*(1+F104)^(N$3-D104)*$E93)</f>
        <v>1687510.13325342</v>
      </c>
      <c r="O13" s="44" t="n">
        <f aca="false">IF(OR(E104=0,O$3&lt;D104),0,E104*IF(G104=0,H104,MIN(H104,H104*(O$3-D104+1)/MAX(1,G104)))*(1+F104)^(O$3-D104)*$E93)</f>
        <v>1700166.45925282</v>
      </c>
      <c r="P13" s="44" t="n">
        <f aca="false">IF(OR(E104=0,P$3&lt;D104),0,E104*IF(G104=0,H104,MIN(H104,H104*(P$3-D104+1)/MAX(1,G104)))*(1+F104)^(P$3-D104)*$E93)</f>
        <v>1712917.70769721</v>
      </c>
      <c r="Q13" s="44" t="n">
        <f aca="false">IF(OR(E104=0,Q$3&lt;D104),0,E104*IF(G104=0,H104,MIN(H104,H104*(Q$3-D104+1)/MAX(1,G104)))*(1+F104)^(Q$3-D104)*$E93)</f>
        <v>1725764.59050494</v>
      </c>
      <c r="R13" s="44" t="n">
        <f aca="false">IF(OR(E104=0,R$3&lt;D104),0,E104*IF(G104=0,H104,MIN(H104,H104*(R$3-D104+1)/MAX(1,G104)))*(1+F104)^(R$3-D104)*$E93)</f>
        <v>1738707.82493373</v>
      </c>
      <c r="S13" s="44" t="n">
        <f aca="false">IF(OR(E104=0,S$3&lt;D104),0,E104*IF(G104=0,H104,MIN(H104,H104*(S$3-D104+1)/MAX(1,G104)))*(1+F104)^(S$3-D104)*$E93)</f>
        <v>1751748.13362073</v>
      </c>
      <c r="T13" s="44" t="n">
        <f aca="false">IF(OR(E104=0,T$3&lt;D104),0,E104*IF(G104=0,H104,MIN(H104,H104*(T$3-D104+1)/MAX(1,G104)))*(1+F104)^(T$3-D104)*$E93)</f>
        <v>1764886.24462289</v>
      </c>
      <c r="U13" s="44" t="n">
        <f aca="false">IF(OR(E104=0,U$3&lt;D104),0,E104*IF(G104=0,H104,MIN(H104,H104*(U$3-D104+1)/MAX(1,G104)))*(1+F104)^(U$3-D104)*$E93)</f>
        <v>1778122.89145756</v>
      </c>
      <c r="V13" s="44" t="n">
        <f aca="false">IF(OR(E104=0,V$3&lt;D104),0,E104*IF(G104=0,H104,MIN(H104,H104*(V$3-D104+1)/MAX(1,G104)))*(1+F104)^(V$3-D104)*$E93)</f>
        <v>1791458.81314349</v>
      </c>
      <c r="W13" s="44" t="n">
        <f aca="false">IF(OR(E104=0,W$3&lt;D104),0,E104*IF(G104=0,H104,MIN(H104,H104*(W$3-D104+1)/MAX(1,G104)))*(1+F104)^(W$3-D104)*$E93)</f>
        <v>1804894.75424207</v>
      </c>
      <c r="X13" s="44" t="n">
        <f aca="false">IF(OR(E104=0,X$3&lt;D104),0,E104*IF(G104=0,H104,MIN(H104,H104*(X$3-D104+1)/MAX(1,G104)))*(1+F104)^(X$3-D104)*$E93)</f>
        <v>1818431.46489888</v>
      </c>
      <c r="Y13" s="44" t="n">
        <f aca="false">IF(OR(E104=0,Y$3&lt;D104),0,E104*IF(G104=0,H104,MIN(H104,H104*(Y$3-D104+1)/MAX(1,G104)))*(1+F104)^(Y$3-D104)*$E93)</f>
        <v>1832069.70088562</v>
      </c>
      <c r="Z13" s="44" t="n">
        <f aca="false">IF(OR(E104=0,Z$3&lt;D104),0,E104*IF(G104=0,H104,MIN(H104,H104*(Z$3-D104+1)/MAX(1,G104)))*(1+F104)^(Z$3-D104)*$E93)</f>
        <v>1845810.22364227</v>
      </c>
      <c r="AA13" s="44" t="n">
        <f aca="false">IF(OR(E104=0,AA$3&lt;D104),0,E104*IF(G104=0,H104,MIN(H104,H104*(AA$3-D104+1)/MAX(1,G104)))*(1+F104)^(AA$3-D104)*$E93)</f>
        <v>1859653.80031958</v>
      </c>
      <c r="AB13" s="44" t="n">
        <f aca="false">IF(OR(E104=0,AB$3&lt;D104),0,E104*IF(G104=0,H104,MIN(H104,H104*(AB$3-D104+1)/MAX(1,G104)))*(1+F104)^(AB$3-D104)*$E93)</f>
        <v>1873601.20382198</v>
      </c>
      <c r="AC13" s="44" t="n">
        <f aca="false">IF(OR(E104=0,AC$3&lt;D104),0,E104*IF(G104=0,H104,MIN(H104,H104*(AC$3-D104+1)/MAX(1,G104)))*(1+F104)^(AC$3-D104)*$E93)</f>
        <v>1887653.21285065</v>
      </c>
      <c r="AD13" s="44" t="n">
        <f aca="false">IF(OR(E104=0,AD$3&lt;D104),0,E104*IF(G104=0,H104,MIN(H104,H104*(AD$3-D104+1)/MAX(1,G104)))*(1+F104)^(AD$3-D104)*$E93)</f>
        <v>1901810.61194703</v>
      </c>
      <c r="AE13" s="44" t="n">
        <f aca="false">IF(OR(E104=0,AE$3&lt;D104),0,E104*IF(G104=0,H104,MIN(H104,H104*(AE$3-D104+1)/MAX(1,G104)))*(1+F104)^(AE$3-D104)*$E93)</f>
        <v>1916074.19153663</v>
      </c>
      <c r="AF13" s="44" t="n">
        <f aca="false">IF(OR(E104=0,AF$3&lt;D104),0,E104*IF(G104=0,H104,MIN(H104,H104*(AF$3-D104+1)/MAX(1,G104)))*(1+F104)^(AF$3-D104)*$E93)</f>
        <v>1930444.74797315</v>
      </c>
      <c r="AG13" s="44" t="n">
        <f aca="false">IF(OR(E104=0,AG$3&lt;D104),0,E104*IF(G104=0,H104,MIN(H104,H104*(AG$3-D104+1)/MAX(1,G104)))*(1+F104)^(AG$3-D104)*$E93)</f>
        <v>1944923.08358295</v>
      </c>
      <c r="AH13" s="44" t="n">
        <f aca="false">IF(OR(E104=0,AH$3&lt;D104),0,E104*IF(G104=0,H104,MIN(H104,H104*(AH$3-D104+1)/MAX(1,G104)))*(1+F104)^(AH$3-D104)*$E93)</f>
        <v>1959510.00670982</v>
      </c>
      <c r="AI13" s="44" t="n">
        <f aca="false">IF(OR(E104=0,AI$3&lt;D104),0,E104*IF(G104=0,H104,MIN(H104,H104*(AI$3-D104+1)/MAX(1,G104)))*(1+F104)^(AI$3-D104)*$E93)</f>
        <v>1974206.33176015</v>
      </c>
      <c r="AJ13" s="44" t="n">
        <f aca="false">IF(OR(E104=0,AJ$3&lt;D104),0,E104*IF(G104=0,H104,MIN(H104,H104*(AJ$3-D104+1)/MAX(1,G104)))*(1+F104)^(AJ$3-D104)*$E93)</f>
        <v>1989012.87924835</v>
      </c>
      <c r="AK13" s="44" t="n">
        <f aca="false">IF(OR(E104=0,AK$3&lt;D104),0,E104*IF(G104=0,H104,MIN(H104,H104*(AK$3-D104+1)/MAX(1,G104)))*(1+F104)^(AK$3-D104)*$E93)</f>
        <v>2003930.47584271</v>
      </c>
      <c r="AL13" s="44" t="n">
        <f aca="false">IF(OR(E104=0,AL$3&lt;D104),0,E104*IF(G104=0,H104,MIN(H104,H104*(AL$3-D104+1)/MAX(1,G104)))*(1+F104)^(AL$3-D104)*$E93)</f>
        <v>2018959.95441153</v>
      </c>
      <c r="AM13" s="44" t="n">
        <f aca="false">IF(OR(E104=0,AM$3&lt;D104),0,E104*IF(G104=0,H104,MIN(H104,H104*(AM$3-D104+1)/MAX(1,G104)))*(1+F104)^(AM$3-D104)*$E93)</f>
        <v>2034102.15406962</v>
      </c>
      <c r="AN13" s="44" t="n">
        <f aca="false">IF(OR(E104=0,AN$3&lt;D104),0,E104*IF(G104=0,H104,MIN(H104,H104*(AN$3-D104+1)/MAX(1,G104)))*(1+F104)^(AN$3-D104)*$E93)</f>
        <v>2049357.92022514</v>
      </c>
      <c r="AO13" s="44" t="n">
        <f aca="false">IF(OR(E104=0,AO$3&lt;D104),0,E104*IF(G104=0,H104,MIN(H104,H104*(AO$3-D104+1)/MAX(1,G104)))*(1+F104)^(AO$3-D104)*$E93)</f>
        <v>2064728.10462683</v>
      </c>
      <c r="AP13" s="44" t="n">
        <f aca="false">IF(OR(E104=0,AP$3&lt;D104),0,E104*IF(G104=0,H104,MIN(H104,H104*(AP$3-D104+1)/MAX(1,G104)))*(1+F104)^(AP$3-D104)*$E93)</f>
        <v>2080213.56541153</v>
      </c>
      <c r="AQ13" s="44" t="n">
        <f aca="false">IF(OR(E104=0,AQ$3&lt;D104),0,E104*IF(G104=0,H104,MIN(H104,H104*(AQ$3-D104+1)/MAX(1,G104)))*(1+F104)^(AQ$3-D104)*$E93)</f>
        <v>2095815.16715212</v>
      </c>
      <c r="AR13" s="44" t="n">
        <f aca="false">IF(OR(E104=0,AR$3&lt;D104),0,E104*IF(G104=0,H104,MIN(H104,H104*(AR$3-D104+1)/MAX(1,G104)))*(1+F104)^(AR$3-D104)*$E93)</f>
        <v>2111533.78090576</v>
      </c>
      <c r="AS13" s="44" t="n">
        <f aca="false">IF(OR(E104=0,AS$3&lt;D104),0,E104*IF(G104=0,H104,MIN(H104,H104*(AS$3-D104+1)/MAX(1,G104)))*(1+F104)^(AS$3-D104)*$E93)</f>
        <v>2127370.28426255</v>
      </c>
      <c r="AT13" s="44" t="n">
        <f aca="false">IF(OR(E104=0,AT$3&lt;D104),0,E104*IF(G104=0,H104,MIN(H104,H104*(AT$3-D104+1)/MAX(1,G104)))*(1+F104)^(AT$3-D104)*$E93)</f>
        <v>2143325.56139452</v>
      </c>
      <c r="AU13" s="44" t="n">
        <f aca="false">IF(OR(E104=0,AU$3&lt;D104),0,E104*IF(G104=0,H104,MIN(H104,H104*(AU$3-D104+1)/MAX(1,G104)))*(1+F104)^(AU$3-D104)*$E93)</f>
        <v>2159400.50310498</v>
      </c>
      <c r="AV13" s="44" t="n">
        <f aca="false">IF(OR(E104=0,AV$3&lt;D104),0,E104*IF(G104=0,H104,MIN(H104,H104*(AV$3-D104+1)/MAX(1,G104)))*(1+F104)^(AV$3-D104)*$E93)</f>
        <v>2175596.00687827</v>
      </c>
      <c r="AW13" s="44" t="n">
        <f aca="false">IF(OR(E104=0,AW$3&lt;D104),0,E104*IF(G104=0,H104,MIN(H104,H104*(AW$3-D104+1)/MAX(1,G104)))*(1+F104)^(AW$3-D104)*$E93)</f>
        <v>2191912.97692986</v>
      </c>
      <c r="AX13" s="44" t="n">
        <f aca="false">IF(OR(E104=0,AX$3&lt;D104),0,E104*IF(G104=0,H104,MIN(H104,H104*(AX$3-D104+1)/MAX(1,G104)))*(1+F104)^(AX$3-D104)*$E93)</f>
        <v>2208352.32425683</v>
      </c>
      <c r="AY13" s="44" t="n">
        <f aca="false">IF(OR(E104=0,AY$3&lt;D104),0,E104*IF(G104=0,H104,MIN(H104,H104*(AY$3-D104+1)/MAX(1,G104)))*(1+F104)^(AY$3-D104)*$E93)</f>
        <v>2224914.96668876</v>
      </c>
      <c r="AZ13" s="44" t="n">
        <f aca="false">IF(OR(E104=0,AZ$3&lt;D104),0,E104*IF(G104=0,H104,MIN(H104,H104*(AZ$3-D104+1)/MAX(1,G104)))*(1+F104)^(AZ$3-D104)*$E93)</f>
        <v>2241601.82893892</v>
      </c>
      <c r="BA13" s="44" t="n">
        <f aca="false">IF(OR(E104=0,BA$3&lt;D104),0,E104*IF(G104=0,H104,MIN(H104,H104*(BA$3-D104+1)/MAX(1,G104)))*(1+F104)^(BA$3-D104)*$E93)</f>
        <v>2258413.84265596</v>
      </c>
      <c r="BB13" s="44" t="n">
        <f aca="false">IF(OR(E104=0,BB$3&lt;D104),0,E104*IF(G104=0,H104,MIN(H104,H104*(BB$3-D104+1)/MAX(1,G104)))*(1+F104)^(BB$3-D104)*$E93)</f>
        <v>2275351.94647588</v>
      </c>
    </row>
    <row r="14" customFormat="false" ht="15" hidden="false" customHeight="true" outlineLevel="0" collapsed="false">
      <c r="A14" s="44" t="n">
        <f aca="false">A105</f>
        <v>11</v>
      </c>
      <c r="B14" s="44" t="str">
        <f aca="false">B105</f>
        <v>Shops / Cafes</v>
      </c>
      <c r="C14" s="44" t="str">
        <f aca="false">C105</f>
        <v>ZAN 2</v>
      </c>
      <c r="D14" s="44" t="n">
        <f aca="false">SUM(E14:BB14)</f>
        <v>99801818.6183818</v>
      </c>
      <c r="E14" s="44" t="n">
        <f aca="false">IF(OR(E105=0,E$3&lt;D105),0,E105*IF(G105=0,H105,MIN(H105,H105*(E$3-D105+1)/MAX(1,G105)))*(1+F105)^(E$3-D105)*$E93)</f>
        <v>0</v>
      </c>
      <c r="F14" s="44" t="n">
        <f aca="false">IF(OR(E105=0,F$3&lt;D105),0,E105*IF(G105=0,H105,MIN(H105,H105*(F$3-D105+1)/MAX(1,G105)))*(1+F105)^(F$3-D105)*$E93)</f>
        <v>0</v>
      </c>
      <c r="G14" s="44" t="n">
        <f aca="false">IF(OR(E105=0,G$3&lt;D105),0,E105*IF(G105=0,H105,MIN(H105,H105*(G$3-D105+1)/MAX(1,G105)))*(1+F105)^(G$3-D105)*$E93)</f>
        <v>0</v>
      </c>
      <c r="H14" s="44" t="n">
        <f aca="false">IF(OR(E105=0,H$3&lt;D105),0,E105*IF(G105=0,H105,MIN(H105,H105*(H$3-D105+1)/MAX(1,G105)))*(1+F105)^(H$3-D105)*$E93)</f>
        <v>0</v>
      </c>
      <c r="I14" s="44" t="n">
        <f aca="false">IF(OR(E105=0,I$3&lt;D105),0,E105*IF(G105=0,H105,MIN(H105,H105*(I$3-D105+1)/MAX(1,G105)))*(1+F105)^(I$3-D105)*$E93)</f>
        <v>0</v>
      </c>
      <c r="J14" s="44" t="n">
        <f aca="false">IF(OR(E105=0,J$3&lt;D105),0,E105*IF(G105=0,H105,MIN(H105,H105*(J$3-D105+1)/MAX(1,G105)))*(1+F105)^(J$3-D105)*$E93)</f>
        <v>945270</v>
      </c>
      <c r="K14" s="44" t="n">
        <f aca="false">IF(OR(E105=0,K$3&lt;D105),0,E105*IF(G105=0,H105,MIN(H105,H105*(K$3-D105+1)/MAX(1,G105)))*(1+F105)^(K$3-D105)*$E93)</f>
        <v>1904719.05</v>
      </c>
      <c r="L14" s="44" t="n">
        <f aca="false">IF(OR(E105=0,L$3&lt;D105),0,E105*IF(G105=0,H105,MIN(H105,H105*(L$3-D105+1)/MAX(1,G105)))*(1+F105)^(L$3-D105)*$E93)</f>
        <v>1919004.442875</v>
      </c>
      <c r="M14" s="44" t="n">
        <f aca="false">IF(OR(E105=0,M$3&lt;D105),0,E105*IF(G105=0,H105,MIN(H105,H105*(M$3-D105+1)/MAX(1,G105)))*(1+F105)^(M$3-D105)*$E93)</f>
        <v>1933396.97619656</v>
      </c>
      <c r="N14" s="44" t="n">
        <f aca="false">IF(OR(E105=0,N$3&lt;D105),0,E105*IF(G105=0,H105,MIN(H105,H105*(N$3-D105+1)/MAX(1,G105)))*(1+F105)^(N$3-D105)*$E93)</f>
        <v>1947897.45351804</v>
      </c>
      <c r="O14" s="44" t="n">
        <f aca="false">IF(OR(E105=0,O$3&lt;D105),0,E105*IF(G105=0,H105,MIN(H105,H105*(O$3-D105+1)/MAX(1,G105)))*(1+F105)^(O$3-D105)*$E93)</f>
        <v>1962506.68441942</v>
      </c>
      <c r="P14" s="44" t="n">
        <f aca="false">IF(OR(E105=0,P$3&lt;D105),0,E105*IF(G105=0,H105,MIN(H105,H105*(P$3-D105+1)/MAX(1,G105)))*(1+F105)^(P$3-D105)*$E93)</f>
        <v>1977225.48455257</v>
      </c>
      <c r="Q14" s="44" t="n">
        <f aca="false">IF(OR(E105=0,Q$3&lt;D105),0,E105*IF(G105=0,H105,MIN(H105,H105*(Q$3-D105+1)/MAX(1,G105)))*(1+F105)^(Q$3-D105)*$E93)</f>
        <v>1992054.67568671</v>
      </c>
      <c r="R14" s="44" t="n">
        <f aca="false">IF(OR(E105=0,R$3&lt;D105),0,E105*IF(G105=0,H105,MIN(H105,H105*(R$3-D105+1)/MAX(1,G105)))*(1+F105)^(R$3-D105)*$E93)</f>
        <v>2006995.08575436</v>
      </c>
      <c r="S14" s="44" t="n">
        <f aca="false">IF(OR(E105=0,S$3&lt;D105),0,E105*IF(G105=0,H105,MIN(H105,H105*(S$3-D105+1)/MAX(1,G105)))*(1+F105)^(S$3-D105)*$E93)</f>
        <v>2022047.54889752</v>
      </c>
      <c r="T14" s="44" t="n">
        <f aca="false">IF(OR(E105=0,T$3&lt;D105),0,E105*IF(G105=0,H105,MIN(H105,H105*(T$3-D105+1)/MAX(1,G105)))*(1+F105)^(T$3-D105)*$E93)</f>
        <v>2037212.90551425</v>
      </c>
      <c r="U14" s="44" t="n">
        <f aca="false">IF(OR(E105=0,U$3&lt;D105),0,E105*IF(G105=0,H105,MIN(H105,H105*(U$3-D105+1)/MAX(1,G105)))*(1+F105)^(U$3-D105)*$E93)</f>
        <v>2052492.00230561</v>
      </c>
      <c r="V14" s="44" t="n">
        <f aca="false">IF(OR(E105=0,V$3&lt;D105),0,E105*IF(G105=0,H105,MIN(H105,H105*(V$3-D105+1)/MAX(1,G105)))*(1+F105)^(V$3-D105)*$E93)</f>
        <v>2067885.6923229</v>
      </c>
      <c r="W14" s="44" t="n">
        <f aca="false">IF(OR(E105=0,W$3&lt;D105),0,E105*IF(G105=0,H105,MIN(H105,H105*(W$3-D105+1)/MAX(1,G105)))*(1+F105)^(W$3-D105)*$E93)</f>
        <v>2083394.83501532</v>
      </c>
      <c r="X14" s="44" t="n">
        <f aca="false">IF(OR(E105=0,X$3&lt;D105),0,E105*IF(G105=0,H105,MIN(H105,H105*(X$3-D105+1)/MAX(1,G105)))*(1+F105)^(X$3-D105)*$E93)</f>
        <v>2099020.29627794</v>
      </c>
      <c r="Y14" s="44" t="n">
        <f aca="false">IF(OR(E105=0,Y$3&lt;D105),0,E105*IF(G105=0,H105,MIN(H105,H105*(Y$3-D105+1)/MAX(1,G105)))*(1+F105)^(Y$3-D105)*$E93)</f>
        <v>2114762.94850002</v>
      </c>
      <c r="Z14" s="44" t="n">
        <f aca="false">IF(OR(E105=0,Z$3&lt;D105),0,E105*IF(G105=0,H105,MIN(H105,H105*(Z$3-D105+1)/MAX(1,G105)))*(1+F105)^(Z$3-D105)*$E93)</f>
        <v>2130623.67061377</v>
      </c>
      <c r="AA14" s="44" t="n">
        <f aca="false">IF(OR(E105=0,AA$3&lt;D105),0,E105*IF(G105=0,H105,MIN(H105,H105*(AA$3-D105+1)/MAX(1,G105)))*(1+F105)^(AA$3-D105)*$E93)</f>
        <v>2146603.34814338</v>
      </c>
      <c r="AB14" s="44" t="n">
        <f aca="false">IF(OR(E105=0,AB$3&lt;D105),0,E105*IF(G105=0,H105,MIN(H105,H105*(AB$3-D105+1)/MAX(1,G105)))*(1+F105)^(AB$3-D105)*$E93)</f>
        <v>2162702.87325445</v>
      </c>
      <c r="AC14" s="44" t="n">
        <f aca="false">IF(OR(E105=0,AC$3&lt;D105),0,E105*IF(G105=0,H105,MIN(H105,H105*(AC$3-D105+1)/MAX(1,G105)))*(1+F105)^(AC$3-D105)*$E93)</f>
        <v>2178923.14480386</v>
      </c>
      <c r="AD14" s="44" t="n">
        <f aca="false">IF(OR(E105=0,AD$3&lt;D105),0,E105*IF(G105=0,H105,MIN(H105,H105*(AD$3-D105+1)/MAX(1,G105)))*(1+F105)^(AD$3-D105)*$E93)</f>
        <v>2195265.06838989</v>
      </c>
      <c r="AE14" s="44" t="n">
        <f aca="false">IF(OR(E105=0,AE$3&lt;D105),0,E105*IF(G105=0,H105,MIN(H105,H105*(AE$3-D105+1)/MAX(1,G105)))*(1+F105)^(AE$3-D105)*$E93)</f>
        <v>2211729.55640281</v>
      </c>
      <c r="AF14" s="44" t="n">
        <f aca="false">IF(OR(E105=0,AF$3&lt;D105),0,E105*IF(G105=0,H105,MIN(H105,H105*(AF$3-D105+1)/MAX(1,G105)))*(1+F105)^(AF$3-D105)*$E93)</f>
        <v>2228317.52807584</v>
      </c>
      <c r="AG14" s="44" t="n">
        <f aca="false">IF(OR(E105=0,AG$3&lt;D105),0,E105*IF(G105=0,H105,MIN(H105,H105*(AG$3-D105+1)/MAX(1,G105)))*(1+F105)^(AG$3-D105)*$E93)</f>
        <v>2245029.90953641</v>
      </c>
      <c r="AH14" s="44" t="n">
        <f aca="false">IF(OR(E105=0,AH$3&lt;D105),0,E105*IF(G105=0,H105,MIN(H105,H105*(AH$3-D105+1)/MAX(1,G105)))*(1+F105)^(AH$3-D105)*$E93)</f>
        <v>2261867.63385793</v>
      </c>
      <c r="AI14" s="44" t="n">
        <f aca="false">IF(OR(E105=0,AI$3&lt;D105),0,E105*IF(G105=0,H105,MIN(H105,H105*(AI$3-D105+1)/MAX(1,G105)))*(1+F105)^(AI$3-D105)*$E93)</f>
        <v>2278831.64111186</v>
      </c>
      <c r="AJ14" s="44" t="n">
        <f aca="false">IF(OR(E105=0,AJ$3&lt;D105),0,E105*IF(G105=0,H105,MIN(H105,H105*(AJ$3-D105+1)/MAX(1,G105)))*(1+F105)^(AJ$3-D105)*$E93)</f>
        <v>2295922.8784202</v>
      </c>
      <c r="AK14" s="44" t="n">
        <f aca="false">IF(OR(E105=0,AK$3&lt;D105),0,E105*IF(G105=0,H105,MIN(H105,H105*(AK$3-D105+1)/MAX(1,G105)))*(1+F105)^(AK$3-D105)*$E93)</f>
        <v>2313142.30000835</v>
      </c>
      <c r="AL14" s="44" t="n">
        <f aca="false">IF(OR(E105=0,AL$3&lt;D105),0,E105*IF(G105=0,H105,MIN(H105,H105*(AL$3-D105+1)/MAX(1,G105)))*(1+F105)^(AL$3-D105)*$E93)</f>
        <v>2330490.86725842</v>
      </c>
      <c r="AM14" s="44" t="n">
        <f aca="false">IF(OR(E105=0,AM$3&lt;D105),0,E105*IF(G105=0,H105,MIN(H105,H105*(AM$3-D105+1)/MAX(1,G105)))*(1+F105)^(AM$3-D105)*$E93)</f>
        <v>2347969.54876285</v>
      </c>
      <c r="AN14" s="44" t="n">
        <f aca="false">IF(OR(E105=0,AN$3&lt;D105),0,E105*IF(G105=0,H105,MIN(H105,H105*(AN$3-D105+1)/MAX(1,G105)))*(1+F105)^(AN$3-D105)*$E93)</f>
        <v>2365579.32037858</v>
      </c>
      <c r="AO14" s="44" t="n">
        <f aca="false">IF(OR(E105=0,AO$3&lt;D105),0,E105*IF(G105=0,H105,MIN(H105,H105*(AO$3-D105+1)/MAX(1,G105)))*(1+F105)^(AO$3-D105)*$E93)</f>
        <v>2383321.16528142</v>
      </c>
      <c r="AP14" s="44" t="n">
        <f aca="false">IF(OR(E105=0,AP$3&lt;D105),0,E105*IF(G105=0,H105,MIN(H105,H105*(AP$3-D105+1)/MAX(1,G105)))*(1+F105)^(AP$3-D105)*$E93)</f>
        <v>2401196.07402103</v>
      </c>
      <c r="AQ14" s="44" t="n">
        <f aca="false">IF(OR(E105=0,AQ$3&lt;D105),0,E105*IF(G105=0,H105,MIN(H105,H105*(AQ$3-D105+1)/MAX(1,G105)))*(1+F105)^(AQ$3-D105)*$E93)</f>
        <v>2419205.04457618</v>
      </c>
      <c r="AR14" s="44" t="n">
        <f aca="false">IF(OR(E105=0,AR$3&lt;D105),0,E105*IF(G105=0,H105,MIN(H105,H105*(AR$3-D105+1)/MAX(1,G105)))*(1+F105)^(AR$3-D105)*$E93)</f>
        <v>2437349.08241051</v>
      </c>
      <c r="AS14" s="44" t="n">
        <f aca="false">IF(OR(E105=0,AS$3&lt;D105),0,E105*IF(G105=0,H105,MIN(H105,H105*(AS$3-D105+1)/MAX(1,G105)))*(1+F105)^(AS$3-D105)*$E93)</f>
        <v>2455629.20052858</v>
      </c>
      <c r="AT14" s="44" t="n">
        <f aca="false">IF(OR(E105=0,AT$3&lt;D105),0,E105*IF(G105=0,H105,MIN(H105,H105*(AT$3-D105+1)/MAX(1,G105)))*(1+F105)^(AT$3-D105)*$E93)</f>
        <v>2474046.41953255</v>
      </c>
      <c r="AU14" s="44" t="n">
        <f aca="false">IF(OR(E105=0,AU$3&lt;D105),0,E105*IF(G105=0,H105,MIN(H105,H105*(AU$3-D105+1)/MAX(1,G105)))*(1+F105)^(AU$3-D105)*$E93)</f>
        <v>2492601.76767904</v>
      </c>
      <c r="AV14" s="44" t="n">
        <f aca="false">IF(OR(E105=0,AV$3&lt;D105),0,E105*IF(G105=0,H105,MIN(H105,H105*(AV$3-D105+1)/MAX(1,G105)))*(1+F105)^(AV$3-D105)*$E93)</f>
        <v>2511296.28093664</v>
      </c>
      <c r="AW14" s="44" t="n">
        <f aca="false">IF(OR(E105=0,AW$3&lt;D105),0,E105*IF(G105=0,H105,MIN(H105,H105*(AW$3-D105+1)/MAX(1,G105)))*(1+F105)^(AW$3-D105)*$E93)</f>
        <v>2530131.00304366</v>
      </c>
      <c r="AX14" s="44" t="n">
        <f aca="false">IF(OR(E105=0,AX$3&lt;D105),0,E105*IF(G105=0,H105,MIN(H105,H105*(AX$3-D105+1)/MAX(1,G105)))*(1+F105)^(AX$3-D105)*$E93)</f>
        <v>2549106.98556649</v>
      </c>
      <c r="AY14" s="44" t="n">
        <f aca="false">IF(OR(E105=0,AY$3&lt;D105),0,E105*IF(G105=0,H105,MIN(H105,H105*(AY$3-D105+1)/MAX(1,G105)))*(1+F105)^(AY$3-D105)*$E93)</f>
        <v>2568225.28795824</v>
      </c>
      <c r="AZ14" s="44" t="n">
        <f aca="false">IF(OR(E105=0,AZ$3&lt;D105),0,E105*IF(G105=0,H105,MIN(H105,H105*(AZ$3-D105+1)/MAX(1,G105)))*(1+F105)^(AZ$3-D105)*$E93)</f>
        <v>2587486.97761792</v>
      </c>
      <c r="BA14" s="44" t="n">
        <f aca="false">IF(OR(E105=0,BA$3&lt;D105),0,E105*IF(G105=0,H105,MIN(H105,H105*(BA$3-D105+1)/MAX(1,G105)))*(1+F105)^(BA$3-D105)*$E93)</f>
        <v>2606893.12995006</v>
      </c>
      <c r="BB14" s="44" t="n">
        <f aca="false">IF(OR(E105=0,BB$3&lt;D105),0,E105*IF(G105=0,H105,MIN(H105,H105*(BB$3-D105+1)/MAX(1,G105)))*(1+F105)^(BB$3-D105)*$E93)</f>
        <v>2626444.82842468</v>
      </c>
    </row>
    <row r="15" customFormat="false" ht="15" hidden="false" customHeight="true" outlineLevel="0" collapsed="false">
      <c r="A15" s="44" t="n">
        <f aca="false">A106</f>
        <v>12</v>
      </c>
      <c r="B15" s="44" t="str">
        <f aca="false">B106</f>
        <v>Shopping Area</v>
      </c>
      <c r="C15" s="44" t="str">
        <f aca="false">C106</f>
        <v>ZAN 2</v>
      </c>
      <c r="D15" s="44" t="n">
        <f aca="false">SUM(E15:BB15)</f>
        <v>313687292.795394</v>
      </c>
      <c r="E15" s="44" t="n">
        <f aca="false">IF(OR(E106=0,E$3&lt;D106),0,E106*IF(G106=0,H106,MIN(H106,H106*(E$3-D106+1)/MAX(1,G106)))*(1+F106)^(E$3-D106)*$E93)</f>
        <v>0</v>
      </c>
      <c r="F15" s="44" t="n">
        <f aca="false">IF(OR(E106=0,F$3&lt;D106),0,E106*IF(G106=0,H106,MIN(H106,H106*(F$3-D106+1)/MAX(1,G106)))*(1+F106)^(F$3-D106)*$E93)</f>
        <v>0</v>
      </c>
      <c r="G15" s="44" t="n">
        <f aca="false">IF(OR(E106=0,G$3&lt;D106),0,E106*IF(G106=0,H106,MIN(H106,H106*(G$3-D106+1)/MAX(1,G106)))*(1+F106)^(G$3-D106)*$E93)</f>
        <v>0</v>
      </c>
      <c r="H15" s="44" t="n">
        <f aca="false">IF(OR(E106=0,H$3&lt;D106),0,E106*IF(G106=0,H106,MIN(H106,H106*(H$3-D106+1)/MAX(1,G106)))*(1+F106)^(H$3-D106)*$E93)</f>
        <v>0</v>
      </c>
      <c r="I15" s="44" t="n">
        <f aca="false">IF(OR(E106=0,I$3&lt;D106),0,E106*IF(G106=0,H106,MIN(H106,H106*(I$3-D106+1)/MAX(1,G106)))*(1+F106)^(I$3-D106)*$E93)</f>
        <v>0</v>
      </c>
      <c r="J15" s="44" t="n">
        <f aca="false">IF(OR(E106=0,J$3&lt;D106),0,E106*IF(G106=0,H106,MIN(H106,H106*(J$3-D106+1)/MAX(1,G106)))*(1+F106)^(J$3-D106)*$E93)</f>
        <v>2971080</v>
      </c>
      <c r="K15" s="44" t="n">
        <f aca="false">IF(OR(E106=0,K$3&lt;D106),0,E106*IF(G106=0,H106,MIN(H106,H106*(K$3-D106+1)/MAX(1,G106)))*(1+F106)^(K$3-D106)*$E93)</f>
        <v>5986726.2</v>
      </c>
      <c r="L15" s="44" t="n">
        <f aca="false">IF(OR(E106=0,L$3&lt;D106),0,E106*IF(G106=0,H106,MIN(H106,H106*(L$3-D106+1)/MAX(1,G106)))*(1+F106)^(L$3-D106)*$E93)</f>
        <v>6031626.6465</v>
      </c>
      <c r="M15" s="44" t="n">
        <f aca="false">IF(OR(E106=0,M$3&lt;D106),0,E106*IF(G106=0,H106,MIN(H106,H106*(M$3-D106+1)/MAX(1,G106)))*(1+F106)^(M$3-D106)*$E93)</f>
        <v>6076863.84634875</v>
      </c>
      <c r="N15" s="44" t="n">
        <f aca="false">IF(OR(E106=0,N$3&lt;D106),0,E106*IF(G106=0,H106,MIN(H106,H106*(N$3-D106+1)/MAX(1,G106)))*(1+F106)^(N$3-D106)*$E93)</f>
        <v>6122440.32519637</v>
      </c>
      <c r="O15" s="44" t="n">
        <f aca="false">IF(OR(E106=0,O$3&lt;D106),0,E106*IF(G106=0,H106,MIN(H106,H106*(O$3-D106+1)/MAX(1,G106)))*(1+F106)^(O$3-D106)*$E93)</f>
        <v>6168358.62763534</v>
      </c>
      <c r="P15" s="44" t="n">
        <f aca="false">IF(OR(E106=0,P$3&lt;D106),0,E106*IF(G106=0,H106,MIN(H106,H106*(P$3-D106+1)/MAX(1,G106)))*(1+F106)^(P$3-D106)*$E93)</f>
        <v>6214621.31734261</v>
      </c>
      <c r="Q15" s="44" t="n">
        <f aca="false">IF(OR(E106=0,Q$3&lt;D106),0,E106*IF(G106=0,H106,MIN(H106,H106*(Q$3-D106+1)/MAX(1,G106)))*(1+F106)^(Q$3-D106)*$E93)</f>
        <v>6261230.97722268</v>
      </c>
      <c r="R15" s="44" t="n">
        <f aca="false">IF(OR(E106=0,R$3&lt;D106),0,E106*IF(G106=0,H106,MIN(H106,H106*(R$3-D106+1)/MAX(1,G106)))*(1+F106)^(R$3-D106)*$E93)</f>
        <v>6308190.20955185</v>
      </c>
      <c r="S15" s="44" t="n">
        <f aca="false">IF(OR(E106=0,S$3&lt;D106),0,E106*IF(G106=0,H106,MIN(H106,H106*(S$3-D106+1)/MAX(1,G106)))*(1+F106)^(S$3-D106)*$E93)</f>
        <v>6355501.63612349</v>
      </c>
      <c r="T15" s="44" t="n">
        <f aca="false">IF(OR(E106=0,T$3&lt;D106),0,E106*IF(G106=0,H106,MIN(H106,H106*(T$3-D106+1)/MAX(1,G106)))*(1+F106)^(T$3-D106)*$E93)</f>
        <v>6403167.89839441</v>
      </c>
      <c r="U15" s="44" t="n">
        <f aca="false">IF(OR(E106=0,U$3&lt;D106),0,E106*IF(G106=0,H106,MIN(H106,H106*(U$3-D106+1)/MAX(1,G106)))*(1+F106)^(U$3-D106)*$E93)</f>
        <v>6451191.65763237</v>
      </c>
      <c r="V15" s="44" t="n">
        <f aca="false">IF(OR(E106=0,V$3&lt;D106),0,E106*IF(G106=0,H106,MIN(H106,H106*(V$3-D106+1)/MAX(1,G106)))*(1+F106)^(V$3-D106)*$E93)</f>
        <v>6499575.59506461</v>
      </c>
      <c r="W15" s="44" t="n">
        <f aca="false">IF(OR(E106=0,W$3&lt;D106),0,E106*IF(G106=0,H106,MIN(H106,H106*(W$3-D106+1)/MAX(1,G106)))*(1+F106)^(W$3-D106)*$E93)</f>
        <v>6548322.4120276</v>
      </c>
      <c r="X15" s="44" t="n">
        <f aca="false">IF(OR(E106=0,X$3&lt;D106),0,E106*IF(G106=0,H106,MIN(H106,H106*(X$3-D106+1)/MAX(1,G106)))*(1+F106)^(X$3-D106)*$E93)</f>
        <v>6597434.83011781</v>
      </c>
      <c r="Y15" s="44" t="n">
        <f aca="false">IF(OR(E106=0,Y$3&lt;D106),0,E106*IF(G106=0,H106,MIN(H106,H106*(Y$3-D106+1)/MAX(1,G106)))*(1+F106)^(Y$3-D106)*$E93)</f>
        <v>6646915.59134369</v>
      </c>
      <c r="Z15" s="44" t="n">
        <f aca="false">IF(OR(E106=0,Z$3&lt;D106),0,E106*IF(G106=0,H106,MIN(H106,H106*(Z$3-D106+1)/MAX(1,G106)))*(1+F106)^(Z$3-D106)*$E93)</f>
        <v>6696767.45827877</v>
      </c>
      <c r="AA15" s="44" t="n">
        <f aca="false">IF(OR(E106=0,AA$3&lt;D106),0,E106*IF(G106=0,H106,MIN(H106,H106*(AA$3-D106+1)/MAX(1,G106)))*(1+F106)^(AA$3-D106)*$E93)</f>
        <v>6746993.21421586</v>
      </c>
      <c r="AB15" s="44" t="n">
        <f aca="false">IF(OR(E106=0,AB$3&lt;D106),0,E106*IF(G106=0,H106,MIN(H106,H106*(AB$3-D106+1)/MAX(1,G106)))*(1+F106)^(AB$3-D106)*$E93)</f>
        <v>6797595.66332248</v>
      </c>
      <c r="AC15" s="44" t="n">
        <f aca="false">IF(OR(E106=0,AC$3&lt;D106),0,E106*IF(G106=0,H106,MIN(H106,H106*(AC$3-D106+1)/MAX(1,G106)))*(1+F106)^(AC$3-D106)*$E93)</f>
        <v>6848577.6307974</v>
      </c>
      <c r="AD15" s="44" t="n">
        <f aca="false">IF(OR(E106=0,AD$3&lt;D106),0,E106*IF(G106=0,H106,MIN(H106,H106*(AD$3-D106+1)/MAX(1,G106)))*(1+F106)^(AD$3-D106)*$E93)</f>
        <v>6899941.96302838</v>
      </c>
      <c r="AE15" s="44" t="n">
        <f aca="false">IF(OR(E106=0,AE$3&lt;D106),0,E106*IF(G106=0,H106,MIN(H106,H106*(AE$3-D106+1)/MAX(1,G106)))*(1+F106)^(AE$3-D106)*$E93)</f>
        <v>6951691.52775109</v>
      </c>
      <c r="AF15" s="44" t="n">
        <f aca="false">IF(OR(E106=0,AF$3&lt;D106),0,E106*IF(G106=0,H106,MIN(H106,H106*(AF$3-D106+1)/MAX(1,G106)))*(1+F106)^(AF$3-D106)*$E93)</f>
        <v>7003829.21420923</v>
      </c>
      <c r="AG15" s="44" t="n">
        <f aca="false">IF(OR(E106=0,AG$3&lt;D106),0,E106*IF(G106=0,H106,MIN(H106,H106*(AG$3-D106+1)/MAX(1,G106)))*(1+F106)^(AG$3-D106)*$E93)</f>
        <v>7056357.9333158</v>
      </c>
      <c r="AH15" s="44" t="n">
        <f aca="false">IF(OR(E106=0,AH$3&lt;D106),0,E106*IF(G106=0,H106,MIN(H106,H106*(AH$3-D106+1)/MAX(1,G106)))*(1+F106)^(AH$3-D106)*$E93)</f>
        <v>7109280.61781567</v>
      </c>
      <c r="AI15" s="44" t="n">
        <f aca="false">IF(OR(E106=0,AI$3&lt;D106),0,E106*IF(G106=0,H106,MIN(H106,H106*(AI$3-D106+1)/MAX(1,G106)))*(1+F106)^(AI$3-D106)*$E93)</f>
        <v>7162600.22244928</v>
      </c>
      <c r="AJ15" s="44" t="n">
        <f aca="false">IF(OR(E106=0,AJ$3&lt;D106),0,E106*IF(G106=0,H106,MIN(H106,H106*(AJ$3-D106+1)/MAX(1,G106)))*(1+F106)^(AJ$3-D106)*$E93)</f>
        <v>7216319.72411765</v>
      </c>
      <c r="AK15" s="44" t="n">
        <f aca="false">IF(OR(E106=0,AK$3&lt;D106),0,E106*IF(G106=0,H106,MIN(H106,H106*(AK$3-D106+1)/MAX(1,G106)))*(1+F106)^(AK$3-D106)*$E93)</f>
        <v>7270442.12204854</v>
      </c>
      <c r="AL15" s="44" t="n">
        <f aca="false">IF(OR(E106=0,AL$3&lt;D106),0,E106*IF(G106=0,H106,MIN(H106,H106*(AL$3-D106+1)/MAX(1,G106)))*(1+F106)^(AL$3-D106)*$E93)</f>
        <v>7324970.4379639</v>
      </c>
      <c r="AM15" s="44" t="n">
        <f aca="false">IF(OR(E106=0,AM$3&lt;D106),0,E106*IF(G106=0,H106,MIN(H106,H106*(AM$3-D106+1)/MAX(1,G106)))*(1+F106)^(AM$3-D106)*$E93)</f>
        <v>7379907.71624863</v>
      </c>
      <c r="AN15" s="44" t="n">
        <f aca="false">IF(OR(E106=0,AN$3&lt;D106),0,E106*IF(G106=0,H106,MIN(H106,H106*(AN$3-D106+1)/MAX(1,G106)))*(1+F106)^(AN$3-D106)*$E93)</f>
        <v>7435257.0241205</v>
      </c>
      <c r="AO15" s="44" t="n">
        <f aca="false">IF(OR(E106=0,AO$3&lt;D106),0,E106*IF(G106=0,H106,MIN(H106,H106*(AO$3-D106+1)/MAX(1,G106)))*(1+F106)^(AO$3-D106)*$E93)</f>
        <v>7491021.4518014</v>
      </c>
      <c r="AP15" s="44" t="n">
        <f aca="false">IF(OR(E106=0,AP$3&lt;D106),0,E106*IF(G106=0,H106,MIN(H106,H106*(AP$3-D106+1)/MAX(1,G106)))*(1+F106)^(AP$3-D106)*$E93)</f>
        <v>7547204.11268991</v>
      </c>
      <c r="AQ15" s="44" t="n">
        <f aca="false">IF(OR(E106=0,AQ$3&lt;D106),0,E106*IF(G106=0,H106,MIN(H106,H106*(AQ$3-D106+1)/MAX(1,G106)))*(1+F106)^(AQ$3-D106)*$E93)</f>
        <v>7603808.14353508</v>
      </c>
      <c r="AR15" s="44" t="n">
        <f aca="false">IF(OR(E106=0,AR$3&lt;D106),0,E106*IF(G106=0,H106,MIN(H106,H106*(AR$3-D106+1)/MAX(1,G106)))*(1+F106)^(AR$3-D106)*$E93)</f>
        <v>7660836.7046116</v>
      </c>
      <c r="AS15" s="44" t="n">
        <f aca="false">IF(OR(E106=0,AS$3&lt;D106),0,E106*IF(G106=0,H106,MIN(H106,H106*(AS$3-D106+1)/MAX(1,G106)))*(1+F106)^(AS$3-D106)*$E93)</f>
        <v>7718292.97989619</v>
      </c>
      <c r="AT15" s="44" t="n">
        <f aca="false">IF(OR(E106=0,AT$3&lt;D106),0,E106*IF(G106=0,H106,MIN(H106,H106*(AT$3-D106+1)/MAX(1,G106)))*(1+F106)^(AT$3-D106)*$E93)</f>
        <v>7776180.17724541</v>
      </c>
      <c r="AU15" s="44" t="n">
        <f aca="false">IF(OR(E106=0,AU$3&lt;D106),0,E106*IF(G106=0,H106,MIN(H106,H106*(AU$3-D106+1)/MAX(1,G106)))*(1+F106)^(AU$3-D106)*$E93)</f>
        <v>7834501.52857475</v>
      </c>
      <c r="AV15" s="44" t="n">
        <f aca="false">IF(OR(E106=0,AV$3&lt;D106),0,E106*IF(G106=0,H106,MIN(H106,H106*(AV$3-D106+1)/MAX(1,G106)))*(1+F106)^(AV$3-D106)*$E93)</f>
        <v>7893260.29003906</v>
      </c>
      <c r="AW15" s="44" t="n">
        <f aca="false">IF(OR(E106=0,AW$3&lt;D106),0,E106*IF(G106=0,H106,MIN(H106,H106*(AW$3-D106+1)/MAX(1,G106)))*(1+F106)^(AW$3-D106)*$E93)</f>
        <v>7952459.74221435</v>
      </c>
      <c r="AX15" s="44" t="n">
        <f aca="false">IF(OR(E106=0,AX$3&lt;D106),0,E106*IF(G106=0,H106,MIN(H106,H106*(AX$3-D106+1)/MAX(1,G106)))*(1+F106)^(AX$3-D106)*$E93)</f>
        <v>8012103.19028096</v>
      </c>
      <c r="AY15" s="44" t="n">
        <f aca="false">IF(OR(E106=0,AY$3&lt;D106),0,E106*IF(G106=0,H106,MIN(H106,H106*(AY$3-D106+1)/MAX(1,G106)))*(1+F106)^(AY$3-D106)*$E93)</f>
        <v>8072193.96420807</v>
      </c>
      <c r="AZ15" s="44" t="n">
        <f aca="false">IF(OR(E106=0,AZ$3&lt;D106),0,E106*IF(G106=0,H106,MIN(H106,H106*(AZ$3-D106+1)/MAX(1,G106)))*(1+F106)^(AZ$3-D106)*$E93)</f>
        <v>8132735.41893963</v>
      </c>
      <c r="BA15" s="44" t="n">
        <f aca="false">IF(OR(E106=0,BA$3&lt;D106),0,E106*IF(G106=0,H106,MIN(H106,H106*(BA$3-D106+1)/MAX(1,G106)))*(1+F106)^(BA$3-D106)*$E93)</f>
        <v>8193730.93458168</v>
      </c>
      <c r="BB15" s="44" t="n">
        <f aca="false">IF(OR(E106=0,BB$3&lt;D106),0,E106*IF(G106=0,H106,MIN(H106,H106*(BB$3-D106+1)/MAX(1,G106)))*(1+F106)^(BB$3-D106)*$E93)</f>
        <v>8255183.91659104</v>
      </c>
    </row>
    <row r="16" customFormat="false" ht="15" hidden="false" customHeight="true" outlineLevel="0" collapsed="false">
      <c r="A16" s="44" t="n">
        <f aca="false">A107</f>
        <v>13</v>
      </c>
      <c r="B16" s="44" t="str">
        <f aca="false">B107</f>
        <v>Shops / Cafes</v>
      </c>
      <c r="C16" s="44" t="str">
        <f aca="false">C107</f>
        <v>ZAN 2</v>
      </c>
      <c r="D16" s="44" t="n">
        <f aca="false">SUM(E16:BB16)</f>
        <v>99801818.6183818</v>
      </c>
      <c r="E16" s="44" t="n">
        <f aca="false">IF(OR(E107=0,E$3&lt;D107),0,E107*IF(G107=0,H107,MIN(H107,H107*(E$3-D107+1)/MAX(1,G107)))*(1+F107)^(E$3-D107)*$E93)</f>
        <v>0</v>
      </c>
      <c r="F16" s="44" t="n">
        <f aca="false">IF(OR(E107=0,F$3&lt;D107),0,E107*IF(G107=0,H107,MIN(H107,H107*(F$3-D107+1)/MAX(1,G107)))*(1+F107)^(F$3-D107)*$E93)</f>
        <v>0</v>
      </c>
      <c r="G16" s="44" t="n">
        <f aca="false">IF(OR(E107=0,G$3&lt;D107),0,E107*IF(G107=0,H107,MIN(H107,H107*(G$3-D107+1)/MAX(1,G107)))*(1+F107)^(G$3-D107)*$E93)</f>
        <v>0</v>
      </c>
      <c r="H16" s="44" t="n">
        <f aca="false">IF(OR(E107=0,H$3&lt;D107),0,E107*IF(G107=0,H107,MIN(H107,H107*(H$3-D107+1)/MAX(1,G107)))*(1+F107)^(H$3-D107)*$E93)</f>
        <v>0</v>
      </c>
      <c r="I16" s="44" t="n">
        <f aca="false">IF(OR(E107=0,I$3&lt;D107),0,E107*IF(G107=0,H107,MIN(H107,H107*(I$3-D107+1)/MAX(1,G107)))*(1+F107)^(I$3-D107)*$E93)</f>
        <v>0</v>
      </c>
      <c r="J16" s="44" t="n">
        <f aca="false">IF(OR(E107=0,J$3&lt;D107),0,E107*IF(G107=0,H107,MIN(H107,H107*(J$3-D107+1)/MAX(1,G107)))*(1+F107)^(J$3-D107)*$E93)</f>
        <v>945270</v>
      </c>
      <c r="K16" s="44" t="n">
        <f aca="false">IF(OR(E107=0,K$3&lt;D107),0,E107*IF(G107=0,H107,MIN(H107,H107*(K$3-D107+1)/MAX(1,G107)))*(1+F107)^(K$3-D107)*$E93)</f>
        <v>1904719.05</v>
      </c>
      <c r="L16" s="44" t="n">
        <f aca="false">IF(OR(E107=0,L$3&lt;D107),0,E107*IF(G107=0,H107,MIN(H107,H107*(L$3-D107+1)/MAX(1,G107)))*(1+F107)^(L$3-D107)*$E93)</f>
        <v>1919004.442875</v>
      </c>
      <c r="M16" s="44" t="n">
        <f aca="false">IF(OR(E107=0,M$3&lt;D107),0,E107*IF(G107=0,H107,MIN(H107,H107*(M$3-D107+1)/MAX(1,G107)))*(1+F107)^(M$3-D107)*$E93)</f>
        <v>1933396.97619656</v>
      </c>
      <c r="N16" s="44" t="n">
        <f aca="false">IF(OR(E107=0,N$3&lt;D107),0,E107*IF(G107=0,H107,MIN(H107,H107*(N$3-D107+1)/MAX(1,G107)))*(1+F107)^(N$3-D107)*$E93)</f>
        <v>1947897.45351804</v>
      </c>
      <c r="O16" s="44" t="n">
        <f aca="false">IF(OR(E107=0,O$3&lt;D107),0,E107*IF(G107=0,H107,MIN(H107,H107*(O$3-D107+1)/MAX(1,G107)))*(1+F107)^(O$3-D107)*$E93)</f>
        <v>1962506.68441942</v>
      </c>
      <c r="P16" s="44" t="n">
        <f aca="false">IF(OR(E107=0,P$3&lt;D107),0,E107*IF(G107=0,H107,MIN(H107,H107*(P$3-D107+1)/MAX(1,G107)))*(1+F107)^(P$3-D107)*$E93)</f>
        <v>1977225.48455257</v>
      </c>
      <c r="Q16" s="44" t="n">
        <f aca="false">IF(OR(E107=0,Q$3&lt;D107),0,E107*IF(G107=0,H107,MIN(H107,H107*(Q$3-D107+1)/MAX(1,G107)))*(1+F107)^(Q$3-D107)*$E93)</f>
        <v>1992054.67568671</v>
      </c>
      <c r="R16" s="44" t="n">
        <f aca="false">IF(OR(E107=0,R$3&lt;D107),0,E107*IF(G107=0,H107,MIN(H107,H107*(R$3-D107+1)/MAX(1,G107)))*(1+F107)^(R$3-D107)*$E93)</f>
        <v>2006995.08575436</v>
      </c>
      <c r="S16" s="44" t="n">
        <f aca="false">IF(OR(E107=0,S$3&lt;D107),0,E107*IF(G107=0,H107,MIN(H107,H107*(S$3-D107+1)/MAX(1,G107)))*(1+F107)^(S$3-D107)*$E93)</f>
        <v>2022047.54889752</v>
      </c>
      <c r="T16" s="44" t="n">
        <f aca="false">IF(OR(E107=0,T$3&lt;D107),0,E107*IF(G107=0,H107,MIN(H107,H107*(T$3-D107+1)/MAX(1,G107)))*(1+F107)^(T$3-D107)*$E93)</f>
        <v>2037212.90551425</v>
      </c>
      <c r="U16" s="44" t="n">
        <f aca="false">IF(OR(E107=0,U$3&lt;D107),0,E107*IF(G107=0,H107,MIN(H107,H107*(U$3-D107+1)/MAX(1,G107)))*(1+F107)^(U$3-D107)*$E93)</f>
        <v>2052492.00230561</v>
      </c>
      <c r="V16" s="44" t="n">
        <f aca="false">IF(OR(E107=0,V$3&lt;D107),0,E107*IF(G107=0,H107,MIN(H107,H107*(V$3-D107+1)/MAX(1,G107)))*(1+F107)^(V$3-D107)*$E93)</f>
        <v>2067885.6923229</v>
      </c>
      <c r="W16" s="44" t="n">
        <f aca="false">IF(OR(E107=0,W$3&lt;D107),0,E107*IF(G107=0,H107,MIN(H107,H107*(W$3-D107+1)/MAX(1,G107)))*(1+F107)^(W$3-D107)*$E93)</f>
        <v>2083394.83501532</v>
      </c>
      <c r="X16" s="44" t="n">
        <f aca="false">IF(OR(E107=0,X$3&lt;D107),0,E107*IF(G107=0,H107,MIN(H107,H107*(X$3-D107+1)/MAX(1,G107)))*(1+F107)^(X$3-D107)*$E93)</f>
        <v>2099020.29627794</v>
      </c>
      <c r="Y16" s="44" t="n">
        <f aca="false">IF(OR(E107=0,Y$3&lt;D107),0,E107*IF(G107=0,H107,MIN(H107,H107*(Y$3-D107+1)/MAX(1,G107)))*(1+F107)^(Y$3-D107)*$E93)</f>
        <v>2114762.94850002</v>
      </c>
      <c r="Z16" s="44" t="n">
        <f aca="false">IF(OR(E107=0,Z$3&lt;D107),0,E107*IF(G107=0,H107,MIN(H107,H107*(Z$3-D107+1)/MAX(1,G107)))*(1+F107)^(Z$3-D107)*$E93)</f>
        <v>2130623.67061377</v>
      </c>
      <c r="AA16" s="44" t="n">
        <f aca="false">IF(OR(E107=0,AA$3&lt;D107),0,E107*IF(G107=0,H107,MIN(H107,H107*(AA$3-D107+1)/MAX(1,G107)))*(1+F107)^(AA$3-D107)*$E93)</f>
        <v>2146603.34814338</v>
      </c>
      <c r="AB16" s="44" t="n">
        <f aca="false">IF(OR(E107=0,AB$3&lt;D107),0,E107*IF(G107=0,H107,MIN(H107,H107*(AB$3-D107+1)/MAX(1,G107)))*(1+F107)^(AB$3-D107)*$E93)</f>
        <v>2162702.87325445</v>
      </c>
      <c r="AC16" s="44" t="n">
        <f aca="false">IF(OR(E107=0,AC$3&lt;D107),0,E107*IF(G107=0,H107,MIN(H107,H107*(AC$3-D107+1)/MAX(1,G107)))*(1+F107)^(AC$3-D107)*$E93)</f>
        <v>2178923.14480386</v>
      </c>
      <c r="AD16" s="44" t="n">
        <f aca="false">IF(OR(E107=0,AD$3&lt;D107),0,E107*IF(G107=0,H107,MIN(H107,H107*(AD$3-D107+1)/MAX(1,G107)))*(1+F107)^(AD$3-D107)*$E93)</f>
        <v>2195265.06838989</v>
      </c>
      <c r="AE16" s="44" t="n">
        <f aca="false">IF(OR(E107=0,AE$3&lt;D107),0,E107*IF(G107=0,H107,MIN(H107,H107*(AE$3-D107+1)/MAX(1,G107)))*(1+F107)^(AE$3-D107)*$E93)</f>
        <v>2211729.55640281</v>
      </c>
      <c r="AF16" s="44" t="n">
        <f aca="false">IF(OR(E107=0,AF$3&lt;D107),0,E107*IF(G107=0,H107,MIN(H107,H107*(AF$3-D107+1)/MAX(1,G107)))*(1+F107)^(AF$3-D107)*$E93)</f>
        <v>2228317.52807584</v>
      </c>
      <c r="AG16" s="44" t="n">
        <f aca="false">IF(OR(E107=0,AG$3&lt;D107),0,E107*IF(G107=0,H107,MIN(H107,H107*(AG$3-D107+1)/MAX(1,G107)))*(1+F107)^(AG$3-D107)*$E93)</f>
        <v>2245029.90953641</v>
      </c>
      <c r="AH16" s="44" t="n">
        <f aca="false">IF(OR(E107=0,AH$3&lt;D107),0,E107*IF(G107=0,H107,MIN(H107,H107*(AH$3-D107+1)/MAX(1,G107)))*(1+F107)^(AH$3-D107)*$E93)</f>
        <v>2261867.63385793</v>
      </c>
      <c r="AI16" s="44" t="n">
        <f aca="false">IF(OR(E107=0,AI$3&lt;D107),0,E107*IF(G107=0,H107,MIN(H107,H107*(AI$3-D107+1)/MAX(1,G107)))*(1+F107)^(AI$3-D107)*$E93)</f>
        <v>2278831.64111186</v>
      </c>
      <c r="AJ16" s="44" t="n">
        <f aca="false">IF(OR(E107=0,AJ$3&lt;D107),0,E107*IF(G107=0,H107,MIN(H107,H107*(AJ$3-D107+1)/MAX(1,G107)))*(1+F107)^(AJ$3-D107)*$E93)</f>
        <v>2295922.8784202</v>
      </c>
      <c r="AK16" s="44" t="n">
        <f aca="false">IF(OR(E107=0,AK$3&lt;D107),0,E107*IF(G107=0,H107,MIN(H107,H107*(AK$3-D107+1)/MAX(1,G107)))*(1+F107)^(AK$3-D107)*$E93)</f>
        <v>2313142.30000835</v>
      </c>
      <c r="AL16" s="44" t="n">
        <f aca="false">IF(OR(E107=0,AL$3&lt;D107),0,E107*IF(G107=0,H107,MIN(H107,H107*(AL$3-D107+1)/MAX(1,G107)))*(1+F107)^(AL$3-D107)*$E93)</f>
        <v>2330490.86725842</v>
      </c>
      <c r="AM16" s="44" t="n">
        <f aca="false">IF(OR(E107=0,AM$3&lt;D107),0,E107*IF(G107=0,H107,MIN(H107,H107*(AM$3-D107+1)/MAX(1,G107)))*(1+F107)^(AM$3-D107)*$E93)</f>
        <v>2347969.54876285</v>
      </c>
      <c r="AN16" s="44" t="n">
        <f aca="false">IF(OR(E107=0,AN$3&lt;D107),0,E107*IF(G107=0,H107,MIN(H107,H107*(AN$3-D107+1)/MAX(1,G107)))*(1+F107)^(AN$3-D107)*$E93)</f>
        <v>2365579.32037858</v>
      </c>
      <c r="AO16" s="44" t="n">
        <f aca="false">IF(OR(E107=0,AO$3&lt;D107),0,E107*IF(G107=0,H107,MIN(H107,H107*(AO$3-D107+1)/MAX(1,G107)))*(1+F107)^(AO$3-D107)*$E93)</f>
        <v>2383321.16528142</v>
      </c>
      <c r="AP16" s="44" t="n">
        <f aca="false">IF(OR(E107=0,AP$3&lt;D107),0,E107*IF(G107=0,H107,MIN(H107,H107*(AP$3-D107+1)/MAX(1,G107)))*(1+F107)^(AP$3-D107)*$E93)</f>
        <v>2401196.07402103</v>
      </c>
      <c r="AQ16" s="44" t="n">
        <f aca="false">IF(OR(E107=0,AQ$3&lt;D107),0,E107*IF(G107=0,H107,MIN(H107,H107*(AQ$3-D107+1)/MAX(1,G107)))*(1+F107)^(AQ$3-D107)*$E93)</f>
        <v>2419205.04457618</v>
      </c>
      <c r="AR16" s="44" t="n">
        <f aca="false">IF(OR(E107=0,AR$3&lt;D107),0,E107*IF(G107=0,H107,MIN(H107,H107*(AR$3-D107+1)/MAX(1,G107)))*(1+F107)^(AR$3-D107)*$E93)</f>
        <v>2437349.08241051</v>
      </c>
      <c r="AS16" s="44" t="n">
        <f aca="false">IF(OR(E107=0,AS$3&lt;D107),0,E107*IF(G107=0,H107,MIN(H107,H107*(AS$3-D107+1)/MAX(1,G107)))*(1+F107)^(AS$3-D107)*$E93)</f>
        <v>2455629.20052858</v>
      </c>
      <c r="AT16" s="44" t="n">
        <f aca="false">IF(OR(E107=0,AT$3&lt;D107),0,E107*IF(G107=0,H107,MIN(H107,H107*(AT$3-D107+1)/MAX(1,G107)))*(1+F107)^(AT$3-D107)*$E93)</f>
        <v>2474046.41953255</v>
      </c>
      <c r="AU16" s="44" t="n">
        <f aca="false">IF(OR(E107=0,AU$3&lt;D107),0,E107*IF(G107=0,H107,MIN(H107,H107*(AU$3-D107+1)/MAX(1,G107)))*(1+F107)^(AU$3-D107)*$E93)</f>
        <v>2492601.76767904</v>
      </c>
      <c r="AV16" s="44" t="n">
        <f aca="false">IF(OR(E107=0,AV$3&lt;D107),0,E107*IF(G107=0,H107,MIN(H107,H107*(AV$3-D107+1)/MAX(1,G107)))*(1+F107)^(AV$3-D107)*$E93)</f>
        <v>2511296.28093664</v>
      </c>
      <c r="AW16" s="44" t="n">
        <f aca="false">IF(OR(E107=0,AW$3&lt;D107),0,E107*IF(G107=0,H107,MIN(H107,H107*(AW$3-D107+1)/MAX(1,G107)))*(1+F107)^(AW$3-D107)*$E93)</f>
        <v>2530131.00304366</v>
      </c>
      <c r="AX16" s="44" t="n">
        <f aca="false">IF(OR(E107=0,AX$3&lt;D107),0,E107*IF(G107=0,H107,MIN(H107,H107*(AX$3-D107+1)/MAX(1,G107)))*(1+F107)^(AX$3-D107)*$E93)</f>
        <v>2549106.98556649</v>
      </c>
      <c r="AY16" s="44" t="n">
        <f aca="false">IF(OR(E107=0,AY$3&lt;D107),0,E107*IF(G107=0,H107,MIN(H107,H107*(AY$3-D107+1)/MAX(1,G107)))*(1+F107)^(AY$3-D107)*$E93)</f>
        <v>2568225.28795824</v>
      </c>
      <c r="AZ16" s="44" t="n">
        <f aca="false">IF(OR(E107=0,AZ$3&lt;D107),0,E107*IF(G107=0,H107,MIN(H107,H107*(AZ$3-D107+1)/MAX(1,G107)))*(1+F107)^(AZ$3-D107)*$E93)</f>
        <v>2587486.97761792</v>
      </c>
      <c r="BA16" s="44" t="n">
        <f aca="false">IF(OR(E107=0,BA$3&lt;D107),0,E107*IF(G107=0,H107,MIN(H107,H107*(BA$3-D107+1)/MAX(1,G107)))*(1+F107)^(BA$3-D107)*$E93)</f>
        <v>2606893.12995006</v>
      </c>
      <c r="BB16" s="44" t="n">
        <f aca="false">IF(OR(E107=0,BB$3&lt;D107),0,E107*IF(G107=0,H107,MIN(H107,H107*(BB$3-D107+1)/MAX(1,G107)))*(1+F107)^(BB$3-D107)*$E93)</f>
        <v>2626444.82842468</v>
      </c>
    </row>
    <row r="17" customFormat="false" ht="15" hidden="false" customHeight="true" outlineLevel="0" collapsed="false">
      <c r="A17" s="44" t="n">
        <f aca="false">A108</f>
        <v>14</v>
      </c>
      <c r="B17" s="44" t="str">
        <f aca="false">B108</f>
        <v>Parking &amp; Landscaping ZAN2</v>
      </c>
      <c r="C17" s="44" t="str">
        <f aca="false">C108</f>
        <v>ZAN 2</v>
      </c>
      <c r="D17" s="44" t="n">
        <f aca="false">SUM(E17:BB17)</f>
        <v>0</v>
      </c>
      <c r="E17" s="44" t="n">
        <f aca="false">IF(OR(E108=0,E$3&lt;D108),0,E108*IF(G108=0,H108,MIN(H108,H108*(E$3-D108+1)/MAX(1,G108)))*(1+F108)^(E$3-D108)*$E93)</f>
        <v>0</v>
      </c>
      <c r="F17" s="44" t="n">
        <f aca="false">IF(OR(E108=0,F$3&lt;D108),0,E108*IF(G108=0,H108,MIN(H108,H108*(F$3-D108+1)/MAX(1,G108)))*(1+F108)^(F$3-D108)*$E93)</f>
        <v>0</v>
      </c>
      <c r="G17" s="44" t="n">
        <f aca="false">IF(OR(E108=0,G$3&lt;D108),0,E108*IF(G108=0,H108,MIN(H108,H108*(G$3-D108+1)/MAX(1,G108)))*(1+F108)^(G$3-D108)*$E93)</f>
        <v>0</v>
      </c>
      <c r="H17" s="44" t="n">
        <f aca="false">IF(OR(E108=0,H$3&lt;D108),0,E108*IF(G108=0,H108,MIN(H108,H108*(H$3-D108+1)/MAX(1,G108)))*(1+F108)^(H$3-D108)*$E93)</f>
        <v>0</v>
      </c>
      <c r="I17" s="44" t="n">
        <f aca="false">IF(OR(E108=0,I$3&lt;D108),0,E108*IF(G108=0,H108,MIN(H108,H108*(I$3-D108+1)/MAX(1,G108)))*(1+F108)^(I$3-D108)*$E93)</f>
        <v>0</v>
      </c>
      <c r="J17" s="44" t="n">
        <f aca="false">IF(OR(E108=0,J$3&lt;D108),0,E108*IF(G108=0,H108,MIN(H108,H108*(J$3-D108+1)/MAX(1,G108)))*(1+F108)^(J$3-D108)*$E93)</f>
        <v>0</v>
      </c>
      <c r="K17" s="44" t="n">
        <f aca="false">IF(OR(E108=0,K$3&lt;D108),0,E108*IF(G108=0,H108,MIN(H108,H108*(K$3-D108+1)/MAX(1,G108)))*(1+F108)^(K$3-D108)*$E93)</f>
        <v>0</v>
      </c>
      <c r="L17" s="44" t="n">
        <f aca="false">IF(OR(E108=0,L$3&lt;D108),0,E108*IF(G108=0,H108,MIN(H108,H108*(L$3-D108+1)/MAX(1,G108)))*(1+F108)^(L$3-D108)*$E93)</f>
        <v>0</v>
      </c>
      <c r="M17" s="44" t="n">
        <f aca="false">IF(OR(E108=0,M$3&lt;D108),0,E108*IF(G108=0,H108,MIN(H108,H108*(M$3-D108+1)/MAX(1,G108)))*(1+F108)^(M$3-D108)*$E93)</f>
        <v>0</v>
      </c>
      <c r="N17" s="44" t="n">
        <f aca="false">IF(OR(E108=0,N$3&lt;D108),0,E108*IF(G108=0,H108,MIN(H108,H108*(N$3-D108+1)/MAX(1,G108)))*(1+F108)^(N$3-D108)*$E93)</f>
        <v>0</v>
      </c>
      <c r="O17" s="44" t="n">
        <f aca="false">IF(OR(E108=0,O$3&lt;D108),0,E108*IF(G108=0,H108,MIN(H108,H108*(O$3-D108+1)/MAX(1,G108)))*(1+F108)^(O$3-D108)*$E93)</f>
        <v>0</v>
      </c>
      <c r="P17" s="44" t="n">
        <f aca="false">IF(OR(E108=0,P$3&lt;D108),0,E108*IF(G108=0,H108,MIN(H108,H108*(P$3-D108+1)/MAX(1,G108)))*(1+F108)^(P$3-D108)*$E93)</f>
        <v>0</v>
      </c>
      <c r="Q17" s="44" t="n">
        <f aca="false">IF(OR(E108=0,Q$3&lt;D108),0,E108*IF(G108=0,H108,MIN(H108,H108*(Q$3-D108+1)/MAX(1,G108)))*(1+F108)^(Q$3-D108)*$E93)</f>
        <v>0</v>
      </c>
      <c r="R17" s="44" t="n">
        <f aca="false">IF(OR(E108=0,R$3&lt;D108),0,E108*IF(G108=0,H108,MIN(H108,H108*(R$3-D108+1)/MAX(1,G108)))*(1+F108)^(R$3-D108)*$E93)</f>
        <v>0</v>
      </c>
      <c r="S17" s="44" t="n">
        <f aca="false">IF(OR(E108=0,S$3&lt;D108),0,E108*IF(G108=0,H108,MIN(H108,H108*(S$3-D108+1)/MAX(1,G108)))*(1+F108)^(S$3-D108)*$E93)</f>
        <v>0</v>
      </c>
      <c r="T17" s="44" t="n">
        <f aca="false">IF(OR(E108=0,T$3&lt;D108),0,E108*IF(G108=0,H108,MIN(H108,H108*(T$3-D108+1)/MAX(1,G108)))*(1+F108)^(T$3-D108)*$E93)</f>
        <v>0</v>
      </c>
      <c r="U17" s="44" t="n">
        <f aca="false">IF(OR(E108=0,U$3&lt;D108),0,E108*IF(G108=0,H108,MIN(H108,H108*(U$3-D108+1)/MAX(1,G108)))*(1+F108)^(U$3-D108)*$E93)</f>
        <v>0</v>
      </c>
      <c r="V17" s="44" t="n">
        <f aca="false">IF(OR(E108=0,V$3&lt;D108),0,E108*IF(G108=0,H108,MIN(H108,H108*(V$3-D108+1)/MAX(1,G108)))*(1+F108)^(V$3-D108)*$E93)</f>
        <v>0</v>
      </c>
      <c r="W17" s="44" t="n">
        <f aca="false">IF(OR(E108=0,W$3&lt;D108),0,E108*IF(G108=0,H108,MIN(H108,H108*(W$3-D108+1)/MAX(1,G108)))*(1+F108)^(W$3-D108)*$E93)</f>
        <v>0</v>
      </c>
      <c r="X17" s="44" t="n">
        <f aca="false">IF(OR(E108=0,X$3&lt;D108),0,E108*IF(G108=0,H108,MIN(H108,H108*(X$3-D108+1)/MAX(1,G108)))*(1+F108)^(X$3-D108)*$E93)</f>
        <v>0</v>
      </c>
      <c r="Y17" s="44" t="n">
        <f aca="false">IF(OR(E108=0,Y$3&lt;D108),0,E108*IF(G108=0,H108,MIN(H108,H108*(Y$3-D108+1)/MAX(1,G108)))*(1+F108)^(Y$3-D108)*$E93)</f>
        <v>0</v>
      </c>
      <c r="Z17" s="44" t="n">
        <f aca="false">IF(OR(E108=0,Z$3&lt;D108),0,E108*IF(G108=0,H108,MIN(H108,H108*(Z$3-D108+1)/MAX(1,G108)))*(1+F108)^(Z$3-D108)*$E93)</f>
        <v>0</v>
      </c>
      <c r="AA17" s="44" t="n">
        <f aca="false">IF(OR(E108=0,AA$3&lt;D108),0,E108*IF(G108=0,H108,MIN(H108,H108*(AA$3-D108+1)/MAX(1,G108)))*(1+F108)^(AA$3-D108)*$E93)</f>
        <v>0</v>
      </c>
      <c r="AB17" s="44" t="n">
        <f aca="false">IF(OR(E108=0,AB$3&lt;D108),0,E108*IF(G108=0,H108,MIN(H108,H108*(AB$3-D108+1)/MAX(1,G108)))*(1+F108)^(AB$3-D108)*$E93)</f>
        <v>0</v>
      </c>
      <c r="AC17" s="44" t="n">
        <f aca="false">IF(OR(E108=0,AC$3&lt;D108),0,E108*IF(G108=0,H108,MIN(H108,H108*(AC$3-D108+1)/MAX(1,G108)))*(1+F108)^(AC$3-D108)*$E93)</f>
        <v>0</v>
      </c>
      <c r="AD17" s="44" t="n">
        <f aca="false">IF(OR(E108=0,AD$3&lt;D108),0,E108*IF(G108=0,H108,MIN(H108,H108*(AD$3-D108+1)/MAX(1,G108)))*(1+F108)^(AD$3-D108)*$E93)</f>
        <v>0</v>
      </c>
      <c r="AE17" s="44" t="n">
        <f aca="false">IF(OR(E108=0,AE$3&lt;D108),0,E108*IF(G108=0,H108,MIN(H108,H108*(AE$3-D108+1)/MAX(1,G108)))*(1+F108)^(AE$3-D108)*$E93)</f>
        <v>0</v>
      </c>
      <c r="AF17" s="44" t="n">
        <f aca="false">IF(OR(E108=0,AF$3&lt;D108),0,E108*IF(G108=0,H108,MIN(H108,H108*(AF$3-D108+1)/MAX(1,G108)))*(1+F108)^(AF$3-D108)*$E93)</f>
        <v>0</v>
      </c>
      <c r="AG17" s="44" t="n">
        <f aca="false">IF(OR(E108=0,AG$3&lt;D108),0,E108*IF(G108=0,H108,MIN(H108,H108*(AG$3-D108+1)/MAX(1,G108)))*(1+F108)^(AG$3-D108)*$E93)</f>
        <v>0</v>
      </c>
      <c r="AH17" s="44" t="n">
        <f aca="false">IF(OR(E108=0,AH$3&lt;D108),0,E108*IF(G108=0,H108,MIN(H108,H108*(AH$3-D108+1)/MAX(1,G108)))*(1+F108)^(AH$3-D108)*$E93)</f>
        <v>0</v>
      </c>
      <c r="AI17" s="44" t="n">
        <f aca="false">IF(OR(E108=0,AI$3&lt;D108),0,E108*IF(G108=0,H108,MIN(H108,H108*(AI$3-D108+1)/MAX(1,G108)))*(1+F108)^(AI$3-D108)*$E93)</f>
        <v>0</v>
      </c>
      <c r="AJ17" s="44" t="n">
        <f aca="false">IF(OR(E108=0,AJ$3&lt;D108),0,E108*IF(G108=0,H108,MIN(H108,H108*(AJ$3-D108+1)/MAX(1,G108)))*(1+F108)^(AJ$3-D108)*$E93)</f>
        <v>0</v>
      </c>
      <c r="AK17" s="44" t="n">
        <f aca="false">IF(OR(E108=0,AK$3&lt;D108),0,E108*IF(G108=0,H108,MIN(H108,H108*(AK$3-D108+1)/MAX(1,G108)))*(1+F108)^(AK$3-D108)*$E93)</f>
        <v>0</v>
      </c>
      <c r="AL17" s="44" t="n">
        <f aca="false">IF(OR(E108=0,AL$3&lt;D108),0,E108*IF(G108=0,H108,MIN(H108,H108*(AL$3-D108+1)/MAX(1,G108)))*(1+F108)^(AL$3-D108)*$E93)</f>
        <v>0</v>
      </c>
      <c r="AM17" s="44" t="n">
        <f aca="false">IF(OR(E108=0,AM$3&lt;D108),0,E108*IF(G108=0,H108,MIN(H108,H108*(AM$3-D108+1)/MAX(1,G108)))*(1+F108)^(AM$3-D108)*$E93)</f>
        <v>0</v>
      </c>
      <c r="AN17" s="44" t="n">
        <f aca="false">IF(OR(E108=0,AN$3&lt;D108),0,E108*IF(G108=0,H108,MIN(H108,H108*(AN$3-D108+1)/MAX(1,G108)))*(1+F108)^(AN$3-D108)*$E93)</f>
        <v>0</v>
      </c>
      <c r="AO17" s="44" t="n">
        <f aca="false">IF(OR(E108=0,AO$3&lt;D108),0,E108*IF(G108=0,H108,MIN(H108,H108*(AO$3-D108+1)/MAX(1,G108)))*(1+F108)^(AO$3-D108)*$E93)</f>
        <v>0</v>
      </c>
      <c r="AP17" s="44" t="n">
        <f aca="false">IF(OR(E108=0,AP$3&lt;D108),0,E108*IF(G108=0,H108,MIN(H108,H108*(AP$3-D108+1)/MAX(1,G108)))*(1+F108)^(AP$3-D108)*$E93)</f>
        <v>0</v>
      </c>
      <c r="AQ17" s="44" t="n">
        <f aca="false">IF(OR(E108=0,AQ$3&lt;D108),0,E108*IF(G108=0,H108,MIN(H108,H108*(AQ$3-D108+1)/MAX(1,G108)))*(1+F108)^(AQ$3-D108)*$E93)</f>
        <v>0</v>
      </c>
      <c r="AR17" s="44" t="n">
        <f aca="false">IF(OR(E108=0,AR$3&lt;D108),0,E108*IF(G108=0,H108,MIN(H108,H108*(AR$3-D108+1)/MAX(1,G108)))*(1+F108)^(AR$3-D108)*$E93)</f>
        <v>0</v>
      </c>
      <c r="AS17" s="44" t="n">
        <f aca="false">IF(OR(E108=0,AS$3&lt;D108),0,E108*IF(G108=0,H108,MIN(H108,H108*(AS$3-D108+1)/MAX(1,G108)))*(1+F108)^(AS$3-D108)*$E93)</f>
        <v>0</v>
      </c>
      <c r="AT17" s="44" t="n">
        <f aca="false">IF(OR(E108=0,AT$3&lt;D108),0,E108*IF(G108=0,H108,MIN(H108,H108*(AT$3-D108+1)/MAX(1,G108)))*(1+F108)^(AT$3-D108)*$E93)</f>
        <v>0</v>
      </c>
      <c r="AU17" s="44" t="n">
        <f aca="false">IF(OR(E108=0,AU$3&lt;D108),0,E108*IF(G108=0,H108,MIN(H108,H108*(AU$3-D108+1)/MAX(1,G108)))*(1+F108)^(AU$3-D108)*$E93)</f>
        <v>0</v>
      </c>
      <c r="AV17" s="44" t="n">
        <f aca="false">IF(OR(E108=0,AV$3&lt;D108),0,E108*IF(G108=0,H108,MIN(H108,H108*(AV$3-D108+1)/MAX(1,G108)))*(1+F108)^(AV$3-D108)*$E93)</f>
        <v>0</v>
      </c>
      <c r="AW17" s="44" t="n">
        <f aca="false">IF(OR(E108=0,AW$3&lt;D108),0,E108*IF(G108=0,H108,MIN(H108,H108*(AW$3-D108+1)/MAX(1,G108)))*(1+F108)^(AW$3-D108)*$E93)</f>
        <v>0</v>
      </c>
      <c r="AX17" s="44" t="n">
        <f aca="false">IF(OR(E108=0,AX$3&lt;D108),0,E108*IF(G108=0,H108,MIN(H108,H108*(AX$3-D108+1)/MAX(1,G108)))*(1+F108)^(AX$3-D108)*$E93)</f>
        <v>0</v>
      </c>
      <c r="AY17" s="44" t="n">
        <f aca="false">IF(OR(E108=0,AY$3&lt;D108),0,E108*IF(G108=0,H108,MIN(H108,H108*(AY$3-D108+1)/MAX(1,G108)))*(1+F108)^(AY$3-D108)*$E93)</f>
        <v>0</v>
      </c>
      <c r="AZ17" s="44" t="n">
        <f aca="false">IF(OR(E108=0,AZ$3&lt;D108),0,E108*IF(G108=0,H108,MIN(H108,H108*(AZ$3-D108+1)/MAX(1,G108)))*(1+F108)^(AZ$3-D108)*$E93)</f>
        <v>0</v>
      </c>
      <c r="BA17" s="44" t="n">
        <f aca="false">IF(OR(E108=0,BA$3&lt;D108),0,E108*IF(G108=0,H108,MIN(H108,H108*(BA$3-D108+1)/MAX(1,G108)))*(1+F108)^(BA$3-D108)*$E93)</f>
        <v>0</v>
      </c>
      <c r="BB17" s="44" t="n">
        <f aca="false">IF(OR(E108=0,BB$3&lt;D108),0,E108*IF(G108=0,H108,MIN(H108,H108*(BB$3-D108+1)/MAX(1,G108)))*(1+F108)^(BB$3-D108)*$E93)</f>
        <v>0</v>
      </c>
    </row>
    <row r="18" customFormat="false" ht="15" hidden="false" customHeight="true" outlineLevel="0" collapsed="false">
      <c r="A18" s="44" t="n">
        <f aca="false">A109</f>
        <v>15</v>
      </c>
      <c r="B18" s="44" t="str">
        <f aca="false">B109</f>
        <v>Office Block</v>
      </c>
      <c r="C18" s="44" t="str">
        <f aca="false">C109</f>
        <v>ZAN 2</v>
      </c>
      <c r="D18" s="44" t="n">
        <f aca="false">SUM(E18:BB18)</f>
        <v>609596423.892438</v>
      </c>
      <c r="E18" s="44" t="n">
        <f aca="false">IF(OR(E109=0,E$3&lt;D109),0,E109*IF(G109=0,H109,MIN(H109,H109*(E$3-D109+1)/MAX(1,G109)))*(1+F109)^(E$3-D109)*$E93)</f>
        <v>0</v>
      </c>
      <c r="F18" s="44" t="n">
        <f aca="false">IF(OR(E109=0,F$3&lt;D109),0,E109*IF(G109=0,H109,MIN(H109,H109*(F$3-D109+1)/MAX(1,G109)))*(1+F109)^(F$3-D109)*$E93)</f>
        <v>0</v>
      </c>
      <c r="G18" s="44" t="n">
        <f aca="false">IF(OR(E109=0,G$3&lt;D109),0,E109*IF(G109=0,H109,MIN(H109,H109*(G$3-D109+1)/MAX(1,G109)))*(1+F109)^(G$3-D109)*$E93)</f>
        <v>0</v>
      </c>
      <c r="H18" s="44" t="n">
        <f aca="false">IF(OR(E109=0,H$3&lt;D109),0,E109*IF(G109=0,H109,MIN(H109,H109*(H$3-D109+1)/MAX(1,G109)))*(1+F109)^(H$3-D109)*$E93)</f>
        <v>0</v>
      </c>
      <c r="I18" s="44" t="n">
        <f aca="false">IF(OR(E109=0,I$3&lt;D109),0,E109*IF(G109=0,H109,MIN(H109,H109*(I$3-D109+1)/MAX(1,G109)))*(1+F109)^(I$3-D109)*$E93)</f>
        <v>0</v>
      </c>
      <c r="J18" s="44" t="n">
        <f aca="false">IF(OR(E109=0,J$3&lt;D109),0,E109*IF(G109=0,H109,MIN(H109,H109*(J$3-D109+1)/MAX(1,G109)))*(1+F109)^(J$3-D109)*$E93)</f>
        <v>0</v>
      </c>
      <c r="K18" s="44" t="n">
        <f aca="false">IF(OR(E109=0,K$3&lt;D109),0,E109*IF(G109=0,H109,MIN(H109,H109*(K$3-D109+1)/MAX(1,G109)))*(1+F109)^(K$3-D109)*$E93)</f>
        <v>3992247</v>
      </c>
      <c r="L18" s="44" t="n">
        <f aca="false">IF(OR(E109=0,L$3&lt;D109),0,E109*IF(G109=0,H109,MIN(H109,H109*(L$3-D109+1)/MAX(1,G109)))*(1+F109)^(L$3-D109)*$E93)</f>
        <v>8044377.705</v>
      </c>
      <c r="M18" s="44" t="n">
        <f aca="false">IF(OR(E109=0,M$3&lt;D109),0,E109*IF(G109=0,H109,MIN(H109,H109*(M$3-D109+1)/MAX(1,G109)))*(1+F109)^(M$3-D109)*$E93)</f>
        <v>12157065.8066813</v>
      </c>
      <c r="N18" s="44" t="n">
        <f aca="false">IF(OR(E109=0,N$3&lt;D109),0,E109*IF(G109=0,H109,MIN(H109,H109*(N$3-D109+1)/MAX(1,G109)))*(1+F109)^(N$3-D109)*$E93)</f>
        <v>12248243.8002314</v>
      </c>
      <c r="O18" s="44" t="n">
        <f aca="false">IF(OR(E109=0,O$3&lt;D109),0,E109*IF(G109=0,H109,MIN(H109,H109*(O$3-D109+1)/MAX(1,G109)))*(1+F109)^(O$3-D109)*$E93)</f>
        <v>12340105.6287331</v>
      </c>
      <c r="P18" s="44" t="n">
        <f aca="false">IF(OR(E109=0,P$3&lt;D109),0,E109*IF(G109=0,H109,MIN(H109,H109*(P$3-D109+1)/MAX(1,G109)))*(1+F109)^(P$3-D109)*$E93)</f>
        <v>12432656.4209486</v>
      </c>
      <c r="Q18" s="44" t="n">
        <f aca="false">IF(OR(E109=0,Q$3&lt;D109),0,E109*IF(G109=0,H109,MIN(H109,H109*(Q$3-D109+1)/MAX(1,G109)))*(1+F109)^(Q$3-D109)*$E93)</f>
        <v>12525901.3441057</v>
      </c>
      <c r="R18" s="44" t="n">
        <f aca="false">IF(OR(E109=0,R$3&lt;D109),0,E109*IF(G109=0,H109,MIN(H109,H109*(R$3-D109+1)/MAX(1,G109)))*(1+F109)^(R$3-D109)*$E93)</f>
        <v>12619845.6041865</v>
      </c>
      <c r="S18" s="44" t="n">
        <f aca="false">IF(OR(E109=0,S$3&lt;D109),0,E109*IF(G109=0,H109,MIN(H109,H109*(S$3-D109+1)/MAX(1,G109)))*(1+F109)^(S$3-D109)*$E93)</f>
        <v>12714494.4462179</v>
      </c>
      <c r="T18" s="44" t="n">
        <f aca="false">IF(OR(E109=0,T$3&lt;D109),0,E109*IF(G109=0,H109,MIN(H109,H109*(T$3-D109+1)/MAX(1,G109)))*(1+F109)^(T$3-D109)*$E93)</f>
        <v>12809853.1545645</v>
      </c>
      <c r="U18" s="44" t="n">
        <f aca="false">IF(OR(E109=0,U$3&lt;D109),0,E109*IF(G109=0,H109,MIN(H109,H109*(U$3-D109+1)/MAX(1,G109)))*(1+F109)^(U$3-D109)*$E93)</f>
        <v>12905927.0532238</v>
      </c>
      <c r="V18" s="44" t="n">
        <f aca="false">IF(OR(E109=0,V$3&lt;D109),0,E109*IF(G109=0,H109,MIN(H109,H109*(V$3-D109+1)/MAX(1,G109)))*(1+F109)^(V$3-D109)*$E93)</f>
        <v>13002721.506123</v>
      </c>
      <c r="W18" s="44" t="n">
        <f aca="false">IF(OR(E109=0,W$3&lt;D109),0,E109*IF(G109=0,H109,MIN(H109,H109*(W$3-D109+1)/MAX(1,G109)))*(1+F109)^(W$3-D109)*$E93)</f>
        <v>13100241.9174189</v>
      </c>
      <c r="X18" s="44" t="n">
        <f aca="false">IF(OR(E109=0,X$3&lt;D109),0,E109*IF(G109=0,H109,MIN(H109,H109*(X$3-D109+1)/MAX(1,G109)))*(1+F109)^(X$3-D109)*$E93)</f>
        <v>13198493.7317995</v>
      </c>
      <c r="Y18" s="44" t="n">
        <f aca="false">IF(OR(E109=0,Y$3&lt;D109),0,E109*IF(G109=0,H109,MIN(H109,H109*(Y$3-D109+1)/MAX(1,G109)))*(1+F109)^(Y$3-D109)*$E93)</f>
        <v>13297482.434788</v>
      </c>
      <c r="Z18" s="44" t="n">
        <f aca="false">IF(OR(E109=0,Z$3&lt;D109),0,E109*IF(G109=0,H109,MIN(H109,H109*(Z$3-D109+1)/MAX(1,G109)))*(1+F109)^(Z$3-D109)*$E93)</f>
        <v>13397213.5530489</v>
      </c>
      <c r="AA18" s="44" t="n">
        <f aca="false">IF(OR(E109=0,AA$3&lt;D109),0,E109*IF(G109=0,H109,MIN(H109,H109*(AA$3-D109+1)/MAX(1,G109)))*(1+F109)^(AA$3-D109)*$E93)</f>
        <v>13497692.6546968</v>
      </c>
      <c r="AB18" s="44" t="n">
        <f aca="false">IF(OR(E109=0,AB$3&lt;D109),0,E109*IF(G109=0,H109,MIN(H109,H109*(AB$3-D109+1)/MAX(1,G109)))*(1+F109)^(AB$3-D109)*$E93)</f>
        <v>13598925.349607</v>
      </c>
      <c r="AC18" s="44" t="n">
        <f aca="false">IF(OR(E109=0,AC$3&lt;D109),0,E109*IF(G109=0,H109,MIN(H109,H109*(AC$3-D109+1)/MAX(1,G109)))*(1+F109)^(AC$3-D109)*$E93)</f>
        <v>13700917.2897291</v>
      </c>
      <c r="AD18" s="44" t="n">
        <f aca="false">IF(OR(E109=0,AD$3&lt;D109),0,E109*IF(G109=0,H109,MIN(H109,H109*(AD$3-D109+1)/MAX(1,G109)))*(1+F109)^(AD$3-D109)*$E93)</f>
        <v>13803674.169402</v>
      </c>
      <c r="AE18" s="44" t="n">
        <f aca="false">IF(OR(E109=0,AE$3&lt;D109),0,E109*IF(G109=0,H109,MIN(H109,H109*(AE$3-D109+1)/MAX(1,G109)))*(1+F109)^(AE$3-D109)*$E93)</f>
        <v>13907201.7256726</v>
      </c>
      <c r="AF18" s="44" t="n">
        <f aca="false">IF(OR(E109=0,AF$3&lt;D109),0,E109*IF(G109=0,H109,MIN(H109,H109*(AF$3-D109+1)/MAX(1,G109)))*(1+F109)^(AF$3-D109)*$E93)</f>
        <v>14011505.7386151</v>
      </c>
      <c r="AG18" s="44" t="n">
        <f aca="false">IF(OR(E109=0,AG$3&lt;D109),0,E109*IF(G109=0,H109,MIN(H109,H109*(AG$3-D109+1)/MAX(1,G109)))*(1+F109)^(AG$3-D109)*$E93)</f>
        <v>14116592.0316547</v>
      </c>
      <c r="AH18" s="44" t="n">
        <f aca="false">IF(OR(E109=0,AH$3&lt;D109),0,E109*IF(G109=0,H109,MIN(H109,H109*(AH$3-D109+1)/MAX(1,G109)))*(1+F109)^(AH$3-D109)*$E93)</f>
        <v>14222466.4718921</v>
      </c>
      <c r="AI18" s="44" t="n">
        <f aca="false">IF(OR(E109=0,AI$3&lt;D109),0,E109*IF(G109=0,H109,MIN(H109,H109*(AI$3-D109+1)/MAX(1,G109)))*(1+F109)^(AI$3-D109)*$E93)</f>
        <v>14329134.9704313</v>
      </c>
      <c r="AJ18" s="44" t="n">
        <f aca="false">IF(OR(E109=0,AJ$3&lt;D109),0,E109*IF(G109=0,H109,MIN(H109,H109*(AJ$3-D109+1)/MAX(1,G109)))*(1+F109)^(AJ$3-D109)*$E93)</f>
        <v>14436603.4827096</v>
      </c>
      <c r="AK18" s="44" t="n">
        <f aca="false">IF(OR(E109=0,AK$3&lt;D109),0,E109*IF(G109=0,H109,MIN(H109,H109*(AK$3-D109+1)/MAX(1,G109)))*(1+F109)^(AK$3-D109)*$E93)</f>
        <v>14544878.0088299</v>
      </c>
      <c r="AL18" s="44" t="n">
        <f aca="false">IF(OR(E109=0,AL$3&lt;D109),0,E109*IF(G109=0,H109,MIN(H109,H109*(AL$3-D109+1)/MAX(1,G109)))*(1+F109)^(AL$3-D109)*$E93)</f>
        <v>14653964.5938961</v>
      </c>
      <c r="AM18" s="44" t="n">
        <f aca="false">IF(OR(E109=0,AM$3&lt;D109),0,E109*IF(G109=0,H109,MIN(H109,H109*(AM$3-D109+1)/MAX(1,G109)))*(1+F109)^(AM$3-D109)*$E93)</f>
        <v>14763869.3283503</v>
      </c>
      <c r="AN18" s="44" t="n">
        <f aca="false">IF(OR(E109=0,AN$3&lt;D109),0,E109*IF(G109=0,H109,MIN(H109,H109*(AN$3-D109+1)/MAX(1,G109)))*(1+F109)^(AN$3-D109)*$E93)</f>
        <v>14874598.348313</v>
      </c>
      <c r="AO18" s="44" t="n">
        <f aca="false">IF(OR(E109=0,AO$3&lt;D109),0,E109*IF(G109=0,H109,MIN(H109,H109*(AO$3-D109+1)/MAX(1,G109)))*(1+F109)^(AO$3-D109)*$E93)</f>
        <v>14986157.8359253</v>
      </c>
      <c r="AP18" s="44" t="n">
        <f aca="false">IF(OR(E109=0,AP$3&lt;D109),0,E109*IF(G109=0,H109,MIN(H109,H109*(AP$3-D109+1)/MAX(1,G109)))*(1+F109)^(AP$3-D109)*$E93)</f>
        <v>15098554.0196947</v>
      </c>
      <c r="AQ18" s="44" t="n">
        <f aca="false">IF(OR(E109=0,AQ$3&lt;D109),0,E109*IF(G109=0,H109,MIN(H109,H109*(AQ$3-D109+1)/MAX(1,G109)))*(1+F109)^(AQ$3-D109)*$E93)</f>
        <v>15211793.1748425</v>
      </c>
      <c r="AR18" s="44" t="n">
        <f aca="false">IF(OR(E109=0,AR$3&lt;D109),0,E109*IF(G109=0,H109,MIN(H109,H109*(AR$3-D109+1)/MAX(1,G109)))*(1+F109)^(AR$3-D109)*$E93)</f>
        <v>15325881.6236538</v>
      </c>
      <c r="AS18" s="44" t="n">
        <f aca="false">IF(OR(E109=0,AS$3&lt;D109),0,E109*IF(G109=0,H109,MIN(H109,H109*(AS$3-D109+1)/MAX(1,G109)))*(1+F109)^(AS$3-D109)*$E93)</f>
        <v>15440825.7358312</v>
      </c>
      <c r="AT18" s="44" t="n">
        <f aca="false">IF(OR(E109=0,AT$3&lt;D109),0,E109*IF(G109=0,H109,MIN(H109,H109*(AT$3-D109+1)/MAX(1,G109)))*(1+F109)^(AT$3-D109)*$E93)</f>
        <v>15556631.9288499</v>
      </c>
      <c r="AU18" s="44" t="n">
        <f aca="false">IF(OR(E109=0,AU$3&lt;D109),0,E109*IF(G109=0,H109,MIN(H109,H109*(AU$3-D109+1)/MAX(1,G109)))*(1+F109)^(AU$3-D109)*$E93)</f>
        <v>15673306.6683163</v>
      </c>
      <c r="AV18" s="44" t="n">
        <f aca="false">IF(OR(E109=0,AV$3&lt;D109),0,E109*IF(G109=0,H109,MIN(H109,H109*(AV$3-D109+1)/MAX(1,G109)))*(1+F109)^(AV$3-D109)*$E93)</f>
        <v>15790856.4683287</v>
      </c>
      <c r="AW18" s="44" t="n">
        <f aca="false">IF(OR(E109=0,AW$3&lt;D109),0,E109*IF(G109=0,H109,MIN(H109,H109*(AW$3-D109+1)/MAX(1,G109)))*(1+F109)^(AW$3-D109)*$E93)</f>
        <v>15909287.8918411</v>
      </c>
      <c r="AX18" s="44" t="n">
        <f aca="false">IF(OR(E109=0,AX$3&lt;D109),0,E109*IF(G109=0,H109,MIN(H109,H109*(AX$3-D109+1)/MAX(1,G109)))*(1+F109)^(AX$3-D109)*$E93)</f>
        <v>16028607.5510299</v>
      </c>
      <c r="AY18" s="44" t="n">
        <f aca="false">IF(OR(E109=0,AY$3&lt;D109),0,E109*IF(G109=0,H109,MIN(H109,H109*(AY$3-D109+1)/MAX(1,G109)))*(1+F109)^(AY$3-D109)*$E93)</f>
        <v>16148822.1076627</v>
      </c>
      <c r="AZ18" s="44" t="n">
        <f aca="false">IF(OR(E109=0,AZ$3&lt;D109),0,E109*IF(G109=0,H109,MIN(H109,H109*(AZ$3-D109+1)/MAX(1,G109)))*(1+F109)^(AZ$3-D109)*$E93)</f>
        <v>16269938.2734701</v>
      </c>
      <c r="BA18" s="44" t="n">
        <f aca="false">IF(OR(E109=0,BA$3&lt;D109),0,E109*IF(G109=0,H109,MIN(H109,H109*(BA$3-D109+1)/MAX(1,G109)))*(1+F109)^(BA$3-D109)*$E93)</f>
        <v>16391962.8105212</v>
      </c>
      <c r="BB18" s="44" t="n">
        <f aca="false">IF(OR(E109=0,BB$3&lt;D109),0,E109*IF(G109=0,H109,MIN(H109,H109*(BB$3-D109+1)/MAX(1,G109)))*(1+F109)^(BB$3-D109)*$E93)</f>
        <v>16514902.5316001</v>
      </c>
    </row>
    <row r="19" customFormat="false" ht="15" hidden="false" customHeight="true" outlineLevel="0" collapsed="false">
      <c r="A19" s="44" t="n">
        <f aca="false">A110</f>
        <v>16</v>
      </c>
      <c r="B19" s="44" t="str">
        <f aca="false">B110</f>
        <v>Flexible Block (Residential)</v>
      </c>
      <c r="C19" s="44" t="str">
        <f aca="false">C110</f>
        <v>ZAN 2</v>
      </c>
      <c r="D19" s="44" t="n">
        <f aca="false">SUM(E19:BB19)</f>
        <v>500917885.726738</v>
      </c>
      <c r="E19" s="44" t="n">
        <f aca="false">IF(OR(E110=0,E$3&lt;D110),0,E110*IF(G110=0,H110,MIN(H110,H110*(E$3-D110+1)/MAX(1,G110)))*(1+F110)^(E$3-D110)*$E93)</f>
        <v>0</v>
      </c>
      <c r="F19" s="44" t="n">
        <f aca="false">IF(OR(E110=0,F$3&lt;D110),0,E110*IF(G110=0,H110,MIN(H110,H110*(F$3-D110+1)/MAX(1,G110)))*(1+F110)^(F$3-D110)*$E93)</f>
        <v>0</v>
      </c>
      <c r="G19" s="44" t="n">
        <f aca="false">IF(OR(E110=0,G$3&lt;D110),0,E110*IF(G110=0,H110,MIN(H110,H110*(G$3-D110+1)/MAX(1,G110)))*(1+F110)^(G$3-D110)*$E93)</f>
        <v>0</v>
      </c>
      <c r="H19" s="44" t="n">
        <f aca="false">IF(OR(E110=0,H$3&lt;D110),0,E110*IF(G110=0,H110,MIN(H110,H110*(H$3-D110+1)/MAX(1,G110)))*(1+F110)^(H$3-D110)*$E93)</f>
        <v>0</v>
      </c>
      <c r="I19" s="44" t="n">
        <f aca="false">IF(OR(E110=0,I$3&lt;D110),0,E110*IF(G110=0,H110,MIN(H110,H110*(I$3-D110+1)/MAX(1,G110)))*(1+F110)^(I$3-D110)*$E93)</f>
        <v>0</v>
      </c>
      <c r="J19" s="44" t="n">
        <f aca="false">IF(OR(E110=0,J$3&lt;D110),0,E110*IF(G110=0,H110,MIN(H110,H110*(J$3-D110+1)/MAX(1,G110)))*(1+F110)^(J$3-D110)*$E93)</f>
        <v>0</v>
      </c>
      <c r="K19" s="44" t="n">
        <f aca="false">IF(OR(E110=0,K$3&lt;D110),0,E110*IF(G110=0,H110,MIN(H110,H110*(K$3-D110+1)/MAX(1,G110)))*(1+F110)^(K$3-D110)*$E93)</f>
        <v>3280511.25</v>
      </c>
      <c r="L19" s="44" t="n">
        <f aca="false">IF(OR(E110=0,L$3&lt;D110),0,E110*IF(G110=0,H110,MIN(H110,H110*(L$3-D110+1)/MAX(1,G110)))*(1+F110)^(L$3-D110)*$E93)</f>
        <v>6610230.16875</v>
      </c>
      <c r="M19" s="44" t="n">
        <f aca="false">IF(OR(E110=0,M$3&lt;D110),0,E110*IF(G110=0,H110,MIN(H110,H110*(M$3-D110+1)/MAX(1,G110)))*(1+F110)^(M$3-D110)*$E93)</f>
        <v>9989710.34252344</v>
      </c>
      <c r="N19" s="44" t="n">
        <f aca="false">IF(OR(E110=0,N$3&lt;D110),0,E110*IF(G110=0,H110,MIN(H110,H110*(N$3-D110+1)/MAX(1,G110)))*(1+F110)^(N$3-D110)*$E93)</f>
        <v>10064633.1700924</v>
      </c>
      <c r="O19" s="44" t="n">
        <f aca="false">IF(OR(E110=0,O$3&lt;D110),0,E110*IF(G110=0,H110,MIN(H110,H110*(O$3-D110+1)/MAX(1,G110)))*(1+F110)^(O$3-D110)*$E93)</f>
        <v>10140117.9188681</v>
      </c>
      <c r="P19" s="44" t="n">
        <f aca="false">IF(OR(E110=0,P$3&lt;D110),0,E110*IF(G110=0,H110,MIN(H110,H110*(P$3-D110+1)/MAX(1,G110)))*(1+F110)^(P$3-D110)*$E93)</f>
        <v>10216168.8032596</v>
      </c>
      <c r="Q19" s="44" t="n">
        <f aca="false">IF(OR(E110=0,Q$3&lt;D110),0,E110*IF(G110=0,H110,MIN(H110,H110*(Q$3-D110+1)/MAX(1,G110)))*(1+F110)^(Q$3-D110)*$E93)</f>
        <v>10292790.069284</v>
      </c>
      <c r="R19" s="44" t="n">
        <f aca="false">IF(OR(E110=0,R$3&lt;D110),0,E110*IF(G110=0,H110,MIN(H110,H110*(R$3-D110+1)/MAX(1,G110)))*(1+F110)^(R$3-D110)*$E93)</f>
        <v>10369985.9948036</v>
      </c>
      <c r="S19" s="44" t="n">
        <f aca="false">IF(OR(E110=0,S$3&lt;D110),0,E110*IF(G110=0,H110,MIN(H110,H110*(S$3-D110+1)/MAX(1,G110)))*(1+F110)^(S$3-D110)*$E93)</f>
        <v>10447760.8897647</v>
      </c>
      <c r="T19" s="44" t="n">
        <f aca="false">IF(OR(E110=0,T$3&lt;D110),0,E110*IF(G110=0,H110,MIN(H110,H110*(T$3-D110+1)/MAX(1,G110)))*(1+F110)^(T$3-D110)*$E93)</f>
        <v>10526119.0964379</v>
      </c>
      <c r="U19" s="44" t="n">
        <f aca="false">IF(OR(E110=0,U$3&lt;D110),0,E110*IF(G110=0,H110,MIN(H110,H110*(U$3-D110+1)/MAX(1,G110)))*(1+F110)^(U$3-D110)*$E93)</f>
        <v>10605064.9896612</v>
      </c>
      <c r="V19" s="44" t="n">
        <f aca="false">IF(OR(E110=0,V$3&lt;D110),0,E110*IF(G110=0,H110,MIN(H110,H110*(V$3-D110+1)/MAX(1,G110)))*(1+F110)^(V$3-D110)*$E93)</f>
        <v>10684602.9770837</v>
      </c>
      <c r="W19" s="44" t="n">
        <f aca="false">IF(OR(E110=0,W$3&lt;D110),0,E110*IF(G110=0,H110,MIN(H110,H110*(W$3-D110+1)/MAX(1,G110)))*(1+F110)^(W$3-D110)*$E93)</f>
        <v>10764737.4994118</v>
      </c>
      <c r="X19" s="44" t="n">
        <f aca="false">IF(OR(E110=0,X$3&lt;D110),0,E110*IF(G110=0,H110,MIN(H110,H110*(X$3-D110+1)/MAX(1,G110)))*(1+F110)^(X$3-D110)*$E93)</f>
        <v>10845473.0306574</v>
      </c>
      <c r="Y19" s="44" t="n">
        <f aca="false">IF(OR(E110=0,Y$3&lt;D110),0,E110*IF(G110=0,H110,MIN(H110,H110*(Y$3-D110+1)/MAX(1,G110)))*(1+F110)^(Y$3-D110)*$E93)</f>
        <v>10926814.0783873</v>
      </c>
      <c r="Z19" s="44" t="n">
        <f aca="false">IF(OR(E110=0,Z$3&lt;D110),0,E110*IF(G110=0,H110,MIN(H110,H110*(Z$3-D110+1)/MAX(1,G110)))*(1+F110)^(Z$3-D110)*$E93)</f>
        <v>11008765.1839752</v>
      </c>
      <c r="AA19" s="44" t="n">
        <f aca="false">IF(OR(E110=0,AA$3&lt;D110),0,E110*IF(G110=0,H110,MIN(H110,H110*(AA$3-D110+1)/MAX(1,G110)))*(1+F110)^(AA$3-D110)*$E93)</f>
        <v>11091330.922855</v>
      </c>
      <c r="AB19" s="44" t="n">
        <f aca="false">IF(OR(E110=0,AB$3&lt;D110),0,E110*IF(G110=0,H110,MIN(H110,H110*(AB$3-D110+1)/MAX(1,G110)))*(1+F110)^(AB$3-D110)*$E93)</f>
        <v>11174515.9047764</v>
      </c>
      <c r="AC19" s="44" t="n">
        <f aca="false">IF(OR(E110=0,AC$3&lt;D110),0,E110*IF(G110=0,H110,MIN(H110,H110*(AC$3-D110+1)/MAX(1,G110)))*(1+F110)^(AC$3-D110)*$E93)</f>
        <v>11258324.7740623</v>
      </c>
      <c r="AD19" s="44" t="n">
        <f aca="false">IF(OR(E110=0,AD$3&lt;D110),0,E110*IF(G110=0,H110,MIN(H110,H110*(AD$3-D110+1)/MAX(1,G110)))*(1+F110)^(AD$3-D110)*$E93)</f>
        <v>11342762.2098677</v>
      </c>
      <c r="AE19" s="44" t="n">
        <f aca="false">IF(OR(E110=0,AE$3&lt;D110),0,E110*IF(G110=0,H110,MIN(H110,H110*(AE$3-D110+1)/MAX(1,G110)))*(1+F110)^(AE$3-D110)*$E93)</f>
        <v>11427832.9264417</v>
      </c>
      <c r="AF19" s="44" t="n">
        <f aca="false">IF(OR(E110=0,AF$3&lt;D110),0,E110*IF(G110=0,H110,MIN(H110,H110*(AF$3-D110+1)/MAX(1,G110)))*(1+F110)^(AF$3-D110)*$E93)</f>
        <v>11513541.6733901</v>
      </c>
      <c r="AG19" s="44" t="n">
        <f aca="false">IF(OR(E110=0,AG$3&lt;D110),0,E110*IF(G110=0,H110,MIN(H110,H110*(AG$3-D110+1)/MAX(1,G110)))*(1+F110)^(AG$3-D110)*$E93)</f>
        <v>11599893.2359405</v>
      </c>
      <c r="AH19" s="44" t="n">
        <f aca="false">IF(OR(E110=0,AH$3&lt;D110),0,E110*IF(G110=0,H110,MIN(H110,H110*(AH$3-D110+1)/MAX(1,G110)))*(1+F110)^(AH$3-D110)*$E93)</f>
        <v>11686892.43521</v>
      </c>
      <c r="AI19" s="44" t="n">
        <f aca="false">IF(OR(E110=0,AI$3&lt;D110),0,E110*IF(G110=0,H110,MIN(H110,H110*(AI$3-D110+1)/MAX(1,G110)))*(1+F110)^(AI$3-D110)*$E93)</f>
        <v>11774544.1284741</v>
      </c>
      <c r="AJ19" s="44" t="n">
        <f aca="false">IF(OR(E110=0,AJ$3&lt;D110),0,E110*IF(G110=0,H110,MIN(H110,H110*(AJ$3-D110+1)/MAX(1,G110)))*(1+F110)^(AJ$3-D110)*$E93)</f>
        <v>11862853.2094377</v>
      </c>
      <c r="AK19" s="44" t="n">
        <f aca="false">IF(OR(E110=0,AK$3&lt;D110),0,E110*IF(G110=0,H110,MIN(H110,H110*(AK$3-D110+1)/MAX(1,G110)))*(1+F110)^(AK$3-D110)*$E93)</f>
        <v>11951824.6085084</v>
      </c>
      <c r="AL19" s="44" t="n">
        <f aca="false">IF(OR(E110=0,AL$3&lt;D110),0,E110*IF(G110=0,H110,MIN(H110,H110*(AL$3-D110+1)/MAX(1,G110)))*(1+F110)^(AL$3-D110)*$E93)</f>
        <v>12041463.2930723</v>
      </c>
      <c r="AM19" s="44" t="n">
        <f aca="false">IF(OR(E110=0,AM$3&lt;D110),0,E110*IF(G110=0,H110,MIN(H110,H110*(AM$3-D110+1)/MAX(1,G110)))*(1+F110)^(AM$3-D110)*$E93)</f>
        <v>12131774.2677703</v>
      </c>
      <c r="AN19" s="44" t="n">
        <f aca="false">IF(OR(E110=0,AN$3&lt;D110),0,E110*IF(G110=0,H110,MIN(H110,H110*(AN$3-D110+1)/MAX(1,G110)))*(1+F110)^(AN$3-D110)*$E93)</f>
        <v>12222762.5747786</v>
      </c>
      <c r="AO19" s="44" t="n">
        <f aca="false">IF(OR(E110=0,AO$3&lt;D110),0,E110*IF(G110=0,H110,MIN(H110,H110*(AO$3-D110+1)/MAX(1,G110)))*(1+F110)^(AO$3-D110)*$E93)</f>
        <v>12314433.2940894</v>
      </c>
      <c r="AP19" s="44" t="n">
        <f aca="false">IF(OR(E110=0,AP$3&lt;D110),0,E110*IF(G110=0,H110,MIN(H110,H110*(AP$3-D110+1)/MAX(1,G110)))*(1+F110)^(AP$3-D110)*$E93)</f>
        <v>12406791.5437951</v>
      </c>
      <c r="AQ19" s="44" t="n">
        <f aca="false">IF(OR(E110=0,AQ$3&lt;D110),0,E110*IF(G110=0,H110,MIN(H110,H110*(AQ$3-D110+1)/MAX(1,G110)))*(1+F110)^(AQ$3-D110)*$E93)</f>
        <v>12499842.4803736</v>
      </c>
      <c r="AR19" s="44" t="n">
        <f aca="false">IF(OR(E110=0,AR$3&lt;D110),0,E110*IF(G110=0,H110,MIN(H110,H110*(AR$3-D110+1)/MAX(1,G110)))*(1+F110)^(AR$3-D110)*$E93)</f>
        <v>12593591.2989764</v>
      </c>
      <c r="AS19" s="44" t="n">
        <f aca="false">IF(OR(E110=0,AS$3&lt;D110),0,E110*IF(G110=0,H110,MIN(H110,H110*(AS$3-D110+1)/MAX(1,G110)))*(1+F110)^(AS$3-D110)*$E93)</f>
        <v>12688043.2337187</v>
      </c>
      <c r="AT19" s="44" t="n">
        <f aca="false">IF(OR(E110=0,AT$3&lt;D110),0,E110*IF(G110=0,H110,MIN(H110,H110*(AT$3-D110+1)/MAX(1,G110)))*(1+F110)^(AT$3-D110)*$E93)</f>
        <v>12783203.5579716</v>
      </c>
      <c r="AU19" s="44" t="n">
        <f aca="false">IF(OR(E110=0,AU$3&lt;D110),0,E110*IF(G110=0,H110,MIN(H110,H110*(AU$3-D110+1)/MAX(1,G110)))*(1+F110)^(AU$3-D110)*$E93)</f>
        <v>12879077.5846564</v>
      </c>
      <c r="AV19" s="44" t="n">
        <f aca="false">IF(OR(E110=0,AV$3&lt;D110),0,E110*IF(G110=0,H110,MIN(H110,H110*(AV$3-D110+1)/MAX(1,G110)))*(1+F110)^(AV$3-D110)*$E93)</f>
        <v>12975670.6665413</v>
      </c>
      <c r="AW19" s="44" t="n">
        <f aca="false">IF(OR(E110=0,AW$3&lt;D110),0,E110*IF(G110=0,H110,MIN(H110,H110*(AW$3-D110+1)/MAX(1,G110)))*(1+F110)^(AW$3-D110)*$E93)</f>
        <v>13072988.1965403</v>
      </c>
      <c r="AX19" s="44" t="n">
        <f aca="false">IF(OR(E110=0,AX$3&lt;D110),0,E110*IF(G110=0,H110,MIN(H110,H110*(AX$3-D110+1)/MAX(1,G110)))*(1+F110)^(AX$3-D110)*$E93)</f>
        <v>13171035.6080144</v>
      </c>
      <c r="AY19" s="44" t="n">
        <f aca="false">IF(OR(E110=0,AY$3&lt;D110),0,E110*IF(G110=0,H110,MIN(H110,H110*(AY$3-D110+1)/MAX(1,G110)))*(1+F110)^(AY$3-D110)*$E93)</f>
        <v>13269818.3750745</v>
      </c>
      <c r="AZ19" s="44" t="n">
        <f aca="false">IF(OR(E110=0,AZ$3&lt;D110),0,E110*IF(G110=0,H110,MIN(H110,H110*(AZ$3-D110+1)/MAX(1,G110)))*(1+F110)^(AZ$3-D110)*$E93)</f>
        <v>13369342.0128876</v>
      </c>
      <c r="BA19" s="44" t="n">
        <f aca="false">IF(OR(E110=0,BA$3&lt;D110),0,E110*IF(G110=0,H110,MIN(H110,H110*(BA$3-D110+1)/MAX(1,G110)))*(1+F110)^(BA$3-D110)*$E93)</f>
        <v>13469612.0779842</v>
      </c>
      <c r="BB19" s="44" t="n">
        <f aca="false">IF(OR(E110=0,BB$3&lt;D110),0,E110*IF(G110=0,H110,MIN(H110,H110*(BB$3-D110+1)/MAX(1,G110)))*(1+F110)^(BB$3-D110)*$E93)</f>
        <v>13570634.1685691</v>
      </c>
    </row>
    <row r="20" customFormat="false" ht="15" hidden="false" customHeight="true" outlineLevel="0" collapsed="false">
      <c r="A20" s="44" t="n">
        <f aca="false">A111</f>
        <v>17</v>
      </c>
      <c r="B20" s="44" t="str">
        <f aca="false">B111</f>
        <v>Flexible Block</v>
      </c>
      <c r="C20" s="44" t="str">
        <f aca="false">C111</f>
        <v>ZAN 2</v>
      </c>
      <c r="D20" s="44" t="n">
        <f aca="false">SUM(E20:BB20)</f>
        <v>601689415.228289</v>
      </c>
      <c r="E20" s="44" t="n">
        <f aca="false">IF(OR(E111=0,E$3&lt;D111),0,E111*IF(G111=0,H111,MIN(H111,H111*(E$3-D111+1)/MAX(1,G111)))*(1+F111)^(E$3-D111)*$E93)</f>
        <v>0</v>
      </c>
      <c r="F20" s="44" t="n">
        <f aca="false">IF(OR(E111=0,F$3&lt;D111),0,E111*IF(G111=0,H111,MIN(H111,H111*(F$3-D111+1)/MAX(1,G111)))*(1+F111)^(F$3-D111)*$E93)</f>
        <v>0</v>
      </c>
      <c r="G20" s="44" t="n">
        <f aca="false">IF(OR(E111=0,G$3&lt;D111),0,E111*IF(G111=0,H111,MIN(H111,H111*(G$3-D111+1)/MAX(1,G111)))*(1+F111)^(G$3-D111)*$E93)</f>
        <v>0</v>
      </c>
      <c r="H20" s="44" t="n">
        <f aca="false">IF(OR(E111=0,H$3&lt;D111),0,E111*IF(G111=0,H111,MIN(H111,H111*(H$3-D111+1)/MAX(1,G111)))*(1+F111)^(H$3-D111)*$E93)</f>
        <v>0</v>
      </c>
      <c r="I20" s="44" t="n">
        <f aca="false">IF(OR(E111=0,I$3&lt;D111),0,E111*IF(G111=0,H111,MIN(H111,H111*(I$3-D111+1)/MAX(1,G111)))*(1+F111)^(I$3-D111)*$E93)</f>
        <v>0</v>
      </c>
      <c r="J20" s="44" t="n">
        <f aca="false">IF(OR(E111=0,J$3&lt;D111),0,E111*IF(G111=0,H111,MIN(H111,H111*(J$3-D111+1)/MAX(1,G111)))*(1+F111)^(J$3-D111)*$E93)</f>
        <v>0</v>
      </c>
      <c r="K20" s="44" t="n">
        <f aca="false">IF(OR(E111=0,K$3&lt;D111),0,E111*IF(G111=0,H111,MIN(H111,H111*(K$3-D111+1)/MAX(1,G111)))*(1+F111)^(K$3-D111)*$E93)</f>
        <v>3940464</v>
      </c>
      <c r="L20" s="44" t="n">
        <f aca="false">IF(OR(E111=0,L$3&lt;D111),0,E111*IF(G111=0,H111,MIN(H111,H111*(L$3-D111+1)/MAX(1,G111)))*(1+F111)^(L$3-D111)*$E93)</f>
        <v>7940034.96</v>
      </c>
      <c r="M20" s="44" t="n">
        <f aca="false">IF(OR(E111=0,M$3&lt;D111),0,E111*IF(G111=0,H111,MIN(H111,H111*(M$3-D111+1)/MAX(1,G111)))*(1+F111)^(M$3-D111)*$E93)</f>
        <v>11999377.8333</v>
      </c>
      <c r="N20" s="44" t="n">
        <f aca="false">IF(OR(E111=0,N$3&lt;D111),0,E111*IF(G111=0,H111,MIN(H111,H111*(N$3-D111+1)/MAX(1,G111)))*(1+F111)^(N$3-D111)*$E93)</f>
        <v>12089373.1670498</v>
      </c>
      <c r="O20" s="44" t="n">
        <f aca="false">IF(OR(E111=0,O$3&lt;D111),0,E111*IF(G111=0,H111,MIN(H111,H111*(O$3-D111+1)/MAX(1,G111)))*(1+F111)^(O$3-D111)*$E93)</f>
        <v>12180043.4658026</v>
      </c>
      <c r="P20" s="44" t="n">
        <f aca="false">IF(OR(E111=0,P$3&lt;D111),0,E111*IF(G111=0,H111,MIN(H111,H111*(P$3-D111+1)/MAX(1,G111)))*(1+F111)^(P$3-D111)*$E93)</f>
        <v>12271393.7917961</v>
      </c>
      <c r="Q20" s="44" t="n">
        <f aca="false">IF(OR(E111=0,Q$3&lt;D111),0,E111*IF(G111=0,H111,MIN(H111,H111*(Q$3-D111+1)/MAX(1,G111)))*(1+F111)^(Q$3-D111)*$E93)</f>
        <v>12363429.2452346</v>
      </c>
      <c r="R20" s="44" t="n">
        <f aca="false">IF(OR(E111=0,R$3&lt;D111),0,E111*IF(G111=0,H111,MIN(H111,H111*(R$3-D111+1)/MAX(1,G111)))*(1+F111)^(R$3-D111)*$E93)</f>
        <v>12456154.9645739</v>
      </c>
      <c r="S20" s="44" t="n">
        <f aca="false">IF(OR(E111=0,S$3&lt;D111),0,E111*IF(G111=0,H111,MIN(H111,H111*(S$3-D111+1)/MAX(1,G111)))*(1+F111)^(S$3-D111)*$E93)</f>
        <v>12549576.1268082</v>
      </c>
      <c r="T20" s="44" t="n">
        <f aca="false">IF(OR(E111=0,T$3&lt;D111),0,E111*IF(G111=0,H111,MIN(H111,H111*(T$3-D111+1)/MAX(1,G111)))*(1+F111)^(T$3-D111)*$E93)</f>
        <v>12643697.9477592</v>
      </c>
      <c r="U20" s="44" t="n">
        <f aca="false">IF(OR(E111=0,U$3&lt;D111),0,E111*IF(G111=0,H111,MIN(H111,H111*(U$3-D111+1)/MAX(1,G111)))*(1+F111)^(U$3-D111)*$E93)</f>
        <v>12738525.6823674</v>
      </c>
      <c r="V20" s="44" t="n">
        <f aca="false">IF(OR(E111=0,V$3&lt;D111),0,E111*IF(G111=0,H111,MIN(H111,H111*(V$3-D111+1)/MAX(1,G111)))*(1+F111)^(V$3-D111)*$E93)</f>
        <v>12834064.6249852</v>
      </c>
      <c r="W20" s="44" t="n">
        <f aca="false">IF(OR(E111=0,W$3&lt;D111),0,E111*IF(G111=0,H111,MIN(H111,H111*(W$3-D111+1)/MAX(1,G111)))*(1+F111)^(W$3-D111)*$E93)</f>
        <v>12930320.1096726</v>
      </c>
      <c r="X20" s="44" t="n">
        <f aca="false">IF(OR(E111=0,X$3&lt;D111),0,E111*IF(G111=0,H111,MIN(H111,H111*(X$3-D111+1)/MAX(1,G111)))*(1+F111)^(X$3-D111)*$E93)</f>
        <v>13027297.5104951</v>
      </c>
      <c r="Y20" s="44" t="n">
        <f aca="false">IF(OR(E111=0,Y$3&lt;D111),0,E111*IF(G111=0,H111,MIN(H111,H111*(Y$3-D111+1)/MAX(1,G111)))*(1+F111)^(Y$3-D111)*$E93)</f>
        <v>13125002.2418238</v>
      </c>
      <c r="Z20" s="44" t="n">
        <f aca="false">IF(OR(E111=0,Z$3&lt;D111),0,E111*IF(G111=0,H111,MIN(H111,H111*(Z$3-D111+1)/MAX(1,G111)))*(1+F111)^(Z$3-D111)*$E93)</f>
        <v>13223439.7586375</v>
      </c>
      <c r="AA20" s="44" t="n">
        <f aca="false">IF(OR(E111=0,AA$3&lt;D111),0,E111*IF(G111=0,H111,MIN(H111,H111*(AA$3-D111+1)/MAX(1,G111)))*(1+F111)^(AA$3-D111)*$E93)</f>
        <v>13322615.5568273</v>
      </c>
      <c r="AB20" s="44" t="n">
        <f aca="false">IF(OR(E111=0,AB$3&lt;D111),0,E111*IF(G111=0,H111,MIN(H111,H111*(AB$3-D111+1)/MAX(1,G111)))*(1+F111)^(AB$3-D111)*$E93)</f>
        <v>13422535.1735035</v>
      </c>
      <c r="AC20" s="44" t="n">
        <f aca="false">IF(OR(E111=0,AC$3&lt;D111),0,E111*IF(G111=0,H111,MIN(H111,H111*(AC$3-D111+1)/MAX(1,G111)))*(1+F111)^(AC$3-D111)*$E93)</f>
        <v>13523204.1873048</v>
      </c>
      <c r="AD20" s="44" t="n">
        <f aca="false">IF(OR(E111=0,AD$3&lt;D111),0,E111*IF(G111=0,H111,MIN(H111,H111*(AD$3-D111+1)/MAX(1,G111)))*(1+F111)^(AD$3-D111)*$E93)</f>
        <v>13624628.2187096</v>
      </c>
      <c r="AE20" s="44" t="n">
        <f aca="false">IF(OR(E111=0,AE$3&lt;D111),0,E111*IF(G111=0,H111,MIN(H111,H111*(AE$3-D111+1)/MAX(1,G111)))*(1+F111)^(AE$3-D111)*$E93)</f>
        <v>13726812.9303499</v>
      </c>
      <c r="AF20" s="44" t="n">
        <f aca="false">IF(OR(E111=0,AF$3&lt;D111),0,E111*IF(G111=0,H111,MIN(H111,H111*(AF$3-D111+1)/MAX(1,G111)))*(1+F111)^(AF$3-D111)*$E93)</f>
        <v>13829764.0273275</v>
      </c>
      <c r="AG20" s="44" t="n">
        <f aca="false">IF(OR(E111=0,AG$3&lt;D111),0,E111*IF(G111=0,H111,MIN(H111,H111*(AG$3-D111+1)/MAX(1,G111)))*(1+F111)^(AG$3-D111)*$E93)</f>
        <v>13933487.2575325</v>
      </c>
      <c r="AH20" s="44" t="n">
        <f aca="false">IF(OR(E111=0,AH$3&lt;D111),0,E111*IF(G111=0,H111,MIN(H111,H111*(AH$3-D111+1)/MAX(1,G111)))*(1+F111)^(AH$3-D111)*$E93)</f>
        <v>14037988.411964</v>
      </c>
      <c r="AI20" s="44" t="n">
        <f aca="false">IF(OR(E111=0,AI$3&lt;D111),0,E111*IF(G111=0,H111,MIN(H111,H111*(AI$3-D111+1)/MAX(1,G111)))*(1+F111)^(AI$3-D111)*$E93)</f>
        <v>14143273.3250537</v>
      </c>
      <c r="AJ20" s="44" t="n">
        <f aca="false">IF(OR(E111=0,AJ$3&lt;D111),0,E111*IF(G111=0,H111,MIN(H111,H111*(AJ$3-D111+1)/MAX(1,G111)))*(1+F111)^(AJ$3-D111)*$E93)</f>
        <v>14249347.8749916</v>
      </c>
      <c r="AK20" s="44" t="n">
        <f aca="false">IF(OR(E111=0,AK$3&lt;D111),0,E111*IF(G111=0,H111,MIN(H111,H111*(AK$3-D111+1)/MAX(1,G111)))*(1+F111)^(AK$3-D111)*$E93)</f>
        <v>14356217.984054</v>
      </c>
      <c r="AL20" s="44" t="n">
        <f aca="false">IF(OR(E111=0,AL$3&lt;D111),0,E111*IF(G111=0,H111,MIN(H111,H111*(AL$3-D111+1)/MAX(1,G111)))*(1+F111)^(AL$3-D111)*$E93)</f>
        <v>14463889.6189345</v>
      </c>
      <c r="AM20" s="44" t="n">
        <f aca="false">IF(OR(E111=0,AM$3&lt;D111),0,E111*IF(G111=0,H111,MIN(H111,H111*(AM$3-D111+1)/MAX(1,G111)))*(1+F111)^(AM$3-D111)*$E93)</f>
        <v>14572368.7910765</v>
      </c>
      <c r="AN20" s="44" t="n">
        <f aca="false">IF(OR(E111=0,AN$3&lt;D111),0,E111*IF(G111=0,H111,MIN(H111,H111*(AN$3-D111+1)/MAX(1,G111)))*(1+F111)^(AN$3-D111)*$E93)</f>
        <v>14681661.5570095</v>
      </c>
      <c r="AO20" s="44" t="n">
        <f aca="false">IF(OR(E111=0,AO$3&lt;D111),0,E111*IF(G111=0,H111,MIN(H111,H111*(AO$3-D111+1)/MAX(1,G111)))*(1+F111)^(AO$3-D111)*$E93)</f>
        <v>14791774.0186871</v>
      </c>
      <c r="AP20" s="44" t="n">
        <f aca="false">IF(OR(E111=0,AP$3&lt;D111),0,E111*IF(G111=0,H111,MIN(H111,H111*(AP$3-D111+1)/MAX(1,G111)))*(1+F111)^(AP$3-D111)*$E93)</f>
        <v>14902712.3238273</v>
      </c>
      <c r="AQ20" s="44" t="n">
        <f aca="false">IF(OR(E111=0,AQ$3&lt;D111),0,E111*IF(G111=0,H111,MIN(H111,H111*(AQ$3-D111+1)/MAX(1,G111)))*(1+F111)^(AQ$3-D111)*$E93)</f>
        <v>15014482.666256</v>
      </c>
      <c r="AR20" s="44" t="n">
        <f aca="false">IF(OR(E111=0,AR$3&lt;D111),0,E111*IF(G111=0,H111,MIN(H111,H111*(AR$3-D111+1)/MAX(1,G111)))*(1+F111)^(AR$3-D111)*$E93)</f>
        <v>15127091.2862529</v>
      </c>
      <c r="AS20" s="44" t="n">
        <f aca="false">IF(OR(E111=0,AS$3&lt;D111),0,E111*IF(G111=0,H111,MIN(H111,H111*(AS$3-D111+1)/MAX(1,G111)))*(1+F111)^(AS$3-D111)*$E93)</f>
        <v>15240544.4708998</v>
      </c>
      <c r="AT20" s="44" t="n">
        <f aca="false">IF(OR(E111=0,AT$3&lt;D111),0,E111*IF(G111=0,H111,MIN(H111,H111*(AT$3-D111+1)/MAX(1,G111)))*(1+F111)^(AT$3-D111)*$E93)</f>
        <v>15354848.5544315</v>
      </c>
      <c r="AU20" s="44" t="n">
        <f aca="false">IF(OR(E111=0,AU$3&lt;D111),0,E111*IF(G111=0,H111,MIN(H111,H111*(AU$3-D111+1)/MAX(1,G111)))*(1+F111)^(AU$3-D111)*$E93)</f>
        <v>15470009.9185898</v>
      </c>
      <c r="AV20" s="44" t="n">
        <f aca="false">IF(OR(E111=0,AV$3&lt;D111),0,E111*IF(G111=0,H111,MIN(H111,H111*(AV$3-D111+1)/MAX(1,G111)))*(1+F111)^(AV$3-D111)*$E93)</f>
        <v>15586034.9929792</v>
      </c>
      <c r="AW20" s="44" t="n">
        <f aca="false">IF(OR(E111=0,AW$3&lt;D111),0,E111*IF(G111=0,H111,MIN(H111,H111*(AW$3-D111+1)/MAX(1,G111)))*(1+F111)^(AW$3-D111)*$E93)</f>
        <v>15702930.2554265</v>
      </c>
      <c r="AX20" s="44" t="n">
        <f aca="false">IF(OR(E111=0,AX$3&lt;D111),0,E111*IF(G111=0,H111,MIN(H111,H111*(AX$3-D111+1)/MAX(1,G111)))*(1+F111)^(AX$3-D111)*$E93)</f>
        <v>15820702.2323422</v>
      </c>
      <c r="AY20" s="44" t="n">
        <f aca="false">IF(OR(E111=0,AY$3&lt;D111),0,E111*IF(G111=0,H111,MIN(H111,H111*(AY$3-D111+1)/MAX(1,G111)))*(1+F111)^(AY$3-D111)*$E93)</f>
        <v>15939357.4990848</v>
      </c>
      <c r="AZ20" s="44" t="n">
        <f aca="false">IF(OR(E111=0,AZ$3&lt;D111),0,E111*IF(G111=0,H111,MIN(H111,H111*(AZ$3-D111+1)/MAX(1,G111)))*(1+F111)^(AZ$3-D111)*$E93)</f>
        <v>16058902.680328</v>
      </c>
      <c r="BA20" s="44" t="n">
        <f aca="false">IF(OR(E111=0,BA$3&lt;D111),0,E111*IF(G111=0,H111,MIN(H111,H111*(BA$3-D111+1)/MAX(1,G111)))*(1+F111)^(BA$3-D111)*$E93)</f>
        <v>16179344.4504304</v>
      </c>
      <c r="BB20" s="44" t="n">
        <f aca="false">IF(OR(E111=0,BB$3&lt;D111),0,E111*IF(G111=0,H111,MIN(H111,H111*(BB$3-D111+1)/MAX(1,G111)))*(1+F111)^(BB$3-D111)*$E93)</f>
        <v>16300689.5338086</v>
      </c>
    </row>
    <row r="21" customFormat="false" ht="15" hidden="false" customHeight="true" outlineLevel="0" collapsed="false">
      <c r="A21" s="44" t="n">
        <f aca="false">A112</f>
        <v>18</v>
      </c>
      <c r="B21" s="44" t="str">
        <f aca="false">B112</f>
        <v>Flexible Block</v>
      </c>
      <c r="C21" s="44" t="str">
        <f aca="false">C112</f>
        <v>ZAN 3</v>
      </c>
      <c r="D21" s="44" t="n">
        <f aca="false">SUM(E21:BB21)</f>
        <v>438011143.73899</v>
      </c>
      <c r="E21" s="44" t="n">
        <f aca="false">IF(OR(E112=0,E$3&lt;D112),0,E112*IF(G112=0,H112,MIN(H112,H112*(E$3-D112+1)/MAX(1,G112)))*(1+F112)^(E$3-D112)*$E93)</f>
        <v>0</v>
      </c>
      <c r="F21" s="44" t="n">
        <f aca="false">IF(OR(E112=0,F$3&lt;D112),0,E112*IF(G112=0,H112,MIN(H112,H112*(F$3-D112+1)/MAX(1,G112)))*(1+F112)^(F$3-D112)*$E93)</f>
        <v>0</v>
      </c>
      <c r="G21" s="44" t="n">
        <f aca="false">IF(OR(E112=0,G$3&lt;D112),0,E112*IF(G112=0,H112,MIN(H112,H112*(G$3-D112+1)/MAX(1,G112)))*(1+F112)^(G$3-D112)*$E93)</f>
        <v>0</v>
      </c>
      <c r="H21" s="44" t="n">
        <f aca="false">IF(OR(E112=0,H$3&lt;D112),0,E112*IF(G112=0,H112,MIN(H112,H112*(H$3-D112+1)/MAX(1,G112)))*(1+F112)^(H$3-D112)*$E93)</f>
        <v>0</v>
      </c>
      <c r="I21" s="44" t="n">
        <f aca="false">IF(OR(E112=0,I$3&lt;D112),0,E112*IF(G112=0,H112,MIN(H112,H112*(I$3-D112+1)/MAX(1,G112)))*(1+F112)^(I$3-D112)*$E93)</f>
        <v>0</v>
      </c>
      <c r="J21" s="44" t="n">
        <f aca="false">IF(OR(E112=0,J$3&lt;D112),0,E112*IF(G112=0,H112,MIN(H112,H112*(J$3-D112+1)/MAX(1,G112)))*(1+F112)^(J$3-D112)*$E93)</f>
        <v>0</v>
      </c>
      <c r="K21" s="44" t="n">
        <f aca="false">IF(OR(E112=0,K$3&lt;D112),0,E112*IF(G112=0,H112,MIN(H112,H112*(K$3-D112+1)/MAX(1,G112)))*(1+F112)^(K$3-D112)*$E93)</f>
        <v>0</v>
      </c>
      <c r="L21" s="44" t="n">
        <f aca="false">IF(OR(E112=0,L$3&lt;D112),0,E112*IF(G112=0,H112,MIN(H112,H112*(L$3-D112+1)/MAX(1,G112)))*(1+F112)^(L$3-D112)*$E93)</f>
        <v>2948412</v>
      </c>
      <c r="M21" s="44" t="n">
        <f aca="false">IF(OR(E112=0,M$3&lt;D112),0,E112*IF(G112=0,H112,MIN(H112,H112*(M$3-D112+1)/MAX(1,G112)))*(1+F112)^(M$3-D112)*$E93)</f>
        <v>5941050.18</v>
      </c>
      <c r="N21" s="44" t="n">
        <f aca="false">IF(OR(E112=0,N$3&lt;D112),0,E112*IF(G112=0,H112,MIN(H112,H112*(N$3-D112+1)/MAX(1,G112)))*(1+F112)^(N$3-D112)*$E93)</f>
        <v>8978412.084525</v>
      </c>
      <c r="O21" s="44" t="n">
        <f aca="false">IF(OR(E112=0,O$3&lt;D112),0,E112*IF(G112=0,H112,MIN(H112,H112*(O$3-D112+1)/MAX(1,G112)))*(1+F112)^(O$3-D112)*$E93)</f>
        <v>9045750.17515894</v>
      </c>
      <c r="P21" s="44" t="n">
        <f aca="false">IF(OR(E112=0,P$3&lt;D112),0,E112*IF(G112=0,H112,MIN(H112,H112*(P$3-D112+1)/MAX(1,G112)))*(1+F112)^(P$3-D112)*$E93)</f>
        <v>9113593.30147263</v>
      </c>
      <c r="Q21" s="44" t="n">
        <f aca="false">IF(OR(E112=0,Q$3&lt;D112),0,E112*IF(G112=0,H112,MIN(H112,H112*(Q$3-D112+1)/MAX(1,G112)))*(1+F112)^(Q$3-D112)*$E93)</f>
        <v>9181945.25123368</v>
      </c>
      <c r="R21" s="44" t="n">
        <f aca="false">IF(OR(E112=0,R$3&lt;D112),0,E112*IF(G112=0,H112,MIN(H112,H112*(R$3-D112+1)/MAX(1,G112)))*(1+F112)^(R$3-D112)*$E93)</f>
        <v>9250809.84061793</v>
      </c>
      <c r="S21" s="44" t="n">
        <f aca="false">IF(OR(E112=0,S$3&lt;D112),0,E112*IF(G112=0,H112,MIN(H112,H112*(S$3-D112+1)/MAX(1,G112)))*(1+F112)^(S$3-D112)*$E93)</f>
        <v>9320190.91442257</v>
      </c>
      <c r="T21" s="44" t="n">
        <f aca="false">IF(OR(E112=0,T$3&lt;D112),0,E112*IF(G112=0,H112,MIN(H112,H112*(T$3-D112+1)/MAX(1,G112)))*(1+F112)^(T$3-D112)*$E93)</f>
        <v>9390092.34628074</v>
      </c>
      <c r="U21" s="44" t="n">
        <f aca="false">IF(OR(E112=0,U$3&lt;D112),0,E112*IF(G112=0,H112,MIN(H112,H112*(U$3-D112+1)/MAX(1,G112)))*(1+F112)^(U$3-D112)*$E93)</f>
        <v>9460518.03887784</v>
      </c>
      <c r="V21" s="44" t="n">
        <f aca="false">IF(OR(E112=0,V$3&lt;D112),0,E112*IF(G112=0,H112,MIN(H112,H112*(V$3-D112+1)/MAX(1,G112)))*(1+F112)^(V$3-D112)*$E93)</f>
        <v>9531471.92416943</v>
      </c>
      <c r="W21" s="44" t="n">
        <f aca="false">IF(OR(E112=0,W$3&lt;D112),0,E112*IF(G112=0,H112,MIN(H112,H112*(W$3-D112+1)/MAX(1,G112)))*(1+F112)^(W$3-D112)*$E93)</f>
        <v>9602957.9636007</v>
      </c>
      <c r="X21" s="44" t="n">
        <f aca="false">IF(OR(E112=0,X$3&lt;D112),0,E112*IF(G112=0,H112,MIN(H112,H112*(X$3-D112+1)/MAX(1,G112)))*(1+F112)^(X$3-D112)*$E93)</f>
        <v>9674980.1483277</v>
      </c>
      <c r="Y21" s="44" t="n">
        <f aca="false">IF(OR(E112=0,Y$3&lt;D112),0,E112*IF(G112=0,H112,MIN(H112,H112*(Y$3-D112+1)/MAX(1,G112)))*(1+F112)^(Y$3-D112)*$E93)</f>
        <v>9747542.49944016</v>
      </c>
      <c r="Z21" s="44" t="n">
        <f aca="false">IF(OR(E112=0,Z$3&lt;D112),0,E112*IF(G112=0,H112,MIN(H112,H112*(Z$3-D112+1)/MAX(1,G112)))*(1+F112)^(Z$3-D112)*$E93)</f>
        <v>9820649.06818596</v>
      </c>
      <c r="AA21" s="44" t="n">
        <f aca="false">IF(OR(E112=0,AA$3&lt;D112),0,E112*IF(G112=0,H112,MIN(H112,H112*(AA$3-D112+1)/MAX(1,G112)))*(1+F112)^(AA$3-D112)*$E93)</f>
        <v>9894303.93619736</v>
      </c>
      <c r="AB21" s="44" t="n">
        <f aca="false">IF(OR(E112=0,AB$3&lt;D112),0,E112*IF(G112=0,H112,MIN(H112,H112*(AB$3-D112+1)/MAX(1,G112)))*(1+F112)^(AB$3-D112)*$E93)</f>
        <v>9968511.21571884</v>
      </c>
      <c r="AC21" s="44" t="n">
        <f aca="false">IF(OR(E112=0,AC$3&lt;D112),0,E112*IF(G112=0,H112,MIN(H112,H112*(AC$3-D112+1)/MAX(1,G112)))*(1+F112)^(AC$3-D112)*$E93)</f>
        <v>10043275.0498367</v>
      </c>
      <c r="AD21" s="44" t="n">
        <f aca="false">IF(OR(E112=0,AD$3&lt;D112),0,E112*IF(G112=0,H112,MIN(H112,H112*(AD$3-D112+1)/MAX(1,G112)))*(1+F112)^(AD$3-D112)*$E93)</f>
        <v>10118599.6127105</v>
      </c>
      <c r="AE21" s="44" t="n">
        <f aca="false">IF(OR(E112=0,AE$3&lt;D112),0,E112*IF(G112=0,H112,MIN(H112,H112*(AE$3-D112+1)/MAX(1,G112)))*(1+F112)^(AE$3-D112)*$E93)</f>
        <v>10194489.1098058</v>
      </c>
      <c r="AF21" s="44" t="n">
        <f aca="false">IF(OR(E112=0,AF$3&lt;D112),0,E112*IF(G112=0,H112,MIN(H112,H112*(AF$3-D112+1)/MAX(1,G112)))*(1+F112)^(AF$3-D112)*$E93)</f>
        <v>10270947.7781294</v>
      </c>
      <c r="AG21" s="44" t="n">
        <f aca="false">IF(OR(E112=0,AG$3&lt;D112),0,E112*IF(G112=0,H112,MIN(H112,H112*(AG$3-D112+1)/MAX(1,G112)))*(1+F112)^(AG$3-D112)*$E93)</f>
        <v>10347979.8864654</v>
      </c>
      <c r="AH21" s="44" t="n">
        <f aca="false">IF(OR(E112=0,AH$3&lt;D112),0,E112*IF(G112=0,H112,MIN(H112,H112*(AH$3-D112+1)/MAX(1,G112)))*(1+F112)^(AH$3-D112)*$E93)</f>
        <v>10425589.7356138</v>
      </c>
      <c r="AI21" s="44" t="n">
        <f aca="false">IF(OR(E112=0,AI$3&lt;D112),0,E112*IF(G112=0,H112,MIN(H112,H112*(AI$3-D112+1)/MAX(1,G112)))*(1+F112)^(AI$3-D112)*$E93)</f>
        <v>10503781.6586309</v>
      </c>
      <c r="AJ21" s="44" t="n">
        <f aca="false">IF(OR(E112=0,AJ$3&lt;D112),0,E112*IF(G112=0,H112,MIN(H112,H112*(AJ$3-D112+1)/MAX(1,G112)))*(1+F112)^(AJ$3-D112)*$E93)</f>
        <v>10582560.0210707</v>
      </c>
      <c r="AK21" s="44" t="n">
        <f aca="false">IF(OR(E112=0,AK$3&lt;D112),0,E112*IF(G112=0,H112,MIN(H112,H112*(AK$3-D112+1)/MAX(1,G112)))*(1+F112)^(AK$3-D112)*$E93)</f>
        <v>10661929.2212287</v>
      </c>
      <c r="AL21" s="44" t="n">
        <f aca="false">IF(OR(E112=0,AL$3&lt;D112),0,E112*IF(G112=0,H112,MIN(H112,H112*(AL$3-D112+1)/MAX(1,G112)))*(1+F112)^(AL$3-D112)*$E93)</f>
        <v>10741893.6903879</v>
      </c>
      <c r="AM21" s="44" t="n">
        <f aca="false">IF(OR(E112=0,AM$3&lt;D112),0,E112*IF(G112=0,H112,MIN(H112,H112*(AM$3-D112+1)/MAX(1,G112)))*(1+F112)^(AM$3-D112)*$E93)</f>
        <v>10822457.8930658</v>
      </c>
      <c r="AN21" s="44" t="n">
        <f aca="false">IF(OR(E112=0,AN$3&lt;D112),0,E112*IF(G112=0,H112,MIN(H112,H112*(AN$3-D112+1)/MAX(1,G112)))*(1+F112)^(AN$3-D112)*$E93)</f>
        <v>10903626.3272638</v>
      </c>
      <c r="AO21" s="44" t="n">
        <f aca="false">IF(OR(E112=0,AO$3&lt;D112),0,E112*IF(G112=0,H112,MIN(H112,H112*(AO$3-D112+1)/MAX(1,G112)))*(1+F112)^(AO$3-D112)*$E93)</f>
        <v>10985403.5247183</v>
      </c>
      <c r="AP21" s="44" t="n">
        <f aca="false">IF(OR(E112=0,AP$3&lt;D112),0,E112*IF(G112=0,H112,MIN(H112,H112*(AP$3-D112+1)/MAX(1,G112)))*(1+F112)^(AP$3-D112)*$E93)</f>
        <v>11067794.0511537</v>
      </c>
      <c r="AQ21" s="44" t="n">
        <f aca="false">IF(OR(E112=0,AQ$3&lt;D112),0,E112*IF(G112=0,H112,MIN(H112,H112*(AQ$3-D112+1)/MAX(1,G112)))*(1+F112)^(AQ$3-D112)*$E93)</f>
        <v>11150802.5065374</v>
      </c>
      <c r="AR21" s="44" t="n">
        <f aca="false">IF(OR(E112=0,AR$3&lt;D112),0,E112*IF(G112=0,H112,MIN(H112,H112*(AR$3-D112+1)/MAX(1,G112)))*(1+F112)^(AR$3-D112)*$E93)</f>
        <v>11234433.5253364</v>
      </c>
      <c r="AS21" s="44" t="n">
        <f aca="false">IF(OR(E112=0,AS$3&lt;D112),0,E112*IF(G112=0,H112,MIN(H112,H112*(AS$3-D112+1)/MAX(1,G112)))*(1+F112)^(AS$3-D112)*$E93)</f>
        <v>11318691.7767764</v>
      </c>
      <c r="AT21" s="44" t="n">
        <f aca="false">IF(OR(E112=0,AT$3&lt;D112),0,E112*IF(G112=0,H112,MIN(H112,H112*(AT$3-D112+1)/MAX(1,G112)))*(1+F112)^(AT$3-D112)*$E93)</f>
        <v>11403581.9651022</v>
      </c>
      <c r="AU21" s="44" t="n">
        <f aca="false">IF(OR(E112=0,AU$3&lt;D112),0,E112*IF(G112=0,H112,MIN(H112,H112*(AU$3-D112+1)/MAX(1,G112)))*(1+F112)^(AU$3-D112)*$E93)</f>
        <v>11489108.8298405</v>
      </c>
      <c r="AV21" s="44" t="n">
        <f aca="false">IF(OR(E112=0,AV$3&lt;D112),0,E112*IF(G112=0,H112,MIN(H112,H112*(AV$3-D112+1)/MAX(1,G112)))*(1+F112)^(AV$3-D112)*$E93)</f>
        <v>11575277.1460643</v>
      </c>
      <c r="AW21" s="44" t="n">
        <f aca="false">IF(OR(E112=0,AW$3&lt;D112),0,E112*IF(G112=0,H112,MIN(H112,H112*(AW$3-D112+1)/MAX(1,G112)))*(1+F112)^(AW$3-D112)*$E93)</f>
        <v>11662091.7246598</v>
      </c>
      <c r="AX21" s="44" t="n">
        <f aca="false">IF(OR(E112=0,AX$3&lt;D112),0,E112*IF(G112=0,H112,MIN(H112,H112*(AX$3-D112+1)/MAX(1,G112)))*(1+F112)^(AX$3-D112)*$E93)</f>
        <v>11749557.4125947</v>
      </c>
      <c r="AY21" s="44" t="n">
        <f aca="false">IF(OR(E112=0,AY$3&lt;D112),0,E112*IF(G112=0,H112,MIN(H112,H112*(AY$3-D112+1)/MAX(1,G112)))*(1+F112)^(AY$3-D112)*$E93)</f>
        <v>11837679.0931892</v>
      </c>
      <c r="AZ21" s="44" t="n">
        <f aca="false">IF(OR(E112=0,AZ$3&lt;D112),0,E112*IF(G112=0,H112,MIN(H112,H112*(AZ$3-D112+1)/MAX(1,G112)))*(1+F112)^(AZ$3-D112)*$E93)</f>
        <v>11926461.6863881</v>
      </c>
      <c r="BA21" s="44" t="n">
        <f aca="false">IF(OR(E112=0,BA$3&lt;D112),0,E112*IF(G112=0,H112,MIN(H112,H112*(BA$3-D112+1)/MAX(1,G112)))*(1+F112)^(BA$3-D112)*$E93)</f>
        <v>12015910.149036</v>
      </c>
      <c r="BB21" s="44" t="n">
        <f aca="false">IF(OR(E112=0,BB$3&lt;D112),0,E112*IF(G112=0,H112,MIN(H112,H112*(BB$3-D112+1)/MAX(1,G112)))*(1+F112)^(BB$3-D112)*$E93)</f>
        <v>12106029.4751538</v>
      </c>
    </row>
    <row r="22" customFormat="false" ht="15" hidden="false" customHeight="true" outlineLevel="0" collapsed="false">
      <c r="A22" s="44" t="n">
        <f aca="false">A113</f>
        <v>19</v>
      </c>
      <c r="B22" s="44" t="str">
        <f aca="false">B113</f>
        <v>Multi-Purpose Hall</v>
      </c>
      <c r="C22" s="44" t="str">
        <f aca="false">C113</f>
        <v>ZAN 3</v>
      </c>
      <c r="D22" s="44" t="n">
        <f aca="false">SUM(E22:BB22)</f>
        <v>133907466.120386</v>
      </c>
      <c r="E22" s="44" t="n">
        <f aca="false">IF(OR(E113=0,E$3&lt;D113),0,E113*IF(G113=0,H113,MIN(H113,H113*(E$3-D113+1)/MAX(1,G113)))*(1+F113)^(E$3-D113)*$E93)</f>
        <v>0</v>
      </c>
      <c r="F22" s="44" t="n">
        <f aca="false">IF(OR(E113=0,F$3&lt;D113),0,E113*IF(G113=0,H113,MIN(H113,H113*(F$3-D113+1)/MAX(1,G113)))*(1+F113)^(F$3-D113)*$E93)</f>
        <v>0</v>
      </c>
      <c r="G22" s="44" t="n">
        <f aca="false">IF(OR(E113=0,G$3&lt;D113),0,E113*IF(G113=0,H113,MIN(H113,H113*(G$3-D113+1)/MAX(1,G113)))*(1+F113)^(G$3-D113)*$E93)</f>
        <v>0</v>
      </c>
      <c r="H22" s="44" t="n">
        <f aca="false">IF(OR(E113=0,H$3&lt;D113),0,E113*IF(G113=0,H113,MIN(H113,H113*(H$3-D113+1)/MAX(1,G113)))*(1+F113)^(H$3-D113)*$E93)</f>
        <v>0</v>
      </c>
      <c r="I22" s="44" t="n">
        <f aca="false">IF(OR(E113=0,I$3&lt;D113),0,E113*IF(G113=0,H113,MIN(H113,H113*(I$3-D113+1)/MAX(1,G113)))*(1+F113)^(I$3-D113)*$E93)</f>
        <v>0</v>
      </c>
      <c r="J22" s="44" t="n">
        <f aca="false">IF(OR(E113=0,J$3&lt;D113),0,E113*IF(G113=0,H113,MIN(H113,H113*(J$3-D113+1)/MAX(1,G113)))*(1+F113)^(J$3-D113)*$E93)</f>
        <v>0</v>
      </c>
      <c r="K22" s="44" t="n">
        <f aca="false">IF(OR(E113=0,K$3&lt;D113),0,E113*IF(G113=0,H113,MIN(H113,H113*(K$3-D113+1)/MAX(1,G113)))*(1+F113)^(K$3-D113)*$E93)</f>
        <v>876960</v>
      </c>
      <c r="L22" s="44" t="n">
        <f aca="false">IF(OR(E113=0,L$3&lt;D113),0,E113*IF(G113=0,H113,MIN(H113,H113*(L$3-D113+1)/MAX(1,G113)))*(1+F113)^(L$3-D113)*$E93)</f>
        <v>1767074.4</v>
      </c>
      <c r="M22" s="44" t="n">
        <f aca="false">IF(OR(E113=0,M$3&lt;D113),0,E113*IF(G113=0,H113,MIN(H113,H113*(M$3-D113+1)/MAX(1,G113)))*(1+F113)^(M$3-D113)*$E93)</f>
        <v>2670491.187</v>
      </c>
      <c r="N22" s="44" t="n">
        <f aca="false">IF(OR(E113=0,N$3&lt;D113),0,E113*IF(G113=0,H113,MIN(H113,H113*(N$3-D113+1)/MAX(1,G113)))*(1+F113)^(N$3-D113)*$E93)</f>
        <v>2690519.8709025</v>
      </c>
      <c r="O22" s="44" t="n">
        <f aca="false">IF(OR(E113=0,O$3&lt;D113),0,E113*IF(G113=0,H113,MIN(H113,H113*(O$3-D113+1)/MAX(1,G113)))*(1+F113)^(O$3-D113)*$E93)</f>
        <v>2710698.76993427</v>
      </c>
      <c r="P22" s="44" t="n">
        <f aca="false">IF(OR(E113=0,P$3&lt;D113),0,E113*IF(G113=0,H113,MIN(H113,H113*(P$3-D113+1)/MAX(1,G113)))*(1+F113)^(P$3-D113)*$E93)</f>
        <v>2731029.01070878</v>
      </c>
      <c r="Q22" s="44" t="n">
        <f aca="false">IF(OR(E113=0,Q$3&lt;D113),0,E113*IF(G113=0,H113,MIN(H113,H113*(Q$3-D113+1)/MAX(1,G113)))*(1+F113)^(Q$3-D113)*$E93)</f>
        <v>2751511.72828909</v>
      </c>
      <c r="R22" s="44" t="n">
        <f aca="false">IF(OR(E113=0,R$3&lt;D113),0,E113*IF(G113=0,H113,MIN(H113,H113*(R$3-D113+1)/MAX(1,G113)))*(1+F113)^(R$3-D113)*$E93)</f>
        <v>2772148.06625126</v>
      </c>
      <c r="S22" s="44" t="n">
        <f aca="false">IF(OR(E113=0,S$3&lt;D113),0,E113*IF(G113=0,H113,MIN(H113,H113*(S$3-D113+1)/MAX(1,G113)))*(1+F113)^(S$3-D113)*$E93)</f>
        <v>2792939.17674815</v>
      </c>
      <c r="T22" s="44" t="n">
        <f aca="false">IF(OR(E113=0,T$3&lt;D113),0,E113*IF(G113=0,H113,MIN(H113,H113*(T$3-D113+1)/MAX(1,G113)))*(1+F113)^(T$3-D113)*$E93)</f>
        <v>2813886.22057376</v>
      </c>
      <c r="U22" s="44" t="n">
        <f aca="false">IF(OR(E113=0,U$3&lt;D113),0,E113*IF(G113=0,H113,MIN(H113,H113*(U$3-D113+1)/MAX(1,G113)))*(1+F113)^(U$3-D113)*$E93)</f>
        <v>2834990.36722806</v>
      </c>
      <c r="V22" s="44" t="n">
        <f aca="false">IF(OR(E113=0,V$3&lt;D113),0,E113*IF(G113=0,H113,MIN(H113,H113*(V$3-D113+1)/MAX(1,G113)))*(1+F113)^(V$3-D113)*$E93)</f>
        <v>2856252.79498227</v>
      </c>
      <c r="W22" s="44" t="n">
        <f aca="false">IF(OR(E113=0,W$3&lt;D113),0,E113*IF(G113=0,H113,MIN(H113,H113*(W$3-D113+1)/MAX(1,G113)))*(1+F113)^(W$3-D113)*$E93)</f>
        <v>2877674.69094464</v>
      </c>
      <c r="X22" s="44" t="n">
        <f aca="false">IF(OR(E113=0,X$3&lt;D113),0,E113*IF(G113=0,H113,MIN(H113,H113*(X$3-D113+1)/MAX(1,G113)))*(1+F113)^(X$3-D113)*$E93)</f>
        <v>2899257.25112672</v>
      </c>
      <c r="Y22" s="44" t="n">
        <f aca="false">IF(OR(E113=0,Y$3&lt;D113),0,E113*IF(G113=0,H113,MIN(H113,H113*(Y$3-D113+1)/MAX(1,G113)))*(1+F113)^(Y$3-D113)*$E93)</f>
        <v>2921001.68051017</v>
      </c>
      <c r="Z22" s="44" t="n">
        <f aca="false">IF(OR(E113=0,Z$3&lt;D113),0,E113*IF(G113=0,H113,MIN(H113,H113*(Z$3-D113+1)/MAX(1,G113)))*(1+F113)^(Z$3-D113)*$E93)</f>
        <v>2942909.193114</v>
      </c>
      <c r="AA22" s="44" t="n">
        <f aca="false">IF(OR(E113=0,AA$3&lt;D113),0,E113*IF(G113=0,H113,MIN(H113,H113*(AA$3-D113+1)/MAX(1,G113)))*(1+F113)^(AA$3-D113)*$E93)</f>
        <v>2964981.01206236</v>
      </c>
      <c r="AB22" s="44" t="n">
        <f aca="false">IF(OR(E113=0,AB$3&lt;D113),0,E113*IF(G113=0,H113,MIN(H113,H113*(AB$3-D113+1)/MAX(1,G113)))*(1+F113)^(AB$3-D113)*$E93)</f>
        <v>2987218.36965282</v>
      </c>
      <c r="AC22" s="44" t="n">
        <f aca="false">IF(OR(E113=0,AC$3&lt;D113),0,E113*IF(G113=0,H113,MIN(H113,H113*(AC$3-D113+1)/MAX(1,G113)))*(1+F113)^(AC$3-D113)*$E93)</f>
        <v>3009622.50742522</v>
      </c>
      <c r="AD22" s="44" t="n">
        <f aca="false">IF(OR(E113=0,AD$3&lt;D113),0,E113*IF(G113=0,H113,MIN(H113,H113*(AD$3-D113+1)/MAX(1,G113)))*(1+F113)^(AD$3-D113)*$E93)</f>
        <v>3032194.67623091</v>
      </c>
      <c r="AE22" s="44" t="n">
        <f aca="false">IF(OR(E113=0,AE$3&lt;D113),0,E113*IF(G113=0,H113,MIN(H113,H113*(AE$3-D113+1)/MAX(1,G113)))*(1+F113)^(AE$3-D113)*$E93)</f>
        <v>3054936.13630264</v>
      </c>
      <c r="AF22" s="44" t="n">
        <f aca="false">IF(OR(E113=0,AF$3&lt;D113),0,E113*IF(G113=0,H113,MIN(H113,H113*(AF$3-D113+1)/MAX(1,G113)))*(1+F113)^(AF$3-D113)*$E93)</f>
        <v>3077848.15732491</v>
      </c>
      <c r="AG22" s="44" t="n">
        <f aca="false">IF(OR(E113=0,AG$3&lt;D113),0,E113*IF(G113=0,H113,MIN(H113,H113*(AG$3-D113+1)/MAX(1,G113)))*(1+F113)^(AG$3-D113)*$E93)</f>
        <v>3100932.01850485</v>
      </c>
      <c r="AH22" s="44" t="n">
        <f aca="false">IF(OR(E113=0,AH$3&lt;D113),0,E113*IF(G113=0,H113,MIN(H113,H113*(AH$3-D113+1)/MAX(1,G113)))*(1+F113)^(AH$3-D113)*$E93)</f>
        <v>3124189.00864363</v>
      </c>
      <c r="AI22" s="44" t="n">
        <f aca="false">IF(OR(E113=0,AI$3&lt;D113),0,E113*IF(G113=0,H113,MIN(H113,H113*(AI$3-D113+1)/MAX(1,G113)))*(1+F113)^(AI$3-D113)*$E93)</f>
        <v>3147620.42620846</v>
      </c>
      <c r="AJ22" s="44" t="n">
        <f aca="false">IF(OR(E113=0,AJ$3&lt;D113),0,E113*IF(G113=0,H113,MIN(H113,H113*(AJ$3-D113+1)/MAX(1,G113)))*(1+F113)^(AJ$3-D113)*$E93)</f>
        <v>3171227.57940503</v>
      </c>
      <c r="AK22" s="44" t="n">
        <f aca="false">IF(OR(E113=0,AK$3&lt;D113),0,E113*IF(G113=0,H113,MIN(H113,H113*(AK$3-D113+1)/MAX(1,G113)))*(1+F113)^(AK$3-D113)*$E93)</f>
        <v>3195011.78625056</v>
      </c>
      <c r="AL22" s="44" t="n">
        <f aca="false">IF(OR(E113=0,AL$3&lt;D113),0,E113*IF(G113=0,H113,MIN(H113,H113*(AL$3-D113+1)/MAX(1,G113)))*(1+F113)^(AL$3-D113)*$E93)</f>
        <v>3218974.37464744</v>
      </c>
      <c r="AM22" s="44" t="n">
        <f aca="false">IF(OR(E113=0,AM$3&lt;D113),0,E113*IF(G113=0,H113,MIN(H113,H113*(AM$3-D113+1)/MAX(1,G113)))*(1+F113)^(AM$3-D113)*$E93)</f>
        <v>3243116.6824573</v>
      </c>
      <c r="AN22" s="44" t="n">
        <f aca="false">IF(OR(E113=0,AN$3&lt;D113),0,E113*IF(G113=0,H113,MIN(H113,H113*(AN$3-D113+1)/MAX(1,G113)))*(1+F113)^(AN$3-D113)*$E93)</f>
        <v>3267440.05757573</v>
      </c>
      <c r="AO22" s="44" t="n">
        <f aca="false">IF(OR(E113=0,AO$3&lt;D113),0,E113*IF(G113=0,H113,MIN(H113,H113*(AO$3-D113+1)/MAX(1,G113)))*(1+F113)^(AO$3-D113)*$E93)</f>
        <v>3291945.85800755</v>
      </c>
      <c r="AP22" s="44" t="n">
        <f aca="false">IF(OR(E113=0,AP$3&lt;D113),0,E113*IF(G113=0,H113,MIN(H113,H113*(AP$3-D113+1)/MAX(1,G113)))*(1+F113)^(AP$3-D113)*$E93)</f>
        <v>3316635.4519426</v>
      </c>
      <c r="AQ22" s="44" t="n">
        <f aca="false">IF(OR(E113=0,AQ$3&lt;D113),0,E113*IF(G113=0,H113,MIN(H113,H113*(AQ$3-D113+1)/MAX(1,G113)))*(1+F113)^(AQ$3-D113)*$E93)</f>
        <v>3341510.21783217</v>
      </c>
      <c r="AR22" s="44" t="n">
        <f aca="false">IF(OR(E113=0,AR$3&lt;D113),0,E113*IF(G113=0,H113,MIN(H113,H113*(AR$3-D113+1)/MAX(1,G113)))*(1+F113)^(AR$3-D113)*$E93)</f>
        <v>3366571.54446592</v>
      </c>
      <c r="AS22" s="44" t="n">
        <f aca="false">IF(OR(E113=0,AS$3&lt;D113),0,E113*IF(G113=0,H113,MIN(H113,H113*(AS$3-D113+1)/MAX(1,G113)))*(1+F113)^(AS$3-D113)*$E93)</f>
        <v>3391820.83104941</v>
      </c>
      <c r="AT22" s="44" t="n">
        <f aca="false">IF(OR(E113=0,AT$3&lt;D113),0,E113*IF(G113=0,H113,MIN(H113,H113*(AT$3-D113+1)/MAX(1,G113)))*(1+F113)^(AT$3-D113)*$E93)</f>
        <v>3417259.48728228</v>
      </c>
      <c r="AU22" s="44" t="n">
        <f aca="false">IF(OR(E113=0,AU$3&lt;D113),0,E113*IF(G113=0,H113,MIN(H113,H113*(AU$3-D113+1)/MAX(1,G113)))*(1+F113)^(AU$3-D113)*$E93)</f>
        <v>3442888.9334369</v>
      </c>
      <c r="AV22" s="44" t="n">
        <f aca="false">IF(OR(E113=0,AV$3&lt;D113),0,E113*IF(G113=0,H113,MIN(H113,H113*(AV$3-D113+1)/MAX(1,G113)))*(1+F113)^(AV$3-D113)*$E93)</f>
        <v>3468710.60043767</v>
      </c>
      <c r="AW22" s="44" t="n">
        <f aca="false">IF(OR(E113=0,AW$3&lt;D113),0,E113*IF(G113=0,H113,MIN(H113,H113*(AW$3-D113+1)/MAX(1,G113)))*(1+F113)^(AW$3-D113)*$E93)</f>
        <v>3494725.92994096</v>
      </c>
      <c r="AX22" s="44" t="n">
        <f aca="false">IF(OR(E113=0,AX$3&lt;D113),0,E113*IF(G113=0,H113,MIN(H113,H113*(AX$3-D113+1)/MAX(1,G113)))*(1+F113)^(AX$3-D113)*$E93)</f>
        <v>3520936.37441551</v>
      </c>
      <c r="AY22" s="44" t="n">
        <f aca="false">IF(OR(E113=0,AY$3&lt;D113),0,E113*IF(G113=0,H113,MIN(H113,H113*(AY$3-D113+1)/MAX(1,G113)))*(1+F113)^(AY$3-D113)*$E93)</f>
        <v>3547343.39722363</v>
      </c>
      <c r="AZ22" s="44" t="n">
        <f aca="false">IF(OR(E113=0,AZ$3&lt;D113),0,E113*IF(G113=0,H113,MIN(H113,H113*(AZ$3-D113+1)/MAX(1,G113)))*(1+F113)^(AZ$3-D113)*$E93)</f>
        <v>3573948.47270281</v>
      </c>
      <c r="BA22" s="44" t="n">
        <f aca="false">IF(OR(E113=0,BA$3&lt;D113),0,E113*IF(G113=0,H113,MIN(H113,H113*(BA$3-D113+1)/MAX(1,G113)))*(1+F113)^(BA$3-D113)*$E93)</f>
        <v>3600753.08624808</v>
      </c>
      <c r="BB22" s="44" t="n">
        <f aca="false">IF(OR(E113=0,BB$3&lt;D113),0,E113*IF(G113=0,H113,MIN(H113,H113*(BB$3-D113+1)/MAX(1,G113)))*(1+F113)^(BB$3-D113)*$E93)</f>
        <v>3627758.73439494</v>
      </c>
    </row>
    <row r="23" customFormat="false" ht="15" hidden="false" customHeight="true" outlineLevel="0" collapsed="false">
      <c r="A23" s="44" t="n">
        <f aca="false">A114</f>
        <v>20</v>
      </c>
      <c r="B23" s="44" t="str">
        <f aca="false">B114</f>
        <v>Unallocated / Open Area</v>
      </c>
      <c r="C23" s="44" t="str">
        <f aca="false">C114</f>
        <v>ZAN 3</v>
      </c>
      <c r="D23" s="44" t="n">
        <f aca="false">SUM(E23:BB23)</f>
        <v>133028106.952546</v>
      </c>
      <c r="E23" s="44" t="n">
        <f aca="false">IF(OR(E114=0,E$3&lt;D114),0,E114*IF(G114=0,H114,MIN(H114,H114*(E$3-D114+1)/MAX(1,G114)))*(1+F114)^(E$3-D114)*$E93)</f>
        <v>0</v>
      </c>
      <c r="F23" s="44" t="n">
        <f aca="false">IF(OR(E114=0,F$3&lt;D114),0,E114*IF(G114=0,H114,MIN(H114,H114*(F$3-D114+1)/MAX(1,G114)))*(1+F114)^(F$3-D114)*$E93)</f>
        <v>0</v>
      </c>
      <c r="G23" s="44" t="n">
        <f aca="false">IF(OR(E114=0,G$3&lt;D114),0,E114*IF(G114=0,H114,MIN(H114,H114*(G$3-D114+1)/MAX(1,G114)))*(1+F114)^(G$3-D114)*$E93)</f>
        <v>0</v>
      </c>
      <c r="H23" s="44" t="n">
        <f aca="false">IF(OR(E114=0,H$3&lt;D114),0,E114*IF(G114=0,H114,MIN(H114,H114*(H$3-D114+1)/MAX(1,G114)))*(1+F114)^(H$3-D114)*$E93)</f>
        <v>0</v>
      </c>
      <c r="I23" s="44" t="n">
        <f aca="false">IF(OR(E114=0,I$3&lt;D114),0,E114*IF(G114=0,H114,MIN(H114,H114*(I$3-D114+1)/MAX(1,G114)))*(1+F114)^(I$3-D114)*$E93)</f>
        <v>0</v>
      </c>
      <c r="J23" s="44" t="n">
        <f aca="false">IF(OR(E114=0,J$3&lt;D114),0,E114*IF(G114=0,H114,MIN(H114,H114*(J$3-D114+1)/MAX(1,G114)))*(1+F114)^(J$3-D114)*$E93)</f>
        <v>2496300</v>
      </c>
      <c r="K23" s="44" t="n">
        <f aca="false">IF(OR(E114=0,K$3&lt;D114),0,E114*IF(G114=0,H114,MIN(H114,H114*(K$3-D114+1)/MAX(1,G114)))*(1+F114)^(K$3-D114)*$E93)</f>
        <v>2515022.25</v>
      </c>
      <c r="L23" s="44" t="n">
        <f aca="false">IF(OR(E114=0,L$3&lt;D114),0,E114*IF(G114=0,H114,MIN(H114,H114*(L$3-D114+1)/MAX(1,G114)))*(1+F114)^(L$3-D114)*$E93)</f>
        <v>2533884.916875</v>
      </c>
      <c r="M23" s="44" t="n">
        <f aca="false">IF(OR(E114=0,M$3&lt;D114),0,E114*IF(G114=0,H114,MIN(H114,H114*(M$3-D114+1)/MAX(1,G114)))*(1+F114)^(M$3-D114)*$E93)</f>
        <v>2552889.05375156</v>
      </c>
      <c r="N23" s="44" t="n">
        <f aca="false">IF(OR(E114=0,N$3&lt;D114),0,E114*IF(G114=0,H114,MIN(H114,H114*(N$3-D114+1)/MAX(1,G114)))*(1+F114)^(N$3-D114)*$E93)</f>
        <v>2572035.7216547</v>
      </c>
      <c r="O23" s="44" t="n">
        <f aca="false">IF(OR(E114=0,O$3&lt;D114),0,E114*IF(G114=0,H114,MIN(H114,H114*(O$3-D114+1)/MAX(1,G114)))*(1+F114)^(O$3-D114)*$E93)</f>
        <v>2591325.98956711</v>
      </c>
      <c r="P23" s="44" t="n">
        <f aca="false">IF(OR(E114=0,P$3&lt;D114),0,E114*IF(G114=0,H114,MIN(H114,H114*(P$3-D114+1)/MAX(1,G114)))*(1+F114)^(P$3-D114)*$E93)</f>
        <v>2610760.93448886</v>
      </c>
      <c r="Q23" s="44" t="n">
        <f aca="false">IF(OR(E114=0,Q$3&lt;D114),0,E114*IF(G114=0,H114,MIN(H114,H114*(Q$3-D114+1)/MAX(1,G114)))*(1+F114)^(Q$3-D114)*$E93)</f>
        <v>2630341.64149753</v>
      </c>
      <c r="R23" s="44" t="n">
        <f aca="false">IF(OR(E114=0,R$3&lt;D114),0,E114*IF(G114=0,H114,MIN(H114,H114*(R$3-D114+1)/MAX(1,G114)))*(1+F114)^(R$3-D114)*$E93)</f>
        <v>2650069.20380876</v>
      </c>
      <c r="S23" s="44" t="n">
        <f aca="false">IF(OR(E114=0,S$3&lt;D114),0,E114*IF(G114=0,H114,MIN(H114,H114*(S$3-D114+1)/MAX(1,G114)))*(1+F114)^(S$3-D114)*$E93)</f>
        <v>2669944.72283733</v>
      </c>
      <c r="T23" s="44" t="n">
        <f aca="false">IF(OR(E114=0,T$3&lt;D114),0,E114*IF(G114=0,H114,MIN(H114,H114*(T$3-D114+1)/MAX(1,G114)))*(1+F114)^(T$3-D114)*$E93)</f>
        <v>2689969.30825861</v>
      </c>
      <c r="U23" s="44" t="n">
        <f aca="false">IF(OR(E114=0,U$3&lt;D114),0,E114*IF(G114=0,H114,MIN(H114,H114*(U$3-D114+1)/MAX(1,G114)))*(1+F114)^(U$3-D114)*$E93)</f>
        <v>2710144.07807055</v>
      </c>
      <c r="V23" s="44" t="n">
        <f aca="false">IF(OR(E114=0,V$3&lt;D114),0,E114*IF(G114=0,H114,MIN(H114,H114*(V$3-D114+1)/MAX(1,G114)))*(1+F114)^(V$3-D114)*$E93)</f>
        <v>2730470.15865608</v>
      </c>
      <c r="W23" s="44" t="n">
        <f aca="false">IF(OR(E114=0,W$3&lt;D114),0,E114*IF(G114=0,H114,MIN(H114,H114*(W$3-D114+1)/MAX(1,G114)))*(1+F114)^(W$3-D114)*$E93)</f>
        <v>2750948.684846</v>
      </c>
      <c r="X23" s="44" t="n">
        <f aca="false">IF(OR(E114=0,X$3&lt;D114),0,E114*IF(G114=0,H114,MIN(H114,H114*(X$3-D114+1)/MAX(1,G114)))*(1+F114)^(X$3-D114)*$E93)</f>
        <v>2771580.79998234</v>
      </c>
      <c r="Y23" s="44" t="n">
        <f aca="false">IF(OR(E114=0,Y$3&lt;D114),0,E114*IF(G114=0,H114,MIN(H114,H114*(Y$3-D114+1)/MAX(1,G114)))*(1+F114)^(Y$3-D114)*$E93)</f>
        <v>2792367.65598221</v>
      </c>
      <c r="Z23" s="44" t="n">
        <f aca="false">IF(OR(E114=0,Z$3&lt;D114),0,E114*IF(G114=0,H114,MIN(H114,H114*(Z$3-D114+1)/MAX(1,G114)))*(1+F114)^(Z$3-D114)*$E93)</f>
        <v>2813310.41340208</v>
      </c>
      <c r="AA23" s="44" t="n">
        <f aca="false">IF(OR(E114=0,AA$3&lt;D114),0,E114*IF(G114=0,H114,MIN(H114,H114*(AA$3-D114+1)/MAX(1,G114)))*(1+F114)^(AA$3-D114)*$E93)</f>
        <v>2834410.24150259</v>
      </c>
      <c r="AB23" s="44" t="n">
        <f aca="false">IF(OR(E114=0,AB$3&lt;D114),0,E114*IF(G114=0,H114,MIN(H114,H114*(AB$3-D114+1)/MAX(1,G114)))*(1+F114)^(AB$3-D114)*$E93)</f>
        <v>2855668.31831386</v>
      </c>
      <c r="AC23" s="44" t="n">
        <f aca="false">IF(OR(E114=0,AC$3&lt;D114),0,E114*IF(G114=0,H114,MIN(H114,H114*(AC$3-D114+1)/MAX(1,G114)))*(1+F114)^(AC$3-D114)*$E93)</f>
        <v>2877085.83070122</v>
      </c>
      <c r="AD23" s="44" t="n">
        <f aca="false">IF(OR(E114=0,AD$3&lt;D114),0,E114*IF(G114=0,H114,MIN(H114,H114*(AD$3-D114+1)/MAX(1,G114)))*(1+F114)^(AD$3-D114)*$E93)</f>
        <v>2898663.97443148</v>
      </c>
      <c r="AE23" s="44" t="n">
        <f aca="false">IF(OR(E114=0,AE$3&lt;D114),0,E114*IF(G114=0,H114,MIN(H114,H114*(AE$3-D114+1)/MAX(1,G114)))*(1+F114)^(AE$3-D114)*$E93)</f>
        <v>2920403.95423971</v>
      </c>
      <c r="AF23" s="44" t="n">
        <f aca="false">IF(OR(E114=0,AF$3&lt;D114),0,E114*IF(G114=0,H114,MIN(H114,H114*(AF$3-D114+1)/MAX(1,G114)))*(1+F114)^(AF$3-D114)*$E93)</f>
        <v>2942306.98389651</v>
      </c>
      <c r="AG23" s="44" t="n">
        <f aca="false">IF(OR(E114=0,AG$3&lt;D114),0,E114*IF(G114=0,H114,MIN(H114,H114*(AG$3-D114+1)/MAX(1,G114)))*(1+F114)^(AG$3-D114)*$E93)</f>
        <v>2964374.28627574</v>
      </c>
      <c r="AH23" s="44" t="n">
        <f aca="false">IF(OR(E114=0,AH$3&lt;D114),0,E114*IF(G114=0,H114,MIN(H114,H114*(AH$3-D114+1)/MAX(1,G114)))*(1+F114)^(AH$3-D114)*$E93)</f>
        <v>2986607.0934228</v>
      </c>
      <c r="AI23" s="44" t="n">
        <f aca="false">IF(OR(E114=0,AI$3&lt;D114),0,E114*IF(G114=0,H114,MIN(H114,H114*(AI$3-D114+1)/MAX(1,G114)))*(1+F114)^(AI$3-D114)*$E93)</f>
        <v>3009006.64662347</v>
      </c>
      <c r="AJ23" s="44" t="n">
        <f aca="false">IF(OR(E114=0,AJ$3&lt;D114),0,E114*IF(G114=0,H114,MIN(H114,H114*(AJ$3-D114+1)/MAX(1,G114)))*(1+F114)^(AJ$3-D114)*$E93)</f>
        <v>3031574.19647315</v>
      </c>
      <c r="AK23" s="44" t="n">
        <f aca="false">IF(OR(E114=0,AK$3&lt;D114),0,E114*IF(G114=0,H114,MIN(H114,H114*(AK$3-D114+1)/MAX(1,G114)))*(1+F114)^(AK$3-D114)*$E93)</f>
        <v>3054311.0029467</v>
      </c>
      <c r="AL23" s="44" t="n">
        <f aca="false">IF(OR(E114=0,AL$3&lt;D114),0,E114*IF(G114=0,H114,MIN(H114,H114*(AL$3-D114+1)/MAX(1,G114)))*(1+F114)^(AL$3-D114)*$E93)</f>
        <v>3077218.3354688</v>
      </c>
      <c r="AM23" s="44" t="n">
        <f aca="false">IF(OR(E114=0,AM$3&lt;D114),0,E114*IF(G114=0,H114,MIN(H114,H114*(AM$3-D114+1)/MAX(1,G114)))*(1+F114)^(AM$3-D114)*$E93)</f>
        <v>3100297.47298482</v>
      </c>
      <c r="AN23" s="44" t="n">
        <f aca="false">IF(OR(E114=0,AN$3&lt;D114),0,E114*IF(G114=0,H114,MIN(H114,H114*(AN$3-D114+1)/MAX(1,G114)))*(1+F114)^(AN$3-D114)*$E93)</f>
        <v>3123549.7040322</v>
      </c>
      <c r="AO23" s="44" t="n">
        <f aca="false">IF(OR(E114=0,AO$3&lt;D114),0,E114*IF(G114=0,H114,MIN(H114,H114*(AO$3-D114+1)/MAX(1,G114)))*(1+F114)^(AO$3-D114)*$E93)</f>
        <v>3146976.32681244</v>
      </c>
      <c r="AP23" s="44" t="n">
        <f aca="false">IF(OR(E114=0,AP$3&lt;D114),0,E114*IF(G114=0,H114,MIN(H114,H114*(AP$3-D114+1)/MAX(1,G114)))*(1+F114)^(AP$3-D114)*$E93)</f>
        <v>3170578.64926354</v>
      </c>
      <c r="AQ23" s="44" t="n">
        <f aca="false">IF(OR(E114=0,AQ$3&lt;D114),0,E114*IF(G114=0,H114,MIN(H114,H114*(AQ$3-D114+1)/MAX(1,G114)))*(1+F114)^(AQ$3-D114)*$E93)</f>
        <v>3194357.98913301</v>
      </c>
      <c r="AR23" s="44" t="n">
        <f aca="false">IF(OR(E114=0,AR$3&lt;D114),0,E114*IF(G114=0,H114,MIN(H114,H114*(AR$3-D114+1)/MAX(1,G114)))*(1+F114)^(AR$3-D114)*$E93)</f>
        <v>3218315.67405151</v>
      </c>
      <c r="AS23" s="44" t="n">
        <f aca="false">IF(OR(E114=0,AS$3&lt;D114),0,E114*IF(G114=0,H114,MIN(H114,H114*(AS$3-D114+1)/MAX(1,G114)))*(1+F114)^(AS$3-D114)*$E93)</f>
        <v>3242453.0416069</v>
      </c>
      <c r="AT23" s="44" t="n">
        <f aca="false">IF(OR(E114=0,AT$3&lt;D114),0,E114*IF(G114=0,H114,MIN(H114,H114*(AT$3-D114+1)/MAX(1,G114)))*(1+F114)^(AT$3-D114)*$E93)</f>
        <v>3266771.43941895</v>
      </c>
      <c r="AU23" s="44" t="n">
        <f aca="false">IF(OR(E114=0,AU$3&lt;D114),0,E114*IF(G114=0,H114,MIN(H114,H114*(AU$3-D114+1)/MAX(1,G114)))*(1+F114)^(AU$3-D114)*$E93)</f>
        <v>3291272.22521459</v>
      </c>
      <c r="AV23" s="44" t="n">
        <f aca="false">IF(OR(E114=0,AV$3&lt;D114),0,E114*IF(G114=0,H114,MIN(H114,H114*(AV$3-D114+1)/MAX(1,G114)))*(1+F114)^(AV$3-D114)*$E93)</f>
        <v>3315956.7669037</v>
      </c>
      <c r="AW23" s="44" t="n">
        <f aca="false">IF(OR(E114=0,AW$3&lt;D114),0,E114*IF(G114=0,H114,MIN(H114,H114*(AW$3-D114+1)/MAX(1,G114)))*(1+F114)^(AW$3-D114)*$E93)</f>
        <v>3340826.44265548</v>
      </c>
      <c r="AX23" s="44" t="n">
        <f aca="false">IF(OR(E114=0,AX$3&lt;D114),0,E114*IF(G114=0,H114,MIN(H114,H114*(AX$3-D114+1)/MAX(1,G114)))*(1+F114)^(AX$3-D114)*$E93)</f>
        <v>3365882.6409754</v>
      </c>
      <c r="AY23" s="44" t="n">
        <f aca="false">IF(OR(E114=0,AY$3&lt;D114),0,E114*IF(G114=0,H114,MIN(H114,H114*(AY$3-D114+1)/MAX(1,G114)))*(1+F114)^(AY$3-D114)*$E93)</f>
        <v>3391126.76078271</v>
      </c>
      <c r="AZ23" s="44" t="n">
        <f aca="false">IF(OR(E114=0,AZ$3&lt;D114),0,E114*IF(G114=0,H114,MIN(H114,H114*(AZ$3-D114+1)/MAX(1,G114)))*(1+F114)^(AZ$3-D114)*$E93)</f>
        <v>3416560.21148858</v>
      </c>
      <c r="BA23" s="44" t="n">
        <f aca="false">IF(OR(E114=0,BA$3&lt;D114),0,E114*IF(G114=0,H114,MIN(H114,H114*(BA$3-D114+1)/MAX(1,G114)))*(1+F114)^(BA$3-D114)*$E93)</f>
        <v>3442184.41307475</v>
      </c>
      <c r="BB23" s="44" t="n">
        <f aca="false">IF(OR(E114=0,BB$3&lt;D114),0,E114*IF(G114=0,H114,MIN(H114,H114*(BB$3-D114+1)/MAX(1,G114)))*(1+F114)^(BB$3-D114)*$E93)</f>
        <v>3468000.79617281</v>
      </c>
    </row>
    <row r="24" customFormat="false" ht="15" hidden="false" customHeight="true" outlineLevel="0" collapsed="false">
      <c r="A24" s="44" t="n">
        <f aca="false">A115</f>
        <v>21</v>
      </c>
      <c r="B24" s="44" t="str">
        <f aca="false">B115</f>
        <v>Shops / Cafes</v>
      </c>
      <c r="C24" s="44" t="str">
        <f aca="false">C115</f>
        <v>ZAN 3</v>
      </c>
      <c r="D24" s="44" t="n">
        <f aca="false">SUM(E24:BB24)</f>
        <v>92054306.5336741</v>
      </c>
      <c r="E24" s="44" t="n">
        <f aca="false">IF(OR(E115=0,E$3&lt;D115),0,E115*IF(G115=0,H115,MIN(H115,H115*(E$3-D115+1)/MAX(1,G115)))*(1+F115)^(E$3-D115)*$E93)</f>
        <v>0</v>
      </c>
      <c r="F24" s="44" t="n">
        <f aca="false">IF(OR(E115=0,F$3&lt;D115),0,E115*IF(G115=0,H115,MIN(H115,H115*(F$3-D115+1)/MAX(1,G115)))*(1+F115)^(F$3-D115)*$E93)</f>
        <v>0</v>
      </c>
      <c r="G24" s="44" t="n">
        <f aca="false">IF(OR(E115=0,G$3&lt;D115),0,E115*IF(G115=0,H115,MIN(H115,H115*(G$3-D115+1)/MAX(1,G115)))*(1+F115)^(G$3-D115)*$E93)</f>
        <v>0</v>
      </c>
      <c r="H24" s="44" t="n">
        <f aca="false">IF(OR(E115=0,H$3&lt;D115),0,E115*IF(G115=0,H115,MIN(H115,H115*(H$3-D115+1)/MAX(1,G115)))*(1+F115)^(H$3-D115)*$E93)</f>
        <v>0</v>
      </c>
      <c r="I24" s="44" t="n">
        <f aca="false">IF(OR(E115=0,I$3&lt;D115),0,E115*IF(G115=0,H115,MIN(H115,H115*(I$3-D115+1)/MAX(1,G115)))*(1+F115)^(I$3-D115)*$E93)</f>
        <v>0</v>
      </c>
      <c r="J24" s="44" t="n">
        <f aca="false">IF(OR(E115=0,J$3&lt;D115),0,E115*IF(G115=0,H115,MIN(H115,H115*(J$3-D115+1)/MAX(1,G115)))*(1+F115)^(J$3-D115)*$E93)</f>
        <v>0</v>
      </c>
      <c r="K24" s="44" t="n">
        <f aca="false">IF(OR(E115=0,K$3&lt;D115),0,E115*IF(G115=0,H115,MIN(H115,H115*(K$3-D115+1)/MAX(1,G115)))*(1+F115)^(K$3-D115)*$E93)</f>
        <v>895455</v>
      </c>
      <c r="L24" s="44" t="n">
        <f aca="false">IF(OR(E115=0,L$3&lt;D115),0,E115*IF(G115=0,H115,MIN(H115,H115*(L$3-D115+1)/MAX(1,G115)))*(1+F115)^(L$3-D115)*$E93)</f>
        <v>1804341.825</v>
      </c>
      <c r="M24" s="44" t="n">
        <f aca="false">IF(OR(E115=0,M$3&lt;D115),0,E115*IF(G115=0,H115,MIN(H115,H115*(M$3-D115+1)/MAX(1,G115)))*(1+F115)^(M$3-D115)*$E93)</f>
        <v>1817874.3886875</v>
      </c>
      <c r="N24" s="44" t="n">
        <f aca="false">IF(OR(E115=0,N$3&lt;D115),0,E115*IF(G115=0,H115,MIN(H115,H115*(N$3-D115+1)/MAX(1,G115)))*(1+F115)^(N$3-D115)*$E93)</f>
        <v>1831508.44660266</v>
      </c>
      <c r="O24" s="44" t="n">
        <f aca="false">IF(OR(E115=0,O$3&lt;D115),0,E115*IF(G115=0,H115,MIN(H115,H115*(O$3-D115+1)/MAX(1,G115)))*(1+F115)^(O$3-D115)*$E93)</f>
        <v>1845244.75995218</v>
      </c>
      <c r="P24" s="44" t="n">
        <f aca="false">IF(OR(E115=0,P$3&lt;D115),0,E115*IF(G115=0,H115,MIN(H115,H115*(P$3-D115+1)/MAX(1,G115)))*(1+F115)^(P$3-D115)*$E93)</f>
        <v>1859084.09565182</v>
      </c>
      <c r="Q24" s="44" t="n">
        <f aca="false">IF(OR(E115=0,Q$3&lt;D115),0,E115*IF(G115=0,H115,MIN(H115,H115*(Q$3-D115+1)/MAX(1,G115)))*(1+F115)^(Q$3-D115)*$E93)</f>
        <v>1873027.22636921</v>
      </c>
      <c r="R24" s="44" t="n">
        <f aca="false">IF(OR(E115=0,R$3&lt;D115),0,E115*IF(G115=0,H115,MIN(H115,H115*(R$3-D115+1)/MAX(1,G115)))*(1+F115)^(R$3-D115)*$E93)</f>
        <v>1887074.93056698</v>
      </c>
      <c r="S24" s="44" t="n">
        <f aca="false">IF(OR(E115=0,S$3&lt;D115),0,E115*IF(G115=0,H115,MIN(H115,H115*(S$3-D115+1)/MAX(1,G115)))*(1+F115)^(S$3-D115)*$E93)</f>
        <v>1901227.99254623</v>
      </c>
      <c r="T24" s="44" t="n">
        <f aca="false">IF(OR(E115=0,T$3&lt;D115),0,E115*IF(G115=0,H115,MIN(H115,H115*(T$3-D115+1)/MAX(1,G115)))*(1+F115)^(T$3-D115)*$E93)</f>
        <v>1915487.20249033</v>
      </c>
      <c r="U24" s="44" t="n">
        <f aca="false">IF(OR(E115=0,U$3&lt;D115),0,E115*IF(G115=0,H115,MIN(H115,H115*(U$3-D115+1)/MAX(1,G115)))*(1+F115)^(U$3-D115)*$E93)</f>
        <v>1929853.356509</v>
      </c>
      <c r="V24" s="44" t="n">
        <f aca="false">IF(OR(E115=0,V$3&lt;D115),0,E115*IF(G115=0,H115,MIN(H115,H115*(V$3-D115+1)/MAX(1,G115)))*(1+F115)^(V$3-D115)*$E93)</f>
        <v>1944327.25668282</v>
      </c>
      <c r="W24" s="44" t="n">
        <f aca="false">IF(OR(E115=0,W$3&lt;D115),0,E115*IF(G115=0,H115,MIN(H115,H115*(W$3-D115+1)/MAX(1,G115)))*(1+F115)^(W$3-D115)*$E93)</f>
        <v>1958909.71110794</v>
      </c>
      <c r="X24" s="44" t="n">
        <f aca="false">IF(OR(E115=0,X$3&lt;D115),0,E115*IF(G115=0,H115,MIN(H115,H115*(X$3-D115+1)/MAX(1,G115)))*(1+F115)^(X$3-D115)*$E93)</f>
        <v>1973601.53394125</v>
      </c>
      <c r="Y24" s="44" t="n">
        <f aca="false">IF(OR(E115=0,Y$3&lt;D115),0,E115*IF(G115=0,H115,MIN(H115,H115*(Y$3-D115+1)/MAX(1,G115)))*(1+F115)^(Y$3-D115)*$E93)</f>
        <v>1988403.54544581</v>
      </c>
      <c r="Z24" s="44" t="n">
        <f aca="false">IF(OR(E115=0,Z$3&lt;D115),0,E115*IF(G115=0,H115,MIN(H115,H115*(Z$3-D115+1)/MAX(1,G115)))*(1+F115)^(Z$3-D115)*$E93)</f>
        <v>2003316.57203665</v>
      </c>
      <c r="AA24" s="44" t="n">
        <f aca="false">IF(OR(E115=0,AA$3&lt;D115),0,E115*IF(G115=0,H115,MIN(H115,H115*(AA$3-D115+1)/MAX(1,G115)))*(1+F115)^(AA$3-D115)*$E93)</f>
        <v>2018341.44632693</v>
      </c>
      <c r="AB24" s="44" t="n">
        <f aca="false">IF(OR(E115=0,AB$3&lt;D115),0,E115*IF(G115=0,H115,MIN(H115,H115*(AB$3-D115+1)/MAX(1,G115)))*(1+F115)^(AB$3-D115)*$E93)</f>
        <v>2033479.00717438</v>
      </c>
      <c r="AC24" s="44" t="n">
        <f aca="false">IF(OR(E115=0,AC$3&lt;D115),0,E115*IF(G115=0,H115,MIN(H115,H115*(AC$3-D115+1)/MAX(1,G115)))*(1+F115)^(AC$3-D115)*$E93)</f>
        <v>2048730.09972819</v>
      </c>
      <c r="AD24" s="44" t="n">
        <f aca="false">IF(OR(E115=0,AD$3&lt;D115),0,E115*IF(G115=0,H115,MIN(H115,H115*(AD$3-D115+1)/MAX(1,G115)))*(1+F115)^(AD$3-D115)*$E93)</f>
        <v>2064095.57547615</v>
      </c>
      <c r="AE24" s="44" t="n">
        <f aca="false">IF(OR(E115=0,AE$3&lt;D115),0,E115*IF(G115=0,H115,MIN(H115,H115*(AE$3-D115+1)/MAX(1,G115)))*(1+F115)^(AE$3-D115)*$E93)</f>
        <v>2079576.29229222</v>
      </c>
      <c r="AF24" s="44" t="n">
        <f aca="false">IF(OR(E115=0,AF$3&lt;D115),0,E115*IF(G115=0,H115,MIN(H115,H115*(AF$3-D115+1)/MAX(1,G115)))*(1+F115)^(AF$3-D115)*$E93)</f>
        <v>2095173.11448441</v>
      </c>
      <c r="AG24" s="44" t="n">
        <f aca="false">IF(OR(E115=0,AG$3&lt;D115),0,E115*IF(G115=0,H115,MIN(H115,H115*(AG$3-D115+1)/MAX(1,G115)))*(1+F115)^(AG$3-D115)*$E93)</f>
        <v>2110886.91284305</v>
      </c>
      <c r="AH24" s="44" t="n">
        <f aca="false">IF(OR(E115=0,AH$3&lt;D115),0,E115*IF(G115=0,H115,MIN(H115,H115*(AH$3-D115+1)/MAX(1,G115)))*(1+F115)^(AH$3-D115)*$E93)</f>
        <v>2126718.56468937</v>
      </c>
      <c r="AI24" s="44" t="n">
        <f aca="false">IF(OR(E115=0,AI$3&lt;D115),0,E115*IF(G115=0,H115,MIN(H115,H115*(AI$3-D115+1)/MAX(1,G115)))*(1+F115)^(AI$3-D115)*$E93)</f>
        <v>2142668.95392454</v>
      </c>
      <c r="AJ24" s="44" t="n">
        <f aca="false">IF(OR(E115=0,AJ$3&lt;D115),0,E115*IF(G115=0,H115,MIN(H115,H115*(AJ$3-D115+1)/MAX(1,G115)))*(1+F115)^(AJ$3-D115)*$E93)</f>
        <v>2158738.97107898</v>
      </c>
      <c r="AK24" s="44" t="n">
        <f aca="false">IF(OR(E115=0,AK$3&lt;D115),0,E115*IF(G115=0,H115,MIN(H115,H115*(AK$3-D115+1)/MAX(1,G115)))*(1+F115)^(AK$3-D115)*$E93)</f>
        <v>2174929.51336207</v>
      </c>
      <c r="AL24" s="44" t="n">
        <f aca="false">IF(OR(E115=0,AL$3&lt;D115),0,E115*IF(G115=0,H115,MIN(H115,H115*(AL$3-D115+1)/MAX(1,G115)))*(1+F115)^(AL$3-D115)*$E93)</f>
        <v>2191241.48471228</v>
      </c>
      <c r="AM24" s="44" t="n">
        <f aca="false">IF(OR(E115=0,AM$3&lt;D115),0,E115*IF(G115=0,H115,MIN(H115,H115*(AM$3-D115+1)/MAX(1,G115)))*(1+F115)^(AM$3-D115)*$E93)</f>
        <v>2207675.79584763</v>
      </c>
      <c r="AN24" s="44" t="n">
        <f aca="false">IF(OR(E115=0,AN$3&lt;D115),0,E115*IF(G115=0,H115,MIN(H115,H115*(AN$3-D115+1)/MAX(1,G115)))*(1+F115)^(AN$3-D115)*$E93)</f>
        <v>2224233.36431648</v>
      </c>
      <c r="AO24" s="44" t="n">
        <f aca="false">IF(OR(E115=0,AO$3&lt;D115),0,E115*IF(G115=0,H115,MIN(H115,H115*(AO$3-D115+1)/MAX(1,G115)))*(1+F115)^(AO$3-D115)*$E93)</f>
        <v>2240915.11454886</v>
      </c>
      <c r="AP24" s="44" t="n">
        <f aca="false">IF(OR(E115=0,AP$3&lt;D115),0,E115*IF(G115=0,H115,MIN(H115,H115*(AP$3-D115+1)/MAX(1,G115)))*(1+F115)^(AP$3-D115)*$E93)</f>
        <v>2257721.97790797</v>
      </c>
      <c r="AQ24" s="44" t="n">
        <f aca="false">IF(OR(E115=0,AQ$3&lt;D115),0,E115*IF(G115=0,H115,MIN(H115,H115*(AQ$3-D115+1)/MAX(1,G115)))*(1+F115)^(AQ$3-D115)*$E93)</f>
        <v>2274654.89274228</v>
      </c>
      <c r="AR24" s="44" t="n">
        <f aca="false">IF(OR(E115=0,AR$3&lt;D115),0,E115*IF(G115=0,H115,MIN(H115,H115*(AR$3-D115+1)/MAX(1,G115)))*(1+F115)^(AR$3-D115)*$E93)</f>
        <v>2291714.80443785</v>
      </c>
      <c r="AS24" s="44" t="n">
        <f aca="false">IF(OR(E115=0,AS$3&lt;D115),0,E115*IF(G115=0,H115,MIN(H115,H115*(AS$3-D115+1)/MAX(1,G115)))*(1+F115)^(AS$3-D115)*$E93)</f>
        <v>2308902.66547113</v>
      </c>
      <c r="AT24" s="44" t="n">
        <f aca="false">IF(OR(E115=0,AT$3&lt;D115),0,E115*IF(G115=0,H115,MIN(H115,H115*(AT$3-D115+1)/MAX(1,G115)))*(1+F115)^(AT$3-D115)*$E93)</f>
        <v>2326219.43546217</v>
      </c>
      <c r="AU24" s="44" t="n">
        <f aca="false">IF(OR(E115=0,AU$3&lt;D115),0,E115*IF(G115=0,H115,MIN(H115,H115*(AU$3-D115+1)/MAX(1,G115)))*(1+F115)^(AU$3-D115)*$E93)</f>
        <v>2343666.08122813</v>
      </c>
      <c r="AV24" s="44" t="n">
        <f aca="false">IF(OR(E115=0,AV$3&lt;D115),0,E115*IF(G115=0,H115,MIN(H115,H115*(AV$3-D115+1)/MAX(1,G115)))*(1+F115)^(AV$3-D115)*$E93)</f>
        <v>2361243.57683735</v>
      </c>
      <c r="AW24" s="44" t="n">
        <f aca="false">IF(OR(E115=0,AW$3&lt;D115),0,E115*IF(G115=0,H115,MIN(H115,H115*(AW$3-D115+1)/MAX(1,G115)))*(1+F115)^(AW$3-D115)*$E93)</f>
        <v>2378952.90366363</v>
      </c>
      <c r="AX24" s="44" t="n">
        <f aca="false">IF(OR(E115=0,AX$3&lt;D115),0,E115*IF(G115=0,H115,MIN(H115,H115*(AX$3-D115+1)/MAX(1,G115)))*(1+F115)^(AX$3-D115)*$E93)</f>
        <v>2396795.0504411</v>
      </c>
      <c r="AY24" s="44" t="n">
        <f aca="false">IF(OR(E115=0,AY$3&lt;D115),0,E115*IF(G115=0,H115,MIN(H115,H115*(AY$3-D115+1)/MAX(1,G115)))*(1+F115)^(AY$3-D115)*$E93)</f>
        <v>2414771.01331941</v>
      </c>
      <c r="AZ24" s="44" t="n">
        <f aca="false">IF(OR(E115=0,AZ$3&lt;D115),0,E115*IF(G115=0,H115,MIN(H115,H115*(AZ$3-D115+1)/MAX(1,G115)))*(1+F115)^(AZ$3-D115)*$E93)</f>
        <v>2432881.79591931</v>
      </c>
      <c r="BA24" s="44" t="n">
        <f aca="false">IF(OR(E115=0,BA$3&lt;D115),0,E115*IF(G115=0,H115,MIN(H115,H115*(BA$3-D115+1)/MAX(1,G115)))*(1+F115)^(BA$3-D115)*$E93)</f>
        <v>2451128.4093887</v>
      </c>
      <c r="BB24" s="44" t="n">
        <f aca="false">IF(OR(E115=0,BB$3&lt;D115),0,E115*IF(G115=0,H115,MIN(H115,H115*(BB$3-D115+1)/MAX(1,G115)))*(1+F115)^(BB$3-D115)*$E93)</f>
        <v>2469511.87245912</v>
      </c>
    </row>
    <row r="25" customFormat="false" ht="15" hidden="false" customHeight="true" outlineLevel="0" collapsed="false">
      <c r="A25" s="44" t="n">
        <f aca="false">A116</f>
        <v>22</v>
      </c>
      <c r="B25" s="44" t="str">
        <f aca="false">B116</f>
        <v>Small Market</v>
      </c>
      <c r="C25" s="44" t="str">
        <f aca="false">C116</f>
        <v>ZAN 3</v>
      </c>
      <c r="D25" s="44" t="n">
        <f aca="false">SUM(E25:BB25)</f>
        <v>26146587.2922421</v>
      </c>
      <c r="E25" s="44" t="n">
        <f aca="false">IF(OR(E116=0,E$3&lt;D116),0,E116*IF(G116=0,H116,MIN(H116,H116*(E$3-D116+1)/MAX(1,G116)))*(1+F116)^(E$3-D116)*$E93)</f>
        <v>0</v>
      </c>
      <c r="F25" s="44" t="n">
        <f aca="false">IF(OR(E116=0,F$3&lt;D116),0,E116*IF(G116=0,H116,MIN(H116,H116*(F$3-D116+1)/MAX(1,G116)))*(1+F116)^(F$3-D116)*$E93)</f>
        <v>0</v>
      </c>
      <c r="G25" s="44" t="n">
        <f aca="false">IF(OR(E116=0,G$3&lt;D116),0,E116*IF(G116=0,H116,MIN(H116,H116*(G$3-D116+1)/MAX(1,G116)))*(1+F116)^(G$3-D116)*$E93)</f>
        <v>0</v>
      </c>
      <c r="H25" s="44" t="n">
        <f aca="false">IF(OR(E116=0,H$3&lt;D116),0,E116*IF(G116=0,H116,MIN(H116,H116*(H$3-D116+1)/MAX(1,G116)))*(1+F116)^(H$3-D116)*$E93)</f>
        <v>0</v>
      </c>
      <c r="I25" s="44" t="n">
        <f aca="false">IF(OR(E116=0,I$3&lt;D116),0,E116*IF(G116=0,H116,MIN(H116,H116*(I$3-D116+1)/MAX(1,G116)))*(1+F116)^(I$3-D116)*$E93)</f>
        <v>0</v>
      </c>
      <c r="J25" s="44" t="n">
        <f aca="false">IF(OR(E116=0,J$3&lt;D116),0,E116*IF(G116=0,H116,MIN(H116,H116*(J$3-D116+1)/MAX(1,G116)))*(1+F116)^(J$3-D116)*$E93)</f>
        <v>0</v>
      </c>
      <c r="K25" s="44" t="n">
        <f aca="false">IF(OR(E116=0,K$3&lt;D116),0,E116*IF(G116=0,H116,MIN(H116,H116*(K$3-D116+1)/MAX(1,G116)))*(1+F116)^(K$3-D116)*$E93)</f>
        <v>254340</v>
      </c>
      <c r="L25" s="44" t="n">
        <f aca="false">IF(OR(E116=0,L$3&lt;D116),0,E116*IF(G116=0,H116,MIN(H116,H116*(L$3-D116+1)/MAX(1,G116)))*(1+F116)^(L$3-D116)*$E93)</f>
        <v>512495.1</v>
      </c>
      <c r="M25" s="44" t="n">
        <f aca="false">IF(OR(E116=0,M$3&lt;D116),0,E116*IF(G116=0,H116,MIN(H116,H116*(M$3-D116+1)/MAX(1,G116)))*(1+F116)^(M$3-D116)*$E93)</f>
        <v>516338.81325</v>
      </c>
      <c r="N25" s="44" t="n">
        <f aca="false">IF(OR(E116=0,N$3&lt;D116),0,E116*IF(G116=0,H116,MIN(H116,H116*(N$3-D116+1)/MAX(1,G116)))*(1+F116)^(N$3-D116)*$E93)</f>
        <v>520211.354349375</v>
      </c>
      <c r="O25" s="44" t="n">
        <f aca="false">IF(OR(E116=0,O$3&lt;D116),0,E116*IF(G116=0,H116,MIN(H116,H116*(O$3-D116+1)/MAX(1,G116)))*(1+F116)^(O$3-D116)*$E93)</f>
        <v>524112.939506995</v>
      </c>
      <c r="P25" s="44" t="n">
        <f aca="false">IF(OR(E116=0,P$3&lt;D116),0,E116*IF(G116=0,H116,MIN(H116,H116*(P$3-D116+1)/MAX(1,G116)))*(1+F116)^(P$3-D116)*$E93)</f>
        <v>528043.786553298</v>
      </c>
      <c r="Q25" s="44" t="n">
        <f aca="false">IF(OR(E116=0,Q$3&lt;D116),0,E116*IF(G116=0,H116,MIN(H116,H116*(Q$3-D116+1)/MAX(1,G116)))*(1+F116)^(Q$3-D116)*$E93)</f>
        <v>532004.114952448</v>
      </c>
      <c r="R25" s="44" t="n">
        <f aca="false">IF(OR(E116=0,R$3&lt;D116),0,E116*IF(G116=0,H116,MIN(H116,H116*(R$3-D116+1)/MAX(1,G116)))*(1+F116)^(R$3-D116)*$E93)</f>
        <v>535994.145814591</v>
      </c>
      <c r="S25" s="44" t="n">
        <f aca="false">IF(OR(E116=0,S$3&lt;D116),0,E116*IF(G116=0,H116,MIN(H116,H116*(S$3-D116+1)/MAX(1,G116)))*(1+F116)^(S$3-D116)*$E93)</f>
        <v>540014.101908201</v>
      </c>
      <c r="T25" s="44" t="n">
        <f aca="false">IF(OR(E116=0,T$3&lt;D116),0,E116*IF(G116=0,H116,MIN(H116,H116*(T$3-D116+1)/MAX(1,G116)))*(1+F116)^(T$3-D116)*$E93)</f>
        <v>544064.207672512</v>
      </c>
      <c r="U25" s="44" t="n">
        <f aca="false">IF(OR(E116=0,U$3&lt;D116),0,E116*IF(G116=0,H116,MIN(H116,H116*(U$3-D116+1)/MAX(1,G116)))*(1+F116)^(U$3-D116)*$E93)</f>
        <v>548144.689230056</v>
      </c>
      <c r="V25" s="44" t="n">
        <f aca="false">IF(OR(E116=0,V$3&lt;D116),0,E116*IF(G116=0,H116,MIN(H116,H116*(V$3-D116+1)/MAX(1,G116)))*(1+F116)^(V$3-D116)*$E93)</f>
        <v>552255.774399281</v>
      </c>
      <c r="W25" s="44" t="n">
        <f aca="false">IF(OR(E116=0,W$3&lt;D116),0,E116*IF(G116=0,H116,MIN(H116,H116*(W$3-D116+1)/MAX(1,G116)))*(1+F116)^(W$3-D116)*$E93)</f>
        <v>556397.692707276</v>
      </c>
      <c r="X25" s="44" t="n">
        <f aca="false">IF(OR(E116=0,X$3&lt;D116),0,E116*IF(G116=0,H116,MIN(H116,H116*(X$3-D116+1)/MAX(1,G116)))*(1+F116)^(X$3-D116)*$E93)</f>
        <v>560570.675402581</v>
      </c>
      <c r="Y25" s="44" t="n">
        <f aca="false">IF(OR(E116=0,Y$3&lt;D116),0,E116*IF(G116=0,H116,MIN(H116,H116*(Y$3-D116+1)/MAX(1,G116)))*(1+F116)^(Y$3-D116)*$E93)</f>
        <v>564774.9554681</v>
      </c>
      <c r="Z25" s="44" t="n">
        <f aca="false">IF(OR(E116=0,Z$3&lt;D116),0,E116*IF(G116=0,H116,MIN(H116,H116*(Z$3-D116+1)/MAX(1,G116)))*(1+F116)^(Z$3-D116)*$E93)</f>
        <v>569010.767634111</v>
      </c>
      <c r="AA25" s="44" t="n">
        <f aca="false">IF(OR(E116=0,AA$3&lt;D116),0,E116*IF(G116=0,H116,MIN(H116,H116*(AA$3-D116+1)/MAX(1,G116)))*(1+F116)^(AA$3-D116)*$E93)</f>
        <v>573278.348391367</v>
      </c>
      <c r="AB25" s="44" t="n">
        <f aca="false">IF(OR(E116=0,AB$3&lt;D116),0,E116*IF(G116=0,H116,MIN(H116,H116*(AB$3-D116+1)/MAX(1,G116)))*(1+F116)^(AB$3-D116)*$E93)</f>
        <v>577577.936004302</v>
      </c>
      <c r="AC25" s="44" t="n">
        <f aca="false">IF(OR(E116=0,AC$3&lt;D116),0,E116*IF(G116=0,H116,MIN(H116,H116*(AC$3-D116+1)/MAX(1,G116)))*(1+F116)^(AC$3-D116)*$E93)</f>
        <v>581909.770524334</v>
      </c>
      <c r="AD25" s="44" t="n">
        <f aca="false">IF(OR(E116=0,AD$3&lt;D116),0,E116*IF(G116=0,H116,MIN(H116,H116*(AD$3-D116+1)/MAX(1,G116)))*(1+F116)^(AD$3-D116)*$E93)</f>
        <v>586274.093803267</v>
      </c>
      <c r="AE25" s="44" t="n">
        <f aca="false">IF(OR(E116=0,AE$3&lt;D116),0,E116*IF(G116=0,H116,MIN(H116,H116*(AE$3-D116+1)/MAX(1,G116)))*(1+F116)^(AE$3-D116)*$E93)</f>
        <v>590671.149506791</v>
      </c>
      <c r="AF25" s="44" t="n">
        <f aca="false">IF(OR(E116=0,AF$3&lt;D116),0,E116*IF(G116=0,H116,MIN(H116,H116*(AF$3-D116+1)/MAX(1,G116)))*(1+F116)^(AF$3-D116)*$E93)</f>
        <v>595101.183128092</v>
      </c>
      <c r="AG25" s="44" t="n">
        <f aca="false">IF(OR(E116=0,AG$3&lt;D116),0,E116*IF(G116=0,H116,MIN(H116,H116*(AG$3-D116+1)/MAX(1,G116)))*(1+F116)^(AG$3-D116)*$E93)</f>
        <v>599564.442001553</v>
      </c>
      <c r="AH25" s="44" t="n">
        <f aca="false">IF(OR(E116=0,AH$3&lt;D116),0,E116*IF(G116=0,H116,MIN(H116,H116*(AH$3-D116+1)/MAX(1,G116)))*(1+F116)^(AH$3-D116)*$E93)</f>
        <v>604061.175316565</v>
      </c>
      <c r="AI25" s="44" t="n">
        <f aca="false">IF(OR(E116=0,AI$3&lt;D116),0,E116*IF(G116=0,H116,MIN(H116,H116*(AI$3-D116+1)/MAX(1,G116)))*(1+F116)^(AI$3-D116)*$E93)</f>
        <v>608591.634131439</v>
      </c>
      <c r="AJ25" s="44" t="n">
        <f aca="false">IF(OR(E116=0,AJ$3&lt;D116),0,E116*IF(G116=0,H116,MIN(H116,H116*(AJ$3-D116+1)/MAX(1,G116)))*(1+F116)^(AJ$3-D116)*$E93)</f>
        <v>613156.071387425</v>
      </c>
      <c r="AK25" s="44" t="n">
        <f aca="false">IF(OR(E116=0,AK$3&lt;D116),0,E116*IF(G116=0,H116,MIN(H116,H116*(AK$3-D116+1)/MAX(1,G116)))*(1+F116)^(AK$3-D116)*$E93)</f>
        <v>617754.741922831</v>
      </c>
      <c r="AL25" s="44" t="n">
        <f aca="false">IF(OR(E116=0,AL$3&lt;D116),0,E116*IF(G116=0,H116,MIN(H116,H116*(AL$3-D116+1)/MAX(1,G116)))*(1+F116)^(AL$3-D116)*$E93)</f>
        <v>622387.902487252</v>
      </c>
      <c r="AM25" s="44" t="n">
        <f aca="false">IF(OR(E116=0,AM$3&lt;D116),0,E116*IF(G116=0,H116,MIN(H116,H116*(AM$3-D116+1)/MAX(1,G116)))*(1+F116)^(AM$3-D116)*$E93)</f>
        <v>627055.811755906</v>
      </c>
      <c r="AN25" s="44" t="n">
        <f aca="false">IF(OR(E116=0,AN$3&lt;D116),0,E116*IF(G116=0,H116,MIN(H116,H116*(AN$3-D116+1)/MAX(1,G116)))*(1+F116)^(AN$3-D116)*$E93)</f>
        <v>631758.730344076</v>
      </c>
      <c r="AO25" s="44" t="n">
        <f aca="false">IF(OR(E116=0,AO$3&lt;D116),0,E116*IF(G116=0,H116,MIN(H116,H116*(AO$3-D116+1)/MAX(1,G116)))*(1+F116)^(AO$3-D116)*$E93)</f>
        <v>636496.920821656</v>
      </c>
      <c r="AP25" s="44" t="n">
        <f aca="false">IF(OR(E116=0,AP$3&lt;D116),0,E116*IF(G116=0,H116,MIN(H116,H116*(AP$3-D116+1)/MAX(1,G116)))*(1+F116)^(AP$3-D116)*$E93)</f>
        <v>641270.647727819</v>
      </c>
      <c r="AQ25" s="44" t="n">
        <f aca="false">IF(OR(E116=0,AQ$3&lt;D116),0,E116*IF(G116=0,H116,MIN(H116,H116*(AQ$3-D116+1)/MAX(1,G116)))*(1+F116)^(AQ$3-D116)*$E93)</f>
        <v>646080.177585777</v>
      </c>
      <c r="AR25" s="44" t="n">
        <f aca="false">IF(OR(E116=0,AR$3&lt;D116),0,E116*IF(G116=0,H116,MIN(H116,H116*(AR$3-D116+1)/MAX(1,G116)))*(1+F116)^(AR$3-D116)*$E93)</f>
        <v>650925.778917671</v>
      </c>
      <c r="AS25" s="44" t="n">
        <f aca="false">IF(OR(E116=0,AS$3&lt;D116),0,E116*IF(G116=0,H116,MIN(H116,H116*(AS$3-D116+1)/MAX(1,G116)))*(1+F116)^(AS$3-D116)*$E93)</f>
        <v>655807.722259553</v>
      </c>
      <c r="AT25" s="44" t="n">
        <f aca="false">IF(OR(E116=0,AT$3&lt;D116),0,E116*IF(G116=0,H116,MIN(H116,H116*(AT$3-D116+1)/MAX(1,G116)))*(1+F116)^(AT$3-D116)*$E93)</f>
        <v>660726.2801765</v>
      </c>
      <c r="AU25" s="44" t="n">
        <f aca="false">IF(OR(E116=0,AU$3&lt;D116),0,E116*IF(G116=0,H116,MIN(H116,H116*(AU$3-D116+1)/MAX(1,G116)))*(1+F116)^(AU$3-D116)*$E93)</f>
        <v>665681.727277824</v>
      </c>
      <c r="AV25" s="44" t="n">
        <f aca="false">IF(OR(E116=0,AV$3&lt;D116),0,E116*IF(G116=0,H116,MIN(H116,H116*(AV$3-D116+1)/MAX(1,G116)))*(1+F116)^(AV$3-D116)*$E93)</f>
        <v>670674.340232408</v>
      </c>
      <c r="AW25" s="44" t="n">
        <f aca="false">IF(OR(E116=0,AW$3&lt;D116),0,E116*IF(G116=0,H116,MIN(H116,H116*(AW$3-D116+1)/MAX(1,G116)))*(1+F116)^(AW$3-D116)*$E93)</f>
        <v>675704.397784151</v>
      </c>
      <c r="AX25" s="44" t="n">
        <f aca="false">IF(OR(E116=0,AX$3&lt;D116),0,E116*IF(G116=0,H116,MIN(H116,H116*(AX$3-D116+1)/MAX(1,G116)))*(1+F116)^(AX$3-D116)*$E93)</f>
        <v>680772.180767532</v>
      </c>
      <c r="AY25" s="44" t="n">
        <f aca="false">IF(OR(E116=0,AY$3&lt;D116),0,E116*IF(G116=0,H116,MIN(H116,H116*(AY$3-D116+1)/MAX(1,G116)))*(1+F116)^(AY$3-D116)*$E93)</f>
        <v>685877.972123288</v>
      </c>
      <c r="AZ25" s="44" t="n">
        <f aca="false">IF(OR(E116=0,AZ$3&lt;D116),0,E116*IF(G116=0,H116,MIN(H116,H116*(AZ$3-D116+1)/MAX(1,G116)))*(1+F116)^(AZ$3-D116)*$E93)</f>
        <v>691022.056914213</v>
      </c>
      <c r="BA25" s="44" t="n">
        <f aca="false">IF(OR(E116=0,BA$3&lt;D116),0,E116*IF(G116=0,H116,MIN(H116,H116*(BA$3-D116+1)/MAX(1,G116)))*(1+F116)^(BA$3-D116)*$E93)</f>
        <v>696204.72234107</v>
      </c>
      <c r="BB25" s="44" t="n">
        <f aca="false">IF(OR(E116=0,BB$3&lt;D116),0,E116*IF(G116=0,H116,MIN(H116,H116*(BB$3-D116+1)/MAX(1,G116)))*(1+F116)^(BB$3-D116)*$E93)</f>
        <v>701426.257758628</v>
      </c>
    </row>
    <row r="26" customFormat="false" ht="15" hidden="false" customHeight="true" outlineLevel="0" collapsed="false">
      <c r="A26" s="44" t="n">
        <f aca="false">A117</f>
        <v>23</v>
      </c>
      <c r="B26" s="44" t="str">
        <f aca="false">B117</f>
        <v>Small Pavilions / Shops</v>
      </c>
      <c r="C26" s="44" t="str">
        <f aca="false">C117</f>
        <v>ZAN 3</v>
      </c>
      <c r="D26" s="44" t="n">
        <f aca="false">SUM(E26:BB26)</f>
        <v>347241667.730506</v>
      </c>
      <c r="E26" s="44" t="n">
        <f aca="false">IF(OR(E117=0,E$3&lt;D117),0,E117*IF(G117=0,H117,MIN(H117,H117*(E$3-D117+1)/MAX(1,G117)))*(1+F117)^(E$3-D117)*$E93)</f>
        <v>0</v>
      </c>
      <c r="F26" s="44" t="n">
        <f aca="false">IF(OR(E117=0,F$3&lt;D117),0,E117*IF(G117=0,H117,MIN(H117,H117*(F$3-D117+1)/MAX(1,G117)))*(1+F117)^(F$3-D117)*$E93)</f>
        <v>0</v>
      </c>
      <c r="G26" s="44" t="n">
        <f aca="false">IF(OR(E117=0,G$3&lt;D117),0,E117*IF(G117=0,H117,MIN(H117,H117*(G$3-D117+1)/MAX(1,G117)))*(1+F117)^(G$3-D117)*$E93)</f>
        <v>0</v>
      </c>
      <c r="H26" s="44" t="n">
        <f aca="false">IF(OR(E117=0,H$3&lt;D117),0,E117*IF(G117=0,H117,MIN(H117,H117*(H$3-D117+1)/MAX(1,G117)))*(1+F117)^(H$3-D117)*$E93)</f>
        <v>0</v>
      </c>
      <c r="I26" s="44" t="n">
        <f aca="false">IF(OR(E117=0,I$3&lt;D117),0,E117*IF(G117=0,H117,MIN(H117,H117*(I$3-D117+1)/MAX(1,G117)))*(1+F117)^(I$3-D117)*$E93)</f>
        <v>0</v>
      </c>
      <c r="J26" s="44" t="n">
        <f aca="false">IF(OR(E117=0,J$3&lt;D117),0,E117*IF(G117=0,H117,MIN(H117,H117*(J$3-D117+1)/MAX(1,G117)))*(1+F117)^(J$3-D117)*$E93)</f>
        <v>0</v>
      </c>
      <c r="K26" s="44" t="n">
        <f aca="false">IF(OR(E117=0,K$3&lt;D117),0,E117*IF(G117=0,H117,MIN(H117,H117*(K$3-D117+1)/MAX(1,G117)))*(1+F117)^(K$3-D117)*$E93)</f>
        <v>3377781</v>
      </c>
      <c r="L26" s="44" t="n">
        <f aca="false">IF(OR(E117=0,L$3&lt;D117),0,E117*IF(G117=0,H117,MIN(H117,H117*(L$3-D117+1)/MAX(1,G117)))*(1+F117)^(L$3-D117)*$E93)</f>
        <v>6806228.715</v>
      </c>
      <c r="M26" s="44" t="n">
        <f aca="false">IF(OR(E117=0,M$3&lt;D117),0,E117*IF(G117=0,H117,MIN(H117,H117*(M$3-D117+1)/MAX(1,G117)))*(1+F117)^(M$3-D117)*$E93)</f>
        <v>6857275.4303625</v>
      </c>
      <c r="N26" s="44" t="n">
        <f aca="false">IF(OR(E117=0,N$3&lt;D117),0,E117*IF(G117=0,H117,MIN(H117,H117*(N$3-D117+1)/MAX(1,G117)))*(1+F117)^(N$3-D117)*$E93)</f>
        <v>6908704.99609022</v>
      </c>
      <c r="O26" s="44" t="n">
        <f aca="false">IF(OR(E117=0,O$3&lt;D117),0,E117*IF(G117=0,H117,MIN(H117,H117*(O$3-D117+1)/MAX(1,G117)))*(1+F117)^(O$3-D117)*$E93)</f>
        <v>6960520.2835609</v>
      </c>
      <c r="P26" s="44" t="n">
        <f aca="false">IF(OR(E117=0,P$3&lt;D117),0,E117*IF(G117=0,H117,MIN(H117,H117*(P$3-D117+1)/MAX(1,G117)))*(1+F117)^(P$3-D117)*$E93)</f>
        <v>7012724.1856876</v>
      </c>
      <c r="Q26" s="44" t="n">
        <f aca="false">IF(OR(E117=0,Q$3&lt;D117),0,E117*IF(G117=0,H117,MIN(H117,H117*(Q$3-D117+1)/MAX(1,G117)))*(1+F117)^(Q$3-D117)*$E93)</f>
        <v>7065319.61708026</v>
      </c>
      <c r="R26" s="44" t="n">
        <f aca="false">IF(OR(E117=0,R$3&lt;D117),0,E117*IF(G117=0,H117,MIN(H117,H117*(R$3-D117+1)/MAX(1,G117)))*(1+F117)^(R$3-D117)*$E93)</f>
        <v>7118309.51420836</v>
      </c>
      <c r="S26" s="44" t="n">
        <f aca="false">IF(OR(E117=0,S$3&lt;D117),0,E117*IF(G117=0,H117,MIN(H117,H117*(S$3-D117+1)/MAX(1,G117)))*(1+F117)^(S$3-D117)*$E93)</f>
        <v>7171696.83556493</v>
      </c>
      <c r="T26" s="44" t="n">
        <f aca="false">IF(OR(E117=0,T$3&lt;D117),0,E117*IF(G117=0,H117,MIN(H117,H117*(T$3-D117+1)/MAX(1,G117)))*(1+F117)^(T$3-D117)*$E93)</f>
        <v>7225484.56183166</v>
      </c>
      <c r="U26" s="44" t="n">
        <f aca="false">IF(OR(E117=0,U$3&lt;D117),0,E117*IF(G117=0,H117,MIN(H117,H117*(U$3-D117+1)/MAX(1,G117)))*(1+F117)^(U$3-D117)*$E93)</f>
        <v>7279675.6960454</v>
      </c>
      <c r="V26" s="44" t="n">
        <f aca="false">IF(OR(E117=0,V$3&lt;D117),0,E117*IF(G117=0,H117,MIN(H117,H117*(V$3-D117+1)/MAX(1,G117)))*(1+F117)^(V$3-D117)*$E93)</f>
        <v>7334273.26376574</v>
      </c>
      <c r="W26" s="44" t="n">
        <f aca="false">IF(OR(E117=0,W$3&lt;D117),0,E117*IF(G117=0,H117,MIN(H117,H117*(W$3-D117+1)/MAX(1,G117)))*(1+F117)^(W$3-D117)*$E93)</f>
        <v>7389280.31324399</v>
      </c>
      <c r="X26" s="44" t="n">
        <f aca="false">IF(OR(E117=0,X$3&lt;D117),0,E117*IF(G117=0,H117,MIN(H117,H117*(X$3-D117+1)/MAX(1,G117)))*(1+F117)^(X$3-D117)*$E93)</f>
        <v>7444699.91559332</v>
      </c>
      <c r="Y26" s="44" t="n">
        <f aca="false">IF(OR(E117=0,Y$3&lt;D117),0,E117*IF(G117=0,H117,MIN(H117,H117*(Y$3-D117+1)/MAX(1,G117)))*(1+F117)^(Y$3-D117)*$E93)</f>
        <v>7500535.16496027</v>
      </c>
      <c r="Z26" s="44" t="n">
        <f aca="false">IF(OR(E117=0,Z$3&lt;D117),0,E117*IF(G117=0,H117,MIN(H117,H117*(Z$3-D117+1)/MAX(1,G117)))*(1+F117)^(Z$3-D117)*$E93)</f>
        <v>7556789.17869747</v>
      </c>
      <c r="AA26" s="44" t="n">
        <f aca="false">IF(OR(E117=0,AA$3&lt;D117),0,E117*IF(G117=0,H117,MIN(H117,H117*(AA$3-D117+1)/MAX(1,G117)))*(1+F117)^(AA$3-D117)*$E93)</f>
        <v>7613465.0975377</v>
      </c>
      <c r="AB26" s="44" t="n">
        <f aca="false">IF(OR(E117=0,AB$3&lt;D117),0,E117*IF(G117=0,H117,MIN(H117,H117*(AB$3-D117+1)/MAX(1,G117)))*(1+F117)^(AB$3-D117)*$E93)</f>
        <v>7670566.08576924</v>
      </c>
      <c r="AC26" s="44" t="n">
        <f aca="false">IF(OR(E117=0,AC$3&lt;D117),0,E117*IF(G117=0,H117,MIN(H117,H117*(AC$3-D117+1)/MAX(1,G117)))*(1+F117)^(AC$3-D117)*$E93)</f>
        <v>7728095.3314125</v>
      </c>
      <c r="AD26" s="44" t="n">
        <f aca="false">IF(OR(E117=0,AD$3&lt;D117),0,E117*IF(G117=0,H117,MIN(H117,H117*(AD$3-D117+1)/MAX(1,G117)))*(1+F117)^(AD$3-D117)*$E93)</f>
        <v>7786056.0463981</v>
      </c>
      <c r="AE26" s="44" t="n">
        <f aca="false">IF(OR(E117=0,AE$3&lt;D117),0,E117*IF(G117=0,H117,MIN(H117,H117*(AE$3-D117+1)/MAX(1,G117)))*(1+F117)^(AE$3-D117)*$E93)</f>
        <v>7844451.46674609</v>
      </c>
      <c r="AF26" s="44" t="n">
        <f aca="false">IF(OR(E117=0,AF$3&lt;D117),0,E117*IF(G117=0,H117,MIN(H117,H117*(AF$3-D117+1)/MAX(1,G117)))*(1+F117)^(AF$3-D117)*$E93)</f>
        <v>7903284.85274668</v>
      </c>
      <c r="AG26" s="44" t="n">
        <f aca="false">IF(OR(E117=0,AG$3&lt;D117),0,E117*IF(G117=0,H117,MIN(H117,H117*(AG$3-D117+1)/MAX(1,G117)))*(1+F117)^(AG$3-D117)*$E93)</f>
        <v>7962559.48914228</v>
      </c>
      <c r="AH26" s="44" t="n">
        <f aca="false">IF(OR(E117=0,AH$3&lt;D117),0,E117*IF(G117=0,H117,MIN(H117,H117*(AH$3-D117+1)/MAX(1,G117)))*(1+F117)^(AH$3-D117)*$E93)</f>
        <v>8022278.68531085</v>
      </c>
      <c r="AI26" s="44" t="n">
        <f aca="false">IF(OR(E117=0,AI$3&lt;D117),0,E117*IF(G117=0,H117,MIN(H117,H117*(AI$3-D117+1)/MAX(1,G117)))*(1+F117)^(AI$3-D117)*$E93)</f>
        <v>8082445.77545068</v>
      </c>
      <c r="AJ26" s="44" t="n">
        <f aca="false">IF(OR(E117=0,AJ$3&lt;D117),0,E117*IF(G117=0,H117,MIN(H117,H117*(AJ$3-D117+1)/MAX(1,G117)))*(1+F117)^(AJ$3-D117)*$E93)</f>
        <v>8143064.11876656</v>
      </c>
      <c r="AK26" s="44" t="n">
        <f aca="false">IF(OR(E117=0,AK$3&lt;D117),0,E117*IF(G117=0,H117,MIN(H117,H117*(AK$3-D117+1)/MAX(1,G117)))*(1+F117)^(AK$3-D117)*$E93)</f>
        <v>8204137.09965731</v>
      </c>
      <c r="AL26" s="44" t="n">
        <f aca="false">IF(OR(E117=0,AL$3&lt;D117),0,E117*IF(G117=0,H117,MIN(H117,H117*(AL$3-D117+1)/MAX(1,G117)))*(1+F117)^(AL$3-D117)*$E93)</f>
        <v>8265668.12790474</v>
      </c>
      <c r="AM26" s="44" t="n">
        <f aca="false">IF(OR(E117=0,AM$3&lt;D117),0,E117*IF(G117=0,H117,MIN(H117,H117*(AM$3-D117+1)/MAX(1,G117)))*(1+F117)^(AM$3-D117)*$E93)</f>
        <v>8327660.63886403</v>
      </c>
      <c r="AN26" s="44" t="n">
        <f aca="false">IF(OR(E117=0,AN$3&lt;D117),0,E117*IF(G117=0,H117,MIN(H117,H117*(AN$3-D117+1)/MAX(1,G117)))*(1+F117)^(AN$3-D117)*$E93)</f>
        <v>8390118.09365551</v>
      </c>
      <c r="AO26" s="44" t="n">
        <f aca="false">IF(OR(E117=0,AO$3&lt;D117),0,E117*IF(G117=0,H117,MIN(H117,H117*(AO$3-D117+1)/MAX(1,G117)))*(1+F117)^(AO$3-D117)*$E93)</f>
        <v>8453043.97935793</v>
      </c>
      <c r="AP26" s="44" t="n">
        <f aca="false">IF(OR(E117=0,AP$3&lt;D117),0,E117*IF(G117=0,H117,MIN(H117,H117*(AP$3-D117+1)/MAX(1,G117)))*(1+F117)^(AP$3-D117)*$E93)</f>
        <v>8516441.80920311</v>
      </c>
      <c r="AQ26" s="44" t="n">
        <f aca="false">IF(OR(E117=0,AQ$3&lt;D117),0,E117*IF(G117=0,H117,MIN(H117,H117*(AQ$3-D117+1)/MAX(1,G117)))*(1+F117)^(AQ$3-D117)*$E93)</f>
        <v>8580315.12277214</v>
      </c>
      <c r="AR26" s="44" t="n">
        <f aca="false">IF(OR(E117=0,AR$3&lt;D117),0,E117*IF(G117=0,H117,MIN(H117,H117*(AR$3-D117+1)/MAX(1,G117)))*(1+F117)^(AR$3-D117)*$E93)</f>
        <v>8644667.48619293</v>
      </c>
      <c r="AS26" s="44" t="n">
        <f aca="false">IF(OR(E117=0,AS$3&lt;D117),0,E117*IF(G117=0,H117,MIN(H117,H117*(AS$3-D117+1)/MAX(1,G117)))*(1+F117)^(AS$3-D117)*$E93)</f>
        <v>8709502.49233937</v>
      </c>
      <c r="AT26" s="44" t="n">
        <f aca="false">IF(OR(E117=0,AT$3&lt;D117),0,E117*IF(G117=0,H117,MIN(H117,H117*(AT$3-D117+1)/MAX(1,G117)))*(1+F117)^(AT$3-D117)*$E93)</f>
        <v>8774823.76103192</v>
      </c>
      <c r="AU26" s="44" t="n">
        <f aca="false">IF(OR(E117=0,AU$3&lt;D117),0,E117*IF(G117=0,H117,MIN(H117,H117*(AU$3-D117+1)/MAX(1,G117)))*(1+F117)^(AU$3-D117)*$E93)</f>
        <v>8840634.93923966</v>
      </c>
      <c r="AV26" s="44" t="n">
        <f aca="false">IF(OR(E117=0,AV$3&lt;D117),0,E117*IF(G117=0,H117,MIN(H117,H117*(AV$3-D117+1)/MAX(1,G117)))*(1+F117)^(AV$3-D117)*$E93)</f>
        <v>8906939.70128396</v>
      </c>
      <c r="AW26" s="44" t="n">
        <f aca="false">IF(OR(E117=0,AW$3&lt;D117),0,E117*IF(G117=0,H117,MIN(H117,H117*(AW$3-D117+1)/MAX(1,G117)))*(1+F117)^(AW$3-D117)*$E93)</f>
        <v>8973741.74904359</v>
      </c>
      <c r="AX26" s="44" t="n">
        <f aca="false">IF(OR(E117=0,AX$3&lt;D117),0,E117*IF(G117=0,H117,MIN(H117,H117*(AX$3-D117+1)/MAX(1,G117)))*(1+F117)^(AX$3-D117)*$E93)</f>
        <v>9041044.81216142</v>
      </c>
      <c r="AY26" s="44" t="n">
        <f aca="false">IF(OR(E117=0,AY$3&lt;D117),0,E117*IF(G117=0,H117,MIN(H117,H117*(AY$3-D117+1)/MAX(1,G117)))*(1+F117)^(AY$3-D117)*$E93)</f>
        <v>9108852.64825263</v>
      </c>
      <c r="AZ26" s="44" t="n">
        <f aca="false">IF(OR(E117=0,AZ$3&lt;D117),0,E117*IF(G117=0,H117,MIN(H117,H117*(AZ$3-D117+1)/MAX(1,G117)))*(1+F117)^(AZ$3-D117)*$E93)</f>
        <v>9177169.04311452</v>
      </c>
      <c r="BA26" s="44" t="n">
        <f aca="false">IF(OR(E117=0,BA$3&lt;D117),0,E117*IF(G117=0,H117,MIN(H117,H117*(BA$3-D117+1)/MAX(1,G117)))*(1+F117)^(BA$3-D117)*$E93)</f>
        <v>9245997.81093788</v>
      </c>
      <c r="BB26" s="44" t="n">
        <f aca="false">IF(OR(E117=0,BB$3&lt;D117),0,E117*IF(G117=0,H117,MIN(H117,H117*(BB$3-D117+1)/MAX(1,G117)))*(1+F117)^(BB$3-D117)*$E93)</f>
        <v>9315342.79451992</v>
      </c>
    </row>
    <row r="27" customFormat="false" ht="15" hidden="false" customHeight="true" outlineLevel="0" collapsed="false">
      <c r="A27" s="44" t="n">
        <f aca="false">A118</f>
        <v>24</v>
      </c>
      <c r="B27" s="44" t="str">
        <f aca="false">B118</f>
        <v>Flexible Block</v>
      </c>
      <c r="C27" s="44" t="str">
        <f aca="false">C118</f>
        <v>ZAN 3</v>
      </c>
      <c r="D27" s="44" t="n">
        <f aca="false">SUM(E27:BB27)</f>
        <v>785741017.347318</v>
      </c>
      <c r="E27" s="44" t="n">
        <f aca="false">IF(OR(E118=0,E$3&lt;D118),0,E118*IF(G118=0,H118,MIN(H118,H118*(E$3-D118+1)/MAX(1,G118)))*(1+F118)^(E$3-D118)*$E93)</f>
        <v>0</v>
      </c>
      <c r="F27" s="44" t="n">
        <f aca="false">IF(OR(E118=0,F$3&lt;D118),0,E118*IF(G118=0,H118,MIN(H118,H118*(F$3-D118+1)/MAX(1,G118)))*(1+F118)^(F$3-D118)*$E93)</f>
        <v>0</v>
      </c>
      <c r="G27" s="44" t="n">
        <f aca="false">IF(OR(E118=0,G$3&lt;D118),0,E118*IF(G118=0,H118,MIN(H118,H118*(G$3-D118+1)/MAX(1,G118)))*(1+F118)^(G$3-D118)*$E93)</f>
        <v>0</v>
      </c>
      <c r="H27" s="44" t="n">
        <f aca="false">IF(OR(E118=0,H$3&lt;D118),0,E118*IF(G118=0,H118,MIN(H118,H118*(H$3-D118+1)/MAX(1,G118)))*(1+F118)^(H$3-D118)*$E93)</f>
        <v>0</v>
      </c>
      <c r="I27" s="44" t="n">
        <f aca="false">IF(OR(E118=0,I$3&lt;D118),0,E118*IF(G118=0,H118,MIN(H118,H118*(I$3-D118+1)/MAX(1,G118)))*(1+F118)^(I$3-D118)*$E93)</f>
        <v>0</v>
      </c>
      <c r="J27" s="44" t="n">
        <f aca="false">IF(OR(E118=0,J$3&lt;D118),0,E118*IF(G118=0,H118,MIN(H118,H118*(J$3-D118+1)/MAX(1,G118)))*(1+F118)^(J$3-D118)*$E93)</f>
        <v>0</v>
      </c>
      <c r="K27" s="44" t="n">
        <f aca="false">IF(OR(E118=0,K$3&lt;D118),0,E118*IF(G118=0,H118,MIN(H118,H118*(K$3-D118+1)/MAX(1,G118)))*(1+F118)^(K$3-D118)*$E93)</f>
        <v>0</v>
      </c>
      <c r="L27" s="44" t="n">
        <f aca="false">IF(OR(E118=0,L$3&lt;D118),0,E118*IF(G118=0,H118,MIN(H118,H118*(L$3-D118+1)/MAX(1,G118)))*(1+F118)^(L$3-D118)*$E93)</f>
        <v>5289108</v>
      </c>
      <c r="M27" s="44" t="n">
        <f aca="false">IF(OR(E118=0,M$3&lt;D118),0,E118*IF(G118=0,H118,MIN(H118,H118*(M$3-D118+1)/MAX(1,G118)))*(1+F118)^(M$3-D118)*$E93)</f>
        <v>10657552.62</v>
      </c>
      <c r="N27" s="44" t="n">
        <f aca="false">IF(OR(E118=0,N$3&lt;D118),0,E118*IF(G118=0,H118,MIN(H118,H118*(N$3-D118+1)/MAX(1,G118)))*(1+F118)^(N$3-D118)*$E93)</f>
        <v>16106226.396975</v>
      </c>
      <c r="O27" s="44" t="n">
        <f aca="false">IF(OR(E118=0,O$3&lt;D118),0,E118*IF(G118=0,H118,MIN(H118,H118*(O$3-D118+1)/MAX(1,G118)))*(1+F118)^(O$3-D118)*$E93)</f>
        <v>16227023.0949523</v>
      </c>
      <c r="P27" s="44" t="n">
        <f aca="false">IF(OR(E118=0,P$3&lt;D118),0,E118*IF(G118=0,H118,MIN(H118,H118*(P$3-D118+1)/MAX(1,G118)))*(1+F118)^(P$3-D118)*$E93)</f>
        <v>16348725.7681645</v>
      </c>
      <c r="Q27" s="44" t="n">
        <f aca="false">IF(OR(E118=0,Q$3&lt;D118),0,E118*IF(G118=0,H118,MIN(H118,H118*(Q$3-D118+1)/MAX(1,G118)))*(1+F118)^(Q$3-D118)*$E93)</f>
        <v>16471341.2114257</v>
      </c>
      <c r="R27" s="44" t="n">
        <f aca="false">IF(OR(E118=0,R$3&lt;D118),0,E118*IF(G118=0,H118,MIN(H118,H118*(R$3-D118+1)/MAX(1,G118)))*(1+F118)^(R$3-D118)*$E93)</f>
        <v>16594876.2705114</v>
      </c>
      <c r="S27" s="44" t="n">
        <f aca="false">IF(OR(E118=0,S$3&lt;D118),0,E118*IF(G118=0,H118,MIN(H118,H118*(S$3-D118+1)/MAX(1,G118)))*(1+F118)^(S$3-D118)*$E93)</f>
        <v>16719337.8425402</v>
      </c>
      <c r="T27" s="44" t="n">
        <f aca="false">IF(OR(E118=0,T$3&lt;D118),0,E118*IF(G118=0,H118,MIN(H118,H118*(T$3-D118+1)/MAX(1,G118)))*(1+F118)^(T$3-D118)*$E93)</f>
        <v>16844732.8763593</v>
      </c>
      <c r="U27" s="44" t="n">
        <f aca="false">IF(OR(E118=0,U$3&lt;D118),0,E118*IF(G118=0,H118,MIN(H118,H118*(U$3-D118+1)/MAX(1,G118)))*(1+F118)^(U$3-D118)*$E93)</f>
        <v>16971068.372932</v>
      </c>
      <c r="V27" s="44" t="n">
        <f aca="false">IF(OR(E118=0,V$3&lt;D118),0,E118*IF(G118=0,H118,MIN(H118,H118*(V$3-D118+1)/MAX(1,G118)))*(1+F118)^(V$3-D118)*$E93)</f>
        <v>17098351.385729</v>
      </c>
      <c r="W27" s="44" t="n">
        <f aca="false">IF(OR(E118=0,W$3&lt;D118),0,E118*IF(G118=0,H118,MIN(H118,H118*(W$3-D118+1)/MAX(1,G118)))*(1+F118)^(W$3-D118)*$E93)</f>
        <v>17226589.0211219</v>
      </c>
      <c r="X27" s="44" t="n">
        <f aca="false">IF(OR(E118=0,X$3&lt;D118),0,E118*IF(G118=0,H118,MIN(H118,H118*(X$3-D118+1)/MAX(1,G118)))*(1+F118)^(X$3-D118)*$E93)</f>
        <v>17355788.4387803</v>
      </c>
      <c r="Y27" s="44" t="n">
        <f aca="false">IF(OR(E118=0,Y$3&lt;D118),0,E118*IF(G118=0,H118,MIN(H118,H118*(Y$3-D118+1)/MAX(1,G118)))*(1+F118)^(Y$3-D118)*$E93)</f>
        <v>17485956.8520712</v>
      </c>
      <c r="Z27" s="44" t="n">
        <f aca="false">IF(OR(E118=0,Z$3&lt;D118),0,E118*IF(G118=0,H118,MIN(H118,H118*(Z$3-D118+1)/MAX(1,G118)))*(1+F118)^(Z$3-D118)*$E93)</f>
        <v>17617101.5284617</v>
      </c>
      <c r="AA27" s="44" t="n">
        <f aca="false">IF(OR(E118=0,AA$3&lt;D118),0,E118*IF(G118=0,H118,MIN(H118,H118*(AA$3-D118+1)/MAX(1,G118)))*(1+F118)^(AA$3-D118)*$E93)</f>
        <v>17749229.7899252</v>
      </c>
      <c r="AB27" s="44" t="n">
        <f aca="false">IF(OR(E118=0,AB$3&lt;D118),0,E118*IF(G118=0,H118,MIN(H118,H118*(AB$3-D118+1)/MAX(1,G118)))*(1+F118)^(AB$3-D118)*$E93)</f>
        <v>17882349.0133496</v>
      </c>
      <c r="AC27" s="44" t="n">
        <f aca="false">IF(OR(E118=0,AC$3&lt;D118),0,E118*IF(G118=0,H118,MIN(H118,H118*(AC$3-D118+1)/MAX(1,G118)))*(1+F118)^(AC$3-D118)*$E93)</f>
        <v>18016466.6309498</v>
      </c>
      <c r="AD27" s="44" t="n">
        <f aca="false">IF(OR(E118=0,AD$3&lt;D118),0,E118*IF(G118=0,H118,MIN(H118,H118*(AD$3-D118+1)/MAX(1,G118)))*(1+F118)^(AD$3-D118)*$E93)</f>
        <v>18151590.1306819</v>
      </c>
      <c r="AE27" s="44" t="n">
        <f aca="false">IF(OR(E118=0,AE$3&lt;D118),0,E118*IF(G118=0,H118,MIN(H118,H118*(AE$3-D118+1)/MAX(1,G118)))*(1+F118)^(AE$3-D118)*$E93)</f>
        <v>18287727.056662</v>
      </c>
      <c r="AF27" s="44" t="n">
        <f aca="false">IF(OR(E118=0,AF$3&lt;D118),0,E118*IF(G118=0,H118,MIN(H118,H118*(AF$3-D118+1)/MAX(1,G118)))*(1+F118)^(AF$3-D118)*$E93)</f>
        <v>18424885.009587</v>
      </c>
      <c r="AG27" s="44" t="n">
        <f aca="false">IF(OR(E118=0,AG$3&lt;D118),0,E118*IF(G118=0,H118,MIN(H118,H118*(AG$3-D118+1)/MAX(1,G118)))*(1+F118)^(AG$3-D118)*$E93)</f>
        <v>18563071.6471589</v>
      </c>
      <c r="AH27" s="44" t="n">
        <f aca="false">IF(OR(E118=0,AH$3&lt;D118),0,E118*IF(G118=0,H118,MIN(H118,H118*(AH$3-D118+1)/MAX(1,G118)))*(1+F118)^(AH$3-D118)*$E93)</f>
        <v>18702294.6845126</v>
      </c>
      <c r="AI27" s="44" t="n">
        <f aca="false">IF(OR(E118=0,AI$3&lt;D118),0,E118*IF(G118=0,H118,MIN(H118,H118*(AI$3-D118+1)/MAX(1,G118)))*(1+F118)^(AI$3-D118)*$E93)</f>
        <v>18842561.8946464</v>
      </c>
      <c r="AJ27" s="44" t="n">
        <f aca="false">IF(OR(E118=0,AJ$3&lt;D118),0,E118*IF(G118=0,H118,MIN(H118,H118*(AJ$3-D118+1)/MAX(1,G118)))*(1+F118)^(AJ$3-D118)*$E93)</f>
        <v>18983881.1088563</v>
      </c>
      <c r="AK27" s="44" t="n">
        <f aca="false">IF(OR(E118=0,AK$3&lt;D118),0,E118*IF(G118=0,H118,MIN(H118,H118*(AK$3-D118+1)/MAX(1,G118)))*(1+F118)^(AK$3-D118)*$E93)</f>
        <v>19126260.2171727</v>
      </c>
      <c r="AL27" s="44" t="n">
        <f aca="false">IF(OR(E118=0,AL$3&lt;D118),0,E118*IF(G118=0,H118,MIN(H118,H118*(AL$3-D118+1)/MAX(1,G118)))*(1+F118)^(AL$3-D118)*$E93)</f>
        <v>19269707.1688015</v>
      </c>
      <c r="AM27" s="44" t="n">
        <f aca="false">IF(OR(E118=0,AM$3&lt;D118),0,E118*IF(G118=0,H118,MIN(H118,H118*(AM$3-D118+1)/MAX(1,G118)))*(1+F118)^(AM$3-D118)*$E93)</f>
        <v>19414229.9725675</v>
      </c>
      <c r="AN27" s="44" t="n">
        <f aca="false">IF(OR(E118=0,AN$3&lt;D118),0,E118*IF(G118=0,H118,MIN(H118,H118*(AN$3-D118+1)/MAX(1,G118)))*(1+F118)^(AN$3-D118)*$E93)</f>
        <v>19559836.6973618</v>
      </c>
      <c r="AO27" s="44" t="n">
        <f aca="false">IF(OR(E118=0,AO$3&lt;D118),0,E118*IF(G118=0,H118,MIN(H118,H118*(AO$3-D118+1)/MAX(1,G118)))*(1+F118)^(AO$3-D118)*$E93)</f>
        <v>19706535.472592</v>
      </c>
      <c r="AP27" s="44" t="n">
        <f aca="false">IF(OR(E118=0,AP$3&lt;D118),0,E118*IF(G118=0,H118,MIN(H118,H118*(AP$3-D118+1)/MAX(1,G118)))*(1+F118)^(AP$3-D118)*$E93)</f>
        <v>19854334.4886364</v>
      </c>
      <c r="AQ27" s="44" t="n">
        <f aca="false">IF(OR(E118=0,AQ$3&lt;D118),0,E118*IF(G118=0,H118,MIN(H118,H118*(AQ$3-D118+1)/MAX(1,G118)))*(1+F118)^(AQ$3-D118)*$E93)</f>
        <v>20003241.9973012</v>
      </c>
      <c r="AR27" s="44" t="n">
        <f aca="false">IF(OR(E118=0,AR$3&lt;D118),0,E118*IF(G118=0,H118,MIN(H118,H118*(AR$3-D118+1)/MAX(1,G118)))*(1+F118)^(AR$3-D118)*$E93)</f>
        <v>20153266.3122809</v>
      </c>
      <c r="AS27" s="44" t="n">
        <f aca="false">IF(OR(E118=0,AS$3&lt;D118),0,E118*IF(G118=0,H118,MIN(H118,H118*(AS$3-D118+1)/MAX(1,G118)))*(1+F118)^(AS$3-D118)*$E93)</f>
        <v>20304415.809623</v>
      </c>
      <c r="AT27" s="44" t="n">
        <f aca="false">IF(OR(E118=0,AT$3&lt;D118),0,E118*IF(G118=0,H118,MIN(H118,H118*(AT$3-D118+1)/MAX(1,G118)))*(1+F118)^(AT$3-D118)*$E93)</f>
        <v>20456698.9281952</v>
      </c>
      <c r="AU27" s="44" t="n">
        <f aca="false">IF(OR(E118=0,AU$3&lt;D118),0,E118*IF(G118=0,H118,MIN(H118,H118*(AU$3-D118+1)/MAX(1,G118)))*(1+F118)^(AU$3-D118)*$E93)</f>
        <v>20610124.1701567</v>
      </c>
      <c r="AV27" s="44" t="n">
        <f aca="false">IF(OR(E118=0,AV$3&lt;D118),0,E118*IF(G118=0,H118,MIN(H118,H118*(AV$3-D118+1)/MAX(1,G118)))*(1+F118)^(AV$3-D118)*$E93)</f>
        <v>20764700.1014329</v>
      </c>
      <c r="AW27" s="44" t="n">
        <f aca="false">IF(OR(E118=0,AW$3&lt;D118),0,E118*IF(G118=0,H118,MIN(H118,H118*(AW$3-D118+1)/MAX(1,G118)))*(1+F118)^(AW$3-D118)*$E93)</f>
        <v>20920435.3521936</v>
      </c>
      <c r="AX27" s="44" t="n">
        <f aca="false">IF(OR(E118=0,AX$3&lt;D118),0,E118*IF(G118=0,H118,MIN(H118,H118*(AX$3-D118+1)/MAX(1,G118)))*(1+F118)^(AX$3-D118)*$E93)</f>
        <v>21077338.6173351</v>
      </c>
      <c r="AY27" s="44" t="n">
        <f aca="false">IF(OR(E118=0,AY$3&lt;D118),0,E118*IF(G118=0,H118,MIN(H118,H118*(AY$3-D118+1)/MAX(1,G118)))*(1+F118)^(AY$3-D118)*$E93)</f>
        <v>21235418.6569651</v>
      </c>
      <c r="AZ27" s="44" t="n">
        <f aca="false">IF(OR(E118=0,AZ$3&lt;D118),0,E118*IF(G118=0,H118,MIN(H118,H118*(AZ$3-D118+1)/MAX(1,G118)))*(1+F118)^(AZ$3-D118)*$E93)</f>
        <v>21394684.2968923</v>
      </c>
      <c r="BA27" s="44" t="n">
        <f aca="false">IF(OR(E118=0,BA$3&lt;D118),0,E118*IF(G118=0,H118,MIN(H118,H118*(BA$3-D118+1)/MAX(1,G118)))*(1+F118)^(BA$3-D118)*$E93)</f>
        <v>21555144.429119</v>
      </c>
      <c r="BB27" s="44" t="n">
        <f aca="false">IF(OR(E118=0,BB$3&lt;D118),0,E118*IF(G118=0,H118,MIN(H118,H118*(BB$3-D118+1)/MAX(1,G118)))*(1+F118)^(BB$3-D118)*$E93)</f>
        <v>21716808.0123374</v>
      </c>
    </row>
    <row r="28" customFormat="false" ht="15" hidden="false" customHeight="true" outlineLevel="0" collapsed="false">
      <c r="A28" s="44" t="n">
        <f aca="false">A119</f>
        <v>25</v>
      </c>
      <c r="B28" s="44" t="str">
        <f aca="false">B119</f>
        <v>Shops / Cafes</v>
      </c>
      <c r="C28" s="44" t="str">
        <f aca="false">C119</f>
        <v>ZAN 3</v>
      </c>
      <c r="D28" s="44" t="n">
        <f aca="false">SUM(E28:BB28)</f>
        <v>109082896.028144</v>
      </c>
      <c r="E28" s="44" t="n">
        <f aca="false">IF(OR(E119=0,E$3&lt;D119),0,E119*IF(G119=0,H119,MIN(H119,H119*(E$3-D119+1)/MAX(1,G119)))*(1+F119)^(E$3-D119)*$E93)</f>
        <v>0</v>
      </c>
      <c r="F28" s="44" t="n">
        <f aca="false">IF(OR(E119=0,F$3&lt;D119),0,E119*IF(G119=0,H119,MIN(H119,H119*(F$3-D119+1)/MAX(1,G119)))*(1+F119)^(F$3-D119)*$E93)</f>
        <v>0</v>
      </c>
      <c r="G28" s="44" t="n">
        <f aca="false">IF(OR(E119=0,G$3&lt;D119),0,E119*IF(G119=0,H119,MIN(H119,H119*(G$3-D119+1)/MAX(1,G119)))*(1+F119)^(G$3-D119)*$E93)</f>
        <v>0</v>
      </c>
      <c r="H28" s="44" t="n">
        <f aca="false">IF(OR(E119=0,H$3&lt;D119),0,E119*IF(G119=0,H119,MIN(H119,H119*(H$3-D119+1)/MAX(1,G119)))*(1+F119)^(H$3-D119)*$E93)</f>
        <v>0</v>
      </c>
      <c r="I28" s="44" t="n">
        <f aca="false">IF(OR(E119=0,I$3&lt;D119),0,E119*IF(G119=0,H119,MIN(H119,H119*(I$3-D119+1)/MAX(1,G119)))*(1+F119)^(I$3-D119)*$E93)</f>
        <v>0</v>
      </c>
      <c r="J28" s="44" t="n">
        <f aca="false">IF(OR(E119=0,J$3&lt;D119),0,E119*IF(G119=0,H119,MIN(H119,H119*(J$3-D119+1)/MAX(1,G119)))*(1+F119)^(J$3-D119)*$E93)</f>
        <v>0</v>
      </c>
      <c r="K28" s="44" t="n">
        <f aca="false">IF(OR(E119=0,K$3&lt;D119),0,E119*IF(G119=0,H119,MIN(H119,H119*(K$3-D119+1)/MAX(1,G119)))*(1+F119)^(K$3-D119)*$E93)</f>
        <v>1061100</v>
      </c>
      <c r="L28" s="44" t="n">
        <f aca="false">IF(OR(E119=0,L$3&lt;D119),0,E119*IF(G119=0,H119,MIN(H119,H119*(L$3-D119+1)/MAX(1,G119)))*(1+F119)^(L$3-D119)*$E93)</f>
        <v>2138116.5</v>
      </c>
      <c r="M28" s="44" t="n">
        <f aca="false">IF(OR(E119=0,M$3&lt;D119),0,E119*IF(G119=0,H119,MIN(H119,H119*(M$3-D119+1)/MAX(1,G119)))*(1+F119)^(M$3-D119)*$E93)</f>
        <v>2154152.37375</v>
      </c>
      <c r="N28" s="44" t="n">
        <f aca="false">IF(OR(E119=0,N$3&lt;D119),0,E119*IF(G119=0,H119,MIN(H119,H119*(N$3-D119+1)/MAX(1,G119)))*(1+F119)^(N$3-D119)*$E93)</f>
        <v>2170308.51655313</v>
      </c>
      <c r="O28" s="44" t="n">
        <f aca="false">IF(OR(E119=0,O$3&lt;D119),0,E119*IF(G119=0,H119,MIN(H119,H119*(O$3-D119+1)/MAX(1,G119)))*(1+F119)^(O$3-D119)*$E93)</f>
        <v>2186585.83042727</v>
      </c>
      <c r="P28" s="44" t="n">
        <f aca="false">IF(OR(E119=0,P$3&lt;D119),0,E119*IF(G119=0,H119,MIN(H119,H119*(P$3-D119+1)/MAX(1,G119)))*(1+F119)^(P$3-D119)*$E93)</f>
        <v>2202985.22415548</v>
      </c>
      <c r="Q28" s="44" t="n">
        <f aca="false">IF(OR(E119=0,Q$3&lt;D119),0,E119*IF(G119=0,H119,MIN(H119,H119*(Q$3-D119+1)/MAX(1,G119)))*(1+F119)^(Q$3-D119)*$E93)</f>
        <v>2219507.61333665</v>
      </c>
      <c r="R28" s="44" t="n">
        <f aca="false">IF(OR(E119=0,R$3&lt;D119),0,E119*IF(G119=0,H119,MIN(H119,H119*(R$3-D119+1)/MAX(1,G119)))*(1+F119)^(R$3-D119)*$E93)</f>
        <v>2236153.92043667</v>
      </c>
      <c r="S28" s="44" t="n">
        <f aca="false">IF(OR(E119=0,S$3&lt;D119),0,E119*IF(G119=0,H119,MIN(H119,H119*(S$3-D119+1)/MAX(1,G119)))*(1+F119)^(S$3-D119)*$E93)</f>
        <v>2252925.07483995</v>
      </c>
      <c r="T28" s="44" t="n">
        <f aca="false">IF(OR(E119=0,T$3&lt;D119),0,E119*IF(G119=0,H119,MIN(H119,H119*(T$3-D119+1)/MAX(1,G119)))*(1+F119)^(T$3-D119)*$E93)</f>
        <v>2269822.01290124</v>
      </c>
      <c r="U28" s="44" t="n">
        <f aca="false">IF(OR(E119=0,U$3&lt;D119),0,E119*IF(G119=0,H119,MIN(H119,H119*(U$3-D119+1)/MAX(1,G119)))*(1+F119)^(U$3-D119)*$E93)</f>
        <v>2286845.677998</v>
      </c>
      <c r="V28" s="44" t="n">
        <f aca="false">IF(OR(E119=0,V$3&lt;D119),0,E119*IF(G119=0,H119,MIN(H119,H119*(V$3-D119+1)/MAX(1,G119)))*(1+F119)^(V$3-D119)*$E93)</f>
        <v>2303997.02058299</v>
      </c>
      <c r="W28" s="44" t="n">
        <f aca="false">IF(OR(E119=0,W$3&lt;D119),0,E119*IF(G119=0,H119,MIN(H119,H119*(W$3-D119+1)/MAX(1,G119)))*(1+F119)^(W$3-D119)*$E93)</f>
        <v>2321276.99823736</v>
      </c>
      <c r="X28" s="44" t="n">
        <f aca="false">IF(OR(E119=0,X$3&lt;D119),0,E119*IF(G119=0,H119,MIN(H119,H119*(X$3-D119+1)/MAX(1,G119)))*(1+F119)^(X$3-D119)*$E93)</f>
        <v>2338686.57572414</v>
      </c>
      <c r="Y28" s="44" t="n">
        <f aca="false">IF(OR(E119=0,Y$3&lt;D119),0,E119*IF(G119=0,H119,MIN(H119,H119*(Y$3-D119+1)/MAX(1,G119)))*(1+F119)^(Y$3-D119)*$E93)</f>
        <v>2356226.72504207</v>
      </c>
      <c r="Z28" s="44" t="n">
        <f aca="false">IF(OR(E119=0,Z$3&lt;D119),0,E119*IF(G119=0,H119,MIN(H119,H119*(Z$3-D119+1)/MAX(1,G119)))*(1+F119)^(Z$3-D119)*$E93)</f>
        <v>2373898.42547989</v>
      </c>
      <c r="AA28" s="44" t="n">
        <f aca="false">IF(OR(E119=0,AA$3&lt;D119),0,E119*IF(G119=0,H119,MIN(H119,H119*(AA$3-D119+1)/MAX(1,G119)))*(1+F119)^(AA$3-D119)*$E93)</f>
        <v>2391702.66367099</v>
      </c>
      <c r="AB28" s="44" t="n">
        <f aca="false">IF(OR(E119=0,AB$3&lt;D119),0,E119*IF(G119=0,H119,MIN(H119,H119*(AB$3-D119+1)/MAX(1,G119)))*(1+F119)^(AB$3-D119)*$E93)</f>
        <v>2409640.43364852</v>
      </c>
      <c r="AC28" s="44" t="n">
        <f aca="false">IF(OR(E119=0,AC$3&lt;D119),0,E119*IF(G119=0,H119,MIN(H119,H119*(AC$3-D119+1)/MAX(1,G119)))*(1+F119)^(AC$3-D119)*$E93)</f>
        <v>2427712.73690089</v>
      </c>
      <c r="AD28" s="44" t="n">
        <f aca="false">IF(OR(E119=0,AD$3&lt;D119),0,E119*IF(G119=0,H119,MIN(H119,H119*(AD$3-D119+1)/MAX(1,G119)))*(1+F119)^(AD$3-D119)*$E93)</f>
        <v>2445920.58242764</v>
      </c>
      <c r="AE28" s="44" t="n">
        <f aca="false">IF(OR(E119=0,AE$3&lt;D119),0,E119*IF(G119=0,H119,MIN(H119,H119*(AE$3-D119+1)/MAX(1,G119)))*(1+F119)^(AE$3-D119)*$E93)</f>
        <v>2464264.98679585</v>
      </c>
      <c r="AF28" s="44" t="n">
        <f aca="false">IF(OR(E119=0,AF$3&lt;D119),0,E119*IF(G119=0,H119,MIN(H119,H119*(AF$3-D119+1)/MAX(1,G119)))*(1+F119)^(AF$3-D119)*$E93)</f>
        <v>2482746.97419682</v>
      </c>
      <c r="AG28" s="44" t="n">
        <f aca="false">IF(OR(E119=0,AG$3&lt;D119),0,E119*IF(G119=0,H119,MIN(H119,H119*(AG$3-D119+1)/MAX(1,G119)))*(1+F119)^(AG$3-D119)*$E93)</f>
        <v>2501367.57650329</v>
      </c>
      <c r="AH28" s="44" t="n">
        <f aca="false">IF(OR(E119=0,AH$3&lt;D119),0,E119*IF(G119=0,H119,MIN(H119,H119*(AH$3-D119+1)/MAX(1,G119)))*(1+F119)^(AH$3-D119)*$E93)</f>
        <v>2520127.83332707</v>
      </c>
      <c r="AI28" s="44" t="n">
        <f aca="false">IF(OR(E119=0,AI$3&lt;D119),0,E119*IF(G119=0,H119,MIN(H119,H119*(AI$3-D119+1)/MAX(1,G119)))*(1+F119)^(AI$3-D119)*$E93)</f>
        <v>2539028.79207702</v>
      </c>
      <c r="AJ28" s="44" t="n">
        <f aca="false">IF(OR(E119=0,AJ$3&lt;D119),0,E119*IF(G119=0,H119,MIN(H119,H119*(AJ$3-D119+1)/MAX(1,G119)))*(1+F119)^(AJ$3-D119)*$E93)</f>
        <v>2558071.5080176</v>
      </c>
      <c r="AK28" s="44" t="n">
        <f aca="false">IF(OR(E119=0,AK$3&lt;D119),0,E119*IF(G119=0,H119,MIN(H119,H119*(AK$3-D119+1)/MAX(1,G119)))*(1+F119)^(AK$3-D119)*$E93)</f>
        <v>2577257.04432773</v>
      </c>
      <c r="AL28" s="44" t="n">
        <f aca="false">IF(OR(E119=0,AL$3&lt;D119),0,E119*IF(G119=0,H119,MIN(H119,H119*(AL$3-D119+1)/MAX(1,G119)))*(1+F119)^(AL$3-D119)*$E93)</f>
        <v>2596586.47216019</v>
      </c>
      <c r="AM28" s="44" t="n">
        <f aca="false">IF(OR(E119=0,AM$3&lt;D119),0,E119*IF(G119=0,H119,MIN(H119,H119*(AM$3-D119+1)/MAX(1,G119)))*(1+F119)^(AM$3-D119)*$E93)</f>
        <v>2616060.87070139</v>
      </c>
      <c r="AN28" s="44" t="n">
        <f aca="false">IF(OR(E119=0,AN$3&lt;D119),0,E119*IF(G119=0,H119,MIN(H119,H119*(AN$3-D119+1)/MAX(1,G119)))*(1+F119)^(AN$3-D119)*$E93)</f>
        <v>2635681.32723165</v>
      </c>
      <c r="AO28" s="44" t="n">
        <f aca="false">IF(OR(E119=0,AO$3&lt;D119),0,E119*IF(G119=0,H119,MIN(H119,H119*(AO$3-D119+1)/MAX(1,G119)))*(1+F119)^(AO$3-D119)*$E93)</f>
        <v>2655448.93718589</v>
      </c>
      <c r="AP28" s="44" t="n">
        <f aca="false">IF(OR(E119=0,AP$3&lt;D119),0,E119*IF(G119=0,H119,MIN(H119,H119*(AP$3-D119+1)/MAX(1,G119)))*(1+F119)^(AP$3-D119)*$E93)</f>
        <v>2675364.80421479</v>
      </c>
      <c r="AQ28" s="44" t="n">
        <f aca="false">IF(OR(E119=0,AQ$3&lt;D119),0,E119*IF(G119=0,H119,MIN(H119,H119*(AQ$3-D119+1)/MAX(1,G119)))*(1+F119)^(AQ$3-D119)*$E93)</f>
        <v>2695430.0402464</v>
      </c>
      <c r="AR28" s="44" t="n">
        <f aca="false">IF(OR(E119=0,AR$3&lt;D119),0,E119*IF(G119=0,H119,MIN(H119,H119*(AR$3-D119+1)/MAX(1,G119)))*(1+F119)^(AR$3-D119)*$E93)</f>
        <v>2715645.76554824</v>
      </c>
      <c r="AS28" s="44" t="n">
        <f aca="false">IF(OR(E119=0,AS$3&lt;D119),0,E119*IF(G119=0,H119,MIN(H119,H119*(AS$3-D119+1)/MAX(1,G119)))*(1+F119)^(AS$3-D119)*$E93)</f>
        <v>2736013.10878986</v>
      </c>
      <c r="AT28" s="44" t="n">
        <f aca="false">IF(OR(E119=0,AT$3&lt;D119),0,E119*IF(G119=0,H119,MIN(H119,H119*(AT$3-D119+1)/MAX(1,G119)))*(1+F119)^(AT$3-D119)*$E93)</f>
        <v>2756533.20710578</v>
      </c>
      <c r="AU28" s="44" t="n">
        <f aca="false">IF(OR(E119=0,AU$3&lt;D119),0,E119*IF(G119=0,H119,MIN(H119,H119*(AU$3-D119+1)/MAX(1,G119)))*(1+F119)^(AU$3-D119)*$E93)</f>
        <v>2777207.20615907</v>
      </c>
      <c r="AV28" s="44" t="n">
        <f aca="false">IF(OR(E119=0,AV$3&lt;D119),0,E119*IF(G119=0,H119,MIN(H119,H119*(AV$3-D119+1)/MAX(1,G119)))*(1+F119)^(AV$3-D119)*$E93)</f>
        <v>2798036.26020527</v>
      </c>
      <c r="AW28" s="44" t="n">
        <f aca="false">IF(OR(E119=0,AW$3&lt;D119),0,E119*IF(G119=0,H119,MIN(H119,H119*(AW$3-D119+1)/MAX(1,G119)))*(1+F119)^(AW$3-D119)*$E93)</f>
        <v>2819021.53215681</v>
      </c>
      <c r="AX28" s="44" t="n">
        <f aca="false">IF(OR(E119=0,AX$3&lt;D119),0,E119*IF(G119=0,H119,MIN(H119,H119*(AX$3-D119+1)/MAX(1,G119)))*(1+F119)^(AX$3-D119)*$E93)</f>
        <v>2840164.19364798</v>
      </c>
      <c r="AY28" s="44" t="n">
        <f aca="false">IF(OR(E119=0,AY$3&lt;D119),0,E119*IF(G119=0,H119,MIN(H119,H119*(AY$3-D119+1)/MAX(1,G119)))*(1+F119)^(AY$3-D119)*$E93)</f>
        <v>2861465.42510034</v>
      </c>
      <c r="AZ28" s="44" t="n">
        <f aca="false">IF(OR(E119=0,AZ$3&lt;D119),0,E119*IF(G119=0,H119,MIN(H119,H119*(AZ$3-D119+1)/MAX(1,G119)))*(1+F119)^(AZ$3-D119)*$E93)</f>
        <v>2882926.4157886</v>
      </c>
      <c r="BA28" s="44" t="n">
        <f aca="false">IF(OR(E119=0,BA$3&lt;D119),0,E119*IF(G119=0,H119,MIN(H119,H119*(BA$3-D119+1)/MAX(1,G119)))*(1+F119)^(BA$3-D119)*$E93)</f>
        <v>2904548.36390701</v>
      </c>
      <c r="BB28" s="44" t="n">
        <f aca="false">IF(OR(E119=0,BB$3&lt;D119),0,E119*IF(G119=0,H119,MIN(H119,H119*(BB$3-D119+1)/MAX(1,G119)))*(1+F119)^(BB$3-D119)*$E93)</f>
        <v>2926332.47663631</v>
      </c>
    </row>
    <row r="29" customFormat="false" ht="15" hidden="false" customHeight="true" outlineLevel="0" collapsed="false">
      <c r="A29" s="44" t="n">
        <f aca="false">A120</f>
        <v>26</v>
      </c>
      <c r="B29" s="44" t="str">
        <f aca="false">B120</f>
        <v>Small Market</v>
      </c>
      <c r="C29" s="44" t="str">
        <f aca="false">C120</f>
        <v>ZAN 3</v>
      </c>
      <c r="D29" s="44" t="n">
        <f aca="false">SUM(E29:BB29)</f>
        <v>28894477.039516</v>
      </c>
      <c r="E29" s="44" t="n">
        <f aca="false">IF(OR(E120=0,E$3&lt;D120),0,E120*IF(G120=0,H120,MIN(H120,H120*(E$3-D120+1)/MAX(1,G120)))*(1+F120)^(E$3-D120)*$E93)</f>
        <v>0</v>
      </c>
      <c r="F29" s="44" t="n">
        <f aca="false">IF(OR(E120=0,F$3&lt;D120),0,E120*IF(G120=0,H120,MIN(H120,H120*(F$3-D120+1)/MAX(1,G120)))*(1+F120)^(F$3-D120)*$E93)</f>
        <v>0</v>
      </c>
      <c r="G29" s="44" t="n">
        <f aca="false">IF(OR(E120=0,G$3&lt;D120),0,E120*IF(G120=0,H120,MIN(H120,H120*(G$3-D120+1)/MAX(1,G120)))*(1+F120)^(G$3-D120)*$E93)</f>
        <v>0</v>
      </c>
      <c r="H29" s="44" t="n">
        <f aca="false">IF(OR(E120=0,H$3&lt;D120),0,E120*IF(G120=0,H120,MIN(H120,H120*(H$3-D120+1)/MAX(1,G120)))*(1+F120)^(H$3-D120)*$E93)</f>
        <v>0</v>
      </c>
      <c r="I29" s="44" t="n">
        <f aca="false">IF(OR(E120=0,I$3&lt;D120),0,E120*IF(G120=0,H120,MIN(H120,H120*(I$3-D120+1)/MAX(1,G120)))*(1+F120)^(I$3-D120)*$E93)</f>
        <v>0</v>
      </c>
      <c r="J29" s="44" t="n">
        <f aca="false">IF(OR(E120=0,J$3&lt;D120),0,E120*IF(G120=0,H120,MIN(H120,H120*(J$3-D120+1)/MAX(1,G120)))*(1+F120)^(J$3-D120)*$E93)</f>
        <v>0</v>
      </c>
      <c r="K29" s="44" t="n">
        <f aca="false">IF(OR(E120=0,K$3&lt;D120),0,E120*IF(G120=0,H120,MIN(H120,H120*(K$3-D120+1)/MAX(1,G120)))*(1+F120)^(K$3-D120)*$E93)</f>
        <v>281070</v>
      </c>
      <c r="L29" s="44" t="n">
        <f aca="false">IF(OR(E120=0,L$3&lt;D120),0,E120*IF(G120=0,H120,MIN(H120,H120*(L$3-D120+1)/MAX(1,G120)))*(1+F120)^(L$3-D120)*$E93)</f>
        <v>566356.05</v>
      </c>
      <c r="M29" s="44" t="n">
        <f aca="false">IF(OR(E120=0,M$3&lt;D120),0,E120*IF(G120=0,H120,MIN(H120,H120*(M$3-D120+1)/MAX(1,G120)))*(1+F120)^(M$3-D120)*$E93)</f>
        <v>570603.720375</v>
      </c>
      <c r="N29" s="44" t="n">
        <f aca="false">IF(OR(E120=0,N$3&lt;D120),0,E120*IF(G120=0,H120,MIN(H120,H120*(N$3-D120+1)/MAX(1,G120)))*(1+F120)^(N$3-D120)*$E93)</f>
        <v>574883.248277813</v>
      </c>
      <c r="O29" s="44" t="n">
        <f aca="false">IF(OR(E120=0,O$3&lt;D120),0,E120*IF(G120=0,H120,MIN(H120,H120*(O$3-D120+1)/MAX(1,G120)))*(1+F120)^(O$3-D120)*$E93)</f>
        <v>579194.872639896</v>
      </c>
      <c r="P29" s="44" t="n">
        <f aca="false">IF(OR(E120=0,P$3&lt;D120),0,E120*IF(G120=0,H120,MIN(H120,H120*(P$3-D120+1)/MAX(1,G120)))*(1+F120)^(P$3-D120)*$E93)</f>
        <v>583538.834184696</v>
      </c>
      <c r="Q29" s="44" t="n">
        <f aca="false">IF(OR(E120=0,Q$3&lt;D120),0,E120*IF(G120=0,H120,MIN(H120,H120*(Q$3-D120+1)/MAX(1,G120)))*(1+F120)^(Q$3-D120)*$E93)</f>
        <v>587915.375441081</v>
      </c>
      <c r="R29" s="44" t="n">
        <f aca="false">IF(OR(E120=0,R$3&lt;D120),0,E120*IF(G120=0,H120,MIN(H120,H120*(R$3-D120+1)/MAX(1,G120)))*(1+F120)^(R$3-D120)*$E93)</f>
        <v>592324.740756889</v>
      </c>
      <c r="S29" s="44" t="n">
        <f aca="false">IF(OR(E120=0,S$3&lt;D120),0,E120*IF(G120=0,H120,MIN(H120,H120*(S$3-D120+1)/MAX(1,G120)))*(1+F120)^(S$3-D120)*$E93)</f>
        <v>596767.176312566</v>
      </c>
      <c r="T29" s="44" t="n">
        <f aca="false">IF(OR(E120=0,T$3&lt;D120),0,E120*IF(G120=0,H120,MIN(H120,H120*(T$3-D120+1)/MAX(1,G120)))*(1+F120)^(T$3-D120)*$E93)</f>
        <v>601242.93013491</v>
      </c>
      <c r="U29" s="44" t="n">
        <f aca="false">IF(OR(E120=0,U$3&lt;D120),0,E120*IF(G120=0,H120,MIN(H120,H120*(U$3-D120+1)/MAX(1,G120)))*(1+F120)^(U$3-D120)*$E93)</f>
        <v>605752.252110922</v>
      </c>
      <c r="V29" s="44" t="n">
        <f aca="false">IF(OR(E120=0,V$3&lt;D120),0,E120*IF(G120=0,H120,MIN(H120,H120*(V$3-D120+1)/MAX(1,G120)))*(1+F120)^(V$3-D120)*$E93)</f>
        <v>610295.394001754</v>
      </c>
      <c r="W29" s="44" t="n">
        <f aca="false">IF(OR(E120=0,W$3&lt;D120),0,E120*IF(G120=0,H120,MIN(H120,H120*(W$3-D120+1)/MAX(1,G120)))*(1+F120)^(W$3-D120)*$E93)</f>
        <v>614872.609456767</v>
      </c>
      <c r="X29" s="44" t="n">
        <f aca="false">IF(OR(E120=0,X$3&lt;D120),0,E120*IF(G120=0,H120,MIN(H120,H120*(X$3-D120+1)/MAX(1,G120)))*(1+F120)^(X$3-D120)*$E93)</f>
        <v>619484.154027693</v>
      </c>
      <c r="Y29" s="44" t="n">
        <f aca="false">IF(OR(E120=0,Y$3&lt;D120),0,E120*IF(G120=0,H120,MIN(H120,H120*(Y$3-D120+1)/MAX(1,G120)))*(1+F120)^(Y$3-D120)*$E93)</f>
        <v>624130.2851829</v>
      </c>
      <c r="Z29" s="44" t="n">
        <f aca="false">IF(OR(E120=0,Z$3&lt;D120),0,E120*IF(G120=0,H120,MIN(H120,H120*(Z$3-D120+1)/MAX(1,G120)))*(1+F120)^(Z$3-D120)*$E93)</f>
        <v>628811.262321772</v>
      </c>
      <c r="AA29" s="44" t="n">
        <f aca="false">IF(OR(E120=0,AA$3&lt;D120),0,E120*IF(G120=0,H120,MIN(H120,H120*(AA$3-D120+1)/MAX(1,G120)))*(1+F120)^(AA$3-D120)*$E93)</f>
        <v>633527.346789186</v>
      </c>
      <c r="AB29" s="44" t="n">
        <f aca="false">IF(OR(E120=0,AB$3&lt;D120),0,E120*IF(G120=0,H120,MIN(H120,H120*(AB$3-D120+1)/MAX(1,G120)))*(1+F120)^(AB$3-D120)*$E93)</f>
        <v>638278.801890104</v>
      </c>
      <c r="AC29" s="44" t="n">
        <f aca="false">IF(OR(E120=0,AC$3&lt;D120),0,E120*IF(G120=0,H120,MIN(H120,H120*(AC$3-D120+1)/MAX(1,G120)))*(1+F120)^(AC$3-D120)*$E93)</f>
        <v>643065.89290428</v>
      </c>
      <c r="AD29" s="44" t="n">
        <f aca="false">IF(OR(E120=0,AD$3&lt;D120),0,E120*IF(G120=0,H120,MIN(H120,H120*(AD$3-D120+1)/MAX(1,G120)))*(1+F120)^(AD$3-D120)*$E93)</f>
        <v>647888.887101063</v>
      </c>
      <c r="AE29" s="44" t="n">
        <f aca="false">IF(OR(E120=0,AE$3&lt;D120),0,E120*IF(G120=0,H120,MIN(H120,H120*(AE$3-D120+1)/MAX(1,G120)))*(1+F120)^(AE$3-D120)*$E93)</f>
        <v>652748.05375432</v>
      </c>
      <c r="AF29" s="44" t="n">
        <f aca="false">IF(OR(E120=0,AF$3&lt;D120),0,E120*IF(G120=0,H120,MIN(H120,H120*(AF$3-D120+1)/MAX(1,G120)))*(1+F120)^(AF$3-D120)*$E93)</f>
        <v>657643.664157478</v>
      </c>
      <c r="AG29" s="44" t="n">
        <f aca="false">IF(OR(E120=0,AG$3&lt;D120),0,E120*IF(G120=0,H120,MIN(H120,H120*(AG$3-D120+1)/MAX(1,G120)))*(1+F120)^(AG$3-D120)*$E93)</f>
        <v>662575.991638659</v>
      </c>
      <c r="AH29" s="44" t="n">
        <f aca="false">IF(OR(E120=0,AH$3&lt;D120),0,E120*IF(G120=0,H120,MIN(H120,H120*(AH$3-D120+1)/MAX(1,G120)))*(1+F120)^(AH$3-D120)*$E93)</f>
        <v>667545.311575949</v>
      </c>
      <c r="AI29" s="44" t="n">
        <f aca="false">IF(OR(E120=0,AI$3&lt;D120),0,E120*IF(G120=0,H120,MIN(H120,H120*(AI$3-D120+1)/MAX(1,G120)))*(1+F120)^(AI$3-D120)*$E93)</f>
        <v>672551.901412769</v>
      </c>
      <c r="AJ29" s="44" t="n">
        <f aca="false">IF(OR(E120=0,AJ$3&lt;D120),0,E120*IF(G120=0,H120,MIN(H120,H120*(AJ$3-D120+1)/MAX(1,G120)))*(1+F120)^(AJ$3-D120)*$E93)</f>
        <v>677596.040673364</v>
      </c>
      <c r="AK29" s="44" t="n">
        <f aca="false">IF(OR(E120=0,AK$3&lt;D120),0,E120*IF(G120=0,H120,MIN(H120,H120*(AK$3-D120+1)/MAX(1,G120)))*(1+F120)^(AK$3-D120)*$E93)</f>
        <v>682678.010978415</v>
      </c>
      <c r="AL29" s="44" t="n">
        <f aca="false">IF(OR(E120=0,AL$3&lt;D120),0,E120*IF(G120=0,H120,MIN(H120,H120*(AL$3-D120+1)/MAX(1,G120)))*(1+F120)^(AL$3-D120)*$E93)</f>
        <v>687798.096060753</v>
      </c>
      <c r="AM29" s="44" t="n">
        <f aca="false">IF(OR(E120=0,AM$3&lt;D120),0,E120*IF(G120=0,H120,MIN(H120,H120*(AM$3-D120+1)/MAX(1,G120)))*(1+F120)^(AM$3-D120)*$E93)</f>
        <v>692956.581781209</v>
      </c>
      <c r="AN29" s="44" t="n">
        <f aca="false">IF(OR(E120=0,AN$3&lt;D120),0,E120*IF(G120=0,H120,MIN(H120,H120*(AN$3-D120+1)/MAX(1,G120)))*(1+F120)^(AN$3-D120)*$E93)</f>
        <v>698153.756144568</v>
      </c>
      <c r="AO29" s="44" t="n">
        <f aca="false">IF(OR(E120=0,AO$3&lt;D120),0,E120*IF(G120=0,H120,MIN(H120,H120*(AO$3-D120+1)/MAX(1,G120)))*(1+F120)^(AO$3-D120)*$E93)</f>
        <v>703389.909315652</v>
      </c>
      <c r="AP29" s="44" t="n">
        <f aca="false">IF(OR(E120=0,AP$3&lt;D120),0,E120*IF(G120=0,H120,MIN(H120,H120*(AP$3-D120+1)/MAX(1,G120)))*(1+F120)^(AP$3-D120)*$E93)</f>
        <v>708665.33363552</v>
      </c>
      <c r="AQ29" s="44" t="n">
        <f aca="false">IF(OR(E120=0,AQ$3&lt;D120),0,E120*IF(G120=0,H120,MIN(H120,H120*(AQ$3-D120+1)/MAX(1,G120)))*(1+F120)^(AQ$3-D120)*$E93)</f>
        <v>713980.323637786</v>
      </c>
      <c r="AR29" s="44" t="n">
        <f aca="false">IF(OR(E120=0,AR$3&lt;D120),0,E120*IF(G120=0,H120,MIN(H120,H120*(AR$3-D120+1)/MAX(1,G120)))*(1+F120)^(AR$3-D120)*$E93)</f>
        <v>719335.176065069</v>
      </c>
      <c r="AS29" s="44" t="n">
        <f aca="false">IF(OR(E120=0,AS$3&lt;D120),0,E120*IF(G120=0,H120,MIN(H120,H120*(AS$3-D120+1)/MAX(1,G120)))*(1+F120)^(AS$3-D120)*$E93)</f>
        <v>724730.189885557</v>
      </c>
      <c r="AT29" s="44" t="n">
        <f aca="false">IF(OR(E120=0,AT$3&lt;D120),0,E120*IF(G120=0,H120,MIN(H120,H120*(AT$3-D120+1)/MAX(1,G120)))*(1+F120)^(AT$3-D120)*$E93)</f>
        <v>730165.666309699</v>
      </c>
      <c r="AU29" s="44" t="n">
        <f aca="false">IF(OR(E120=0,AU$3&lt;D120),0,E120*IF(G120=0,H120,MIN(H120,H120*(AU$3-D120+1)/MAX(1,G120)))*(1+F120)^(AU$3-D120)*$E93)</f>
        <v>735641.908807022</v>
      </c>
      <c r="AV29" s="44" t="n">
        <f aca="false">IF(OR(E120=0,AV$3&lt;D120),0,E120*IF(G120=0,H120,MIN(H120,H120*(AV$3-D120+1)/MAX(1,G120)))*(1+F120)^(AV$3-D120)*$E93)</f>
        <v>741159.223123075</v>
      </c>
      <c r="AW29" s="44" t="n">
        <f aca="false">IF(OR(E120=0,AW$3&lt;D120),0,E120*IF(G120=0,H120,MIN(H120,H120*(AW$3-D120+1)/MAX(1,G120)))*(1+F120)^(AW$3-D120)*$E93)</f>
        <v>746717.917296498</v>
      </c>
      <c r="AX29" s="44" t="n">
        <f aca="false">IF(OR(E120=0,AX$3&lt;D120),0,E120*IF(G120=0,H120,MIN(H120,H120*(AX$3-D120+1)/MAX(1,G120)))*(1+F120)^(AX$3-D120)*$E93)</f>
        <v>752318.301676221</v>
      </c>
      <c r="AY29" s="44" t="n">
        <f aca="false">IF(OR(E120=0,AY$3&lt;D120),0,E120*IF(G120=0,H120,MIN(H120,H120*(AY$3-D120+1)/MAX(1,G120)))*(1+F120)^(AY$3-D120)*$E93)</f>
        <v>757960.688938793</v>
      </c>
      <c r="AZ29" s="44" t="n">
        <f aca="false">IF(OR(E120=0,AZ$3&lt;D120),0,E120*IF(G120=0,H120,MIN(H120,H120*(AZ$3-D120+1)/MAX(1,G120)))*(1+F120)^(AZ$3-D120)*$E93)</f>
        <v>763645.394105834</v>
      </c>
      <c r="BA29" s="44" t="n">
        <f aca="false">IF(OR(E120=0,BA$3&lt;D120),0,E120*IF(G120=0,H120,MIN(H120,H120*(BA$3-D120+1)/MAX(1,G120)))*(1+F120)^(BA$3-D120)*$E93)</f>
        <v>769372.734561628</v>
      </c>
      <c r="BB29" s="44" t="n">
        <f aca="false">IF(OR(E120=0,BB$3&lt;D120),0,E120*IF(G120=0,H120,MIN(H120,H120*(BB$3-D120+1)/MAX(1,G120)))*(1+F120)^(BB$3-D120)*$E93)</f>
        <v>775143.03007084</v>
      </c>
    </row>
    <row r="30" customFormat="false" ht="15" hidden="false" customHeight="true" outlineLevel="0" collapsed="false">
      <c r="A30" s="44" t="n">
        <f aca="false">A121</f>
        <v>27</v>
      </c>
      <c r="B30" s="44" t="str">
        <f aca="false">B121</f>
        <v>Flexible Block  (Branded)</v>
      </c>
      <c r="C30" s="44" t="str">
        <f aca="false">C121</f>
        <v>ZAN 3</v>
      </c>
      <c r="D30" s="44" t="n">
        <f aca="false">SUM(E30:BB30)</f>
        <v>2010099296.39355</v>
      </c>
      <c r="E30" s="44" t="n">
        <f aca="false">IF(OR(E121=0,E$3&lt;D121),0,E121*IF(G121=0,H121,MIN(H121,H121*(E$3-D121+1)/MAX(1,G121)))*(1+F121)^(E$3-D121)*$E93)</f>
        <v>0</v>
      </c>
      <c r="F30" s="44" t="n">
        <f aca="false">IF(OR(E121=0,F$3&lt;D121),0,E121*IF(G121=0,H121,MIN(H121,H121*(F$3-D121+1)/MAX(1,G121)))*(1+F121)^(F$3-D121)*$E93)</f>
        <v>0</v>
      </c>
      <c r="G30" s="44" t="n">
        <f aca="false">IF(OR(E121=0,G$3&lt;D121),0,E121*IF(G121=0,H121,MIN(H121,H121*(G$3-D121+1)/MAX(1,G121)))*(1+F121)^(G$3-D121)*$E93)</f>
        <v>0</v>
      </c>
      <c r="H30" s="44" t="n">
        <f aca="false">IF(OR(E121=0,H$3&lt;D121),0,E121*IF(G121=0,H121,MIN(H121,H121*(H$3-D121+1)/MAX(1,G121)))*(1+F121)^(H$3-D121)*$E93)</f>
        <v>0</v>
      </c>
      <c r="I30" s="44" t="n">
        <f aca="false">IF(OR(E121=0,I$3&lt;D121),0,E121*IF(G121=0,H121,MIN(H121,H121*(I$3-D121+1)/MAX(1,G121)))*(1+F121)^(I$3-D121)*$E93)</f>
        <v>0</v>
      </c>
      <c r="J30" s="44" t="n">
        <f aca="false">IF(OR(E121=0,J$3&lt;D121),0,E121*IF(G121=0,H121,MIN(H121,H121*(J$3-D121+1)/MAX(1,G121)))*(1+F121)^(J$3-D121)*$E93)</f>
        <v>0</v>
      </c>
      <c r="K30" s="44" t="n">
        <f aca="false">IF(OR(E121=0,K$3&lt;D121),0,E121*IF(G121=0,H121,MIN(H121,H121*(K$3-D121+1)/MAX(1,G121)))*(1+F121)^(K$3-D121)*$E93)</f>
        <v>0</v>
      </c>
      <c r="L30" s="44" t="n">
        <f aca="false">IF(OR(E121=0,L$3&lt;D121),0,E121*IF(G121=0,H121,MIN(H121,H121*(L$3-D121+1)/MAX(1,G121)))*(1+F121)^(L$3-D121)*$E93)</f>
        <v>13530708</v>
      </c>
      <c r="M30" s="44" t="n">
        <f aca="false">IF(OR(E121=0,M$3&lt;D121),0,E121*IF(G121=0,H121,MIN(H121,H121*(M$3-D121+1)/MAX(1,G121)))*(1+F121)^(M$3-D121)*$E93)</f>
        <v>27264376.62</v>
      </c>
      <c r="N30" s="44" t="n">
        <f aca="false">IF(OR(E121=0,N$3&lt;D121),0,E121*IF(G121=0,H121,MIN(H121,H121*(N$3-D121+1)/MAX(1,G121)))*(1+F121)^(N$3-D121)*$E93)</f>
        <v>41203289.166975</v>
      </c>
      <c r="O30" s="44" t="n">
        <f aca="false">IF(OR(E121=0,O$3&lt;D121),0,E121*IF(G121=0,H121,MIN(H121,H121*(O$3-D121+1)/MAX(1,G121)))*(1+F121)^(O$3-D121)*$E93)</f>
        <v>41512313.8357273</v>
      </c>
      <c r="P30" s="44" t="n">
        <f aca="false">IF(OR(E121=0,P$3&lt;D121),0,E121*IF(G121=0,H121,MIN(H121,H121*(P$3-D121+1)/MAX(1,G121)))*(1+F121)^(P$3-D121)*$E93)</f>
        <v>41823656.1894953</v>
      </c>
      <c r="Q30" s="44" t="n">
        <f aca="false">IF(OR(E121=0,Q$3&lt;D121),0,E121*IF(G121=0,H121,MIN(H121,H121*(Q$3-D121+1)/MAX(1,G121)))*(1+F121)^(Q$3-D121)*$E93)</f>
        <v>42137333.6109165</v>
      </c>
      <c r="R30" s="44" t="n">
        <f aca="false">IF(OR(E121=0,R$3&lt;D121),0,E121*IF(G121=0,H121,MIN(H121,H121*(R$3-D121+1)/MAX(1,G121)))*(1+F121)^(R$3-D121)*$E93)</f>
        <v>42453363.6129984</v>
      </c>
      <c r="S30" s="44" t="n">
        <f aca="false">IF(OR(E121=0,S$3&lt;D121),0,E121*IF(G121=0,H121,MIN(H121,H121*(S$3-D121+1)/MAX(1,G121)))*(1+F121)^(S$3-D121)*$E93)</f>
        <v>42771763.8400959</v>
      </c>
      <c r="T30" s="44" t="n">
        <f aca="false">IF(OR(E121=0,T$3&lt;D121),0,E121*IF(G121=0,H121,MIN(H121,H121*(T$3-D121+1)/MAX(1,G121)))*(1+F121)^(T$3-D121)*$E93)</f>
        <v>43092552.0688966</v>
      </c>
      <c r="U30" s="44" t="n">
        <f aca="false">IF(OR(E121=0,U$3&lt;D121),0,E121*IF(G121=0,H121,MIN(H121,H121*(U$3-D121+1)/MAX(1,G121)))*(1+F121)^(U$3-D121)*$E93)</f>
        <v>43415746.2094133</v>
      </c>
      <c r="V30" s="44" t="n">
        <f aca="false">IF(OR(E121=0,V$3&lt;D121),0,E121*IF(G121=0,H121,MIN(H121,H121*(V$3-D121+1)/MAX(1,G121)))*(1+F121)^(V$3-D121)*$E93)</f>
        <v>43741364.3059839</v>
      </c>
      <c r="W30" s="44" t="n">
        <f aca="false">IF(OR(E121=0,W$3&lt;D121),0,E121*IF(G121=0,H121,MIN(H121,H121*(W$3-D121+1)/MAX(1,G121)))*(1+F121)^(W$3-D121)*$E93)</f>
        <v>44069424.5382788</v>
      </c>
      <c r="X30" s="44" t="n">
        <f aca="false">IF(OR(E121=0,X$3&lt;D121),0,E121*IF(G121=0,H121,MIN(H121,H121*(X$3-D121+1)/MAX(1,G121)))*(1+F121)^(X$3-D121)*$E93)</f>
        <v>44399945.2223159</v>
      </c>
      <c r="Y30" s="44" t="n">
        <f aca="false">IF(OR(E121=0,Y$3&lt;D121),0,E121*IF(G121=0,H121,MIN(H121,H121*(Y$3-D121+1)/MAX(1,G121)))*(1+F121)^(Y$3-D121)*$E93)</f>
        <v>44732944.8114833</v>
      </c>
      <c r="Z30" s="44" t="n">
        <f aca="false">IF(OR(E121=0,Z$3&lt;D121),0,E121*IF(G121=0,H121,MIN(H121,H121*(Z$3-D121+1)/MAX(1,G121)))*(1+F121)^(Z$3-D121)*$E93)</f>
        <v>45068441.8975694</v>
      </c>
      <c r="AA30" s="44" t="n">
        <f aca="false">IF(OR(E121=0,AA$3&lt;D121),0,E121*IF(G121=0,H121,MIN(H121,H121*(AA$3-D121+1)/MAX(1,G121)))*(1+F121)^(AA$3-D121)*$E93)</f>
        <v>45406455.2118012</v>
      </c>
      <c r="AB30" s="44" t="n">
        <f aca="false">IF(OR(E121=0,AB$3&lt;D121),0,E121*IF(G121=0,H121,MIN(H121,H121*(AB$3-D121+1)/MAX(1,G121)))*(1+F121)^(AB$3-D121)*$E93)</f>
        <v>45747003.6258897</v>
      </c>
      <c r="AC30" s="44" t="n">
        <f aca="false">IF(OR(E121=0,AC$3&lt;D121),0,E121*IF(G121=0,H121,MIN(H121,H121*(AC$3-D121+1)/MAX(1,G121)))*(1+F121)^(AC$3-D121)*$E93)</f>
        <v>46090106.1530838</v>
      </c>
      <c r="AD30" s="44" t="n">
        <f aca="false">IF(OR(E121=0,AD$3&lt;D121),0,E121*IF(G121=0,H121,MIN(H121,H121*(AD$3-D121+1)/MAX(1,G121)))*(1+F121)^(AD$3-D121)*$E93)</f>
        <v>46435781.949232</v>
      </c>
      <c r="AE30" s="44" t="n">
        <f aca="false">IF(OR(E121=0,AE$3&lt;D121),0,E121*IF(G121=0,H121,MIN(H121,H121*(AE$3-D121+1)/MAX(1,G121)))*(1+F121)^(AE$3-D121)*$E93)</f>
        <v>46784050.3138512</v>
      </c>
      <c r="AF30" s="44" t="n">
        <f aca="false">IF(OR(E121=0,AF$3&lt;D121),0,E121*IF(G121=0,H121,MIN(H121,H121*(AF$3-D121+1)/MAX(1,G121)))*(1+F121)^(AF$3-D121)*$E93)</f>
        <v>47134930.6912051</v>
      </c>
      <c r="AG30" s="44" t="n">
        <f aca="false">IF(OR(E121=0,AG$3&lt;D121),0,E121*IF(G121=0,H121,MIN(H121,H121*(AG$3-D121+1)/MAX(1,G121)))*(1+F121)^(AG$3-D121)*$E93)</f>
        <v>47488442.6713892</v>
      </c>
      <c r="AH30" s="44" t="n">
        <f aca="false">IF(OR(E121=0,AH$3&lt;D121),0,E121*IF(G121=0,H121,MIN(H121,H121*(AH$3-D121+1)/MAX(1,G121)))*(1+F121)^(AH$3-D121)*$E93)</f>
        <v>47844605.9914246</v>
      </c>
      <c r="AI30" s="44" t="n">
        <f aca="false">IF(OR(E121=0,AI$3&lt;D121),0,E121*IF(G121=0,H121,MIN(H121,H121*(AI$3-D121+1)/MAX(1,G121)))*(1+F121)^(AI$3-D121)*$E93)</f>
        <v>48203440.5363603</v>
      </c>
      <c r="AJ30" s="44" t="n">
        <f aca="false">IF(OR(E121=0,AJ$3&lt;D121),0,E121*IF(G121=0,H121,MIN(H121,H121*(AJ$3-D121+1)/MAX(1,G121)))*(1+F121)^(AJ$3-D121)*$E93)</f>
        <v>48564966.340383</v>
      </c>
      <c r="AK30" s="44" t="n">
        <f aca="false">IF(OR(E121=0,AK$3&lt;D121),0,E121*IF(G121=0,H121,MIN(H121,H121*(AK$3-D121+1)/MAX(1,G121)))*(1+F121)^(AK$3-D121)*$E93)</f>
        <v>48929203.5879358</v>
      </c>
      <c r="AL30" s="44" t="n">
        <f aca="false">IF(OR(E121=0,AL$3&lt;D121),0,E121*IF(G121=0,H121,MIN(H121,H121*(AL$3-D121+1)/MAX(1,G121)))*(1+F121)^(AL$3-D121)*$E93)</f>
        <v>49296172.6148454</v>
      </c>
      <c r="AM30" s="44" t="n">
        <f aca="false">IF(OR(E121=0,AM$3&lt;D121),0,E121*IF(G121=0,H121,MIN(H121,H121*(AM$3-D121+1)/MAX(1,G121)))*(1+F121)^(AM$3-D121)*$E93)</f>
        <v>49665893.9094567</v>
      </c>
      <c r="AN30" s="44" t="n">
        <f aca="false">IF(OR(E121=0,AN$3&lt;D121),0,E121*IF(G121=0,H121,MIN(H121,H121*(AN$3-D121+1)/MAX(1,G121)))*(1+F121)^(AN$3-D121)*$E93)</f>
        <v>50038388.1137776</v>
      </c>
      <c r="AO30" s="44" t="n">
        <f aca="false">IF(OR(E121=0,AO$3&lt;D121),0,E121*IF(G121=0,H121,MIN(H121,H121*(AO$3-D121+1)/MAX(1,G121)))*(1+F121)^(AO$3-D121)*$E93)</f>
        <v>50413676.024631</v>
      </c>
      <c r="AP30" s="44" t="n">
        <f aca="false">IF(OR(E121=0,AP$3&lt;D121),0,E121*IF(G121=0,H121,MIN(H121,H121*(AP$3-D121+1)/MAX(1,G121)))*(1+F121)^(AP$3-D121)*$E93)</f>
        <v>50791778.5948157</v>
      </c>
      <c r="AQ30" s="44" t="n">
        <f aca="false">IF(OR(E121=0,AQ$3&lt;D121),0,E121*IF(G121=0,H121,MIN(H121,H121*(AQ$3-D121+1)/MAX(1,G121)))*(1+F121)^(AQ$3-D121)*$E93)</f>
        <v>51172716.9342768</v>
      </c>
      <c r="AR30" s="44" t="n">
        <f aca="false">IF(OR(E121=0,AR$3&lt;D121),0,E121*IF(G121=0,H121,MIN(H121,H121*(AR$3-D121+1)/MAX(1,G121)))*(1+F121)^(AR$3-D121)*$E93)</f>
        <v>51556512.3112839</v>
      </c>
      <c r="AS30" s="44" t="n">
        <f aca="false">IF(OR(E121=0,AS$3&lt;D121),0,E121*IF(G121=0,H121,MIN(H121,H121*(AS$3-D121+1)/MAX(1,G121)))*(1+F121)^(AS$3-D121)*$E93)</f>
        <v>51943186.1536185</v>
      </c>
      <c r="AT30" s="44" t="n">
        <f aca="false">IF(OR(E121=0,AT$3&lt;D121),0,E121*IF(G121=0,H121,MIN(H121,H121*(AT$3-D121+1)/MAX(1,G121)))*(1+F121)^(AT$3-D121)*$E93)</f>
        <v>52332760.0497707</v>
      </c>
      <c r="AU30" s="44" t="n">
        <f aca="false">IF(OR(E121=0,AU$3&lt;D121),0,E121*IF(G121=0,H121,MIN(H121,H121*(AU$3-D121+1)/MAX(1,G121)))*(1+F121)^(AU$3-D121)*$E93)</f>
        <v>52725255.750144</v>
      </c>
      <c r="AV30" s="44" t="n">
        <f aca="false">IF(OR(E121=0,AV$3&lt;D121),0,E121*IF(G121=0,H121,MIN(H121,H121*(AV$3-D121+1)/MAX(1,G121)))*(1+F121)^(AV$3-D121)*$E93)</f>
        <v>53120695.16827</v>
      </c>
      <c r="AW30" s="44" t="n">
        <f aca="false">IF(OR(E121=0,AW$3&lt;D121),0,E121*IF(G121=0,H121,MIN(H121,H121*(AW$3-D121+1)/MAX(1,G121)))*(1+F121)^(AW$3-D121)*$E93)</f>
        <v>53519100.3820321</v>
      </c>
      <c r="AX30" s="44" t="n">
        <f aca="false">IF(OR(E121=0,AX$3&lt;D121),0,E121*IF(G121=0,H121,MIN(H121,H121*(AX$3-D121+1)/MAX(1,G121)))*(1+F121)^(AX$3-D121)*$E93)</f>
        <v>53920493.6348973</v>
      </c>
      <c r="AY30" s="44" t="n">
        <f aca="false">IF(OR(E121=0,AY$3&lt;D121),0,E121*IF(G121=0,H121,MIN(H121,H121*(AY$3-D121+1)/MAX(1,G121)))*(1+F121)^(AY$3-D121)*$E93)</f>
        <v>54324897.337159</v>
      </c>
      <c r="AZ30" s="44" t="n">
        <f aca="false">IF(OR(E121=0,AZ$3&lt;D121),0,E121*IF(G121=0,H121,MIN(H121,H121*(AZ$3-D121+1)/MAX(1,G121)))*(1+F121)^(AZ$3-D121)*$E93)</f>
        <v>54732334.0671877</v>
      </c>
      <c r="BA30" s="44" t="n">
        <f aca="false">IF(OR(E121=0,BA$3&lt;D121),0,E121*IF(G121=0,H121,MIN(H121,H121*(BA$3-D121+1)/MAX(1,G121)))*(1+F121)^(BA$3-D121)*$E93)</f>
        <v>55142826.5726917</v>
      </c>
      <c r="BB30" s="44" t="n">
        <f aca="false">IF(OR(E121=0,BB$3&lt;D121),0,E121*IF(G121=0,H121,MIN(H121,H121*(BB$3-D121+1)/MAX(1,G121)))*(1+F121)^(BB$3-D121)*$E93)</f>
        <v>55556397.7719868</v>
      </c>
    </row>
    <row r="31" customFormat="false" ht="15" hidden="false" customHeight="true" outlineLevel="0" collapsed="false">
      <c r="A31" s="44" t="n">
        <f aca="false">A122</f>
        <v>28</v>
      </c>
      <c r="B31" s="44" t="str">
        <f aca="false">B122</f>
        <v>Flexible Block</v>
      </c>
      <c r="C31" s="44" t="str">
        <f aca="false">C122</f>
        <v>ZAN 3</v>
      </c>
      <c r="D31" s="44" t="n">
        <f aca="false">SUM(E31:BB31)</f>
        <v>134406657.61312</v>
      </c>
      <c r="E31" s="44" t="n">
        <f aca="false">IF(OR(E122=0,E$3&lt;D122),0,E122*IF(G122=0,H122,MIN(H122,H122*(E$3-D122+1)/MAX(1,G122)))*(1+F122)^(E$3-D122)*$E93)</f>
        <v>0</v>
      </c>
      <c r="F31" s="44" t="n">
        <f aca="false">IF(OR(E122=0,F$3&lt;D122),0,E122*IF(G122=0,H122,MIN(H122,H122*(F$3-D122+1)/MAX(1,G122)))*(1+F122)^(F$3-D122)*$E93)</f>
        <v>0</v>
      </c>
      <c r="G31" s="44" t="n">
        <f aca="false">IF(OR(E122=0,G$3&lt;D122),0,E122*IF(G122=0,H122,MIN(H122,H122*(G$3-D122+1)/MAX(1,G122)))*(1+F122)^(G$3-D122)*$E93)</f>
        <v>0</v>
      </c>
      <c r="H31" s="44" t="n">
        <f aca="false">IF(OR(E122=0,H$3&lt;D122),0,E122*IF(G122=0,H122,MIN(H122,H122*(H$3-D122+1)/MAX(1,G122)))*(1+F122)^(H$3-D122)*$E93)</f>
        <v>0</v>
      </c>
      <c r="I31" s="44" t="n">
        <f aca="false">IF(OR(E122=0,I$3&lt;D122),0,E122*IF(G122=0,H122,MIN(H122,H122*(I$3-D122+1)/MAX(1,G122)))*(1+F122)^(I$3-D122)*$E93)</f>
        <v>0</v>
      </c>
      <c r="J31" s="44" t="n">
        <f aca="false">IF(OR(E122=0,J$3&lt;D122),0,E122*IF(G122=0,H122,MIN(H122,H122*(J$3-D122+1)/MAX(1,G122)))*(1+F122)^(J$3-D122)*$E93)</f>
        <v>0</v>
      </c>
      <c r="K31" s="44" t="n">
        <f aca="false">IF(OR(E122=0,K$3&lt;D122),0,E122*IF(G122=0,H122,MIN(H122,H122*(K$3-D122+1)/MAX(1,G122)))*(1+F122)^(K$3-D122)*$E93)</f>
        <v>0</v>
      </c>
      <c r="L31" s="44" t="n">
        <f aca="false">IF(OR(E122=0,L$3&lt;D122),0,E122*IF(G122=0,H122,MIN(H122,H122*(L$3-D122+1)/MAX(1,G122)))*(1+F122)^(L$3-D122)*$E93)</f>
        <v>904740</v>
      </c>
      <c r="M31" s="44" t="n">
        <f aca="false">IF(OR(E122=0,M$3&lt;D122),0,E122*IF(G122=0,H122,MIN(H122,H122*(M$3-D122+1)/MAX(1,G122)))*(1+F122)^(M$3-D122)*$E93)</f>
        <v>1823051.1</v>
      </c>
      <c r="N31" s="44" t="n">
        <f aca="false">IF(OR(E122=0,N$3&lt;D122),0,E122*IF(G122=0,H122,MIN(H122,H122*(N$3-D122+1)/MAX(1,G122)))*(1+F122)^(N$3-D122)*$E93)</f>
        <v>2755085.974875</v>
      </c>
      <c r="O31" s="44" t="n">
        <f aca="false">IF(OR(E122=0,O$3&lt;D122),0,E122*IF(G122=0,H122,MIN(H122,H122*(O$3-D122+1)/MAX(1,G122)))*(1+F122)^(O$3-D122)*$E93)</f>
        <v>2775749.11968656</v>
      </c>
      <c r="P31" s="44" t="n">
        <f aca="false">IF(OR(E122=0,P$3&lt;D122),0,E122*IF(G122=0,H122,MIN(H122,H122*(P$3-D122+1)/MAX(1,G122)))*(1+F122)^(P$3-D122)*$E93)</f>
        <v>2796567.23808421</v>
      </c>
      <c r="Q31" s="44" t="n">
        <f aca="false">IF(OR(E122=0,Q$3&lt;D122),0,E122*IF(G122=0,H122,MIN(H122,H122*(Q$3-D122+1)/MAX(1,G122)))*(1+F122)^(Q$3-D122)*$E93)</f>
        <v>2817541.49236984</v>
      </c>
      <c r="R31" s="44" t="n">
        <f aca="false">IF(OR(E122=0,R$3&lt;D122),0,E122*IF(G122=0,H122,MIN(H122,H122*(R$3-D122+1)/MAX(1,G122)))*(1+F122)^(R$3-D122)*$E93)</f>
        <v>2838673.05356262</v>
      </c>
      <c r="S31" s="44" t="n">
        <f aca="false">IF(OR(E122=0,S$3&lt;D122),0,E122*IF(G122=0,H122,MIN(H122,H122*(S$3-D122+1)/MAX(1,G122)))*(1+F122)^(S$3-D122)*$E93)</f>
        <v>2859963.10146434</v>
      </c>
      <c r="T31" s="44" t="n">
        <f aca="false">IF(OR(E122=0,T$3&lt;D122),0,E122*IF(G122=0,H122,MIN(H122,H122*(T$3-D122+1)/MAX(1,G122)))*(1+F122)^(T$3-D122)*$E93)</f>
        <v>2881412.82472532</v>
      </c>
      <c r="U31" s="44" t="n">
        <f aca="false">IF(OR(E122=0,U$3&lt;D122),0,E122*IF(G122=0,H122,MIN(H122,H122*(U$3-D122+1)/MAX(1,G122)))*(1+F122)^(U$3-D122)*$E93)</f>
        <v>2903023.42091076</v>
      </c>
      <c r="V31" s="44" t="n">
        <f aca="false">IF(OR(E122=0,V$3&lt;D122),0,E122*IF(G122=0,H122,MIN(H122,H122*(V$3-D122+1)/MAX(1,G122)))*(1+F122)^(V$3-D122)*$E93)</f>
        <v>2924796.09656759</v>
      </c>
      <c r="W31" s="44" t="n">
        <f aca="false">IF(OR(E122=0,W$3&lt;D122),0,E122*IF(G122=0,H122,MIN(H122,H122*(W$3-D122+1)/MAX(1,G122)))*(1+F122)^(W$3-D122)*$E93)</f>
        <v>2946732.06729185</v>
      </c>
      <c r="X31" s="44" t="n">
        <f aca="false">IF(OR(E122=0,X$3&lt;D122),0,E122*IF(G122=0,H122,MIN(H122,H122*(X$3-D122+1)/MAX(1,G122)))*(1+F122)^(X$3-D122)*$E93)</f>
        <v>2968832.55779654</v>
      </c>
      <c r="Y31" s="44" t="n">
        <f aca="false">IF(OR(E122=0,Y$3&lt;D122),0,E122*IF(G122=0,H122,MIN(H122,H122*(Y$3-D122+1)/MAX(1,G122)))*(1+F122)^(Y$3-D122)*$E93)</f>
        <v>2991098.80198001</v>
      </c>
      <c r="Z31" s="44" t="n">
        <f aca="false">IF(OR(E122=0,Z$3&lt;D122),0,E122*IF(G122=0,H122,MIN(H122,H122*(Z$3-D122+1)/MAX(1,G122)))*(1+F122)^(Z$3-D122)*$E93)</f>
        <v>3013532.04299486</v>
      </c>
      <c r="AA31" s="44" t="n">
        <f aca="false">IF(OR(E122=0,AA$3&lt;D122),0,E122*IF(G122=0,H122,MIN(H122,H122*(AA$3-D122+1)/MAX(1,G122)))*(1+F122)^(AA$3-D122)*$E93)</f>
        <v>3036133.53331732</v>
      </c>
      <c r="AB31" s="44" t="n">
        <f aca="false">IF(OR(E122=0,AB$3&lt;D122),0,E122*IF(G122=0,H122,MIN(H122,H122*(AB$3-D122+1)/MAX(1,G122)))*(1+F122)^(AB$3-D122)*$E93)</f>
        <v>3058904.5348172</v>
      </c>
      <c r="AC31" s="44" t="n">
        <f aca="false">IF(OR(E122=0,AC$3&lt;D122),0,E122*IF(G122=0,H122,MIN(H122,H122*(AC$3-D122+1)/MAX(1,G122)))*(1+F122)^(AC$3-D122)*$E93)</f>
        <v>3081846.31882833</v>
      </c>
      <c r="AD31" s="44" t="n">
        <f aca="false">IF(OR(E122=0,AD$3&lt;D122),0,E122*IF(G122=0,H122,MIN(H122,H122*(AD$3-D122+1)/MAX(1,G122)))*(1+F122)^(AD$3-D122)*$E93)</f>
        <v>3104960.16621955</v>
      </c>
      <c r="AE31" s="44" t="n">
        <f aca="false">IF(OR(E122=0,AE$3&lt;D122),0,E122*IF(G122=0,H122,MIN(H122,H122*(AE$3-D122+1)/MAX(1,G122)))*(1+F122)^(AE$3-D122)*$E93)</f>
        <v>3128247.36746619</v>
      </c>
      <c r="AF31" s="44" t="n">
        <f aca="false">IF(OR(E122=0,AF$3&lt;D122),0,E122*IF(G122=0,H122,MIN(H122,H122*(AF$3-D122+1)/MAX(1,G122)))*(1+F122)^(AF$3-D122)*$E93)</f>
        <v>3151709.22272219</v>
      </c>
      <c r="AG31" s="44" t="n">
        <f aca="false">IF(OR(E122=0,AG$3&lt;D122),0,E122*IF(G122=0,H122,MIN(H122,H122*(AG$3-D122+1)/MAX(1,G122)))*(1+F122)^(AG$3-D122)*$E93)</f>
        <v>3175347.04189261</v>
      </c>
      <c r="AH31" s="44" t="n">
        <f aca="false">IF(OR(E122=0,AH$3&lt;D122),0,E122*IF(G122=0,H122,MIN(H122,H122*(AH$3-D122+1)/MAX(1,G122)))*(1+F122)^(AH$3-D122)*$E93)</f>
        <v>3199162.1447068</v>
      </c>
      <c r="AI31" s="44" t="n">
        <f aca="false">IF(OR(E122=0,AI$3&lt;D122),0,E122*IF(G122=0,H122,MIN(H122,H122*(AI$3-D122+1)/MAX(1,G122)))*(1+F122)^(AI$3-D122)*$E93)</f>
        <v>3223155.8607921</v>
      </c>
      <c r="AJ31" s="44" t="n">
        <f aca="false">IF(OR(E122=0,AJ$3&lt;D122),0,E122*IF(G122=0,H122,MIN(H122,H122*(AJ$3-D122+1)/MAX(1,G122)))*(1+F122)^(AJ$3-D122)*$E93)</f>
        <v>3247329.52974804</v>
      </c>
      <c r="AK31" s="44" t="n">
        <f aca="false">IF(OR(E122=0,AK$3&lt;D122),0,E122*IF(G122=0,H122,MIN(H122,H122*(AK$3-D122+1)/MAX(1,G122)))*(1+F122)^(AK$3-D122)*$E93)</f>
        <v>3271684.50122115</v>
      </c>
      <c r="AL31" s="44" t="n">
        <f aca="false">IF(OR(E122=0,AL$3&lt;D122),0,E122*IF(G122=0,H122,MIN(H122,H122*(AL$3-D122+1)/MAX(1,G122)))*(1+F122)^(AL$3-D122)*$E93)</f>
        <v>3296222.13498031</v>
      </c>
      <c r="AM31" s="44" t="n">
        <f aca="false">IF(OR(E122=0,AM$3&lt;D122),0,E122*IF(G122=0,H122,MIN(H122,H122*(AM$3-D122+1)/MAX(1,G122)))*(1+F122)^(AM$3-D122)*$E93)</f>
        <v>3320943.80099267</v>
      </c>
      <c r="AN31" s="44" t="n">
        <f aca="false">IF(OR(E122=0,AN$3&lt;D122),0,E122*IF(G122=0,H122,MIN(H122,H122*(AN$3-D122+1)/MAX(1,G122)))*(1+F122)^(AN$3-D122)*$E93)</f>
        <v>3345850.87950011</v>
      </c>
      <c r="AO31" s="44" t="n">
        <f aca="false">IF(OR(E122=0,AO$3&lt;D122),0,E122*IF(G122=0,H122,MIN(H122,H122*(AO$3-D122+1)/MAX(1,G122)))*(1+F122)^(AO$3-D122)*$E93)</f>
        <v>3370944.76109636</v>
      </c>
      <c r="AP31" s="44" t="n">
        <f aca="false">IF(OR(E122=0,AP$3&lt;D122),0,E122*IF(G122=0,H122,MIN(H122,H122*(AP$3-D122+1)/MAX(1,G122)))*(1+F122)^(AP$3-D122)*$E93)</f>
        <v>3396226.84680458</v>
      </c>
      <c r="AQ31" s="44" t="n">
        <f aca="false">IF(OR(E122=0,AQ$3&lt;D122),0,E122*IF(G122=0,H122,MIN(H122,H122*(AQ$3-D122+1)/MAX(1,G122)))*(1+F122)^(AQ$3-D122)*$E93)</f>
        <v>3421698.54815562</v>
      </c>
      <c r="AR31" s="44" t="n">
        <f aca="false">IF(OR(E122=0,AR$3&lt;D122),0,E122*IF(G122=0,H122,MIN(H122,H122*(AR$3-D122+1)/MAX(1,G122)))*(1+F122)^(AR$3-D122)*$E93)</f>
        <v>3447361.28726679</v>
      </c>
      <c r="AS31" s="44" t="n">
        <f aca="false">IF(OR(E122=0,AS$3&lt;D122),0,E122*IF(G122=0,H122,MIN(H122,H122*(AS$3-D122+1)/MAX(1,G122)))*(1+F122)^(AS$3-D122)*$E93)</f>
        <v>3473216.49692129</v>
      </c>
      <c r="AT31" s="44" t="n">
        <f aca="false">IF(OR(E122=0,AT$3&lt;D122),0,E122*IF(G122=0,H122,MIN(H122,H122*(AT$3-D122+1)/MAX(1,G122)))*(1+F122)^(AT$3-D122)*$E93)</f>
        <v>3499265.6206482</v>
      </c>
      <c r="AU31" s="44" t="n">
        <f aca="false">IF(OR(E122=0,AU$3&lt;D122),0,E122*IF(G122=0,H122,MIN(H122,H122*(AU$3-D122+1)/MAX(1,G122)))*(1+F122)^(AU$3-D122)*$E93)</f>
        <v>3525510.11280306</v>
      </c>
      <c r="AV31" s="44" t="n">
        <f aca="false">IF(OR(E122=0,AV$3&lt;D122),0,E122*IF(G122=0,H122,MIN(H122,H122*(AV$3-D122+1)/MAX(1,G122)))*(1+F122)^(AV$3-D122)*$E93)</f>
        <v>3551951.43864908</v>
      </c>
      <c r="AW31" s="44" t="n">
        <f aca="false">IF(OR(E122=0,AW$3&lt;D122),0,E122*IF(G122=0,H122,MIN(H122,H122*(AW$3-D122+1)/MAX(1,G122)))*(1+F122)^(AW$3-D122)*$E93)</f>
        <v>3578591.07443895</v>
      </c>
      <c r="AX31" s="44" t="n">
        <f aca="false">IF(OR(E122=0,AX$3&lt;D122),0,E122*IF(G122=0,H122,MIN(H122,H122*(AX$3-D122+1)/MAX(1,G122)))*(1+F122)^(AX$3-D122)*$E93)</f>
        <v>3605430.50749724</v>
      </c>
      <c r="AY31" s="44" t="n">
        <f aca="false">IF(OR(E122=0,AY$3&lt;D122),0,E122*IF(G122=0,H122,MIN(H122,H122*(AY$3-D122+1)/MAX(1,G122)))*(1+F122)^(AY$3-D122)*$E93)</f>
        <v>3632471.23630347</v>
      </c>
      <c r="AZ31" s="44" t="n">
        <f aca="false">IF(OR(E122=0,AZ$3&lt;D122),0,E122*IF(G122=0,H122,MIN(H122,H122*(AZ$3-D122+1)/MAX(1,G122)))*(1+F122)^(AZ$3-D122)*$E93)</f>
        <v>3659714.77057575</v>
      </c>
      <c r="BA31" s="44" t="n">
        <f aca="false">IF(OR(E122=0,BA$3&lt;D122),0,E122*IF(G122=0,H122,MIN(H122,H122*(BA$3-D122+1)/MAX(1,G122)))*(1+F122)^(BA$3-D122)*$E93)</f>
        <v>3687162.63135507</v>
      </c>
      <c r="BB31" s="44" t="n">
        <f aca="false">IF(OR(E122=0,BB$3&lt;D122),0,E122*IF(G122=0,H122,MIN(H122,H122*(BB$3-D122+1)/MAX(1,G122)))*(1+F122)^(BB$3-D122)*$E93)</f>
        <v>3714816.35109023</v>
      </c>
    </row>
    <row r="32" customFormat="false" ht="15" hidden="false" customHeight="true" outlineLevel="0" collapsed="false">
      <c r="A32" s="44" t="n">
        <f aca="false">A123</f>
        <v>29</v>
      </c>
      <c r="B32" s="44" t="str">
        <f aca="false">B123</f>
        <v>Yacht Club</v>
      </c>
      <c r="C32" s="44" t="str">
        <f aca="false">C123</f>
        <v>ZAN 3</v>
      </c>
      <c r="D32" s="44" t="n">
        <f aca="false">SUM(E32:BB32)</f>
        <v>86371809.2891525</v>
      </c>
      <c r="E32" s="44" t="n">
        <f aca="false">IF(OR(E123=0,E$3&lt;D123),0,E123*IF(G123=0,H123,MIN(H123,H123*(E$3-D123+1)/MAX(1,G123)))*(1+F123)^(E$3-D123)*$E93)</f>
        <v>0</v>
      </c>
      <c r="F32" s="44" t="n">
        <f aca="false">IF(OR(E123=0,F$3&lt;D123),0,E123*IF(G123=0,H123,MIN(H123,H123*(F$3-D123+1)/MAX(1,G123)))*(1+F123)^(F$3-D123)*$E93)</f>
        <v>0</v>
      </c>
      <c r="G32" s="44" t="n">
        <f aca="false">IF(OR(E123=0,G$3&lt;D123),0,E123*IF(G123=0,H123,MIN(H123,H123*(G$3-D123+1)/MAX(1,G123)))*(1+F123)^(G$3-D123)*$E93)</f>
        <v>0</v>
      </c>
      <c r="H32" s="44" t="n">
        <f aca="false">IF(OR(E123=0,H$3&lt;D123),0,E123*IF(G123=0,H123,MIN(H123,H123*(H$3-D123+1)/MAX(1,G123)))*(1+F123)^(H$3-D123)*$E93)</f>
        <v>0</v>
      </c>
      <c r="I32" s="44" t="n">
        <f aca="false">IF(OR(E123=0,I$3&lt;D123),0,E123*IF(G123=0,H123,MIN(H123,H123*(I$3-D123+1)/MAX(1,G123)))*(1+F123)^(I$3-D123)*$E93)</f>
        <v>0</v>
      </c>
      <c r="J32" s="44" t="n">
        <f aca="false">IF(OR(E123=0,J$3&lt;D123),0,E123*IF(G123=0,H123,MIN(H123,H123*(J$3-D123+1)/MAX(1,G123)))*(1+F123)^(J$3-D123)*$E93)</f>
        <v>0</v>
      </c>
      <c r="K32" s="44" t="n">
        <f aca="false">IF(OR(E123=0,K$3&lt;D123),0,E123*IF(G123=0,H123,MIN(H123,H123*(K$3-D123+1)/MAX(1,G123)))*(1+F123)^(K$3-D123)*$E93)</f>
        <v>0</v>
      </c>
      <c r="L32" s="44" t="n">
        <f aca="false">IF(OR(E123=0,L$3&lt;D123),0,E123*IF(G123=0,H123,MIN(H123,H123*(L$3-D123+1)/MAX(1,G123)))*(1+F123)^(L$3-D123)*$E93)</f>
        <v>581400</v>
      </c>
      <c r="M32" s="44" t="n">
        <f aca="false">IF(OR(E123=0,M$3&lt;D123),0,E123*IF(G123=0,H123,MIN(H123,H123*(M$3-D123+1)/MAX(1,G123)))*(1+F123)^(M$3-D123)*$E93)</f>
        <v>1171521</v>
      </c>
      <c r="N32" s="44" t="n">
        <f aca="false">IF(OR(E123=0,N$3&lt;D123),0,E123*IF(G123=0,H123,MIN(H123,H123*(N$3-D123+1)/MAX(1,G123)))*(1+F123)^(N$3-D123)*$E93)</f>
        <v>1770461.11125</v>
      </c>
      <c r="O32" s="44" t="n">
        <f aca="false">IF(OR(E123=0,O$3&lt;D123),0,E123*IF(G123=0,H123,MIN(H123,H123*(O$3-D123+1)/MAX(1,G123)))*(1+F123)^(O$3-D123)*$E93)</f>
        <v>1783739.56958438</v>
      </c>
      <c r="P32" s="44" t="n">
        <f aca="false">IF(OR(E123=0,P$3&lt;D123),0,E123*IF(G123=0,H123,MIN(H123,H123*(P$3-D123+1)/MAX(1,G123)))*(1+F123)^(P$3-D123)*$E93)</f>
        <v>1797117.61635626</v>
      </c>
      <c r="Q32" s="44" t="n">
        <f aca="false">IF(OR(E123=0,Q$3&lt;D123),0,E123*IF(G123=0,H123,MIN(H123,H123*(Q$3-D123+1)/MAX(1,G123)))*(1+F123)^(Q$3-D123)*$E93)</f>
        <v>1810595.99847893</v>
      </c>
      <c r="R32" s="44" t="n">
        <f aca="false">IF(OR(E123=0,R$3&lt;D123),0,E123*IF(G123=0,H123,MIN(H123,H123*(R$3-D123+1)/MAX(1,G123)))*(1+F123)^(R$3-D123)*$E93)</f>
        <v>1824175.46846752</v>
      </c>
      <c r="S32" s="44" t="n">
        <f aca="false">IF(OR(E123=0,S$3&lt;D123),0,E123*IF(G123=0,H123,MIN(H123,H123*(S$3-D123+1)/MAX(1,G123)))*(1+F123)^(S$3-D123)*$E93)</f>
        <v>1837856.78448103</v>
      </c>
      <c r="T32" s="44" t="n">
        <f aca="false">IF(OR(E123=0,T$3&lt;D123),0,E123*IF(G123=0,H123,MIN(H123,H123*(T$3-D123+1)/MAX(1,G123)))*(1+F123)^(T$3-D123)*$E93)</f>
        <v>1851640.71036464</v>
      </c>
      <c r="U32" s="44" t="n">
        <f aca="false">IF(OR(E123=0,U$3&lt;D123),0,E123*IF(G123=0,H123,MIN(H123,H123*(U$3-D123+1)/MAX(1,G123)))*(1+F123)^(U$3-D123)*$E93)</f>
        <v>1865528.01569237</v>
      </c>
      <c r="V32" s="44" t="n">
        <f aca="false">IF(OR(E123=0,V$3&lt;D123),0,E123*IF(G123=0,H123,MIN(H123,H123*(V$3-D123+1)/MAX(1,G123)))*(1+F123)^(V$3-D123)*$E93)</f>
        <v>1879519.47581006</v>
      </c>
      <c r="W32" s="44" t="n">
        <f aca="false">IF(OR(E123=0,W$3&lt;D123),0,E123*IF(G123=0,H123,MIN(H123,H123*(W$3-D123+1)/MAX(1,G123)))*(1+F123)^(W$3-D123)*$E93)</f>
        <v>1893615.87187864</v>
      </c>
      <c r="X32" s="44" t="n">
        <f aca="false">IF(OR(E123=0,X$3&lt;D123),0,E123*IF(G123=0,H123,MIN(H123,H123*(X$3-D123+1)/MAX(1,G123)))*(1+F123)^(X$3-D123)*$E93)</f>
        <v>1907817.99091773</v>
      </c>
      <c r="Y32" s="44" t="n">
        <f aca="false">IF(OR(E123=0,Y$3&lt;D123),0,E123*IF(G123=0,H123,MIN(H123,H123*(Y$3-D123+1)/MAX(1,G123)))*(1+F123)^(Y$3-D123)*$E93)</f>
        <v>1922126.62584961</v>
      </c>
      <c r="Z32" s="44" t="n">
        <f aca="false">IF(OR(E123=0,Z$3&lt;D123),0,E123*IF(G123=0,H123,MIN(H123,H123*(Z$3-D123+1)/MAX(1,G123)))*(1+F123)^(Z$3-D123)*$E93)</f>
        <v>1936542.57554349</v>
      </c>
      <c r="AA32" s="44" t="n">
        <f aca="false">IF(OR(E123=0,AA$3&lt;D123),0,E123*IF(G123=0,H123,MIN(H123,H123*(AA$3-D123+1)/MAX(1,G123)))*(1+F123)^(AA$3-D123)*$E93)</f>
        <v>1951066.64486006</v>
      </c>
      <c r="AB32" s="44" t="n">
        <f aca="false">IF(OR(E123=0,AB$3&lt;D123),0,E123*IF(G123=0,H123,MIN(H123,H123*(AB$3-D123+1)/MAX(1,G123)))*(1+F123)^(AB$3-D123)*$E93)</f>
        <v>1965699.64469651</v>
      </c>
      <c r="AC32" s="44" t="n">
        <f aca="false">IF(OR(E123=0,AC$3&lt;D123),0,E123*IF(G123=0,H123,MIN(H123,H123*(AC$3-D123+1)/MAX(1,G123)))*(1+F123)^(AC$3-D123)*$E93)</f>
        <v>1980442.39203174</v>
      </c>
      <c r="AD32" s="44" t="n">
        <f aca="false">IF(OR(E123=0,AD$3&lt;D123),0,E123*IF(G123=0,H123,MIN(H123,H123*(AD$3-D123+1)/MAX(1,G123)))*(1+F123)^(AD$3-D123)*$E93)</f>
        <v>1995295.70997197</v>
      </c>
      <c r="AE32" s="44" t="n">
        <f aca="false">IF(OR(E123=0,AE$3&lt;D123),0,E123*IF(G123=0,H123,MIN(H123,H123*(AE$3-D123+1)/MAX(1,G123)))*(1+F123)^(AE$3-D123)*$E93)</f>
        <v>2010260.42779676</v>
      </c>
      <c r="AF32" s="44" t="n">
        <f aca="false">IF(OR(E123=0,AF$3&lt;D123),0,E123*IF(G123=0,H123,MIN(H123,H123*(AF$3-D123+1)/MAX(1,G123)))*(1+F123)^(AF$3-D123)*$E93)</f>
        <v>2025337.38100524</v>
      </c>
      <c r="AG32" s="44" t="n">
        <f aca="false">IF(OR(E123=0,AG$3&lt;D123),0,E123*IF(G123=0,H123,MIN(H123,H123*(AG$3-D123+1)/MAX(1,G123)))*(1+F123)^(AG$3-D123)*$E93)</f>
        <v>2040527.41136278</v>
      </c>
      <c r="AH32" s="44" t="n">
        <f aca="false">IF(OR(E123=0,AH$3&lt;D123),0,E123*IF(G123=0,H123,MIN(H123,H123*(AH$3-D123+1)/MAX(1,G123)))*(1+F123)^(AH$3-D123)*$E93)</f>
        <v>2055831.366948</v>
      </c>
      <c r="AI32" s="44" t="n">
        <f aca="false">IF(OR(E123=0,AI$3&lt;D123),0,E123*IF(G123=0,H123,MIN(H123,H123*(AI$3-D123+1)/MAX(1,G123)))*(1+F123)^(AI$3-D123)*$E93)</f>
        <v>2071250.10220011</v>
      </c>
      <c r="AJ32" s="44" t="n">
        <f aca="false">IF(OR(E123=0,AJ$3&lt;D123),0,E123*IF(G123=0,H123,MIN(H123,H123*(AJ$3-D123+1)/MAX(1,G123)))*(1+F123)^(AJ$3-D123)*$E93)</f>
        <v>2086784.47796661</v>
      </c>
      <c r="AK32" s="44" t="n">
        <f aca="false">IF(OR(E123=0,AK$3&lt;D123),0,E123*IF(G123=0,H123,MIN(H123,H123*(AK$3-D123+1)/MAX(1,G123)))*(1+F123)^(AK$3-D123)*$E93)</f>
        <v>2102435.36155136</v>
      </c>
      <c r="AL32" s="44" t="n">
        <f aca="false">IF(OR(E123=0,AL$3&lt;D123),0,E123*IF(G123=0,H123,MIN(H123,H123*(AL$3-D123+1)/MAX(1,G123)))*(1+F123)^(AL$3-D123)*$E93)</f>
        <v>2118203.626763</v>
      </c>
      <c r="AM32" s="44" t="n">
        <f aca="false">IF(OR(E123=0,AM$3&lt;D123),0,E123*IF(G123=0,H123,MIN(H123,H123*(AM$3-D123+1)/MAX(1,G123)))*(1+F123)^(AM$3-D123)*$E93)</f>
        <v>2134090.15396372</v>
      </c>
      <c r="AN32" s="44" t="n">
        <f aca="false">IF(OR(E123=0,AN$3&lt;D123),0,E123*IF(G123=0,H123,MIN(H123,H123*(AN$3-D123+1)/MAX(1,G123)))*(1+F123)^(AN$3-D123)*$E93)</f>
        <v>2150095.83011845</v>
      </c>
      <c r="AO32" s="44" t="n">
        <f aca="false">IF(OR(E123=0,AO$3&lt;D123),0,E123*IF(G123=0,H123,MIN(H123,H123*(AO$3-D123+1)/MAX(1,G123)))*(1+F123)^(AO$3-D123)*$E93)</f>
        <v>2166221.54884434</v>
      </c>
      <c r="AP32" s="44" t="n">
        <f aca="false">IF(OR(E123=0,AP$3&lt;D123),0,E123*IF(G123=0,H123,MIN(H123,H123*(AP$3-D123+1)/MAX(1,G123)))*(1+F123)^(AP$3-D123)*$E93)</f>
        <v>2182468.21046067</v>
      </c>
      <c r="AQ32" s="44" t="n">
        <f aca="false">IF(OR(E123=0,AQ$3&lt;D123),0,E123*IF(G123=0,H123,MIN(H123,H123*(AQ$3-D123+1)/MAX(1,G123)))*(1+F123)^(AQ$3-D123)*$E93)</f>
        <v>2198836.72203912</v>
      </c>
      <c r="AR32" s="44" t="n">
        <f aca="false">IF(OR(E123=0,AR$3&lt;D123),0,E123*IF(G123=0,H123,MIN(H123,H123*(AR$3-D123+1)/MAX(1,G123)))*(1+F123)^(AR$3-D123)*$E93)</f>
        <v>2215327.99745442</v>
      </c>
      <c r="AS32" s="44" t="n">
        <f aca="false">IF(OR(E123=0,AS$3&lt;D123),0,E123*IF(G123=0,H123,MIN(H123,H123*(AS$3-D123+1)/MAX(1,G123)))*(1+F123)^(AS$3-D123)*$E93)</f>
        <v>2231942.95743533</v>
      </c>
      <c r="AT32" s="44" t="n">
        <f aca="false">IF(OR(E123=0,AT$3&lt;D123),0,E123*IF(G123=0,H123,MIN(H123,H123*(AT$3-D123+1)/MAX(1,G123)))*(1+F123)^(AT$3-D123)*$E93)</f>
        <v>2248682.52961609</v>
      </c>
      <c r="AU32" s="44" t="n">
        <f aca="false">IF(OR(E123=0,AU$3&lt;D123),0,E123*IF(G123=0,H123,MIN(H123,H123*(AU$3-D123+1)/MAX(1,G123)))*(1+F123)^(AU$3-D123)*$E93)</f>
        <v>2265547.64858821</v>
      </c>
      <c r="AV32" s="44" t="n">
        <f aca="false">IF(OR(E123=0,AV$3&lt;D123),0,E123*IF(G123=0,H123,MIN(H123,H123*(AV$3-D123+1)/MAX(1,G123)))*(1+F123)^(AV$3-D123)*$E93)</f>
        <v>2282539.25595262</v>
      </c>
      <c r="AW32" s="44" t="n">
        <f aca="false">IF(OR(E123=0,AW$3&lt;D123),0,E123*IF(G123=0,H123,MIN(H123,H123*(AW$3-D123+1)/MAX(1,G123)))*(1+F123)^(AW$3-D123)*$E93)</f>
        <v>2299658.30037227</v>
      </c>
      <c r="AX32" s="44" t="n">
        <f aca="false">IF(OR(E123=0,AX$3&lt;D123),0,E123*IF(G123=0,H123,MIN(H123,H123*(AX$3-D123+1)/MAX(1,G123)))*(1+F123)^(AX$3-D123)*$E93)</f>
        <v>2316905.73762506</v>
      </c>
      <c r="AY32" s="44" t="n">
        <f aca="false">IF(OR(E123=0,AY$3&lt;D123),0,E123*IF(G123=0,H123,MIN(H123,H123*(AY$3-D123+1)/MAX(1,G123)))*(1+F123)^(AY$3-D123)*$E93)</f>
        <v>2334282.53065725</v>
      </c>
      <c r="AZ32" s="44" t="n">
        <f aca="false">IF(OR(E123=0,AZ$3&lt;D123),0,E123*IF(G123=0,H123,MIN(H123,H123*(AZ$3-D123+1)/MAX(1,G123)))*(1+F123)^(AZ$3-D123)*$E93)</f>
        <v>2351789.64963718</v>
      </c>
      <c r="BA32" s="44" t="n">
        <f aca="false">IF(OR(E123=0,BA$3&lt;D123),0,E123*IF(G123=0,H123,MIN(H123,H123*(BA$3-D123+1)/MAX(1,G123)))*(1+F123)^(BA$3-D123)*$E93)</f>
        <v>2369428.07200946</v>
      </c>
      <c r="BB32" s="44" t="n">
        <f aca="false">IF(OR(E123=0,BB$3&lt;D123),0,E123*IF(G123=0,H123,MIN(H123,H123*(BB$3-D123+1)/MAX(1,G123)))*(1+F123)^(BB$3-D123)*$E93)</f>
        <v>2387198.78254953</v>
      </c>
    </row>
    <row r="33" customFormat="false" ht="15" hidden="false" customHeight="true" outlineLevel="0" collapsed="false">
      <c r="A33" s="44" t="n">
        <f aca="false">A124</f>
        <v>30</v>
      </c>
      <c r="B33" s="44" t="str">
        <f aca="false">B124</f>
        <v>Parking &amp; Landscaping ZAN3</v>
      </c>
      <c r="C33" s="44" t="str">
        <f aca="false">C124</f>
        <v>ZAN 3</v>
      </c>
      <c r="D33" s="44" t="n">
        <f aca="false">SUM(E33:BB33)</f>
        <v>0</v>
      </c>
      <c r="E33" s="44" t="n">
        <f aca="false">IF(OR(E124=0,E$3&lt;D124),0,E124*IF(G124=0,H124,MIN(H124,H124*(E$3-D124+1)/MAX(1,G124)))*(1+F124)^(E$3-D124)*$E93)</f>
        <v>0</v>
      </c>
      <c r="F33" s="44" t="n">
        <f aca="false">IF(OR(E124=0,F$3&lt;D124),0,E124*IF(G124=0,H124,MIN(H124,H124*(F$3-D124+1)/MAX(1,G124)))*(1+F124)^(F$3-D124)*$E93)</f>
        <v>0</v>
      </c>
      <c r="G33" s="44" t="n">
        <f aca="false">IF(OR(E124=0,G$3&lt;D124),0,E124*IF(G124=0,H124,MIN(H124,H124*(G$3-D124+1)/MAX(1,G124)))*(1+F124)^(G$3-D124)*$E93)</f>
        <v>0</v>
      </c>
      <c r="H33" s="44" t="n">
        <f aca="false">IF(OR(E124=0,H$3&lt;D124),0,E124*IF(G124=0,H124,MIN(H124,H124*(H$3-D124+1)/MAX(1,G124)))*(1+F124)^(H$3-D124)*$E93)</f>
        <v>0</v>
      </c>
      <c r="I33" s="44" t="n">
        <f aca="false">IF(OR(E124=0,I$3&lt;D124),0,E124*IF(G124=0,H124,MIN(H124,H124*(I$3-D124+1)/MAX(1,G124)))*(1+F124)^(I$3-D124)*$E93)</f>
        <v>0</v>
      </c>
      <c r="J33" s="44" t="n">
        <f aca="false">IF(OR(E124=0,J$3&lt;D124),0,E124*IF(G124=0,H124,MIN(H124,H124*(J$3-D124+1)/MAX(1,G124)))*(1+F124)^(J$3-D124)*$E93)</f>
        <v>0</v>
      </c>
      <c r="K33" s="44" t="n">
        <f aca="false">IF(OR(E124=0,K$3&lt;D124),0,E124*IF(G124=0,H124,MIN(H124,H124*(K$3-D124+1)/MAX(1,G124)))*(1+F124)^(K$3-D124)*$E93)</f>
        <v>0</v>
      </c>
      <c r="L33" s="44" t="n">
        <f aca="false">IF(OR(E124=0,L$3&lt;D124),0,E124*IF(G124=0,H124,MIN(H124,H124*(L$3-D124+1)/MAX(1,G124)))*(1+F124)^(L$3-D124)*$E93)</f>
        <v>0</v>
      </c>
      <c r="M33" s="44" t="n">
        <f aca="false">IF(OR(E124=0,M$3&lt;D124),0,E124*IF(G124=0,H124,MIN(H124,H124*(M$3-D124+1)/MAX(1,G124)))*(1+F124)^(M$3-D124)*$E93)</f>
        <v>0</v>
      </c>
      <c r="N33" s="44" t="n">
        <f aca="false">IF(OR(E124=0,N$3&lt;D124),0,E124*IF(G124=0,H124,MIN(H124,H124*(N$3-D124+1)/MAX(1,G124)))*(1+F124)^(N$3-D124)*$E93)</f>
        <v>0</v>
      </c>
      <c r="O33" s="44" t="n">
        <f aca="false">IF(OR(E124=0,O$3&lt;D124),0,E124*IF(G124=0,H124,MIN(H124,H124*(O$3-D124+1)/MAX(1,G124)))*(1+F124)^(O$3-D124)*$E93)</f>
        <v>0</v>
      </c>
      <c r="P33" s="44" t="n">
        <f aca="false">IF(OR(E124=0,P$3&lt;D124),0,E124*IF(G124=0,H124,MIN(H124,H124*(P$3-D124+1)/MAX(1,G124)))*(1+F124)^(P$3-D124)*$E93)</f>
        <v>0</v>
      </c>
      <c r="Q33" s="44" t="n">
        <f aca="false">IF(OR(E124=0,Q$3&lt;D124),0,E124*IF(G124=0,H124,MIN(H124,H124*(Q$3-D124+1)/MAX(1,G124)))*(1+F124)^(Q$3-D124)*$E93)</f>
        <v>0</v>
      </c>
      <c r="R33" s="44" t="n">
        <f aca="false">IF(OR(E124=0,R$3&lt;D124),0,E124*IF(G124=0,H124,MIN(H124,H124*(R$3-D124+1)/MAX(1,G124)))*(1+F124)^(R$3-D124)*$E93)</f>
        <v>0</v>
      </c>
      <c r="S33" s="44" t="n">
        <f aca="false">IF(OR(E124=0,S$3&lt;D124),0,E124*IF(G124=0,H124,MIN(H124,H124*(S$3-D124+1)/MAX(1,G124)))*(1+F124)^(S$3-D124)*$E93)</f>
        <v>0</v>
      </c>
      <c r="T33" s="44" t="n">
        <f aca="false">IF(OR(E124=0,T$3&lt;D124),0,E124*IF(G124=0,H124,MIN(H124,H124*(T$3-D124+1)/MAX(1,G124)))*(1+F124)^(T$3-D124)*$E93)</f>
        <v>0</v>
      </c>
      <c r="U33" s="44" t="n">
        <f aca="false">IF(OR(E124=0,U$3&lt;D124),0,E124*IF(G124=0,H124,MIN(H124,H124*(U$3-D124+1)/MAX(1,G124)))*(1+F124)^(U$3-D124)*$E93)</f>
        <v>0</v>
      </c>
      <c r="V33" s="44" t="n">
        <f aca="false">IF(OR(E124=0,V$3&lt;D124),0,E124*IF(G124=0,H124,MIN(H124,H124*(V$3-D124+1)/MAX(1,G124)))*(1+F124)^(V$3-D124)*$E93)</f>
        <v>0</v>
      </c>
      <c r="W33" s="44" t="n">
        <f aca="false">IF(OR(E124=0,W$3&lt;D124),0,E124*IF(G124=0,H124,MIN(H124,H124*(W$3-D124+1)/MAX(1,G124)))*(1+F124)^(W$3-D124)*$E93)</f>
        <v>0</v>
      </c>
      <c r="X33" s="44" t="n">
        <f aca="false">IF(OR(E124=0,X$3&lt;D124),0,E124*IF(G124=0,H124,MIN(H124,H124*(X$3-D124+1)/MAX(1,G124)))*(1+F124)^(X$3-D124)*$E93)</f>
        <v>0</v>
      </c>
      <c r="Y33" s="44" t="n">
        <f aca="false">IF(OR(E124=0,Y$3&lt;D124),0,E124*IF(G124=0,H124,MIN(H124,H124*(Y$3-D124+1)/MAX(1,G124)))*(1+F124)^(Y$3-D124)*$E93)</f>
        <v>0</v>
      </c>
      <c r="Z33" s="44" t="n">
        <f aca="false">IF(OR(E124=0,Z$3&lt;D124),0,E124*IF(G124=0,H124,MIN(H124,H124*(Z$3-D124+1)/MAX(1,G124)))*(1+F124)^(Z$3-D124)*$E93)</f>
        <v>0</v>
      </c>
      <c r="AA33" s="44" t="n">
        <f aca="false">IF(OR(E124=0,AA$3&lt;D124),0,E124*IF(G124=0,H124,MIN(H124,H124*(AA$3-D124+1)/MAX(1,G124)))*(1+F124)^(AA$3-D124)*$E93)</f>
        <v>0</v>
      </c>
      <c r="AB33" s="44" t="n">
        <f aca="false">IF(OR(E124=0,AB$3&lt;D124),0,E124*IF(G124=0,H124,MIN(H124,H124*(AB$3-D124+1)/MAX(1,G124)))*(1+F124)^(AB$3-D124)*$E93)</f>
        <v>0</v>
      </c>
      <c r="AC33" s="44" t="n">
        <f aca="false">IF(OR(E124=0,AC$3&lt;D124),0,E124*IF(G124=0,H124,MIN(H124,H124*(AC$3-D124+1)/MAX(1,G124)))*(1+F124)^(AC$3-D124)*$E93)</f>
        <v>0</v>
      </c>
      <c r="AD33" s="44" t="n">
        <f aca="false">IF(OR(E124=0,AD$3&lt;D124),0,E124*IF(G124=0,H124,MIN(H124,H124*(AD$3-D124+1)/MAX(1,G124)))*(1+F124)^(AD$3-D124)*$E93)</f>
        <v>0</v>
      </c>
      <c r="AE33" s="44" t="n">
        <f aca="false">IF(OR(E124=0,AE$3&lt;D124),0,E124*IF(G124=0,H124,MIN(H124,H124*(AE$3-D124+1)/MAX(1,G124)))*(1+F124)^(AE$3-D124)*$E93)</f>
        <v>0</v>
      </c>
      <c r="AF33" s="44" t="n">
        <f aca="false">IF(OR(E124=0,AF$3&lt;D124),0,E124*IF(G124=0,H124,MIN(H124,H124*(AF$3-D124+1)/MAX(1,G124)))*(1+F124)^(AF$3-D124)*$E93)</f>
        <v>0</v>
      </c>
      <c r="AG33" s="44" t="n">
        <f aca="false">IF(OR(E124=0,AG$3&lt;D124),0,E124*IF(G124=0,H124,MIN(H124,H124*(AG$3-D124+1)/MAX(1,G124)))*(1+F124)^(AG$3-D124)*$E93)</f>
        <v>0</v>
      </c>
      <c r="AH33" s="44" t="n">
        <f aca="false">IF(OR(E124=0,AH$3&lt;D124),0,E124*IF(G124=0,H124,MIN(H124,H124*(AH$3-D124+1)/MAX(1,G124)))*(1+F124)^(AH$3-D124)*$E93)</f>
        <v>0</v>
      </c>
      <c r="AI33" s="44" t="n">
        <f aca="false">IF(OR(E124=0,AI$3&lt;D124),0,E124*IF(G124=0,H124,MIN(H124,H124*(AI$3-D124+1)/MAX(1,G124)))*(1+F124)^(AI$3-D124)*$E93)</f>
        <v>0</v>
      </c>
      <c r="AJ33" s="44" t="n">
        <f aca="false">IF(OR(E124=0,AJ$3&lt;D124),0,E124*IF(G124=0,H124,MIN(H124,H124*(AJ$3-D124+1)/MAX(1,G124)))*(1+F124)^(AJ$3-D124)*$E93)</f>
        <v>0</v>
      </c>
      <c r="AK33" s="44" t="n">
        <f aca="false">IF(OR(E124=0,AK$3&lt;D124),0,E124*IF(G124=0,H124,MIN(H124,H124*(AK$3-D124+1)/MAX(1,G124)))*(1+F124)^(AK$3-D124)*$E93)</f>
        <v>0</v>
      </c>
      <c r="AL33" s="44" t="n">
        <f aca="false">IF(OR(E124=0,AL$3&lt;D124),0,E124*IF(G124=0,H124,MIN(H124,H124*(AL$3-D124+1)/MAX(1,G124)))*(1+F124)^(AL$3-D124)*$E93)</f>
        <v>0</v>
      </c>
      <c r="AM33" s="44" t="n">
        <f aca="false">IF(OR(E124=0,AM$3&lt;D124),0,E124*IF(G124=0,H124,MIN(H124,H124*(AM$3-D124+1)/MAX(1,G124)))*(1+F124)^(AM$3-D124)*$E93)</f>
        <v>0</v>
      </c>
      <c r="AN33" s="44" t="n">
        <f aca="false">IF(OR(E124=0,AN$3&lt;D124),0,E124*IF(G124=0,H124,MIN(H124,H124*(AN$3-D124+1)/MAX(1,G124)))*(1+F124)^(AN$3-D124)*$E93)</f>
        <v>0</v>
      </c>
      <c r="AO33" s="44" t="n">
        <f aca="false">IF(OR(E124=0,AO$3&lt;D124),0,E124*IF(G124=0,H124,MIN(H124,H124*(AO$3-D124+1)/MAX(1,G124)))*(1+F124)^(AO$3-D124)*$E93)</f>
        <v>0</v>
      </c>
      <c r="AP33" s="44" t="n">
        <f aca="false">IF(OR(E124=0,AP$3&lt;D124),0,E124*IF(G124=0,H124,MIN(H124,H124*(AP$3-D124+1)/MAX(1,G124)))*(1+F124)^(AP$3-D124)*$E93)</f>
        <v>0</v>
      </c>
      <c r="AQ33" s="44" t="n">
        <f aca="false">IF(OR(E124=0,AQ$3&lt;D124),0,E124*IF(G124=0,H124,MIN(H124,H124*(AQ$3-D124+1)/MAX(1,G124)))*(1+F124)^(AQ$3-D124)*$E93)</f>
        <v>0</v>
      </c>
      <c r="AR33" s="44" t="n">
        <f aca="false">IF(OR(E124=0,AR$3&lt;D124),0,E124*IF(G124=0,H124,MIN(H124,H124*(AR$3-D124+1)/MAX(1,G124)))*(1+F124)^(AR$3-D124)*$E93)</f>
        <v>0</v>
      </c>
      <c r="AS33" s="44" t="n">
        <f aca="false">IF(OR(E124=0,AS$3&lt;D124),0,E124*IF(G124=0,H124,MIN(H124,H124*(AS$3-D124+1)/MAX(1,G124)))*(1+F124)^(AS$3-D124)*$E93)</f>
        <v>0</v>
      </c>
      <c r="AT33" s="44" t="n">
        <f aca="false">IF(OR(E124=0,AT$3&lt;D124),0,E124*IF(G124=0,H124,MIN(H124,H124*(AT$3-D124+1)/MAX(1,G124)))*(1+F124)^(AT$3-D124)*$E93)</f>
        <v>0</v>
      </c>
      <c r="AU33" s="44" t="n">
        <f aca="false">IF(OR(E124=0,AU$3&lt;D124),0,E124*IF(G124=0,H124,MIN(H124,H124*(AU$3-D124+1)/MAX(1,G124)))*(1+F124)^(AU$3-D124)*$E93)</f>
        <v>0</v>
      </c>
      <c r="AV33" s="44" t="n">
        <f aca="false">IF(OR(E124=0,AV$3&lt;D124),0,E124*IF(G124=0,H124,MIN(H124,H124*(AV$3-D124+1)/MAX(1,G124)))*(1+F124)^(AV$3-D124)*$E93)</f>
        <v>0</v>
      </c>
      <c r="AW33" s="44" t="n">
        <f aca="false">IF(OR(E124=0,AW$3&lt;D124),0,E124*IF(G124=0,H124,MIN(H124,H124*(AW$3-D124+1)/MAX(1,G124)))*(1+F124)^(AW$3-D124)*$E93)</f>
        <v>0</v>
      </c>
      <c r="AX33" s="44" t="n">
        <f aca="false">IF(OR(E124=0,AX$3&lt;D124),0,E124*IF(G124=0,H124,MIN(H124,H124*(AX$3-D124+1)/MAX(1,G124)))*(1+F124)^(AX$3-D124)*$E93)</f>
        <v>0</v>
      </c>
      <c r="AY33" s="44" t="n">
        <f aca="false">IF(OR(E124=0,AY$3&lt;D124),0,E124*IF(G124=0,H124,MIN(H124,H124*(AY$3-D124+1)/MAX(1,G124)))*(1+F124)^(AY$3-D124)*$E93)</f>
        <v>0</v>
      </c>
      <c r="AZ33" s="44" t="n">
        <f aca="false">IF(OR(E124=0,AZ$3&lt;D124),0,E124*IF(G124=0,H124,MIN(H124,H124*(AZ$3-D124+1)/MAX(1,G124)))*(1+F124)^(AZ$3-D124)*$E93)</f>
        <v>0</v>
      </c>
      <c r="BA33" s="44" t="n">
        <f aca="false">IF(OR(E124=0,BA$3&lt;D124),0,E124*IF(G124=0,H124,MIN(H124,H124*(BA$3-D124+1)/MAX(1,G124)))*(1+F124)^(BA$3-D124)*$E93)</f>
        <v>0</v>
      </c>
      <c r="BB33" s="44" t="n">
        <f aca="false">IF(OR(E124=0,BB$3&lt;D124),0,E124*IF(G124=0,H124,MIN(H124,H124*(BB$3-D124+1)/MAX(1,G124)))*(1+F124)^(BB$3-D124)*$E93)</f>
        <v>0</v>
      </c>
    </row>
    <row r="35" customFormat="false" ht="15" hidden="false" customHeight="true" outlineLevel="0" collapsed="false">
      <c r="A35" s="45" t="s">
        <v>252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</row>
    <row r="36" customFormat="false" ht="15" hidden="false" customHeight="true" outlineLevel="0" collapsed="false">
      <c r="B36" s="47" t="s">
        <v>45</v>
      </c>
      <c r="D36" s="44" t="n">
        <f aca="false">SUM(E36:BB36)</f>
        <v>3349176631.65723</v>
      </c>
      <c r="E36" s="44" t="n">
        <f aca="false">SUMPRODUCT(($C$4:$C$33="ZAN 1")*E$4:E$33)</f>
        <v>0</v>
      </c>
      <c r="F36" s="44" t="n">
        <f aca="false">SUMPRODUCT(($C$4:$C$33="ZAN 1")*F$4:F$33)</f>
        <v>0</v>
      </c>
      <c r="G36" s="44" t="n">
        <f aca="false">SUMPRODUCT(($C$4:$C$33="ZAN 1")*G$4:G$33)</f>
        <v>0</v>
      </c>
      <c r="H36" s="44" t="n">
        <f aca="false">SUMPRODUCT(($C$4:$C$33="ZAN 1")*H$4:H$33)</f>
        <v>601866</v>
      </c>
      <c r="I36" s="44" t="n">
        <f aca="false">SUMPRODUCT(($C$4:$C$33="ZAN 1")*I$4:I$33)</f>
        <v>1212759.99</v>
      </c>
      <c r="J36" s="44" t="n">
        <f aca="false">SUMPRODUCT(($C$4:$C$33="ZAN 1")*J$4:J$33)</f>
        <v>21345420.3516824</v>
      </c>
      <c r="K36" s="44" t="n">
        <f aca="false">SUMPRODUCT(($C$4:$C$33="ZAN 1")*K$4:K$33)</f>
        <v>41164492.5972408</v>
      </c>
      <c r="L36" s="44" t="n">
        <f aca="false">SUMPRODUCT(($C$4:$C$33="ZAN 1")*L$4:L$33)</f>
        <v>61279650.2465879</v>
      </c>
      <c r="M36" s="44" t="n">
        <f aca="false">SUMPRODUCT(($C$4:$C$33="ZAN 1")*M$4:M$33)</f>
        <v>65582026.048309</v>
      </c>
      <c r="N36" s="44" t="n">
        <f aca="false">SUMPRODUCT(($C$4:$C$33="ZAN 1")*N$4:N$33)</f>
        <v>66073891.2436714</v>
      </c>
      <c r="O36" s="44" t="n">
        <f aca="false">SUMPRODUCT(($C$4:$C$33="ZAN 1")*O$4:O$33)</f>
        <v>66569445.4279989</v>
      </c>
      <c r="P36" s="44" t="n">
        <f aca="false">SUMPRODUCT(($C$4:$C$33="ZAN 1")*P$4:P$33)</f>
        <v>67068716.2687089</v>
      </c>
      <c r="Q36" s="44" t="n">
        <f aca="false">SUMPRODUCT(($C$4:$C$33="ZAN 1")*Q$4:Q$33)</f>
        <v>67571731.6407242</v>
      </c>
      <c r="R36" s="44" t="n">
        <f aca="false">SUMPRODUCT(($C$4:$C$33="ZAN 1")*R$4:R$33)</f>
        <v>68078519.6280297</v>
      </c>
      <c r="S36" s="44" t="n">
        <f aca="false">SUMPRODUCT(($C$4:$C$33="ZAN 1")*S$4:S$33)</f>
        <v>68589108.5252399</v>
      </c>
      <c r="T36" s="44" t="n">
        <f aca="false">SUMPRODUCT(($C$4:$C$33="ZAN 1")*T$4:T$33)</f>
        <v>69103526.8391792</v>
      </c>
      <c r="U36" s="44" t="n">
        <f aca="false">SUMPRODUCT(($C$4:$C$33="ZAN 1")*U$4:U$33)</f>
        <v>69621803.290473</v>
      </c>
      <c r="V36" s="44" t="n">
        <f aca="false">SUMPRODUCT(($C$4:$C$33="ZAN 1")*V$4:V$33)</f>
        <v>70143966.8151516</v>
      </c>
      <c r="W36" s="44" t="n">
        <f aca="false">SUMPRODUCT(($C$4:$C$33="ZAN 1")*W$4:W$33)</f>
        <v>70670046.5662652</v>
      </c>
      <c r="X36" s="44" t="n">
        <f aca="false">SUMPRODUCT(($C$4:$C$33="ZAN 1")*X$4:X$33)</f>
        <v>71200071.9155122</v>
      </c>
      <c r="Y36" s="44" t="n">
        <f aca="false">SUMPRODUCT(($C$4:$C$33="ZAN 1")*Y$4:Y$33)</f>
        <v>71734072.4548786</v>
      </c>
      <c r="Z36" s="44" t="n">
        <f aca="false">SUMPRODUCT(($C$4:$C$33="ZAN 1")*Z$4:Z$33)</f>
        <v>72272077.9982902</v>
      </c>
      <c r="AA36" s="44" t="n">
        <f aca="false">SUMPRODUCT(($C$4:$C$33="ZAN 1")*AA$4:AA$33)</f>
        <v>72814118.5832773</v>
      </c>
      <c r="AB36" s="44" t="n">
        <f aca="false">SUMPRODUCT(($C$4:$C$33="ZAN 1")*AB$4:AB$33)</f>
        <v>73360224.4726519</v>
      </c>
      <c r="AC36" s="44" t="n">
        <f aca="false">SUMPRODUCT(($C$4:$C$33="ZAN 1")*AC$4:AC$33)</f>
        <v>73910426.1561968</v>
      </c>
      <c r="AD36" s="44" t="n">
        <f aca="false">SUMPRODUCT(($C$4:$C$33="ZAN 1")*AD$4:AD$33)</f>
        <v>74464754.3523683</v>
      </c>
      <c r="AE36" s="44" t="n">
        <f aca="false">SUMPRODUCT(($C$4:$C$33="ZAN 1")*AE$4:AE$33)</f>
        <v>75023240.0100111</v>
      </c>
      <c r="AF36" s="44" t="n">
        <f aca="false">SUMPRODUCT(($C$4:$C$33="ZAN 1")*AF$4:AF$33)</f>
        <v>75585914.3100862</v>
      </c>
      <c r="AG36" s="44" t="n">
        <f aca="false">SUMPRODUCT(($C$4:$C$33="ZAN 1")*AG$4:AG$33)</f>
        <v>76152808.6674118</v>
      </c>
      <c r="AH36" s="44" t="n">
        <f aca="false">SUMPRODUCT(($C$4:$C$33="ZAN 1")*AH$4:AH$33)</f>
        <v>76723954.7324174</v>
      </c>
      <c r="AI36" s="44" t="n">
        <f aca="false">SUMPRODUCT(($C$4:$C$33="ZAN 1")*AI$4:AI$33)</f>
        <v>77299384.3929105</v>
      </c>
      <c r="AJ36" s="44" t="n">
        <f aca="false">SUMPRODUCT(($C$4:$C$33="ZAN 1")*AJ$4:AJ$33)</f>
        <v>77879129.7758574</v>
      </c>
      <c r="AK36" s="44" t="n">
        <f aca="false">SUMPRODUCT(($C$4:$C$33="ZAN 1")*AK$4:AK$33)</f>
        <v>78463223.2491763</v>
      </c>
      <c r="AL36" s="44" t="n">
        <f aca="false">SUMPRODUCT(($C$4:$C$33="ZAN 1")*AL$4:AL$33)</f>
        <v>79051697.4235451</v>
      </c>
      <c r="AM36" s="44" t="n">
        <f aca="false">SUMPRODUCT(($C$4:$C$33="ZAN 1")*AM$4:AM$33)</f>
        <v>79644585.1542217</v>
      </c>
      <c r="AN36" s="44" t="n">
        <f aca="false">SUMPRODUCT(($C$4:$C$33="ZAN 1")*AN$4:AN$33)</f>
        <v>80241919.5428784</v>
      </c>
      <c r="AO36" s="44" t="n">
        <f aca="false">SUMPRODUCT(($C$4:$C$33="ZAN 1")*AO$4:AO$33)</f>
        <v>80843733.93945</v>
      </c>
      <c r="AP36" s="44" t="n">
        <f aca="false">SUMPRODUCT(($C$4:$C$33="ZAN 1")*AP$4:AP$33)</f>
        <v>81450061.9439959</v>
      </c>
      <c r="AQ36" s="44" t="n">
        <f aca="false">SUMPRODUCT(($C$4:$C$33="ZAN 1")*AQ$4:AQ$33)</f>
        <v>82060937.4085758</v>
      </c>
      <c r="AR36" s="44" t="n">
        <f aca="false">SUMPRODUCT(($C$4:$C$33="ZAN 1")*AR$4:AR$33)</f>
        <v>82676394.4391402</v>
      </c>
      <c r="AS36" s="44" t="n">
        <f aca="false">SUMPRODUCT(($C$4:$C$33="ZAN 1")*AS$4:AS$33)</f>
        <v>83296467.3974337</v>
      </c>
      <c r="AT36" s="44" t="n">
        <f aca="false">SUMPRODUCT(($C$4:$C$33="ZAN 1")*AT$4:AT$33)</f>
        <v>83921190.9029145</v>
      </c>
      <c r="AU36" s="44" t="n">
        <f aca="false">SUMPRODUCT(($C$4:$C$33="ZAN 1")*AU$4:AU$33)</f>
        <v>84550599.8346863</v>
      </c>
      <c r="AV36" s="44" t="n">
        <f aca="false">SUMPRODUCT(($C$4:$C$33="ZAN 1")*AV$4:AV$33)</f>
        <v>85184729.3334465</v>
      </c>
      <c r="AW36" s="44" t="n">
        <f aca="false">SUMPRODUCT(($C$4:$C$33="ZAN 1")*AW$4:AW$33)</f>
        <v>85823614.8034473</v>
      </c>
      <c r="AX36" s="44" t="n">
        <f aca="false">SUMPRODUCT(($C$4:$C$33="ZAN 1")*AX$4:AX$33)</f>
        <v>86467291.9144732</v>
      </c>
      <c r="AY36" s="44" t="n">
        <f aca="false">SUMPRODUCT(($C$4:$C$33="ZAN 1")*AY$4:AY$33)</f>
        <v>87115796.6038318</v>
      </c>
      <c r="AZ36" s="44" t="n">
        <f aca="false">SUMPRODUCT(($C$4:$C$33="ZAN 1")*AZ$4:AZ$33)</f>
        <v>87769165.0783605</v>
      </c>
      <c r="BA36" s="44" t="n">
        <f aca="false">SUMPRODUCT(($C$4:$C$33="ZAN 1")*BA$4:BA$33)</f>
        <v>88427433.8164482</v>
      </c>
      <c r="BB36" s="44" t="n">
        <f aca="false">SUMPRODUCT(($C$4:$C$33="ZAN 1")*BB$4:BB$33)</f>
        <v>89090639.5700716</v>
      </c>
    </row>
    <row r="37" customFormat="false" ht="15" hidden="false" customHeight="true" outlineLevel="0" collapsed="false">
      <c r="B37" s="47" t="s">
        <v>46</v>
      </c>
      <c r="D37" s="44" t="n">
        <f aca="false">SUM(E37:BB37)</f>
        <v>4387775166.38575</v>
      </c>
      <c r="E37" s="44" t="n">
        <f aca="false">SUMPRODUCT(($C$4:$C$33="ZAN 2")*E$4:E$33)</f>
        <v>0</v>
      </c>
      <c r="F37" s="44" t="n">
        <f aca="false">SUMPRODUCT(($C$4:$C$33="ZAN 2")*F$4:F$33)</f>
        <v>0</v>
      </c>
      <c r="G37" s="44" t="n">
        <f aca="false">SUMPRODUCT(($C$4:$C$33="ZAN 2")*G$4:G$33)</f>
        <v>0</v>
      </c>
      <c r="H37" s="44" t="n">
        <f aca="false">SUMPRODUCT(($C$4:$C$33="ZAN 2")*H$4:H$33)</f>
        <v>0</v>
      </c>
      <c r="I37" s="44" t="n">
        <f aca="false">SUMPRODUCT(($C$4:$C$33="ZAN 2")*I$4:I$33)</f>
        <v>0</v>
      </c>
      <c r="J37" s="44" t="n">
        <f aca="false">SUMPRODUCT(($C$4:$C$33="ZAN 2")*J$4:J$33)</f>
        <v>10496250</v>
      </c>
      <c r="K37" s="44" t="n">
        <f aca="false">SUMPRODUCT(($C$4:$C$33="ZAN 2")*K$4:K$33)</f>
        <v>34783830</v>
      </c>
      <c r="L37" s="44" t="n">
        <f aca="false">SUMPRODUCT(($C$4:$C$33="ZAN 2")*L$4:L$33)</f>
        <v>58518611.5209688</v>
      </c>
      <c r="M37" s="44" t="n">
        <f aca="false">SUMPRODUCT(($C$4:$C$33="ZAN 2")*M$4:M$33)</f>
        <v>77682569.7899327</v>
      </c>
      <c r="N37" s="44" t="n">
        <f aca="false">SUMPRODUCT(($C$4:$C$33="ZAN 2")*N$4:N$33)</f>
        <v>83187740.6003075</v>
      </c>
      <c r="O37" s="44" t="n">
        <f aca="false">SUMPRODUCT(($C$4:$C$33="ZAN 2")*O$4:O$33)</f>
        <v>88771119.3282873</v>
      </c>
      <c r="P37" s="44" t="n">
        <f aca="false">SUMPRODUCT(($C$4:$C$33="ZAN 2")*P$4:P$33)</f>
        <v>89436902.7232495</v>
      </c>
      <c r="Q37" s="44" t="n">
        <f aca="false">SUMPRODUCT(($C$4:$C$33="ZAN 2")*Q$4:Q$33)</f>
        <v>90107679.4936739</v>
      </c>
      <c r="R37" s="44" t="n">
        <f aca="false">SUMPRODUCT(($C$4:$C$33="ZAN 2")*R$4:R$33)</f>
        <v>90783487.0898764</v>
      </c>
      <c r="S37" s="44" t="n">
        <f aca="false">SUMPRODUCT(($C$4:$C$33="ZAN 2")*S$4:S$33)</f>
        <v>91464363.2430505</v>
      </c>
      <c r="T37" s="44" t="n">
        <f aca="false">SUMPRODUCT(($C$4:$C$33="ZAN 2")*T$4:T$33)</f>
        <v>92150345.9673734</v>
      </c>
      <c r="U37" s="44" t="n">
        <f aca="false">SUMPRODUCT(($C$4:$C$33="ZAN 2")*U$4:U$33)</f>
        <v>92841473.5621287</v>
      </c>
      <c r="V37" s="44" t="n">
        <f aca="false">SUMPRODUCT(($C$4:$C$33="ZAN 2")*V$4:V$33)</f>
        <v>93537784.6138447</v>
      </c>
      <c r="W37" s="44" t="n">
        <f aca="false">SUMPRODUCT(($C$4:$C$33="ZAN 2")*W$4:W$33)</f>
        <v>94239317.9984485</v>
      </c>
      <c r="X37" s="44" t="n">
        <f aca="false">SUMPRODUCT(($C$4:$C$33="ZAN 2")*X$4:X$33)</f>
        <v>94946112.8834369</v>
      </c>
      <c r="Y37" s="44" t="n">
        <f aca="false">SUMPRODUCT(($C$4:$C$33="ZAN 2")*Y$4:Y$33)</f>
        <v>95658208.7300627</v>
      </c>
      <c r="Z37" s="44" t="n">
        <f aca="false">SUMPRODUCT(($C$4:$C$33="ZAN 2")*Z$4:Z$33)</f>
        <v>96375645.2955381</v>
      </c>
      <c r="AA37" s="44" t="n">
        <f aca="false">SUMPRODUCT(($C$4:$C$33="ZAN 2")*AA$4:AA$33)</f>
        <v>97098462.6352547</v>
      </c>
      <c r="AB37" s="44" t="n">
        <f aca="false">SUMPRODUCT(($C$4:$C$33="ZAN 2")*AB$4:AB$33)</f>
        <v>97826701.1050191</v>
      </c>
      <c r="AC37" s="44" t="n">
        <f aca="false">SUMPRODUCT(($C$4:$C$33="ZAN 2")*AC$4:AC$33)</f>
        <v>98560401.3633068</v>
      </c>
      <c r="AD37" s="44" t="n">
        <f aca="false">SUMPRODUCT(($C$4:$C$33="ZAN 2")*AD$4:AD$33)</f>
        <v>99299604.3735316</v>
      </c>
      <c r="AE37" s="44" t="n">
        <f aca="false">SUMPRODUCT(($C$4:$C$33="ZAN 2")*AE$4:AE$33)</f>
        <v>100044351.406333</v>
      </c>
      <c r="AF37" s="44" t="n">
        <f aca="false">SUMPRODUCT(($C$4:$C$33="ZAN 2")*AF$4:AF$33)</f>
        <v>100794684.041881</v>
      </c>
      <c r="AG37" s="44" t="n">
        <f aca="false">SUMPRODUCT(($C$4:$C$33="ZAN 2")*AG$4:AG$33)</f>
        <v>101550644.172195</v>
      </c>
      <c r="AH37" s="44" t="n">
        <f aca="false">SUMPRODUCT(($C$4:$C$33="ZAN 2")*AH$4:AH$33)</f>
        <v>102312274.003486</v>
      </c>
      <c r="AI37" s="44" t="n">
        <f aca="false">SUMPRODUCT(($C$4:$C$33="ZAN 2")*AI$4:AI$33)</f>
        <v>103079616.058512</v>
      </c>
      <c r="AJ37" s="44" t="n">
        <f aca="false">SUMPRODUCT(($C$4:$C$33="ZAN 2")*AJ$4:AJ$33)</f>
        <v>103852713.178951</v>
      </c>
      <c r="AK37" s="44" t="n">
        <f aca="false">SUMPRODUCT(($C$4:$C$33="ZAN 2")*AK$4:AK$33)</f>
        <v>104631608.527793</v>
      </c>
      <c r="AL37" s="44" t="n">
        <f aca="false">SUMPRODUCT(($C$4:$C$33="ZAN 2")*AL$4:AL$33)</f>
        <v>105416345.591752</v>
      </c>
      <c r="AM37" s="44" t="n">
        <f aca="false">SUMPRODUCT(($C$4:$C$33="ZAN 2")*AM$4:AM$33)</f>
        <v>106206968.18369</v>
      </c>
      <c r="AN37" s="44" t="n">
        <f aca="false">SUMPRODUCT(($C$4:$C$33="ZAN 2")*AN$4:AN$33)</f>
        <v>107003520.445068</v>
      </c>
      <c r="AO37" s="44" t="n">
        <f aca="false">SUMPRODUCT(($C$4:$C$33="ZAN 2")*AO$4:AO$33)</f>
        <v>107806046.848406</v>
      </c>
      <c r="AP37" s="44" t="n">
        <f aca="false">SUMPRODUCT(($C$4:$C$33="ZAN 2")*AP$4:AP$33)</f>
        <v>108614592.199769</v>
      </c>
      <c r="AQ37" s="44" t="n">
        <f aca="false">SUMPRODUCT(($C$4:$C$33="ZAN 2")*AQ$4:AQ$33)</f>
        <v>109429201.641267</v>
      </c>
      <c r="AR37" s="44" t="n">
        <f aca="false">SUMPRODUCT(($C$4:$C$33="ZAN 2")*AR$4:AR$33)</f>
        <v>110249920.653576</v>
      </c>
      <c r="AS37" s="44" t="n">
        <f aca="false">SUMPRODUCT(($C$4:$C$33="ZAN 2")*AS$4:AS$33)</f>
        <v>111076795.058478</v>
      </c>
      <c r="AT37" s="44" t="n">
        <f aca="false">SUMPRODUCT(($C$4:$C$33="ZAN 2")*AT$4:AT$33)</f>
        <v>111909871.021417</v>
      </c>
      <c r="AU37" s="44" t="n">
        <f aca="false">SUMPRODUCT(($C$4:$C$33="ZAN 2")*AU$4:AU$33)</f>
        <v>112749195.054077</v>
      </c>
      <c r="AV37" s="44" t="n">
        <f aca="false">SUMPRODUCT(($C$4:$C$33="ZAN 2")*AV$4:AV$33)</f>
        <v>113594814.016983</v>
      </c>
      <c r="AW37" s="44" t="n">
        <f aca="false">SUMPRODUCT(($C$4:$C$33="ZAN 2")*AW$4:AW$33)</f>
        <v>114446775.12211</v>
      </c>
      <c r="AX37" s="44" t="n">
        <f aca="false">SUMPRODUCT(($C$4:$C$33="ZAN 2")*AX$4:AX$33)</f>
        <v>115305125.935526</v>
      </c>
      <c r="AY37" s="44" t="n">
        <f aca="false">SUMPRODUCT(($C$4:$C$33="ZAN 2")*AY$4:AY$33)</f>
        <v>116169914.380043</v>
      </c>
      <c r="AZ37" s="44" t="n">
        <f aca="false">SUMPRODUCT(($C$4:$C$33="ZAN 2")*AZ$4:AZ$33)</f>
        <v>117041188.737893</v>
      </c>
      <c r="BA37" s="44" t="n">
        <f aca="false">SUMPRODUCT(($C$4:$C$33="ZAN 2")*BA$4:BA$33)</f>
        <v>117918997.653427</v>
      </c>
      <c r="BB37" s="44" t="n">
        <f aca="false">SUMPRODUCT(($C$4:$C$33="ZAN 2")*BB$4:BB$33)</f>
        <v>118803390.135828</v>
      </c>
    </row>
    <row r="38" customFormat="false" ht="15" hidden="false" customHeight="true" outlineLevel="0" collapsed="false">
      <c r="B38" s="47" t="s">
        <v>47</v>
      </c>
      <c r="D38" s="44" t="n">
        <f aca="false">SUM(E38:BB38)</f>
        <v>4324985432.07914</v>
      </c>
      <c r="E38" s="44" t="n">
        <f aca="false">SUMPRODUCT(($C$4:$C$33="ZAN 3")*E$4:E$33)</f>
        <v>0</v>
      </c>
      <c r="F38" s="44" t="n">
        <f aca="false">SUMPRODUCT(($C$4:$C$33="ZAN 3")*F$4:F$33)</f>
        <v>0</v>
      </c>
      <c r="G38" s="44" t="n">
        <f aca="false">SUMPRODUCT(($C$4:$C$33="ZAN 3")*G$4:G$33)</f>
        <v>0</v>
      </c>
      <c r="H38" s="44" t="n">
        <f aca="false">SUMPRODUCT(($C$4:$C$33="ZAN 3")*H$4:H$33)</f>
        <v>0</v>
      </c>
      <c r="I38" s="44" t="n">
        <f aca="false">SUMPRODUCT(($C$4:$C$33="ZAN 3")*I$4:I$33)</f>
        <v>0</v>
      </c>
      <c r="J38" s="44" t="n">
        <f aca="false">SUMPRODUCT(($C$4:$C$33="ZAN 3")*J$4:J$33)</f>
        <v>2496300</v>
      </c>
      <c r="K38" s="44" t="n">
        <f aca="false">SUMPRODUCT(($C$4:$C$33="ZAN 3")*K$4:K$33)</f>
        <v>9261728.25</v>
      </c>
      <c r="L38" s="44" t="n">
        <f aca="false">SUMPRODUCT(($C$4:$C$33="ZAN 3")*L$4:L$33)</f>
        <v>39382865.506875</v>
      </c>
      <c r="M38" s="44" t="n">
        <f aca="false">SUMPRODUCT(($C$4:$C$33="ZAN 3")*M$4:M$33)</f>
        <v>63997176.4871766</v>
      </c>
      <c r="N38" s="44" t="n">
        <f aca="false">SUMPRODUCT(($C$4:$C$33="ZAN 3")*N$4:N$33)</f>
        <v>88081646.8890304</v>
      </c>
      <c r="O38" s="44" t="n">
        <f aca="false">SUMPRODUCT(($C$4:$C$33="ZAN 3")*O$4:O$33)</f>
        <v>88742259.2406981</v>
      </c>
      <c r="P38" s="44" t="n">
        <f aca="false">SUMPRODUCT(($C$4:$C$33="ZAN 3")*P$4:P$33)</f>
        <v>89407826.1850034</v>
      </c>
      <c r="Q38" s="44" t="n">
        <f aca="false">SUMPRODUCT(($C$4:$C$33="ZAN 3")*Q$4:Q$33)</f>
        <v>90078384.8813909</v>
      </c>
      <c r="R38" s="44" t="n">
        <f aca="false">SUMPRODUCT(($C$4:$C$33="ZAN 3")*R$4:R$33)</f>
        <v>90753972.7680013</v>
      </c>
      <c r="S38" s="44" t="n">
        <f aca="false">SUMPRODUCT(($C$4:$C$33="ZAN 3")*S$4:S$33)</f>
        <v>91434627.5637614</v>
      </c>
      <c r="T38" s="44" t="n">
        <f aca="false">SUMPRODUCT(($C$4:$C$33="ZAN 3")*T$4:T$33)</f>
        <v>92120387.2704896</v>
      </c>
      <c r="U38" s="44" t="n">
        <f aca="false">SUMPRODUCT(($C$4:$C$33="ZAN 3")*U$4:U$33)</f>
        <v>92811290.1750182</v>
      </c>
      <c r="V38" s="44" t="n">
        <f aca="false">SUMPRODUCT(($C$4:$C$33="ZAN 3")*V$4:V$33)</f>
        <v>93507374.8513309</v>
      </c>
      <c r="W38" s="44" t="n">
        <f aca="false">SUMPRODUCT(($C$4:$C$33="ZAN 3")*W$4:W$33)</f>
        <v>94208680.1627159</v>
      </c>
      <c r="X38" s="44" t="n">
        <f aca="false">SUMPRODUCT(($C$4:$C$33="ZAN 3")*X$4:X$33)</f>
        <v>94915245.2639363</v>
      </c>
      <c r="Y38" s="44" t="n">
        <f aca="false">SUMPRODUCT(($C$4:$C$33="ZAN 3")*Y$4:Y$33)</f>
        <v>95627109.6034158</v>
      </c>
      <c r="Z38" s="44" t="n">
        <f aca="false">SUMPRODUCT(($C$4:$C$33="ZAN 3")*Z$4:Z$33)</f>
        <v>96344312.9254414</v>
      </c>
      <c r="AA38" s="44" t="n">
        <f aca="false">SUMPRODUCT(($C$4:$C$33="ZAN 3")*AA$4:AA$33)</f>
        <v>97066895.2723822</v>
      </c>
      <c r="AB38" s="44" t="n">
        <f aca="false">SUMPRODUCT(($C$4:$C$33="ZAN 3")*AB$4:AB$33)</f>
        <v>97794896.9869251</v>
      </c>
      <c r="AC38" s="44" t="n">
        <f aca="false">SUMPRODUCT(($C$4:$C$33="ZAN 3")*AC$4:AC$33)</f>
        <v>98528358.714327</v>
      </c>
      <c r="AD38" s="44" t="n">
        <f aca="false">SUMPRODUCT(($C$4:$C$33="ZAN 3")*AD$4:AD$33)</f>
        <v>99267321.4046845</v>
      </c>
      <c r="AE38" s="44" t="n">
        <f aca="false">SUMPRODUCT(($C$4:$C$33="ZAN 3")*AE$4:AE$33)</f>
        <v>100011826.31522</v>
      </c>
      <c r="AF38" s="44" t="n">
        <f aca="false">SUMPRODUCT(($C$4:$C$33="ZAN 3")*AF$4:AF$33)</f>
        <v>100761915.012584</v>
      </c>
      <c r="AG38" s="44" t="n">
        <f aca="false">SUMPRODUCT(($C$4:$C$33="ZAN 3")*AG$4:AG$33)</f>
        <v>101517629.375178</v>
      </c>
      <c r="AH38" s="44" t="n">
        <f aca="false">SUMPRODUCT(($C$4:$C$33="ZAN 3")*AH$4:AH$33)</f>
        <v>102279011.595492</v>
      </c>
      <c r="AI38" s="44" t="n">
        <f aca="false">SUMPRODUCT(($C$4:$C$33="ZAN 3")*AI$4:AI$33)</f>
        <v>103046104.182458</v>
      </c>
      <c r="AJ38" s="44" t="n">
        <f aca="false">SUMPRODUCT(($C$4:$C$33="ZAN 3")*AJ$4:AJ$33)</f>
        <v>103818949.963827</v>
      </c>
      <c r="AK38" s="44" t="n">
        <f aca="false">SUMPRODUCT(($C$4:$C$33="ZAN 3")*AK$4:AK$33)</f>
        <v>104597592.088555</v>
      </c>
      <c r="AL38" s="44" t="n">
        <f aca="false">SUMPRODUCT(($C$4:$C$33="ZAN 3")*AL$4:AL$33)</f>
        <v>105382074.02922</v>
      </c>
      <c r="AM38" s="44" t="n">
        <f aca="false">SUMPRODUCT(($C$4:$C$33="ZAN 3")*AM$4:AM$33)</f>
        <v>106172439.584439</v>
      </c>
      <c r="AN38" s="44" t="n">
        <f aca="false">SUMPRODUCT(($C$4:$C$33="ZAN 3")*AN$4:AN$33)</f>
        <v>106968732.881322</v>
      </c>
      <c r="AO38" s="44" t="n">
        <f aca="false">SUMPRODUCT(($C$4:$C$33="ZAN 3")*AO$4:AO$33)</f>
        <v>107770998.377932</v>
      </c>
      <c r="AP38" s="44" t="n">
        <f aca="false">SUMPRODUCT(($C$4:$C$33="ZAN 3")*AP$4:AP$33)</f>
        <v>108579280.865766</v>
      </c>
      <c r="AQ38" s="44" t="n">
        <f aca="false">SUMPRODUCT(($C$4:$C$33="ZAN 3")*AQ$4:AQ$33)</f>
        <v>109393625.47226</v>
      </c>
      <c r="AR38" s="44" t="n">
        <f aca="false">SUMPRODUCT(($C$4:$C$33="ZAN 3")*AR$4:AR$33)</f>
        <v>110214077.663302</v>
      </c>
      <c r="AS38" s="44" t="n">
        <f aca="false">SUMPRODUCT(($C$4:$C$33="ZAN 3")*AS$4:AS$33)</f>
        <v>111040683.245776</v>
      </c>
      <c r="AT38" s="44" t="n">
        <f aca="false">SUMPRODUCT(($C$4:$C$33="ZAN 3")*AT$4:AT$33)</f>
        <v>111873488.37012</v>
      </c>
      <c r="AU38" s="44" t="n">
        <f aca="false">SUMPRODUCT(($C$4:$C$33="ZAN 3")*AU$4:AU$33)</f>
        <v>112712539.532896</v>
      </c>
      <c r="AV38" s="44" t="n">
        <f aca="false">SUMPRODUCT(($C$4:$C$33="ZAN 3")*AV$4:AV$33)</f>
        <v>113557883.579392</v>
      </c>
      <c r="AW38" s="44" t="n">
        <f aca="false">SUMPRODUCT(($C$4:$C$33="ZAN 3")*AW$4:AW$33)</f>
        <v>114409567.706238</v>
      </c>
      <c r="AX38" s="44" t="n">
        <f aca="false">SUMPRODUCT(($C$4:$C$33="ZAN 3")*AX$4:AX$33)</f>
        <v>115267639.464035</v>
      </c>
      <c r="AY38" s="44" t="n">
        <f aca="false">SUMPRODUCT(($C$4:$C$33="ZAN 3")*AY$4:AY$33)</f>
        <v>116132146.760015</v>
      </c>
      <c r="AZ38" s="44" t="n">
        <f aca="false">SUMPRODUCT(($C$4:$C$33="ZAN 3")*AZ$4:AZ$33)</f>
        <v>117003137.860715</v>
      </c>
      <c r="BA38" s="44" t="n">
        <f aca="false">SUMPRODUCT(($C$4:$C$33="ZAN 3")*BA$4:BA$33)</f>
        <v>117880661.39467</v>
      </c>
      <c r="BB38" s="44" t="n">
        <f aca="false">SUMPRODUCT(($C$4:$C$33="ZAN 3")*BB$4:BB$33)</f>
        <v>118764766.35513</v>
      </c>
    </row>
    <row r="39" customFormat="false" ht="15" hidden="false" customHeight="true" outlineLevel="0" collapsed="false">
      <c r="B39" s="47" t="s">
        <v>48</v>
      </c>
      <c r="D39" s="44" t="n">
        <f aca="false">SUM(E39:BB39)</f>
        <v>0</v>
      </c>
      <c r="E39" s="44" t="n">
        <f aca="false">SUMPRODUCT(($C$4:$C$33="ZAN 4")*E$4:E$33)</f>
        <v>0</v>
      </c>
      <c r="F39" s="44" t="n">
        <f aca="false">SUMPRODUCT(($C$4:$C$33="ZAN 4")*F$4:F$33)</f>
        <v>0</v>
      </c>
      <c r="G39" s="44" t="n">
        <f aca="false">SUMPRODUCT(($C$4:$C$33="ZAN 4")*G$4:G$33)</f>
        <v>0</v>
      </c>
      <c r="H39" s="44" t="n">
        <f aca="false">SUMPRODUCT(($C$4:$C$33="ZAN 4")*H$4:H$33)</f>
        <v>0</v>
      </c>
      <c r="I39" s="44" t="n">
        <f aca="false">SUMPRODUCT(($C$4:$C$33="ZAN 4")*I$4:I$33)</f>
        <v>0</v>
      </c>
      <c r="J39" s="44" t="n">
        <f aca="false">SUMPRODUCT(($C$4:$C$33="ZAN 4")*J$4:J$33)</f>
        <v>0</v>
      </c>
      <c r="K39" s="44" t="n">
        <f aca="false">SUMPRODUCT(($C$4:$C$33="ZAN 4")*K$4:K$33)</f>
        <v>0</v>
      </c>
      <c r="L39" s="44" t="n">
        <f aca="false">SUMPRODUCT(($C$4:$C$33="ZAN 4")*L$4:L$33)</f>
        <v>0</v>
      </c>
      <c r="M39" s="44" t="n">
        <f aca="false">SUMPRODUCT(($C$4:$C$33="ZAN 4")*M$4:M$33)</f>
        <v>0</v>
      </c>
      <c r="N39" s="44" t="n">
        <f aca="false">SUMPRODUCT(($C$4:$C$33="ZAN 4")*N$4:N$33)</f>
        <v>0</v>
      </c>
      <c r="O39" s="44" t="n">
        <f aca="false">SUMPRODUCT(($C$4:$C$33="ZAN 4")*O$4:O$33)</f>
        <v>0</v>
      </c>
      <c r="P39" s="44" t="n">
        <f aca="false">SUMPRODUCT(($C$4:$C$33="ZAN 4")*P$4:P$33)</f>
        <v>0</v>
      </c>
      <c r="Q39" s="44" t="n">
        <f aca="false">SUMPRODUCT(($C$4:$C$33="ZAN 4")*Q$4:Q$33)</f>
        <v>0</v>
      </c>
      <c r="R39" s="44" t="n">
        <f aca="false">SUMPRODUCT(($C$4:$C$33="ZAN 4")*R$4:R$33)</f>
        <v>0</v>
      </c>
      <c r="S39" s="44" t="n">
        <f aca="false">SUMPRODUCT(($C$4:$C$33="ZAN 4")*S$4:S$33)</f>
        <v>0</v>
      </c>
      <c r="T39" s="44" t="n">
        <f aca="false">SUMPRODUCT(($C$4:$C$33="ZAN 4")*T$4:T$33)</f>
        <v>0</v>
      </c>
      <c r="U39" s="44" t="n">
        <f aca="false">SUMPRODUCT(($C$4:$C$33="ZAN 4")*U$4:U$33)</f>
        <v>0</v>
      </c>
      <c r="V39" s="44" t="n">
        <f aca="false">SUMPRODUCT(($C$4:$C$33="ZAN 4")*V$4:V$33)</f>
        <v>0</v>
      </c>
      <c r="W39" s="44" t="n">
        <f aca="false">SUMPRODUCT(($C$4:$C$33="ZAN 4")*W$4:W$33)</f>
        <v>0</v>
      </c>
      <c r="X39" s="44" t="n">
        <f aca="false">SUMPRODUCT(($C$4:$C$33="ZAN 4")*X$4:X$33)</f>
        <v>0</v>
      </c>
      <c r="Y39" s="44" t="n">
        <f aca="false">SUMPRODUCT(($C$4:$C$33="ZAN 4")*Y$4:Y$33)</f>
        <v>0</v>
      </c>
      <c r="Z39" s="44" t="n">
        <f aca="false">SUMPRODUCT(($C$4:$C$33="ZAN 4")*Z$4:Z$33)</f>
        <v>0</v>
      </c>
      <c r="AA39" s="44" t="n">
        <f aca="false">SUMPRODUCT(($C$4:$C$33="ZAN 4")*AA$4:AA$33)</f>
        <v>0</v>
      </c>
      <c r="AB39" s="44" t="n">
        <f aca="false">SUMPRODUCT(($C$4:$C$33="ZAN 4")*AB$4:AB$33)</f>
        <v>0</v>
      </c>
      <c r="AC39" s="44" t="n">
        <f aca="false">SUMPRODUCT(($C$4:$C$33="ZAN 4")*AC$4:AC$33)</f>
        <v>0</v>
      </c>
      <c r="AD39" s="44" t="n">
        <f aca="false">SUMPRODUCT(($C$4:$C$33="ZAN 4")*AD$4:AD$33)</f>
        <v>0</v>
      </c>
      <c r="AE39" s="44" t="n">
        <f aca="false">SUMPRODUCT(($C$4:$C$33="ZAN 4")*AE$4:AE$33)</f>
        <v>0</v>
      </c>
      <c r="AF39" s="44" t="n">
        <f aca="false">SUMPRODUCT(($C$4:$C$33="ZAN 4")*AF$4:AF$33)</f>
        <v>0</v>
      </c>
      <c r="AG39" s="44" t="n">
        <f aca="false">SUMPRODUCT(($C$4:$C$33="ZAN 4")*AG$4:AG$33)</f>
        <v>0</v>
      </c>
      <c r="AH39" s="44" t="n">
        <f aca="false">SUMPRODUCT(($C$4:$C$33="ZAN 4")*AH$4:AH$33)</f>
        <v>0</v>
      </c>
      <c r="AI39" s="44" t="n">
        <f aca="false">SUMPRODUCT(($C$4:$C$33="ZAN 4")*AI$4:AI$33)</f>
        <v>0</v>
      </c>
      <c r="AJ39" s="44" t="n">
        <f aca="false">SUMPRODUCT(($C$4:$C$33="ZAN 4")*AJ$4:AJ$33)</f>
        <v>0</v>
      </c>
      <c r="AK39" s="44" t="n">
        <f aca="false">SUMPRODUCT(($C$4:$C$33="ZAN 4")*AK$4:AK$33)</f>
        <v>0</v>
      </c>
      <c r="AL39" s="44" t="n">
        <f aca="false">SUMPRODUCT(($C$4:$C$33="ZAN 4")*AL$4:AL$33)</f>
        <v>0</v>
      </c>
      <c r="AM39" s="44" t="n">
        <f aca="false">SUMPRODUCT(($C$4:$C$33="ZAN 4")*AM$4:AM$33)</f>
        <v>0</v>
      </c>
      <c r="AN39" s="44" t="n">
        <f aca="false">SUMPRODUCT(($C$4:$C$33="ZAN 4")*AN$4:AN$33)</f>
        <v>0</v>
      </c>
      <c r="AO39" s="44" t="n">
        <f aca="false">SUMPRODUCT(($C$4:$C$33="ZAN 4")*AO$4:AO$33)</f>
        <v>0</v>
      </c>
      <c r="AP39" s="44" t="n">
        <f aca="false">SUMPRODUCT(($C$4:$C$33="ZAN 4")*AP$4:AP$33)</f>
        <v>0</v>
      </c>
      <c r="AQ39" s="44" t="n">
        <f aca="false">SUMPRODUCT(($C$4:$C$33="ZAN 4")*AQ$4:AQ$33)</f>
        <v>0</v>
      </c>
      <c r="AR39" s="44" t="n">
        <f aca="false">SUMPRODUCT(($C$4:$C$33="ZAN 4")*AR$4:AR$33)</f>
        <v>0</v>
      </c>
      <c r="AS39" s="44" t="n">
        <f aca="false">SUMPRODUCT(($C$4:$C$33="ZAN 4")*AS$4:AS$33)</f>
        <v>0</v>
      </c>
      <c r="AT39" s="44" t="n">
        <f aca="false">SUMPRODUCT(($C$4:$C$33="ZAN 4")*AT$4:AT$33)</f>
        <v>0</v>
      </c>
      <c r="AU39" s="44" t="n">
        <f aca="false">SUMPRODUCT(($C$4:$C$33="ZAN 4")*AU$4:AU$33)</f>
        <v>0</v>
      </c>
      <c r="AV39" s="44" t="n">
        <f aca="false">SUMPRODUCT(($C$4:$C$33="ZAN 4")*AV$4:AV$33)</f>
        <v>0</v>
      </c>
      <c r="AW39" s="44" t="n">
        <f aca="false">SUMPRODUCT(($C$4:$C$33="ZAN 4")*AW$4:AW$33)</f>
        <v>0</v>
      </c>
      <c r="AX39" s="44" t="n">
        <f aca="false">SUMPRODUCT(($C$4:$C$33="ZAN 4")*AX$4:AX$33)</f>
        <v>0</v>
      </c>
      <c r="AY39" s="44" t="n">
        <f aca="false">SUMPRODUCT(($C$4:$C$33="ZAN 4")*AY$4:AY$33)</f>
        <v>0</v>
      </c>
      <c r="AZ39" s="44" t="n">
        <f aca="false">SUMPRODUCT(($C$4:$C$33="ZAN 4")*AZ$4:AZ$33)</f>
        <v>0</v>
      </c>
      <c r="BA39" s="44" t="n">
        <f aca="false">SUMPRODUCT(($C$4:$C$33="ZAN 4")*BA$4:BA$33)</f>
        <v>0</v>
      </c>
      <c r="BB39" s="44" t="n">
        <f aca="false">SUMPRODUCT(($C$4:$C$33="ZAN 4")*BB$4:BB$33)</f>
        <v>0</v>
      </c>
    </row>
    <row r="40" customFormat="false" ht="15" hidden="false" customHeight="true" outlineLevel="0" collapsed="false">
      <c r="B40" s="47" t="s">
        <v>49</v>
      </c>
      <c r="D40" s="44" t="n">
        <f aca="false">SUM(E40:BB40)</f>
        <v>0</v>
      </c>
      <c r="E40" s="44" t="n">
        <f aca="false">SUMPRODUCT(($C$4:$C$33="ZAN 5")*E$4:E$33)</f>
        <v>0</v>
      </c>
      <c r="F40" s="44" t="n">
        <f aca="false">SUMPRODUCT(($C$4:$C$33="ZAN 5")*F$4:F$33)</f>
        <v>0</v>
      </c>
      <c r="G40" s="44" t="n">
        <f aca="false">SUMPRODUCT(($C$4:$C$33="ZAN 5")*G$4:G$33)</f>
        <v>0</v>
      </c>
      <c r="H40" s="44" t="n">
        <f aca="false">SUMPRODUCT(($C$4:$C$33="ZAN 5")*H$4:H$33)</f>
        <v>0</v>
      </c>
      <c r="I40" s="44" t="n">
        <f aca="false">SUMPRODUCT(($C$4:$C$33="ZAN 5")*I$4:I$33)</f>
        <v>0</v>
      </c>
      <c r="J40" s="44" t="n">
        <f aca="false">SUMPRODUCT(($C$4:$C$33="ZAN 5")*J$4:J$33)</f>
        <v>0</v>
      </c>
      <c r="K40" s="44" t="n">
        <f aca="false">SUMPRODUCT(($C$4:$C$33="ZAN 5")*K$4:K$33)</f>
        <v>0</v>
      </c>
      <c r="L40" s="44" t="n">
        <f aca="false">SUMPRODUCT(($C$4:$C$33="ZAN 5")*L$4:L$33)</f>
        <v>0</v>
      </c>
      <c r="M40" s="44" t="n">
        <f aca="false">SUMPRODUCT(($C$4:$C$33="ZAN 5")*M$4:M$33)</f>
        <v>0</v>
      </c>
      <c r="N40" s="44" t="n">
        <f aca="false">SUMPRODUCT(($C$4:$C$33="ZAN 5")*N$4:N$33)</f>
        <v>0</v>
      </c>
      <c r="O40" s="44" t="n">
        <f aca="false">SUMPRODUCT(($C$4:$C$33="ZAN 5")*O$4:O$33)</f>
        <v>0</v>
      </c>
      <c r="P40" s="44" t="n">
        <f aca="false">SUMPRODUCT(($C$4:$C$33="ZAN 5")*P$4:P$33)</f>
        <v>0</v>
      </c>
      <c r="Q40" s="44" t="n">
        <f aca="false">SUMPRODUCT(($C$4:$C$33="ZAN 5")*Q$4:Q$33)</f>
        <v>0</v>
      </c>
      <c r="R40" s="44" t="n">
        <f aca="false">SUMPRODUCT(($C$4:$C$33="ZAN 5")*R$4:R$33)</f>
        <v>0</v>
      </c>
      <c r="S40" s="44" t="n">
        <f aca="false">SUMPRODUCT(($C$4:$C$33="ZAN 5")*S$4:S$33)</f>
        <v>0</v>
      </c>
      <c r="T40" s="44" t="n">
        <f aca="false">SUMPRODUCT(($C$4:$C$33="ZAN 5")*T$4:T$33)</f>
        <v>0</v>
      </c>
      <c r="U40" s="44" t="n">
        <f aca="false">SUMPRODUCT(($C$4:$C$33="ZAN 5")*U$4:U$33)</f>
        <v>0</v>
      </c>
      <c r="V40" s="44" t="n">
        <f aca="false">SUMPRODUCT(($C$4:$C$33="ZAN 5")*V$4:V$33)</f>
        <v>0</v>
      </c>
      <c r="W40" s="44" t="n">
        <f aca="false">SUMPRODUCT(($C$4:$C$33="ZAN 5")*W$4:W$33)</f>
        <v>0</v>
      </c>
      <c r="X40" s="44" t="n">
        <f aca="false">SUMPRODUCT(($C$4:$C$33="ZAN 5")*X$4:X$33)</f>
        <v>0</v>
      </c>
      <c r="Y40" s="44" t="n">
        <f aca="false">SUMPRODUCT(($C$4:$C$33="ZAN 5")*Y$4:Y$33)</f>
        <v>0</v>
      </c>
      <c r="Z40" s="44" t="n">
        <f aca="false">SUMPRODUCT(($C$4:$C$33="ZAN 5")*Z$4:Z$33)</f>
        <v>0</v>
      </c>
      <c r="AA40" s="44" t="n">
        <f aca="false">SUMPRODUCT(($C$4:$C$33="ZAN 5")*AA$4:AA$33)</f>
        <v>0</v>
      </c>
      <c r="AB40" s="44" t="n">
        <f aca="false">SUMPRODUCT(($C$4:$C$33="ZAN 5")*AB$4:AB$33)</f>
        <v>0</v>
      </c>
      <c r="AC40" s="44" t="n">
        <f aca="false">SUMPRODUCT(($C$4:$C$33="ZAN 5")*AC$4:AC$33)</f>
        <v>0</v>
      </c>
      <c r="AD40" s="44" t="n">
        <f aca="false">SUMPRODUCT(($C$4:$C$33="ZAN 5")*AD$4:AD$33)</f>
        <v>0</v>
      </c>
      <c r="AE40" s="44" t="n">
        <f aca="false">SUMPRODUCT(($C$4:$C$33="ZAN 5")*AE$4:AE$33)</f>
        <v>0</v>
      </c>
      <c r="AF40" s="44" t="n">
        <f aca="false">SUMPRODUCT(($C$4:$C$33="ZAN 5")*AF$4:AF$33)</f>
        <v>0</v>
      </c>
      <c r="AG40" s="44" t="n">
        <f aca="false">SUMPRODUCT(($C$4:$C$33="ZAN 5")*AG$4:AG$33)</f>
        <v>0</v>
      </c>
      <c r="AH40" s="44" t="n">
        <f aca="false">SUMPRODUCT(($C$4:$C$33="ZAN 5")*AH$4:AH$33)</f>
        <v>0</v>
      </c>
      <c r="AI40" s="44" t="n">
        <f aca="false">SUMPRODUCT(($C$4:$C$33="ZAN 5")*AI$4:AI$33)</f>
        <v>0</v>
      </c>
      <c r="AJ40" s="44" t="n">
        <f aca="false">SUMPRODUCT(($C$4:$C$33="ZAN 5")*AJ$4:AJ$33)</f>
        <v>0</v>
      </c>
      <c r="AK40" s="44" t="n">
        <f aca="false">SUMPRODUCT(($C$4:$C$33="ZAN 5")*AK$4:AK$33)</f>
        <v>0</v>
      </c>
      <c r="AL40" s="44" t="n">
        <f aca="false">SUMPRODUCT(($C$4:$C$33="ZAN 5")*AL$4:AL$33)</f>
        <v>0</v>
      </c>
      <c r="AM40" s="44" t="n">
        <f aca="false">SUMPRODUCT(($C$4:$C$33="ZAN 5")*AM$4:AM$33)</f>
        <v>0</v>
      </c>
      <c r="AN40" s="44" t="n">
        <f aca="false">SUMPRODUCT(($C$4:$C$33="ZAN 5")*AN$4:AN$33)</f>
        <v>0</v>
      </c>
      <c r="AO40" s="44" t="n">
        <f aca="false">SUMPRODUCT(($C$4:$C$33="ZAN 5")*AO$4:AO$33)</f>
        <v>0</v>
      </c>
      <c r="AP40" s="44" t="n">
        <f aca="false">SUMPRODUCT(($C$4:$C$33="ZAN 5")*AP$4:AP$33)</f>
        <v>0</v>
      </c>
      <c r="AQ40" s="44" t="n">
        <f aca="false">SUMPRODUCT(($C$4:$C$33="ZAN 5")*AQ$4:AQ$33)</f>
        <v>0</v>
      </c>
      <c r="AR40" s="44" t="n">
        <f aca="false">SUMPRODUCT(($C$4:$C$33="ZAN 5")*AR$4:AR$33)</f>
        <v>0</v>
      </c>
      <c r="AS40" s="44" t="n">
        <f aca="false">SUMPRODUCT(($C$4:$C$33="ZAN 5")*AS$4:AS$33)</f>
        <v>0</v>
      </c>
      <c r="AT40" s="44" t="n">
        <f aca="false">SUMPRODUCT(($C$4:$C$33="ZAN 5")*AT$4:AT$33)</f>
        <v>0</v>
      </c>
      <c r="AU40" s="44" t="n">
        <f aca="false">SUMPRODUCT(($C$4:$C$33="ZAN 5")*AU$4:AU$33)</f>
        <v>0</v>
      </c>
      <c r="AV40" s="44" t="n">
        <f aca="false">SUMPRODUCT(($C$4:$C$33="ZAN 5")*AV$4:AV$33)</f>
        <v>0</v>
      </c>
      <c r="AW40" s="44" t="n">
        <f aca="false">SUMPRODUCT(($C$4:$C$33="ZAN 5")*AW$4:AW$33)</f>
        <v>0</v>
      </c>
      <c r="AX40" s="44" t="n">
        <f aca="false">SUMPRODUCT(($C$4:$C$33="ZAN 5")*AX$4:AX$33)</f>
        <v>0</v>
      </c>
      <c r="AY40" s="44" t="n">
        <f aca="false">SUMPRODUCT(($C$4:$C$33="ZAN 5")*AY$4:AY$33)</f>
        <v>0</v>
      </c>
      <c r="AZ40" s="44" t="n">
        <f aca="false">SUMPRODUCT(($C$4:$C$33="ZAN 5")*AZ$4:AZ$33)</f>
        <v>0</v>
      </c>
      <c r="BA40" s="44" t="n">
        <f aca="false">SUMPRODUCT(($C$4:$C$33="ZAN 5")*BA$4:BA$33)</f>
        <v>0</v>
      </c>
      <c r="BB40" s="44" t="n">
        <f aca="false">SUMPRODUCT(($C$4:$C$33="ZAN 5")*BB$4:BB$33)</f>
        <v>0</v>
      </c>
    </row>
    <row r="41" customFormat="false" ht="15" hidden="false" customHeight="true" outlineLevel="0" collapsed="false">
      <c r="B41" s="47" t="s">
        <v>50</v>
      </c>
      <c r="D41" s="44" t="n">
        <f aca="false">SUM(E41:BB41)</f>
        <v>0</v>
      </c>
      <c r="E41" s="44" t="n">
        <f aca="false">SUMPRODUCT(($C$4:$C$33="ZAN 6")*E$4:E$33)</f>
        <v>0</v>
      </c>
      <c r="F41" s="44" t="n">
        <f aca="false">SUMPRODUCT(($C$4:$C$33="ZAN 6")*F$4:F$33)</f>
        <v>0</v>
      </c>
      <c r="G41" s="44" t="n">
        <f aca="false">SUMPRODUCT(($C$4:$C$33="ZAN 6")*G$4:G$33)</f>
        <v>0</v>
      </c>
      <c r="H41" s="44" t="n">
        <f aca="false">SUMPRODUCT(($C$4:$C$33="ZAN 6")*H$4:H$33)</f>
        <v>0</v>
      </c>
      <c r="I41" s="44" t="n">
        <f aca="false">SUMPRODUCT(($C$4:$C$33="ZAN 6")*I$4:I$33)</f>
        <v>0</v>
      </c>
      <c r="J41" s="44" t="n">
        <f aca="false">SUMPRODUCT(($C$4:$C$33="ZAN 6")*J$4:J$33)</f>
        <v>0</v>
      </c>
      <c r="K41" s="44" t="n">
        <f aca="false">SUMPRODUCT(($C$4:$C$33="ZAN 6")*K$4:K$33)</f>
        <v>0</v>
      </c>
      <c r="L41" s="44" t="n">
        <f aca="false">SUMPRODUCT(($C$4:$C$33="ZAN 6")*L$4:L$33)</f>
        <v>0</v>
      </c>
      <c r="M41" s="44" t="n">
        <f aca="false">SUMPRODUCT(($C$4:$C$33="ZAN 6")*M$4:M$33)</f>
        <v>0</v>
      </c>
      <c r="N41" s="44" t="n">
        <f aca="false">SUMPRODUCT(($C$4:$C$33="ZAN 6")*N$4:N$33)</f>
        <v>0</v>
      </c>
      <c r="O41" s="44" t="n">
        <f aca="false">SUMPRODUCT(($C$4:$C$33="ZAN 6")*O$4:O$33)</f>
        <v>0</v>
      </c>
      <c r="P41" s="44" t="n">
        <f aca="false">SUMPRODUCT(($C$4:$C$33="ZAN 6")*P$4:P$33)</f>
        <v>0</v>
      </c>
      <c r="Q41" s="44" t="n">
        <f aca="false">SUMPRODUCT(($C$4:$C$33="ZAN 6")*Q$4:Q$33)</f>
        <v>0</v>
      </c>
      <c r="R41" s="44" t="n">
        <f aca="false">SUMPRODUCT(($C$4:$C$33="ZAN 6")*R$4:R$33)</f>
        <v>0</v>
      </c>
      <c r="S41" s="44" t="n">
        <f aca="false">SUMPRODUCT(($C$4:$C$33="ZAN 6")*S$4:S$33)</f>
        <v>0</v>
      </c>
      <c r="T41" s="44" t="n">
        <f aca="false">SUMPRODUCT(($C$4:$C$33="ZAN 6")*T$4:T$33)</f>
        <v>0</v>
      </c>
      <c r="U41" s="44" t="n">
        <f aca="false">SUMPRODUCT(($C$4:$C$33="ZAN 6")*U$4:U$33)</f>
        <v>0</v>
      </c>
      <c r="V41" s="44" t="n">
        <f aca="false">SUMPRODUCT(($C$4:$C$33="ZAN 6")*V$4:V$33)</f>
        <v>0</v>
      </c>
      <c r="W41" s="44" t="n">
        <f aca="false">SUMPRODUCT(($C$4:$C$33="ZAN 6")*W$4:W$33)</f>
        <v>0</v>
      </c>
      <c r="X41" s="44" t="n">
        <f aca="false">SUMPRODUCT(($C$4:$C$33="ZAN 6")*X$4:X$33)</f>
        <v>0</v>
      </c>
      <c r="Y41" s="44" t="n">
        <f aca="false">SUMPRODUCT(($C$4:$C$33="ZAN 6")*Y$4:Y$33)</f>
        <v>0</v>
      </c>
      <c r="Z41" s="44" t="n">
        <f aca="false">SUMPRODUCT(($C$4:$C$33="ZAN 6")*Z$4:Z$33)</f>
        <v>0</v>
      </c>
      <c r="AA41" s="44" t="n">
        <f aca="false">SUMPRODUCT(($C$4:$C$33="ZAN 6")*AA$4:AA$33)</f>
        <v>0</v>
      </c>
      <c r="AB41" s="44" t="n">
        <f aca="false">SUMPRODUCT(($C$4:$C$33="ZAN 6")*AB$4:AB$33)</f>
        <v>0</v>
      </c>
      <c r="AC41" s="44" t="n">
        <f aca="false">SUMPRODUCT(($C$4:$C$33="ZAN 6")*AC$4:AC$33)</f>
        <v>0</v>
      </c>
      <c r="AD41" s="44" t="n">
        <f aca="false">SUMPRODUCT(($C$4:$C$33="ZAN 6")*AD$4:AD$33)</f>
        <v>0</v>
      </c>
      <c r="AE41" s="44" t="n">
        <f aca="false">SUMPRODUCT(($C$4:$C$33="ZAN 6")*AE$4:AE$33)</f>
        <v>0</v>
      </c>
      <c r="AF41" s="44" t="n">
        <f aca="false">SUMPRODUCT(($C$4:$C$33="ZAN 6")*AF$4:AF$33)</f>
        <v>0</v>
      </c>
      <c r="AG41" s="44" t="n">
        <f aca="false">SUMPRODUCT(($C$4:$C$33="ZAN 6")*AG$4:AG$33)</f>
        <v>0</v>
      </c>
      <c r="AH41" s="44" t="n">
        <f aca="false">SUMPRODUCT(($C$4:$C$33="ZAN 6")*AH$4:AH$33)</f>
        <v>0</v>
      </c>
      <c r="AI41" s="44" t="n">
        <f aca="false">SUMPRODUCT(($C$4:$C$33="ZAN 6")*AI$4:AI$33)</f>
        <v>0</v>
      </c>
      <c r="AJ41" s="44" t="n">
        <f aca="false">SUMPRODUCT(($C$4:$C$33="ZAN 6")*AJ$4:AJ$33)</f>
        <v>0</v>
      </c>
      <c r="AK41" s="44" t="n">
        <f aca="false">SUMPRODUCT(($C$4:$C$33="ZAN 6")*AK$4:AK$33)</f>
        <v>0</v>
      </c>
      <c r="AL41" s="44" t="n">
        <f aca="false">SUMPRODUCT(($C$4:$C$33="ZAN 6")*AL$4:AL$33)</f>
        <v>0</v>
      </c>
      <c r="AM41" s="44" t="n">
        <f aca="false">SUMPRODUCT(($C$4:$C$33="ZAN 6")*AM$4:AM$33)</f>
        <v>0</v>
      </c>
      <c r="AN41" s="44" t="n">
        <f aca="false">SUMPRODUCT(($C$4:$C$33="ZAN 6")*AN$4:AN$33)</f>
        <v>0</v>
      </c>
      <c r="AO41" s="44" t="n">
        <f aca="false">SUMPRODUCT(($C$4:$C$33="ZAN 6")*AO$4:AO$33)</f>
        <v>0</v>
      </c>
      <c r="AP41" s="44" t="n">
        <f aca="false">SUMPRODUCT(($C$4:$C$33="ZAN 6")*AP$4:AP$33)</f>
        <v>0</v>
      </c>
      <c r="AQ41" s="44" t="n">
        <f aca="false">SUMPRODUCT(($C$4:$C$33="ZAN 6")*AQ$4:AQ$33)</f>
        <v>0</v>
      </c>
      <c r="AR41" s="44" t="n">
        <f aca="false">SUMPRODUCT(($C$4:$C$33="ZAN 6")*AR$4:AR$33)</f>
        <v>0</v>
      </c>
      <c r="AS41" s="44" t="n">
        <f aca="false">SUMPRODUCT(($C$4:$C$33="ZAN 6")*AS$4:AS$33)</f>
        <v>0</v>
      </c>
      <c r="AT41" s="44" t="n">
        <f aca="false">SUMPRODUCT(($C$4:$C$33="ZAN 6")*AT$4:AT$33)</f>
        <v>0</v>
      </c>
      <c r="AU41" s="44" t="n">
        <f aca="false">SUMPRODUCT(($C$4:$C$33="ZAN 6")*AU$4:AU$33)</f>
        <v>0</v>
      </c>
      <c r="AV41" s="44" t="n">
        <f aca="false">SUMPRODUCT(($C$4:$C$33="ZAN 6")*AV$4:AV$33)</f>
        <v>0</v>
      </c>
      <c r="AW41" s="44" t="n">
        <f aca="false">SUMPRODUCT(($C$4:$C$33="ZAN 6")*AW$4:AW$33)</f>
        <v>0</v>
      </c>
      <c r="AX41" s="44" t="n">
        <f aca="false">SUMPRODUCT(($C$4:$C$33="ZAN 6")*AX$4:AX$33)</f>
        <v>0</v>
      </c>
      <c r="AY41" s="44" t="n">
        <f aca="false">SUMPRODUCT(($C$4:$C$33="ZAN 6")*AY$4:AY$33)</f>
        <v>0</v>
      </c>
      <c r="AZ41" s="44" t="n">
        <f aca="false">SUMPRODUCT(($C$4:$C$33="ZAN 6")*AZ$4:AZ$33)</f>
        <v>0</v>
      </c>
      <c r="BA41" s="44" t="n">
        <f aca="false">SUMPRODUCT(($C$4:$C$33="ZAN 6")*BA$4:BA$33)</f>
        <v>0</v>
      </c>
      <c r="BB41" s="44" t="n">
        <f aca="false">SUMPRODUCT(($C$4:$C$33="ZAN 6")*BB$4:BB$33)</f>
        <v>0</v>
      </c>
    </row>
    <row r="42" customFormat="false" ht="15" hidden="false" customHeight="true" outlineLevel="0" collapsed="false">
      <c r="B42" s="47" t="s">
        <v>51</v>
      </c>
      <c r="D42" s="44" t="n">
        <f aca="false">SUM(E42:BB42)</f>
        <v>0</v>
      </c>
      <c r="E42" s="44" t="n">
        <f aca="false">SUMPRODUCT(($C$4:$C$33="ZAN 7")*E$4:E$33)</f>
        <v>0</v>
      </c>
      <c r="F42" s="44" t="n">
        <f aca="false">SUMPRODUCT(($C$4:$C$33="ZAN 7")*F$4:F$33)</f>
        <v>0</v>
      </c>
      <c r="G42" s="44" t="n">
        <f aca="false">SUMPRODUCT(($C$4:$C$33="ZAN 7")*G$4:G$33)</f>
        <v>0</v>
      </c>
      <c r="H42" s="44" t="n">
        <f aca="false">SUMPRODUCT(($C$4:$C$33="ZAN 7")*H$4:H$33)</f>
        <v>0</v>
      </c>
      <c r="I42" s="44" t="n">
        <f aca="false">SUMPRODUCT(($C$4:$C$33="ZAN 7")*I$4:I$33)</f>
        <v>0</v>
      </c>
      <c r="J42" s="44" t="n">
        <f aca="false">SUMPRODUCT(($C$4:$C$33="ZAN 7")*J$4:J$33)</f>
        <v>0</v>
      </c>
      <c r="K42" s="44" t="n">
        <f aca="false">SUMPRODUCT(($C$4:$C$33="ZAN 7")*K$4:K$33)</f>
        <v>0</v>
      </c>
      <c r="L42" s="44" t="n">
        <f aca="false">SUMPRODUCT(($C$4:$C$33="ZAN 7")*L$4:L$33)</f>
        <v>0</v>
      </c>
      <c r="M42" s="44" t="n">
        <f aca="false">SUMPRODUCT(($C$4:$C$33="ZAN 7")*M$4:M$33)</f>
        <v>0</v>
      </c>
      <c r="N42" s="44" t="n">
        <f aca="false">SUMPRODUCT(($C$4:$C$33="ZAN 7")*N$4:N$33)</f>
        <v>0</v>
      </c>
      <c r="O42" s="44" t="n">
        <f aca="false">SUMPRODUCT(($C$4:$C$33="ZAN 7")*O$4:O$33)</f>
        <v>0</v>
      </c>
      <c r="P42" s="44" t="n">
        <f aca="false">SUMPRODUCT(($C$4:$C$33="ZAN 7")*P$4:P$33)</f>
        <v>0</v>
      </c>
      <c r="Q42" s="44" t="n">
        <f aca="false">SUMPRODUCT(($C$4:$C$33="ZAN 7")*Q$4:Q$33)</f>
        <v>0</v>
      </c>
      <c r="R42" s="44" t="n">
        <f aca="false">SUMPRODUCT(($C$4:$C$33="ZAN 7")*R$4:R$33)</f>
        <v>0</v>
      </c>
      <c r="S42" s="44" t="n">
        <f aca="false">SUMPRODUCT(($C$4:$C$33="ZAN 7")*S$4:S$33)</f>
        <v>0</v>
      </c>
      <c r="T42" s="44" t="n">
        <f aca="false">SUMPRODUCT(($C$4:$C$33="ZAN 7")*T$4:T$33)</f>
        <v>0</v>
      </c>
      <c r="U42" s="44" t="n">
        <f aca="false">SUMPRODUCT(($C$4:$C$33="ZAN 7")*U$4:U$33)</f>
        <v>0</v>
      </c>
      <c r="V42" s="44" t="n">
        <f aca="false">SUMPRODUCT(($C$4:$C$33="ZAN 7")*V$4:V$33)</f>
        <v>0</v>
      </c>
      <c r="W42" s="44" t="n">
        <f aca="false">SUMPRODUCT(($C$4:$C$33="ZAN 7")*W$4:W$33)</f>
        <v>0</v>
      </c>
      <c r="X42" s="44" t="n">
        <f aca="false">SUMPRODUCT(($C$4:$C$33="ZAN 7")*X$4:X$33)</f>
        <v>0</v>
      </c>
      <c r="Y42" s="44" t="n">
        <f aca="false">SUMPRODUCT(($C$4:$C$33="ZAN 7")*Y$4:Y$33)</f>
        <v>0</v>
      </c>
      <c r="Z42" s="44" t="n">
        <f aca="false">SUMPRODUCT(($C$4:$C$33="ZAN 7")*Z$4:Z$33)</f>
        <v>0</v>
      </c>
      <c r="AA42" s="44" t="n">
        <f aca="false">SUMPRODUCT(($C$4:$C$33="ZAN 7")*AA$4:AA$33)</f>
        <v>0</v>
      </c>
      <c r="AB42" s="44" t="n">
        <f aca="false">SUMPRODUCT(($C$4:$C$33="ZAN 7")*AB$4:AB$33)</f>
        <v>0</v>
      </c>
      <c r="AC42" s="44" t="n">
        <f aca="false">SUMPRODUCT(($C$4:$C$33="ZAN 7")*AC$4:AC$33)</f>
        <v>0</v>
      </c>
      <c r="AD42" s="44" t="n">
        <f aca="false">SUMPRODUCT(($C$4:$C$33="ZAN 7")*AD$4:AD$33)</f>
        <v>0</v>
      </c>
      <c r="AE42" s="44" t="n">
        <f aca="false">SUMPRODUCT(($C$4:$C$33="ZAN 7")*AE$4:AE$33)</f>
        <v>0</v>
      </c>
      <c r="AF42" s="44" t="n">
        <f aca="false">SUMPRODUCT(($C$4:$C$33="ZAN 7")*AF$4:AF$33)</f>
        <v>0</v>
      </c>
      <c r="AG42" s="44" t="n">
        <f aca="false">SUMPRODUCT(($C$4:$C$33="ZAN 7")*AG$4:AG$33)</f>
        <v>0</v>
      </c>
      <c r="AH42" s="44" t="n">
        <f aca="false">SUMPRODUCT(($C$4:$C$33="ZAN 7")*AH$4:AH$33)</f>
        <v>0</v>
      </c>
      <c r="AI42" s="44" t="n">
        <f aca="false">SUMPRODUCT(($C$4:$C$33="ZAN 7")*AI$4:AI$33)</f>
        <v>0</v>
      </c>
      <c r="AJ42" s="44" t="n">
        <f aca="false">SUMPRODUCT(($C$4:$C$33="ZAN 7")*AJ$4:AJ$33)</f>
        <v>0</v>
      </c>
      <c r="AK42" s="44" t="n">
        <f aca="false">SUMPRODUCT(($C$4:$C$33="ZAN 7")*AK$4:AK$33)</f>
        <v>0</v>
      </c>
      <c r="AL42" s="44" t="n">
        <f aca="false">SUMPRODUCT(($C$4:$C$33="ZAN 7")*AL$4:AL$33)</f>
        <v>0</v>
      </c>
      <c r="AM42" s="44" t="n">
        <f aca="false">SUMPRODUCT(($C$4:$C$33="ZAN 7")*AM$4:AM$33)</f>
        <v>0</v>
      </c>
      <c r="AN42" s="44" t="n">
        <f aca="false">SUMPRODUCT(($C$4:$C$33="ZAN 7")*AN$4:AN$33)</f>
        <v>0</v>
      </c>
      <c r="AO42" s="44" t="n">
        <f aca="false">SUMPRODUCT(($C$4:$C$33="ZAN 7")*AO$4:AO$33)</f>
        <v>0</v>
      </c>
      <c r="AP42" s="44" t="n">
        <f aca="false">SUMPRODUCT(($C$4:$C$33="ZAN 7")*AP$4:AP$33)</f>
        <v>0</v>
      </c>
      <c r="AQ42" s="44" t="n">
        <f aca="false">SUMPRODUCT(($C$4:$C$33="ZAN 7")*AQ$4:AQ$33)</f>
        <v>0</v>
      </c>
      <c r="AR42" s="44" t="n">
        <f aca="false">SUMPRODUCT(($C$4:$C$33="ZAN 7")*AR$4:AR$33)</f>
        <v>0</v>
      </c>
      <c r="AS42" s="44" t="n">
        <f aca="false">SUMPRODUCT(($C$4:$C$33="ZAN 7")*AS$4:AS$33)</f>
        <v>0</v>
      </c>
      <c r="AT42" s="44" t="n">
        <f aca="false">SUMPRODUCT(($C$4:$C$33="ZAN 7")*AT$4:AT$33)</f>
        <v>0</v>
      </c>
      <c r="AU42" s="44" t="n">
        <f aca="false">SUMPRODUCT(($C$4:$C$33="ZAN 7")*AU$4:AU$33)</f>
        <v>0</v>
      </c>
      <c r="AV42" s="44" t="n">
        <f aca="false">SUMPRODUCT(($C$4:$C$33="ZAN 7")*AV$4:AV$33)</f>
        <v>0</v>
      </c>
      <c r="AW42" s="44" t="n">
        <f aca="false">SUMPRODUCT(($C$4:$C$33="ZAN 7")*AW$4:AW$33)</f>
        <v>0</v>
      </c>
      <c r="AX42" s="44" t="n">
        <f aca="false">SUMPRODUCT(($C$4:$C$33="ZAN 7")*AX$4:AX$33)</f>
        <v>0</v>
      </c>
      <c r="AY42" s="44" t="n">
        <f aca="false">SUMPRODUCT(($C$4:$C$33="ZAN 7")*AY$4:AY$33)</f>
        <v>0</v>
      </c>
      <c r="AZ42" s="44" t="n">
        <f aca="false">SUMPRODUCT(($C$4:$C$33="ZAN 7")*AZ$4:AZ$33)</f>
        <v>0</v>
      </c>
      <c r="BA42" s="44" t="n">
        <f aca="false">SUMPRODUCT(($C$4:$C$33="ZAN 7")*BA$4:BA$33)</f>
        <v>0</v>
      </c>
      <c r="BB42" s="44" t="n">
        <f aca="false">SUMPRODUCT(($C$4:$C$33="ZAN 7")*BB$4:BB$33)</f>
        <v>0</v>
      </c>
    </row>
    <row r="43" customFormat="false" ht="15" hidden="false" customHeight="true" outlineLevel="0" collapsed="false">
      <c r="B43" s="47" t="s">
        <v>52</v>
      </c>
      <c r="D43" s="44" t="n">
        <f aca="false">SUM(E43:BB43)</f>
        <v>0</v>
      </c>
      <c r="E43" s="44" t="n">
        <f aca="false">SUMPRODUCT(($C$4:$C$33="ZAN 8")*E$4:E$33)</f>
        <v>0</v>
      </c>
      <c r="F43" s="44" t="n">
        <f aca="false">SUMPRODUCT(($C$4:$C$33="ZAN 8")*F$4:F$33)</f>
        <v>0</v>
      </c>
      <c r="G43" s="44" t="n">
        <f aca="false">SUMPRODUCT(($C$4:$C$33="ZAN 8")*G$4:G$33)</f>
        <v>0</v>
      </c>
      <c r="H43" s="44" t="n">
        <f aca="false">SUMPRODUCT(($C$4:$C$33="ZAN 8")*H$4:H$33)</f>
        <v>0</v>
      </c>
      <c r="I43" s="44" t="n">
        <f aca="false">SUMPRODUCT(($C$4:$C$33="ZAN 8")*I$4:I$33)</f>
        <v>0</v>
      </c>
      <c r="J43" s="44" t="n">
        <f aca="false">SUMPRODUCT(($C$4:$C$33="ZAN 8")*J$4:J$33)</f>
        <v>0</v>
      </c>
      <c r="K43" s="44" t="n">
        <f aca="false">SUMPRODUCT(($C$4:$C$33="ZAN 8")*K$4:K$33)</f>
        <v>0</v>
      </c>
      <c r="L43" s="44" t="n">
        <f aca="false">SUMPRODUCT(($C$4:$C$33="ZAN 8")*L$4:L$33)</f>
        <v>0</v>
      </c>
      <c r="M43" s="44" t="n">
        <f aca="false">SUMPRODUCT(($C$4:$C$33="ZAN 8")*M$4:M$33)</f>
        <v>0</v>
      </c>
      <c r="N43" s="44" t="n">
        <f aca="false">SUMPRODUCT(($C$4:$C$33="ZAN 8")*N$4:N$33)</f>
        <v>0</v>
      </c>
      <c r="O43" s="44" t="n">
        <f aca="false">SUMPRODUCT(($C$4:$C$33="ZAN 8")*O$4:O$33)</f>
        <v>0</v>
      </c>
      <c r="P43" s="44" t="n">
        <f aca="false">SUMPRODUCT(($C$4:$C$33="ZAN 8")*P$4:P$33)</f>
        <v>0</v>
      </c>
      <c r="Q43" s="44" t="n">
        <f aca="false">SUMPRODUCT(($C$4:$C$33="ZAN 8")*Q$4:Q$33)</f>
        <v>0</v>
      </c>
      <c r="R43" s="44" t="n">
        <f aca="false">SUMPRODUCT(($C$4:$C$33="ZAN 8")*R$4:R$33)</f>
        <v>0</v>
      </c>
      <c r="S43" s="44" t="n">
        <f aca="false">SUMPRODUCT(($C$4:$C$33="ZAN 8")*S$4:S$33)</f>
        <v>0</v>
      </c>
      <c r="T43" s="44" t="n">
        <f aca="false">SUMPRODUCT(($C$4:$C$33="ZAN 8")*T$4:T$33)</f>
        <v>0</v>
      </c>
      <c r="U43" s="44" t="n">
        <f aca="false">SUMPRODUCT(($C$4:$C$33="ZAN 8")*U$4:U$33)</f>
        <v>0</v>
      </c>
      <c r="V43" s="44" t="n">
        <f aca="false">SUMPRODUCT(($C$4:$C$33="ZAN 8")*V$4:V$33)</f>
        <v>0</v>
      </c>
      <c r="W43" s="44" t="n">
        <f aca="false">SUMPRODUCT(($C$4:$C$33="ZAN 8")*W$4:W$33)</f>
        <v>0</v>
      </c>
      <c r="X43" s="44" t="n">
        <f aca="false">SUMPRODUCT(($C$4:$C$33="ZAN 8")*X$4:X$33)</f>
        <v>0</v>
      </c>
      <c r="Y43" s="44" t="n">
        <f aca="false">SUMPRODUCT(($C$4:$C$33="ZAN 8")*Y$4:Y$33)</f>
        <v>0</v>
      </c>
      <c r="Z43" s="44" t="n">
        <f aca="false">SUMPRODUCT(($C$4:$C$33="ZAN 8")*Z$4:Z$33)</f>
        <v>0</v>
      </c>
      <c r="AA43" s="44" t="n">
        <f aca="false">SUMPRODUCT(($C$4:$C$33="ZAN 8")*AA$4:AA$33)</f>
        <v>0</v>
      </c>
      <c r="AB43" s="44" t="n">
        <f aca="false">SUMPRODUCT(($C$4:$C$33="ZAN 8")*AB$4:AB$33)</f>
        <v>0</v>
      </c>
      <c r="AC43" s="44" t="n">
        <f aca="false">SUMPRODUCT(($C$4:$C$33="ZAN 8")*AC$4:AC$33)</f>
        <v>0</v>
      </c>
      <c r="AD43" s="44" t="n">
        <f aca="false">SUMPRODUCT(($C$4:$C$33="ZAN 8")*AD$4:AD$33)</f>
        <v>0</v>
      </c>
      <c r="AE43" s="44" t="n">
        <f aca="false">SUMPRODUCT(($C$4:$C$33="ZAN 8")*AE$4:AE$33)</f>
        <v>0</v>
      </c>
      <c r="AF43" s="44" t="n">
        <f aca="false">SUMPRODUCT(($C$4:$C$33="ZAN 8")*AF$4:AF$33)</f>
        <v>0</v>
      </c>
      <c r="AG43" s="44" t="n">
        <f aca="false">SUMPRODUCT(($C$4:$C$33="ZAN 8")*AG$4:AG$33)</f>
        <v>0</v>
      </c>
      <c r="AH43" s="44" t="n">
        <f aca="false">SUMPRODUCT(($C$4:$C$33="ZAN 8")*AH$4:AH$33)</f>
        <v>0</v>
      </c>
      <c r="AI43" s="44" t="n">
        <f aca="false">SUMPRODUCT(($C$4:$C$33="ZAN 8")*AI$4:AI$33)</f>
        <v>0</v>
      </c>
      <c r="AJ43" s="44" t="n">
        <f aca="false">SUMPRODUCT(($C$4:$C$33="ZAN 8")*AJ$4:AJ$33)</f>
        <v>0</v>
      </c>
      <c r="AK43" s="44" t="n">
        <f aca="false">SUMPRODUCT(($C$4:$C$33="ZAN 8")*AK$4:AK$33)</f>
        <v>0</v>
      </c>
      <c r="AL43" s="44" t="n">
        <f aca="false">SUMPRODUCT(($C$4:$C$33="ZAN 8")*AL$4:AL$33)</f>
        <v>0</v>
      </c>
      <c r="AM43" s="44" t="n">
        <f aca="false">SUMPRODUCT(($C$4:$C$33="ZAN 8")*AM$4:AM$33)</f>
        <v>0</v>
      </c>
      <c r="AN43" s="44" t="n">
        <f aca="false">SUMPRODUCT(($C$4:$C$33="ZAN 8")*AN$4:AN$33)</f>
        <v>0</v>
      </c>
      <c r="AO43" s="44" t="n">
        <f aca="false">SUMPRODUCT(($C$4:$C$33="ZAN 8")*AO$4:AO$33)</f>
        <v>0</v>
      </c>
      <c r="AP43" s="44" t="n">
        <f aca="false">SUMPRODUCT(($C$4:$C$33="ZAN 8")*AP$4:AP$33)</f>
        <v>0</v>
      </c>
      <c r="AQ43" s="44" t="n">
        <f aca="false">SUMPRODUCT(($C$4:$C$33="ZAN 8")*AQ$4:AQ$33)</f>
        <v>0</v>
      </c>
      <c r="AR43" s="44" t="n">
        <f aca="false">SUMPRODUCT(($C$4:$C$33="ZAN 8")*AR$4:AR$33)</f>
        <v>0</v>
      </c>
      <c r="AS43" s="44" t="n">
        <f aca="false">SUMPRODUCT(($C$4:$C$33="ZAN 8")*AS$4:AS$33)</f>
        <v>0</v>
      </c>
      <c r="AT43" s="44" t="n">
        <f aca="false">SUMPRODUCT(($C$4:$C$33="ZAN 8")*AT$4:AT$33)</f>
        <v>0</v>
      </c>
      <c r="AU43" s="44" t="n">
        <f aca="false">SUMPRODUCT(($C$4:$C$33="ZAN 8")*AU$4:AU$33)</f>
        <v>0</v>
      </c>
      <c r="AV43" s="44" t="n">
        <f aca="false">SUMPRODUCT(($C$4:$C$33="ZAN 8")*AV$4:AV$33)</f>
        <v>0</v>
      </c>
      <c r="AW43" s="44" t="n">
        <f aca="false">SUMPRODUCT(($C$4:$C$33="ZAN 8")*AW$4:AW$33)</f>
        <v>0</v>
      </c>
      <c r="AX43" s="44" t="n">
        <f aca="false">SUMPRODUCT(($C$4:$C$33="ZAN 8")*AX$4:AX$33)</f>
        <v>0</v>
      </c>
      <c r="AY43" s="44" t="n">
        <f aca="false">SUMPRODUCT(($C$4:$C$33="ZAN 8")*AY$4:AY$33)</f>
        <v>0</v>
      </c>
      <c r="AZ43" s="44" t="n">
        <f aca="false">SUMPRODUCT(($C$4:$C$33="ZAN 8")*AZ$4:AZ$33)</f>
        <v>0</v>
      </c>
      <c r="BA43" s="44" t="n">
        <f aca="false">SUMPRODUCT(($C$4:$C$33="ZAN 8")*BA$4:BA$33)</f>
        <v>0</v>
      </c>
      <c r="BB43" s="44" t="n">
        <f aca="false">SUMPRODUCT(($C$4:$C$33="ZAN 8")*BB$4:BB$33)</f>
        <v>0</v>
      </c>
    </row>
    <row r="44" customFormat="false" ht="15" hidden="false" customHeight="true" outlineLevel="0" collapsed="false">
      <c r="B44" s="47" t="s">
        <v>53</v>
      </c>
      <c r="D44" s="44" t="n">
        <f aca="false">SUM(E44:BB44)</f>
        <v>0</v>
      </c>
      <c r="E44" s="44" t="n">
        <f aca="false">SUMPRODUCT(($C$4:$C$33="ZAN 9")*E$4:E$33)</f>
        <v>0</v>
      </c>
      <c r="F44" s="44" t="n">
        <f aca="false">SUMPRODUCT(($C$4:$C$33="ZAN 9")*F$4:F$33)</f>
        <v>0</v>
      </c>
      <c r="G44" s="44" t="n">
        <f aca="false">SUMPRODUCT(($C$4:$C$33="ZAN 9")*G$4:G$33)</f>
        <v>0</v>
      </c>
      <c r="H44" s="44" t="n">
        <f aca="false">SUMPRODUCT(($C$4:$C$33="ZAN 9")*H$4:H$33)</f>
        <v>0</v>
      </c>
      <c r="I44" s="44" t="n">
        <f aca="false">SUMPRODUCT(($C$4:$C$33="ZAN 9")*I$4:I$33)</f>
        <v>0</v>
      </c>
      <c r="J44" s="44" t="n">
        <f aca="false">SUMPRODUCT(($C$4:$C$33="ZAN 9")*J$4:J$33)</f>
        <v>0</v>
      </c>
      <c r="K44" s="44" t="n">
        <f aca="false">SUMPRODUCT(($C$4:$C$33="ZAN 9")*K$4:K$33)</f>
        <v>0</v>
      </c>
      <c r="L44" s="44" t="n">
        <f aca="false">SUMPRODUCT(($C$4:$C$33="ZAN 9")*L$4:L$33)</f>
        <v>0</v>
      </c>
      <c r="M44" s="44" t="n">
        <f aca="false">SUMPRODUCT(($C$4:$C$33="ZAN 9")*M$4:M$33)</f>
        <v>0</v>
      </c>
      <c r="N44" s="44" t="n">
        <f aca="false">SUMPRODUCT(($C$4:$C$33="ZAN 9")*N$4:N$33)</f>
        <v>0</v>
      </c>
      <c r="O44" s="44" t="n">
        <f aca="false">SUMPRODUCT(($C$4:$C$33="ZAN 9")*O$4:O$33)</f>
        <v>0</v>
      </c>
      <c r="P44" s="44" t="n">
        <f aca="false">SUMPRODUCT(($C$4:$C$33="ZAN 9")*P$4:P$33)</f>
        <v>0</v>
      </c>
      <c r="Q44" s="44" t="n">
        <f aca="false">SUMPRODUCT(($C$4:$C$33="ZAN 9")*Q$4:Q$33)</f>
        <v>0</v>
      </c>
      <c r="R44" s="44" t="n">
        <f aca="false">SUMPRODUCT(($C$4:$C$33="ZAN 9")*R$4:R$33)</f>
        <v>0</v>
      </c>
      <c r="S44" s="44" t="n">
        <f aca="false">SUMPRODUCT(($C$4:$C$33="ZAN 9")*S$4:S$33)</f>
        <v>0</v>
      </c>
      <c r="T44" s="44" t="n">
        <f aca="false">SUMPRODUCT(($C$4:$C$33="ZAN 9")*T$4:T$33)</f>
        <v>0</v>
      </c>
      <c r="U44" s="44" t="n">
        <f aca="false">SUMPRODUCT(($C$4:$C$33="ZAN 9")*U$4:U$33)</f>
        <v>0</v>
      </c>
      <c r="V44" s="44" t="n">
        <f aca="false">SUMPRODUCT(($C$4:$C$33="ZAN 9")*V$4:V$33)</f>
        <v>0</v>
      </c>
      <c r="W44" s="44" t="n">
        <f aca="false">SUMPRODUCT(($C$4:$C$33="ZAN 9")*W$4:W$33)</f>
        <v>0</v>
      </c>
      <c r="X44" s="44" t="n">
        <f aca="false">SUMPRODUCT(($C$4:$C$33="ZAN 9")*X$4:X$33)</f>
        <v>0</v>
      </c>
      <c r="Y44" s="44" t="n">
        <f aca="false">SUMPRODUCT(($C$4:$C$33="ZAN 9")*Y$4:Y$33)</f>
        <v>0</v>
      </c>
      <c r="Z44" s="44" t="n">
        <f aca="false">SUMPRODUCT(($C$4:$C$33="ZAN 9")*Z$4:Z$33)</f>
        <v>0</v>
      </c>
      <c r="AA44" s="44" t="n">
        <f aca="false">SUMPRODUCT(($C$4:$C$33="ZAN 9")*AA$4:AA$33)</f>
        <v>0</v>
      </c>
      <c r="AB44" s="44" t="n">
        <f aca="false">SUMPRODUCT(($C$4:$C$33="ZAN 9")*AB$4:AB$33)</f>
        <v>0</v>
      </c>
      <c r="AC44" s="44" t="n">
        <f aca="false">SUMPRODUCT(($C$4:$C$33="ZAN 9")*AC$4:AC$33)</f>
        <v>0</v>
      </c>
      <c r="AD44" s="44" t="n">
        <f aca="false">SUMPRODUCT(($C$4:$C$33="ZAN 9")*AD$4:AD$33)</f>
        <v>0</v>
      </c>
      <c r="AE44" s="44" t="n">
        <f aca="false">SUMPRODUCT(($C$4:$C$33="ZAN 9")*AE$4:AE$33)</f>
        <v>0</v>
      </c>
      <c r="AF44" s="44" t="n">
        <f aca="false">SUMPRODUCT(($C$4:$C$33="ZAN 9")*AF$4:AF$33)</f>
        <v>0</v>
      </c>
      <c r="AG44" s="44" t="n">
        <f aca="false">SUMPRODUCT(($C$4:$C$33="ZAN 9")*AG$4:AG$33)</f>
        <v>0</v>
      </c>
      <c r="AH44" s="44" t="n">
        <f aca="false">SUMPRODUCT(($C$4:$C$33="ZAN 9")*AH$4:AH$33)</f>
        <v>0</v>
      </c>
      <c r="AI44" s="44" t="n">
        <f aca="false">SUMPRODUCT(($C$4:$C$33="ZAN 9")*AI$4:AI$33)</f>
        <v>0</v>
      </c>
      <c r="AJ44" s="44" t="n">
        <f aca="false">SUMPRODUCT(($C$4:$C$33="ZAN 9")*AJ$4:AJ$33)</f>
        <v>0</v>
      </c>
      <c r="AK44" s="44" t="n">
        <f aca="false">SUMPRODUCT(($C$4:$C$33="ZAN 9")*AK$4:AK$33)</f>
        <v>0</v>
      </c>
      <c r="AL44" s="44" t="n">
        <f aca="false">SUMPRODUCT(($C$4:$C$33="ZAN 9")*AL$4:AL$33)</f>
        <v>0</v>
      </c>
      <c r="AM44" s="44" t="n">
        <f aca="false">SUMPRODUCT(($C$4:$C$33="ZAN 9")*AM$4:AM$33)</f>
        <v>0</v>
      </c>
      <c r="AN44" s="44" t="n">
        <f aca="false">SUMPRODUCT(($C$4:$C$33="ZAN 9")*AN$4:AN$33)</f>
        <v>0</v>
      </c>
      <c r="AO44" s="44" t="n">
        <f aca="false">SUMPRODUCT(($C$4:$C$33="ZAN 9")*AO$4:AO$33)</f>
        <v>0</v>
      </c>
      <c r="AP44" s="44" t="n">
        <f aca="false">SUMPRODUCT(($C$4:$C$33="ZAN 9")*AP$4:AP$33)</f>
        <v>0</v>
      </c>
      <c r="AQ44" s="44" t="n">
        <f aca="false">SUMPRODUCT(($C$4:$C$33="ZAN 9")*AQ$4:AQ$33)</f>
        <v>0</v>
      </c>
      <c r="AR44" s="44" t="n">
        <f aca="false">SUMPRODUCT(($C$4:$C$33="ZAN 9")*AR$4:AR$33)</f>
        <v>0</v>
      </c>
      <c r="AS44" s="44" t="n">
        <f aca="false">SUMPRODUCT(($C$4:$C$33="ZAN 9")*AS$4:AS$33)</f>
        <v>0</v>
      </c>
      <c r="AT44" s="44" t="n">
        <f aca="false">SUMPRODUCT(($C$4:$C$33="ZAN 9")*AT$4:AT$33)</f>
        <v>0</v>
      </c>
      <c r="AU44" s="44" t="n">
        <f aca="false">SUMPRODUCT(($C$4:$C$33="ZAN 9")*AU$4:AU$33)</f>
        <v>0</v>
      </c>
      <c r="AV44" s="44" t="n">
        <f aca="false">SUMPRODUCT(($C$4:$C$33="ZAN 9")*AV$4:AV$33)</f>
        <v>0</v>
      </c>
      <c r="AW44" s="44" t="n">
        <f aca="false">SUMPRODUCT(($C$4:$C$33="ZAN 9")*AW$4:AW$33)</f>
        <v>0</v>
      </c>
      <c r="AX44" s="44" t="n">
        <f aca="false">SUMPRODUCT(($C$4:$C$33="ZAN 9")*AX$4:AX$33)</f>
        <v>0</v>
      </c>
      <c r="AY44" s="44" t="n">
        <f aca="false">SUMPRODUCT(($C$4:$C$33="ZAN 9")*AY$4:AY$33)</f>
        <v>0</v>
      </c>
      <c r="AZ44" s="44" t="n">
        <f aca="false">SUMPRODUCT(($C$4:$C$33="ZAN 9")*AZ$4:AZ$33)</f>
        <v>0</v>
      </c>
      <c r="BA44" s="44" t="n">
        <f aca="false">SUMPRODUCT(($C$4:$C$33="ZAN 9")*BA$4:BA$33)</f>
        <v>0</v>
      </c>
      <c r="BB44" s="44" t="n">
        <f aca="false">SUMPRODUCT(($C$4:$C$33="ZAN 9")*BB$4:BB$33)</f>
        <v>0</v>
      </c>
    </row>
    <row r="45" customFormat="false" ht="15" hidden="false" customHeight="true" outlineLevel="0" collapsed="false">
      <c r="B45" s="47" t="s">
        <v>54</v>
      </c>
      <c r="D45" s="44" t="n">
        <f aca="false">SUM(E45:BB45)</f>
        <v>0</v>
      </c>
      <c r="E45" s="44" t="n">
        <f aca="false">SUMPRODUCT(($C$4:$C$33="ZAN 10")*E$4:E$33)</f>
        <v>0</v>
      </c>
      <c r="F45" s="44" t="n">
        <f aca="false">SUMPRODUCT(($C$4:$C$33="ZAN 10")*F$4:F$33)</f>
        <v>0</v>
      </c>
      <c r="G45" s="44" t="n">
        <f aca="false">SUMPRODUCT(($C$4:$C$33="ZAN 10")*G$4:G$33)</f>
        <v>0</v>
      </c>
      <c r="H45" s="44" t="n">
        <f aca="false">SUMPRODUCT(($C$4:$C$33="ZAN 10")*H$4:H$33)</f>
        <v>0</v>
      </c>
      <c r="I45" s="44" t="n">
        <f aca="false">SUMPRODUCT(($C$4:$C$33="ZAN 10")*I$4:I$33)</f>
        <v>0</v>
      </c>
      <c r="J45" s="44" t="n">
        <f aca="false">SUMPRODUCT(($C$4:$C$33="ZAN 10")*J$4:J$33)</f>
        <v>0</v>
      </c>
      <c r="K45" s="44" t="n">
        <f aca="false">SUMPRODUCT(($C$4:$C$33="ZAN 10")*K$4:K$33)</f>
        <v>0</v>
      </c>
      <c r="L45" s="44" t="n">
        <f aca="false">SUMPRODUCT(($C$4:$C$33="ZAN 10")*L$4:L$33)</f>
        <v>0</v>
      </c>
      <c r="M45" s="44" t="n">
        <f aca="false">SUMPRODUCT(($C$4:$C$33="ZAN 10")*M$4:M$33)</f>
        <v>0</v>
      </c>
      <c r="N45" s="44" t="n">
        <f aca="false">SUMPRODUCT(($C$4:$C$33="ZAN 10")*N$4:N$33)</f>
        <v>0</v>
      </c>
      <c r="O45" s="44" t="n">
        <f aca="false">SUMPRODUCT(($C$4:$C$33="ZAN 10")*O$4:O$33)</f>
        <v>0</v>
      </c>
      <c r="P45" s="44" t="n">
        <f aca="false">SUMPRODUCT(($C$4:$C$33="ZAN 10")*P$4:P$33)</f>
        <v>0</v>
      </c>
      <c r="Q45" s="44" t="n">
        <f aca="false">SUMPRODUCT(($C$4:$C$33="ZAN 10")*Q$4:Q$33)</f>
        <v>0</v>
      </c>
      <c r="R45" s="44" t="n">
        <f aca="false">SUMPRODUCT(($C$4:$C$33="ZAN 10")*R$4:R$33)</f>
        <v>0</v>
      </c>
      <c r="S45" s="44" t="n">
        <f aca="false">SUMPRODUCT(($C$4:$C$33="ZAN 10")*S$4:S$33)</f>
        <v>0</v>
      </c>
      <c r="T45" s="44" t="n">
        <f aca="false">SUMPRODUCT(($C$4:$C$33="ZAN 10")*T$4:T$33)</f>
        <v>0</v>
      </c>
      <c r="U45" s="44" t="n">
        <f aca="false">SUMPRODUCT(($C$4:$C$33="ZAN 10")*U$4:U$33)</f>
        <v>0</v>
      </c>
      <c r="V45" s="44" t="n">
        <f aca="false">SUMPRODUCT(($C$4:$C$33="ZAN 10")*V$4:V$33)</f>
        <v>0</v>
      </c>
      <c r="W45" s="44" t="n">
        <f aca="false">SUMPRODUCT(($C$4:$C$33="ZAN 10")*W$4:W$33)</f>
        <v>0</v>
      </c>
      <c r="X45" s="44" t="n">
        <f aca="false">SUMPRODUCT(($C$4:$C$33="ZAN 10")*X$4:X$33)</f>
        <v>0</v>
      </c>
      <c r="Y45" s="44" t="n">
        <f aca="false">SUMPRODUCT(($C$4:$C$33="ZAN 10")*Y$4:Y$33)</f>
        <v>0</v>
      </c>
      <c r="Z45" s="44" t="n">
        <f aca="false">SUMPRODUCT(($C$4:$C$33="ZAN 10")*Z$4:Z$33)</f>
        <v>0</v>
      </c>
      <c r="AA45" s="44" t="n">
        <f aca="false">SUMPRODUCT(($C$4:$C$33="ZAN 10")*AA$4:AA$33)</f>
        <v>0</v>
      </c>
      <c r="AB45" s="44" t="n">
        <f aca="false">SUMPRODUCT(($C$4:$C$33="ZAN 10")*AB$4:AB$33)</f>
        <v>0</v>
      </c>
      <c r="AC45" s="44" t="n">
        <f aca="false">SUMPRODUCT(($C$4:$C$33="ZAN 10")*AC$4:AC$33)</f>
        <v>0</v>
      </c>
      <c r="AD45" s="44" t="n">
        <f aca="false">SUMPRODUCT(($C$4:$C$33="ZAN 10")*AD$4:AD$33)</f>
        <v>0</v>
      </c>
      <c r="AE45" s="44" t="n">
        <f aca="false">SUMPRODUCT(($C$4:$C$33="ZAN 10")*AE$4:AE$33)</f>
        <v>0</v>
      </c>
      <c r="AF45" s="44" t="n">
        <f aca="false">SUMPRODUCT(($C$4:$C$33="ZAN 10")*AF$4:AF$33)</f>
        <v>0</v>
      </c>
      <c r="AG45" s="44" t="n">
        <f aca="false">SUMPRODUCT(($C$4:$C$33="ZAN 10")*AG$4:AG$33)</f>
        <v>0</v>
      </c>
      <c r="AH45" s="44" t="n">
        <f aca="false">SUMPRODUCT(($C$4:$C$33="ZAN 10")*AH$4:AH$33)</f>
        <v>0</v>
      </c>
      <c r="AI45" s="44" t="n">
        <f aca="false">SUMPRODUCT(($C$4:$C$33="ZAN 10")*AI$4:AI$33)</f>
        <v>0</v>
      </c>
      <c r="AJ45" s="44" t="n">
        <f aca="false">SUMPRODUCT(($C$4:$C$33="ZAN 10")*AJ$4:AJ$33)</f>
        <v>0</v>
      </c>
      <c r="AK45" s="44" t="n">
        <f aca="false">SUMPRODUCT(($C$4:$C$33="ZAN 10")*AK$4:AK$33)</f>
        <v>0</v>
      </c>
      <c r="AL45" s="44" t="n">
        <f aca="false">SUMPRODUCT(($C$4:$C$33="ZAN 10")*AL$4:AL$33)</f>
        <v>0</v>
      </c>
      <c r="AM45" s="44" t="n">
        <f aca="false">SUMPRODUCT(($C$4:$C$33="ZAN 10")*AM$4:AM$33)</f>
        <v>0</v>
      </c>
      <c r="AN45" s="44" t="n">
        <f aca="false">SUMPRODUCT(($C$4:$C$33="ZAN 10")*AN$4:AN$33)</f>
        <v>0</v>
      </c>
      <c r="AO45" s="44" t="n">
        <f aca="false">SUMPRODUCT(($C$4:$C$33="ZAN 10")*AO$4:AO$33)</f>
        <v>0</v>
      </c>
      <c r="AP45" s="44" t="n">
        <f aca="false">SUMPRODUCT(($C$4:$C$33="ZAN 10")*AP$4:AP$33)</f>
        <v>0</v>
      </c>
      <c r="AQ45" s="44" t="n">
        <f aca="false">SUMPRODUCT(($C$4:$C$33="ZAN 10")*AQ$4:AQ$33)</f>
        <v>0</v>
      </c>
      <c r="AR45" s="44" t="n">
        <f aca="false">SUMPRODUCT(($C$4:$C$33="ZAN 10")*AR$4:AR$33)</f>
        <v>0</v>
      </c>
      <c r="AS45" s="44" t="n">
        <f aca="false">SUMPRODUCT(($C$4:$C$33="ZAN 10")*AS$4:AS$33)</f>
        <v>0</v>
      </c>
      <c r="AT45" s="44" t="n">
        <f aca="false">SUMPRODUCT(($C$4:$C$33="ZAN 10")*AT$4:AT$33)</f>
        <v>0</v>
      </c>
      <c r="AU45" s="44" t="n">
        <f aca="false">SUMPRODUCT(($C$4:$C$33="ZAN 10")*AU$4:AU$33)</f>
        <v>0</v>
      </c>
      <c r="AV45" s="44" t="n">
        <f aca="false">SUMPRODUCT(($C$4:$C$33="ZAN 10")*AV$4:AV$33)</f>
        <v>0</v>
      </c>
      <c r="AW45" s="44" t="n">
        <f aca="false">SUMPRODUCT(($C$4:$C$33="ZAN 10")*AW$4:AW$33)</f>
        <v>0</v>
      </c>
      <c r="AX45" s="44" t="n">
        <f aca="false">SUMPRODUCT(($C$4:$C$33="ZAN 10")*AX$4:AX$33)</f>
        <v>0</v>
      </c>
      <c r="AY45" s="44" t="n">
        <f aca="false">SUMPRODUCT(($C$4:$C$33="ZAN 10")*AY$4:AY$33)</f>
        <v>0</v>
      </c>
      <c r="AZ45" s="44" t="n">
        <f aca="false">SUMPRODUCT(($C$4:$C$33="ZAN 10")*AZ$4:AZ$33)</f>
        <v>0</v>
      </c>
      <c r="BA45" s="44" t="n">
        <f aca="false">SUMPRODUCT(($C$4:$C$33="ZAN 10")*BA$4:BA$33)</f>
        <v>0</v>
      </c>
      <c r="BB45" s="44" t="n">
        <f aca="false">SUMPRODUCT(($C$4:$C$33="ZAN 10")*BB$4:BB$33)</f>
        <v>0</v>
      </c>
    </row>
    <row r="46" customFormat="false" ht="15" hidden="false" customHeight="true" outlineLevel="0" collapsed="false">
      <c r="B46" s="47" t="s">
        <v>55</v>
      </c>
      <c r="D46" s="44" t="n">
        <f aca="false">SUM(E46:BB46)</f>
        <v>0</v>
      </c>
      <c r="E46" s="44" t="n">
        <f aca="false">SUMPRODUCT(($C$4:$C$33="ZAN 11")*E$4:E$33)</f>
        <v>0</v>
      </c>
      <c r="F46" s="44" t="n">
        <f aca="false">SUMPRODUCT(($C$4:$C$33="ZAN 11")*F$4:F$33)</f>
        <v>0</v>
      </c>
      <c r="G46" s="44" t="n">
        <f aca="false">SUMPRODUCT(($C$4:$C$33="ZAN 11")*G$4:G$33)</f>
        <v>0</v>
      </c>
      <c r="H46" s="44" t="n">
        <f aca="false">SUMPRODUCT(($C$4:$C$33="ZAN 11")*H$4:H$33)</f>
        <v>0</v>
      </c>
      <c r="I46" s="44" t="n">
        <f aca="false">SUMPRODUCT(($C$4:$C$33="ZAN 11")*I$4:I$33)</f>
        <v>0</v>
      </c>
      <c r="J46" s="44" t="n">
        <f aca="false">SUMPRODUCT(($C$4:$C$33="ZAN 11")*J$4:J$33)</f>
        <v>0</v>
      </c>
      <c r="K46" s="44" t="n">
        <f aca="false">SUMPRODUCT(($C$4:$C$33="ZAN 11")*K$4:K$33)</f>
        <v>0</v>
      </c>
      <c r="L46" s="44" t="n">
        <f aca="false">SUMPRODUCT(($C$4:$C$33="ZAN 11")*L$4:L$33)</f>
        <v>0</v>
      </c>
      <c r="M46" s="44" t="n">
        <f aca="false">SUMPRODUCT(($C$4:$C$33="ZAN 11")*M$4:M$33)</f>
        <v>0</v>
      </c>
      <c r="N46" s="44" t="n">
        <f aca="false">SUMPRODUCT(($C$4:$C$33="ZAN 11")*N$4:N$33)</f>
        <v>0</v>
      </c>
      <c r="O46" s="44" t="n">
        <f aca="false">SUMPRODUCT(($C$4:$C$33="ZAN 11")*O$4:O$33)</f>
        <v>0</v>
      </c>
      <c r="P46" s="44" t="n">
        <f aca="false">SUMPRODUCT(($C$4:$C$33="ZAN 11")*P$4:P$33)</f>
        <v>0</v>
      </c>
      <c r="Q46" s="44" t="n">
        <f aca="false">SUMPRODUCT(($C$4:$C$33="ZAN 11")*Q$4:Q$33)</f>
        <v>0</v>
      </c>
      <c r="R46" s="44" t="n">
        <f aca="false">SUMPRODUCT(($C$4:$C$33="ZAN 11")*R$4:R$33)</f>
        <v>0</v>
      </c>
      <c r="S46" s="44" t="n">
        <f aca="false">SUMPRODUCT(($C$4:$C$33="ZAN 11")*S$4:S$33)</f>
        <v>0</v>
      </c>
      <c r="T46" s="44" t="n">
        <f aca="false">SUMPRODUCT(($C$4:$C$33="ZAN 11")*T$4:T$33)</f>
        <v>0</v>
      </c>
      <c r="U46" s="44" t="n">
        <f aca="false">SUMPRODUCT(($C$4:$C$33="ZAN 11")*U$4:U$33)</f>
        <v>0</v>
      </c>
      <c r="V46" s="44" t="n">
        <f aca="false">SUMPRODUCT(($C$4:$C$33="ZAN 11")*V$4:V$33)</f>
        <v>0</v>
      </c>
      <c r="W46" s="44" t="n">
        <f aca="false">SUMPRODUCT(($C$4:$C$33="ZAN 11")*W$4:W$33)</f>
        <v>0</v>
      </c>
      <c r="X46" s="44" t="n">
        <f aca="false">SUMPRODUCT(($C$4:$C$33="ZAN 11")*X$4:X$33)</f>
        <v>0</v>
      </c>
      <c r="Y46" s="44" t="n">
        <f aca="false">SUMPRODUCT(($C$4:$C$33="ZAN 11")*Y$4:Y$33)</f>
        <v>0</v>
      </c>
      <c r="Z46" s="44" t="n">
        <f aca="false">SUMPRODUCT(($C$4:$C$33="ZAN 11")*Z$4:Z$33)</f>
        <v>0</v>
      </c>
      <c r="AA46" s="44" t="n">
        <f aca="false">SUMPRODUCT(($C$4:$C$33="ZAN 11")*AA$4:AA$33)</f>
        <v>0</v>
      </c>
      <c r="AB46" s="44" t="n">
        <f aca="false">SUMPRODUCT(($C$4:$C$33="ZAN 11")*AB$4:AB$33)</f>
        <v>0</v>
      </c>
      <c r="AC46" s="44" t="n">
        <f aca="false">SUMPRODUCT(($C$4:$C$33="ZAN 11")*AC$4:AC$33)</f>
        <v>0</v>
      </c>
      <c r="AD46" s="44" t="n">
        <f aca="false">SUMPRODUCT(($C$4:$C$33="ZAN 11")*AD$4:AD$33)</f>
        <v>0</v>
      </c>
      <c r="AE46" s="44" t="n">
        <f aca="false">SUMPRODUCT(($C$4:$C$33="ZAN 11")*AE$4:AE$33)</f>
        <v>0</v>
      </c>
      <c r="AF46" s="44" t="n">
        <f aca="false">SUMPRODUCT(($C$4:$C$33="ZAN 11")*AF$4:AF$33)</f>
        <v>0</v>
      </c>
      <c r="AG46" s="44" t="n">
        <f aca="false">SUMPRODUCT(($C$4:$C$33="ZAN 11")*AG$4:AG$33)</f>
        <v>0</v>
      </c>
      <c r="AH46" s="44" t="n">
        <f aca="false">SUMPRODUCT(($C$4:$C$33="ZAN 11")*AH$4:AH$33)</f>
        <v>0</v>
      </c>
      <c r="AI46" s="44" t="n">
        <f aca="false">SUMPRODUCT(($C$4:$C$33="ZAN 11")*AI$4:AI$33)</f>
        <v>0</v>
      </c>
      <c r="AJ46" s="44" t="n">
        <f aca="false">SUMPRODUCT(($C$4:$C$33="ZAN 11")*AJ$4:AJ$33)</f>
        <v>0</v>
      </c>
      <c r="AK46" s="44" t="n">
        <f aca="false">SUMPRODUCT(($C$4:$C$33="ZAN 11")*AK$4:AK$33)</f>
        <v>0</v>
      </c>
      <c r="AL46" s="44" t="n">
        <f aca="false">SUMPRODUCT(($C$4:$C$33="ZAN 11")*AL$4:AL$33)</f>
        <v>0</v>
      </c>
      <c r="AM46" s="44" t="n">
        <f aca="false">SUMPRODUCT(($C$4:$C$33="ZAN 11")*AM$4:AM$33)</f>
        <v>0</v>
      </c>
      <c r="AN46" s="44" t="n">
        <f aca="false">SUMPRODUCT(($C$4:$C$33="ZAN 11")*AN$4:AN$33)</f>
        <v>0</v>
      </c>
      <c r="AO46" s="44" t="n">
        <f aca="false">SUMPRODUCT(($C$4:$C$33="ZAN 11")*AO$4:AO$33)</f>
        <v>0</v>
      </c>
      <c r="AP46" s="44" t="n">
        <f aca="false">SUMPRODUCT(($C$4:$C$33="ZAN 11")*AP$4:AP$33)</f>
        <v>0</v>
      </c>
      <c r="AQ46" s="44" t="n">
        <f aca="false">SUMPRODUCT(($C$4:$C$33="ZAN 11")*AQ$4:AQ$33)</f>
        <v>0</v>
      </c>
      <c r="AR46" s="44" t="n">
        <f aca="false">SUMPRODUCT(($C$4:$C$33="ZAN 11")*AR$4:AR$33)</f>
        <v>0</v>
      </c>
      <c r="AS46" s="44" t="n">
        <f aca="false">SUMPRODUCT(($C$4:$C$33="ZAN 11")*AS$4:AS$33)</f>
        <v>0</v>
      </c>
      <c r="AT46" s="44" t="n">
        <f aca="false">SUMPRODUCT(($C$4:$C$33="ZAN 11")*AT$4:AT$33)</f>
        <v>0</v>
      </c>
      <c r="AU46" s="44" t="n">
        <f aca="false">SUMPRODUCT(($C$4:$C$33="ZAN 11")*AU$4:AU$33)</f>
        <v>0</v>
      </c>
      <c r="AV46" s="44" t="n">
        <f aca="false">SUMPRODUCT(($C$4:$C$33="ZAN 11")*AV$4:AV$33)</f>
        <v>0</v>
      </c>
      <c r="AW46" s="44" t="n">
        <f aca="false">SUMPRODUCT(($C$4:$C$33="ZAN 11")*AW$4:AW$33)</f>
        <v>0</v>
      </c>
      <c r="AX46" s="44" t="n">
        <f aca="false">SUMPRODUCT(($C$4:$C$33="ZAN 11")*AX$4:AX$33)</f>
        <v>0</v>
      </c>
      <c r="AY46" s="44" t="n">
        <f aca="false">SUMPRODUCT(($C$4:$C$33="ZAN 11")*AY$4:AY$33)</f>
        <v>0</v>
      </c>
      <c r="AZ46" s="44" t="n">
        <f aca="false">SUMPRODUCT(($C$4:$C$33="ZAN 11")*AZ$4:AZ$33)</f>
        <v>0</v>
      </c>
      <c r="BA46" s="44" t="n">
        <f aca="false">SUMPRODUCT(($C$4:$C$33="ZAN 11")*BA$4:BA$33)</f>
        <v>0</v>
      </c>
      <c r="BB46" s="44" t="n">
        <f aca="false">SUMPRODUCT(($C$4:$C$33="ZAN 11")*BB$4:BB$33)</f>
        <v>0</v>
      </c>
    </row>
    <row r="47" customFormat="false" ht="15" hidden="false" customHeight="true" outlineLevel="0" collapsed="false">
      <c r="B47" s="47" t="s">
        <v>56</v>
      </c>
      <c r="D47" s="44" t="n">
        <f aca="false">SUM(E47:BB47)</f>
        <v>0</v>
      </c>
      <c r="E47" s="44" t="n">
        <f aca="false">SUMPRODUCT(($C$4:$C$33="ZAN 12")*E$4:E$33)</f>
        <v>0</v>
      </c>
      <c r="F47" s="44" t="n">
        <f aca="false">SUMPRODUCT(($C$4:$C$33="ZAN 12")*F$4:F$33)</f>
        <v>0</v>
      </c>
      <c r="G47" s="44" t="n">
        <f aca="false">SUMPRODUCT(($C$4:$C$33="ZAN 12")*G$4:G$33)</f>
        <v>0</v>
      </c>
      <c r="H47" s="44" t="n">
        <f aca="false">SUMPRODUCT(($C$4:$C$33="ZAN 12")*H$4:H$33)</f>
        <v>0</v>
      </c>
      <c r="I47" s="44" t="n">
        <f aca="false">SUMPRODUCT(($C$4:$C$33="ZAN 12")*I$4:I$33)</f>
        <v>0</v>
      </c>
      <c r="J47" s="44" t="n">
        <f aca="false">SUMPRODUCT(($C$4:$C$33="ZAN 12")*J$4:J$33)</f>
        <v>0</v>
      </c>
      <c r="K47" s="44" t="n">
        <f aca="false">SUMPRODUCT(($C$4:$C$33="ZAN 12")*K$4:K$33)</f>
        <v>0</v>
      </c>
      <c r="L47" s="44" t="n">
        <f aca="false">SUMPRODUCT(($C$4:$C$33="ZAN 12")*L$4:L$33)</f>
        <v>0</v>
      </c>
      <c r="M47" s="44" t="n">
        <f aca="false">SUMPRODUCT(($C$4:$C$33="ZAN 12")*M$4:M$33)</f>
        <v>0</v>
      </c>
      <c r="N47" s="44" t="n">
        <f aca="false">SUMPRODUCT(($C$4:$C$33="ZAN 12")*N$4:N$33)</f>
        <v>0</v>
      </c>
      <c r="O47" s="44" t="n">
        <f aca="false">SUMPRODUCT(($C$4:$C$33="ZAN 12")*O$4:O$33)</f>
        <v>0</v>
      </c>
      <c r="P47" s="44" t="n">
        <f aca="false">SUMPRODUCT(($C$4:$C$33="ZAN 12")*P$4:P$33)</f>
        <v>0</v>
      </c>
      <c r="Q47" s="44" t="n">
        <f aca="false">SUMPRODUCT(($C$4:$C$33="ZAN 12")*Q$4:Q$33)</f>
        <v>0</v>
      </c>
      <c r="R47" s="44" t="n">
        <f aca="false">SUMPRODUCT(($C$4:$C$33="ZAN 12")*R$4:R$33)</f>
        <v>0</v>
      </c>
      <c r="S47" s="44" t="n">
        <f aca="false">SUMPRODUCT(($C$4:$C$33="ZAN 12")*S$4:S$33)</f>
        <v>0</v>
      </c>
      <c r="T47" s="44" t="n">
        <f aca="false">SUMPRODUCT(($C$4:$C$33="ZAN 12")*T$4:T$33)</f>
        <v>0</v>
      </c>
      <c r="U47" s="44" t="n">
        <f aca="false">SUMPRODUCT(($C$4:$C$33="ZAN 12")*U$4:U$33)</f>
        <v>0</v>
      </c>
      <c r="V47" s="44" t="n">
        <f aca="false">SUMPRODUCT(($C$4:$C$33="ZAN 12")*V$4:V$33)</f>
        <v>0</v>
      </c>
      <c r="W47" s="44" t="n">
        <f aca="false">SUMPRODUCT(($C$4:$C$33="ZAN 12")*W$4:W$33)</f>
        <v>0</v>
      </c>
      <c r="X47" s="44" t="n">
        <f aca="false">SUMPRODUCT(($C$4:$C$33="ZAN 12")*X$4:X$33)</f>
        <v>0</v>
      </c>
      <c r="Y47" s="44" t="n">
        <f aca="false">SUMPRODUCT(($C$4:$C$33="ZAN 12")*Y$4:Y$33)</f>
        <v>0</v>
      </c>
      <c r="Z47" s="44" t="n">
        <f aca="false">SUMPRODUCT(($C$4:$C$33="ZAN 12")*Z$4:Z$33)</f>
        <v>0</v>
      </c>
      <c r="AA47" s="44" t="n">
        <f aca="false">SUMPRODUCT(($C$4:$C$33="ZAN 12")*AA$4:AA$33)</f>
        <v>0</v>
      </c>
      <c r="AB47" s="44" t="n">
        <f aca="false">SUMPRODUCT(($C$4:$C$33="ZAN 12")*AB$4:AB$33)</f>
        <v>0</v>
      </c>
      <c r="AC47" s="44" t="n">
        <f aca="false">SUMPRODUCT(($C$4:$C$33="ZAN 12")*AC$4:AC$33)</f>
        <v>0</v>
      </c>
      <c r="AD47" s="44" t="n">
        <f aca="false">SUMPRODUCT(($C$4:$C$33="ZAN 12")*AD$4:AD$33)</f>
        <v>0</v>
      </c>
      <c r="AE47" s="44" t="n">
        <f aca="false">SUMPRODUCT(($C$4:$C$33="ZAN 12")*AE$4:AE$33)</f>
        <v>0</v>
      </c>
      <c r="AF47" s="44" t="n">
        <f aca="false">SUMPRODUCT(($C$4:$C$33="ZAN 12")*AF$4:AF$33)</f>
        <v>0</v>
      </c>
      <c r="AG47" s="44" t="n">
        <f aca="false">SUMPRODUCT(($C$4:$C$33="ZAN 12")*AG$4:AG$33)</f>
        <v>0</v>
      </c>
      <c r="AH47" s="44" t="n">
        <f aca="false">SUMPRODUCT(($C$4:$C$33="ZAN 12")*AH$4:AH$33)</f>
        <v>0</v>
      </c>
      <c r="AI47" s="44" t="n">
        <f aca="false">SUMPRODUCT(($C$4:$C$33="ZAN 12")*AI$4:AI$33)</f>
        <v>0</v>
      </c>
      <c r="AJ47" s="44" t="n">
        <f aca="false">SUMPRODUCT(($C$4:$C$33="ZAN 12")*AJ$4:AJ$33)</f>
        <v>0</v>
      </c>
      <c r="AK47" s="44" t="n">
        <f aca="false">SUMPRODUCT(($C$4:$C$33="ZAN 12")*AK$4:AK$33)</f>
        <v>0</v>
      </c>
      <c r="AL47" s="44" t="n">
        <f aca="false">SUMPRODUCT(($C$4:$C$33="ZAN 12")*AL$4:AL$33)</f>
        <v>0</v>
      </c>
      <c r="AM47" s="44" t="n">
        <f aca="false">SUMPRODUCT(($C$4:$C$33="ZAN 12")*AM$4:AM$33)</f>
        <v>0</v>
      </c>
      <c r="AN47" s="44" t="n">
        <f aca="false">SUMPRODUCT(($C$4:$C$33="ZAN 12")*AN$4:AN$33)</f>
        <v>0</v>
      </c>
      <c r="AO47" s="44" t="n">
        <f aca="false">SUMPRODUCT(($C$4:$C$33="ZAN 12")*AO$4:AO$33)</f>
        <v>0</v>
      </c>
      <c r="AP47" s="44" t="n">
        <f aca="false">SUMPRODUCT(($C$4:$C$33="ZAN 12")*AP$4:AP$33)</f>
        <v>0</v>
      </c>
      <c r="AQ47" s="44" t="n">
        <f aca="false">SUMPRODUCT(($C$4:$C$33="ZAN 12")*AQ$4:AQ$33)</f>
        <v>0</v>
      </c>
      <c r="AR47" s="44" t="n">
        <f aca="false">SUMPRODUCT(($C$4:$C$33="ZAN 12")*AR$4:AR$33)</f>
        <v>0</v>
      </c>
      <c r="AS47" s="44" t="n">
        <f aca="false">SUMPRODUCT(($C$4:$C$33="ZAN 12")*AS$4:AS$33)</f>
        <v>0</v>
      </c>
      <c r="AT47" s="44" t="n">
        <f aca="false">SUMPRODUCT(($C$4:$C$33="ZAN 12")*AT$4:AT$33)</f>
        <v>0</v>
      </c>
      <c r="AU47" s="44" t="n">
        <f aca="false">SUMPRODUCT(($C$4:$C$33="ZAN 12")*AU$4:AU$33)</f>
        <v>0</v>
      </c>
      <c r="AV47" s="44" t="n">
        <f aca="false">SUMPRODUCT(($C$4:$C$33="ZAN 12")*AV$4:AV$33)</f>
        <v>0</v>
      </c>
      <c r="AW47" s="44" t="n">
        <f aca="false">SUMPRODUCT(($C$4:$C$33="ZAN 12")*AW$4:AW$33)</f>
        <v>0</v>
      </c>
      <c r="AX47" s="44" t="n">
        <f aca="false">SUMPRODUCT(($C$4:$C$33="ZAN 12")*AX$4:AX$33)</f>
        <v>0</v>
      </c>
      <c r="AY47" s="44" t="n">
        <f aca="false">SUMPRODUCT(($C$4:$C$33="ZAN 12")*AY$4:AY$33)</f>
        <v>0</v>
      </c>
      <c r="AZ47" s="44" t="n">
        <f aca="false">SUMPRODUCT(($C$4:$C$33="ZAN 12")*AZ$4:AZ$33)</f>
        <v>0</v>
      </c>
      <c r="BA47" s="44" t="n">
        <f aca="false">SUMPRODUCT(($C$4:$C$33="ZAN 12")*BA$4:BA$33)</f>
        <v>0</v>
      </c>
      <c r="BB47" s="44" t="n">
        <f aca="false">SUMPRODUCT(($C$4:$C$33="ZAN 12")*BB$4:BB$33)</f>
        <v>0</v>
      </c>
    </row>
    <row r="48" customFormat="false" ht="15" hidden="false" customHeight="true" outlineLevel="0" collapsed="false">
      <c r="B48" s="47" t="s">
        <v>57</v>
      </c>
      <c r="D48" s="44" t="n">
        <f aca="false">SUM(E48:BB48)</f>
        <v>0</v>
      </c>
      <c r="E48" s="44" t="n">
        <f aca="false">SUMPRODUCT(($C$4:$C$33="ZAN 13")*E$4:E$33)</f>
        <v>0</v>
      </c>
      <c r="F48" s="44" t="n">
        <f aca="false">SUMPRODUCT(($C$4:$C$33="ZAN 13")*F$4:F$33)</f>
        <v>0</v>
      </c>
      <c r="G48" s="44" t="n">
        <f aca="false">SUMPRODUCT(($C$4:$C$33="ZAN 13")*G$4:G$33)</f>
        <v>0</v>
      </c>
      <c r="H48" s="44" t="n">
        <f aca="false">SUMPRODUCT(($C$4:$C$33="ZAN 13")*H$4:H$33)</f>
        <v>0</v>
      </c>
      <c r="I48" s="44" t="n">
        <f aca="false">SUMPRODUCT(($C$4:$C$33="ZAN 13")*I$4:I$33)</f>
        <v>0</v>
      </c>
      <c r="J48" s="44" t="n">
        <f aca="false">SUMPRODUCT(($C$4:$C$33="ZAN 13")*J$4:J$33)</f>
        <v>0</v>
      </c>
      <c r="K48" s="44" t="n">
        <f aca="false">SUMPRODUCT(($C$4:$C$33="ZAN 13")*K$4:K$33)</f>
        <v>0</v>
      </c>
      <c r="L48" s="44" t="n">
        <f aca="false">SUMPRODUCT(($C$4:$C$33="ZAN 13")*L$4:L$33)</f>
        <v>0</v>
      </c>
      <c r="M48" s="44" t="n">
        <f aca="false">SUMPRODUCT(($C$4:$C$33="ZAN 13")*M$4:M$33)</f>
        <v>0</v>
      </c>
      <c r="N48" s="44" t="n">
        <f aca="false">SUMPRODUCT(($C$4:$C$33="ZAN 13")*N$4:N$33)</f>
        <v>0</v>
      </c>
      <c r="O48" s="44" t="n">
        <f aca="false">SUMPRODUCT(($C$4:$C$33="ZAN 13")*O$4:O$33)</f>
        <v>0</v>
      </c>
      <c r="P48" s="44" t="n">
        <f aca="false">SUMPRODUCT(($C$4:$C$33="ZAN 13")*P$4:P$33)</f>
        <v>0</v>
      </c>
      <c r="Q48" s="44" t="n">
        <f aca="false">SUMPRODUCT(($C$4:$C$33="ZAN 13")*Q$4:Q$33)</f>
        <v>0</v>
      </c>
      <c r="R48" s="44" t="n">
        <f aca="false">SUMPRODUCT(($C$4:$C$33="ZAN 13")*R$4:R$33)</f>
        <v>0</v>
      </c>
      <c r="S48" s="44" t="n">
        <f aca="false">SUMPRODUCT(($C$4:$C$33="ZAN 13")*S$4:S$33)</f>
        <v>0</v>
      </c>
      <c r="T48" s="44" t="n">
        <f aca="false">SUMPRODUCT(($C$4:$C$33="ZAN 13")*T$4:T$33)</f>
        <v>0</v>
      </c>
      <c r="U48" s="44" t="n">
        <f aca="false">SUMPRODUCT(($C$4:$C$33="ZAN 13")*U$4:U$33)</f>
        <v>0</v>
      </c>
      <c r="V48" s="44" t="n">
        <f aca="false">SUMPRODUCT(($C$4:$C$33="ZAN 13")*V$4:V$33)</f>
        <v>0</v>
      </c>
      <c r="W48" s="44" t="n">
        <f aca="false">SUMPRODUCT(($C$4:$C$33="ZAN 13")*W$4:W$33)</f>
        <v>0</v>
      </c>
      <c r="X48" s="44" t="n">
        <f aca="false">SUMPRODUCT(($C$4:$C$33="ZAN 13")*X$4:X$33)</f>
        <v>0</v>
      </c>
      <c r="Y48" s="44" t="n">
        <f aca="false">SUMPRODUCT(($C$4:$C$33="ZAN 13")*Y$4:Y$33)</f>
        <v>0</v>
      </c>
      <c r="Z48" s="44" t="n">
        <f aca="false">SUMPRODUCT(($C$4:$C$33="ZAN 13")*Z$4:Z$33)</f>
        <v>0</v>
      </c>
      <c r="AA48" s="44" t="n">
        <f aca="false">SUMPRODUCT(($C$4:$C$33="ZAN 13")*AA$4:AA$33)</f>
        <v>0</v>
      </c>
      <c r="AB48" s="44" t="n">
        <f aca="false">SUMPRODUCT(($C$4:$C$33="ZAN 13")*AB$4:AB$33)</f>
        <v>0</v>
      </c>
      <c r="AC48" s="44" t="n">
        <f aca="false">SUMPRODUCT(($C$4:$C$33="ZAN 13")*AC$4:AC$33)</f>
        <v>0</v>
      </c>
      <c r="AD48" s="44" t="n">
        <f aca="false">SUMPRODUCT(($C$4:$C$33="ZAN 13")*AD$4:AD$33)</f>
        <v>0</v>
      </c>
      <c r="AE48" s="44" t="n">
        <f aca="false">SUMPRODUCT(($C$4:$C$33="ZAN 13")*AE$4:AE$33)</f>
        <v>0</v>
      </c>
      <c r="AF48" s="44" t="n">
        <f aca="false">SUMPRODUCT(($C$4:$C$33="ZAN 13")*AF$4:AF$33)</f>
        <v>0</v>
      </c>
      <c r="AG48" s="44" t="n">
        <f aca="false">SUMPRODUCT(($C$4:$C$33="ZAN 13")*AG$4:AG$33)</f>
        <v>0</v>
      </c>
      <c r="AH48" s="44" t="n">
        <f aca="false">SUMPRODUCT(($C$4:$C$33="ZAN 13")*AH$4:AH$33)</f>
        <v>0</v>
      </c>
      <c r="AI48" s="44" t="n">
        <f aca="false">SUMPRODUCT(($C$4:$C$33="ZAN 13")*AI$4:AI$33)</f>
        <v>0</v>
      </c>
      <c r="AJ48" s="44" t="n">
        <f aca="false">SUMPRODUCT(($C$4:$C$33="ZAN 13")*AJ$4:AJ$33)</f>
        <v>0</v>
      </c>
      <c r="AK48" s="44" t="n">
        <f aca="false">SUMPRODUCT(($C$4:$C$33="ZAN 13")*AK$4:AK$33)</f>
        <v>0</v>
      </c>
      <c r="AL48" s="44" t="n">
        <f aca="false">SUMPRODUCT(($C$4:$C$33="ZAN 13")*AL$4:AL$33)</f>
        <v>0</v>
      </c>
      <c r="AM48" s="44" t="n">
        <f aca="false">SUMPRODUCT(($C$4:$C$33="ZAN 13")*AM$4:AM$33)</f>
        <v>0</v>
      </c>
      <c r="AN48" s="44" t="n">
        <f aca="false">SUMPRODUCT(($C$4:$C$33="ZAN 13")*AN$4:AN$33)</f>
        <v>0</v>
      </c>
      <c r="AO48" s="44" t="n">
        <f aca="false">SUMPRODUCT(($C$4:$C$33="ZAN 13")*AO$4:AO$33)</f>
        <v>0</v>
      </c>
      <c r="AP48" s="44" t="n">
        <f aca="false">SUMPRODUCT(($C$4:$C$33="ZAN 13")*AP$4:AP$33)</f>
        <v>0</v>
      </c>
      <c r="AQ48" s="44" t="n">
        <f aca="false">SUMPRODUCT(($C$4:$C$33="ZAN 13")*AQ$4:AQ$33)</f>
        <v>0</v>
      </c>
      <c r="AR48" s="44" t="n">
        <f aca="false">SUMPRODUCT(($C$4:$C$33="ZAN 13")*AR$4:AR$33)</f>
        <v>0</v>
      </c>
      <c r="AS48" s="44" t="n">
        <f aca="false">SUMPRODUCT(($C$4:$C$33="ZAN 13")*AS$4:AS$33)</f>
        <v>0</v>
      </c>
      <c r="AT48" s="44" t="n">
        <f aca="false">SUMPRODUCT(($C$4:$C$33="ZAN 13")*AT$4:AT$33)</f>
        <v>0</v>
      </c>
      <c r="AU48" s="44" t="n">
        <f aca="false">SUMPRODUCT(($C$4:$C$33="ZAN 13")*AU$4:AU$33)</f>
        <v>0</v>
      </c>
      <c r="AV48" s="44" t="n">
        <f aca="false">SUMPRODUCT(($C$4:$C$33="ZAN 13")*AV$4:AV$33)</f>
        <v>0</v>
      </c>
      <c r="AW48" s="44" t="n">
        <f aca="false">SUMPRODUCT(($C$4:$C$33="ZAN 13")*AW$4:AW$33)</f>
        <v>0</v>
      </c>
      <c r="AX48" s="44" t="n">
        <f aca="false">SUMPRODUCT(($C$4:$C$33="ZAN 13")*AX$4:AX$33)</f>
        <v>0</v>
      </c>
      <c r="AY48" s="44" t="n">
        <f aca="false">SUMPRODUCT(($C$4:$C$33="ZAN 13")*AY$4:AY$33)</f>
        <v>0</v>
      </c>
      <c r="AZ48" s="44" t="n">
        <f aca="false">SUMPRODUCT(($C$4:$C$33="ZAN 13")*AZ$4:AZ$33)</f>
        <v>0</v>
      </c>
      <c r="BA48" s="44" t="n">
        <f aca="false">SUMPRODUCT(($C$4:$C$33="ZAN 13")*BA$4:BA$33)</f>
        <v>0</v>
      </c>
      <c r="BB48" s="44" t="n">
        <f aca="false">SUMPRODUCT(($C$4:$C$33="ZAN 13")*BB$4:BB$33)</f>
        <v>0</v>
      </c>
    </row>
    <row r="49" customFormat="false" ht="15" hidden="false" customHeight="true" outlineLevel="0" collapsed="false">
      <c r="B49" s="47" t="s">
        <v>58</v>
      </c>
      <c r="D49" s="44" t="n">
        <f aca="false">SUM(E49:BB49)</f>
        <v>0</v>
      </c>
      <c r="E49" s="44" t="n">
        <f aca="false">SUMPRODUCT(($C$4:$C$33="ZAN 14")*E$4:E$33)</f>
        <v>0</v>
      </c>
      <c r="F49" s="44" t="n">
        <f aca="false">SUMPRODUCT(($C$4:$C$33="ZAN 14")*F$4:F$33)</f>
        <v>0</v>
      </c>
      <c r="G49" s="44" t="n">
        <f aca="false">SUMPRODUCT(($C$4:$C$33="ZAN 14")*G$4:G$33)</f>
        <v>0</v>
      </c>
      <c r="H49" s="44" t="n">
        <f aca="false">SUMPRODUCT(($C$4:$C$33="ZAN 14")*H$4:H$33)</f>
        <v>0</v>
      </c>
      <c r="I49" s="44" t="n">
        <f aca="false">SUMPRODUCT(($C$4:$C$33="ZAN 14")*I$4:I$33)</f>
        <v>0</v>
      </c>
      <c r="J49" s="44" t="n">
        <f aca="false">SUMPRODUCT(($C$4:$C$33="ZAN 14")*J$4:J$33)</f>
        <v>0</v>
      </c>
      <c r="K49" s="44" t="n">
        <f aca="false">SUMPRODUCT(($C$4:$C$33="ZAN 14")*K$4:K$33)</f>
        <v>0</v>
      </c>
      <c r="L49" s="44" t="n">
        <f aca="false">SUMPRODUCT(($C$4:$C$33="ZAN 14")*L$4:L$33)</f>
        <v>0</v>
      </c>
      <c r="M49" s="44" t="n">
        <f aca="false">SUMPRODUCT(($C$4:$C$33="ZAN 14")*M$4:M$33)</f>
        <v>0</v>
      </c>
      <c r="N49" s="44" t="n">
        <f aca="false">SUMPRODUCT(($C$4:$C$33="ZAN 14")*N$4:N$33)</f>
        <v>0</v>
      </c>
      <c r="O49" s="44" t="n">
        <f aca="false">SUMPRODUCT(($C$4:$C$33="ZAN 14")*O$4:O$33)</f>
        <v>0</v>
      </c>
      <c r="P49" s="44" t="n">
        <f aca="false">SUMPRODUCT(($C$4:$C$33="ZAN 14")*P$4:P$33)</f>
        <v>0</v>
      </c>
      <c r="Q49" s="44" t="n">
        <f aca="false">SUMPRODUCT(($C$4:$C$33="ZAN 14")*Q$4:Q$33)</f>
        <v>0</v>
      </c>
      <c r="R49" s="44" t="n">
        <f aca="false">SUMPRODUCT(($C$4:$C$33="ZAN 14")*R$4:R$33)</f>
        <v>0</v>
      </c>
      <c r="S49" s="44" t="n">
        <f aca="false">SUMPRODUCT(($C$4:$C$33="ZAN 14")*S$4:S$33)</f>
        <v>0</v>
      </c>
      <c r="T49" s="44" t="n">
        <f aca="false">SUMPRODUCT(($C$4:$C$33="ZAN 14")*T$4:T$33)</f>
        <v>0</v>
      </c>
      <c r="U49" s="44" t="n">
        <f aca="false">SUMPRODUCT(($C$4:$C$33="ZAN 14")*U$4:U$33)</f>
        <v>0</v>
      </c>
      <c r="V49" s="44" t="n">
        <f aca="false">SUMPRODUCT(($C$4:$C$33="ZAN 14")*V$4:V$33)</f>
        <v>0</v>
      </c>
      <c r="W49" s="44" t="n">
        <f aca="false">SUMPRODUCT(($C$4:$C$33="ZAN 14")*W$4:W$33)</f>
        <v>0</v>
      </c>
      <c r="X49" s="44" t="n">
        <f aca="false">SUMPRODUCT(($C$4:$C$33="ZAN 14")*X$4:X$33)</f>
        <v>0</v>
      </c>
      <c r="Y49" s="44" t="n">
        <f aca="false">SUMPRODUCT(($C$4:$C$33="ZAN 14")*Y$4:Y$33)</f>
        <v>0</v>
      </c>
      <c r="Z49" s="44" t="n">
        <f aca="false">SUMPRODUCT(($C$4:$C$33="ZAN 14")*Z$4:Z$33)</f>
        <v>0</v>
      </c>
      <c r="AA49" s="44" t="n">
        <f aca="false">SUMPRODUCT(($C$4:$C$33="ZAN 14")*AA$4:AA$33)</f>
        <v>0</v>
      </c>
      <c r="AB49" s="44" t="n">
        <f aca="false">SUMPRODUCT(($C$4:$C$33="ZAN 14")*AB$4:AB$33)</f>
        <v>0</v>
      </c>
      <c r="AC49" s="44" t="n">
        <f aca="false">SUMPRODUCT(($C$4:$C$33="ZAN 14")*AC$4:AC$33)</f>
        <v>0</v>
      </c>
      <c r="AD49" s="44" t="n">
        <f aca="false">SUMPRODUCT(($C$4:$C$33="ZAN 14")*AD$4:AD$33)</f>
        <v>0</v>
      </c>
      <c r="AE49" s="44" t="n">
        <f aca="false">SUMPRODUCT(($C$4:$C$33="ZAN 14")*AE$4:AE$33)</f>
        <v>0</v>
      </c>
      <c r="AF49" s="44" t="n">
        <f aca="false">SUMPRODUCT(($C$4:$C$33="ZAN 14")*AF$4:AF$33)</f>
        <v>0</v>
      </c>
      <c r="AG49" s="44" t="n">
        <f aca="false">SUMPRODUCT(($C$4:$C$33="ZAN 14")*AG$4:AG$33)</f>
        <v>0</v>
      </c>
      <c r="AH49" s="44" t="n">
        <f aca="false">SUMPRODUCT(($C$4:$C$33="ZAN 14")*AH$4:AH$33)</f>
        <v>0</v>
      </c>
      <c r="AI49" s="44" t="n">
        <f aca="false">SUMPRODUCT(($C$4:$C$33="ZAN 14")*AI$4:AI$33)</f>
        <v>0</v>
      </c>
      <c r="AJ49" s="44" t="n">
        <f aca="false">SUMPRODUCT(($C$4:$C$33="ZAN 14")*AJ$4:AJ$33)</f>
        <v>0</v>
      </c>
      <c r="AK49" s="44" t="n">
        <f aca="false">SUMPRODUCT(($C$4:$C$33="ZAN 14")*AK$4:AK$33)</f>
        <v>0</v>
      </c>
      <c r="AL49" s="44" t="n">
        <f aca="false">SUMPRODUCT(($C$4:$C$33="ZAN 14")*AL$4:AL$33)</f>
        <v>0</v>
      </c>
      <c r="AM49" s="44" t="n">
        <f aca="false">SUMPRODUCT(($C$4:$C$33="ZAN 14")*AM$4:AM$33)</f>
        <v>0</v>
      </c>
      <c r="AN49" s="44" t="n">
        <f aca="false">SUMPRODUCT(($C$4:$C$33="ZAN 14")*AN$4:AN$33)</f>
        <v>0</v>
      </c>
      <c r="AO49" s="44" t="n">
        <f aca="false">SUMPRODUCT(($C$4:$C$33="ZAN 14")*AO$4:AO$33)</f>
        <v>0</v>
      </c>
      <c r="AP49" s="44" t="n">
        <f aca="false">SUMPRODUCT(($C$4:$C$33="ZAN 14")*AP$4:AP$33)</f>
        <v>0</v>
      </c>
      <c r="AQ49" s="44" t="n">
        <f aca="false">SUMPRODUCT(($C$4:$C$33="ZAN 14")*AQ$4:AQ$33)</f>
        <v>0</v>
      </c>
      <c r="AR49" s="44" t="n">
        <f aca="false">SUMPRODUCT(($C$4:$C$33="ZAN 14")*AR$4:AR$33)</f>
        <v>0</v>
      </c>
      <c r="AS49" s="44" t="n">
        <f aca="false">SUMPRODUCT(($C$4:$C$33="ZAN 14")*AS$4:AS$33)</f>
        <v>0</v>
      </c>
      <c r="AT49" s="44" t="n">
        <f aca="false">SUMPRODUCT(($C$4:$C$33="ZAN 14")*AT$4:AT$33)</f>
        <v>0</v>
      </c>
      <c r="AU49" s="44" t="n">
        <f aca="false">SUMPRODUCT(($C$4:$C$33="ZAN 14")*AU$4:AU$33)</f>
        <v>0</v>
      </c>
      <c r="AV49" s="44" t="n">
        <f aca="false">SUMPRODUCT(($C$4:$C$33="ZAN 14")*AV$4:AV$33)</f>
        <v>0</v>
      </c>
      <c r="AW49" s="44" t="n">
        <f aca="false">SUMPRODUCT(($C$4:$C$33="ZAN 14")*AW$4:AW$33)</f>
        <v>0</v>
      </c>
      <c r="AX49" s="44" t="n">
        <f aca="false">SUMPRODUCT(($C$4:$C$33="ZAN 14")*AX$4:AX$33)</f>
        <v>0</v>
      </c>
      <c r="AY49" s="44" t="n">
        <f aca="false">SUMPRODUCT(($C$4:$C$33="ZAN 14")*AY$4:AY$33)</f>
        <v>0</v>
      </c>
      <c r="AZ49" s="44" t="n">
        <f aca="false">SUMPRODUCT(($C$4:$C$33="ZAN 14")*AZ$4:AZ$33)</f>
        <v>0</v>
      </c>
      <c r="BA49" s="44" t="n">
        <f aca="false">SUMPRODUCT(($C$4:$C$33="ZAN 14")*BA$4:BA$33)</f>
        <v>0</v>
      </c>
      <c r="BB49" s="44" t="n">
        <f aca="false">SUMPRODUCT(($C$4:$C$33="ZAN 14")*BB$4:BB$33)</f>
        <v>0</v>
      </c>
    </row>
    <row r="50" customFormat="false" ht="15" hidden="false" customHeight="true" outlineLevel="0" collapsed="false">
      <c r="B50" s="47" t="s">
        <v>59</v>
      </c>
      <c r="D50" s="44" t="n">
        <f aca="false">SUM(E50:BB50)</f>
        <v>0</v>
      </c>
      <c r="E50" s="44" t="n">
        <f aca="false">SUMPRODUCT(($C$4:$C$33="ZAN 15")*E$4:E$33)</f>
        <v>0</v>
      </c>
      <c r="F50" s="44" t="n">
        <f aca="false">SUMPRODUCT(($C$4:$C$33="ZAN 15")*F$4:F$33)</f>
        <v>0</v>
      </c>
      <c r="G50" s="44" t="n">
        <f aca="false">SUMPRODUCT(($C$4:$C$33="ZAN 15")*G$4:G$33)</f>
        <v>0</v>
      </c>
      <c r="H50" s="44" t="n">
        <f aca="false">SUMPRODUCT(($C$4:$C$33="ZAN 15")*H$4:H$33)</f>
        <v>0</v>
      </c>
      <c r="I50" s="44" t="n">
        <f aca="false">SUMPRODUCT(($C$4:$C$33="ZAN 15")*I$4:I$33)</f>
        <v>0</v>
      </c>
      <c r="J50" s="44" t="n">
        <f aca="false">SUMPRODUCT(($C$4:$C$33="ZAN 15")*J$4:J$33)</f>
        <v>0</v>
      </c>
      <c r="K50" s="44" t="n">
        <f aca="false">SUMPRODUCT(($C$4:$C$33="ZAN 15")*K$4:K$33)</f>
        <v>0</v>
      </c>
      <c r="L50" s="44" t="n">
        <f aca="false">SUMPRODUCT(($C$4:$C$33="ZAN 15")*L$4:L$33)</f>
        <v>0</v>
      </c>
      <c r="M50" s="44" t="n">
        <f aca="false">SUMPRODUCT(($C$4:$C$33="ZAN 15")*M$4:M$33)</f>
        <v>0</v>
      </c>
      <c r="N50" s="44" t="n">
        <f aca="false">SUMPRODUCT(($C$4:$C$33="ZAN 15")*N$4:N$33)</f>
        <v>0</v>
      </c>
      <c r="O50" s="44" t="n">
        <f aca="false">SUMPRODUCT(($C$4:$C$33="ZAN 15")*O$4:O$33)</f>
        <v>0</v>
      </c>
      <c r="P50" s="44" t="n">
        <f aca="false">SUMPRODUCT(($C$4:$C$33="ZAN 15")*P$4:P$33)</f>
        <v>0</v>
      </c>
      <c r="Q50" s="44" t="n">
        <f aca="false">SUMPRODUCT(($C$4:$C$33="ZAN 15")*Q$4:Q$33)</f>
        <v>0</v>
      </c>
      <c r="R50" s="44" t="n">
        <f aca="false">SUMPRODUCT(($C$4:$C$33="ZAN 15")*R$4:R$33)</f>
        <v>0</v>
      </c>
      <c r="S50" s="44" t="n">
        <f aca="false">SUMPRODUCT(($C$4:$C$33="ZAN 15")*S$4:S$33)</f>
        <v>0</v>
      </c>
      <c r="T50" s="44" t="n">
        <f aca="false">SUMPRODUCT(($C$4:$C$33="ZAN 15")*T$4:T$33)</f>
        <v>0</v>
      </c>
      <c r="U50" s="44" t="n">
        <f aca="false">SUMPRODUCT(($C$4:$C$33="ZAN 15")*U$4:U$33)</f>
        <v>0</v>
      </c>
      <c r="V50" s="44" t="n">
        <f aca="false">SUMPRODUCT(($C$4:$C$33="ZAN 15")*V$4:V$33)</f>
        <v>0</v>
      </c>
      <c r="W50" s="44" t="n">
        <f aca="false">SUMPRODUCT(($C$4:$C$33="ZAN 15")*W$4:W$33)</f>
        <v>0</v>
      </c>
      <c r="X50" s="44" t="n">
        <f aca="false">SUMPRODUCT(($C$4:$C$33="ZAN 15")*X$4:X$33)</f>
        <v>0</v>
      </c>
      <c r="Y50" s="44" t="n">
        <f aca="false">SUMPRODUCT(($C$4:$C$33="ZAN 15")*Y$4:Y$33)</f>
        <v>0</v>
      </c>
      <c r="Z50" s="44" t="n">
        <f aca="false">SUMPRODUCT(($C$4:$C$33="ZAN 15")*Z$4:Z$33)</f>
        <v>0</v>
      </c>
      <c r="AA50" s="44" t="n">
        <f aca="false">SUMPRODUCT(($C$4:$C$33="ZAN 15")*AA$4:AA$33)</f>
        <v>0</v>
      </c>
      <c r="AB50" s="44" t="n">
        <f aca="false">SUMPRODUCT(($C$4:$C$33="ZAN 15")*AB$4:AB$33)</f>
        <v>0</v>
      </c>
      <c r="AC50" s="44" t="n">
        <f aca="false">SUMPRODUCT(($C$4:$C$33="ZAN 15")*AC$4:AC$33)</f>
        <v>0</v>
      </c>
      <c r="AD50" s="44" t="n">
        <f aca="false">SUMPRODUCT(($C$4:$C$33="ZAN 15")*AD$4:AD$33)</f>
        <v>0</v>
      </c>
      <c r="AE50" s="44" t="n">
        <f aca="false">SUMPRODUCT(($C$4:$C$33="ZAN 15")*AE$4:AE$33)</f>
        <v>0</v>
      </c>
      <c r="AF50" s="44" t="n">
        <f aca="false">SUMPRODUCT(($C$4:$C$33="ZAN 15")*AF$4:AF$33)</f>
        <v>0</v>
      </c>
      <c r="AG50" s="44" t="n">
        <f aca="false">SUMPRODUCT(($C$4:$C$33="ZAN 15")*AG$4:AG$33)</f>
        <v>0</v>
      </c>
      <c r="AH50" s="44" t="n">
        <f aca="false">SUMPRODUCT(($C$4:$C$33="ZAN 15")*AH$4:AH$33)</f>
        <v>0</v>
      </c>
      <c r="AI50" s="44" t="n">
        <f aca="false">SUMPRODUCT(($C$4:$C$33="ZAN 15")*AI$4:AI$33)</f>
        <v>0</v>
      </c>
      <c r="AJ50" s="44" t="n">
        <f aca="false">SUMPRODUCT(($C$4:$C$33="ZAN 15")*AJ$4:AJ$33)</f>
        <v>0</v>
      </c>
      <c r="AK50" s="44" t="n">
        <f aca="false">SUMPRODUCT(($C$4:$C$33="ZAN 15")*AK$4:AK$33)</f>
        <v>0</v>
      </c>
      <c r="AL50" s="44" t="n">
        <f aca="false">SUMPRODUCT(($C$4:$C$33="ZAN 15")*AL$4:AL$33)</f>
        <v>0</v>
      </c>
      <c r="AM50" s="44" t="n">
        <f aca="false">SUMPRODUCT(($C$4:$C$33="ZAN 15")*AM$4:AM$33)</f>
        <v>0</v>
      </c>
      <c r="AN50" s="44" t="n">
        <f aca="false">SUMPRODUCT(($C$4:$C$33="ZAN 15")*AN$4:AN$33)</f>
        <v>0</v>
      </c>
      <c r="AO50" s="44" t="n">
        <f aca="false">SUMPRODUCT(($C$4:$C$33="ZAN 15")*AO$4:AO$33)</f>
        <v>0</v>
      </c>
      <c r="AP50" s="44" t="n">
        <f aca="false">SUMPRODUCT(($C$4:$C$33="ZAN 15")*AP$4:AP$33)</f>
        <v>0</v>
      </c>
      <c r="AQ50" s="44" t="n">
        <f aca="false">SUMPRODUCT(($C$4:$C$33="ZAN 15")*AQ$4:AQ$33)</f>
        <v>0</v>
      </c>
      <c r="AR50" s="44" t="n">
        <f aca="false">SUMPRODUCT(($C$4:$C$33="ZAN 15")*AR$4:AR$33)</f>
        <v>0</v>
      </c>
      <c r="AS50" s="44" t="n">
        <f aca="false">SUMPRODUCT(($C$4:$C$33="ZAN 15")*AS$4:AS$33)</f>
        <v>0</v>
      </c>
      <c r="AT50" s="44" t="n">
        <f aca="false">SUMPRODUCT(($C$4:$C$33="ZAN 15")*AT$4:AT$33)</f>
        <v>0</v>
      </c>
      <c r="AU50" s="44" t="n">
        <f aca="false">SUMPRODUCT(($C$4:$C$33="ZAN 15")*AU$4:AU$33)</f>
        <v>0</v>
      </c>
      <c r="AV50" s="44" t="n">
        <f aca="false">SUMPRODUCT(($C$4:$C$33="ZAN 15")*AV$4:AV$33)</f>
        <v>0</v>
      </c>
      <c r="AW50" s="44" t="n">
        <f aca="false">SUMPRODUCT(($C$4:$C$33="ZAN 15")*AW$4:AW$33)</f>
        <v>0</v>
      </c>
      <c r="AX50" s="44" t="n">
        <f aca="false">SUMPRODUCT(($C$4:$C$33="ZAN 15")*AX$4:AX$33)</f>
        <v>0</v>
      </c>
      <c r="AY50" s="44" t="n">
        <f aca="false">SUMPRODUCT(($C$4:$C$33="ZAN 15")*AY$4:AY$33)</f>
        <v>0</v>
      </c>
      <c r="AZ50" s="44" t="n">
        <f aca="false">SUMPRODUCT(($C$4:$C$33="ZAN 15")*AZ$4:AZ$33)</f>
        <v>0</v>
      </c>
      <c r="BA50" s="44" t="n">
        <f aca="false">SUMPRODUCT(($C$4:$C$33="ZAN 15")*BA$4:BA$33)</f>
        <v>0</v>
      </c>
      <c r="BB50" s="44" t="n">
        <f aca="false">SUMPRODUCT(($C$4:$C$33="ZAN 15")*BB$4:BB$33)</f>
        <v>0</v>
      </c>
    </row>
    <row r="52" customFormat="false" ht="15" hidden="false" customHeight="true" outlineLevel="0" collapsed="false">
      <c r="B52" s="48" t="s">
        <v>253</v>
      </c>
      <c r="D52" s="44" t="n">
        <f aca="false">SUM(D4:D33)</f>
        <v>12061937230.1221</v>
      </c>
      <c r="E52" s="44" t="n">
        <f aca="false">SUM(E36:E50)</f>
        <v>0</v>
      </c>
      <c r="F52" s="44" t="n">
        <f aca="false">SUM(F36:F50)</f>
        <v>0</v>
      </c>
      <c r="G52" s="44" t="n">
        <f aca="false">SUM(G36:G50)</f>
        <v>0</v>
      </c>
      <c r="H52" s="44" t="n">
        <f aca="false">SUM(H36:H50)</f>
        <v>601866</v>
      </c>
      <c r="I52" s="44" t="n">
        <f aca="false">SUM(I36:I50)</f>
        <v>1212759.99</v>
      </c>
      <c r="J52" s="44" t="n">
        <f aca="false">SUM(J36:J50)</f>
        <v>34337970.3516824</v>
      </c>
      <c r="K52" s="44" t="n">
        <f aca="false">SUM(K36:K50)</f>
        <v>85210050.8472408</v>
      </c>
      <c r="L52" s="44" t="n">
        <f aca="false">SUM(L36:L50)</f>
        <v>159181127.274432</v>
      </c>
      <c r="M52" s="44" t="n">
        <f aca="false">SUM(M36:M50)</f>
        <v>207261772.325418</v>
      </c>
      <c r="N52" s="44" t="n">
        <f aca="false">SUM(N36:N50)</f>
        <v>237343278.733009</v>
      </c>
      <c r="O52" s="44" t="n">
        <f aca="false">SUM(O36:O50)</f>
        <v>244082823.996984</v>
      </c>
      <c r="P52" s="44" t="n">
        <f aca="false">SUM(P36:P50)</f>
        <v>245913445.176962</v>
      </c>
      <c r="Q52" s="44" t="n">
        <f aca="false">SUM(Q36:Q50)</f>
        <v>247757796.015789</v>
      </c>
      <c r="R52" s="44" t="n">
        <f aca="false">SUM(R36:R50)</f>
        <v>249615979.485907</v>
      </c>
      <c r="S52" s="44" t="n">
        <f aca="false">SUM(S36:S50)</f>
        <v>251488099.332052</v>
      </c>
      <c r="T52" s="44" t="n">
        <f aca="false">SUM(T36:T50)</f>
        <v>253374260.077042</v>
      </c>
      <c r="U52" s="44" t="n">
        <f aca="false">SUM(U36:U50)</f>
        <v>255274567.02762</v>
      </c>
      <c r="V52" s="44" t="n">
        <f aca="false">SUM(V36:V50)</f>
        <v>257189126.280327</v>
      </c>
      <c r="W52" s="44" t="n">
        <f aca="false">SUM(W36:W50)</f>
        <v>259118044.72743</v>
      </c>
      <c r="X52" s="44" t="n">
        <f aca="false">SUM(X36:X50)</f>
        <v>261061430.062885</v>
      </c>
      <c r="Y52" s="44" t="n">
        <f aca="false">SUM(Y36:Y50)</f>
        <v>263019390.788357</v>
      </c>
      <c r="Z52" s="44" t="n">
        <f aca="false">SUM(Z36:Z50)</f>
        <v>264992036.21927</v>
      </c>
      <c r="AA52" s="44" t="n">
        <f aca="false">SUM(AA36:AA50)</f>
        <v>266979476.490914</v>
      </c>
      <c r="AB52" s="44" t="n">
        <f aca="false">SUM(AB36:AB50)</f>
        <v>268981822.564596</v>
      </c>
      <c r="AC52" s="44" t="n">
        <f aca="false">SUM(AC36:AC50)</f>
        <v>270999186.233831</v>
      </c>
      <c r="AD52" s="44" t="n">
        <f aca="false">SUM(AD36:AD50)</f>
        <v>273031680.130584</v>
      </c>
      <c r="AE52" s="44" t="n">
        <f aca="false">SUM(AE36:AE50)</f>
        <v>275079417.731564</v>
      </c>
      <c r="AF52" s="44" t="n">
        <f aca="false">SUM(AF36:AF50)</f>
        <v>277142513.364551</v>
      </c>
      <c r="AG52" s="44" t="n">
        <f aca="false">SUM(AG36:AG50)</f>
        <v>279221082.214785</v>
      </c>
      <c r="AH52" s="44" t="n">
        <f aca="false">SUM(AH36:AH50)</f>
        <v>281315240.331396</v>
      </c>
      <c r="AI52" s="44" t="n">
        <f aca="false">SUM(AI36:AI50)</f>
        <v>283425104.633881</v>
      </c>
      <c r="AJ52" s="44" t="n">
        <f aca="false">SUM(AJ36:AJ50)</f>
        <v>285550792.918635</v>
      </c>
      <c r="AK52" s="44" t="n">
        <f aca="false">SUM(AK36:AK50)</f>
        <v>287692423.865525</v>
      </c>
      <c r="AL52" s="44" t="n">
        <f aca="false">SUM(AL36:AL50)</f>
        <v>289850117.044516</v>
      </c>
      <c r="AM52" s="44" t="n">
        <f aca="false">SUM(AM36:AM50)</f>
        <v>292023992.92235</v>
      </c>
      <c r="AN52" s="44" t="n">
        <f aca="false">SUM(AN36:AN50)</f>
        <v>294214172.869268</v>
      </c>
      <c r="AO52" s="44" t="n">
        <f aca="false">SUM(AO36:AO50)</f>
        <v>296420779.165787</v>
      </c>
      <c r="AP52" s="44" t="n">
        <f aca="false">SUM(AP36:AP50)</f>
        <v>298643935.009531</v>
      </c>
      <c r="AQ52" s="44" t="n">
        <f aca="false">SUM(AQ36:AQ50)</f>
        <v>300883764.522102</v>
      </c>
      <c r="AR52" s="44" t="n">
        <f aca="false">SUM(AR36:AR50)</f>
        <v>303140392.756018</v>
      </c>
      <c r="AS52" s="44" t="n">
        <f aca="false">SUM(AS36:AS50)</f>
        <v>305413945.701688</v>
      </c>
      <c r="AT52" s="44" t="n">
        <f aca="false">SUM(AT36:AT50)</f>
        <v>307704550.294451</v>
      </c>
      <c r="AU52" s="44" t="n">
        <f aca="false">SUM(AU36:AU50)</f>
        <v>310012334.421659</v>
      </c>
      <c r="AV52" s="44" t="n">
        <f aca="false">SUM(AV36:AV50)</f>
        <v>312337426.929822</v>
      </c>
      <c r="AW52" s="44" t="n">
        <f aca="false">SUM(AW36:AW50)</f>
        <v>314679957.631796</v>
      </c>
      <c r="AX52" s="44" t="n">
        <f aca="false">SUM(AX36:AX50)</f>
        <v>317040057.314034</v>
      </c>
      <c r="AY52" s="44" t="n">
        <f aca="false">SUM(AY36:AY50)</f>
        <v>319417857.743889</v>
      </c>
      <c r="AZ52" s="44" t="n">
        <f aca="false">SUM(AZ36:AZ50)</f>
        <v>321813491.676969</v>
      </c>
      <c r="BA52" s="44" t="n">
        <f aca="false">SUM(BA36:BA50)</f>
        <v>324227092.864546</v>
      </c>
      <c r="BB52" s="44" t="n">
        <f aca="false">SUM(BB36:BB50)</f>
        <v>326658796.06103</v>
      </c>
    </row>
    <row r="92" customFormat="false" ht="15" hidden="false" customHeight="true" outlineLevel="1" collapsed="false">
      <c r="A92" s="49" t="s">
        <v>238</v>
      </c>
      <c r="B92" s="49"/>
      <c r="C92" s="49"/>
      <c r="D92" s="49"/>
      <c r="E92" s="49"/>
      <c r="F92" s="49"/>
      <c r="G92" s="49"/>
      <c r="H92" s="49"/>
    </row>
    <row r="93" customFormat="false" ht="15" hidden="false" customHeight="true" outlineLevel="1" collapsed="false">
      <c r="A93" s="50" t="s">
        <v>239</v>
      </c>
      <c r="B93" s="51" t="s">
        <v>240</v>
      </c>
      <c r="C93" s="52" t="n">
        <f aca="false">Inputs!C7</f>
        <v>2026</v>
      </c>
      <c r="D93" s="51" t="s">
        <v>254</v>
      </c>
      <c r="E93" s="54" t="n">
        <f aca="false">Inputs!C38</f>
        <v>1</v>
      </c>
    </row>
    <row r="94" customFormat="false" ht="15" hidden="false" customHeight="true" outlineLevel="1" collapsed="false">
      <c r="A94" s="50" t="s">
        <v>229</v>
      </c>
      <c r="B94" s="50" t="s">
        <v>230</v>
      </c>
      <c r="C94" s="50" t="s">
        <v>64</v>
      </c>
      <c r="D94" s="50" t="s">
        <v>255</v>
      </c>
      <c r="E94" s="50" t="s">
        <v>256</v>
      </c>
      <c r="F94" s="50" t="s">
        <v>257</v>
      </c>
      <c r="G94" s="50" t="s">
        <v>258</v>
      </c>
      <c r="H94" s="50" t="s">
        <v>259</v>
      </c>
    </row>
    <row r="95" customFormat="false" ht="15" hidden="false" customHeight="true" outlineLevel="1" collapsed="false">
      <c r="A95" s="44" t="n">
        <f aca="false">1</f>
        <v>1</v>
      </c>
      <c r="B95" s="52" t="str">
        <f aca="false">Program!C4</f>
        <v>Hotel</v>
      </c>
      <c r="C95" s="52" t="str">
        <f aca="false">Program!A4</f>
        <v>ZAN 1</v>
      </c>
      <c r="D95" s="52" t="n">
        <f aca="false">Program!V4</f>
        <v>2031</v>
      </c>
      <c r="E95" s="52" t="n">
        <f aca="false">Program!W4</f>
        <v>13901056.6333333</v>
      </c>
      <c r="F95" s="53" t="n">
        <f aca="false">Program!N4</f>
        <v>0.0075</v>
      </c>
      <c r="G95" s="52" t="n">
        <f aca="false">Program!O4</f>
        <v>4</v>
      </c>
      <c r="H95" s="53" t="n">
        <f aca="false">Program!X4</f>
        <v>1</v>
      </c>
    </row>
    <row r="96" customFormat="false" ht="15" hidden="false" customHeight="true" outlineLevel="1" collapsed="false">
      <c r="A96" s="44" t="n">
        <f aca="false">2</f>
        <v>2</v>
      </c>
      <c r="B96" s="52" t="str">
        <f aca="false">Program!C5</f>
        <v>Retail - Sport Complex</v>
      </c>
      <c r="C96" s="52" t="str">
        <f aca="false">Program!A5</f>
        <v>ZAN 1</v>
      </c>
      <c r="D96" s="52" t="n">
        <f aca="false">Program!V5</f>
        <v>2029</v>
      </c>
      <c r="E96" s="52" t="n">
        <f aca="false">Program!W5</f>
        <v>1038000</v>
      </c>
      <c r="F96" s="53" t="n">
        <f aca="false">Program!N5</f>
        <v>0.0075</v>
      </c>
      <c r="G96" s="52" t="n">
        <f aca="false">Program!O5</f>
        <v>3</v>
      </c>
      <c r="H96" s="53" t="n">
        <f aca="false">Program!X5</f>
        <v>0.9</v>
      </c>
    </row>
    <row r="97" customFormat="false" ht="15" hidden="false" customHeight="true" outlineLevel="1" collapsed="false">
      <c r="A97" s="44" t="n">
        <f aca="false">3</f>
        <v>3</v>
      </c>
      <c r="B97" s="52" t="str">
        <f aca="false">Program!C6</f>
        <v>Parking &amp; Landscaping ZAN1</v>
      </c>
      <c r="C97" s="52" t="str">
        <f aca="false">Program!A6</f>
        <v>ZAN 1</v>
      </c>
      <c r="D97" s="52" t="n">
        <f aca="false">Program!V6</f>
        <v>2031</v>
      </c>
      <c r="E97" s="52" t="n">
        <f aca="false">Program!W6</f>
        <v>0</v>
      </c>
      <c r="F97" s="53" t="n">
        <f aca="false">Program!N6</f>
        <v>0</v>
      </c>
      <c r="G97" s="52" t="n">
        <f aca="false">Program!O6</f>
        <v>0</v>
      </c>
      <c r="H97" s="53" t="n">
        <f aca="false">Program!X6</f>
        <v>0</v>
      </c>
    </row>
    <row r="98" customFormat="false" ht="15" hidden="false" customHeight="true" outlineLevel="1" collapsed="false">
      <c r="A98" s="44" t="n">
        <f aca="false">4</f>
        <v>4</v>
      </c>
      <c r="B98" s="52" t="str">
        <f aca="false">Program!C7</f>
        <v>Fuel Station</v>
      </c>
      <c r="C98" s="52" t="str">
        <f aca="false">Program!A7</f>
        <v>ZAN 1</v>
      </c>
      <c r="D98" s="52" t="n">
        <f aca="false">Program!V7</f>
        <v>2029</v>
      </c>
      <c r="E98" s="52" t="n">
        <f aca="false">Program!W7</f>
        <v>968220</v>
      </c>
      <c r="F98" s="53" t="n">
        <f aca="false">Program!N7</f>
        <v>0.0075</v>
      </c>
      <c r="G98" s="52" t="n">
        <f aca="false">Program!O7</f>
        <v>3</v>
      </c>
      <c r="H98" s="53" t="n">
        <f aca="false">Program!X7</f>
        <v>0.9</v>
      </c>
    </row>
    <row r="99" customFormat="false" ht="15" hidden="false" customHeight="true" outlineLevel="1" collapsed="false">
      <c r="A99" s="44" t="n">
        <f aca="false">5</f>
        <v>5</v>
      </c>
      <c r="B99" s="52" t="str">
        <f aca="false">Program!C8</f>
        <v>Marina Berths</v>
      </c>
      <c r="C99" s="52" t="str">
        <f aca="false">Program!A8</f>
        <v>ZAN 1</v>
      </c>
      <c r="D99" s="52" t="n">
        <f aca="false">Program!V8</f>
        <v>2031</v>
      </c>
      <c r="E99" s="52" t="n">
        <f aca="false">Program!W8</f>
        <v>1129330.63384615</v>
      </c>
      <c r="F99" s="53" t="n">
        <f aca="false">Program!N8</f>
        <v>0.0075</v>
      </c>
      <c r="G99" s="52" t="n">
        <f aca="false">Program!O8</f>
        <v>4</v>
      </c>
      <c r="H99" s="53" t="n">
        <f aca="false">Program!X8</f>
        <v>1</v>
      </c>
    </row>
    <row r="100" customFormat="false" ht="15" hidden="false" customHeight="true" outlineLevel="1" collapsed="false">
      <c r="A100" s="44" t="n">
        <f aca="false">6</f>
        <v>6</v>
      </c>
      <c r="B100" s="52" t="str">
        <f aca="false">Program!C9</f>
        <v>Marina Mall</v>
      </c>
      <c r="C100" s="52" t="str">
        <f aca="false">Program!A9</f>
        <v>ZAN 1</v>
      </c>
      <c r="D100" s="52" t="n">
        <f aca="false">Program!V9</f>
        <v>2031</v>
      </c>
      <c r="E100" s="52" t="n">
        <f aca="false">Program!W9</f>
        <v>52516800</v>
      </c>
      <c r="F100" s="53" t="n">
        <f aca="false">Program!N9</f>
        <v>0.0075</v>
      </c>
      <c r="G100" s="52" t="n">
        <f aca="false">Program!O9</f>
        <v>3</v>
      </c>
      <c r="H100" s="53" t="n">
        <f aca="false">Program!X9</f>
        <v>0.9</v>
      </c>
    </row>
    <row r="101" customFormat="false" ht="15" hidden="false" customHeight="true" outlineLevel="1" collapsed="false">
      <c r="A101" s="44" t="n">
        <f aca="false">7</f>
        <v>7</v>
      </c>
      <c r="B101" s="52" t="str">
        <f aca="false">Program!C10</f>
        <v>Seafront Mall</v>
      </c>
      <c r="C101" s="52" t="str">
        <f aca="false">Program!A10</f>
        <v>ZAN 2</v>
      </c>
      <c r="D101" s="52" t="n">
        <f aca="false">Program!V10</f>
        <v>2031</v>
      </c>
      <c r="E101" s="52" t="n">
        <f aca="false">Program!W10</f>
        <v>16052400</v>
      </c>
      <c r="F101" s="53" t="n">
        <f aca="false">Program!N10</f>
        <v>0.0075</v>
      </c>
      <c r="G101" s="52" t="n">
        <f aca="false">Program!O10</f>
        <v>3</v>
      </c>
      <c r="H101" s="53" t="n">
        <f aca="false">Program!X10</f>
        <v>0.9</v>
      </c>
    </row>
    <row r="102" customFormat="false" ht="15" hidden="false" customHeight="true" outlineLevel="1" collapsed="false">
      <c r="A102" s="44" t="n">
        <f aca="false">8</f>
        <v>8</v>
      </c>
      <c r="B102" s="52" t="str">
        <f aca="false">Program!C11</f>
        <v>Flexible Block (Office)</v>
      </c>
      <c r="C102" s="52" t="str">
        <f aca="false">Program!A11</f>
        <v>ZAN 2</v>
      </c>
      <c r="D102" s="52" t="n">
        <f aca="false">Program!V11</f>
        <v>2032</v>
      </c>
      <c r="E102" s="52" t="n">
        <f aca="false">Program!W11</f>
        <v>8068880</v>
      </c>
      <c r="F102" s="53" t="n">
        <f aca="false">Program!N11</f>
        <v>0.0075</v>
      </c>
      <c r="G102" s="52" t="n">
        <f aca="false">Program!O11</f>
        <v>3</v>
      </c>
      <c r="H102" s="53" t="n">
        <f aca="false">Program!X11</f>
        <v>0.9</v>
      </c>
    </row>
    <row r="103" customFormat="false" ht="15" hidden="false" customHeight="true" outlineLevel="1" collapsed="false">
      <c r="A103" s="44" t="n">
        <f aca="false">9</f>
        <v>9</v>
      </c>
      <c r="B103" s="52" t="str">
        <f aca="false">Program!C12</f>
        <v>Resort</v>
      </c>
      <c r="C103" s="52" t="str">
        <f aca="false">Program!A12</f>
        <v>ZAN 2</v>
      </c>
      <c r="D103" s="52" t="n">
        <f aca="false">Program!V12</f>
        <v>2033</v>
      </c>
      <c r="E103" s="52" t="n">
        <f aca="false">Program!W12</f>
        <v>19398142.859375</v>
      </c>
      <c r="F103" s="53" t="n">
        <f aca="false">Program!N12</f>
        <v>0.0075</v>
      </c>
      <c r="G103" s="52" t="n">
        <f aca="false">Program!O12</f>
        <v>4</v>
      </c>
      <c r="H103" s="53" t="n">
        <f aca="false">Program!X12</f>
        <v>1</v>
      </c>
    </row>
    <row r="104" customFormat="false" ht="15" hidden="false" customHeight="true" outlineLevel="1" collapsed="false">
      <c r="A104" s="44" t="n">
        <f aca="false">10</f>
        <v>10</v>
      </c>
      <c r="B104" s="52" t="str">
        <f aca="false">Program!C13</f>
        <v>Supermarket</v>
      </c>
      <c r="C104" s="52" t="str">
        <f aca="false">Program!A13</f>
        <v>ZAN 2</v>
      </c>
      <c r="D104" s="52" t="n">
        <f aca="false">Program!V13</f>
        <v>2031</v>
      </c>
      <c r="E104" s="52" t="n">
        <f aca="false">Program!W13</f>
        <v>1819800</v>
      </c>
      <c r="F104" s="53" t="n">
        <f aca="false">Program!N13</f>
        <v>0.0075</v>
      </c>
      <c r="G104" s="52" t="n">
        <f aca="false">Program!O13</f>
        <v>2</v>
      </c>
      <c r="H104" s="53" t="n">
        <f aca="false">Program!X13</f>
        <v>0.9</v>
      </c>
    </row>
    <row r="105" customFormat="false" ht="15" hidden="false" customHeight="true" outlineLevel="1" collapsed="false">
      <c r="A105" s="44" t="n">
        <f aca="false">11</f>
        <v>11</v>
      </c>
      <c r="B105" s="52" t="str">
        <f aca="false">Program!C14</f>
        <v>Shops / Cafes</v>
      </c>
      <c r="C105" s="52" t="str">
        <f aca="false">Program!A14</f>
        <v>ZAN 2</v>
      </c>
      <c r="D105" s="52" t="n">
        <f aca="false">Program!V14</f>
        <v>2031</v>
      </c>
      <c r="E105" s="52" t="n">
        <f aca="false">Program!W14</f>
        <v>2100600</v>
      </c>
      <c r="F105" s="53" t="n">
        <f aca="false">Program!N14</f>
        <v>0.0075</v>
      </c>
      <c r="G105" s="52" t="n">
        <f aca="false">Program!O14</f>
        <v>2</v>
      </c>
      <c r="H105" s="53" t="n">
        <f aca="false">Program!X14</f>
        <v>0.9</v>
      </c>
    </row>
    <row r="106" customFormat="false" ht="15" hidden="false" customHeight="true" outlineLevel="1" collapsed="false">
      <c r="A106" s="44" t="n">
        <f aca="false">12</f>
        <v>12</v>
      </c>
      <c r="B106" s="52" t="str">
        <f aca="false">Program!C15</f>
        <v>Shopping Area</v>
      </c>
      <c r="C106" s="52" t="str">
        <f aca="false">Program!A15</f>
        <v>ZAN 2</v>
      </c>
      <c r="D106" s="52" t="n">
        <f aca="false">Program!V15</f>
        <v>2031</v>
      </c>
      <c r="E106" s="52" t="n">
        <f aca="false">Program!W15</f>
        <v>6602400</v>
      </c>
      <c r="F106" s="53" t="n">
        <f aca="false">Program!N15</f>
        <v>0.0075</v>
      </c>
      <c r="G106" s="52" t="n">
        <f aca="false">Program!O15</f>
        <v>2</v>
      </c>
      <c r="H106" s="53" t="n">
        <f aca="false">Program!X15</f>
        <v>0.9</v>
      </c>
    </row>
    <row r="107" customFormat="false" ht="15" hidden="false" customHeight="true" outlineLevel="1" collapsed="false">
      <c r="A107" s="44" t="n">
        <f aca="false">13</f>
        <v>13</v>
      </c>
      <c r="B107" s="52" t="str">
        <f aca="false">Program!C16</f>
        <v>Shops / Cafes</v>
      </c>
      <c r="C107" s="52" t="str">
        <f aca="false">Program!A16</f>
        <v>ZAN 2</v>
      </c>
      <c r="D107" s="52" t="n">
        <f aca="false">Program!V16</f>
        <v>2031</v>
      </c>
      <c r="E107" s="52" t="n">
        <f aca="false">Program!W16</f>
        <v>2100600</v>
      </c>
      <c r="F107" s="53" t="n">
        <f aca="false">Program!N16</f>
        <v>0.0075</v>
      </c>
      <c r="G107" s="52" t="n">
        <f aca="false">Program!O16</f>
        <v>2</v>
      </c>
      <c r="H107" s="53" t="n">
        <f aca="false">Program!X16</f>
        <v>0.9</v>
      </c>
    </row>
    <row r="108" customFormat="false" ht="15" hidden="false" customHeight="true" outlineLevel="1" collapsed="false">
      <c r="A108" s="44" t="n">
        <f aca="false">14</f>
        <v>14</v>
      </c>
      <c r="B108" s="52" t="str">
        <f aca="false">Program!C17</f>
        <v>Parking &amp; Landscaping ZAN2</v>
      </c>
      <c r="C108" s="52" t="str">
        <f aca="false">Program!A17</f>
        <v>ZAN 2</v>
      </c>
      <c r="D108" s="52" t="n">
        <f aca="false">Program!V17</f>
        <v>2031</v>
      </c>
      <c r="E108" s="52" t="n">
        <f aca="false">Program!W17</f>
        <v>0</v>
      </c>
      <c r="F108" s="53" t="n">
        <f aca="false">Program!N17</f>
        <v>0</v>
      </c>
      <c r="G108" s="52" t="n">
        <f aca="false">Program!O17</f>
        <v>0</v>
      </c>
      <c r="H108" s="53" t="n">
        <f aca="false">Program!X17</f>
        <v>0</v>
      </c>
    </row>
    <row r="109" customFormat="false" ht="15" hidden="false" customHeight="true" outlineLevel="1" collapsed="false">
      <c r="A109" s="44" t="n">
        <f aca="false">15</f>
        <v>15</v>
      </c>
      <c r="B109" s="52" t="str">
        <f aca="false">Program!C18</f>
        <v>Office Block</v>
      </c>
      <c r="C109" s="52" t="str">
        <f aca="false">Program!A18</f>
        <v>ZAN 2</v>
      </c>
      <c r="D109" s="52" t="n">
        <f aca="false">Program!V18</f>
        <v>2032</v>
      </c>
      <c r="E109" s="52" t="n">
        <f aca="false">Program!W18</f>
        <v>13307490</v>
      </c>
      <c r="F109" s="53" t="n">
        <f aca="false">Program!N18</f>
        <v>0.0075</v>
      </c>
      <c r="G109" s="52" t="n">
        <f aca="false">Program!O18</f>
        <v>3</v>
      </c>
      <c r="H109" s="53" t="n">
        <f aca="false">Program!X18</f>
        <v>0.9</v>
      </c>
    </row>
    <row r="110" customFormat="false" ht="15" hidden="false" customHeight="true" outlineLevel="1" collapsed="false">
      <c r="A110" s="44" t="n">
        <f aca="false">16</f>
        <v>16</v>
      </c>
      <c r="B110" s="52" t="str">
        <f aca="false">Program!C19</f>
        <v>Flexible Block (Residential)</v>
      </c>
      <c r="C110" s="52" t="str">
        <f aca="false">Program!A19</f>
        <v>ZAN 2</v>
      </c>
      <c r="D110" s="52" t="n">
        <f aca="false">Program!V19</f>
        <v>2032</v>
      </c>
      <c r="E110" s="52" t="n">
        <f aca="false">Program!W19</f>
        <v>10935037.5</v>
      </c>
      <c r="F110" s="53" t="n">
        <f aca="false">Program!N19</f>
        <v>0.0075</v>
      </c>
      <c r="G110" s="52" t="n">
        <f aca="false">Program!O19</f>
        <v>3</v>
      </c>
      <c r="H110" s="53" t="n">
        <f aca="false">Program!X19</f>
        <v>0.9</v>
      </c>
    </row>
    <row r="111" customFormat="false" ht="15" hidden="false" customHeight="true" outlineLevel="1" collapsed="false">
      <c r="A111" s="44" t="n">
        <f aca="false">17</f>
        <v>17</v>
      </c>
      <c r="B111" s="52" t="str">
        <f aca="false">Program!C20</f>
        <v>Flexible Block</v>
      </c>
      <c r="C111" s="52" t="str">
        <f aca="false">Program!A20</f>
        <v>ZAN 2</v>
      </c>
      <c r="D111" s="52" t="n">
        <f aca="false">Program!V20</f>
        <v>2032</v>
      </c>
      <c r="E111" s="52" t="n">
        <f aca="false">Program!W20</f>
        <v>13134880</v>
      </c>
      <c r="F111" s="53" t="n">
        <f aca="false">Program!N20</f>
        <v>0.0075</v>
      </c>
      <c r="G111" s="52" t="n">
        <f aca="false">Program!O20</f>
        <v>3</v>
      </c>
      <c r="H111" s="53" t="n">
        <f aca="false">Program!X20</f>
        <v>0.9</v>
      </c>
    </row>
    <row r="112" customFormat="false" ht="15" hidden="false" customHeight="true" outlineLevel="1" collapsed="false">
      <c r="A112" s="44" t="n">
        <f aca="false">18</f>
        <v>18</v>
      </c>
      <c r="B112" s="52" t="str">
        <f aca="false">Program!C21</f>
        <v>Flexible Block</v>
      </c>
      <c r="C112" s="52" t="str">
        <f aca="false">Program!A21</f>
        <v>ZAN 3</v>
      </c>
      <c r="D112" s="52" t="n">
        <f aca="false">Program!V21</f>
        <v>2033</v>
      </c>
      <c r="E112" s="52" t="n">
        <f aca="false">Program!W21</f>
        <v>9828040</v>
      </c>
      <c r="F112" s="53" t="n">
        <f aca="false">Program!N21</f>
        <v>0.0075</v>
      </c>
      <c r="G112" s="52" t="n">
        <f aca="false">Program!O21</f>
        <v>3</v>
      </c>
      <c r="H112" s="53" t="n">
        <f aca="false">Program!X21</f>
        <v>0.9</v>
      </c>
    </row>
    <row r="113" customFormat="false" ht="15" hidden="false" customHeight="true" outlineLevel="1" collapsed="false">
      <c r="A113" s="44" t="n">
        <f aca="false">19</f>
        <v>19</v>
      </c>
      <c r="B113" s="52" t="str">
        <f aca="false">Program!C22</f>
        <v>Multi-Purpose Hall</v>
      </c>
      <c r="C113" s="52" t="str">
        <f aca="false">Program!A22</f>
        <v>ZAN 3</v>
      </c>
      <c r="D113" s="52" t="n">
        <f aca="false">Program!V22</f>
        <v>2032</v>
      </c>
      <c r="E113" s="52" t="n">
        <f aca="false">Program!W22</f>
        <v>2923200</v>
      </c>
      <c r="F113" s="53" t="n">
        <f aca="false">Program!N22</f>
        <v>0.0075</v>
      </c>
      <c r="G113" s="52" t="n">
        <f aca="false">Program!O22</f>
        <v>3</v>
      </c>
      <c r="H113" s="53" t="n">
        <f aca="false">Program!X22</f>
        <v>0.9</v>
      </c>
    </row>
    <row r="114" customFormat="false" ht="15" hidden="false" customHeight="true" outlineLevel="1" collapsed="false">
      <c r="A114" s="44" t="n">
        <f aca="false">20</f>
        <v>20</v>
      </c>
      <c r="B114" s="52" t="str">
        <f aca="false">Program!C23</f>
        <v>Unallocated / Open Area</v>
      </c>
      <c r="C114" s="52" t="str">
        <f aca="false">Program!A23</f>
        <v>ZAN 3</v>
      </c>
      <c r="D114" s="52" t="n">
        <f aca="false">Program!V23</f>
        <v>2031</v>
      </c>
      <c r="E114" s="52" t="n">
        <f aca="false">Program!W23</f>
        <v>2496300</v>
      </c>
      <c r="F114" s="53" t="n">
        <f aca="false">Program!N23</f>
        <v>0.0075</v>
      </c>
      <c r="G114" s="52" t="n">
        <f aca="false">Program!O23</f>
        <v>1</v>
      </c>
      <c r="H114" s="53" t="n">
        <f aca="false">Program!X23</f>
        <v>1</v>
      </c>
    </row>
    <row r="115" customFormat="false" ht="15" hidden="false" customHeight="true" outlineLevel="1" collapsed="false">
      <c r="A115" s="44" t="n">
        <f aca="false">21</f>
        <v>21</v>
      </c>
      <c r="B115" s="52" t="str">
        <f aca="false">Program!C24</f>
        <v>Shops / Cafes</v>
      </c>
      <c r="C115" s="52" t="str">
        <f aca="false">Program!A24</f>
        <v>ZAN 3</v>
      </c>
      <c r="D115" s="52" t="n">
        <f aca="false">Program!V24</f>
        <v>2032</v>
      </c>
      <c r="E115" s="52" t="n">
        <f aca="false">Program!W24</f>
        <v>1989900</v>
      </c>
      <c r="F115" s="53" t="n">
        <f aca="false">Program!N24</f>
        <v>0.0075</v>
      </c>
      <c r="G115" s="52" t="n">
        <f aca="false">Program!O24</f>
        <v>2</v>
      </c>
      <c r="H115" s="53" t="n">
        <f aca="false">Program!X24</f>
        <v>0.9</v>
      </c>
    </row>
    <row r="116" customFormat="false" ht="15" hidden="false" customHeight="true" outlineLevel="1" collapsed="false">
      <c r="A116" s="44" t="n">
        <f aca="false">22</f>
        <v>22</v>
      </c>
      <c r="B116" s="52" t="str">
        <f aca="false">Program!C25</f>
        <v>Small Market</v>
      </c>
      <c r="C116" s="52" t="str">
        <f aca="false">Program!A25</f>
        <v>ZAN 3</v>
      </c>
      <c r="D116" s="52" t="n">
        <f aca="false">Program!V25</f>
        <v>2032</v>
      </c>
      <c r="E116" s="52" t="n">
        <f aca="false">Program!W25</f>
        <v>565200</v>
      </c>
      <c r="F116" s="53" t="n">
        <f aca="false">Program!N25</f>
        <v>0.0075</v>
      </c>
      <c r="G116" s="52" t="n">
        <f aca="false">Program!O25</f>
        <v>2</v>
      </c>
      <c r="H116" s="53" t="n">
        <f aca="false">Program!X25</f>
        <v>0.9</v>
      </c>
    </row>
    <row r="117" customFormat="false" ht="15" hidden="false" customHeight="true" outlineLevel="1" collapsed="false">
      <c r="A117" s="44" t="n">
        <f aca="false">23</f>
        <v>23</v>
      </c>
      <c r="B117" s="52" t="str">
        <f aca="false">Program!C26</f>
        <v>Small Pavilions / Shops</v>
      </c>
      <c r="C117" s="52" t="str">
        <f aca="false">Program!A26</f>
        <v>ZAN 3</v>
      </c>
      <c r="D117" s="52" t="n">
        <f aca="false">Program!V26</f>
        <v>2032</v>
      </c>
      <c r="E117" s="52" t="n">
        <f aca="false">Program!W26</f>
        <v>7506180</v>
      </c>
      <c r="F117" s="53" t="n">
        <f aca="false">Program!N26</f>
        <v>0.0075</v>
      </c>
      <c r="G117" s="52" t="n">
        <f aca="false">Program!O26</f>
        <v>2</v>
      </c>
      <c r="H117" s="53" t="n">
        <f aca="false">Program!X26</f>
        <v>0.9</v>
      </c>
    </row>
    <row r="118" customFormat="false" ht="15" hidden="false" customHeight="true" outlineLevel="1" collapsed="false">
      <c r="A118" s="44" t="n">
        <f aca="false">24</f>
        <v>24</v>
      </c>
      <c r="B118" s="52" t="str">
        <f aca="false">Program!C27</f>
        <v>Flexible Block</v>
      </c>
      <c r="C118" s="52" t="str">
        <f aca="false">Program!A27</f>
        <v>ZAN 3</v>
      </c>
      <c r="D118" s="52" t="n">
        <f aca="false">Program!V27</f>
        <v>2033</v>
      </c>
      <c r="E118" s="52" t="n">
        <f aca="false">Program!W27</f>
        <v>17630360</v>
      </c>
      <c r="F118" s="53" t="n">
        <f aca="false">Program!N27</f>
        <v>0.0075</v>
      </c>
      <c r="G118" s="52" t="n">
        <f aca="false">Program!O27</f>
        <v>3</v>
      </c>
      <c r="H118" s="53" t="n">
        <f aca="false">Program!X27</f>
        <v>0.9</v>
      </c>
    </row>
    <row r="119" customFormat="false" ht="15" hidden="false" customHeight="true" outlineLevel="1" collapsed="false">
      <c r="A119" s="44" t="n">
        <f aca="false">25</f>
        <v>25</v>
      </c>
      <c r="B119" s="52" t="str">
        <f aca="false">Program!C28</f>
        <v>Shops / Cafes</v>
      </c>
      <c r="C119" s="52" t="str">
        <f aca="false">Program!A28</f>
        <v>ZAN 3</v>
      </c>
      <c r="D119" s="52" t="n">
        <f aca="false">Program!V28</f>
        <v>2032</v>
      </c>
      <c r="E119" s="52" t="n">
        <f aca="false">Program!W28</f>
        <v>2358000</v>
      </c>
      <c r="F119" s="53" t="n">
        <f aca="false">Program!N28</f>
        <v>0.0075</v>
      </c>
      <c r="G119" s="52" t="n">
        <f aca="false">Program!O28</f>
        <v>2</v>
      </c>
      <c r="H119" s="53" t="n">
        <f aca="false">Program!X28</f>
        <v>0.9</v>
      </c>
    </row>
    <row r="120" customFormat="false" ht="15" hidden="false" customHeight="true" outlineLevel="1" collapsed="false">
      <c r="A120" s="44" t="n">
        <f aca="false">26</f>
        <v>26</v>
      </c>
      <c r="B120" s="52" t="str">
        <f aca="false">Program!C29</f>
        <v>Small Market</v>
      </c>
      <c r="C120" s="52" t="str">
        <f aca="false">Program!A29</f>
        <v>ZAN 3</v>
      </c>
      <c r="D120" s="52" t="n">
        <f aca="false">Program!V29</f>
        <v>2032</v>
      </c>
      <c r="E120" s="52" t="n">
        <f aca="false">Program!W29</f>
        <v>624600</v>
      </c>
      <c r="F120" s="53" t="n">
        <f aca="false">Program!N29</f>
        <v>0.0075</v>
      </c>
      <c r="G120" s="52" t="n">
        <f aca="false">Program!O29</f>
        <v>2</v>
      </c>
      <c r="H120" s="53" t="n">
        <f aca="false">Program!X29</f>
        <v>0.9</v>
      </c>
    </row>
    <row r="121" customFormat="false" ht="15" hidden="false" customHeight="true" outlineLevel="1" collapsed="false">
      <c r="A121" s="44" t="n">
        <f aca="false">27</f>
        <v>27</v>
      </c>
      <c r="B121" s="52" t="str">
        <f aca="false">Program!C30</f>
        <v>Flexible Block  (Branded)</v>
      </c>
      <c r="C121" s="52" t="str">
        <f aca="false">Program!A30</f>
        <v>ZAN 3</v>
      </c>
      <c r="D121" s="52" t="n">
        <f aca="false">Program!V30</f>
        <v>2033</v>
      </c>
      <c r="E121" s="52" t="n">
        <f aca="false">Program!W30</f>
        <v>45102360</v>
      </c>
      <c r="F121" s="53" t="n">
        <f aca="false">Program!N30</f>
        <v>0.0075</v>
      </c>
      <c r="G121" s="52" t="n">
        <f aca="false">Program!O30</f>
        <v>3</v>
      </c>
      <c r="H121" s="53" t="n">
        <f aca="false">Program!X30</f>
        <v>0.9</v>
      </c>
    </row>
    <row r="122" customFormat="false" ht="15" hidden="false" customHeight="true" outlineLevel="1" collapsed="false">
      <c r="A122" s="44" t="n">
        <f aca="false">28</f>
        <v>28</v>
      </c>
      <c r="B122" s="52" t="str">
        <f aca="false">Program!C31</f>
        <v>Flexible Block</v>
      </c>
      <c r="C122" s="52" t="str">
        <f aca="false">Program!A31</f>
        <v>ZAN 3</v>
      </c>
      <c r="D122" s="52" t="n">
        <f aca="false">Program!V31</f>
        <v>2033</v>
      </c>
      <c r="E122" s="52" t="n">
        <f aca="false">Program!W31</f>
        <v>3015800</v>
      </c>
      <c r="F122" s="53" t="n">
        <f aca="false">Program!N31</f>
        <v>0.0075</v>
      </c>
      <c r="G122" s="52" t="n">
        <f aca="false">Program!O31</f>
        <v>3</v>
      </c>
      <c r="H122" s="53" t="n">
        <f aca="false">Program!X31</f>
        <v>0.9</v>
      </c>
    </row>
    <row r="123" customFormat="false" ht="15" hidden="false" customHeight="true" outlineLevel="1" collapsed="false">
      <c r="A123" s="44" t="n">
        <f aca="false">29</f>
        <v>29</v>
      </c>
      <c r="B123" s="52" t="str">
        <f aca="false">Program!C32</f>
        <v>Yacht Club</v>
      </c>
      <c r="C123" s="52" t="str">
        <f aca="false">Program!A32</f>
        <v>ZAN 3</v>
      </c>
      <c r="D123" s="52" t="n">
        <f aca="false">Program!V32</f>
        <v>2033</v>
      </c>
      <c r="E123" s="52" t="n">
        <f aca="false">Program!W32</f>
        <v>1938000</v>
      </c>
      <c r="F123" s="53" t="n">
        <f aca="false">Program!N32</f>
        <v>0.0075</v>
      </c>
      <c r="G123" s="52" t="n">
        <f aca="false">Program!O32</f>
        <v>3</v>
      </c>
      <c r="H123" s="53" t="n">
        <f aca="false">Program!X32</f>
        <v>0.9</v>
      </c>
    </row>
    <row r="124" customFormat="false" ht="15" hidden="false" customHeight="true" outlineLevel="1" collapsed="false">
      <c r="A124" s="44" t="n">
        <f aca="false">30</f>
        <v>30</v>
      </c>
      <c r="B124" s="52" t="str">
        <f aca="false">Program!C33</f>
        <v>Parking &amp; Landscaping ZAN3</v>
      </c>
      <c r="C124" s="52" t="str">
        <f aca="false">Program!A33</f>
        <v>ZAN 3</v>
      </c>
      <c r="D124" s="52" t="n">
        <f aca="false">Program!V33</f>
        <v>2031</v>
      </c>
      <c r="E124" s="52" t="n">
        <f aca="false">Program!W33</f>
        <v>0</v>
      </c>
      <c r="F124" s="53" t="n">
        <f aca="false">Program!N33</f>
        <v>0</v>
      </c>
      <c r="G124" s="52" t="n">
        <f aca="false">Program!O33</f>
        <v>0</v>
      </c>
      <c r="H124" s="53" t="n">
        <f aca="false">Program!X33</f>
        <v>0</v>
      </c>
    </row>
  </sheetData>
  <sheetProtection sheet="true" sort="false" autoFilter="false"/>
  <mergeCells count="2">
    <mergeCell ref="A1:BB1"/>
    <mergeCell ref="A92:H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28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53" min="4" style="1" width="13"/>
  </cols>
  <sheetData>
    <row r="1" customFormat="false" ht="36" hidden="false" customHeight="true" outlineLevel="0" collapsed="false">
      <c r="A1" s="42" t="s">
        <v>260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</row>
    <row r="3" customFormat="false" ht="15" hidden="false" customHeight="true" outlineLevel="0" collapsed="false">
      <c r="A3" s="15" t="s">
        <v>261</v>
      </c>
      <c r="B3" s="15" t="s">
        <v>262</v>
      </c>
      <c r="C3" s="15" t="s">
        <v>60</v>
      </c>
      <c r="D3" s="43" t="n">
        <f aca="false">$C171+0</f>
        <v>2026</v>
      </c>
      <c r="E3" s="43" t="n">
        <f aca="false">$C171+1</f>
        <v>2027</v>
      </c>
      <c r="F3" s="43" t="n">
        <f aca="false">$C171+2</f>
        <v>2028</v>
      </c>
      <c r="G3" s="43" t="n">
        <f aca="false">$C171+3</f>
        <v>2029</v>
      </c>
      <c r="H3" s="43" t="n">
        <f aca="false">$C171+4</f>
        <v>2030</v>
      </c>
      <c r="I3" s="43" t="n">
        <f aca="false">$C171+5</f>
        <v>2031</v>
      </c>
      <c r="J3" s="43" t="n">
        <f aca="false">$C171+6</f>
        <v>2032</v>
      </c>
      <c r="K3" s="43" t="n">
        <f aca="false">$C171+7</f>
        <v>2033</v>
      </c>
      <c r="L3" s="43" t="n">
        <f aca="false">$C171+8</f>
        <v>2034</v>
      </c>
      <c r="M3" s="43" t="n">
        <f aca="false">$C171+9</f>
        <v>2035</v>
      </c>
      <c r="N3" s="43" t="n">
        <f aca="false">$C171+10</f>
        <v>2036</v>
      </c>
      <c r="O3" s="43" t="n">
        <f aca="false">$C171+11</f>
        <v>2037</v>
      </c>
      <c r="P3" s="43" t="n">
        <f aca="false">$C171+12</f>
        <v>2038</v>
      </c>
      <c r="Q3" s="43" t="n">
        <f aca="false">$C171+13</f>
        <v>2039</v>
      </c>
      <c r="R3" s="43" t="n">
        <f aca="false">$C171+14</f>
        <v>2040</v>
      </c>
      <c r="S3" s="43" t="n">
        <f aca="false">$C171+15</f>
        <v>2041</v>
      </c>
      <c r="T3" s="43" t="n">
        <f aca="false">$C171+16</f>
        <v>2042</v>
      </c>
      <c r="U3" s="43" t="n">
        <f aca="false">$C171+17</f>
        <v>2043</v>
      </c>
      <c r="V3" s="43" t="n">
        <f aca="false">$C171+18</f>
        <v>2044</v>
      </c>
      <c r="W3" s="43" t="n">
        <f aca="false">$C171+19</f>
        <v>2045</v>
      </c>
      <c r="X3" s="43" t="n">
        <f aca="false">$C171+20</f>
        <v>2046</v>
      </c>
      <c r="Y3" s="43" t="n">
        <f aca="false">$C171+21</f>
        <v>2047</v>
      </c>
      <c r="Z3" s="43" t="n">
        <f aca="false">$C171+22</f>
        <v>2048</v>
      </c>
      <c r="AA3" s="43" t="n">
        <f aca="false">$C171+23</f>
        <v>2049</v>
      </c>
      <c r="AB3" s="43" t="n">
        <f aca="false">$C171+24</f>
        <v>2050</v>
      </c>
      <c r="AC3" s="43" t="n">
        <f aca="false">$C171+25</f>
        <v>2051</v>
      </c>
      <c r="AD3" s="43" t="n">
        <f aca="false">$C171+26</f>
        <v>2052</v>
      </c>
      <c r="AE3" s="43" t="n">
        <f aca="false">$C171+27</f>
        <v>2053</v>
      </c>
      <c r="AF3" s="43" t="n">
        <f aca="false">$C171+28</f>
        <v>2054</v>
      </c>
      <c r="AG3" s="43" t="n">
        <f aca="false">$C171+29</f>
        <v>2055</v>
      </c>
      <c r="AH3" s="43" t="n">
        <f aca="false">$C171+30</f>
        <v>2056</v>
      </c>
      <c r="AI3" s="43" t="n">
        <f aca="false">$C171+31</f>
        <v>2057</v>
      </c>
      <c r="AJ3" s="43" t="n">
        <f aca="false">$C171+32</f>
        <v>2058</v>
      </c>
      <c r="AK3" s="43" t="n">
        <f aca="false">$C171+33</f>
        <v>2059</v>
      </c>
      <c r="AL3" s="43" t="n">
        <f aca="false">$C171+34</f>
        <v>2060</v>
      </c>
      <c r="AM3" s="43" t="n">
        <f aca="false">$C171+35</f>
        <v>2061</v>
      </c>
      <c r="AN3" s="43" t="n">
        <f aca="false">$C171+36</f>
        <v>2062</v>
      </c>
      <c r="AO3" s="43" t="n">
        <f aca="false">$C171+37</f>
        <v>2063</v>
      </c>
      <c r="AP3" s="43" t="n">
        <f aca="false">$C171+38</f>
        <v>2064</v>
      </c>
      <c r="AQ3" s="43" t="n">
        <f aca="false">$C171+39</f>
        <v>2065</v>
      </c>
      <c r="AR3" s="43" t="n">
        <f aca="false">$C171+40</f>
        <v>2066</v>
      </c>
      <c r="AS3" s="43" t="n">
        <f aca="false">$C171+41</f>
        <v>2067</v>
      </c>
      <c r="AT3" s="43" t="n">
        <f aca="false">$C171+42</f>
        <v>2068</v>
      </c>
      <c r="AU3" s="43" t="n">
        <f aca="false">$C171+43</f>
        <v>2069</v>
      </c>
      <c r="AV3" s="43" t="n">
        <f aca="false">$C171+44</f>
        <v>2070</v>
      </c>
      <c r="AW3" s="43" t="n">
        <f aca="false">$C171+45</f>
        <v>2071</v>
      </c>
      <c r="AX3" s="43" t="n">
        <f aca="false">$C171+46</f>
        <v>2072</v>
      </c>
      <c r="AY3" s="43" t="n">
        <f aca="false">$C171+47</f>
        <v>2073</v>
      </c>
      <c r="AZ3" s="43" t="n">
        <f aca="false">$C171+48</f>
        <v>2074</v>
      </c>
      <c r="BA3" s="43" t="n">
        <f aca="false">$C171+49</f>
        <v>2075</v>
      </c>
    </row>
    <row r="4" customFormat="false" ht="15" hidden="false" customHeight="true" outlineLevel="0" collapsed="false">
      <c r="A4" s="45" t="s">
        <v>45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</row>
    <row r="5" customFormat="false" ht="15" hidden="false" customHeight="true" outlineLevel="0" collapsed="false">
      <c r="A5" s="35" t="s">
        <v>263</v>
      </c>
      <c r="B5" s="35" t="s">
        <v>11</v>
      </c>
      <c r="C5" s="44" t="n">
        <f aca="false">SUM(D5:BA5)</f>
        <v>3349176631.65723</v>
      </c>
      <c r="D5" s="44" t="n">
        <f aca="false">D175</f>
        <v>0</v>
      </c>
      <c r="E5" s="44" t="n">
        <f aca="false">E175</f>
        <v>0</v>
      </c>
      <c r="F5" s="44" t="n">
        <f aca="false">F175</f>
        <v>0</v>
      </c>
      <c r="G5" s="44" t="n">
        <f aca="false">G175</f>
        <v>601866</v>
      </c>
      <c r="H5" s="44" t="n">
        <f aca="false">H175</f>
        <v>1212759.99</v>
      </c>
      <c r="I5" s="44" t="n">
        <f aca="false">I175</f>
        <v>21345420.3516824</v>
      </c>
      <c r="J5" s="44" t="n">
        <f aca="false">J175</f>
        <v>41164492.5972408</v>
      </c>
      <c r="K5" s="44" t="n">
        <f aca="false">K175</f>
        <v>61279650.2465879</v>
      </c>
      <c r="L5" s="44" t="n">
        <f aca="false">L175</f>
        <v>65582026.048309</v>
      </c>
      <c r="M5" s="44" t="n">
        <f aca="false">M175</f>
        <v>66073891.2436714</v>
      </c>
      <c r="N5" s="44" t="n">
        <f aca="false">N175</f>
        <v>66569445.4279989</v>
      </c>
      <c r="O5" s="44" t="n">
        <f aca="false">O175</f>
        <v>67068716.2687089</v>
      </c>
      <c r="P5" s="44" t="n">
        <f aca="false">P175</f>
        <v>67571731.6407242</v>
      </c>
      <c r="Q5" s="44" t="n">
        <f aca="false">Q175</f>
        <v>68078519.6280297</v>
      </c>
      <c r="R5" s="44" t="n">
        <f aca="false">R175</f>
        <v>68589108.5252399</v>
      </c>
      <c r="S5" s="44" t="n">
        <f aca="false">S175</f>
        <v>69103526.8391792</v>
      </c>
      <c r="T5" s="44" t="n">
        <f aca="false">T175</f>
        <v>69621803.290473</v>
      </c>
      <c r="U5" s="44" t="n">
        <f aca="false">U175</f>
        <v>70143966.8151516</v>
      </c>
      <c r="V5" s="44" t="n">
        <f aca="false">V175</f>
        <v>70670046.5662652</v>
      </c>
      <c r="W5" s="44" t="n">
        <f aca="false">W175</f>
        <v>71200071.9155122</v>
      </c>
      <c r="X5" s="44" t="n">
        <f aca="false">X175</f>
        <v>71734072.4548786</v>
      </c>
      <c r="Y5" s="44" t="n">
        <f aca="false">Y175</f>
        <v>72272077.9982902</v>
      </c>
      <c r="Z5" s="44" t="n">
        <f aca="false">Z175</f>
        <v>72814118.5832773</v>
      </c>
      <c r="AA5" s="44" t="n">
        <f aca="false">AA175</f>
        <v>73360224.4726519</v>
      </c>
      <c r="AB5" s="44" t="n">
        <f aca="false">AB175</f>
        <v>73910426.1561968</v>
      </c>
      <c r="AC5" s="44" t="n">
        <f aca="false">AC175</f>
        <v>74464754.3523683</v>
      </c>
      <c r="AD5" s="44" t="n">
        <f aca="false">AD175</f>
        <v>75023240.0100111</v>
      </c>
      <c r="AE5" s="44" t="n">
        <f aca="false">AE175</f>
        <v>75585914.3100862</v>
      </c>
      <c r="AF5" s="44" t="n">
        <f aca="false">AF175</f>
        <v>76152808.6674118</v>
      </c>
      <c r="AG5" s="44" t="n">
        <f aca="false">AG175</f>
        <v>76723954.7324174</v>
      </c>
      <c r="AH5" s="44" t="n">
        <f aca="false">AH175</f>
        <v>77299384.3929105</v>
      </c>
      <c r="AI5" s="44" t="n">
        <f aca="false">AI175</f>
        <v>77879129.7758574</v>
      </c>
      <c r="AJ5" s="44" t="n">
        <f aca="false">AJ175</f>
        <v>78463223.2491763</v>
      </c>
      <c r="AK5" s="44" t="n">
        <f aca="false">AK175</f>
        <v>79051697.4235451</v>
      </c>
      <c r="AL5" s="44" t="n">
        <f aca="false">AL175</f>
        <v>79644585.1542217</v>
      </c>
      <c r="AM5" s="44" t="n">
        <f aca="false">AM175</f>
        <v>80241919.5428784</v>
      </c>
      <c r="AN5" s="44" t="n">
        <f aca="false">AN175</f>
        <v>80843733.93945</v>
      </c>
      <c r="AO5" s="44" t="n">
        <f aca="false">AO175</f>
        <v>81450061.9439959</v>
      </c>
      <c r="AP5" s="44" t="n">
        <f aca="false">AP175</f>
        <v>82060937.4085758</v>
      </c>
      <c r="AQ5" s="44" t="n">
        <f aca="false">AQ175</f>
        <v>82676394.4391402</v>
      </c>
      <c r="AR5" s="44" t="n">
        <f aca="false">AR175</f>
        <v>83296467.3974337</v>
      </c>
      <c r="AS5" s="44" t="n">
        <f aca="false">AS175</f>
        <v>83921190.9029145</v>
      </c>
      <c r="AT5" s="44" t="n">
        <f aca="false">AT175</f>
        <v>84550599.8346863</v>
      </c>
      <c r="AU5" s="44" t="n">
        <f aca="false">AU175</f>
        <v>85184729.3334465</v>
      </c>
      <c r="AV5" s="44" t="n">
        <f aca="false">AV175</f>
        <v>85823614.8034473</v>
      </c>
      <c r="AW5" s="44" t="n">
        <f aca="false">AW175</f>
        <v>86467291.9144732</v>
      </c>
      <c r="AX5" s="44" t="n">
        <f aca="false">AX175</f>
        <v>87115796.6038318</v>
      </c>
      <c r="AY5" s="44" t="n">
        <f aca="false">AY175</f>
        <v>87769165.0783605</v>
      </c>
      <c r="AZ5" s="44" t="n">
        <f aca="false">AZ175</f>
        <v>88427433.8164482</v>
      </c>
      <c r="BA5" s="44" t="n">
        <f aca="false">BA175</f>
        <v>89090639.5700716</v>
      </c>
    </row>
    <row r="6" customFormat="false" ht="15" hidden="false" customHeight="true" outlineLevel="0" collapsed="false">
      <c r="A6" s="35" t="s">
        <v>264</v>
      </c>
      <c r="B6" s="35" t="s">
        <v>11</v>
      </c>
      <c r="C6" s="44" t="n">
        <f aca="false">SUM(D6:BA6)</f>
        <v>-111564447.718655</v>
      </c>
      <c r="D6" s="44" t="n">
        <f aca="false">IF($E171="Lease",-D210,IF(AND($E171="Purchase",D$3=$C171),-$G171*$C$172,0))</f>
        <v>-0</v>
      </c>
      <c r="E6" s="44" t="n">
        <f aca="false">IF($E171="Lease",-E210,IF(AND($E171="Purchase",E$3=$C171),-$G171*$C$172,0))</f>
        <v>-0</v>
      </c>
      <c r="F6" s="44" t="n">
        <f aca="false">IF($E171="Lease",-F210,IF(AND($E171="Purchase",F$3=$C171),-$G171*$C$172,0))</f>
        <v>-0</v>
      </c>
      <c r="G6" s="44" t="n">
        <f aca="false">IF($E171="Lease",-G210,IF(AND($E171="Purchase",G$3=$C171),-$G171*$C$172,0))</f>
        <v>-0</v>
      </c>
      <c r="H6" s="44" t="n">
        <f aca="false">IF($E171="Lease",-H210,IF(AND($E171="Purchase",H$3=$C171),-$G171*$C$172,0))</f>
        <v>-0</v>
      </c>
      <c r="I6" s="44" t="n">
        <f aca="false">IF($E171="Lease",-I210,IF(AND($E171="Purchase",I$3=$C171),-$G171*$C$172,0))</f>
        <v>-2023557.73721188</v>
      </c>
      <c r="J6" s="44" t="n">
        <f aca="false">IF($E171="Lease",-J210,IF(AND($E171="Purchase",J$3=$C171),-$G171*$C$172,0))</f>
        <v>-2023557.73721188</v>
      </c>
      <c r="K6" s="44" t="n">
        <f aca="false">IF($E171="Lease",-K210,IF(AND($E171="Purchase",K$3=$C171),-$G171*$C$172,0))</f>
        <v>-2023557.73721188</v>
      </c>
      <c r="L6" s="44" t="n">
        <f aca="false">IF($E171="Lease",-L210,IF(AND($E171="Purchase",L$3=$C171),-$G171*$C$172,0))</f>
        <v>-2023557.73721188</v>
      </c>
      <c r="M6" s="44" t="n">
        <f aca="false">IF($E171="Lease",-M210,IF(AND($E171="Purchase",M$3=$C171),-$G171*$C$172,0))</f>
        <v>-2023557.73721188</v>
      </c>
      <c r="N6" s="44" t="n">
        <f aca="false">IF($E171="Lease",-N210,IF(AND($E171="Purchase",N$3=$C171),-$G171*$C$172,0))</f>
        <v>-2124735.62407248</v>
      </c>
      <c r="O6" s="44" t="n">
        <f aca="false">IF($E171="Lease",-O210,IF(AND($E171="Purchase",O$3=$C171),-$G171*$C$172,0))</f>
        <v>-2124735.62407248</v>
      </c>
      <c r="P6" s="44" t="n">
        <f aca="false">IF($E171="Lease",-P210,IF(AND($E171="Purchase",P$3=$C171),-$G171*$C$172,0))</f>
        <v>-2124735.62407248</v>
      </c>
      <c r="Q6" s="44" t="n">
        <f aca="false">IF($E171="Lease",-Q210,IF(AND($E171="Purchase",Q$3=$C171),-$G171*$C$172,0))</f>
        <v>-2124735.62407248</v>
      </c>
      <c r="R6" s="44" t="n">
        <f aca="false">IF($E171="Lease",-R210,IF(AND($E171="Purchase",R$3=$C171),-$G171*$C$172,0))</f>
        <v>-2124735.62407248</v>
      </c>
      <c r="S6" s="44" t="n">
        <f aca="false">IF($E171="Lease",-S210,IF(AND($E171="Purchase",S$3=$C171),-$G171*$C$172,0))</f>
        <v>-2230972.4052761</v>
      </c>
      <c r="T6" s="44" t="n">
        <f aca="false">IF($E171="Lease",-T210,IF(AND($E171="Purchase",T$3=$C171),-$G171*$C$172,0))</f>
        <v>-2230972.4052761</v>
      </c>
      <c r="U6" s="44" t="n">
        <f aca="false">IF($E171="Lease",-U210,IF(AND($E171="Purchase",U$3=$C171),-$G171*$C$172,0))</f>
        <v>-2230972.4052761</v>
      </c>
      <c r="V6" s="44" t="n">
        <f aca="false">IF($E171="Lease",-V210,IF(AND($E171="Purchase",V$3=$C171),-$G171*$C$172,0))</f>
        <v>-2230972.4052761</v>
      </c>
      <c r="W6" s="44" t="n">
        <f aca="false">IF($E171="Lease",-W210,IF(AND($E171="Purchase",W$3=$C171),-$G171*$C$172,0))</f>
        <v>-2230972.4052761</v>
      </c>
      <c r="X6" s="44" t="n">
        <f aca="false">IF($E171="Lease",-X210,IF(AND($E171="Purchase",X$3=$C171),-$G171*$C$172,0))</f>
        <v>-2342521.02553991</v>
      </c>
      <c r="Y6" s="44" t="n">
        <f aca="false">IF($E171="Lease",-Y210,IF(AND($E171="Purchase",Y$3=$C171),-$G171*$C$172,0))</f>
        <v>-2342521.02553991</v>
      </c>
      <c r="Z6" s="44" t="n">
        <f aca="false">IF($E171="Lease",-Z210,IF(AND($E171="Purchase",Z$3=$C171),-$G171*$C$172,0))</f>
        <v>-2342521.02553991</v>
      </c>
      <c r="AA6" s="44" t="n">
        <f aca="false">IF($E171="Lease",-AA210,IF(AND($E171="Purchase",AA$3=$C171),-$G171*$C$172,0))</f>
        <v>-2342521.02553991</v>
      </c>
      <c r="AB6" s="44" t="n">
        <f aca="false">IF($E171="Lease",-AB210,IF(AND($E171="Purchase",AB$3=$C171),-$G171*$C$172,0))</f>
        <v>-2342521.02553991</v>
      </c>
      <c r="AC6" s="44" t="n">
        <f aca="false">IF($E171="Lease",-AC210,IF(AND($E171="Purchase",AC$3=$C171),-$G171*$C$172,0))</f>
        <v>-2459647.0768169</v>
      </c>
      <c r="AD6" s="44" t="n">
        <f aca="false">IF($E171="Lease",-AD210,IF(AND($E171="Purchase",AD$3=$C171),-$G171*$C$172,0))</f>
        <v>-2459647.0768169</v>
      </c>
      <c r="AE6" s="44" t="n">
        <f aca="false">IF($E171="Lease",-AE210,IF(AND($E171="Purchase",AE$3=$C171),-$G171*$C$172,0))</f>
        <v>-2459647.0768169</v>
      </c>
      <c r="AF6" s="44" t="n">
        <f aca="false">IF($E171="Lease",-AF210,IF(AND($E171="Purchase",AF$3=$C171),-$G171*$C$172,0))</f>
        <v>-2459647.0768169</v>
      </c>
      <c r="AG6" s="44" t="n">
        <f aca="false">IF($E171="Lease",-AG210,IF(AND($E171="Purchase",AG$3=$C171),-$G171*$C$172,0))</f>
        <v>-2459647.0768169</v>
      </c>
      <c r="AH6" s="44" t="n">
        <f aca="false">IF($E171="Lease",-AH210,IF(AND($E171="Purchase",AH$3=$C171),-$G171*$C$172,0))</f>
        <v>-2582629.43065775</v>
      </c>
      <c r="AI6" s="44" t="n">
        <f aca="false">IF($E171="Lease",-AI210,IF(AND($E171="Purchase",AI$3=$C171),-$G171*$C$172,0))</f>
        <v>-2582629.43065775</v>
      </c>
      <c r="AJ6" s="44" t="n">
        <f aca="false">IF($E171="Lease",-AJ210,IF(AND($E171="Purchase",AJ$3=$C171),-$G171*$C$172,0))</f>
        <v>-2582629.43065775</v>
      </c>
      <c r="AK6" s="44" t="n">
        <f aca="false">IF($E171="Lease",-AK210,IF(AND($E171="Purchase",AK$3=$C171),-$G171*$C$172,0))</f>
        <v>-2582629.43065775</v>
      </c>
      <c r="AL6" s="44" t="n">
        <f aca="false">IF($E171="Lease",-AL210,IF(AND($E171="Purchase",AL$3=$C171),-$G171*$C$172,0))</f>
        <v>-2582629.43065775</v>
      </c>
      <c r="AM6" s="44" t="n">
        <f aca="false">IF($E171="Lease",-AM210,IF(AND($E171="Purchase",AM$3=$C171),-$G171*$C$172,0))</f>
        <v>-2711760.90219064</v>
      </c>
      <c r="AN6" s="44" t="n">
        <f aca="false">IF($E171="Lease",-AN210,IF(AND($E171="Purchase",AN$3=$C171),-$G171*$C$172,0))</f>
        <v>-2711760.90219064</v>
      </c>
      <c r="AO6" s="44" t="n">
        <f aca="false">IF($E171="Lease",-AO210,IF(AND($E171="Purchase",AO$3=$C171),-$G171*$C$172,0))</f>
        <v>-2711760.90219064</v>
      </c>
      <c r="AP6" s="44" t="n">
        <f aca="false">IF($E171="Lease",-AP210,IF(AND($E171="Purchase",AP$3=$C171),-$G171*$C$172,0))</f>
        <v>-2711760.90219064</v>
      </c>
      <c r="AQ6" s="44" t="n">
        <f aca="false">IF($E171="Lease",-AQ210,IF(AND($E171="Purchase",AQ$3=$C171),-$G171*$C$172,0))</f>
        <v>-2711760.90219064</v>
      </c>
      <c r="AR6" s="44" t="n">
        <f aca="false">IF($E171="Lease",-AR210,IF(AND($E171="Purchase",AR$3=$C171),-$G171*$C$172,0))</f>
        <v>-2847348.94730017</v>
      </c>
      <c r="AS6" s="44" t="n">
        <f aca="false">IF($E171="Lease",-AS210,IF(AND($E171="Purchase",AS$3=$C171),-$G171*$C$172,0))</f>
        <v>-2847348.94730017</v>
      </c>
      <c r="AT6" s="44" t="n">
        <f aca="false">IF($E171="Lease",-AT210,IF(AND($E171="Purchase",AT$3=$C171),-$G171*$C$172,0))</f>
        <v>-2847348.94730017</v>
      </c>
      <c r="AU6" s="44" t="n">
        <f aca="false">IF($E171="Lease",-AU210,IF(AND($E171="Purchase",AU$3=$C171),-$G171*$C$172,0))</f>
        <v>-2847348.94730017</v>
      </c>
      <c r="AV6" s="44" t="n">
        <f aca="false">IF($E171="Lease",-AV210,IF(AND($E171="Purchase",AV$3=$C171),-$G171*$C$172,0))</f>
        <v>-2847348.94730017</v>
      </c>
      <c r="AW6" s="44" t="n">
        <f aca="false">IF($E171="Lease",-AW210,IF(AND($E171="Purchase",AW$3=$C171),-$G171*$C$172,0))</f>
        <v>-2989716.39466518</v>
      </c>
      <c r="AX6" s="44" t="n">
        <f aca="false">IF($E171="Lease",-AX210,IF(AND($E171="Purchase",AX$3=$C171),-$G171*$C$172,0))</f>
        <v>-2989716.39466518</v>
      </c>
      <c r="AY6" s="44" t="n">
        <f aca="false">IF($E171="Lease",-AY210,IF(AND($E171="Purchase",AY$3=$C171),-$G171*$C$172,0))</f>
        <v>-2989716.39466518</v>
      </c>
      <c r="AZ6" s="44" t="n">
        <f aca="false">IF($E171="Lease",-AZ210,IF(AND($E171="Purchase",AZ$3=$C171),-$G171*$C$172,0))</f>
        <v>-2989716.39466518</v>
      </c>
      <c r="BA6" s="44" t="n">
        <f aca="false">IF($E171="Lease",-BA210,IF(AND($E171="Purchase",BA$3=$C171),-$G171*$C$172,0))</f>
        <v>-2989716.39466518</v>
      </c>
    </row>
    <row r="7" customFormat="false" ht="15" hidden="false" customHeight="true" outlineLevel="0" collapsed="false">
      <c r="A7" s="35" t="s">
        <v>265</v>
      </c>
      <c r="B7" s="35" t="s">
        <v>11</v>
      </c>
      <c r="C7" s="44" t="n">
        <f aca="false">SUM(D7:BA7)</f>
        <v>-386354389.52184</v>
      </c>
      <c r="D7" s="44" t="n">
        <f aca="false">-D193</f>
        <v>-0</v>
      </c>
      <c r="E7" s="44" t="n">
        <f aca="false">-E193</f>
        <v>-0</v>
      </c>
      <c r="F7" s="44" t="n">
        <f aca="false">-F193</f>
        <v>-115257373</v>
      </c>
      <c r="G7" s="44" t="n">
        <f aca="false">-G193</f>
        <v>-107381428</v>
      </c>
      <c r="H7" s="44" t="n">
        <f aca="false">-H193</f>
        <v>-163715588.52184</v>
      </c>
      <c r="I7" s="44" t="n">
        <f aca="false">-I193</f>
        <v>-0</v>
      </c>
      <c r="J7" s="44" t="n">
        <f aca="false">-J193</f>
        <v>-0</v>
      </c>
      <c r="K7" s="44" t="n">
        <f aca="false">-K193</f>
        <v>-0</v>
      </c>
      <c r="L7" s="44" t="n">
        <f aca="false">-L193</f>
        <v>-0</v>
      </c>
      <c r="M7" s="44" t="n">
        <f aca="false">-M193</f>
        <v>-0</v>
      </c>
      <c r="N7" s="44" t="n">
        <f aca="false">-N193</f>
        <v>-0</v>
      </c>
      <c r="O7" s="44" t="n">
        <f aca="false">-O193</f>
        <v>-0</v>
      </c>
      <c r="P7" s="44" t="n">
        <f aca="false">-P193</f>
        <v>-0</v>
      </c>
      <c r="Q7" s="44" t="n">
        <f aca="false">-Q193</f>
        <v>-0</v>
      </c>
      <c r="R7" s="44" t="n">
        <f aca="false">-R193</f>
        <v>-0</v>
      </c>
      <c r="S7" s="44" t="n">
        <f aca="false">-S193</f>
        <v>-0</v>
      </c>
      <c r="T7" s="44" t="n">
        <f aca="false">-T193</f>
        <v>-0</v>
      </c>
      <c r="U7" s="44" t="n">
        <f aca="false">-U193</f>
        <v>-0</v>
      </c>
      <c r="V7" s="44" t="n">
        <f aca="false">-V193</f>
        <v>-0</v>
      </c>
      <c r="W7" s="44" t="n">
        <f aca="false">-W193</f>
        <v>-0</v>
      </c>
      <c r="X7" s="44" t="n">
        <f aca="false">-X193</f>
        <v>-0</v>
      </c>
      <c r="Y7" s="44" t="n">
        <f aca="false">-Y193</f>
        <v>-0</v>
      </c>
      <c r="Z7" s="44" t="n">
        <f aca="false">-Z193</f>
        <v>-0</v>
      </c>
      <c r="AA7" s="44" t="n">
        <f aca="false">-AA193</f>
        <v>-0</v>
      </c>
      <c r="AB7" s="44" t="n">
        <f aca="false">-AB193</f>
        <v>-0</v>
      </c>
      <c r="AC7" s="44" t="n">
        <f aca="false">-AC193</f>
        <v>-0</v>
      </c>
      <c r="AD7" s="44" t="n">
        <f aca="false">-AD193</f>
        <v>-0</v>
      </c>
      <c r="AE7" s="44" t="n">
        <f aca="false">-AE193</f>
        <v>-0</v>
      </c>
      <c r="AF7" s="44" t="n">
        <f aca="false">-AF193</f>
        <v>-0</v>
      </c>
      <c r="AG7" s="44" t="n">
        <f aca="false">-AG193</f>
        <v>-0</v>
      </c>
      <c r="AH7" s="44" t="n">
        <f aca="false">-AH193</f>
        <v>-0</v>
      </c>
      <c r="AI7" s="44" t="n">
        <f aca="false">-AI193</f>
        <v>-0</v>
      </c>
      <c r="AJ7" s="44" t="n">
        <f aca="false">-AJ193</f>
        <v>-0</v>
      </c>
      <c r="AK7" s="44" t="n">
        <f aca="false">-AK193</f>
        <v>-0</v>
      </c>
      <c r="AL7" s="44" t="n">
        <f aca="false">-AL193</f>
        <v>-0</v>
      </c>
      <c r="AM7" s="44" t="n">
        <f aca="false">-AM193</f>
        <v>-0</v>
      </c>
      <c r="AN7" s="44" t="n">
        <f aca="false">-AN193</f>
        <v>-0</v>
      </c>
      <c r="AO7" s="44" t="n">
        <f aca="false">-AO193</f>
        <v>-0</v>
      </c>
      <c r="AP7" s="44" t="n">
        <f aca="false">-AP193</f>
        <v>-0</v>
      </c>
      <c r="AQ7" s="44" t="n">
        <f aca="false">-AQ193</f>
        <v>-0</v>
      </c>
      <c r="AR7" s="44" t="n">
        <f aca="false">-AR193</f>
        <v>-0</v>
      </c>
      <c r="AS7" s="44" t="n">
        <f aca="false">-AS193</f>
        <v>-0</v>
      </c>
      <c r="AT7" s="44" t="n">
        <f aca="false">-AT193</f>
        <v>-0</v>
      </c>
      <c r="AU7" s="44" t="n">
        <f aca="false">-AU193</f>
        <v>-0</v>
      </c>
      <c r="AV7" s="44" t="n">
        <f aca="false">-AV193</f>
        <v>-0</v>
      </c>
      <c r="AW7" s="44" t="n">
        <f aca="false">-AW193</f>
        <v>-0</v>
      </c>
      <c r="AX7" s="44" t="n">
        <f aca="false">-AX193</f>
        <v>-0</v>
      </c>
      <c r="AY7" s="44" t="n">
        <f aca="false">-AY193</f>
        <v>-0</v>
      </c>
      <c r="AZ7" s="44" t="n">
        <f aca="false">-AZ193</f>
        <v>-0</v>
      </c>
      <c r="BA7" s="44" t="n">
        <f aca="false">-BA193</f>
        <v>-0</v>
      </c>
    </row>
    <row r="8" customFormat="false" ht="15" hidden="false" customHeight="true" outlineLevel="0" collapsed="false">
      <c r="A8" s="47" t="s">
        <v>266</v>
      </c>
      <c r="B8" s="35" t="s">
        <v>11</v>
      </c>
      <c r="C8" s="44" t="n">
        <f aca="false">SUM(D8:BA8)</f>
        <v>2851257794.41673</v>
      </c>
      <c r="D8" s="44" t="n">
        <f aca="false">D5+D6+D7</f>
        <v>0</v>
      </c>
      <c r="E8" s="44" t="n">
        <f aca="false">E5+E6+E7</f>
        <v>0</v>
      </c>
      <c r="F8" s="44" t="n">
        <f aca="false">F5+F6+F7</f>
        <v>-115257373</v>
      </c>
      <c r="G8" s="44" t="n">
        <f aca="false">G5+G6+G7</f>
        <v>-106779562</v>
      </c>
      <c r="H8" s="44" t="n">
        <f aca="false">H5+H6+H7</f>
        <v>-162502828.53184</v>
      </c>
      <c r="I8" s="44" t="n">
        <f aca="false">I5+I6+I7</f>
        <v>19321862.6144705</v>
      </c>
      <c r="J8" s="44" t="n">
        <f aca="false">J5+J6+J7</f>
        <v>39140934.8600289</v>
      </c>
      <c r="K8" s="44" t="n">
        <f aca="false">K5+K6+K7</f>
        <v>59256092.509376</v>
      </c>
      <c r="L8" s="44" t="n">
        <f aca="false">L5+L6+L7</f>
        <v>63558468.3110972</v>
      </c>
      <c r="M8" s="44" t="n">
        <f aca="false">M5+M6+M7</f>
        <v>64050333.5064595</v>
      </c>
      <c r="N8" s="44" t="n">
        <f aca="false">N5+N6+N7</f>
        <v>64444709.8039264</v>
      </c>
      <c r="O8" s="44" t="n">
        <f aca="false">O5+O6+O7</f>
        <v>64943980.6446364</v>
      </c>
      <c r="P8" s="44" t="n">
        <f aca="false">P5+P6+P7</f>
        <v>65446996.0166518</v>
      </c>
      <c r="Q8" s="44" t="n">
        <f aca="false">Q5+Q6+Q7</f>
        <v>65953784.0039572</v>
      </c>
      <c r="R8" s="44" t="n">
        <f aca="false">R5+R6+R7</f>
        <v>66464372.9011674</v>
      </c>
      <c r="S8" s="44" t="n">
        <f aca="false">S5+S6+S7</f>
        <v>66872554.4339031</v>
      </c>
      <c r="T8" s="44" t="n">
        <f aca="false">T5+T6+T7</f>
        <v>67390830.8851969</v>
      </c>
      <c r="U8" s="44" t="n">
        <f aca="false">U5+U6+U7</f>
        <v>67912994.4098755</v>
      </c>
      <c r="V8" s="44" t="n">
        <f aca="false">V5+V6+V7</f>
        <v>68439074.1609891</v>
      </c>
      <c r="W8" s="44" t="n">
        <f aca="false">W5+W6+W7</f>
        <v>68969099.5102361</v>
      </c>
      <c r="X8" s="44" t="n">
        <f aca="false">X5+X6+X7</f>
        <v>69391551.4293387</v>
      </c>
      <c r="Y8" s="44" t="n">
        <f aca="false">Y5+Y6+Y7</f>
        <v>69929556.9727503</v>
      </c>
      <c r="Z8" s="44" t="n">
        <f aca="false">Z5+Z6+Z7</f>
        <v>70471597.5577374</v>
      </c>
      <c r="AA8" s="44" t="n">
        <f aca="false">AA5+AA6+AA7</f>
        <v>71017703.447112</v>
      </c>
      <c r="AB8" s="44" t="n">
        <f aca="false">AB5+AB6+AB7</f>
        <v>71567905.1306569</v>
      </c>
      <c r="AC8" s="44" t="n">
        <f aca="false">AC5+AC6+AC7</f>
        <v>72005107.2755514</v>
      </c>
      <c r="AD8" s="44" t="n">
        <f aca="false">AD5+AD6+AD7</f>
        <v>72563592.9331942</v>
      </c>
      <c r="AE8" s="44" t="n">
        <f aca="false">AE5+AE6+AE7</f>
        <v>73126267.2332692</v>
      </c>
      <c r="AF8" s="44" t="n">
        <f aca="false">AF5+AF6+AF7</f>
        <v>73693161.5905949</v>
      </c>
      <c r="AG8" s="44" t="n">
        <f aca="false">AG5+AG6+AG7</f>
        <v>74264307.6556005</v>
      </c>
      <c r="AH8" s="44" t="n">
        <f aca="false">AH5+AH6+AH7</f>
        <v>74716754.9622528</v>
      </c>
      <c r="AI8" s="44" t="n">
        <f aca="false">AI5+AI6+AI7</f>
        <v>75296500.3451996</v>
      </c>
      <c r="AJ8" s="44" t="n">
        <f aca="false">AJ5+AJ6+AJ7</f>
        <v>75880593.8185186</v>
      </c>
      <c r="AK8" s="44" t="n">
        <f aca="false">AK5+AK6+AK7</f>
        <v>76469067.9928874</v>
      </c>
      <c r="AL8" s="44" t="n">
        <f aca="false">AL5+AL6+AL7</f>
        <v>77061955.723564</v>
      </c>
      <c r="AM8" s="44" t="n">
        <f aca="false">AM5+AM6+AM7</f>
        <v>77530158.6406878</v>
      </c>
      <c r="AN8" s="44" t="n">
        <f aca="false">AN5+AN6+AN7</f>
        <v>78131973.0372593</v>
      </c>
      <c r="AO8" s="44" t="n">
        <f aca="false">AO5+AO6+AO7</f>
        <v>78738301.0418052</v>
      </c>
      <c r="AP8" s="44" t="n">
        <f aca="false">AP5+AP6+AP7</f>
        <v>79349176.5063852</v>
      </c>
      <c r="AQ8" s="44" t="n">
        <f aca="false">AQ5+AQ6+AQ7</f>
        <v>79964633.5369495</v>
      </c>
      <c r="AR8" s="44" t="n">
        <f aca="false">AR5+AR6+AR7</f>
        <v>80449118.4501336</v>
      </c>
      <c r="AS8" s="44" t="n">
        <f aca="false">AS5+AS6+AS7</f>
        <v>81073841.9556143</v>
      </c>
      <c r="AT8" s="44" t="n">
        <f aca="false">AT5+AT6+AT7</f>
        <v>81703250.8873862</v>
      </c>
      <c r="AU8" s="44" t="n">
        <f aca="false">AU5+AU6+AU7</f>
        <v>82337380.3861463</v>
      </c>
      <c r="AV8" s="44" t="n">
        <f aca="false">AV5+AV6+AV7</f>
        <v>82976265.8561472</v>
      </c>
      <c r="AW8" s="44" t="n">
        <f aca="false">AW5+AW6+AW7</f>
        <v>83477575.519808</v>
      </c>
      <c r="AX8" s="44" t="n">
        <f aca="false">AX5+AX6+AX7</f>
        <v>84126080.2091666</v>
      </c>
      <c r="AY8" s="44" t="n">
        <f aca="false">AY5+AY6+AY7</f>
        <v>84779448.6836953</v>
      </c>
      <c r="AZ8" s="44" t="n">
        <f aca="false">AZ5+AZ6+AZ7</f>
        <v>85437717.421783</v>
      </c>
      <c r="BA8" s="44" t="n">
        <f aca="false">BA5+BA6+BA7</f>
        <v>86100923.1754064</v>
      </c>
    </row>
    <row r="9" customFormat="false" ht="15" hidden="false" customHeight="true" outlineLevel="0" collapsed="false">
      <c r="A9" s="10" t="s">
        <v>267</v>
      </c>
      <c r="B9" s="35" t="s">
        <v>268</v>
      </c>
      <c r="C9" s="41" t="n">
        <f aca="false">IFERROR(IRR(D8:BA8),"-")</f>
        <v>0.133547927095859</v>
      </c>
    </row>
    <row r="11" customFormat="false" ht="15" hidden="false" customHeight="true" outlineLevel="0" collapsed="false">
      <c r="A11" s="45" t="s">
        <v>46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</row>
    <row r="12" customFormat="false" ht="15" hidden="false" customHeight="true" outlineLevel="0" collapsed="false">
      <c r="A12" s="35" t="s">
        <v>263</v>
      </c>
      <c r="B12" s="35" t="s">
        <v>11</v>
      </c>
      <c r="C12" s="44" t="n">
        <f aca="false">SUM(D12:BA12)</f>
        <v>4387775166.38575</v>
      </c>
      <c r="D12" s="44" t="n">
        <f aca="false">D176</f>
        <v>0</v>
      </c>
      <c r="E12" s="44" t="n">
        <f aca="false">E176</f>
        <v>0</v>
      </c>
      <c r="F12" s="44" t="n">
        <f aca="false">F176</f>
        <v>0</v>
      </c>
      <c r="G12" s="44" t="n">
        <f aca="false">G176</f>
        <v>0</v>
      </c>
      <c r="H12" s="44" t="n">
        <f aca="false">H176</f>
        <v>0</v>
      </c>
      <c r="I12" s="44" t="n">
        <f aca="false">I176</f>
        <v>10496250</v>
      </c>
      <c r="J12" s="44" t="n">
        <f aca="false">J176</f>
        <v>34783830</v>
      </c>
      <c r="K12" s="44" t="n">
        <f aca="false">K176</f>
        <v>58518611.5209688</v>
      </c>
      <c r="L12" s="44" t="n">
        <f aca="false">L176</f>
        <v>77682569.7899327</v>
      </c>
      <c r="M12" s="44" t="n">
        <f aca="false">M176</f>
        <v>83187740.6003075</v>
      </c>
      <c r="N12" s="44" t="n">
        <f aca="false">N176</f>
        <v>88771119.3282873</v>
      </c>
      <c r="O12" s="44" t="n">
        <f aca="false">O176</f>
        <v>89436902.7232495</v>
      </c>
      <c r="P12" s="44" t="n">
        <f aca="false">P176</f>
        <v>90107679.4936739</v>
      </c>
      <c r="Q12" s="44" t="n">
        <f aca="false">Q176</f>
        <v>90783487.0898764</v>
      </c>
      <c r="R12" s="44" t="n">
        <f aca="false">R176</f>
        <v>91464363.2430505</v>
      </c>
      <c r="S12" s="44" t="n">
        <f aca="false">S176</f>
        <v>92150345.9673734</v>
      </c>
      <c r="T12" s="44" t="n">
        <f aca="false">T176</f>
        <v>92841473.5621287</v>
      </c>
      <c r="U12" s="44" t="n">
        <f aca="false">U176</f>
        <v>93537784.6138447</v>
      </c>
      <c r="V12" s="44" t="n">
        <f aca="false">V176</f>
        <v>94239317.9984485</v>
      </c>
      <c r="W12" s="44" t="n">
        <f aca="false">W176</f>
        <v>94946112.8834369</v>
      </c>
      <c r="X12" s="44" t="n">
        <f aca="false">X176</f>
        <v>95658208.7300627</v>
      </c>
      <c r="Y12" s="44" t="n">
        <f aca="false">Y176</f>
        <v>96375645.2955381</v>
      </c>
      <c r="Z12" s="44" t="n">
        <f aca="false">Z176</f>
        <v>97098462.6352547</v>
      </c>
      <c r="AA12" s="44" t="n">
        <f aca="false">AA176</f>
        <v>97826701.1050191</v>
      </c>
      <c r="AB12" s="44" t="n">
        <f aca="false">AB176</f>
        <v>98560401.3633068</v>
      </c>
      <c r="AC12" s="44" t="n">
        <f aca="false">AC176</f>
        <v>99299604.3735316</v>
      </c>
      <c r="AD12" s="44" t="n">
        <f aca="false">AD176</f>
        <v>100044351.406333</v>
      </c>
      <c r="AE12" s="44" t="n">
        <f aca="false">AE176</f>
        <v>100794684.041881</v>
      </c>
      <c r="AF12" s="44" t="n">
        <f aca="false">AF176</f>
        <v>101550644.172195</v>
      </c>
      <c r="AG12" s="44" t="n">
        <f aca="false">AG176</f>
        <v>102312274.003486</v>
      </c>
      <c r="AH12" s="44" t="n">
        <f aca="false">AH176</f>
        <v>103079616.058512</v>
      </c>
      <c r="AI12" s="44" t="n">
        <f aca="false">AI176</f>
        <v>103852713.178951</v>
      </c>
      <c r="AJ12" s="44" t="n">
        <f aca="false">AJ176</f>
        <v>104631608.527793</v>
      </c>
      <c r="AK12" s="44" t="n">
        <f aca="false">AK176</f>
        <v>105416345.591752</v>
      </c>
      <c r="AL12" s="44" t="n">
        <f aca="false">AL176</f>
        <v>106206968.18369</v>
      </c>
      <c r="AM12" s="44" t="n">
        <f aca="false">AM176</f>
        <v>107003520.445068</v>
      </c>
      <c r="AN12" s="44" t="n">
        <f aca="false">AN176</f>
        <v>107806046.848406</v>
      </c>
      <c r="AO12" s="44" t="n">
        <f aca="false">AO176</f>
        <v>108614592.199769</v>
      </c>
      <c r="AP12" s="44" t="n">
        <f aca="false">AP176</f>
        <v>109429201.641267</v>
      </c>
      <c r="AQ12" s="44" t="n">
        <f aca="false">AQ176</f>
        <v>110249920.653576</v>
      </c>
      <c r="AR12" s="44" t="n">
        <f aca="false">AR176</f>
        <v>111076795.058478</v>
      </c>
      <c r="AS12" s="44" t="n">
        <f aca="false">AS176</f>
        <v>111909871.021417</v>
      </c>
      <c r="AT12" s="44" t="n">
        <f aca="false">AT176</f>
        <v>112749195.054077</v>
      </c>
      <c r="AU12" s="44" t="n">
        <f aca="false">AU176</f>
        <v>113594814.016983</v>
      </c>
      <c r="AV12" s="44" t="n">
        <f aca="false">AV176</f>
        <v>114446775.12211</v>
      </c>
      <c r="AW12" s="44" t="n">
        <f aca="false">AW176</f>
        <v>115305125.935526</v>
      </c>
      <c r="AX12" s="44" t="n">
        <f aca="false">AX176</f>
        <v>116169914.380043</v>
      </c>
      <c r="AY12" s="44" t="n">
        <f aca="false">AY176</f>
        <v>117041188.737893</v>
      </c>
      <c r="AZ12" s="44" t="n">
        <f aca="false">AZ176</f>
        <v>117918997.653427</v>
      </c>
      <c r="BA12" s="44" t="n">
        <f aca="false">BA176</f>
        <v>118803390.135828</v>
      </c>
    </row>
    <row r="13" customFormat="false" ht="15" hidden="false" customHeight="true" outlineLevel="0" collapsed="false">
      <c r="A13" s="35" t="s">
        <v>264</v>
      </c>
      <c r="B13" s="35" t="s">
        <v>11</v>
      </c>
      <c r="C13" s="44" t="n">
        <f aca="false">SUM(D13:BA13)</f>
        <v>-127414440.183331</v>
      </c>
      <c r="D13" s="44" t="n">
        <f aca="false">IF($E171="Lease",-D211,IF(AND($E171="Purchase",D$3=$C171),-$G171*$D$172,0))</f>
        <v>-0</v>
      </c>
      <c r="E13" s="44" t="n">
        <f aca="false">IF($E171="Lease",-E211,IF(AND($E171="Purchase",E$3=$C171),-$G171*$D$172,0))</f>
        <v>-0</v>
      </c>
      <c r="F13" s="44" t="n">
        <f aca="false">IF($E171="Lease",-F211,IF(AND($E171="Purchase",F$3=$C171),-$G171*$D$172,0))</f>
        <v>-0</v>
      </c>
      <c r="G13" s="44" t="n">
        <f aca="false">IF($E171="Lease",-G211,IF(AND($E171="Purchase",G$3=$C171),-$G171*$D$172,0))</f>
        <v>-0</v>
      </c>
      <c r="H13" s="44" t="n">
        <f aca="false">IF($E171="Lease",-H211,IF(AND($E171="Purchase",H$3=$C171),-$G171*$D$172,0))</f>
        <v>-0</v>
      </c>
      <c r="I13" s="44" t="n">
        <f aca="false">IF($E171="Lease",-I211,IF(AND($E171="Purchase",I$3=$C171),-$G171*$D$172,0))</f>
        <v>-2311045.1540593</v>
      </c>
      <c r="J13" s="44" t="n">
        <f aca="false">IF($E171="Lease",-J211,IF(AND($E171="Purchase",J$3=$C171),-$G171*$D$172,0))</f>
        <v>-2311045.1540593</v>
      </c>
      <c r="K13" s="44" t="n">
        <f aca="false">IF($E171="Lease",-K211,IF(AND($E171="Purchase",K$3=$C171),-$G171*$D$172,0))</f>
        <v>-2311045.1540593</v>
      </c>
      <c r="L13" s="44" t="n">
        <f aca="false">IF($E171="Lease",-L211,IF(AND($E171="Purchase",L$3=$C171),-$G171*$D$172,0))</f>
        <v>-2311045.1540593</v>
      </c>
      <c r="M13" s="44" t="n">
        <f aca="false">IF($E171="Lease",-M211,IF(AND($E171="Purchase",M$3=$C171),-$G171*$D$172,0))</f>
        <v>-2311045.1540593</v>
      </c>
      <c r="N13" s="44" t="n">
        <f aca="false">IF($E171="Lease",-N211,IF(AND($E171="Purchase",N$3=$C171),-$G171*$D$172,0))</f>
        <v>-2426597.41176226</v>
      </c>
      <c r="O13" s="44" t="n">
        <f aca="false">IF($E171="Lease",-O211,IF(AND($E171="Purchase",O$3=$C171),-$G171*$D$172,0))</f>
        <v>-2426597.41176226</v>
      </c>
      <c r="P13" s="44" t="n">
        <f aca="false">IF($E171="Lease",-P211,IF(AND($E171="Purchase",P$3=$C171),-$G171*$D$172,0))</f>
        <v>-2426597.41176226</v>
      </c>
      <c r="Q13" s="44" t="n">
        <f aca="false">IF($E171="Lease",-Q211,IF(AND($E171="Purchase",Q$3=$C171),-$G171*$D$172,0))</f>
        <v>-2426597.41176226</v>
      </c>
      <c r="R13" s="44" t="n">
        <f aca="false">IF($E171="Lease",-R211,IF(AND($E171="Purchase",R$3=$C171),-$G171*$D$172,0))</f>
        <v>-2426597.41176226</v>
      </c>
      <c r="S13" s="44" t="n">
        <f aca="false">IF($E171="Lease",-S211,IF(AND($E171="Purchase",S$3=$C171),-$G171*$D$172,0))</f>
        <v>-2547927.28235038</v>
      </c>
      <c r="T13" s="44" t="n">
        <f aca="false">IF($E171="Lease",-T211,IF(AND($E171="Purchase",T$3=$C171),-$G171*$D$172,0))</f>
        <v>-2547927.28235038</v>
      </c>
      <c r="U13" s="44" t="n">
        <f aca="false">IF($E171="Lease",-U211,IF(AND($E171="Purchase",U$3=$C171),-$G171*$D$172,0))</f>
        <v>-2547927.28235038</v>
      </c>
      <c r="V13" s="44" t="n">
        <f aca="false">IF($E171="Lease",-V211,IF(AND($E171="Purchase",V$3=$C171),-$G171*$D$172,0))</f>
        <v>-2547927.28235038</v>
      </c>
      <c r="W13" s="44" t="n">
        <f aca="false">IF($E171="Lease",-W211,IF(AND($E171="Purchase",W$3=$C171),-$G171*$D$172,0))</f>
        <v>-2547927.28235038</v>
      </c>
      <c r="X13" s="44" t="n">
        <f aca="false">IF($E171="Lease",-X211,IF(AND($E171="Purchase",X$3=$C171),-$G171*$D$172,0))</f>
        <v>-2675323.6464679</v>
      </c>
      <c r="Y13" s="44" t="n">
        <f aca="false">IF($E171="Lease",-Y211,IF(AND($E171="Purchase",Y$3=$C171),-$G171*$D$172,0))</f>
        <v>-2675323.6464679</v>
      </c>
      <c r="Z13" s="44" t="n">
        <f aca="false">IF($E171="Lease",-Z211,IF(AND($E171="Purchase",Z$3=$C171),-$G171*$D$172,0))</f>
        <v>-2675323.6464679</v>
      </c>
      <c r="AA13" s="44" t="n">
        <f aca="false">IF($E171="Lease",-AA211,IF(AND($E171="Purchase",AA$3=$C171),-$G171*$D$172,0))</f>
        <v>-2675323.6464679</v>
      </c>
      <c r="AB13" s="44" t="n">
        <f aca="false">IF($E171="Lease",-AB211,IF(AND($E171="Purchase",AB$3=$C171),-$G171*$D$172,0))</f>
        <v>-2675323.6464679</v>
      </c>
      <c r="AC13" s="44" t="n">
        <f aca="false">IF($E171="Lease",-AC211,IF(AND($E171="Purchase",AC$3=$C171),-$G171*$D$172,0))</f>
        <v>-2809089.82879129</v>
      </c>
      <c r="AD13" s="44" t="n">
        <f aca="false">IF($E171="Lease",-AD211,IF(AND($E171="Purchase",AD$3=$C171),-$G171*$D$172,0))</f>
        <v>-2809089.82879129</v>
      </c>
      <c r="AE13" s="44" t="n">
        <f aca="false">IF($E171="Lease",-AE211,IF(AND($E171="Purchase",AE$3=$C171),-$G171*$D$172,0))</f>
        <v>-2809089.82879129</v>
      </c>
      <c r="AF13" s="44" t="n">
        <f aca="false">IF($E171="Lease",-AF211,IF(AND($E171="Purchase",AF$3=$C171),-$G171*$D$172,0))</f>
        <v>-2809089.82879129</v>
      </c>
      <c r="AG13" s="44" t="n">
        <f aca="false">IF($E171="Lease",-AG211,IF(AND($E171="Purchase",AG$3=$C171),-$G171*$D$172,0))</f>
        <v>-2809089.82879129</v>
      </c>
      <c r="AH13" s="44" t="n">
        <f aca="false">IF($E171="Lease",-AH211,IF(AND($E171="Purchase",AH$3=$C171),-$G171*$D$172,0))</f>
        <v>-2949544.32023086</v>
      </c>
      <c r="AI13" s="44" t="n">
        <f aca="false">IF($E171="Lease",-AI211,IF(AND($E171="Purchase",AI$3=$C171),-$G171*$D$172,0))</f>
        <v>-2949544.32023086</v>
      </c>
      <c r="AJ13" s="44" t="n">
        <f aca="false">IF($E171="Lease",-AJ211,IF(AND($E171="Purchase",AJ$3=$C171),-$G171*$D$172,0))</f>
        <v>-2949544.32023086</v>
      </c>
      <c r="AK13" s="44" t="n">
        <f aca="false">IF($E171="Lease",-AK211,IF(AND($E171="Purchase",AK$3=$C171),-$G171*$D$172,0))</f>
        <v>-2949544.32023086</v>
      </c>
      <c r="AL13" s="44" t="n">
        <f aca="false">IF($E171="Lease",-AL211,IF(AND($E171="Purchase",AL$3=$C171),-$G171*$D$172,0))</f>
        <v>-2949544.32023086</v>
      </c>
      <c r="AM13" s="44" t="n">
        <f aca="false">IF($E171="Lease",-AM211,IF(AND($E171="Purchase",AM$3=$C171),-$G171*$D$172,0))</f>
        <v>-3097021.5362424</v>
      </c>
      <c r="AN13" s="44" t="n">
        <f aca="false">IF($E171="Lease",-AN211,IF(AND($E171="Purchase",AN$3=$C171),-$G171*$D$172,0))</f>
        <v>-3097021.5362424</v>
      </c>
      <c r="AO13" s="44" t="n">
        <f aca="false">IF($E171="Lease",-AO211,IF(AND($E171="Purchase",AO$3=$C171),-$G171*$D$172,0))</f>
        <v>-3097021.5362424</v>
      </c>
      <c r="AP13" s="44" t="n">
        <f aca="false">IF($E171="Lease",-AP211,IF(AND($E171="Purchase",AP$3=$C171),-$G171*$D$172,0))</f>
        <v>-3097021.5362424</v>
      </c>
      <c r="AQ13" s="44" t="n">
        <f aca="false">IF($E171="Lease",-AQ211,IF(AND($E171="Purchase",AQ$3=$C171),-$G171*$D$172,0))</f>
        <v>-3097021.5362424</v>
      </c>
      <c r="AR13" s="44" t="n">
        <f aca="false">IF($E171="Lease",-AR211,IF(AND($E171="Purchase",AR$3=$C171),-$G171*$D$172,0))</f>
        <v>-3251872.61305452</v>
      </c>
      <c r="AS13" s="44" t="n">
        <f aca="false">IF($E171="Lease",-AS211,IF(AND($E171="Purchase",AS$3=$C171),-$G171*$D$172,0))</f>
        <v>-3251872.61305452</v>
      </c>
      <c r="AT13" s="44" t="n">
        <f aca="false">IF($E171="Lease",-AT211,IF(AND($E171="Purchase",AT$3=$C171),-$G171*$D$172,0))</f>
        <v>-3251872.61305452</v>
      </c>
      <c r="AU13" s="44" t="n">
        <f aca="false">IF($E171="Lease",-AU211,IF(AND($E171="Purchase",AU$3=$C171),-$G171*$D$172,0))</f>
        <v>-3251872.61305452</v>
      </c>
      <c r="AV13" s="44" t="n">
        <f aca="false">IF($E171="Lease",-AV211,IF(AND($E171="Purchase",AV$3=$C171),-$G171*$D$172,0))</f>
        <v>-3251872.61305452</v>
      </c>
      <c r="AW13" s="44" t="n">
        <f aca="false">IF($E171="Lease",-AW211,IF(AND($E171="Purchase",AW$3=$C171),-$G171*$D$172,0))</f>
        <v>-3414466.24370725</v>
      </c>
      <c r="AX13" s="44" t="n">
        <f aca="false">IF($E171="Lease",-AX211,IF(AND($E171="Purchase",AX$3=$C171),-$G171*$D$172,0))</f>
        <v>-3414466.24370725</v>
      </c>
      <c r="AY13" s="44" t="n">
        <f aca="false">IF($E171="Lease",-AY211,IF(AND($E171="Purchase",AY$3=$C171),-$G171*$D$172,0))</f>
        <v>-3414466.24370725</v>
      </c>
      <c r="AZ13" s="44" t="n">
        <f aca="false">IF($E171="Lease",-AZ211,IF(AND($E171="Purchase",AZ$3=$C171),-$G171*$D$172,0))</f>
        <v>-3414466.24370725</v>
      </c>
      <c r="BA13" s="44" t="n">
        <f aca="false">IF($E171="Lease",-BA211,IF(AND($E171="Purchase",BA$3=$C171),-$G171*$D$172,0))</f>
        <v>-3414466.24370725</v>
      </c>
    </row>
    <row r="14" customFormat="false" ht="15" hidden="false" customHeight="true" outlineLevel="0" collapsed="false">
      <c r="A14" s="35" t="s">
        <v>265</v>
      </c>
      <c r="B14" s="35" t="s">
        <v>11</v>
      </c>
      <c r="C14" s="44" t="n">
        <f aca="false">SUM(D14:BA14)</f>
        <v>-496004466.735064</v>
      </c>
      <c r="D14" s="44" t="n">
        <f aca="false">-D194</f>
        <v>-0</v>
      </c>
      <c r="E14" s="44" t="n">
        <f aca="false">-E194</f>
        <v>-0</v>
      </c>
      <c r="F14" s="44" t="n">
        <f aca="false">-F194</f>
        <v>-0</v>
      </c>
      <c r="G14" s="44" t="n">
        <f aca="false">-G194</f>
        <v>-169571301.9</v>
      </c>
      <c r="H14" s="44" t="n">
        <f aca="false">-H194</f>
        <v>-206151187.635064</v>
      </c>
      <c r="I14" s="44" t="n">
        <f aca="false">-I194</f>
        <v>-93393577.2</v>
      </c>
      <c r="J14" s="44" t="n">
        <f aca="false">-J194</f>
        <v>-26888400</v>
      </c>
      <c r="K14" s="44" t="n">
        <f aca="false">-K194</f>
        <v>-0</v>
      </c>
      <c r="L14" s="44" t="n">
        <f aca="false">-L194</f>
        <v>-0</v>
      </c>
      <c r="M14" s="44" t="n">
        <f aca="false">-M194</f>
        <v>-0</v>
      </c>
      <c r="N14" s="44" t="n">
        <f aca="false">-N194</f>
        <v>-0</v>
      </c>
      <c r="O14" s="44" t="n">
        <f aca="false">-O194</f>
        <v>-0</v>
      </c>
      <c r="P14" s="44" t="n">
        <f aca="false">-P194</f>
        <v>-0</v>
      </c>
      <c r="Q14" s="44" t="n">
        <f aca="false">-Q194</f>
        <v>-0</v>
      </c>
      <c r="R14" s="44" t="n">
        <f aca="false">-R194</f>
        <v>-0</v>
      </c>
      <c r="S14" s="44" t="n">
        <f aca="false">-S194</f>
        <v>-0</v>
      </c>
      <c r="T14" s="44" t="n">
        <f aca="false">-T194</f>
        <v>-0</v>
      </c>
      <c r="U14" s="44" t="n">
        <f aca="false">-U194</f>
        <v>-0</v>
      </c>
      <c r="V14" s="44" t="n">
        <f aca="false">-V194</f>
        <v>-0</v>
      </c>
      <c r="W14" s="44" t="n">
        <f aca="false">-W194</f>
        <v>-0</v>
      </c>
      <c r="X14" s="44" t="n">
        <f aca="false">-X194</f>
        <v>-0</v>
      </c>
      <c r="Y14" s="44" t="n">
        <f aca="false">-Y194</f>
        <v>-0</v>
      </c>
      <c r="Z14" s="44" t="n">
        <f aca="false">-Z194</f>
        <v>-0</v>
      </c>
      <c r="AA14" s="44" t="n">
        <f aca="false">-AA194</f>
        <v>-0</v>
      </c>
      <c r="AB14" s="44" t="n">
        <f aca="false">-AB194</f>
        <v>-0</v>
      </c>
      <c r="AC14" s="44" t="n">
        <f aca="false">-AC194</f>
        <v>-0</v>
      </c>
      <c r="AD14" s="44" t="n">
        <f aca="false">-AD194</f>
        <v>-0</v>
      </c>
      <c r="AE14" s="44" t="n">
        <f aca="false">-AE194</f>
        <v>-0</v>
      </c>
      <c r="AF14" s="44" t="n">
        <f aca="false">-AF194</f>
        <v>-0</v>
      </c>
      <c r="AG14" s="44" t="n">
        <f aca="false">-AG194</f>
        <v>-0</v>
      </c>
      <c r="AH14" s="44" t="n">
        <f aca="false">-AH194</f>
        <v>-0</v>
      </c>
      <c r="AI14" s="44" t="n">
        <f aca="false">-AI194</f>
        <v>-0</v>
      </c>
      <c r="AJ14" s="44" t="n">
        <f aca="false">-AJ194</f>
        <v>-0</v>
      </c>
      <c r="AK14" s="44" t="n">
        <f aca="false">-AK194</f>
        <v>-0</v>
      </c>
      <c r="AL14" s="44" t="n">
        <f aca="false">-AL194</f>
        <v>-0</v>
      </c>
      <c r="AM14" s="44" t="n">
        <f aca="false">-AM194</f>
        <v>-0</v>
      </c>
      <c r="AN14" s="44" t="n">
        <f aca="false">-AN194</f>
        <v>-0</v>
      </c>
      <c r="AO14" s="44" t="n">
        <f aca="false">-AO194</f>
        <v>-0</v>
      </c>
      <c r="AP14" s="44" t="n">
        <f aca="false">-AP194</f>
        <v>-0</v>
      </c>
      <c r="AQ14" s="44" t="n">
        <f aca="false">-AQ194</f>
        <v>-0</v>
      </c>
      <c r="AR14" s="44" t="n">
        <f aca="false">-AR194</f>
        <v>-0</v>
      </c>
      <c r="AS14" s="44" t="n">
        <f aca="false">-AS194</f>
        <v>-0</v>
      </c>
      <c r="AT14" s="44" t="n">
        <f aca="false">-AT194</f>
        <v>-0</v>
      </c>
      <c r="AU14" s="44" t="n">
        <f aca="false">-AU194</f>
        <v>-0</v>
      </c>
      <c r="AV14" s="44" t="n">
        <f aca="false">-AV194</f>
        <v>-0</v>
      </c>
      <c r="AW14" s="44" t="n">
        <f aca="false">-AW194</f>
        <v>-0</v>
      </c>
      <c r="AX14" s="44" t="n">
        <f aca="false">-AX194</f>
        <v>-0</v>
      </c>
      <c r="AY14" s="44" t="n">
        <f aca="false">-AY194</f>
        <v>-0</v>
      </c>
      <c r="AZ14" s="44" t="n">
        <f aca="false">-AZ194</f>
        <v>-0</v>
      </c>
      <c r="BA14" s="44" t="n">
        <f aca="false">-BA194</f>
        <v>-0</v>
      </c>
    </row>
    <row r="15" customFormat="false" ht="15" hidden="false" customHeight="true" outlineLevel="0" collapsed="false">
      <c r="A15" s="47" t="s">
        <v>269</v>
      </c>
      <c r="B15" s="35" t="s">
        <v>11</v>
      </c>
      <c r="C15" s="44" t="n">
        <f aca="false">SUM(D15:BA15)</f>
        <v>3764356259.46736</v>
      </c>
      <c r="D15" s="44" t="n">
        <f aca="false">D12+D13+D14</f>
        <v>0</v>
      </c>
      <c r="E15" s="44" t="n">
        <f aca="false">E12+E13+E14</f>
        <v>0</v>
      </c>
      <c r="F15" s="44" t="n">
        <f aca="false">F12+F13+F14</f>
        <v>0</v>
      </c>
      <c r="G15" s="44" t="n">
        <f aca="false">G12+G13+G14</f>
        <v>-169571301.9</v>
      </c>
      <c r="H15" s="44" t="n">
        <f aca="false">H12+H13+H14</f>
        <v>-206151187.635064</v>
      </c>
      <c r="I15" s="44" t="n">
        <f aca="false">I12+I13+I14</f>
        <v>-85208372.3540593</v>
      </c>
      <c r="J15" s="44" t="n">
        <f aca="false">J12+J13+J14</f>
        <v>5584384.8459407</v>
      </c>
      <c r="K15" s="44" t="n">
        <f aca="false">K12+K13+K14</f>
        <v>56207566.3669095</v>
      </c>
      <c r="L15" s="44" t="n">
        <f aca="false">L12+L13+L14</f>
        <v>75371524.6358734</v>
      </c>
      <c r="M15" s="44" t="n">
        <f aca="false">M12+M13+M14</f>
        <v>80876695.4462482</v>
      </c>
      <c r="N15" s="44" t="n">
        <f aca="false">N12+N13+N14</f>
        <v>86344521.9165251</v>
      </c>
      <c r="O15" s="44" t="n">
        <f aca="false">O12+O13+O14</f>
        <v>87010305.3114872</v>
      </c>
      <c r="P15" s="44" t="n">
        <f aca="false">P12+P13+P14</f>
        <v>87681082.0819116</v>
      </c>
      <c r="Q15" s="44" t="n">
        <f aca="false">Q12+Q13+Q14</f>
        <v>88356889.6781142</v>
      </c>
      <c r="R15" s="44" t="n">
        <f aca="false">R12+R13+R14</f>
        <v>89037765.8312883</v>
      </c>
      <c r="S15" s="44" t="n">
        <f aca="false">S12+S13+S14</f>
        <v>89602418.685023</v>
      </c>
      <c r="T15" s="44" t="n">
        <f aca="false">T12+T13+T14</f>
        <v>90293546.2797783</v>
      </c>
      <c r="U15" s="44" t="n">
        <f aca="false">U12+U13+U14</f>
        <v>90989857.3314943</v>
      </c>
      <c r="V15" s="44" t="n">
        <f aca="false">V12+V13+V14</f>
        <v>91691390.7160981</v>
      </c>
      <c r="W15" s="44" t="n">
        <f aca="false">W12+W13+W14</f>
        <v>92398185.6010865</v>
      </c>
      <c r="X15" s="44" t="n">
        <f aca="false">X12+X13+X14</f>
        <v>92982885.0835948</v>
      </c>
      <c r="Y15" s="44" t="n">
        <f aca="false">Y12+Y13+Y14</f>
        <v>93700321.6490703</v>
      </c>
      <c r="Z15" s="44" t="n">
        <f aca="false">Z12+Z13+Z14</f>
        <v>94423138.9887868</v>
      </c>
      <c r="AA15" s="44" t="n">
        <f aca="false">AA12+AA13+AA14</f>
        <v>95151377.4585512</v>
      </c>
      <c r="AB15" s="44" t="n">
        <f aca="false">AB12+AB13+AB14</f>
        <v>95885077.7168389</v>
      </c>
      <c r="AC15" s="44" t="n">
        <f aca="false">AC12+AC13+AC14</f>
        <v>96490514.5447403</v>
      </c>
      <c r="AD15" s="44" t="n">
        <f aca="false">AD12+AD13+AD14</f>
        <v>97235261.5775418</v>
      </c>
      <c r="AE15" s="44" t="n">
        <f aca="false">AE12+AE13+AE14</f>
        <v>97985594.2130893</v>
      </c>
      <c r="AF15" s="44" t="n">
        <f aca="false">AF12+AF13+AF14</f>
        <v>98741554.3434034</v>
      </c>
      <c r="AG15" s="44" t="n">
        <f aca="false">AG12+AG13+AG14</f>
        <v>99503184.1746948</v>
      </c>
      <c r="AH15" s="44" t="n">
        <f aca="false">AH12+AH13+AH14</f>
        <v>100130071.738281</v>
      </c>
      <c r="AI15" s="44" t="n">
        <f aca="false">AI12+AI13+AI14</f>
        <v>100903168.85872</v>
      </c>
      <c r="AJ15" s="44" t="n">
        <f aca="false">AJ12+AJ13+AJ14</f>
        <v>101682064.207562</v>
      </c>
      <c r="AK15" s="44" t="n">
        <f aca="false">AK12+AK13+AK14</f>
        <v>102466801.271521</v>
      </c>
      <c r="AL15" s="44" t="n">
        <f aca="false">AL12+AL13+AL14</f>
        <v>103257423.863459</v>
      </c>
      <c r="AM15" s="44" t="n">
        <f aca="false">AM12+AM13+AM14</f>
        <v>103906498.908825</v>
      </c>
      <c r="AN15" s="44" t="n">
        <f aca="false">AN12+AN13+AN14</f>
        <v>104709025.312163</v>
      </c>
      <c r="AO15" s="44" t="n">
        <f aca="false">AO12+AO13+AO14</f>
        <v>105517570.663526</v>
      </c>
      <c r="AP15" s="44" t="n">
        <f aca="false">AP12+AP13+AP14</f>
        <v>106332180.105024</v>
      </c>
      <c r="AQ15" s="44" t="n">
        <f aca="false">AQ12+AQ13+AQ14</f>
        <v>107152899.117334</v>
      </c>
      <c r="AR15" s="44" t="n">
        <f aca="false">AR12+AR13+AR14</f>
        <v>107824922.445424</v>
      </c>
      <c r="AS15" s="44" t="n">
        <f aca="false">AS12+AS13+AS14</f>
        <v>108657998.408362</v>
      </c>
      <c r="AT15" s="44" t="n">
        <f aca="false">AT12+AT13+AT14</f>
        <v>109497322.441023</v>
      </c>
      <c r="AU15" s="44" t="n">
        <f aca="false">AU12+AU13+AU14</f>
        <v>110342941.403929</v>
      </c>
      <c r="AV15" s="44" t="n">
        <f aca="false">AV12+AV13+AV14</f>
        <v>111194902.509056</v>
      </c>
      <c r="AW15" s="44" t="n">
        <f aca="false">AW12+AW13+AW14</f>
        <v>111890659.691819</v>
      </c>
      <c r="AX15" s="44" t="n">
        <f aca="false">AX12+AX13+AX14</f>
        <v>112755448.136335</v>
      </c>
      <c r="AY15" s="44" t="n">
        <f aca="false">AY12+AY13+AY14</f>
        <v>113626722.494186</v>
      </c>
      <c r="AZ15" s="44" t="n">
        <f aca="false">AZ12+AZ13+AZ14</f>
        <v>114504531.40972</v>
      </c>
      <c r="BA15" s="44" t="n">
        <f aca="false">BA12+BA13+BA14</f>
        <v>115388923.892121</v>
      </c>
    </row>
    <row r="16" customFormat="false" ht="15" hidden="false" customHeight="true" outlineLevel="0" collapsed="false">
      <c r="A16" s="10" t="s">
        <v>270</v>
      </c>
      <c r="B16" s="35" t="s">
        <v>268</v>
      </c>
      <c r="C16" s="41" t="n">
        <f aca="false">IFERROR(IRR(D15:BA15),"-")</f>
        <v>0.137952434572208</v>
      </c>
    </row>
    <row r="18" customFormat="false" ht="15" hidden="false" customHeight="true" outlineLevel="0" collapsed="false">
      <c r="A18" s="45" t="s">
        <v>47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</row>
    <row r="19" customFormat="false" ht="15" hidden="false" customHeight="true" outlineLevel="0" collapsed="false">
      <c r="A19" s="35" t="s">
        <v>263</v>
      </c>
      <c r="B19" s="35" t="s">
        <v>11</v>
      </c>
      <c r="C19" s="44" t="n">
        <f aca="false">SUM(D19:BA19)</f>
        <v>4324985432.07914</v>
      </c>
      <c r="D19" s="44" t="n">
        <f aca="false">D177</f>
        <v>0</v>
      </c>
      <c r="E19" s="44" t="n">
        <f aca="false">E177</f>
        <v>0</v>
      </c>
      <c r="F19" s="44" t="n">
        <f aca="false">F177</f>
        <v>0</v>
      </c>
      <c r="G19" s="44" t="n">
        <f aca="false">G177</f>
        <v>0</v>
      </c>
      <c r="H19" s="44" t="n">
        <f aca="false">H177</f>
        <v>0</v>
      </c>
      <c r="I19" s="44" t="n">
        <f aca="false">I177</f>
        <v>2496300</v>
      </c>
      <c r="J19" s="44" t="n">
        <f aca="false">J177</f>
        <v>9261728.25</v>
      </c>
      <c r="K19" s="44" t="n">
        <f aca="false">K177</f>
        <v>39382865.506875</v>
      </c>
      <c r="L19" s="44" t="n">
        <f aca="false">L177</f>
        <v>63997176.4871766</v>
      </c>
      <c r="M19" s="44" t="n">
        <f aca="false">M177</f>
        <v>88081646.8890304</v>
      </c>
      <c r="N19" s="44" t="n">
        <f aca="false">N177</f>
        <v>88742259.2406981</v>
      </c>
      <c r="O19" s="44" t="n">
        <f aca="false">O177</f>
        <v>89407826.1850034</v>
      </c>
      <c r="P19" s="44" t="n">
        <f aca="false">P177</f>
        <v>90078384.8813909</v>
      </c>
      <c r="Q19" s="44" t="n">
        <f aca="false">Q177</f>
        <v>90753972.7680013</v>
      </c>
      <c r="R19" s="44" t="n">
        <f aca="false">R177</f>
        <v>91434627.5637614</v>
      </c>
      <c r="S19" s="44" t="n">
        <f aca="false">S177</f>
        <v>92120387.2704896</v>
      </c>
      <c r="T19" s="44" t="n">
        <f aca="false">T177</f>
        <v>92811290.1750182</v>
      </c>
      <c r="U19" s="44" t="n">
        <f aca="false">U177</f>
        <v>93507374.8513309</v>
      </c>
      <c r="V19" s="44" t="n">
        <f aca="false">V177</f>
        <v>94208680.1627159</v>
      </c>
      <c r="W19" s="44" t="n">
        <f aca="false">W177</f>
        <v>94915245.2639363</v>
      </c>
      <c r="X19" s="44" t="n">
        <f aca="false">X177</f>
        <v>95627109.6034158</v>
      </c>
      <c r="Y19" s="44" t="n">
        <f aca="false">Y177</f>
        <v>96344312.9254414</v>
      </c>
      <c r="Z19" s="44" t="n">
        <f aca="false">Z177</f>
        <v>97066895.2723822</v>
      </c>
      <c r="AA19" s="44" t="n">
        <f aca="false">AA177</f>
        <v>97794896.9869251</v>
      </c>
      <c r="AB19" s="44" t="n">
        <f aca="false">AB177</f>
        <v>98528358.714327</v>
      </c>
      <c r="AC19" s="44" t="n">
        <f aca="false">AC177</f>
        <v>99267321.4046845</v>
      </c>
      <c r="AD19" s="44" t="n">
        <f aca="false">AD177</f>
        <v>100011826.31522</v>
      </c>
      <c r="AE19" s="44" t="n">
        <f aca="false">AE177</f>
        <v>100761915.012584</v>
      </c>
      <c r="AF19" s="44" t="n">
        <f aca="false">AF177</f>
        <v>101517629.375178</v>
      </c>
      <c r="AG19" s="44" t="n">
        <f aca="false">AG177</f>
        <v>102279011.595492</v>
      </c>
      <c r="AH19" s="44" t="n">
        <f aca="false">AH177</f>
        <v>103046104.182458</v>
      </c>
      <c r="AI19" s="44" t="n">
        <f aca="false">AI177</f>
        <v>103818949.963827</v>
      </c>
      <c r="AJ19" s="44" t="n">
        <f aca="false">AJ177</f>
        <v>104597592.088555</v>
      </c>
      <c r="AK19" s="44" t="n">
        <f aca="false">AK177</f>
        <v>105382074.02922</v>
      </c>
      <c r="AL19" s="44" t="n">
        <f aca="false">AL177</f>
        <v>106172439.584439</v>
      </c>
      <c r="AM19" s="44" t="n">
        <f aca="false">AM177</f>
        <v>106968732.881322</v>
      </c>
      <c r="AN19" s="44" t="n">
        <f aca="false">AN177</f>
        <v>107770998.377932</v>
      </c>
      <c r="AO19" s="44" t="n">
        <f aca="false">AO177</f>
        <v>108579280.865766</v>
      </c>
      <c r="AP19" s="44" t="n">
        <f aca="false">AP177</f>
        <v>109393625.47226</v>
      </c>
      <c r="AQ19" s="44" t="n">
        <f aca="false">AQ177</f>
        <v>110214077.663302</v>
      </c>
      <c r="AR19" s="44" t="n">
        <f aca="false">AR177</f>
        <v>111040683.245776</v>
      </c>
      <c r="AS19" s="44" t="n">
        <f aca="false">AS177</f>
        <v>111873488.37012</v>
      </c>
      <c r="AT19" s="44" t="n">
        <f aca="false">AT177</f>
        <v>112712539.532896</v>
      </c>
      <c r="AU19" s="44" t="n">
        <f aca="false">AU177</f>
        <v>113557883.579392</v>
      </c>
      <c r="AV19" s="44" t="n">
        <f aca="false">AV177</f>
        <v>114409567.706238</v>
      </c>
      <c r="AW19" s="44" t="n">
        <f aca="false">AW177</f>
        <v>115267639.464035</v>
      </c>
      <c r="AX19" s="44" t="n">
        <f aca="false">AX177</f>
        <v>116132146.760015</v>
      </c>
      <c r="AY19" s="44" t="n">
        <f aca="false">AY177</f>
        <v>117003137.860715</v>
      </c>
      <c r="AZ19" s="44" t="n">
        <f aca="false">AZ177</f>
        <v>117880661.39467</v>
      </c>
      <c r="BA19" s="44" t="n">
        <f aca="false">BA177</f>
        <v>118764766.35513</v>
      </c>
    </row>
    <row r="20" customFormat="false" ht="15" hidden="false" customHeight="true" outlineLevel="0" collapsed="false">
      <c r="A20" s="35" t="s">
        <v>264</v>
      </c>
      <c r="B20" s="35" t="s">
        <v>11</v>
      </c>
      <c r="C20" s="44" t="n">
        <f aca="false">SUM(D20:BA20)</f>
        <v>-91818041.6851236</v>
      </c>
      <c r="D20" s="44" t="n">
        <f aca="false">IF($E171="Lease",-D212,IF(AND($E171="Purchase",D$3=$C171),-$G171*$E$172,0))</f>
        <v>-0</v>
      </c>
      <c r="E20" s="44" t="n">
        <f aca="false">IF($E171="Lease",-E212,IF(AND($E171="Purchase",E$3=$C171),-$G171*$E$172,0))</f>
        <v>-0</v>
      </c>
      <c r="F20" s="44" t="n">
        <f aca="false">IF($E171="Lease",-F212,IF(AND($E171="Purchase",F$3=$C171),-$G171*$E$172,0))</f>
        <v>-0</v>
      </c>
      <c r="G20" s="44" t="n">
        <f aca="false">IF($E171="Lease",-G212,IF(AND($E171="Purchase",G$3=$C171),-$G171*$E$172,0))</f>
        <v>-0</v>
      </c>
      <c r="H20" s="44" t="n">
        <f aca="false">IF($E171="Lease",-H212,IF(AND($E171="Purchase",H$3=$C171),-$G171*$E$172,0))</f>
        <v>-0</v>
      </c>
      <c r="I20" s="44" t="n">
        <f aca="false">IF($E171="Lease",-I212,IF(AND($E171="Purchase",I$3=$C171),-$G171*$E$172,0))</f>
        <v>-1665397.10872882</v>
      </c>
      <c r="J20" s="44" t="n">
        <f aca="false">IF($E171="Lease",-J212,IF(AND($E171="Purchase",J$3=$C171),-$G171*$E$172,0))</f>
        <v>-1665397.10872882</v>
      </c>
      <c r="K20" s="44" t="n">
        <f aca="false">IF($E171="Lease",-K212,IF(AND($E171="Purchase",K$3=$C171),-$G171*$E$172,0))</f>
        <v>-1665397.10872882</v>
      </c>
      <c r="L20" s="44" t="n">
        <f aca="false">IF($E171="Lease",-L212,IF(AND($E171="Purchase",L$3=$C171),-$G171*$E$172,0))</f>
        <v>-1665397.10872882</v>
      </c>
      <c r="M20" s="44" t="n">
        <f aca="false">IF($E171="Lease",-M212,IF(AND($E171="Purchase",M$3=$C171),-$G171*$E$172,0))</f>
        <v>-1665397.10872882</v>
      </c>
      <c r="N20" s="44" t="n">
        <f aca="false">IF($E171="Lease",-N212,IF(AND($E171="Purchase",N$3=$C171),-$G171*$E$172,0))</f>
        <v>-1748666.96416526</v>
      </c>
      <c r="O20" s="44" t="n">
        <f aca="false">IF($E171="Lease",-O212,IF(AND($E171="Purchase",O$3=$C171),-$G171*$E$172,0))</f>
        <v>-1748666.96416526</v>
      </c>
      <c r="P20" s="44" t="n">
        <f aca="false">IF($E171="Lease",-P212,IF(AND($E171="Purchase",P$3=$C171),-$G171*$E$172,0))</f>
        <v>-1748666.96416526</v>
      </c>
      <c r="Q20" s="44" t="n">
        <f aca="false">IF($E171="Lease",-Q212,IF(AND($E171="Purchase",Q$3=$C171),-$G171*$E$172,0))</f>
        <v>-1748666.96416526</v>
      </c>
      <c r="R20" s="44" t="n">
        <f aca="false">IF($E171="Lease",-R212,IF(AND($E171="Purchase",R$3=$C171),-$G171*$E$172,0))</f>
        <v>-1748666.96416526</v>
      </c>
      <c r="S20" s="44" t="n">
        <f aca="false">IF($E171="Lease",-S212,IF(AND($E171="Purchase",S$3=$C171),-$G171*$E$172,0))</f>
        <v>-1836100.31237352</v>
      </c>
      <c r="T20" s="44" t="n">
        <f aca="false">IF($E171="Lease",-T212,IF(AND($E171="Purchase",T$3=$C171),-$G171*$E$172,0))</f>
        <v>-1836100.31237352</v>
      </c>
      <c r="U20" s="44" t="n">
        <f aca="false">IF($E171="Lease",-U212,IF(AND($E171="Purchase",U$3=$C171),-$G171*$E$172,0))</f>
        <v>-1836100.31237352</v>
      </c>
      <c r="V20" s="44" t="n">
        <f aca="false">IF($E171="Lease",-V212,IF(AND($E171="Purchase",V$3=$C171),-$G171*$E$172,0))</f>
        <v>-1836100.31237352</v>
      </c>
      <c r="W20" s="44" t="n">
        <f aca="false">IF($E171="Lease",-W212,IF(AND($E171="Purchase",W$3=$C171),-$G171*$E$172,0))</f>
        <v>-1836100.31237352</v>
      </c>
      <c r="X20" s="44" t="n">
        <f aca="false">IF($E171="Lease",-X212,IF(AND($E171="Purchase",X$3=$C171),-$G171*$E$172,0))</f>
        <v>-1927905.3279922</v>
      </c>
      <c r="Y20" s="44" t="n">
        <f aca="false">IF($E171="Lease",-Y212,IF(AND($E171="Purchase",Y$3=$C171),-$G171*$E$172,0))</f>
        <v>-1927905.3279922</v>
      </c>
      <c r="Z20" s="44" t="n">
        <f aca="false">IF($E171="Lease",-Z212,IF(AND($E171="Purchase",Z$3=$C171),-$G171*$E$172,0))</f>
        <v>-1927905.3279922</v>
      </c>
      <c r="AA20" s="44" t="n">
        <f aca="false">IF($E171="Lease",-AA212,IF(AND($E171="Purchase",AA$3=$C171),-$G171*$E$172,0))</f>
        <v>-1927905.3279922</v>
      </c>
      <c r="AB20" s="44" t="n">
        <f aca="false">IF($E171="Lease",-AB212,IF(AND($E171="Purchase",AB$3=$C171),-$G171*$E$172,0))</f>
        <v>-1927905.3279922</v>
      </c>
      <c r="AC20" s="44" t="n">
        <f aca="false">IF($E171="Lease",-AC212,IF(AND($E171="Purchase",AC$3=$C171),-$G171*$E$172,0))</f>
        <v>-2024300.59439181</v>
      </c>
      <c r="AD20" s="44" t="n">
        <f aca="false">IF($E171="Lease",-AD212,IF(AND($E171="Purchase",AD$3=$C171),-$G171*$E$172,0))</f>
        <v>-2024300.59439181</v>
      </c>
      <c r="AE20" s="44" t="n">
        <f aca="false">IF($E171="Lease",-AE212,IF(AND($E171="Purchase",AE$3=$C171),-$G171*$E$172,0))</f>
        <v>-2024300.59439181</v>
      </c>
      <c r="AF20" s="44" t="n">
        <f aca="false">IF($E171="Lease",-AF212,IF(AND($E171="Purchase",AF$3=$C171),-$G171*$E$172,0))</f>
        <v>-2024300.59439181</v>
      </c>
      <c r="AG20" s="44" t="n">
        <f aca="false">IF($E171="Lease",-AG212,IF(AND($E171="Purchase",AG$3=$C171),-$G171*$E$172,0))</f>
        <v>-2024300.59439181</v>
      </c>
      <c r="AH20" s="44" t="n">
        <f aca="false">IF($E171="Lease",-AH212,IF(AND($E171="Purchase",AH$3=$C171),-$G171*$E$172,0))</f>
        <v>-2125515.6241114</v>
      </c>
      <c r="AI20" s="44" t="n">
        <f aca="false">IF($E171="Lease",-AI212,IF(AND($E171="Purchase",AI$3=$C171),-$G171*$E$172,0))</f>
        <v>-2125515.6241114</v>
      </c>
      <c r="AJ20" s="44" t="n">
        <f aca="false">IF($E171="Lease",-AJ212,IF(AND($E171="Purchase",AJ$3=$C171),-$G171*$E$172,0))</f>
        <v>-2125515.6241114</v>
      </c>
      <c r="AK20" s="44" t="n">
        <f aca="false">IF($E171="Lease",-AK212,IF(AND($E171="Purchase",AK$3=$C171),-$G171*$E$172,0))</f>
        <v>-2125515.6241114</v>
      </c>
      <c r="AL20" s="44" t="n">
        <f aca="false">IF($E171="Lease",-AL212,IF(AND($E171="Purchase",AL$3=$C171),-$G171*$E$172,0))</f>
        <v>-2125515.6241114</v>
      </c>
      <c r="AM20" s="44" t="n">
        <f aca="false">IF($E171="Lease",-AM212,IF(AND($E171="Purchase",AM$3=$C171),-$G171*$E$172,0))</f>
        <v>-2231791.40531697</v>
      </c>
      <c r="AN20" s="44" t="n">
        <f aca="false">IF($E171="Lease",-AN212,IF(AND($E171="Purchase",AN$3=$C171),-$G171*$E$172,0))</f>
        <v>-2231791.40531697</v>
      </c>
      <c r="AO20" s="44" t="n">
        <f aca="false">IF($E171="Lease",-AO212,IF(AND($E171="Purchase",AO$3=$C171),-$G171*$E$172,0))</f>
        <v>-2231791.40531697</v>
      </c>
      <c r="AP20" s="44" t="n">
        <f aca="false">IF($E171="Lease",-AP212,IF(AND($E171="Purchase",AP$3=$C171),-$G171*$E$172,0))</f>
        <v>-2231791.40531697</v>
      </c>
      <c r="AQ20" s="44" t="n">
        <f aca="false">IF($E171="Lease",-AQ212,IF(AND($E171="Purchase",AQ$3=$C171),-$G171*$E$172,0))</f>
        <v>-2231791.40531697</v>
      </c>
      <c r="AR20" s="44" t="n">
        <f aca="false">IF($E171="Lease",-AR212,IF(AND($E171="Purchase",AR$3=$C171),-$G171*$E$172,0))</f>
        <v>-2343380.97558282</v>
      </c>
      <c r="AS20" s="44" t="n">
        <f aca="false">IF($E171="Lease",-AS212,IF(AND($E171="Purchase",AS$3=$C171),-$G171*$E$172,0))</f>
        <v>-2343380.97558282</v>
      </c>
      <c r="AT20" s="44" t="n">
        <f aca="false">IF($E171="Lease",-AT212,IF(AND($E171="Purchase",AT$3=$C171),-$G171*$E$172,0))</f>
        <v>-2343380.97558282</v>
      </c>
      <c r="AU20" s="44" t="n">
        <f aca="false">IF($E171="Lease",-AU212,IF(AND($E171="Purchase",AU$3=$C171),-$G171*$E$172,0))</f>
        <v>-2343380.97558282</v>
      </c>
      <c r="AV20" s="44" t="n">
        <f aca="false">IF($E171="Lease",-AV212,IF(AND($E171="Purchase",AV$3=$C171),-$G171*$E$172,0))</f>
        <v>-2343380.97558282</v>
      </c>
      <c r="AW20" s="44" t="n">
        <f aca="false">IF($E171="Lease",-AW212,IF(AND($E171="Purchase",AW$3=$C171),-$G171*$E$172,0))</f>
        <v>-2460550.02436196</v>
      </c>
      <c r="AX20" s="44" t="n">
        <f aca="false">IF($E171="Lease",-AX212,IF(AND($E171="Purchase",AX$3=$C171),-$G171*$E$172,0))</f>
        <v>-2460550.02436196</v>
      </c>
      <c r="AY20" s="44" t="n">
        <f aca="false">IF($E171="Lease",-AY212,IF(AND($E171="Purchase",AY$3=$C171),-$G171*$E$172,0))</f>
        <v>-2460550.02436196</v>
      </c>
      <c r="AZ20" s="44" t="n">
        <f aca="false">IF($E171="Lease",-AZ212,IF(AND($E171="Purchase",AZ$3=$C171),-$G171*$E$172,0))</f>
        <v>-2460550.02436196</v>
      </c>
      <c r="BA20" s="44" t="n">
        <f aca="false">IF($E171="Lease",-BA212,IF(AND($E171="Purchase",BA$3=$C171),-$G171*$E$172,0))</f>
        <v>-2460550.02436196</v>
      </c>
    </row>
    <row r="21" customFormat="false" ht="15" hidden="false" customHeight="true" outlineLevel="0" collapsed="false">
      <c r="A21" s="35" t="s">
        <v>265</v>
      </c>
      <c r="B21" s="35" t="s">
        <v>11</v>
      </c>
      <c r="C21" s="44" t="n">
        <f aca="false">SUM(D21:BA21)</f>
        <v>-465794899.538096</v>
      </c>
      <c r="D21" s="44" t="n">
        <f aca="false">-D195</f>
        <v>-0</v>
      </c>
      <c r="E21" s="44" t="n">
        <f aca="false">-E195</f>
        <v>-0</v>
      </c>
      <c r="F21" s="44" t="n">
        <f aca="false">-F195</f>
        <v>-0</v>
      </c>
      <c r="G21" s="44" t="n">
        <f aca="false">-G195</f>
        <v>-0</v>
      </c>
      <c r="H21" s="44" t="n">
        <f aca="false">-H195</f>
        <v>-213888290.738096</v>
      </c>
      <c r="I21" s="44" t="n">
        <f aca="false">-I195</f>
        <v>-174660994.2</v>
      </c>
      <c r="J21" s="44" t="n">
        <f aca="false">-J195</f>
        <v>-77245614.6</v>
      </c>
      <c r="K21" s="44" t="n">
        <f aca="false">-K195</f>
        <v>-0</v>
      </c>
      <c r="L21" s="44" t="n">
        <f aca="false">-L195</f>
        <v>-0</v>
      </c>
      <c r="M21" s="44" t="n">
        <f aca="false">-M195</f>
        <v>-0</v>
      </c>
      <c r="N21" s="44" t="n">
        <f aca="false">-N195</f>
        <v>-0</v>
      </c>
      <c r="O21" s="44" t="n">
        <f aca="false">-O195</f>
        <v>-0</v>
      </c>
      <c r="P21" s="44" t="n">
        <f aca="false">-P195</f>
        <v>-0</v>
      </c>
      <c r="Q21" s="44" t="n">
        <f aca="false">-Q195</f>
        <v>-0</v>
      </c>
      <c r="R21" s="44" t="n">
        <f aca="false">-R195</f>
        <v>-0</v>
      </c>
      <c r="S21" s="44" t="n">
        <f aca="false">-S195</f>
        <v>-0</v>
      </c>
      <c r="T21" s="44" t="n">
        <f aca="false">-T195</f>
        <v>-0</v>
      </c>
      <c r="U21" s="44" t="n">
        <f aca="false">-U195</f>
        <v>-0</v>
      </c>
      <c r="V21" s="44" t="n">
        <f aca="false">-V195</f>
        <v>-0</v>
      </c>
      <c r="W21" s="44" t="n">
        <f aca="false">-W195</f>
        <v>-0</v>
      </c>
      <c r="X21" s="44" t="n">
        <f aca="false">-X195</f>
        <v>-0</v>
      </c>
      <c r="Y21" s="44" t="n">
        <f aca="false">-Y195</f>
        <v>-0</v>
      </c>
      <c r="Z21" s="44" t="n">
        <f aca="false">-Z195</f>
        <v>-0</v>
      </c>
      <c r="AA21" s="44" t="n">
        <f aca="false">-AA195</f>
        <v>-0</v>
      </c>
      <c r="AB21" s="44" t="n">
        <f aca="false">-AB195</f>
        <v>-0</v>
      </c>
      <c r="AC21" s="44" t="n">
        <f aca="false">-AC195</f>
        <v>-0</v>
      </c>
      <c r="AD21" s="44" t="n">
        <f aca="false">-AD195</f>
        <v>-0</v>
      </c>
      <c r="AE21" s="44" t="n">
        <f aca="false">-AE195</f>
        <v>-0</v>
      </c>
      <c r="AF21" s="44" t="n">
        <f aca="false">-AF195</f>
        <v>-0</v>
      </c>
      <c r="AG21" s="44" t="n">
        <f aca="false">-AG195</f>
        <v>-0</v>
      </c>
      <c r="AH21" s="44" t="n">
        <f aca="false">-AH195</f>
        <v>-0</v>
      </c>
      <c r="AI21" s="44" t="n">
        <f aca="false">-AI195</f>
        <v>-0</v>
      </c>
      <c r="AJ21" s="44" t="n">
        <f aca="false">-AJ195</f>
        <v>-0</v>
      </c>
      <c r="AK21" s="44" t="n">
        <f aca="false">-AK195</f>
        <v>-0</v>
      </c>
      <c r="AL21" s="44" t="n">
        <f aca="false">-AL195</f>
        <v>-0</v>
      </c>
      <c r="AM21" s="44" t="n">
        <f aca="false">-AM195</f>
        <v>-0</v>
      </c>
      <c r="AN21" s="44" t="n">
        <f aca="false">-AN195</f>
        <v>-0</v>
      </c>
      <c r="AO21" s="44" t="n">
        <f aca="false">-AO195</f>
        <v>-0</v>
      </c>
      <c r="AP21" s="44" t="n">
        <f aca="false">-AP195</f>
        <v>-0</v>
      </c>
      <c r="AQ21" s="44" t="n">
        <f aca="false">-AQ195</f>
        <v>-0</v>
      </c>
      <c r="AR21" s="44" t="n">
        <f aca="false">-AR195</f>
        <v>-0</v>
      </c>
      <c r="AS21" s="44" t="n">
        <f aca="false">-AS195</f>
        <v>-0</v>
      </c>
      <c r="AT21" s="44" t="n">
        <f aca="false">-AT195</f>
        <v>-0</v>
      </c>
      <c r="AU21" s="44" t="n">
        <f aca="false">-AU195</f>
        <v>-0</v>
      </c>
      <c r="AV21" s="44" t="n">
        <f aca="false">-AV195</f>
        <v>-0</v>
      </c>
      <c r="AW21" s="44" t="n">
        <f aca="false">-AW195</f>
        <v>-0</v>
      </c>
      <c r="AX21" s="44" t="n">
        <f aca="false">-AX195</f>
        <v>-0</v>
      </c>
      <c r="AY21" s="44" t="n">
        <f aca="false">-AY195</f>
        <v>-0</v>
      </c>
      <c r="AZ21" s="44" t="n">
        <f aca="false">-AZ195</f>
        <v>-0</v>
      </c>
      <c r="BA21" s="44" t="n">
        <f aca="false">-BA195</f>
        <v>-0</v>
      </c>
    </row>
    <row r="22" customFormat="false" ht="15" hidden="false" customHeight="true" outlineLevel="0" collapsed="false">
      <c r="A22" s="47" t="s">
        <v>271</v>
      </c>
      <c r="B22" s="35" t="s">
        <v>11</v>
      </c>
      <c r="C22" s="44" t="n">
        <f aca="false">SUM(D22:BA22)</f>
        <v>3767372490.85592</v>
      </c>
      <c r="D22" s="44" t="n">
        <f aca="false">D19+D20+D21</f>
        <v>0</v>
      </c>
      <c r="E22" s="44" t="n">
        <f aca="false">E19+E20+E21</f>
        <v>0</v>
      </c>
      <c r="F22" s="44" t="n">
        <f aca="false">F19+F20+F21</f>
        <v>0</v>
      </c>
      <c r="G22" s="44" t="n">
        <f aca="false">G19+G20+G21</f>
        <v>0</v>
      </c>
      <c r="H22" s="44" t="n">
        <f aca="false">H19+H20+H21</f>
        <v>-213888290.738096</v>
      </c>
      <c r="I22" s="44" t="n">
        <f aca="false">I19+I20+I21</f>
        <v>-173830091.308729</v>
      </c>
      <c r="J22" s="44" t="n">
        <f aca="false">J19+J20+J21</f>
        <v>-69649283.4587288</v>
      </c>
      <c r="K22" s="44" t="n">
        <f aca="false">K19+K20+K21</f>
        <v>37717468.3981462</v>
      </c>
      <c r="L22" s="44" t="n">
        <f aca="false">L19+L20+L21</f>
        <v>62331779.3784478</v>
      </c>
      <c r="M22" s="44" t="n">
        <f aca="false">M19+M20+M21</f>
        <v>86416249.7803016</v>
      </c>
      <c r="N22" s="44" t="n">
        <f aca="false">N19+N20+N21</f>
        <v>86993592.2765329</v>
      </c>
      <c r="O22" s="44" t="n">
        <f aca="false">O19+O20+O21</f>
        <v>87659159.2208381</v>
      </c>
      <c r="P22" s="44" t="n">
        <f aca="false">P19+P20+P21</f>
        <v>88329717.9172256</v>
      </c>
      <c r="Q22" s="44" t="n">
        <f aca="false">Q19+Q20+Q21</f>
        <v>89005305.8038361</v>
      </c>
      <c r="R22" s="44" t="n">
        <f aca="false">R19+R20+R21</f>
        <v>89685960.5995961</v>
      </c>
      <c r="S22" s="44" t="n">
        <f aca="false">S19+S20+S21</f>
        <v>90284286.9581161</v>
      </c>
      <c r="T22" s="44" t="n">
        <f aca="false">T19+T20+T21</f>
        <v>90975189.8626447</v>
      </c>
      <c r="U22" s="44" t="n">
        <f aca="false">U19+U20+U21</f>
        <v>91671274.5389574</v>
      </c>
      <c r="V22" s="44" t="n">
        <f aca="false">V19+V20+V21</f>
        <v>92372579.8503424</v>
      </c>
      <c r="W22" s="44" t="n">
        <f aca="false">W19+W20+W21</f>
        <v>93079144.9515627</v>
      </c>
      <c r="X22" s="44" t="n">
        <f aca="false">X19+X20+X21</f>
        <v>93699204.2754236</v>
      </c>
      <c r="Y22" s="44" t="n">
        <f aca="false">Y19+Y20+Y21</f>
        <v>94416407.5974492</v>
      </c>
      <c r="Z22" s="44" t="n">
        <f aca="false">Z19+Z20+Z21</f>
        <v>95138989.94439</v>
      </c>
      <c r="AA22" s="44" t="n">
        <f aca="false">AA19+AA20+AA21</f>
        <v>95866991.6589329</v>
      </c>
      <c r="AB22" s="44" t="n">
        <f aca="false">AB19+AB20+AB21</f>
        <v>96600453.3863348</v>
      </c>
      <c r="AC22" s="44" t="n">
        <f aca="false">AC19+AC20+AC21</f>
        <v>97243020.8102927</v>
      </c>
      <c r="AD22" s="44" t="n">
        <f aca="false">AD19+AD20+AD21</f>
        <v>97987525.7208278</v>
      </c>
      <c r="AE22" s="44" t="n">
        <f aca="false">AE19+AE20+AE21</f>
        <v>98737614.418192</v>
      </c>
      <c r="AF22" s="44" t="n">
        <f aca="false">AF19+AF20+AF21</f>
        <v>99493328.7807864</v>
      </c>
      <c r="AG22" s="44" t="n">
        <f aca="false">AG19+AG20+AG21</f>
        <v>100254711.0011</v>
      </c>
      <c r="AH22" s="44" t="n">
        <f aca="false">AH19+AH20+AH21</f>
        <v>100920588.558347</v>
      </c>
      <c r="AI22" s="44" t="n">
        <f aca="false">AI19+AI20+AI21</f>
        <v>101693434.339715</v>
      </c>
      <c r="AJ22" s="44" t="n">
        <f aca="false">AJ19+AJ20+AJ21</f>
        <v>102472076.464444</v>
      </c>
      <c r="AK22" s="44" t="n">
        <f aca="false">AK19+AK20+AK21</f>
        <v>103256558.405108</v>
      </c>
      <c r="AL22" s="44" t="n">
        <f aca="false">AL19+AL20+AL21</f>
        <v>104046923.960327</v>
      </c>
      <c r="AM22" s="44" t="n">
        <f aca="false">AM19+AM20+AM21</f>
        <v>104736941.476005</v>
      </c>
      <c r="AN22" s="44" t="n">
        <f aca="false">AN19+AN20+AN21</f>
        <v>105539206.972615</v>
      </c>
      <c r="AO22" s="44" t="n">
        <f aca="false">AO19+AO20+AO21</f>
        <v>106347489.460449</v>
      </c>
      <c r="AP22" s="44" t="n">
        <f aca="false">AP19+AP20+AP21</f>
        <v>107161834.066943</v>
      </c>
      <c r="AQ22" s="44" t="n">
        <f aca="false">AQ19+AQ20+AQ21</f>
        <v>107982286.257985</v>
      </c>
      <c r="AR22" s="44" t="n">
        <f aca="false">AR19+AR20+AR21</f>
        <v>108697302.270194</v>
      </c>
      <c r="AS22" s="44" t="n">
        <f aca="false">AS19+AS20+AS21</f>
        <v>109530107.394537</v>
      </c>
      <c r="AT22" s="44" t="n">
        <f aca="false">AT19+AT20+AT21</f>
        <v>110369158.557313</v>
      </c>
      <c r="AU22" s="44" t="n">
        <f aca="false">AU19+AU20+AU21</f>
        <v>111214502.60381</v>
      </c>
      <c r="AV22" s="44" t="n">
        <f aca="false">AV19+AV20+AV21</f>
        <v>112066186.730655</v>
      </c>
      <c r="AW22" s="44" t="n">
        <f aca="false">AW19+AW20+AW21</f>
        <v>112807089.439673</v>
      </c>
      <c r="AX22" s="44" t="n">
        <f aca="false">AX19+AX20+AX21</f>
        <v>113671596.735653</v>
      </c>
      <c r="AY22" s="44" t="n">
        <f aca="false">AY19+AY20+AY21</f>
        <v>114542587.836353</v>
      </c>
      <c r="AZ22" s="44" t="n">
        <f aca="false">AZ19+AZ20+AZ21</f>
        <v>115420111.370308</v>
      </c>
      <c r="BA22" s="44" t="n">
        <f aca="false">BA19+BA20+BA21</f>
        <v>116304216.330768</v>
      </c>
    </row>
    <row r="23" customFormat="false" ht="15" hidden="false" customHeight="true" outlineLevel="0" collapsed="false">
      <c r="A23" s="10" t="s">
        <v>272</v>
      </c>
      <c r="B23" s="35" t="s">
        <v>268</v>
      </c>
      <c r="C23" s="41" t="n">
        <f aca="false">IFERROR(IRR(D22:BA22),"-")</f>
        <v>0.146602278946138</v>
      </c>
    </row>
    <row r="25" customFormat="false" ht="15" hidden="false" customHeight="true" outlineLevel="0" collapsed="false">
      <c r="A25" s="45" t="s">
        <v>48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</row>
    <row r="26" customFormat="false" ht="15" hidden="false" customHeight="true" outlineLevel="0" collapsed="false">
      <c r="A26" s="35" t="s">
        <v>263</v>
      </c>
      <c r="B26" s="35" t="s">
        <v>11</v>
      </c>
      <c r="C26" s="44" t="n">
        <f aca="false">SUM(D26:BA26)</f>
        <v>0</v>
      </c>
      <c r="D26" s="44" t="n">
        <f aca="false">D178</f>
        <v>0</v>
      </c>
      <c r="E26" s="44" t="n">
        <f aca="false">E178</f>
        <v>0</v>
      </c>
      <c r="F26" s="44" t="n">
        <f aca="false">F178</f>
        <v>0</v>
      </c>
      <c r="G26" s="44" t="n">
        <f aca="false">G178</f>
        <v>0</v>
      </c>
      <c r="H26" s="44" t="n">
        <f aca="false">H178</f>
        <v>0</v>
      </c>
      <c r="I26" s="44" t="n">
        <f aca="false">I178</f>
        <v>0</v>
      </c>
      <c r="J26" s="44" t="n">
        <f aca="false">J178</f>
        <v>0</v>
      </c>
      <c r="K26" s="44" t="n">
        <f aca="false">K178</f>
        <v>0</v>
      </c>
      <c r="L26" s="44" t="n">
        <f aca="false">L178</f>
        <v>0</v>
      </c>
      <c r="M26" s="44" t="n">
        <f aca="false">M178</f>
        <v>0</v>
      </c>
      <c r="N26" s="44" t="n">
        <f aca="false">N178</f>
        <v>0</v>
      </c>
      <c r="O26" s="44" t="n">
        <f aca="false">O178</f>
        <v>0</v>
      </c>
      <c r="P26" s="44" t="n">
        <f aca="false">P178</f>
        <v>0</v>
      </c>
      <c r="Q26" s="44" t="n">
        <f aca="false">Q178</f>
        <v>0</v>
      </c>
      <c r="R26" s="44" t="n">
        <f aca="false">R178</f>
        <v>0</v>
      </c>
      <c r="S26" s="44" t="n">
        <f aca="false">S178</f>
        <v>0</v>
      </c>
      <c r="T26" s="44" t="n">
        <f aca="false">T178</f>
        <v>0</v>
      </c>
      <c r="U26" s="44" t="n">
        <f aca="false">U178</f>
        <v>0</v>
      </c>
      <c r="V26" s="44" t="n">
        <f aca="false">V178</f>
        <v>0</v>
      </c>
      <c r="W26" s="44" t="n">
        <f aca="false">W178</f>
        <v>0</v>
      </c>
      <c r="X26" s="44" t="n">
        <f aca="false">X178</f>
        <v>0</v>
      </c>
      <c r="Y26" s="44" t="n">
        <f aca="false">Y178</f>
        <v>0</v>
      </c>
      <c r="Z26" s="44" t="n">
        <f aca="false">Z178</f>
        <v>0</v>
      </c>
      <c r="AA26" s="44" t="n">
        <f aca="false">AA178</f>
        <v>0</v>
      </c>
      <c r="AB26" s="44" t="n">
        <f aca="false">AB178</f>
        <v>0</v>
      </c>
      <c r="AC26" s="44" t="n">
        <f aca="false">AC178</f>
        <v>0</v>
      </c>
      <c r="AD26" s="44" t="n">
        <f aca="false">AD178</f>
        <v>0</v>
      </c>
      <c r="AE26" s="44" t="n">
        <f aca="false">AE178</f>
        <v>0</v>
      </c>
      <c r="AF26" s="44" t="n">
        <f aca="false">AF178</f>
        <v>0</v>
      </c>
      <c r="AG26" s="44" t="n">
        <f aca="false">AG178</f>
        <v>0</v>
      </c>
      <c r="AH26" s="44" t="n">
        <f aca="false">AH178</f>
        <v>0</v>
      </c>
      <c r="AI26" s="44" t="n">
        <f aca="false">AI178</f>
        <v>0</v>
      </c>
      <c r="AJ26" s="44" t="n">
        <f aca="false">AJ178</f>
        <v>0</v>
      </c>
      <c r="AK26" s="44" t="n">
        <f aca="false">AK178</f>
        <v>0</v>
      </c>
      <c r="AL26" s="44" t="n">
        <f aca="false">AL178</f>
        <v>0</v>
      </c>
      <c r="AM26" s="44" t="n">
        <f aca="false">AM178</f>
        <v>0</v>
      </c>
      <c r="AN26" s="44" t="n">
        <f aca="false">AN178</f>
        <v>0</v>
      </c>
      <c r="AO26" s="44" t="n">
        <f aca="false">AO178</f>
        <v>0</v>
      </c>
      <c r="AP26" s="44" t="n">
        <f aca="false">AP178</f>
        <v>0</v>
      </c>
      <c r="AQ26" s="44" t="n">
        <f aca="false">AQ178</f>
        <v>0</v>
      </c>
      <c r="AR26" s="44" t="n">
        <f aca="false">AR178</f>
        <v>0</v>
      </c>
      <c r="AS26" s="44" t="n">
        <f aca="false">AS178</f>
        <v>0</v>
      </c>
      <c r="AT26" s="44" t="n">
        <f aca="false">AT178</f>
        <v>0</v>
      </c>
      <c r="AU26" s="44" t="n">
        <f aca="false">AU178</f>
        <v>0</v>
      </c>
      <c r="AV26" s="44" t="n">
        <f aca="false">AV178</f>
        <v>0</v>
      </c>
      <c r="AW26" s="44" t="n">
        <f aca="false">AW178</f>
        <v>0</v>
      </c>
      <c r="AX26" s="44" t="n">
        <f aca="false">AX178</f>
        <v>0</v>
      </c>
      <c r="AY26" s="44" t="n">
        <f aca="false">AY178</f>
        <v>0</v>
      </c>
      <c r="AZ26" s="44" t="n">
        <f aca="false">AZ178</f>
        <v>0</v>
      </c>
      <c r="BA26" s="44" t="n">
        <f aca="false">BA178</f>
        <v>0</v>
      </c>
    </row>
    <row r="27" customFormat="false" ht="15" hidden="false" customHeight="true" outlineLevel="0" collapsed="false">
      <c r="A27" s="35" t="s">
        <v>264</v>
      </c>
      <c r="B27" s="35" t="s">
        <v>11</v>
      </c>
      <c r="C27" s="44" t="n">
        <f aca="false">SUM(D27:BA27)</f>
        <v>0</v>
      </c>
      <c r="D27" s="44" t="n">
        <f aca="false">0</f>
        <v>0</v>
      </c>
      <c r="E27" s="44" t="n">
        <f aca="false">0</f>
        <v>0</v>
      </c>
      <c r="F27" s="44" t="n">
        <f aca="false">0</f>
        <v>0</v>
      </c>
      <c r="G27" s="44" t="n">
        <f aca="false">0</f>
        <v>0</v>
      </c>
      <c r="H27" s="44" t="n">
        <f aca="false">0</f>
        <v>0</v>
      </c>
      <c r="I27" s="44" t="n">
        <f aca="false">0</f>
        <v>0</v>
      </c>
      <c r="J27" s="44" t="n">
        <f aca="false">0</f>
        <v>0</v>
      </c>
      <c r="K27" s="44" t="n">
        <f aca="false">0</f>
        <v>0</v>
      </c>
      <c r="L27" s="44" t="n">
        <f aca="false">0</f>
        <v>0</v>
      </c>
      <c r="M27" s="44" t="n">
        <f aca="false">0</f>
        <v>0</v>
      </c>
      <c r="N27" s="44" t="n">
        <f aca="false">0</f>
        <v>0</v>
      </c>
      <c r="O27" s="44" t="n">
        <f aca="false">0</f>
        <v>0</v>
      </c>
      <c r="P27" s="44" t="n">
        <f aca="false">0</f>
        <v>0</v>
      </c>
      <c r="Q27" s="44" t="n">
        <f aca="false">0</f>
        <v>0</v>
      </c>
      <c r="R27" s="44" t="n">
        <f aca="false">0</f>
        <v>0</v>
      </c>
      <c r="S27" s="44" t="n">
        <f aca="false">0</f>
        <v>0</v>
      </c>
      <c r="T27" s="44" t="n">
        <f aca="false">0</f>
        <v>0</v>
      </c>
      <c r="U27" s="44" t="n">
        <f aca="false">0</f>
        <v>0</v>
      </c>
      <c r="V27" s="44" t="n">
        <f aca="false">0</f>
        <v>0</v>
      </c>
      <c r="W27" s="44" t="n">
        <f aca="false">0</f>
        <v>0</v>
      </c>
      <c r="X27" s="44" t="n">
        <f aca="false">0</f>
        <v>0</v>
      </c>
      <c r="Y27" s="44" t="n">
        <f aca="false">0</f>
        <v>0</v>
      </c>
      <c r="Z27" s="44" t="n">
        <f aca="false">0</f>
        <v>0</v>
      </c>
      <c r="AA27" s="44" t="n">
        <f aca="false">0</f>
        <v>0</v>
      </c>
      <c r="AB27" s="44" t="n">
        <f aca="false">0</f>
        <v>0</v>
      </c>
      <c r="AC27" s="44" t="n">
        <f aca="false">0</f>
        <v>0</v>
      </c>
      <c r="AD27" s="44" t="n">
        <f aca="false">0</f>
        <v>0</v>
      </c>
      <c r="AE27" s="44" t="n">
        <f aca="false">0</f>
        <v>0</v>
      </c>
      <c r="AF27" s="44" t="n">
        <f aca="false">0</f>
        <v>0</v>
      </c>
      <c r="AG27" s="44" t="n">
        <f aca="false">0</f>
        <v>0</v>
      </c>
      <c r="AH27" s="44" t="n">
        <f aca="false">0</f>
        <v>0</v>
      </c>
      <c r="AI27" s="44" t="n">
        <f aca="false">0</f>
        <v>0</v>
      </c>
      <c r="AJ27" s="44" t="n">
        <f aca="false">0</f>
        <v>0</v>
      </c>
      <c r="AK27" s="44" t="n">
        <f aca="false">0</f>
        <v>0</v>
      </c>
      <c r="AL27" s="44" t="n">
        <f aca="false">0</f>
        <v>0</v>
      </c>
      <c r="AM27" s="44" t="n">
        <f aca="false">0</f>
        <v>0</v>
      </c>
      <c r="AN27" s="44" t="n">
        <f aca="false">0</f>
        <v>0</v>
      </c>
      <c r="AO27" s="44" t="n">
        <f aca="false">0</f>
        <v>0</v>
      </c>
      <c r="AP27" s="44" t="n">
        <f aca="false">0</f>
        <v>0</v>
      </c>
      <c r="AQ27" s="44" t="n">
        <f aca="false">0</f>
        <v>0</v>
      </c>
      <c r="AR27" s="44" t="n">
        <f aca="false">0</f>
        <v>0</v>
      </c>
      <c r="AS27" s="44" t="n">
        <f aca="false">0</f>
        <v>0</v>
      </c>
      <c r="AT27" s="44" t="n">
        <f aca="false">0</f>
        <v>0</v>
      </c>
      <c r="AU27" s="44" t="n">
        <f aca="false">0</f>
        <v>0</v>
      </c>
      <c r="AV27" s="44" t="n">
        <f aca="false">0</f>
        <v>0</v>
      </c>
      <c r="AW27" s="44" t="n">
        <f aca="false">0</f>
        <v>0</v>
      </c>
      <c r="AX27" s="44" t="n">
        <f aca="false">0</f>
        <v>0</v>
      </c>
      <c r="AY27" s="44" t="n">
        <f aca="false">0</f>
        <v>0</v>
      </c>
      <c r="AZ27" s="44" t="n">
        <f aca="false">0</f>
        <v>0</v>
      </c>
      <c r="BA27" s="44" t="n">
        <f aca="false">0</f>
        <v>0</v>
      </c>
    </row>
    <row r="28" customFormat="false" ht="15" hidden="false" customHeight="true" outlineLevel="0" collapsed="false">
      <c r="A28" s="35" t="s">
        <v>265</v>
      </c>
      <c r="B28" s="35" t="s">
        <v>11</v>
      </c>
      <c r="C28" s="44" t="n">
        <f aca="false">SUM(D28:BA28)</f>
        <v>0</v>
      </c>
      <c r="D28" s="44" t="n">
        <f aca="false">-D196</f>
        <v>-0</v>
      </c>
      <c r="E28" s="44" t="n">
        <f aca="false">-E196</f>
        <v>-0</v>
      </c>
      <c r="F28" s="44" t="n">
        <f aca="false">-F196</f>
        <v>-0</v>
      </c>
      <c r="G28" s="44" t="n">
        <f aca="false">-G196</f>
        <v>-0</v>
      </c>
      <c r="H28" s="44" t="n">
        <f aca="false">-H196</f>
        <v>-0</v>
      </c>
      <c r="I28" s="44" t="n">
        <f aca="false">-I196</f>
        <v>-0</v>
      </c>
      <c r="J28" s="44" t="n">
        <f aca="false">-J196</f>
        <v>-0</v>
      </c>
      <c r="K28" s="44" t="n">
        <f aca="false">-K196</f>
        <v>-0</v>
      </c>
      <c r="L28" s="44" t="n">
        <f aca="false">-L196</f>
        <v>-0</v>
      </c>
      <c r="M28" s="44" t="n">
        <f aca="false">-M196</f>
        <v>-0</v>
      </c>
      <c r="N28" s="44" t="n">
        <f aca="false">-N196</f>
        <v>-0</v>
      </c>
      <c r="O28" s="44" t="n">
        <f aca="false">-O196</f>
        <v>-0</v>
      </c>
      <c r="P28" s="44" t="n">
        <f aca="false">-P196</f>
        <v>-0</v>
      </c>
      <c r="Q28" s="44" t="n">
        <f aca="false">-Q196</f>
        <v>-0</v>
      </c>
      <c r="R28" s="44" t="n">
        <f aca="false">-R196</f>
        <v>-0</v>
      </c>
      <c r="S28" s="44" t="n">
        <f aca="false">-S196</f>
        <v>-0</v>
      </c>
      <c r="T28" s="44" t="n">
        <f aca="false">-T196</f>
        <v>-0</v>
      </c>
      <c r="U28" s="44" t="n">
        <f aca="false">-U196</f>
        <v>-0</v>
      </c>
      <c r="V28" s="44" t="n">
        <f aca="false">-V196</f>
        <v>-0</v>
      </c>
      <c r="W28" s="44" t="n">
        <f aca="false">-W196</f>
        <v>-0</v>
      </c>
      <c r="X28" s="44" t="n">
        <f aca="false">-X196</f>
        <v>-0</v>
      </c>
      <c r="Y28" s="44" t="n">
        <f aca="false">-Y196</f>
        <v>-0</v>
      </c>
      <c r="Z28" s="44" t="n">
        <f aca="false">-Z196</f>
        <v>-0</v>
      </c>
      <c r="AA28" s="44" t="n">
        <f aca="false">-AA196</f>
        <v>-0</v>
      </c>
      <c r="AB28" s="44" t="n">
        <f aca="false">-AB196</f>
        <v>-0</v>
      </c>
      <c r="AC28" s="44" t="n">
        <f aca="false">-AC196</f>
        <v>-0</v>
      </c>
      <c r="AD28" s="44" t="n">
        <f aca="false">-AD196</f>
        <v>-0</v>
      </c>
      <c r="AE28" s="44" t="n">
        <f aca="false">-AE196</f>
        <v>-0</v>
      </c>
      <c r="AF28" s="44" t="n">
        <f aca="false">-AF196</f>
        <v>-0</v>
      </c>
      <c r="AG28" s="44" t="n">
        <f aca="false">-AG196</f>
        <v>-0</v>
      </c>
      <c r="AH28" s="44" t="n">
        <f aca="false">-AH196</f>
        <v>-0</v>
      </c>
      <c r="AI28" s="44" t="n">
        <f aca="false">-AI196</f>
        <v>-0</v>
      </c>
      <c r="AJ28" s="44" t="n">
        <f aca="false">-AJ196</f>
        <v>-0</v>
      </c>
      <c r="AK28" s="44" t="n">
        <f aca="false">-AK196</f>
        <v>-0</v>
      </c>
      <c r="AL28" s="44" t="n">
        <f aca="false">-AL196</f>
        <v>-0</v>
      </c>
      <c r="AM28" s="44" t="n">
        <f aca="false">-AM196</f>
        <v>-0</v>
      </c>
      <c r="AN28" s="44" t="n">
        <f aca="false">-AN196</f>
        <v>-0</v>
      </c>
      <c r="AO28" s="44" t="n">
        <f aca="false">-AO196</f>
        <v>-0</v>
      </c>
      <c r="AP28" s="44" t="n">
        <f aca="false">-AP196</f>
        <v>-0</v>
      </c>
      <c r="AQ28" s="44" t="n">
        <f aca="false">-AQ196</f>
        <v>-0</v>
      </c>
      <c r="AR28" s="44" t="n">
        <f aca="false">-AR196</f>
        <v>-0</v>
      </c>
      <c r="AS28" s="44" t="n">
        <f aca="false">-AS196</f>
        <v>-0</v>
      </c>
      <c r="AT28" s="44" t="n">
        <f aca="false">-AT196</f>
        <v>-0</v>
      </c>
      <c r="AU28" s="44" t="n">
        <f aca="false">-AU196</f>
        <v>-0</v>
      </c>
      <c r="AV28" s="44" t="n">
        <f aca="false">-AV196</f>
        <v>-0</v>
      </c>
      <c r="AW28" s="44" t="n">
        <f aca="false">-AW196</f>
        <v>-0</v>
      </c>
      <c r="AX28" s="44" t="n">
        <f aca="false">-AX196</f>
        <v>-0</v>
      </c>
      <c r="AY28" s="44" t="n">
        <f aca="false">-AY196</f>
        <v>-0</v>
      </c>
      <c r="AZ28" s="44" t="n">
        <f aca="false">-AZ196</f>
        <v>-0</v>
      </c>
      <c r="BA28" s="44" t="n">
        <f aca="false">-BA196</f>
        <v>-0</v>
      </c>
    </row>
    <row r="29" customFormat="false" ht="15" hidden="false" customHeight="true" outlineLevel="0" collapsed="false">
      <c r="A29" s="47" t="s">
        <v>273</v>
      </c>
      <c r="B29" s="35" t="s">
        <v>11</v>
      </c>
      <c r="C29" s="44" t="n">
        <f aca="false">SUM(D29:BA29)</f>
        <v>0</v>
      </c>
      <c r="D29" s="44" t="n">
        <f aca="false">D26+D27+D28</f>
        <v>0</v>
      </c>
      <c r="E29" s="44" t="n">
        <f aca="false">E26+E27+E28</f>
        <v>0</v>
      </c>
      <c r="F29" s="44" t="n">
        <f aca="false">F26+F27+F28</f>
        <v>0</v>
      </c>
      <c r="G29" s="44" t="n">
        <f aca="false">G26+G27+G28</f>
        <v>0</v>
      </c>
      <c r="H29" s="44" t="n">
        <f aca="false">H26+H27+H28</f>
        <v>0</v>
      </c>
      <c r="I29" s="44" t="n">
        <f aca="false">I26+I27+I28</f>
        <v>0</v>
      </c>
      <c r="J29" s="44" t="n">
        <f aca="false">J26+J27+J28</f>
        <v>0</v>
      </c>
      <c r="K29" s="44" t="n">
        <f aca="false">K26+K27+K28</f>
        <v>0</v>
      </c>
      <c r="L29" s="44" t="n">
        <f aca="false">L26+L27+L28</f>
        <v>0</v>
      </c>
      <c r="M29" s="44" t="n">
        <f aca="false">M26+M27+M28</f>
        <v>0</v>
      </c>
      <c r="N29" s="44" t="n">
        <f aca="false">N26+N27+N28</f>
        <v>0</v>
      </c>
      <c r="O29" s="44" t="n">
        <f aca="false">O26+O27+O28</f>
        <v>0</v>
      </c>
      <c r="P29" s="44" t="n">
        <f aca="false">P26+P27+P28</f>
        <v>0</v>
      </c>
      <c r="Q29" s="44" t="n">
        <f aca="false">Q26+Q27+Q28</f>
        <v>0</v>
      </c>
      <c r="R29" s="44" t="n">
        <f aca="false">R26+R27+R28</f>
        <v>0</v>
      </c>
      <c r="S29" s="44" t="n">
        <f aca="false">S26+S27+S28</f>
        <v>0</v>
      </c>
      <c r="T29" s="44" t="n">
        <f aca="false">T26+T27+T28</f>
        <v>0</v>
      </c>
      <c r="U29" s="44" t="n">
        <f aca="false">U26+U27+U28</f>
        <v>0</v>
      </c>
      <c r="V29" s="44" t="n">
        <f aca="false">V26+V27+V28</f>
        <v>0</v>
      </c>
      <c r="W29" s="44" t="n">
        <f aca="false">W26+W27+W28</f>
        <v>0</v>
      </c>
      <c r="X29" s="44" t="n">
        <f aca="false">X26+X27+X28</f>
        <v>0</v>
      </c>
      <c r="Y29" s="44" t="n">
        <f aca="false">Y26+Y27+Y28</f>
        <v>0</v>
      </c>
      <c r="Z29" s="44" t="n">
        <f aca="false">Z26+Z27+Z28</f>
        <v>0</v>
      </c>
      <c r="AA29" s="44" t="n">
        <f aca="false">AA26+AA27+AA28</f>
        <v>0</v>
      </c>
      <c r="AB29" s="44" t="n">
        <f aca="false">AB26+AB27+AB28</f>
        <v>0</v>
      </c>
      <c r="AC29" s="44" t="n">
        <f aca="false">AC26+AC27+AC28</f>
        <v>0</v>
      </c>
      <c r="AD29" s="44" t="n">
        <f aca="false">AD26+AD27+AD28</f>
        <v>0</v>
      </c>
      <c r="AE29" s="44" t="n">
        <f aca="false">AE26+AE27+AE28</f>
        <v>0</v>
      </c>
      <c r="AF29" s="44" t="n">
        <f aca="false">AF26+AF27+AF28</f>
        <v>0</v>
      </c>
      <c r="AG29" s="44" t="n">
        <f aca="false">AG26+AG27+AG28</f>
        <v>0</v>
      </c>
      <c r="AH29" s="44" t="n">
        <f aca="false">AH26+AH27+AH28</f>
        <v>0</v>
      </c>
      <c r="AI29" s="44" t="n">
        <f aca="false">AI26+AI27+AI28</f>
        <v>0</v>
      </c>
      <c r="AJ29" s="44" t="n">
        <f aca="false">AJ26+AJ27+AJ28</f>
        <v>0</v>
      </c>
      <c r="AK29" s="44" t="n">
        <f aca="false">AK26+AK27+AK28</f>
        <v>0</v>
      </c>
      <c r="AL29" s="44" t="n">
        <f aca="false">AL26+AL27+AL28</f>
        <v>0</v>
      </c>
      <c r="AM29" s="44" t="n">
        <f aca="false">AM26+AM27+AM28</f>
        <v>0</v>
      </c>
      <c r="AN29" s="44" t="n">
        <f aca="false">AN26+AN27+AN28</f>
        <v>0</v>
      </c>
      <c r="AO29" s="44" t="n">
        <f aca="false">AO26+AO27+AO28</f>
        <v>0</v>
      </c>
      <c r="AP29" s="44" t="n">
        <f aca="false">AP26+AP27+AP28</f>
        <v>0</v>
      </c>
      <c r="AQ29" s="44" t="n">
        <f aca="false">AQ26+AQ27+AQ28</f>
        <v>0</v>
      </c>
      <c r="AR29" s="44" t="n">
        <f aca="false">AR26+AR27+AR28</f>
        <v>0</v>
      </c>
      <c r="AS29" s="44" t="n">
        <f aca="false">AS26+AS27+AS28</f>
        <v>0</v>
      </c>
      <c r="AT29" s="44" t="n">
        <f aca="false">AT26+AT27+AT28</f>
        <v>0</v>
      </c>
      <c r="AU29" s="44" t="n">
        <f aca="false">AU26+AU27+AU28</f>
        <v>0</v>
      </c>
      <c r="AV29" s="44" t="n">
        <f aca="false">AV26+AV27+AV28</f>
        <v>0</v>
      </c>
      <c r="AW29" s="44" t="n">
        <f aca="false">AW26+AW27+AW28</f>
        <v>0</v>
      </c>
      <c r="AX29" s="44" t="n">
        <f aca="false">AX26+AX27+AX28</f>
        <v>0</v>
      </c>
      <c r="AY29" s="44" t="n">
        <f aca="false">AY26+AY27+AY28</f>
        <v>0</v>
      </c>
      <c r="AZ29" s="44" t="n">
        <f aca="false">AZ26+AZ27+AZ28</f>
        <v>0</v>
      </c>
      <c r="BA29" s="44" t="n">
        <f aca="false">BA26+BA27+BA28</f>
        <v>0</v>
      </c>
    </row>
    <row r="30" customFormat="false" ht="15" hidden="false" customHeight="true" outlineLevel="0" collapsed="false">
      <c r="A30" s="10" t="s">
        <v>274</v>
      </c>
      <c r="B30" s="35" t="s">
        <v>268</v>
      </c>
      <c r="C30" s="41" t="str">
        <f aca="false">IFERROR(IRR(D29:BA29),"-")</f>
        <v>-</v>
      </c>
    </row>
    <row r="32" customFormat="false" ht="15" hidden="false" customHeight="true" outlineLevel="0" collapsed="false">
      <c r="A32" s="45" t="s">
        <v>49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</row>
    <row r="33" customFormat="false" ht="15" hidden="false" customHeight="true" outlineLevel="0" collapsed="false">
      <c r="A33" s="35" t="s">
        <v>263</v>
      </c>
      <c r="B33" s="35" t="s">
        <v>11</v>
      </c>
      <c r="C33" s="44" t="n">
        <f aca="false">SUM(D33:BA33)</f>
        <v>0</v>
      </c>
      <c r="D33" s="44" t="n">
        <f aca="false">D179</f>
        <v>0</v>
      </c>
      <c r="E33" s="44" t="n">
        <f aca="false">E179</f>
        <v>0</v>
      </c>
      <c r="F33" s="44" t="n">
        <f aca="false">F179</f>
        <v>0</v>
      </c>
      <c r="G33" s="44" t="n">
        <f aca="false">G179</f>
        <v>0</v>
      </c>
      <c r="H33" s="44" t="n">
        <f aca="false">H179</f>
        <v>0</v>
      </c>
      <c r="I33" s="44" t="n">
        <f aca="false">I179</f>
        <v>0</v>
      </c>
      <c r="J33" s="44" t="n">
        <f aca="false">J179</f>
        <v>0</v>
      </c>
      <c r="K33" s="44" t="n">
        <f aca="false">K179</f>
        <v>0</v>
      </c>
      <c r="L33" s="44" t="n">
        <f aca="false">L179</f>
        <v>0</v>
      </c>
      <c r="M33" s="44" t="n">
        <f aca="false">M179</f>
        <v>0</v>
      </c>
      <c r="N33" s="44" t="n">
        <f aca="false">N179</f>
        <v>0</v>
      </c>
      <c r="O33" s="44" t="n">
        <f aca="false">O179</f>
        <v>0</v>
      </c>
      <c r="P33" s="44" t="n">
        <f aca="false">P179</f>
        <v>0</v>
      </c>
      <c r="Q33" s="44" t="n">
        <f aca="false">Q179</f>
        <v>0</v>
      </c>
      <c r="R33" s="44" t="n">
        <f aca="false">R179</f>
        <v>0</v>
      </c>
      <c r="S33" s="44" t="n">
        <f aca="false">S179</f>
        <v>0</v>
      </c>
      <c r="T33" s="44" t="n">
        <f aca="false">T179</f>
        <v>0</v>
      </c>
      <c r="U33" s="44" t="n">
        <f aca="false">U179</f>
        <v>0</v>
      </c>
      <c r="V33" s="44" t="n">
        <f aca="false">V179</f>
        <v>0</v>
      </c>
      <c r="W33" s="44" t="n">
        <f aca="false">W179</f>
        <v>0</v>
      </c>
      <c r="X33" s="44" t="n">
        <f aca="false">X179</f>
        <v>0</v>
      </c>
      <c r="Y33" s="44" t="n">
        <f aca="false">Y179</f>
        <v>0</v>
      </c>
      <c r="Z33" s="44" t="n">
        <f aca="false">Z179</f>
        <v>0</v>
      </c>
      <c r="AA33" s="44" t="n">
        <f aca="false">AA179</f>
        <v>0</v>
      </c>
      <c r="AB33" s="44" t="n">
        <f aca="false">AB179</f>
        <v>0</v>
      </c>
      <c r="AC33" s="44" t="n">
        <f aca="false">AC179</f>
        <v>0</v>
      </c>
      <c r="AD33" s="44" t="n">
        <f aca="false">AD179</f>
        <v>0</v>
      </c>
      <c r="AE33" s="44" t="n">
        <f aca="false">AE179</f>
        <v>0</v>
      </c>
      <c r="AF33" s="44" t="n">
        <f aca="false">AF179</f>
        <v>0</v>
      </c>
      <c r="AG33" s="44" t="n">
        <f aca="false">AG179</f>
        <v>0</v>
      </c>
      <c r="AH33" s="44" t="n">
        <f aca="false">AH179</f>
        <v>0</v>
      </c>
      <c r="AI33" s="44" t="n">
        <f aca="false">AI179</f>
        <v>0</v>
      </c>
      <c r="AJ33" s="44" t="n">
        <f aca="false">AJ179</f>
        <v>0</v>
      </c>
      <c r="AK33" s="44" t="n">
        <f aca="false">AK179</f>
        <v>0</v>
      </c>
      <c r="AL33" s="44" t="n">
        <f aca="false">AL179</f>
        <v>0</v>
      </c>
      <c r="AM33" s="44" t="n">
        <f aca="false">AM179</f>
        <v>0</v>
      </c>
      <c r="AN33" s="44" t="n">
        <f aca="false">AN179</f>
        <v>0</v>
      </c>
      <c r="AO33" s="44" t="n">
        <f aca="false">AO179</f>
        <v>0</v>
      </c>
      <c r="AP33" s="44" t="n">
        <f aca="false">AP179</f>
        <v>0</v>
      </c>
      <c r="AQ33" s="44" t="n">
        <f aca="false">AQ179</f>
        <v>0</v>
      </c>
      <c r="AR33" s="44" t="n">
        <f aca="false">AR179</f>
        <v>0</v>
      </c>
      <c r="AS33" s="44" t="n">
        <f aca="false">AS179</f>
        <v>0</v>
      </c>
      <c r="AT33" s="44" t="n">
        <f aca="false">AT179</f>
        <v>0</v>
      </c>
      <c r="AU33" s="44" t="n">
        <f aca="false">AU179</f>
        <v>0</v>
      </c>
      <c r="AV33" s="44" t="n">
        <f aca="false">AV179</f>
        <v>0</v>
      </c>
      <c r="AW33" s="44" t="n">
        <f aca="false">AW179</f>
        <v>0</v>
      </c>
      <c r="AX33" s="44" t="n">
        <f aca="false">AX179</f>
        <v>0</v>
      </c>
      <c r="AY33" s="44" t="n">
        <f aca="false">AY179</f>
        <v>0</v>
      </c>
      <c r="AZ33" s="44" t="n">
        <f aca="false">AZ179</f>
        <v>0</v>
      </c>
      <c r="BA33" s="44" t="n">
        <f aca="false">BA179</f>
        <v>0</v>
      </c>
    </row>
    <row r="34" customFormat="false" ht="15" hidden="false" customHeight="true" outlineLevel="0" collapsed="false">
      <c r="A34" s="35" t="s">
        <v>264</v>
      </c>
      <c r="B34" s="35" t="s">
        <v>11</v>
      </c>
      <c r="C34" s="44" t="n">
        <f aca="false">SUM(D34:BA34)</f>
        <v>0</v>
      </c>
      <c r="D34" s="44" t="n">
        <f aca="false">0</f>
        <v>0</v>
      </c>
      <c r="E34" s="44" t="n">
        <f aca="false">0</f>
        <v>0</v>
      </c>
      <c r="F34" s="44" t="n">
        <f aca="false">0</f>
        <v>0</v>
      </c>
      <c r="G34" s="44" t="n">
        <f aca="false">0</f>
        <v>0</v>
      </c>
      <c r="H34" s="44" t="n">
        <f aca="false">0</f>
        <v>0</v>
      </c>
      <c r="I34" s="44" t="n">
        <f aca="false">0</f>
        <v>0</v>
      </c>
      <c r="J34" s="44" t="n">
        <f aca="false">0</f>
        <v>0</v>
      </c>
      <c r="K34" s="44" t="n">
        <f aca="false">0</f>
        <v>0</v>
      </c>
      <c r="L34" s="44" t="n">
        <f aca="false">0</f>
        <v>0</v>
      </c>
      <c r="M34" s="44" t="n">
        <f aca="false">0</f>
        <v>0</v>
      </c>
      <c r="N34" s="44" t="n">
        <f aca="false">0</f>
        <v>0</v>
      </c>
      <c r="O34" s="44" t="n">
        <f aca="false">0</f>
        <v>0</v>
      </c>
      <c r="P34" s="44" t="n">
        <f aca="false">0</f>
        <v>0</v>
      </c>
      <c r="Q34" s="44" t="n">
        <f aca="false">0</f>
        <v>0</v>
      </c>
      <c r="R34" s="44" t="n">
        <f aca="false">0</f>
        <v>0</v>
      </c>
      <c r="S34" s="44" t="n">
        <f aca="false">0</f>
        <v>0</v>
      </c>
      <c r="T34" s="44" t="n">
        <f aca="false">0</f>
        <v>0</v>
      </c>
      <c r="U34" s="44" t="n">
        <f aca="false">0</f>
        <v>0</v>
      </c>
      <c r="V34" s="44" t="n">
        <f aca="false">0</f>
        <v>0</v>
      </c>
      <c r="W34" s="44" t="n">
        <f aca="false">0</f>
        <v>0</v>
      </c>
      <c r="X34" s="44" t="n">
        <f aca="false">0</f>
        <v>0</v>
      </c>
      <c r="Y34" s="44" t="n">
        <f aca="false">0</f>
        <v>0</v>
      </c>
      <c r="Z34" s="44" t="n">
        <f aca="false">0</f>
        <v>0</v>
      </c>
      <c r="AA34" s="44" t="n">
        <f aca="false">0</f>
        <v>0</v>
      </c>
      <c r="AB34" s="44" t="n">
        <f aca="false">0</f>
        <v>0</v>
      </c>
      <c r="AC34" s="44" t="n">
        <f aca="false">0</f>
        <v>0</v>
      </c>
      <c r="AD34" s="44" t="n">
        <f aca="false">0</f>
        <v>0</v>
      </c>
      <c r="AE34" s="44" t="n">
        <f aca="false">0</f>
        <v>0</v>
      </c>
      <c r="AF34" s="44" t="n">
        <f aca="false">0</f>
        <v>0</v>
      </c>
      <c r="AG34" s="44" t="n">
        <f aca="false">0</f>
        <v>0</v>
      </c>
      <c r="AH34" s="44" t="n">
        <f aca="false">0</f>
        <v>0</v>
      </c>
      <c r="AI34" s="44" t="n">
        <f aca="false">0</f>
        <v>0</v>
      </c>
      <c r="AJ34" s="44" t="n">
        <f aca="false">0</f>
        <v>0</v>
      </c>
      <c r="AK34" s="44" t="n">
        <f aca="false">0</f>
        <v>0</v>
      </c>
      <c r="AL34" s="44" t="n">
        <f aca="false">0</f>
        <v>0</v>
      </c>
      <c r="AM34" s="44" t="n">
        <f aca="false">0</f>
        <v>0</v>
      </c>
      <c r="AN34" s="44" t="n">
        <f aca="false">0</f>
        <v>0</v>
      </c>
      <c r="AO34" s="44" t="n">
        <f aca="false">0</f>
        <v>0</v>
      </c>
      <c r="AP34" s="44" t="n">
        <f aca="false">0</f>
        <v>0</v>
      </c>
      <c r="AQ34" s="44" t="n">
        <f aca="false">0</f>
        <v>0</v>
      </c>
      <c r="AR34" s="44" t="n">
        <f aca="false">0</f>
        <v>0</v>
      </c>
      <c r="AS34" s="44" t="n">
        <f aca="false">0</f>
        <v>0</v>
      </c>
      <c r="AT34" s="44" t="n">
        <f aca="false">0</f>
        <v>0</v>
      </c>
      <c r="AU34" s="44" t="n">
        <f aca="false">0</f>
        <v>0</v>
      </c>
      <c r="AV34" s="44" t="n">
        <f aca="false">0</f>
        <v>0</v>
      </c>
      <c r="AW34" s="44" t="n">
        <f aca="false">0</f>
        <v>0</v>
      </c>
      <c r="AX34" s="44" t="n">
        <f aca="false">0</f>
        <v>0</v>
      </c>
      <c r="AY34" s="44" t="n">
        <f aca="false">0</f>
        <v>0</v>
      </c>
      <c r="AZ34" s="44" t="n">
        <f aca="false">0</f>
        <v>0</v>
      </c>
      <c r="BA34" s="44" t="n">
        <f aca="false">0</f>
        <v>0</v>
      </c>
    </row>
    <row r="35" customFormat="false" ht="15" hidden="false" customHeight="true" outlineLevel="0" collapsed="false">
      <c r="A35" s="35" t="s">
        <v>265</v>
      </c>
      <c r="B35" s="35" t="s">
        <v>11</v>
      </c>
      <c r="C35" s="44" t="n">
        <f aca="false">SUM(D35:BA35)</f>
        <v>0</v>
      </c>
      <c r="D35" s="44" t="n">
        <f aca="false">-D197</f>
        <v>-0</v>
      </c>
      <c r="E35" s="44" t="n">
        <f aca="false">-E197</f>
        <v>-0</v>
      </c>
      <c r="F35" s="44" t="n">
        <f aca="false">-F197</f>
        <v>-0</v>
      </c>
      <c r="G35" s="44" t="n">
        <f aca="false">-G197</f>
        <v>-0</v>
      </c>
      <c r="H35" s="44" t="n">
        <f aca="false">-H197</f>
        <v>-0</v>
      </c>
      <c r="I35" s="44" t="n">
        <f aca="false">-I197</f>
        <v>-0</v>
      </c>
      <c r="J35" s="44" t="n">
        <f aca="false">-J197</f>
        <v>-0</v>
      </c>
      <c r="K35" s="44" t="n">
        <f aca="false">-K197</f>
        <v>-0</v>
      </c>
      <c r="L35" s="44" t="n">
        <f aca="false">-L197</f>
        <v>-0</v>
      </c>
      <c r="M35" s="44" t="n">
        <f aca="false">-M197</f>
        <v>-0</v>
      </c>
      <c r="N35" s="44" t="n">
        <f aca="false">-N197</f>
        <v>-0</v>
      </c>
      <c r="O35" s="44" t="n">
        <f aca="false">-O197</f>
        <v>-0</v>
      </c>
      <c r="P35" s="44" t="n">
        <f aca="false">-P197</f>
        <v>-0</v>
      </c>
      <c r="Q35" s="44" t="n">
        <f aca="false">-Q197</f>
        <v>-0</v>
      </c>
      <c r="R35" s="44" t="n">
        <f aca="false">-R197</f>
        <v>-0</v>
      </c>
      <c r="S35" s="44" t="n">
        <f aca="false">-S197</f>
        <v>-0</v>
      </c>
      <c r="T35" s="44" t="n">
        <f aca="false">-T197</f>
        <v>-0</v>
      </c>
      <c r="U35" s="44" t="n">
        <f aca="false">-U197</f>
        <v>-0</v>
      </c>
      <c r="V35" s="44" t="n">
        <f aca="false">-V197</f>
        <v>-0</v>
      </c>
      <c r="W35" s="44" t="n">
        <f aca="false">-W197</f>
        <v>-0</v>
      </c>
      <c r="X35" s="44" t="n">
        <f aca="false">-X197</f>
        <v>-0</v>
      </c>
      <c r="Y35" s="44" t="n">
        <f aca="false">-Y197</f>
        <v>-0</v>
      </c>
      <c r="Z35" s="44" t="n">
        <f aca="false">-Z197</f>
        <v>-0</v>
      </c>
      <c r="AA35" s="44" t="n">
        <f aca="false">-AA197</f>
        <v>-0</v>
      </c>
      <c r="AB35" s="44" t="n">
        <f aca="false">-AB197</f>
        <v>-0</v>
      </c>
      <c r="AC35" s="44" t="n">
        <f aca="false">-AC197</f>
        <v>-0</v>
      </c>
      <c r="AD35" s="44" t="n">
        <f aca="false">-AD197</f>
        <v>-0</v>
      </c>
      <c r="AE35" s="44" t="n">
        <f aca="false">-AE197</f>
        <v>-0</v>
      </c>
      <c r="AF35" s="44" t="n">
        <f aca="false">-AF197</f>
        <v>-0</v>
      </c>
      <c r="AG35" s="44" t="n">
        <f aca="false">-AG197</f>
        <v>-0</v>
      </c>
      <c r="AH35" s="44" t="n">
        <f aca="false">-AH197</f>
        <v>-0</v>
      </c>
      <c r="AI35" s="44" t="n">
        <f aca="false">-AI197</f>
        <v>-0</v>
      </c>
      <c r="AJ35" s="44" t="n">
        <f aca="false">-AJ197</f>
        <v>-0</v>
      </c>
      <c r="AK35" s="44" t="n">
        <f aca="false">-AK197</f>
        <v>-0</v>
      </c>
      <c r="AL35" s="44" t="n">
        <f aca="false">-AL197</f>
        <v>-0</v>
      </c>
      <c r="AM35" s="44" t="n">
        <f aca="false">-AM197</f>
        <v>-0</v>
      </c>
      <c r="AN35" s="44" t="n">
        <f aca="false">-AN197</f>
        <v>-0</v>
      </c>
      <c r="AO35" s="44" t="n">
        <f aca="false">-AO197</f>
        <v>-0</v>
      </c>
      <c r="AP35" s="44" t="n">
        <f aca="false">-AP197</f>
        <v>-0</v>
      </c>
      <c r="AQ35" s="44" t="n">
        <f aca="false">-AQ197</f>
        <v>-0</v>
      </c>
      <c r="AR35" s="44" t="n">
        <f aca="false">-AR197</f>
        <v>-0</v>
      </c>
      <c r="AS35" s="44" t="n">
        <f aca="false">-AS197</f>
        <v>-0</v>
      </c>
      <c r="AT35" s="44" t="n">
        <f aca="false">-AT197</f>
        <v>-0</v>
      </c>
      <c r="AU35" s="44" t="n">
        <f aca="false">-AU197</f>
        <v>-0</v>
      </c>
      <c r="AV35" s="44" t="n">
        <f aca="false">-AV197</f>
        <v>-0</v>
      </c>
      <c r="AW35" s="44" t="n">
        <f aca="false">-AW197</f>
        <v>-0</v>
      </c>
      <c r="AX35" s="44" t="n">
        <f aca="false">-AX197</f>
        <v>-0</v>
      </c>
      <c r="AY35" s="44" t="n">
        <f aca="false">-AY197</f>
        <v>-0</v>
      </c>
      <c r="AZ35" s="44" t="n">
        <f aca="false">-AZ197</f>
        <v>-0</v>
      </c>
      <c r="BA35" s="44" t="n">
        <f aca="false">-BA197</f>
        <v>-0</v>
      </c>
    </row>
    <row r="36" customFormat="false" ht="15" hidden="false" customHeight="true" outlineLevel="0" collapsed="false">
      <c r="A36" s="47" t="s">
        <v>275</v>
      </c>
      <c r="B36" s="35" t="s">
        <v>11</v>
      </c>
      <c r="C36" s="44" t="n">
        <f aca="false">SUM(D36:BA36)</f>
        <v>0</v>
      </c>
      <c r="D36" s="44" t="n">
        <f aca="false">D33+D34+D35</f>
        <v>0</v>
      </c>
      <c r="E36" s="44" t="n">
        <f aca="false">E33+E34+E35</f>
        <v>0</v>
      </c>
      <c r="F36" s="44" t="n">
        <f aca="false">F33+F34+F35</f>
        <v>0</v>
      </c>
      <c r="G36" s="44" t="n">
        <f aca="false">G33+G34+G35</f>
        <v>0</v>
      </c>
      <c r="H36" s="44" t="n">
        <f aca="false">H33+H34+H35</f>
        <v>0</v>
      </c>
      <c r="I36" s="44" t="n">
        <f aca="false">I33+I34+I35</f>
        <v>0</v>
      </c>
      <c r="J36" s="44" t="n">
        <f aca="false">J33+J34+J35</f>
        <v>0</v>
      </c>
      <c r="K36" s="44" t="n">
        <f aca="false">K33+K34+K35</f>
        <v>0</v>
      </c>
      <c r="L36" s="44" t="n">
        <f aca="false">L33+L34+L35</f>
        <v>0</v>
      </c>
      <c r="M36" s="44" t="n">
        <f aca="false">M33+M34+M35</f>
        <v>0</v>
      </c>
      <c r="N36" s="44" t="n">
        <f aca="false">N33+N34+N35</f>
        <v>0</v>
      </c>
      <c r="O36" s="44" t="n">
        <f aca="false">O33+O34+O35</f>
        <v>0</v>
      </c>
      <c r="P36" s="44" t="n">
        <f aca="false">P33+P34+P35</f>
        <v>0</v>
      </c>
      <c r="Q36" s="44" t="n">
        <f aca="false">Q33+Q34+Q35</f>
        <v>0</v>
      </c>
      <c r="R36" s="44" t="n">
        <f aca="false">R33+R34+R35</f>
        <v>0</v>
      </c>
      <c r="S36" s="44" t="n">
        <f aca="false">S33+S34+S35</f>
        <v>0</v>
      </c>
      <c r="T36" s="44" t="n">
        <f aca="false">T33+T34+T35</f>
        <v>0</v>
      </c>
      <c r="U36" s="44" t="n">
        <f aca="false">U33+U34+U35</f>
        <v>0</v>
      </c>
      <c r="V36" s="44" t="n">
        <f aca="false">V33+V34+V35</f>
        <v>0</v>
      </c>
      <c r="W36" s="44" t="n">
        <f aca="false">W33+W34+W35</f>
        <v>0</v>
      </c>
      <c r="X36" s="44" t="n">
        <f aca="false">X33+X34+X35</f>
        <v>0</v>
      </c>
      <c r="Y36" s="44" t="n">
        <f aca="false">Y33+Y34+Y35</f>
        <v>0</v>
      </c>
      <c r="Z36" s="44" t="n">
        <f aca="false">Z33+Z34+Z35</f>
        <v>0</v>
      </c>
      <c r="AA36" s="44" t="n">
        <f aca="false">AA33+AA34+AA35</f>
        <v>0</v>
      </c>
      <c r="AB36" s="44" t="n">
        <f aca="false">AB33+AB34+AB35</f>
        <v>0</v>
      </c>
      <c r="AC36" s="44" t="n">
        <f aca="false">AC33+AC34+AC35</f>
        <v>0</v>
      </c>
      <c r="AD36" s="44" t="n">
        <f aca="false">AD33+AD34+AD35</f>
        <v>0</v>
      </c>
      <c r="AE36" s="44" t="n">
        <f aca="false">AE33+AE34+AE35</f>
        <v>0</v>
      </c>
      <c r="AF36" s="44" t="n">
        <f aca="false">AF33+AF34+AF35</f>
        <v>0</v>
      </c>
      <c r="AG36" s="44" t="n">
        <f aca="false">AG33+AG34+AG35</f>
        <v>0</v>
      </c>
      <c r="AH36" s="44" t="n">
        <f aca="false">AH33+AH34+AH35</f>
        <v>0</v>
      </c>
      <c r="AI36" s="44" t="n">
        <f aca="false">AI33+AI34+AI35</f>
        <v>0</v>
      </c>
      <c r="AJ36" s="44" t="n">
        <f aca="false">AJ33+AJ34+AJ35</f>
        <v>0</v>
      </c>
      <c r="AK36" s="44" t="n">
        <f aca="false">AK33+AK34+AK35</f>
        <v>0</v>
      </c>
      <c r="AL36" s="44" t="n">
        <f aca="false">AL33+AL34+AL35</f>
        <v>0</v>
      </c>
      <c r="AM36" s="44" t="n">
        <f aca="false">AM33+AM34+AM35</f>
        <v>0</v>
      </c>
      <c r="AN36" s="44" t="n">
        <f aca="false">AN33+AN34+AN35</f>
        <v>0</v>
      </c>
      <c r="AO36" s="44" t="n">
        <f aca="false">AO33+AO34+AO35</f>
        <v>0</v>
      </c>
      <c r="AP36" s="44" t="n">
        <f aca="false">AP33+AP34+AP35</f>
        <v>0</v>
      </c>
      <c r="AQ36" s="44" t="n">
        <f aca="false">AQ33+AQ34+AQ35</f>
        <v>0</v>
      </c>
      <c r="AR36" s="44" t="n">
        <f aca="false">AR33+AR34+AR35</f>
        <v>0</v>
      </c>
      <c r="AS36" s="44" t="n">
        <f aca="false">AS33+AS34+AS35</f>
        <v>0</v>
      </c>
      <c r="AT36" s="44" t="n">
        <f aca="false">AT33+AT34+AT35</f>
        <v>0</v>
      </c>
      <c r="AU36" s="44" t="n">
        <f aca="false">AU33+AU34+AU35</f>
        <v>0</v>
      </c>
      <c r="AV36" s="44" t="n">
        <f aca="false">AV33+AV34+AV35</f>
        <v>0</v>
      </c>
      <c r="AW36" s="44" t="n">
        <f aca="false">AW33+AW34+AW35</f>
        <v>0</v>
      </c>
      <c r="AX36" s="44" t="n">
        <f aca="false">AX33+AX34+AX35</f>
        <v>0</v>
      </c>
      <c r="AY36" s="44" t="n">
        <f aca="false">AY33+AY34+AY35</f>
        <v>0</v>
      </c>
      <c r="AZ36" s="44" t="n">
        <f aca="false">AZ33+AZ34+AZ35</f>
        <v>0</v>
      </c>
      <c r="BA36" s="44" t="n">
        <f aca="false">BA33+BA34+BA35</f>
        <v>0</v>
      </c>
    </row>
    <row r="37" customFormat="false" ht="15" hidden="false" customHeight="true" outlineLevel="0" collapsed="false">
      <c r="A37" s="10" t="s">
        <v>276</v>
      </c>
      <c r="B37" s="35" t="s">
        <v>268</v>
      </c>
      <c r="C37" s="41" t="str">
        <f aca="false">IFERROR(IRR(D36:BA36),"-")</f>
        <v>-</v>
      </c>
    </row>
    <row r="39" customFormat="false" ht="15" hidden="false" customHeight="true" outlineLevel="0" collapsed="false">
      <c r="A39" s="45" t="s">
        <v>50</v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</row>
    <row r="40" customFormat="false" ht="15" hidden="false" customHeight="true" outlineLevel="0" collapsed="false">
      <c r="A40" s="35" t="s">
        <v>263</v>
      </c>
      <c r="B40" s="35" t="s">
        <v>11</v>
      </c>
      <c r="C40" s="44" t="n">
        <f aca="false">SUM(D40:BA40)</f>
        <v>0</v>
      </c>
      <c r="D40" s="44" t="n">
        <f aca="false">D180</f>
        <v>0</v>
      </c>
      <c r="E40" s="44" t="n">
        <f aca="false">E180</f>
        <v>0</v>
      </c>
      <c r="F40" s="44" t="n">
        <f aca="false">F180</f>
        <v>0</v>
      </c>
      <c r="G40" s="44" t="n">
        <f aca="false">G180</f>
        <v>0</v>
      </c>
      <c r="H40" s="44" t="n">
        <f aca="false">H180</f>
        <v>0</v>
      </c>
      <c r="I40" s="44" t="n">
        <f aca="false">I180</f>
        <v>0</v>
      </c>
      <c r="J40" s="44" t="n">
        <f aca="false">J180</f>
        <v>0</v>
      </c>
      <c r="K40" s="44" t="n">
        <f aca="false">K180</f>
        <v>0</v>
      </c>
      <c r="L40" s="44" t="n">
        <f aca="false">L180</f>
        <v>0</v>
      </c>
      <c r="M40" s="44" t="n">
        <f aca="false">M180</f>
        <v>0</v>
      </c>
      <c r="N40" s="44" t="n">
        <f aca="false">N180</f>
        <v>0</v>
      </c>
      <c r="O40" s="44" t="n">
        <f aca="false">O180</f>
        <v>0</v>
      </c>
      <c r="P40" s="44" t="n">
        <f aca="false">P180</f>
        <v>0</v>
      </c>
      <c r="Q40" s="44" t="n">
        <f aca="false">Q180</f>
        <v>0</v>
      </c>
      <c r="R40" s="44" t="n">
        <f aca="false">R180</f>
        <v>0</v>
      </c>
      <c r="S40" s="44" t="n">
        <f aca="false">S180</f>
        <v>0</v>
      </c>
      <c r="T40" s="44" t="n">
        <f aca="false">T180</f>
        <v>0</v>
      </c>
      <c r="U40" s="44" t="n">
        <f aca="false">U180</f>
        <v>0</v>
      </c>
      <c r="V40" s="44" t="n">
        <f aca="false">V180</f>
        <v>0</v>
      </c>
      <c r="W40" s="44" t="n">
        <f aca="false">W180</f>
        <v>0</v>
      </c>
      <c r="X40" s="44" t="n">
        <f aca="false">X180</f>
        <v>0</v>
      </c>
      <c r="Y40" s="44" t="n">
        <f aca="false">Y180</f>
        <v>0</v>
      </c>
      <c r="Z40" s="44" t="n">
        <f aca="false">Z180</f>
        <v>0</v>
      </c>
      <c r="AA40" s="44" t="n">
        <f aca="false">AA180</f>
        <v>0</v>
      </c>
      <c r="AB40" s="44" t="n">
        <f aca="false">AB180</f>
        <v>0</v>
      </c>
      <c r="AC40" s="44" t="n">
        <f aca="false">AC180</f>
        <v>0</v>
      </c>
      <c r="AD40" s="44" t="n">
        <f aca="false">AD180</f>
        <v>0</v>
      </c>
      <c r="AE40" s="44" t="n">
        <f aca="false">AE180</f>
        <v>0</v>
      </c>
      <c r="AF40" s="44" t="n">
        <f aca="false">AF180</f>
        <v>0</v>
      </c>
      <c r="AG40" s="44" t="n">
        <f aca="false">AG180</f>
        <v>0</v>
      </c>
      <c r="AH40" s="44" t="n">
        <f aca="false">AH180</f>
        <v>0</v>
      </c>
      <c r="AI40" s="44" t="n">
        <f aca="false">AI180</f>
        <v>0</v>
      </c>
      <c r="AJ40" s="44" t="n">
        <f aca="false">AJ180</f>
        <v>0</v>
      </c>
      <c r="AK40" s="44" t="n">
        <f aca="false">AK180</f>
        <v>0</v>
      </c>
      <c r="AL40" s="44" t="n">
        <f aca="false">AL180</f>
        <v>0</v>
      </c>
      <c r="AM40" s="44" t="n">
        <f aca="false">AM180</f>
        <v>0</v>
      </c>
      <c r="AN40" s="44" t="n">
        <f aca="false">AN180</f>
        <v>0</v>
      </c>
      <c r="AO40" s="44" t="n">
        <f aca="false">AO180</f>
        <v>0</v>
      </c>
      <c r="AP40" s="44" t="n">
        <f aca="false">AP180</f>
        <v>0</v>
      </c>
      <c r="AQ40" s="44" t="n">
        <f aca="false">AQ180</f>
        <v>0</v>
      </c>
      <c r="AR40" s="44" t="n">
        <f aca="false">AR180</f>
        <v>0</v>
      </c>
      <c r="AS40" s="44" t="n">
        <f aca="false">AS180</f>
        <v>0</v>
      </c>
      <c r="AT40" s="44" t="n">
        <f aca="false">AT180</f>
        <v>0</v>
      </c>
      <c r="AU40" s="44" t="n">
        <f aca="false">AU180</f>
        <v>0</v>
      </c>
      <c r="AV40" s="44" t="n">
        <f aca="false">AV180</f>
        <v>0</v>
      </c>
      <c r="AW40" s="44" t="n">
        <f aca="false">AW180</f>
        <v>0</v>
      </c>
      <c r="AX40" s="44" t="n">
        <f aca="false">AX180</f>
        <v>0</v>
      </c>
      <c r="AY40" s="44" t="n">
        <f aca="false">AY180</f>
        <v>0</v>
      </c>
      <c r="AZ40" s="44" t="n">
        <f aca="false">AZ180</f>
        <v>0</v>
      </c>
      <c r="BA40" s="44" t="n">
        <f aca="false">BA180</f>
        <v>0</v>
      </c>
    </row>
    <row r="41" customFormat="false" ht="15" hidden="false" customHeight="true" outlineLevel="0" collapsed="false">
      <c r="A41" s="35" t="s">
        <v>264</v>
      </c>
      <c r="B41" s="35" t="s">
        <v>11</v>
      </c>
      <c r="C41" s="44" t="n">
        <f aca="false">SUM(D41:BA41)</f>
        <v>0</v>
      </c>
      <c r="D41" s="44" t="n">
        <f aca="false">0</f>
        <v>0</v>
      </c>
      <c r="E41" s="44" t="n">
        <f aca="false">0</f>
        <v>0</v>
      </c>
      <c r="F41" s="44" t="n">
        <f aca="false">0</f>
        <v>0</v>
      </c>
      <c r="G41" s="44" t="n">
        <f aca="false">0</f>
        <v>0</v>
      </c>
      <c r="H41" s="44" t="n">
        <f aca="false">0</f>
        <v>0</v>
      </c>
      <c r="I41" s="44" t="n">
        <f aca="false">0</f>
        <v>0</v>
      </c>
      <c r="J41" s="44" t="n">
        <f aca="false">0</f>
        <v>0</v>
      </c>
      <c r="K41" s="44" t="n">
        <f aca="false">0</f>
        <v>0</v>
      </c>
      <c r="L41" s="44" t="n">
        <f aca="false">0</f>
        <v>0</v>
      </c>
      <c r="M41" s="44" t="n">
        <f aca="false">0</f>
        <v>0</v>
      </c>
      <c r="N41" s="44" t="n">
        <f aca="false">0</f>
        <v>0</v>
      </c>
      <c r="O41" s="44" t="n">
        <f aca="false">0</f>
        <v>0</v>
      </c>
      <c r="P41" s="44" t="n">
        <f aca="false">0</f>
        <v>0</v>
      </c>
      <c r="Q41" s="44" t="n">
        <f aca="false">0</f>
        <v>0</v>
      </c>
      <c r="R41" s="44" t="n">
        <f aca="false">0</f>
        <v>0</v>
      </c>
      <c r="S41" s="44" t="n">
        <f aca="false">0</f>
        <v>0</v>
      </c>
      <c r="T41" s="44" t="n">
        <f aca="false">0</f>
        <v>0</v>
      </c>
      <c r="U41" s="44" t="n">
        <f aca="false">0</f>
        <v>0</v>
      </c>
      <c r="V41" s="44" t="n">
        <f aca="false">0</f>
        <v>0</v>
      </c>
      <c r="W41" s="44" t="n">
        <f aca="false">0</f>
        <v>0</v>
      </c>
      <c r="X41" s="44" t="n">
        <f aca="false">0</f>
        <v>0</v>
      </c>
      <c r="Y41" s="44" t="n">
        <f aca="false">0</f>
        <v>0</v>
      </c>
      <c r="Z41" s="44" t="n">
        <f aca="false">0</f>
        <v>0</v>
      </c>
      <c r="AA41" s="44" t="n">
        <f aca="false">0</f>
        <v>0</v>
      </c>
      <c r="AB41" s="44" t="n">
        <f aca="false">0</f>
        <v>0</v>
      </c>
      <c r="AC41" s="44" t="n">
        <f aca="false">0</f>
        <v>0</v>
      </c>
      <c r="AD41" s="44" t="n">
        <f aca="false">0</f>
        <v>0</v>
      </c>
      <c r="AE41" s="44" t="n">
        <f aca="false">0</f>
        <v>0</v>
      </c>
      <c r="AF41" s="44" t="n">
        <f aca="false">0</f>
        <v>0</v>
      </c>
      <c r="AG41" s="44" t="n">
        <f aca="false">0</f>
        <v>0</v>
      </c>
      <c r="AH41" s="44" t="n">
        <f aca="false">0</f>
        <v>0</v>
      </c>
      <c r="AI41" s="44" t="n">
        <f aca="false">0</f>
        <v>0</v>
      </c>
      <c r="AJ41" s="44" t="n">
        <f aca="false">0</f>
        <v>0</v>
      </c>
      <c r="AK41" s="44" t="n">
        <f aca="false">0</f>
        <v>0</v>
      </c>
      <c r="AL41" s="44" t="n">
        <f aca="false">0</f>
        <v>0</v>
      </c>
      <c r="AM41" s="44" t="n">
        <f aca="false">0</f>
        <v>0</v>
      </c>
      <c r="AN41" s="44" t="n">
        <f aca="false">0</f>
        <v>0</v>
      </c>
      <c r="AO41" s="44" t="n">
        <f aca="false">0</f>
        <v>0</v>
      </c>
      <c r="AP41" s="44" t="n">
        <f aca="false">0</f>
        <v>0</v>
      </c>
      <c r="AQ41" s="44" t="n">
        <f aca="false">0</f>
        <v>0</v>
      </c>
      <c r="AR41" s="44" t="n">
        <f aca="false">0</f>
        <v>0</v>
      </c>
      <c r="AS41" s="44" t="n">
        <f aca="false">0</f>
        <v>0</v>
      </c>
      <c r="AT41" s="44" t="n">
        <f aca="false">0</f>
        <v>0</v>
      </c>
      <c r="AU41" s="44" t="n">
        <f aca="false">0</f>
        <v>0</v>
      </c>
      <c r="AV41" s="44" t="n">
        <f aca="false">0</f>
        <v>0</v>
      </c>
      <c r="AW41" s="44" t="n">
        <f aca="false">0</f>
        <v>0</v>
      </c>
      <c r="AX41" s="44" t="n">
        <f aca="false">0</f>
        <v>0</v>
      </c>
      <c r="AY41" s="44" t="n">
        <f aca="false">0</f>
        <v>0</v>
      </c>
      <c r="AZ41" s="44" t="n">
        <f aca="false">0</f>
        <v>0</v>
      </c>
      <c r="BA41" s="44" t="n">
        <f aca="false">0</f>
        <v>0</v>
      </c>
    </row>
    <row r="42" customFormat="false" ht="15" hidden="false" customHeight="true" outlineLevel="0" collapsed="false">
      <c r="A42" s="35" t="s">
        <v>265</v>
      </c>
      <c r="B42" s="35" t="s">
        <v>11</v>
      </c>
      <c r="C42" s="44" t="n">
        <f aca="false">SUM(D42:BA42)</f>
        <v>0</v>
      </c>
      <c r="D42" s="44" t="n">
        <f aca="false">-D198</f>
        <v>-0</v>
      </c>
      <c r="E42" s="44" t="n">
        <f aca="false">-E198</f>
        <v>-0</v>
      </c>
      <c r="F42" s="44" t="n">
        <f aca="false">-F198</f>
        <v>-0</v>
      </c>
      <c r="G42" s="44" t="n">
        <f aca="false">-G198</f>
        <v>-0</v>
      </c>
      <c r="H42" s="44" t="n">
        <f aca="false">-H198</f>
        <v>-0</v>
      </c>
      <c r="I42" s="44" t="n">
        <f aca="false">-I198</f>
        <v>-0</v>
      </c>
      <c r="J42" s="44" t="n">
        <f aca="false">-J198</f>
        <v>-0</v>
      </c>
      <c r="K42" s="44" t="n">
        <f aca="false">-K198</f>
        <v>-0</v>
      </c>
      <c r="L42" s="44" t="n">
        <f aca="false">-L198</f>
        <v>-0</v>
      </c>
      <c r="M42" s="44" t="n">
        <f aca="false">-M198</f>
        <v>-0</v>
      </c>
      <c r="N42" s="44" t="n">
        <f aca="false">-N198</f>
        <v>-0</v>
      </c>
      <c r="O42" s="44" t="n">
        <f aca="false">-O198</f>
        <v>-0</v>
      </c>
      <c r="P42" s="44" t="n">
        <f aca="false">-P198</f>
        <v>-0</v>
      </c>
      <c r="Q42" s="44" t="n">
        <f aca="false">-Q198</f>
        <v>-0</v>
      </c>
      <c r="R42" s="44" t="n">
        <f aca="false">-R198</f>
        <v>-0</v>
      </c>
      <c r="S42" s="44" t="n">
        <f aca="false">-S198</f>
        <v>-0</v>
      </c>
      <c r="T42" s="44" t="n">
        <f aca="false">-T198</f>
        <v>-0</v>
      </c>
      <c r="U42" s="44" t="n">
        <f aca="false">-U198</f>
        <v>-0</v>
      </c>
      <c r="V42" s="44" t="n">
        <f aca="false">-V198</f>
        <v>-0</v>
      </c>
      <c r="W42" s="44" t="n">
        <f aca="false">-W198</f>
        <v>-0</v>
      </c>
      <c r="X42" s="44" t="n">
        <f aca="false">-X198</f>
        <v>-0</v>
      </c>
      <c r="Y42" s="44" t="n">
        <f aca="false">-Y198</f>
        <v>-0</v>
      </c>
      <c r="Z42" s="44" t="n">
        <f aca="false">-Z198</f>
        <v>-0</v>
      </c>
      <c r="AA42" s="44" t="n">
        <f aca="false">-AA198</f>
        <v>-0</v>
      </c>
      <c r="AB42" s="44" t="n">
        <f aca="false">-AB198</f>
        <v>-0</v>
      </c>
      <c r="AC42" s="44" t="n">
        <f aca="false">-AC198</f>
        <v>-0</v>
      </c>
      <c r="AD42" s="44" t="n">
        <f aca="false">-AD198</f>
        <v>-0</v>
      </c>
      <c r="AE42" s="44" t="n">
        <f aca="false">-AE198</f>
        <v>-0</v>
      </c>
      <c r="AF42" s="44" t="n">
        <f aca="false">-AF198</f>
        <v>-0</v>
      </c>
      <c r="AG42" s="44" t="n">
        <f aca="false">-AG198</f>
        <v>-0</v>
      </c>
      <c r="AH42" s="44" t="n">
        <f aca="false">-AH198</f>
        <v>-0</v>
      </c>
      <c r="AI42" s="44" t="n">
        <f aca="false">-AI198</f>
        <v>-0</v>
      </c>
      <c r="AJ42" s="44" t="n">
        <f aca="false">-AJ198</f>
        <v>-0</v>
      </c>
      <c r="AK42" s="44" t="n">
        <f aca="false">-AK198</f>
        <v>-0</v>
      </c>
      <c r="AL42" s="44" t="n">
        <f aca="false">-AL198</f>
        <v>-0</v>
      </c>
      <c r="AM42" s="44" t="n">
        <f aca="false">-AM198</f>
        <v>-0</v>
      </c>
      <c r="AN42" s="44" t="n">
        <f aca="false">-AN198</f>
        <v>-0</v>
      </c>
      <c r="AO42" s="44" t="n">
        <f aca="false">-AO198</f>
        <v>-0</v>
      </c>
      <c r="AP42" s="44" t="n">
        <f aca="false">-AP198</f>
        <v>-0</v>
      </c>
      <c r="AQ42" s="44" t="n">
        <f aca="false">-AQ198</f>
        <v>-0</v>
      </c>
      <c r="AR42" s="44" t="n">
        <f aca="false">-AR198</f>
        <v>-0</v>
      </c>
      <c r="AS42" s="44" t="n">
        <f aca="false">-AS198</f>
        <v>-0</v>
      </c>
      <c r="AT42" s="44" t="n">
        <f aca="false">-AT198</f>
        <v>-0</v>
      </c>
      <c r="AU42" s="44" t="n">
        <f aca="false">-AU198</f>
        <v>-0</v>
      </c>
      <c r="AV42" s="44" t="n">
        <f aca="false">-AV198</f>
        <v>-0</v>
      </c>
      <c r="AW42" s="44" t="n">
        <f aca="false">-AW198</f>
        <v>-0</v>
      </c>
      <c r="AX42" s="44" t="n">
        <f aca="false">-AX198</f>
        <v>-0</v>
      </c>
      <c r="AY42" s="44" t="n">
        <f aca="false">-AY198</f>
        <v>-0</v>
      </c>
      <c r="AZ42" s="44" t="n">
        <f aca="false">-AZ198</f>
        <v>-0</v>
      </c>
      <c r="BA42" s="44" t="n">
        <f aca="false">-BA198</f>
        <v>-0</v>
      </c>
    </row>
    <row r="43" customFormat="false" ht="15" hidden="false" customHeight="true" outlineLevel="0" collapsed="false">
      <c r="A43" s="47" t="s">
        <v>277</v>
      </c>
      <c r="B43" s="35" t="s">
        <v>11</v>
      </c>
      <c r="C43" s="44" t="n">
        <f aca="false">SUM(D43:BA43)</f>
        <v>0</v>
      </c>
      <c r="D43" s="44" t="n">
        <f aca="false">D40+D41+D42</f>
        <v>0</v>
      </c>
      <c r="E43" s="44" t="n">
        <f aca="false">E40+E41+E42</f>
        <v>0</v>
      </c>
      <c r="F43" s="44" t="n">
        <f aca="false">F40+F41+F42</f>
        <v>0</v>
      </c>
      <c r="G43" s="44" t="n">
        <f aca="false">G40+G41+G42</f>
        <v>0</v>
      </c>
      <c r="H43" s="44" t="n">
        <f aca="false">H40+H41+H42</f>
        <v>0</v>
      </c>
      <c r="I43" s="44" t="n">
        <f aca="false">I40+I41+I42</f>
        <v>0</v>
      </c>
      <c r="J43" s="44" t="n">
        <f aca="false">J40+J41+J42</f>
        <v>0</v>
      </c>
      <c r="K43" s="44" t="n">
        <f aca="false">K40+K41+K42</f>
        <v>0</v>
      </c>
      <c r="L43" s="44" t="n">
        <f aca="false">L40+L41+L42</f>
        <v>0</v>
      </c>
      <c r="M43" s="44" t="n">
        <f aca="false">M40+M41+M42</f>
        <v>0</v>
      </c>
      <c r="N43" s="44" t="n">
        <f aca="false">N40+N41+N42</f>
        <v>0</v>
      </c>
      <c r="O43" s="44" t="n">
        <f aca="false">O40+O41+O42</f>
        <v>0</v>
      </c>
      <c r="P43" s="44" t="n">
        <f aca="false">P40+P41+P42</f>
        <v>0</v>
      </c>
      <c r="Q43" s="44" t="n">
        <f aca="false">Q40+Q41+Q42</f>
        <v>0</v>
      </c>
      <c r="R43" s="44" t="n">
        <f aca="false">R40+R41+R42</f>
        <v>0</v>
      </c>
      <c r="S43" s="44" t="n">
        <f aca="false">S40+S41+S42</f>
        <v>0</v>
      </c>
      <c r="T43" s="44" t="n">
        <f aca="false">T40+T41+T42</f>
        <v>0</v>
      </c>
      <c r="U43" s="44" t="n">
        <f aca="false">U40+U41+U42</f>
        <v>0</v>
      </c>
      <c r="V43" s="44" t="n">
        <f aca="false">V40+V41+V42</f>
        <v>0</v>
      </c>
      <c r="W43" s="44" t="n">
        <f aca="false">W40+W41+W42</f>
        <v>0</v>
      </c>
      <c r="X43" s="44" t="n">
        <f aca="false">X40+X41+X42</f>
        <v>0</v>
      </c>
      <c r="Y43" s="44" t="n">
        <f aca="false">Y40+Y41+Y42</f>
        <v>0</v>
      </c>
      <c r="Z43" s="44" t="n">
        <f aca="false">Z40+Z41+Z42</f>
        <v>0</v>
      </c>
      <c r="AA43" s="44" t="n">
        <f aca="false">AA40+AA41+AA42</f>
        <v>0</v>
      </c>
      <c r="AB43" s="44" t="n">
        <f aca="false">AB40+AB41+AB42</f>
        <v>0</v>
      </c>
      <c r="AC43" s="44" t="n">
        <f aca="false">AC40+AC41+AC42</f>
        <v>0</v>
      </c>
      <c r="AD43" s="44" t="n">
        <f aca="false">AD40+AD41+AD42</f>
        <v>0</v>
      </c>
      <c r="AE43" s="44" t="n">
        <f aca="false">AE40+AE41+AE42</f>
        <v>0</v>
      </c>
      <c r="AF43" s="44" t="n">
        <f aca="false">AF40+AF41+AF42</f>
        <v>0</v>
      </c>
      <c r="AG43" s="44" t="n">
        <f aca="false">AG40+AG41+AG42</f>
        <v>0</v>
      </c>
      <c r="AH43" s="44" t="n">
        <f aca="false">AH40+AH41+AH42</f>
        <v>0</v>
      </c>
      <c r="AI43" s="44" t="n">
        <f aca="false">AI40+AI41+AI42</f>
        <v>0</v>
      </c>
      <c r="AJ43" s="44" t="n">
        <f aca="false">AJ40+AJ41+AJ42</f>
        <v>0</v>
      </c>
      <c r="AK43" s="44" t="n">
        <f aca="false">AK40+AK41+AK42</f>
        <v>0</v>
      </c>
      <c r="AL43" s="44" t="n">
        <f aca="false">AL40+AL41+AL42</f>
        <v>0</v>
      </c>
      <c r="AM43" s="44" t="n">
        <f aca="false">AM40+AM41+AM42</f>
        <v>0</v>
      </c>
      <c r="AN43" s="44" t="n">
        <f aca="false">AN40+AN41+AN42</f>
        <v>0</v>
      </c>
      <c r="AO43" s="44" t="n">
        <f aca="false">AO40+AO41+AO42</f>
        <v>0</v>
      </c>
      <c r="AP43" s="44" t="n">
        <f aca="false">AP40+AP41+AP42</f>
        <v>0</v>
      </c>
      <c r="AQ43" s="44" t="n">
        <f aca="false">AQ40+AQ41+AQ42</f>
        <v>0</v>
      </c>
      <c r="AR43" s="44" t="n">
        <f aca="false">AR40+AR41+AR42</f>
        <v>0</v>
      </c>
      <c r="AS43" s="44" t="n">
        <f aca="false">AS40+AS41+AS42</f>
        <v>0</v>
      </c>
      <c r="AT43" s="44" t="n">
        <f aca="false">AT40+AT41+AT42</f>
        <v>0</v>
      </c>
      <c r="AU43" s="44" t="n">
        <f aca="false">AU40+AU41+AU42</f>
        <v>0</v>
      </c>
      <c r="AV43" s="44" t="n">
        <f aca="false">AV40+AV41+AV42</f>
        <v>0</v>
      </c>
      <c r="AW43" s="44" t="n">
        <f aca="false">AW40+AW41+AW42</f>
        <v>0</v>
      </c>
      <c r="AX43" s="44" t="n">
        <f aca="false">AX40+AX41+AX42</f>
        <v>0</v>
      </c>
      <c r="AY43" s="44" t="n">
        <f aca="false">AY40+AY41+AY42</f>
        <v>0</v>
      </c>
      <c r="AZ43" s="44" t="n">
        <f aca="false">AZ40+AZ41+AZ42</f>
        <v>0</v>
      </c>
      <c r="BA43" s="44" t="n">
        <f aca="false">BA40+BA41+BA42</f>
        <v>0</v>
      </c>
    </row>
    <row r="44" customFormat="false" ht="15" hidden="false" customHeight="true" outlineLevel="0" collapsed="false">
      <c r="A44" s="10" t="s">
        <v>278</v>
      </c>
      <c r="B44" s="35" t="s">
        <v>268</v>
      </c>
      <c r="C44" s="41" t="str">
        <f aca="false">IFERROR(IRR(D43:BA43),"-")</f>
        <v>-</v>
      </c>
    </row>
    <row r="46" customFormat="false" ht="15" hidden="false" customHeight="true" outlineLevel="0" collapsed="false">
      <c r="A46" s="45" t="s">
        <v>51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</row>
    <row r="47" customFormat="false" ht="15" hidden="false" customHeight="true" outlineLevel="0" collapsed="false">
      <c r="A47" s="35" t="s">
        <v>263</v>
      </c>
      <c r="B47" s="35" t="s">
        <v>11</v>
      </c>
      <c r="C47" s="44" t="n">
        <f aca="false">SUM(D47:BA47)</f>
        <v>0</v>
      </c>
      <c r="D47" s="44" t="n">
        <f aca="false">D181</f>
        <v>0</v>
      </c>
      <c r="E47" s="44" t="n">
        <f aca="false">E181</f>
        <v>0</v>
      </c>
      <c r="F47" s="44" t="n">
        <f aca="false">F181</f>
        <v>0</v>
      </c>
      <c r="G47" s="44" t="n">
        <f aca="false">G181</f>
        <v>0</v>
      </c>
      <c r="H47" s="44" t="n">
        <f aca="false">H181</f>
        <v>0</v>
      </c>
      <c r="I47" s="44" t="n">
        <f aca="false">I181</f>
        <v>0</v>
      </c>
      <c r="J47" s="44" t="n">
        <f aca="false">J181</f>
        <v>0</v>
      </c>
      <c r="K47" s="44" t="n">
        <f aca="false">K181</f>
        <v>0</v>
      </c>
      <c r="L47" s="44" t="n">
        <f aca="false">L181</f>
        <v>0</v>
      </c>
      <c r="M47" s="44" t="n">
        <f aca="false">M181</f>
        <v>0</v>
      </c>
      <c r="N47" s="44" t="n">
        <f aca="false">N181</f>
        <v>0</v>
      </c>
      <c r="O47" s="44" t="n">
        <f aca="false">O181</f>
        <v>0</v>
      </c>
      <c r="P47" s="44" t="n">
        <f aca="false">P181</f>
        <v>0</v>
      </c>
      <c r="Q47" s="44" t="n">
        <f aca="false">Q181</f>
        <v>0</v>
      </c>
      <c r="R47" s="44" t="n">
        <f aca="false">R181</f>
        <v>0</v>
      </c>
      <c r="S47" s="44" t="n">
        <f aca="false">S181</f>
        <v>0</v>
      </c>
      <c r="T47" s="44" t="n">
        <f aca="false">T181</f>
        <v>0</v>
      </c>
      <c r="U47" s="44" t="n">
        <f aca="false">U181</f>
        <v>0</v>
      </c>
      <c r="V47" s="44" t="n">
        <f aca="false">V181</f>
        <v>0</v>
      </c>
      <c r="W47" s="44" t="n">
        <f aca="false">W181</f>
        <v>0</v>
      </c>
      <c r="X47" s="44" t="n">
        <f aca="false">X181</f>
        <v>0</v>
      </c>
      <c r="Y47" s="44" t="n">
        <f aca="false">Y181</f>
        <v>0</v>
      </c>
      <c r="Z47" s="44" t="n">
        <f aca="false">Z181</f>
        <v>0</v>
      </c>
      <c r="AA47" s="44" t="n">
        <f aca="false">AA181</f>
        <v>0</v>
      </c>
      <c r="AB47" s="44" t="n">
        <f aca="false">AB181</f>
        <v>0</v>
      </c>
      <c r="AC47" s="44" t="n">
        <f aca="false">AC181</f>
        <v>0</v>
      </c>
      <c r="AD47" s="44" t="n">
        <f aca="false">AD181</f>
        <v>0</v>
      </c>
      <c r="AE47" s="44" t="n">
        <f aca="false">AE181</f>
        <v>0</v>
      </c>
      <c r="AF47" s="44" t="n">
        <f aca="false">AF181</f>
        <v>0</v>
      </c>
      <c r="AG47" s="44" t="n">
        <f aca="false">AG181</f>
        <v>0</v>
      </c>
      <c r="AH47" s="44" t="n">
        <f aca="false">AH181</f>
        <v>0</v>
      </c>
      <c r="AI47" s="44" t="n">
        <f aca="false">AI181</f>
        <v>0</v>
      </c>
      <c r="AJ47" s="44" t="n">
        <f aca="false">AJ181</f>
        <v>0</v>
      </c>
      <c r="AK47" s="44" t="n">
        <f aca="false">AK181</f>
        <v>0</v>
      </c>
      <c r="AL47" s="44" t="n">
        <f aca="false">AL181</f>
        <v>0</v>
      </c>
      <c r="AM47" s="44" t="n">
        <f aca="false">AM181</f>
        <v>0</v>
      </c>
      <c r="AN47" s="44" t="n">
        <f aca="false">AN181</f>
        <v>0</v>
      </c>
      <c r="AO47" s="44" t="n">
        <f aca="false">AO181</f>
        <v>0</v>
      </c>
      <c r="AP47" s="44" t="n">
        <f aca="false">AP181</f>
        <v>0</v>
      </c>
      <c r="AQ47" s="44" t="n">
        <f aca="false">AQ181</f>
        <v>0</v>
      </c>
      <c r="AR47" s="44" t="n">
        <f aca="false">AR181</f>
        <v>0</v>
      </c>
      <c r="AS47" s="44" t="n">
        <f aca="false">AS181</f>
        <v>0</v>
      </c>
      <c r="AT47" s="44" t="n">
        <f aca="false">AT181</f>
        <v>0</v>
      </c>
      <c r="AU47" s="44" t="n">
        <f aca="false">AU181</f>
        <v>0</v>
      </c>
      <c r="AV47" s="44" t="n">
        <f aca="false">AV181</f>
        <v>0</v>
      </c>
      <c r="AW47" s="44" t="n">
        <f aca="false">AW181</f>
        <v>0</v>
      </c>
      <c r="AX47" s="44" t="n">
        <f aca="false">AX181</f>
        <v>0</v>
      </c>
      <c r="AY47" s="44" t="n">
        <f aca="false">AY181</f>
        <v>0</v>
      </c>
      <c r="AZ47" s="44" t="n">
        <f aca="false">AZ181</f>
        <v>0</v>
      </c>
      <c r="BA47" s="44" t="n">
        <f aca="false">BA181</f>
        <v>0</v>
      </c>
    </row>
    <row r="48" customFormat="false" ht="15" hidden="false" customHeight="true" outlineLevel="0" collapsed="false">
      <c r="A48" s="35" t="s">
        <v>264</v>
      </c>
      <c r="B48" s="35" t="s">
        <v>11</v>
      </c>
      <c r="C48" s="44" t="n">
        <f aca="false">SUM(D48:BA48)</f>
        <v>0</v>
      </c>
      <c r="D48" s="44" t="n">
        <f aca="false">0</f>
        <v>0</v>
      </c>
      <c r="E48" s="44" t="n">
        <f aca="false">0</f>
        <v>0</v>
      </c>
      <c r="F48" s="44" t="n">
        <f aca="false">0</f>
        <v>0</v>
      </c>
      <c r="G48" s="44" t="n">
        <f aca="false">0</f>
        <v>0</v>
      </c>
      <c r="H48" s="44" t="n">
        <f aca="false">0</f>
        <v>0</v>
      </c>
      <c r="I48" s="44" t="n">
        <f aca="false">0</f>
        <v>0</v>
      </c>
      <c r="J48" s="44" t="n">
        <f aca="false">0</f>
        <v>0</v>
      </c>
      <c r="K48" s="44" t="n">
        <f aca="false">0</f>
        <v>0</v>
      </c>
      <c r="L48" s="44" t="n">
        <f aca="false">0</f>
        <v>0</v>
      </c>
      <c r="M48" s="44" t="n">
        <f aca="false">0</f>
        <v>0</v>
      </c>
      <c r="N48" s="44" t="n">
        <f aca="false">0</f>
        <v>0</v>
      </c>
      <c r="O48" s="44" t="n">
        <f aca="false">0</f>
        <v>0</v>
      </c>
      <c r="P48" s="44" t="n">
        <f aca="false">0</f>
        <v>0</v>
      </c>
      <c r="Q48" s="44" t="n">
        <f aca="false">0</f>
        <v>0</v>
      </c>
      <c r="R48" s="44" t="n">
        <f aca="false">0</f>
        <v>0</v>
      </c>
      <c r="S48" s="44" t="n">
        <f aca="false">0</f>
        <v>0</v>
      </c>
      <c r="T48" s="44" t="n">
        <f aca="false">0</f>
        <v>0</v>
      </c>
      <c r="U48" s="44" t="n">
        <f aca="false">0</f>
        <v>0</v>
      </c>
      <c r="V48" s="44" t="n">
        <f aca="false">0</f>
        <v>0</v>
      </c>
      <c r="W48" s="44" t="n">
        <f aca="false">0</f>
        <v>0</v>
      </c>
      <c r="X48" s="44" t="n">
        <f aca="false">0</f>
        <v>0</v>
      </c>
      <c r="Y48" s="44" t="n">
        <f aca="false">0</f>
        <v>0</v>
      </c>
      <c r="Z48" s="44" t="n">
        <f aca="false">0</f>
        <v>0</v>
      </c>
      <c r="AA48" s="44" t="n">
        <f aca="false">0</f>
        <v>0</v>
      </c>
      <c r="AB48" s="44" t="n">
        <f aca="false">0</f>
        <v>0</v>
      </c>
      <c r="AC48" s="44" t="n">
        <f aca="false">0</f>
        <v>0</v>
      </c>
      <c r="AD48" s="44" t="n">
        <f aca="false">0</f>
        <v>0</v>
      </c>
      <c r="AE48" s="44" t="n">
        <f aca="false">0</f>
        <v>0</v>
      </c>
      <c r="AF48" s="44" t="n">
        <f aca="false">0</f>
        <v>0</v>
      </c>
      <c r="AG48" s="44" t="n">
        <f aca="false">0</f>
        <v>0</v>
      </c>
      <c r="AH48" s="44" t="n">
        <f aca="false">0</f>
        <v>0</v>
      </c>
      <c r="AI48" s="44" t="n">
        <f aca="false">0</f>
        <v>0</v>
      </c>
      <c r="AJ48" s="44" t="n">
        <f aca="false">0</f>
        <v>0</v>
      </c>
      <c r="AK48" s="44" t="n">
        <f aca="false">0</f>
        <v>0</v>
      </c>
      <c r="AL48" s="44" t="n">
        <f aca="false">0</f>
        <v>0</v>
      </c>
      <c r="AM48" s="44" t="n">
        <f aca="false">0</f>
        <v>0</v>
      </c>
      <c r="AN48" s="44" t="n">
        <f aca="false">0</f>
        <v>0</v>
      </c>
      <c r="AO48" s="44" t="n">
        <f aca="false">0</f>
        <v>0</v>
      </c>
      <c r="AP48" s="44" t="n">
        <f aca="false">0</f>
        <v>0</v>
      </c>
      <c r="AQ48" s="44" t="n">
        <f aca="false">0</f>
        <v>0</v>
      </c>
      <c r="AR48" s="44" t="n">
        <f aca="false">0</f>
        <v>0</v>
      </c>
      <c r="AS48" s="44" t="n">
        <f aca="false">0</f>
        <v>0</v>
      </c>
      <c r="AT48" s="44" t="n">
        <f aca="false">0</f>
        <v>0</v>
      </c>
      <c r="AU48" s="44" t="n">
        <f aca="false">0</f>
        <v>0</v>
      </c>
      <c r="AV48" s="44" t="n">
        <f aca="false">0</f>
        <v>0</v>
      </c>
      <c r="AW48" s="44" t="n">
        <f aca="false">0</f>
        <v>0</v>
      </c>
      <c r="AX48" s="44" t="n">
        <f aca="false">0</f>
        <v>0</v>
      </c>
      <c r="AY48" s="44" t="n">
        <f aca="false">0</f>
        <v>0</v>
      </c>
      <c r="AZ48" s="44" t="n">
        <f aca="false">0</f>
        <v>0</v>
      </c>
      <c r="BA48" s="44" t="n">
        <f aca="false">0</f>
        <v>0</v>
      </c>
    </row>
    <row r="49" customFormat="false" ht="15" hidden="false" customHeight="true" outlineLevel="0" collapsed="false">
      <c r="A49" s="35" t="s">
        <v>265</v>
      </c>
      <c r="B49" s="35" t="s">
        <v>11</v>
      </c>
      <c r="C49" s="44" t="n">
        <f aca="false">SUM(D49:BA49)</f>
        <v>0</v>
      </c>
      <c r="D49" s="44" t="n">
        <f aca="false">-D199</f>
        <v>-0</v>
      </c>
      <c r="E49" s="44" t="n">
        <f aca="false">-E199</f>
        <v>-0</v>
      </c>
      <c r="F49" s="44" t="n">
        <f aca="false">-F199</f>
        <v>-0</v>
      </c>
      <c r="G49" s="44" t="n">
        <f aca="false">-G199</f>
        <v>-0</v>
      </c>
      <c r="H49" s="44" t="n">
        <f aca="false">-H199</f>
        <v>-0</v>
      </c>
      <c r="I49" s="44" t="n">
        <f aca="false">-I199</f>
        <v>-0</v>
      </c>
      <c r="J49" s="44" t="n">
        <f aca="false">-J199</f>
        <v>-0</v>
      </c>
      <c r="K49" s="44" t="n">
        <f aca="false">-K199</f>
        <v>-0</v>
      </c>
      <c r="L49" s="44" t="n">
        <f aca="false">-L199</f>
        <v>-0</v>
      </c>
      <c r="M49" s="44" t="n">
        <f aca="false">-M199</f>
        <v>-0</v>
      </c>
      <c r="N49" s="44" t="n">
        <f aca="false">-N199</f>
        <v>-0</v>
      </c>
      <c r="O49" s="44" t="n">
        <f aca="false">-O199</f>
        <v>-0</v>
      </c>
      <c r="P49" s="44" t="n">
        <f aca="false">-P199</f>
        <v>-0</v>
      </c>
      <c r="Q49" s="44" t="n">
        <f aca="false">-Q199</f>
        <v>-0</v>
      </c>
      <c r="R49" s="44" t="n">
        <f aca="false">-R199</f>
        <v>-0</v>
      </c>
      <c r="S49" s="44" t="n">
        <f aca="false">-S199</f>
        <v>-0</v>
      </c>
      <c r="T49" s="44" t="n">
        <f aca="false">-T199</f>
        <v>-0</v>
      </c>
      <c r="U49" s="44" t="n">
        <f aca="false">-U199</f>
        <v>-0</v>
      </c>
      <c r="V49" s="44" t="n">
        <f aca="false">-V199</f>
        <v>-0</v>
      </c>
      <c r="W49" s="44" t="n">
        <f aca="false">-W199</f>
        <v>-0</v>
      </c>
      <c r="X49" s="44" t="n">
        <f aca="false">-X199</f>
        <v>-0</v>
      </c>
      <c r="Y49" s="44" t="n">
        <f aca="false">-Y199</f>
        <v>-0</v>
      </c>
      <c r="Z49" s="44" t="n">
        <f aca="false">-Z199</f>
        <v>-0</v>
      </c>
      <c r="AA49" s="44" t="n">
        <f aca="false">-AA199</f>
        <v>-0</v>
      </c>
      <c r="AB49" s="44" t="n">
        <f aca="false">-AB199</f>
        <v>-0</v>
      </c>
      <c r="AC49" s="44" t="n">
        <f aca="false">-AC199</f>
        <v>-0</v>
      </c>
      <c r="AD49" s="44" t="n">
        <f aca="false">-AD199</f>
        <v>-0</v>
      </c>
      <c r="AE49" s="44" t="n">
        <f aca="false">-AE199</f>
        <v>-0</v>
      </c>
      <c r="AF49" s="44" t="n">
        <f aca="false">-AF199</f>
        <v>-0</v>
      </c>
      <c r="AG49" s="44" t="n">
        <f aca="false">-AG199</f>
        <v>-0</v>
      </c>
      <c r="AH49" s="44" t="n">
        <f aca="false">-AH199</f>
        <v>-0</v>
      </c>
      <c r="AI49" s="44" t="n">
        <f aca="false">-AI199</f>
        <v>-0</v>
      </c>
      <c r="AJ49" s="44" t="n">
        <f aca="false">-AJ199</f>
        <v>-0</v>
      </c>
      <c r="AK49" s="44" t="n">
        <f aca="false">-AK199</f>
        <v>-0</v>
      </c>
      <c r="AL49" s="44" t="n">
        <f aca="false">-AL199</f>
        <v>-0</v>
      </c>
      <c r="AM49" s="44" t="n">
        <f aca="false">-AM199</f>
        <v>-0</v>
      </c>
      <c r="AN49" s="44" t="n">
        <f aca="false">-AN199</f>
        <v>-0</v>
      </c>
      <c r="AO49" s="44" t="n">
        <f aca="false">-AO199</f>
        <v>-0</v>
      </c>
      <c r="AP49" s="44" t="n">
        <f aca="false">-AP199</f>
        <v>-0</v>
      </c>
      <c r="AQ49" s="44" t="n">
        <f aca="false">-AQ199</f>
        <v>-0</v>
      </c>
      <c r="AR49" s="44" t="n">
        <f aca="false">-AR199</f>
        <v>-0</v>
      </c>
      <c r="AS49" s="44" t="n">
        <f aca="false">-AS199</f>
        <v>-0</v>
      </c>
      <c r="AT49" s="44" t="n">
        <f aca="false">-AT199</f>
        <v>-0</v>
      </c>
      <c r="AU49" s="44" t="n">
        <f aca="false">-AU199</f>
        <v>-0</v>
      </c>
      <c r="AV49" s="44" t="n">
        <f aca="false">-AV199</f>
        <v>-0</v>
      </c>
      <c r="AW49" s="44" t="n">
        <f aca="false">-AW199</f>
        <v>-0</v>
      </c>
      <c r="AX49" s="44" t="n">
        <f aca="false">-AX199</f>
        <v>-0</v>
      </c>
      <c r="AY49" s="44" t="n">
        <f aca="false">-AY199</f>
        <v>-0</v>
      </c>
      <c r="AZ49" s="44" t="n">
        <f aca="false">-AZ199</f>
        <v>-0</v>
      </c>
      <c r="BA49" s="44" t="n">
        <f aca="false">-BA199</f>
        <v>-0</v>
      </c>
    </row>
    <row r="50" customFormat="false" ht="15" hidden="false" customHeight="true" outlineLevel="0" collapsed="false">
      <c r="A50" s="47" t="s">
        <v>279</v>
      </c>
      <c r="B50" s="35" t="s">
        <v>11</v>
      </c>
      <c r="C50" s="44" t="n">
        <f aca="false">SUM(D50:BA50)</f>
        <v>0</v>
      </c>
      <c r="D50" s="44" t="n">
        <f aca="false">D47+D48+D49</f>
        <v>0</v>
      </c>
      <c r="E50" s="44" t="n">
        <f aca="false">E47+E48+E49</f>
        <v>0</v>
      </c>
      <c r="F50" s="44" t="n">
        <f aca="false">F47+F48+F49</f>
        <v>0</v>
      </c>
      <c r="G50" s="44" t="n">
        <f aca="false">G47+G48+G49</f>
        <v>0</v>
      </c>
      <c r="H50" s="44" t="n">
        <f aca="false">H47+H48+H49</f>
        <v>0</v>
      </c>
      <c r="I50" s="44" t="n">
        <f aca="false">I47+I48+I49</f>
        <v>0</v>
      </c>
      <c r="J50" s="44" t="n">
        <f aca="false">J47+J48+J49</f>
        <v>0</v>
      </c>
      <c r="K50" s="44" t="n">
        <f aca="false">K47+K48+K49</f>
        <v>0</v>
      </c>
      <c r="L50" s="44" t="n">
        <f aca="false">L47+L48+L49</f>
        <v>0</v>
      </c>
      <c r="M50" s="44" t="n">
        <f aca="false">M47+M48+M49</f>
        <v>0</v>
      </c>
      <c r="N50" s="44" t="n">
        <f aca="false">N47+N48+N49</f>
        <v>0</v>
      </c>
      <c r="O50" s="44" t="n">
        <f aca="false">O47+O48+O49</f>
        <v>0</v>
      </c>
      <c r="P50" s="44" t="n">
        <f aca="false">P47+P48+P49</f>
        <v>0</v>
      </c>
      <c r="Q50" s="44" t="n">
        <f aca="false">Q47+Q48+Q49</f>
        <v>0</v>
      </c>
      <c r="R50" s="44" t="n">
        <f aca="false">R47+R48+R49</f>
        <v>0</v>
      </c>
      <c r="S50" s="44" t="n">
        <f aca="false">S47+S48+S49</f>
        <v>0</v>
      </c>
      <c r="T50" s="44" t="n">
        <f aca="false">T47+T48+T49</f>
        <v>0</v>
      </c>
      <c r="U50" s="44" t="n">
        <f aca="false">U47+U48+U49</f>
        <v>0</v>
      </c>
      <c r="V50" s="44" t="n">
        <f aca="false">V47+V48+V49</f>
        <v>0</v>
      </c>
      <c r="W50" s="44" t="n">
        <f aca="false">W47+W48+W49</f>
        <v>0</v>
      </c>
      <c r="X50" s="44" t="n">
        <f aca="false">X47+X48+X49</f>
        <v>0</v>
      </c>
      <c r="Y50" s="44" t="n">
        <f aca="false">Y47+Y48+Y49</f>
        <v>0</v>
      </c>
      <c r="Z50" s="44" t="n">
        <f aca="false">Z47+Z48+Z49</f>
        <v>0</v>
      </c>
      <c r="AA50" s="44" t="n">
        <f aca="false">AA47+AA48+AA49</f>
        <v>0</v>
      </c>
      <c r="AB50" s="44" t="n">
        <f aca="false">AB47+AB48+AB49</f>
        <v>0</v>
      </c>
      <c r="AC50" s="44" t="n">
        <f aca="false">AC47+AC48+AC49</f>
        <v>0</v>
      </c>
      <c r="AD50" s="44" t="n">
        <f aca="false">AD47+AD48+AD49</f>
        <v>0</v>
      </c>
      <c r="AE50" s="44" t="n">
        <f aca="false">AE47+AE48+AE49</f>
        <v>0</v>
      </c>
      <c r="AF50" s="44" t="n">
        <f aca="false">AF47+AF48+AF49</f>
        <v>0</v>
      </c>
      <c r="AG50" s="44" t="n">
        <f aca="false">AG47+AG48+AG49</f>
        <v>0</v>
      </c>
      <c r="AH50" s="44" t="n">
        <f aca="false">AH47+AH48+AH49</f>
        <v>0</v>
      </c>
      <c r="AI50" s="44" t="n">
        <f aca="false">AI47+AI48+AI49</f>
        <v>0</v>
      </c>
      <c r="AJ50" s="44" t="n">
        <f aca="false">AJ47+AJ48+AJ49</f>
        <v>0</v>
      </c>
      <c r="AK50" s="44" t="n">
        <f aca="false">AK47+AK48+AK49</f>
        <v>0</v>
      </c>
      <c r="AL50" s="44" t="n">
        <f aca="false">AL47+AL48+AL49</f>
        <v>0</v>
      </c>
      <c r="AM50" s="44" t="n">
        <f aca="false">AM47+AM48+AM49</f>
        <v>0</v>
      </c>
      <c r="AN50" s="44" t="n">
        <f aca="false">AN47+AN48+AN49</f>
        <v>0</v>
      </c>
      <c r="AO50" s="44" t="n">
        <f aca="false">AO47+AO48+AO49</f>
        <v>0</v>
      </c>
      <c r="AP50" s="44" t="n">
        <f aca="false">AP47+AP48+AP49</f>
        <v>0</v>
      </c>
      <c r="AQ50" s="44" t="n">
        <f aca="false">AQ47+AQ48+AQ49</f>
        <v>0</v>
      </c>
      <c r="AR50" s="44" t="n">
        <f aca="false">AR47+AR48+AR49</f>
        <v>0</v>
      </c>
      <c r="AS50" s="44" t="n">
        <f aca="false">AS47+AS48+AS49</f>
        <v>0</v>
      </c>
      <c r="AT50" s="44" t="n">
        <f aca="false">AT47+AT48+AT49</f>
        <v>0</v>
      </c>
      <c r="AU50" s="44" t="n">
        <f aca="false">AU47+AU48+AU49</f>
        <v>0</v>
      </c>
      <c r="AV50" s="44" t="n">
        <f aca="false">AV47+AV48+AV49</f>
        <v>0</v>
      </c>
      <c r="AW50" s="44" t="n">
        <f aca="false">AW47+AW48+AW49</f>
        <v>0</v>
      </c>
      <c r="AX50" s="44" t="n">
        <f aca="false">AX47+AX48+AX49</f>
        <v>0</v>
      </c>
      <c r="AY50" s="44" t="n">
        <f aca="false">AY47+AY48+AY49</f>
        <v>0</v>
      </c>
      <c r="AZ50" s="44" t="n">
        <f aca="false">AZ47+AZ48+AZ49</f>
        <v>0</v>
      </c>
      <c r="BA50" s="44" t="n">
        <f aca="false">BA47+BA48+BA49</f>
        <v>0</v>
      </c>
    </row>
    <row r="51" customFormat="false" ht="15" hidden="false" customHeight="true" outlineLevel="0" collapsed="false">
      <c r="A51" s="10" t="s">
        <v>280</v>
      </c>
      <c r="B51" s="35" t="s">
        <v>268</v>
      </c>
      <c r="C51" s="41" t="str">
        <f aca="false">IFERROR(IRR(D50:BA50),"-")</f>
        <v>-</v>
      </c>
    </row>
    <row r="53" customFormat="false" ht="15" hidden="false" customHeight="true" outlineLevel="0" collapsed="false">
      <c r="A53" s="45" t="s">
        <v>52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</row>
    <row r="54" customFormat="false" ht="15" hidden="false" customHeight="true" outlineLevel="0" collapsed="false">
      <c r="A54" s="35" t="s">
        <v>263</v>
      </c>
      <c r="B54" s="35" t="s">
        <v>11</v>
      </c>
      <c r="C54" s="44" t="n">
        <f aca="false">SUM(D54:BA54)</f>
        <v>0</v>
      </c>
      <c r="D54" s="44" t="n">
        <f aca="false">D182</f>
        <v>0</v>
      </c>
      <c r="E54" s="44" t="n">
        <f aca="false">E182</f>
        <v>0</v>
      </c>
      <c r="F54" s="44" t="n">
        <f aca="false">F182</f>
        <v>0</v>
      </c>
      <c r="G54" s="44" t="n">
        <f aca="false">G182</f>
        <v>0</v>
      </c>
      <c r="H54" s="44" t="n">
        <f aca="false">H182</f>
        <v>0</v>
      </c>
      <c r="I54" s="44" t="n">
        <f aca="false">I182</f>
        <v>0</v>
      </c>
      <c r="J54" s="44" t="n">
        <f aca="false">J182</f>
        <v>0</v>
      </c>
      <c r="K54" s="44" t="n">
        <f aca="false">K182</f>
        <v>0</v>
      </c>
      <c r="L54" s="44" t="n">
        <f aca="false">L182</f>
        <v>0</v>
      </c>
      <c r="M54" s="44" t="n">
        <f aca="false">M182</f>
        <v>0</v>
      </c>
      <c r="N54" s="44" t="n">
        <f aca="false">N182</f>
        <v>0</v>
      </c>
      <c r="O54" s="44" t="n">
        <f aca="false">O182</f>
        <v>0</v>
      </c>
      <c r="P54" s="44" t="n">
        <f aca="false">P182</f>
        <v>0</v>
      </c>
      <c r="Q54" s="44" t="n">
        <f aca="false">Q182</f>
        <v>0</v>
      </c>
      <c r="R54" s="44" t="n">
        <f aca="false">R182</f>
        <v>0</v>
      </c>
      <c r="S54" s="44" t="n">
        <f aca="false">S182</f>
        <v>0</v>
      </c>
      <c r="T54" s="44" t="n">
        <f aca="false">T182</f>
        <v>0</v>
      </c>
      <c r="U54" s="44" t="n">
        <f aca="false">U182</f>
        <v>0</v>
      </c>
      <c r="V54" s="44" t="n">
        <f aca="false">V182</f>
        <v>0</v>
      </c>
      <c r="W54" s="44" t="n">
        <f aca="false">W182</f>
        <v>0</v>
      </c>
      <c r="X54" s="44" t="n">
        <f aca="false">X182</f>
        <v>0</v>
      </c>
      <c r="Y54" s="44" t="n">
        <f aca="false">Y182</f>
        <v>0</v>
      </c>
      <c r="Z54" s="44" t="n">
        <f aca="false">Z182</f>
        <v>0</v>
      </c>
      <c r="AA54" s="44" t="n">
        <f aca="false">AA182</f>
        <v>0</v>
      </c>
      <c r="AB54" s="44" t="n">
        <f aca="false">AB182</f>
        <v>0</v>
      </c>
      <c r="AC54" s="44" t="n">
        <f aca="false">AC182</f>
        <v>0</v>
      </c>
      <c r="AD54" s="44" t="n">
        <f aca="false">AD182</f>
        <v>0</v>
      </c>
      <c r="AE54" s="44" t="n">
        <f aca="false">AE182</f>
        <v>0</v>
      </c>
      <c r="AF54" s="44" t="n">
        <f aca="false">AF182</f>
        <v>0</v>
      </c>
      <c r="AG54" s="44" t="n">
        <f aca="false">AG182</f>
        <v>0</v>
      </c>
      <c r="AH54" s="44" t="n">
        <f aca="false">AH182</f>
        <v>0</v>
      </c>
      <c r="AI54" s="44" t="n">
        <f aca="false">AI182</f>
        <v>0</v>
      </c>
      <c r="AJ54" s="44" t="n">
        <f aca="false">AJ182</f>
        <v>0</v>
      </c>
      <c r="AK54" s="44" t="n">
        <f aca="false">AK182</f>
        <v>0</v>
      </c>
      <c r="AL54" s="44" t="n">
        <f aca="false">AL182</f>
        <v>0</v>
      </c>
      <c r="AM54" s="44" t="n">
        <f aca="false">AM182</f>
        <v>0</v>
      </c>
      <c r="AN54" s="44" t="n">
        <f aca="false">AN182</f>
        <v>0</v>
      </c>
      <c r="AO54" s="44" t="n">
        <f aca="false">AO182</f>
        <v>0</v>
      </c>
      <c r="AP54" s="44" t="n">
        <f aca="false">AP182</f>
        <v>0</v>
      </c>
      <c r="AQ54" s="44" t="n">
        <f aca="false">AQ182</f>
        <v>0</v>
      </c>
      <c r="AR54" s="44" t="n">
        <f aca="false">AR182</f>
        <v>0</v>
      </c>
      <c r="AS54" s="44" t="n">
        <f aca="false">AS182</f>
        <v>0</v>
      </c>
      <c r="AT54" s="44" t="n">
        <f aca="false">AT182</f>
        <v>0</v>
      </c>
      <c r="AU54" s="44" t="n">
        <f aca="false">AU182</f>
        <v>0</v>
      </c>
      <c r="AV54" s="44" t="n">
        <f aca="false">AV182</f>
        <v>0</v>
      </c>
      <c r="AW54" s="44" t="n">
        <f aca="false">AW182</f>
        <v>0</v>
      </c>
      <c r="AX54" s="44" t="n">
        <f aca="false">AX182</f>
        <v>0</v>
      </c>
      <c r="AY54" s="44" t="n">
        <f aca="false">AY182</f>
        <v>0</v>
      </c>
      <c r="AZ54" s="44" t="n">
        <f aca="false">AZ182</f>
        <v>0</v>
      </c>
      <c r="BA54" s="44" t="n">
        <f aca="false">BA182</f>
        <v>0</v>
      </c>
    </row>
    <row r="55" customFormat="false" ht="15" hidden="false" customHeight="true" outlineLevel="0" collapsed="false">
      <c r="A55" s="35" t="s">
        <v>264</v>
      </c>
      <c r="B55" s="35" t="s">
        <v>11</v>
      </c>
      <c r="C55" s="44" t="n">
        <f aca="false">SUM(D55:BA55)</f>
        <v>0</v>
      </c>
      <c r="D55" s="44" t="n">
        <f aca="false">0</f>
        <v>0</v>
      </c>
      <c r="E55" s="44" t="n">
        <f aca="false">0</f>
        <v>0</v>
      </c>
      <c r="F55" s="44" t="n">
        <f aca="false">0</f>
        <v>0</v>
      </c>
      <c r="G55" s="44" t="n">
        <f aca="false">0</f>
        <v>0</v>
      </c>
      <c r="H55" s="44" t="n">
        <f aca="false">0</f>
        <v>0</v>
      </c>
      <c r="I55" s="44" t="n">
        <f aca="false">0</f>
        <v>0</v>
      </c>
      <c r="J55" s="44" t="n">
        <f aca="false">0</f>
        <v>0</v>
      </c>
      <c r="K55" s="44" t="n">
        <f aca="false">0</f>
        <v>0</v>
      </c>
      <c r="L55" s="44" t="n">
        <f aca="false">0</f>
        <v>0</v>
      </c>
      <c r="M55" s="44" t="n">
        <f aca="false">0</f>
        <v>0</v>
      </c>
      <c r="N55" s="44" t="n">
        <f aca="false">0</f>
        <v>0</v>
      </c>
      <c r="O55" s="44" t="n">
        <f aca="false">0</f>
        <v>0</v>
      </c>
      <c r="P55" s="44" t="n">
        <f aca="false">0</f>
        <v>0</v>
      </c>
      <c r="Q55" s="44" t="n">
        <f aca="false">0</f>
        <v>0</v>
      </c>
      <c r="R55" s="44" t="n">
        <f aca="false">0</f>
        <v>0</v>
      </c>
      <c r="S55" s="44" t="n">
        <f aca="false">0</f>
        <v>0</v>
      </c>
      <c r="T55" s="44" t="n">
        <f aca="false">0</f>
        <v>0</v>
      </c>
      <c r="U55" s="44" t="n">
        <f aca="false">0</f>
        <v>0</v>
      </c>
      <c r="V55" s="44" t="n">
        <f aca="false">0</f>
        <v>0</v>
      </c>
      <c r="W55" s="44" t="n">
        <f aca="false">0</f>
        <v>0</v>
      </c>
      <c r="X55" s="44" t="n">
        <f aca="false">0</f>
        <v>0</v>
      </c>
      <c r="Y55" s="44" t="n">
        <f aca="false">0</f>
        <v>0</v>
      </c>
      <c r="Z55" s="44" t="n">
        <f aca="false">0</f>
        <v>0</v>
      </c>
      <c r="AA55" s="44" t="n">
        <f aca="false">0</f>
        <v>0</v>
      </c>
      <c r="AB55" s="44" t="n">
        <f aca="false">0</f>
        <v>0</v>
      </c>
      <c r="AC55" s="44" t="n">
        <f aca="false">0</f>
        <v>0</v>
      </c>
      <c r="AD55" s="44" t="n">
        <f aca="false">0</f>
        <v>0</v>
      </c>
      <c r="AE55" s="44" t="n">
        <f aca="false">0</f>
        <v>0</v>
      </c>
      <c r="AF55" s="44" t="n">
        <f aca="false">0</f>
        <v>0</v>
      </c>
      <c r="AG55" s="44" t="n">
        <f aca="false">0</f>
        <v>0</v>
      </c>
      <c r="AH55" s="44" t="n">
        <f aca="false">0</f>
        <v>0</v>
      </c>
      <c r="AI55" s="44" t="n">
        <f aca="false">0</f>
        <v>0</v>
      </c>
      <c r="AJ55" s="44" t="n">
        <f aca="false">0</f>
        <v>0</v>
      </c>
      <c r="AK55" s="44" t="n">
        <f aca="false">0</f>
        <v>0</v>
      </c>
      <c r="AL55" s="44" t="n">
        <f aca="false">0</f>
        <v>0</v>
      </c>
      <c r="AM55" s="44" t="n">
        <f aca="false">0</f>
        <v>0</v>
      </c>
      <c r="AN55" s="44" t="n">
        <f aca="false">0</f>
        <v>0</v>
      </c>
      <c r="AO55" s="44" t="n">
        <f aca="false">0</f>
        <v>0</v>
      </c>
      <c r="AP55" s="44" t="n">
        <f aca="false">0</f>
        <v>0</v>
      </c>
      <c r="AQ55" s="44" t="n">
        <f aca="false">0</f>
        <v>0</v>
      </c>
      <c r="AR55" s="44" t="n">
        <f aca="false">0</f>
        <v>0</v>
      </c>
      <c r="AS55" s="44" t="n">
        <f aca="false">0</f>
        <v>0</v>
      </c>
      <c r="AT55" s="44" t="n">
        <f aca="false">0</f>
        <v>0</v>
      </c>
      <c r="AU55" s="44" t="n">
        <f aca="false">0</f>
        <v>0</v>
      </c>
      <c r="AV55" s="44" t="n">
        <f aca="false">0</f>
        <v>0</v>
      </c>
      <c r="AW55" s="44" t="n">
        <f aca="false">0</f>
        <v>0</v>
      </c>
      <c r="AX55" s="44" t="n">
        <f aca="false">0</f>
        <v>0</v>
      </c>
      <c r="AY55" s="44" t="n">
        <f aca="false">0</f>
        <v>0</v>
      </c>
      <c r="AZ55" s="44" t="n">
        <f aca="false">0</f>
        <v>0</v>
      </c>
      <c r="BA55" s="44" t="n">
        <f aca="false">0</f>
        <v>0</v>
      </c>
    </row>
    <row r="56" customFormat="false" ht="15" hidden="false" customHeight="true" outlineLevel="0" collapsed="false">
      <c r="A56" s="35" t="s">
        <v>265</v>
      </c>
      <c r="B56" s="35" t="s">
        <v>11</v>
      </c>
      <c r="C56" s="44" t="n">
        <f aca="false">SUM(D56:BA56)</f>
        <v>0</v>
      </c>
      <c r="D56" s="44" t="n">
        <f aca="false">-D200</f>
        <v>-0</v>
      </c>
      <c r="E56" s="44" t="n">
        <f aca="false">-E200</f>
        <v>-0</v>
      </c>
      <c r="F56" s="44" t="n">
        <f aca="false">-F200</f>
        <v>-0</v>
      </c>
      <c r="G56" s="44" t="n">
        <f aca="false">-G200</f>
        <v>-0</v>
      </c>
      <c r="H56" s="44" t="n">
        <f aca="false">-H200</f>
        <v>-0</v>
      </c>
      <c r="I56" s="44" t="n">
        <f aca="false">-I200</f>
        <v>-0</v>
      </c>
      <c r="J56" s="44" t="n">
        <f aca="false">-J200</f>
        <v>-0</v>
      </c>
      <c r="K56" s="44" t="n">
        <f aca="false">-K200</f>
        <v>-0</v>
      </c>
      <c r="L56" s="44" t="n">
        <f aca="false">-L200</f>
        <v>-0</v>
      </c>
      <c r="M56" s="44" t="n">
        <f aca="false">-M200</f>
        <v>-0</v>
      </c>
      <c r="N56" s="44" t="n">
        <f aca="false">-N200</f>
        <v>-0</v>
      </c>
      <c r="O56" s="44" t="n">
        <f aca="false">-O200</f>
        <v>-0</v>
      </c>
      <c r="P56" s="44" t="n">
        <f aca="false">-P200</f>
        <v>-0</v>
      </c>
      <c r="Q56" s="44" t="n">
        <f aca="false">-Q200</f>
        <v>-0</v>
      </c>
      <c r="R56" s="44" t="n">
        <f aca="false">-R200</f>
        <v>-0</v>
      </c>
      <c r="S56" s="44" t="n">
        <f aca="false">-S200</f>
        <v>-0</v>
      </c>
      <c r="T56" s="44" t="n">
        <f aca="false">-T200</f>
        <v>-0</v>
      </c>
      <c r="U56" s="44" t="n">
        <f aca="false">-U200</f>
        <v>-0</v>
      </c>
      <c r="V56" s="44" t="n">
        <f aca="false">-V200</f>
        <v>-0</v>
      </c>
      <c r="W56" s="44" t="n">
        <f aca="false">-W200</f>
        <v>-0</v>
      </c>
      <c r="X56" s="44" t="n">
        <f aca="false">-X200</f>
        <v>-0</v>
      </c>
      <c r="Y56" s="44" t="n">
        <f aca="false">-Y200</f>
        <v>-0</v>
      </c>
      <c r="Z56" s="44" t="n">
        <f aca="false">-Z200</f>
        <v>-0</v>
      </c>
      <c r="AA56" s="44" t="n">
        <f aca="false">-AA200</f>
        <v>-0</v>
      </c>
      <c r="AB56" s="44" t="n">
        <f aca="false">-AB200</f>
        <v>-0</v>
      </c>
      <c r="AC56" s="44" t="n">
        <f aca="false">-AC200</f>
        <v>-0</v>
      </c>
      <c r="AD56" s="44" t="n">
        <f aca="false">-AD200</f>
        <v>-0</v>
      </c>
      <c r="AE56" s="44" t="n">
        <f aca="false">-AE200</f>
        <v>-0</v>
      </c>
      <c r="AF56" s="44" t="n">
        <f aca="false">-AF200</f>
        <v>-0</v>
      </c>
      <c r="AG56" s="44" t="n">
        <f aca="false">-AG200</f>
        <v>-0</v>
      </c>
      <c r="AH56" s="44" t="n">
        <f aca="false">-AH200</f>
        <v>-0</v>
      </c>
      <c r="AI56" s="44" t="n">
        <f aca="false">-AI200</f>
        <v>-0</v>
      </c>
      <c r="AJ56" s="44" t="n">
        <f aca="false">-AJ200</f>
        <v>-0</v>
      </c>
      <c r="AK56" s="44" t="n">
        <f aca="false">-AK200</f>
        <v>-0</v>
      </c>
      <c r="AL56" s="44" t="n">
        <f aca="false">-AL200</f>
        <v>-0</v>
      </c>
      <c r="AM56" s="44" t="n">
        <f aca="false">-AM200</f>
        <v>-0</v>
      </c>
      <c r="AN56" s="44" t="n">
        <f aca="false">-AN200</f>
        <v>-0</v>
      </c>
      <c r="AO56" s="44" t="n">
        <f aca="false">-AO200</f>
        <v>-0</v>
      </c>
      <c r="AP56" s="44" t="n">
        <f aca="false">-AP200</f>
        <v>-0</v>
      </c>
      <c r="AQ56" s="44" t="n">
        <f aca="false">-AQ200</f>
        <v>-0</v>
      </c>
      <c r="AR56" s="44" t="n">
        <f aca="false">-AR200</f>
        <v>-0</v>
      </c>
      <c r="AS56" s="44" t="n">
        <f aca="false">-AS200</f>
        <v>-0</v>
      </c>
      <c r="AT56" s="44" t="n">
        <f aca="false">-AT200</f>
        <v>-0</v>
      </c>
      <c r="AU56" s="44" t="n">
        <f aca="false">-AU200</f>
        <v>-0</v>
      </c>
      <c r="AV56" s="44" t="n">
        <f aca="false">-AV200</f>
        <v>-0</v>
      </c>
      <c r="AW56" s="44" t="n">
        <f aca="false">-AW200</f>
        <v>-0</v>
      </c>
      <c r="AX56" s="44" t="n">
        <f aca="false">-AX200</f>
        <v>-0</v>
      </c>
      <c r="AY56" s="44" t="n">
        <f aca="false">-AY200</f>
        <v>-0</v>
      </c>
      <c r="AZ56" s="44" t="n">
        <f aca="false">-AZ200</f>
        <v>-0</v>
      </c>
      <c r="BA56" s="44" t="n">
        <f aca="false">-BA200</f>
        <v>-0</v>
      </c>
    </row>
    <row r="57" customFormat="false" ht="15" hidden="false" customHeight="true" outlineLevel="0" collapsed="false">
      <c r="A57" s="47" t="s">
        <v>281</v>
      </c>
      <c r="B57" s="35" t="s">
        <v>11</v>
      </c>
      <c r="C57" s="44" t="n">
        <f aca="false">SUM(D57:BA57)</f>
        <v>0</v>
      </c>
      <c r="D57" s="44" t="n">
        <f aca="false">D54+D55+D56</f>
        <v>0</v>
      </c>
      <c r="E57" s="44" t="n">
        <f aca="false">E54+E55+E56</f>
        <v>0</v>
      </c>
      <c r="F57" s="44" t="n">
        <f aca="false">F54+F55+F56</f>
        <v>0</v>
      </c>
      <c r="G57" s="44" t="n">
        <f aca="false">G54+G55+G56</f>
        <v>0</v>
      </c>
      <c r="H57" s="44" t="n">
        <f aca="false">H54+H55+H56</f>
        <v>0</v>
      </c>
      <c r="I57" s="44" t="n">
        <f aca="false">I54+I55+I56</f>
        <v>0</v>
      </c>
      <c r="J57" s="44" t="n">
        <f aca="false">J54+J55+J56</f>
        <v>0</v>
      </c>
      <c r="K57" s="44" t="n">
        <f aca="false">K54+K55+K56</f>
        <v>0</v>
      </c>
      <c r="L57" s="44" t="n">
        <f aca="false">L54+L55+L56</f>
        <v>0</v>
      </c>
      <c r="M57" s="44" t="n">
        <f aca="false">M54+M55+M56</f>
        <v>0</v>
      </c>
      <c r="N57" s="44" t="n">
        <f aca="false">N54+N55+N56</f>
        <v>0</v>
      </c>
      <c r="O57" s="44" t="n">
        <f aca="false">O54+O55+O56</f>
        <v>0</v>
      </c>
      <c r="P57" s="44" t="n">
        <f aca="false">P54+P55+P56</f>
        <v>0</v>
      </c>
      <c r="Q57" s="44" t="n">
        <f aca="false">Q54+Q55+Q56</f>
        <v>0</v>
      </c>
      <c r="R57" s="44" t="n">
        <f aca="false">R54+R55+R56</f>
        <v>0</v>
      </c>
      <c r="S57" s="44" t="n">
        <f aca="false">S54+S55+S56</f>
        <v>0</v>
      </c>
      <c r="T57" s="44" t="n">
        <f aca="false">T54+T55+T56</f>
        <v>0</v>
      </c>
      <c r="U57" s="44" t="n">
        <f aca="false">U54+U55+U56</f>
        <v>0</v>
      </c>
      <c r="V57" s="44" t="n">
        <f aca="false">V54+V55+V56</f>
        <v>0</v>
      </c>
      <c r="W57" s="44" t="n">
        <f aca="false">W54+W55+W56</f>
        <v>0</v>
      </c>
      <c r="X57" s="44" t="n">
        <f aca="false">X54+X55+X56</f>
        <v>0</v>
      </c>
      <c r="Y57" s="44" t="n">
        <f aca="false">Y54+Y55+Y56</f>
        <v>0</v>
      </c>
      <c r="Z57" s="44" t="n">
        <f aca="false">Z54+Z55+Z56</f>
        <v>0</v>
      </c>
      <c r="AA57" s="44" t="n">
        <f aca="false">AA54+AA55+AA56</f>
        <v>0</v>
      </c>
      <c r="AB57" s="44" t="n">
        <f aca="false">AB54+AB55+AB56</f>
        <v>0</v>
      </c>
      <c r="AC57" s="44" t="n">
        <f aca="false">AC54+AC55+AC56</f>
        <v>0</v>
      </c>
      <c r="AD57" s="44" t="n">
        <f aca="false">AD54+AD55+AD56</f>
        <v>0</v>
      </c>
      <c r="AE57" s="44" t="n">
        <f aca="false">AE54+AE55+AE56</f>
        <v>0</v>
      </c>
      <c r="AF57" s="44" t="n">
        <f aca="false">AF54+AF55+AF56</f>
        <v>0</v>
      </c>
      <c r="AG57" s="44" t="n">
        <f aca="false">AG54+AG55+AG56</f>
        <v>0</v>
      </c>
      <c r="AH57" s="44" t="n">
        <f aca="false">AH54+AH55+AH56</f>
        <v>0</v>
      </c>
      <c r="AI57" s="44" t="n">
        <f aca="false">AI54+AI55+AI56</f>
        <v>0</v>
      </c>
      <c r="AJ57" s="44" t="n">
        <f aca="false">AJ54+AJ55+AJ56</f>
        <v>0</v>
      </c>
      <c r="AK57" s="44" t="n">
        <f aca="false">AK54+AK55+AK56</f>
        <v>0</v>
      </c>
      <c r="AL57" s="44" t="n">
        <f aca="false">AL54+AL55+AL56</f>
        <v>0</v>
      </c>
      <c r="AM57" s="44" t="n">
        <f aca="false">AM54+AM55+AM56</f>
        <v>0</v>
      </c>
      <c r="AN57" s="44" t="n">
        <f aca="false">AN54+AN55+AN56</f>
        <v>0</v>
      </c>
      <c r="AO57" s="44" t="n">
        <f aca="false">AO54+AO55+AO56</f>
        <v>0</v>
      </c>
      <c r="AP57" s="44" t="n">
        <f aca="false">AP54+AP55+AP56</f>
        <v>0</v>
      </c>
      <c r="AQ57" s="44" t="n">
        <f aca="false">AQ54+AQ55+AQ56</f>
        <v>0</v>
      </c>
      <c r="AR57" s="44" t="n">
        <f aca="false">AR54+AR55+AR56</f>
        <v>0</v>
      </c>
      <c r="AS57" s="44" t="n">
        <f aca="false">AS54+AS55+AS56</f>
        <v>0</v>
      </c>
      <c r="AT57" s="44" t="n">
        <f aca="false">AT54+AT55+AT56</f>
        <v>0</v>
      </c>
      <c r="AU57" s="44" t="n">
        <f aca="false">AU54+AU55+AU56</f>
        <v>0</v>
      </c>
      <c r="AV57" s="44" t="n">
        <f aca="false">AV54+AV55+AV56</f>
        <v>0</v>
      </c>
      <c r="AW57" s="44" t="n">
        <f aca="false">AW54+AW55+AW56</f>
        <v>0</v>
      </c>
      <c r="AX57" s="44" t="n">
        <f aca="false">AX54+AX55+AX56</f>
        <v>0</v>
      </c>
      <c r="AY57" s="44" t="n">
        <f aca="false">AY54+AY55+AY56</f>
        <v>0</v>
      </c>
      <c r="AZ57" s="44" t="n">
        <f aca="false">AZ54+AZ55+AZ56</f>
        <v>0</v>
      </c>
      <c r="BA57" s="44" t="n">
        <f aca="false">BA54+BA55+BA56</f>
        <v>0</v>
      </c>
    </row>
    <row r="58" customFormat="false" ht="15" hidden="false" customHeight="true" outlineLevel="0" collapsed="false">
      <c r="A58" s="10" t="s">
        <v>282</v>
      </c>
      <c r="B58" s="35" t="s">
        <v>268</v>
      </c>
      <c r="C58" s="41" t="str">
        <f aca="false">IFERROR(IRR(D57:BA57),"-")</f>
        <v>-</v>
      </c>
    </row>
    <row r="60" customFormat="false" ht="15" hidden="false" customHeight="true" outlineLevel="0" collapsed="false">
      <c r="A60" s="45" t="s">
        <v>53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</row>
    <row r="61" customFormat="false" ht="15" hidden="false" customHeight="true" outlineLevel="0" collapsed="false">
      <c r="A61" s="35" t="s">
        <v>263</v>
      </c>
      <c r="B61" s="35" t="s">
        <v>11</v>
      </c>
      <c r="C61" s="44" t="n">
        <f aca="false">SUM(D61:BA61)</f>
        <v>0</v>
      </c>
      <c r="D61" s="44" t="n">
        <f aca="false">D183</f>
        <v>0</v>
      </c>
      <c r="E61" s="44" t="n">
        <f aca="false">E183</f>
        <v>0</v>
      </c>
      <c r="F61" s="44" t="n">
        <f aca="false">F183</f>
        <v>0</v>
      </c>
      <c r="G61" s="44" t="n">
        <f aca="false">G183</f>
        <v>0</v>
      </c>
      <c r="H61" s="44" t="n">
        <f aca="false">H183</f>
        <v>0</v>
      </c>
      <c r="I61" s="44" t="n">
        <f aca="false">I183</f>
        <v>0</v>
      </c>
      <c r="J61" s="44" t="n">
        <f aca="false">J183</f>
        <v>0</v>
      </c>
      <c r="K61" s="44" t="n">
        <f aca="false">K183</f>
        <v>0</v>
      </c>
      <c r="L61" s="44" t="n">
        <f aca="false">L183</f>
        <v>0</v>
      </c>
      <c r="M61" s="44" t="n">
        <f aca="false">M183</f>
        <v>0</v>
      </c>
      <c r="N61" s="44" t="n">
        <f aca="false">N183</f>
        <v>0</v>
      </c>
      <c r="O61" s="44" t="n">
        <f aca="false">O183</f>
        <v>0</v>
      </c>
      <c r="P61" s="44" t="n">
        <f aca="false">P183</f>
        <v>0</v>
      </c>
      <c r="Q61" s="44" t="n">
        <f aca="false">Q183</f>
        <v>0</v>
      </c>
      <c r="R61" s="44" t="n">
        <f aca="false">R183</f>
        <v>0</v>
      </c>
      <c r="S61" s="44" t="n">
        <f aca="false">S183</f>
        <v>0</v>
      </c>
      <c r="T61" s="44" t="n">
        <f aca="false">T183</f>
        <v>0</v>
      </c>
      <c r="U61" s="44" t="n">
        <f aca="false">U183</f>
        <v>0</v>
      </c>
      <c r="V61" s="44" t="n">
        <f aca="false">V183</f>
        <v>0</v>
      </c>
      <c r="W61" s="44" t="n">
        <f aca="false">W183</f>
        <v>0</v>
      </c>
      <c r="X61" s="44" t="n">
        <f aca="false">X183</f>
        <v>0</v>
      </c>
      <c r="Y61" s="44" t="n">
        <f aca="false">Y183</f>
        <v>0</v>
      </c>
      <c r="Z61" s="44" t="n">
        <f aca="false">Z183</f>
        <v>0</v>
      </c>
      <c r="AA61" s="44" t="n">
        <f aca="false">AA183</f>
        <v>0</v>
      </c>
      <c r="AB61" s="44" t="n">
        <f aca="false">AB183</f>
        <v>0</v>
      </c>
      <c r="AC61" s="44" t="n">
        <f aca="false">AC183</f>
        <v>0</v>
      </c>
      <c r="AD61" s="44" t="n">
        <f aca="false">AD183</f>
        <v>0</v>
      </c>
      <c r="AE61" s="44" t="n">
        <f aca="false">AE183</f>
        <v>0</v>
      </c>
      <c r="AF61" s="44" t="n">
        <f aca="false">AF183</f>
        <v>0</v>
      </c>
      <c r="AG61" s="44" t="n">
        <f aca="false">AG183</f>
        <v>0</v>
      </c>
      <c r="AH61" s="44" t="n">
        <f aca="false">AH183</f>
        <v>0</v>
      </c>
      <c r="AI61" s="44" t="n">
        <f aca="false">AI183</f>
        <v>0</v>
      </c>
      <c r="AJ61" s="44" t="n">
        <f aca="false">AJ183</f>
        <v>0</v>
      </c>
      <c r="AK61" s="44" t="n">
        <f aca="false">AK183</f>
        <v>0</v>
      </c>
      <c r="AL61" s="44" t="n">
        <f aca="false">AL183</f>
        <v>0</v>
      </c>
      <c r="AM61" s="44" t="n">
        <f aca="false">AM183</f>
        <v>0</v>
      </c>
      <c r="AN61" s="44" t="n">
        <f aca="false">AN183</f>
        <v>0</v>
      </c>
      <c r="AO61" s="44" t="n">
        <f aca="false">AO183</f>
        <v>0</v>
      </c>
      <c r="AP61" s="44" t="n">
        <f aca="false">AP183</f>
        <v>0</v>
      </c>
      <c r="AQ61" s="44" t="n">
        <f aca="false">AQ183</f>
        <v>0</v>
      </c>
      <c r="AR61" s="44" t="n">
        <f aca="false">AR183</f>
        <v>0</v>
      </c>
      <c r="AS61" s="44" t="n">
        <f aca="false">AS183</f>
        <v>0</v>
      </c>
      <c r="AT61" s="44" t="n">
        <f aca="false">AT183</f>
        <v>0</v>
      </c>
      <c r="AU61" s="44" t="n">
        <f aca="false">AU183</f>
        <v>0</v>
      </c>
      <c r="AV61" s="44" t="n">
        <f aca="false">AV183</f>
        <v>0</v>
      </c>
      <c r="AW61" s="44" t="n">
        <f aca="false">AW183</f>
        <v>0</v>
      </c>
      <c r="AX61" s="44" t="n">
        <f aca="false">AX183</f>
        <v>0</v>
      </c>
      <c r="AY61" s="44" t="n">
        <f aca="false">AY183</f>
        <v>0</v>
      </c>
      <c r="AZ61" s="44" t="n">
        <f aca="false">AZ183</f>
        <v>0</v>
      </c>
      <c r="BA61" s="44" t="n">
        <f aca="false">BA183</f>
        <v>0</v>
      </c>
    </row>
    <row r="62" customFormat="false" ht="15" hidden="false" customHeight="true" outlineLevel="0" collapsed="false">
      <c r="A62" s="35" t="s">
        <v>264</v>
      </c>
      <c r="B62" s="35" t="s">
        <v>11</v>
      </c>
      <c r="C62" s="44" t="n">
        <f aca="false">SUM(D62:BA62)</f>
        <v>0</v>
      </c>
      <c r="D62" s="44" t="n">
        <f aca="false">0</f>
        <v>0</v>
      </c>
      <c r="E62" s="44" t="n">
        <f aca="false">0</f>
        <v>0</v>
      </c>
      <c r="F62" s="44" t="n">
        <f aca="false">0</f>
        <v>0</v>
      </c>
      <c r="G62" s="44" t="n">
        <f aca="false">0</f>
        <v>0</v>
      </c>
      <c r="H62" s="44" t="n">
        <f aca="false">0</f>
        <v>0</v>
      </c>
      <c r="I62" s="44" t="n">
        <f aca="false">0</f>
        <v>0</v>
      </c>
      <c r="J62" s="44" t="n">
        <f aca="false">0</f>
        <v>0</v>
      </c>
      <c r="K62" s="44" t="n">
        <f aca="false">0</f>
        <v>0</v>
      </c>
      <c r="L62" s="44" t="n">
        <f aca="false">0</f>
        <v>0</v>
      </c>
      <c r="M62" s="44" t="n">
        <f aca="false">0</f>
        <v>0</v>
      </c>
      <c r="N62" s="44" t="n">
        <f aca="false">0</f>
        <v>0</v>
      </c>
      <c r="O62" s="44" t="n">
        <f aca="false">0</f>
        <v>0</v>
      </c>
      <c r="P62" s="44" t="n">
        <f aca="false">0</f>
        <v>0</v>
      </c>
      <c r="Q62" s="44" t="n">
        <f aca="false">0</f>
        <v>0</v>
      </c>
      <c r="R62" s="44" t="n">
        <f aca="false">0</f>
        <v>0</v>
      </c>
      <c r="S62" s="44" t="n">
        <f aca="false">0</f>
        <v>0</v>
      </c>
      <c r="T62" s="44" t="n">
        <f aca="false">0</f>
        <v>0</v>
      </c>
      <c r="U62" s="44" t="n">
        <f aca="false">0</f>
        <v>0</v>
      </c>
      <c r="V62" s="44" t="n">
        <f aca="false">0</f>
        <v>0</v>
      </c>
      <c r="W62" s="44" t="n">
        <f aca="false">0</f>
        <v>0</v>
      </c>
      <c r="X62" s="44" t="n">
        <f aca="false">0</f>
        <v>0</v>
      </c>
      <c r="Y62" s="44" t="n">
        <f aca="false">0</f>
        <v>0</v>
      </c>
      <c r="Z62" s="44" t="n">
        <f aca="false">0</f>
        <v>0</v>
      </c>
      <c r="AA62" s="44" t="n">
        <f aca="false">0</f>
        <v>0</v>
      </c>
      <c r="AB62" s="44" t="n">
        <f aca="false">0</f>
        <v>0</v>
      </c>
      <c r="AC62" s="44" t="n">
        <f aca="false">0</f>
        <v>0</v>
      </c>
      <c r="AD62" s="44" t="n">
        <f aca="false">0</f>
        <v>0</v>
      </c>
      <c r="AE62" s="44" t="n">
        <f aca="false">0</f>
        <v>0</v>
      </c>
      <c r="AF62" s="44" t="n">
        <f aca="false">0</f>
        <v>0</v>
      </c>
      <c r="AG62" s="44" t="n">
        <f aca="false">0</f>
        <v>0</v>
      </c>
      <c r="AH62" s="44" t="n">
        <f aca="false">0</f>
        <v>0</v>
      </c>
      <c r="AI62" s="44" t="n">
        <f aca="false">0</f>
        <v>0</v>
      </c>
      <c r="AJ62" s="44" t="n">
        <f aca="false">0</f>
        <v>0</v>
      </c>
      <c r="AK62" s="44" t="n">
        <f aca="false">0</f>
        <v>0</v>
      </c>
      <c r="AL62" s="44" t="n">
        <f aca="false">0</f>
        <v>0</v>
      </c>
      <c r="AM62" s="44" t="n">
        <f aca="false">0</f>
        <v>0</v>
      </c>
      <c r="AN62" s="44" t="n">
        <f aca="false">0</f>
        <v>0</v>
      </c>
      <c r="AO62" s="44" t="n">
        <f aca="false">0</f>
        <v>0</v>
      </c>
      <c r="AP62" s="44" t="n">
        <f aca="false">0</f>
        <v>0</v>
      </c>
      <c r="AQ62" s="44" t="n">
        <f aca="false">0</f>
        <v>0</v>
      </c>
      <c r="AR62" s="44" t="n">
        <f aca="false">0</f>
        <v>0</v>
      </c>
      <c r="AS62" s="44" t="n">
        <f aca="false">0</f>
        <v>0</v>
      </c>
      <c r="AT62" s="44" t="n">
        <f aca="false">0</f>
        <v>0</v>
      </c>
      <c r="AU62" s="44" t="n">
        <f aca="false">0</f>
        <v>0</v>
      </c>
      <c r="AV62" s="44" t="n">
        <f aca="false">0</f>
        <v>0</v>
      </c>
      <c r="AW62" s="44" t="n">
        <f aca="false">0</f>
        <v>0</v>
      </c>
      <c r="AX62" s="44" t="n">
        <f aca="false">0</f>
        <v>0</v>
      </c>
      <c r="AY62" s="44" t="n">
        <f aca="false">0</f>
        <v>0</v>
      </c>
      <c r="AZ62" s="44" t="n">
        <f aca="false">0</f>
        <v>0</v>
      </c>
      <c r="BA62" s="44" t="n">
        <f aca="false">0</f>
        <v>0</v>
      </c>
    </row>
    <row r="63" customFormat="false" ht="15" hidden="false" customHeight="true" outlineLevel="0" collapsed="false">
      <c r="A63" s="35" t="s">
        <v>265</v>
      </c>
      <c r="B63" s="35" t="s">
        <v>11</v>
      </c>
      <c r="C63" s="44" t="n">
        <f aca="false">SUM(D63:BA63)</f>
        <v>0</v>
      </c>
      <c r="D63" s="44" t="n">
        <f aca="false">-D201</f>
        <v>-0</v>
      </c>
      <c r="E63" s="44" t="n">
        <f aca="false">-E201</f>
        <v>-0</v>
      </c>
      <c r="F63" s="44" t="n">
        <f aca="false">-F201</f>
        <v>-0</v>
      </c>
      <c r="G63" s="44" t="n">
        <f aca="false">-G201</f>
        <v>-0</v>
      </c>
      <c r="H63" s="44" t="n">
        <f aca="false">-H201</f>
        <v>-0</v>
      </c>
      <c r="I63" s="44" t="n">
        <f aca="false">-I201</f>
        <v>-0</v>
      </c>
      <c r="J63" s="44" t="n">
        <f aca="false">-J201</f>
        <v>-0</v>
      </c>
      <c r="K63" s="44" t="n">
        <f aca="false">-K201</f>
        <v>-0</v>
      </c>
      <c r="L63" s="44" t="n">
        <f aca="false">-L201</f>
        <v>-0</v>
      </c>
      <c r="M63" s="44" t="n">
        <f aca="false">-M201</f>
        <v>-0</v>
      </c>
      <c r="N63" s="44" t="n">
        <f aca="false">-N201</f>
        <v>-0</v>
      </c>
      <c r="O63" s="44" t="n">
        <f aca="false">-O201</f>
        <v>-0</v>
      </c>
      <c r="P63" s="44" t="n">
        <f aca="false">-P201</f>
        <v>-0</v>
      </c>
      <c r="Q63" s="44" t="n">
        <f aca="false">-Q201</f>
        <v>-0</v>
      </c>
      <c r="R63" s="44" t="n">
        <f aca="false">-R201</f>
        <v>-0</v>
      </c>
      <c r="S63" s="44" t="n">
        <f aca="false">-S201</f>
        <v>-0</v>
      </c>
      <c r="T63" s="44" t="n">
        <f aca="false">-T201</f>
        <v>-0</v>
      </c>
      <c r="U63" s="44" t="n">
        <f aca="false">-U201</f>
        <v>-0</v>
      </c>
      <c r="V63" s="44" t="n">
        <f aca="false">-V201</f>
        <v>-0</v>
      </c>
      <c r="W63" s="44" t="n">
        <f aca="false">-W201</f>
        <v>-0</v>
      </c>
      <c r="X63" s="44" t="n">
        <f aca="false">-X201</f>
        <v>-0</v>
      </c>
      <c r="Y63" s="44" t="n">
        <f aca="false">-Y201</f>
        <v>-0</v>
      </c>
      <c r="Z63" s="44" t="n">
        <f aca="false">-Z201</f>
        <v>-0</v>
      </c>
      <c r="AA63" s="44" t="n">
        <f aca="false">-AA201</f>
        <v>-0</v>
      </c>
      <c r="AB63" s="44" t="n">
        <f aca="false">-AB201</f>
        <v>-0</v>
      </c>
      <c r="AC63" s="44" t="n">
        <f aca="false">-AC201</f>
        <v>-0</v>
      </c>
      <c r="AD63" s="44" t="n">
        <f aca="false">-AD201</f>
        <v>-0</v>
      </c>
      <c r="AE63" s="44" t="n">
        <f aca="false">-AE201</f>
        <v>-0</v>
      </c>
      <c r="AF63" s="44" t="n">
        <f aca="false">-AF201</f>
        <v>-0</v>
      </c>
      <c r="AG63" s="44" t="n">
        <f aca="false">-AG201</f>
        <v>-0</v>
      </c>
      <c r="AH63" s="44" t="n">
        <f aca="false">-AH201</f>
        <v>-0</v>
      </c>
      <c r="AI63" s="44" t="n">
        <f aca="false">-AI201</f>
        <v>-0</v>
      </c>
      <c r="AJ63" s="44" t="n">
        <f aca="false">-AJ201</f>
        <v>-0</v>
      </c>
      <c r="AK63" s="44" t="n">
        <f aca="false">-AK201</f>
        <v>-0</v>
      </c>
      <c r="AL63" s="44" t="n">
        <f aca="false">-AL201</f>
        <v>-0</v>
      </c>
      <c r="AM63" s="44" t="n">
        <f aca="false">-AM201</f>
        <v>-0</v>
      </c>
      <c r="AN63" s="44" t="n">
        <f aca="false">-AN201</f>
        <v>-0</v>
      </c>
      <c r="AO63" s="44" t="n">
        <f aca="false">-AO201</f>
        <v>-0</v>
      </c>
      <c r="AP63" s="44" t="n">
        <f aca="false">-AP201</f>
        <v>-0</v>
      </c>
      <c r="AQ63" s="44" t="n">
        <f aca="false">-AQ201</f>
        <v>-0</v>
      </c>
      <c r="AR63" s="44" t="n">
        <f aca="false">-AR201</f>
        <v>-0</v>
      </c>
      <c r="AS63" s="44" t="n">
        <f aca="false">-AS201</f>
        <v>-0</v>
      </c>
      <c r="AT63" s="44" t="n">
        <f aca="false">-AT201</f>
        <v>-0</v>
      </c>
      <c r="AU63" s="44" t="n">
        <f aca="false">-AU201</f>
        <v>-0</v>
      </c>
      <c r="AV63" s="44" t="n">
        <f aca="false">-AV201</f>
        <v>-0</v>
      </c>
      <c r="AW63" s="44" t="n">
        <f aca="false">-AW201</f>
        <v>-0</v>
      </c>
      <c r="AX63" s="44" t="n">
        <f aca="false">-AX201</f>
        <v>-0</v>
      </c>
      <c r="AY63" s="44" t="n">
        <f aca="false">-AY201</f>
        <v>-0</v>
      </c>
      <c r="AZ63" s="44" t="n">
        <f aca="false">-AZ201</f>
        <v>-0</v>
      </c>
      <c r="BA63" s="44" t="n">
        <f aca="false">-BA201</f>
        <v>-0</v>
      </c>
    </row>
    <row r="64" customFormat="false" ht="15" hidden="false" customHeight="true" outlineLevel="0" collapsed="false">
      <c r="A64" s="47" t="s">
        <v>283</v>
      </c>
      <c r="B64" s="35" t="s">
        <v>11</v>
      </c>
      <c r="C64" s="44" t="n">
        <f aca="false">SUM(D64:BA64)</f>
        <v>0</v>
      </c>
      <c r="D64" s="44" t="n">
        <f aca="false">D61+D62+D63</f>
        <v>0</v>
      </c>
      <c r="E64" s="44" t="n">
        <f aca="false">E61+E62+E63</f>
        <v>0</v>
      </c>
      <c r="F64" s="44" t="n">
        <f aca="false">F61+F62+F63</f>
        <v>0</v>
      </c>
      <c r="G64" s="44" t="n">
        <f aca="false">G61+G62+G63</f>
        <v>0</v>
      </c>
      <c r="H64" s="44" t="n">
        <f aca="false">H61+H62+H63</f>
        <v>0</v>
      </c>
      <c r="I64" s="44" t="n">
        <f aca="false">I61+I62+I63</f>
        <v>0</v>
      </c>
      <c r="J64" s="44" t="n">
        <f aca="false">J61+J62+J63</f>
        <v>0</v>
      </c>
      <c r="K64" s="44" t="n">
        <f aca="false">K61+K62+K63</f>
        <v>0</v>
      </c>
      <c r="L64" s="44" t="n">
        <f aca="false">L61+L62+L63</f>
        <v>0</v>
      </c>
      <c r="M64" s="44" t="n">
        <f aca="false">M61+M62+M63</f>
        <v>0</v>
      </c>
      <c r="N64" s="44" t="n">
        <f aca="false">N61+N62+N63</f>
        <v>0</v>
      </c>
      <c r="O64" s="44" t="n">
        <f aca="false">O61+O62+O63</f>
        <v>0</v>
      </c>
      <c r="P64" s="44" t="n">
        <f aca="false">P61+P62+P63</f>
        <v>0</v>
      </c>
      <c r="Q64" s="44" t="n">
        <f aca="false">Q61+Q62+Q63</f>
        <v>0</v>
      </c>
      <c r="R64" s="44" t="n">
        <f aca="false">R61+R62+R63</f>
        <v>0</v>
      </c>
      <c r="S64" s="44" t="n">
        <f aca="false">S61+S62+S63</f>
        <v>0</v>
      </c>
      <c r="T64" s="44" t="n">
        <f aca="false">T61+T62+T63</f>
        <v>0</v>
      </c>
      <c r="U64" s="44" t="n">
        <f aca="false">U61+U62+U63</f>
        <v>0</v>
      </c>
      <c r="V64" s="44" t="n">
        <f aca="false">V61+V62+V63</f>
        <v>0</v>
      </c>
      <c r="W64" s="44" t="n">
        <f aca="false">W61+W62+W63</f>
        <v>0</v>
      </c>
      <c r="X64" s="44" t="n">
        <f aca="false">X61+X62+X63</f>
        <v>0</v>
      </c>
      <c r="Y64" s="44" t="n">
        <f aca="false">Y61+Y62+Y63</f>
        <v>0</v>
      </c>
      <c r="Z64" s="44" t="n">
        <f aca="false">Z61+Z62+Z63</f>
        <v>0</v>
      </c>
      <c r="AA64" s="44" t="n">
        <f aca="false">AA61+AA62+AA63</f>
        <v>0</v>
      </c>
      <c r="AB64" s="44" t="n">
        <f aca="false">AB61+AB62+AB63</f>
        <v>0</v>
      </c>
      <c r="AC64" s="44" t="n">
        <f aca="false">AC61+AC62+AC63</f>
        <v>0</v>
      </c>
      <c r="AD64" s="44" t="n">
        <f aca="false">AD61+AD62+AD63</f>
        <v>0</v>
      </c>
      <c r="AE64" s="44" t="n">
        <f aca="false">AE61+AE62+AE63</f>
        <v>0</v>
      </c>
      <c r="AF64" s="44" t="n">
        <f aca="false">AF61+AF62+AF63</f>
        <v>0</v>
      </c>
      <c r="AG64" s="44" t="n">
        <f aca="false">AG61+AG62+AG63</f>
        <v>0</v>
      </c>
      <c r="AH64" s="44" t="n">
        <f aca="false">AH61+AH62+AH63</f>
        <v>0</v>
      </c>
      <c r="AI64" s="44" t="n">
        <f aca="false">AI61+AI62+AI63</f>
        <v>0</v>
      </c>
      <c r="AJ64" s="44" t="n">
        <f aca="false">AJ61+AJ62+AJ63</f>
        <v>0</v>
      </c>
      <c r="AK64" s="44" t="n">
        <f aca="false">AK61+AK62+AK63</f>
        <v>0</v>
      </c>
      <c r="AL64" s="44" t="n">
        <f aca="false">AL61+AL62+AL63</f>
        <v>0</v>
      </c>
      <c r="AM64" s="44" t="n">
        <f aca="false">AM61+AM62+AM63</f>
        <v>0</v>
      </c>
      <c r="AN64" s="44" t="n">
        <f aca="false">AN61+AN62+AN63</f>
        <v>0</v>
      </c>
      <c r="AO64" s="44" t="n">
        <f aca="false">AO61+AO62+AO63</f>
        <v>0</v>
      </c>
      <c r="AP64" s="44" t="n">
        <f aca="false">AP61+AP62+AP63</f>
        <v>0</v>
      </c>
      <c r="AQ64" s="44" t="n">
        <f aca="false">AQ61+AQ62+AQ63</f>
        <v>0</v>
      </c>
      <c r="AR64" s="44" t="n">
        <f aca="false">AR61+AR62+AR63</f>
        <v>0</v>
      </c>
      <c r="AS64" s="44" t="n">
        <f aca="false">AS61+AS62+AS63</f>
        <v>0</v>
      </c>
      <c r="AT64" s="44" t="n">
        <f aca="false">AT61+AT62+AT63</f>
        <v>0</v>
      </c>
      <c r="AU64" s="44" t="n">
        <f aca="false">AU61+AU62+AU63</f>
        <v>0</v>
      </c>
      <c r="AV64" s="44" t="n">
        <f aca="false">AV61+AV62+AV63</f>
        <v>0</v>
      </c>
      <c r="AW64" s="44" t="n">
        <f aca="false">AW61+AW62+AW63</f>
        <v>0</v>
      </c>
      <c r="AX64" s="44" t="n">
        <f aca="false">AX61+AX62+AX63</f>
        <v>0</v>
      </c>
      <c r="AY64" s="44" t="n">
        <f aca="false">AY61+AY62+AY63</f>
        <v>0</v>
      </c>
      <c r="AZ64" s="44" t="n">
        <f aca="false">AZ61+AZ62+AZ63</f>
        <v>0</v>
      </c>
      <c r="BA64" s="44" t="n">
        <f aca="false">BA61+BA62+BA63</f>
        <v>0</v>
      </c>
    </row>
    <row r="65" customFormat="false" ht="15" hidden="false" customHeight="true" outlineLevel="0" collapsed="false">
      <c r="A65" s="10" t="s">
        <v>284</v>
      </c>
      <c r="B65" s="35" t="s">
        <v>268</v>
      </c>
      <c r="C65" s="41" t="str">
        <f aca="false">IFERROR(IRR(D64:BA64),"-")</f>
        <v>-</v>
      </c>
    </row>
    <row r="67" customFormat="false" ht="15" hidden="false" customHeight="true" outlineLevel="0" collapsed="false">
      <c r="A67" s="45" t="s">
        <v>54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</row>
    <row r="68" customFormat="false" ht="15" hidden="false" customHeight="true" outlineLevel="0" collapsed="false">
      <c r="A68" s="35" t="s">
        <v>263</v>
      </c>
      <c r="B68" s="35" t="s">
        <v>11</v>
      </c>
      <c r="C68" s="44" t="n">
        <f aca="false">SUM(D68:BA68)</f>
        <v>0</v>
      </c>
      <c r="D68" s="44" t="n">
        <f aca="false">D184</f>
        <v>0</v>
      </c>
      <c r="E68" s="44" t="n">
        <f aca="false">E184</f>
        <v>0</v>
      </c>
      <c r="F68" s="44" t="n">
        <f aca="false">F184</f>
        <v>0</v>
      </c>
      <c r="G68" s="44" t="n">
        <f aca="false">G184</f>
        <v>0</v>
      </c>
      <c r="H68" s="44" t="n">
        <f aca="false">H184</f>
        <v>0</v>
      </c>
      <c r="I68" s="44" t="n">
        <f aca="false">I184</f>
        <v>0</v>
      </c>
      <c r="J68" s="44" t="n">
        <f aca="false">J184</f>
        <v>0</v>
      </c>
      <c r="K68" s="44" t="n">
        <f aca="false">K184</f>
        <v>0</v>
      </c>
      <c r="L68" s="44" t="n">
        <f aca="false">L184</f>
        <v>0</v>
      </c>
      <c r="M68" s="44" t="n">
        <f aca="false">M184</f>
        <v>0</v>
      </c>
      <c r="N68" s="44" t="n">
        <f aca="false">N184</f>
        <v>0</v>
      </c>
      <c r="O68" s="44" t="n">
        <f aca="false">O184</f>
        <v>0</v>
      </c>
      <c r="P68" s="44" t="n">
        <f aca="false">P184</f>
        <v>0</v>
      </c>
      <c r="Q68" s="44" t="n">
        <f aca="false">Q184</f>
        <v>0</v>
      </c>
      <c r="R68" s="44" t="n">
        <f aca="false">R184</f>
        <v>0</v>
      </c>
      <c r="S68" s="44" t="n">
        <f aca="false">S184</f>
        <v>0</v>
      </c>
      <c r="T68" s="44" t="n">
        <f aca="false">T184</f>
        <v>0</v>
      </c>
      <c r="U68" s="44" t="n">
        <f aca="false">U184</f>
        <v>0</v>
      </c>
      <c r="V68" s="44" t="n">
        <f aca="false">V184</f>
        <v>0</v>
      </c>
      <c r="W68" s="44" t="n">
        <f aca="false">W184</f>
        <v>0</v>
      </c>
      <c r="X68" s="44" t="n">
        <f aca="false">X184</f>
        <v>0</v>
      </c>
      <c r="Y68" s="44" t="n">
        <f aca="false">Y184</f>
        <v>0</v>
      </c>
      <c r="Z68" s="44" t="n">
        <f aca="false">Z184</f>
        <v>0</v>
      </c>
      <c r="AA68" s="44" t="n">
        <f aca="false">AA184</f>
        <v>0</v>
      </c>
      <c r="AB68" s="44" t="n">
        <f aca="false">AB184</f>
        <v>0</v>
      </c>
      <c r="AC68" s="44" t="n">
        <f aca="false">AC184</f>
        <v>0</v>
      </c>
      <c r="AD68" s="44" t="n">
        <f aca="false">AD184</f>
        <v>0</v>
      </c>
      <c r="AE68" s="44" t="n">
        <f aca="false">AE184</f>
        <v>0</v>
      </c>
      <c r="AF68" s="44" t="n">
        <f aca="false">AF184</f>
        <v>0</v>
      </c>
      <c r="AG68" s="44" t="n">
        <f aca="false">AG184</f>
        <v>0</v>
      </c>
      <c r="AH68" s="44" t="n">
        <f aca="false">AH184</f>
        <v>0</v>
      </c>
      <c r="AI68" s="44" t="n">
        <f aca="false">AI184</f>
        <v>0</v>
      </c>
      <c r="AJ68" s="44" t="n">
        <f aca="false">AJ184</f>
        <v>0</v>
      </c>
      <c r="AK68" s="44" t="n">
        <f aca="false">AK184</f>
        <v>0</v>
      </c>
      <c r="AL68" s="44" t="n">
        <f aca="false">AL184</f>
        <v>0</v>
      </c>
      <c r="AM68" s="44" t="n">
        <f aca="false">AM184</f>
        <v>0</v>
      </c>
      <c r="AN68" s="44" t="n">
        <f aca="false">AN184</f>
        <v>0</v>
      </c>
      <c r="AO68" s="44" t="n">
        <f aca="false">AO184</f>
        <v>0</v>
      </c>
      <c r="AP68" s="44" t="n">
        <f aca="false">AP184</f>
        <v>0</v>
      </c>
      <c r="AQ68" s="44" t="n">
        <f aca="false">AQ184</f>
        <v>0</v>
      </c>
      <c r="AR68" s="44" t="n">
        <f aca="false">AR184</f>
        <v>0</v>
      </c>
      <c r="AS68" s="44" t="n">
        <f aca="false">AS184</f>
        <v>0</v>
      </c>
      <c r="AT68" s="44" t="n">
        <f aca="false">AT184</f>
        <v>0</v>
      </c>
      <c r="AU68" s="44" t="n">
        <f aca="false">AU184</f>
        <v>0</v>
      </c>
      <c r="AV68" s="44" t="n">
        <f aca="false">AV184</f>
        <v>0</v>
      </c>
      <c r="AW68" s="44" t="n">
        <f aca="false">AW184</f>
        <v>0</v>
      </c>
      <c r="AX68" s="44" t="n">
        <f aca="false">AX184</f>
        <v>0</v>
      </c>
      <c r="AY68" s="44" t="n">
        <f aca="false">AY184</f>
        <v>0</v>
      </c>
      <c r="AZ68" s="44" t="n">
        <f aca="false">AZ184</f>
        <v>0</v>
      </c>
      <c r="BA68" s="44" t="n">
        <f aca="false">BA184</f>
        <v>0</v>
      </c>
    </row>
    <row r="69" customFormat="false" ht="15" hidden="false" customHeight="true" outlineLevel="0" collapsed="false">
      <c r="A69" s="35" t="s">
        <v>264</v>
      </c>
      <c r="B69" s="35" t="s">
        <v>11</v>
      </c>
      <c r="C69" s="44" t="n">
        <f aca="false">SUM(D69:BA69)</f>
        <v>0</v>
      </c>
      <c r="D69" s="44" t="n">
        <f aca="false">0</f>
        <v>0</v>
      </c>
      <c r="E69" s="44" t="n">
        <f aca="false">0</f>
        <v>0</v>
      </c>
      <c r="F69" s="44" t="n">
        <f aca="false">0</f>
        <v>0</v>
      </c>
      <c r="G69" s="44" t="n">
        <f aca="false">0</f>
        <v>0</v>
      </c>
      <c r="H69" s="44" t="n">
        <f aca="false">0</f>
        <v>0</v>
      </c>
      <c r="I69" s="44" t="n">
        <f aca="false">0</f>
        <v>0</v>
      </c>
      <c r="J69" s="44" t="n">
        <f aca="false">0</f>
        <v>0</v>
      </c>
      <c r="K69" s="44" t="n">
        <f aca="false">0</f>
        <v>0</v>
      </c>
      <c r="L69" s="44" t="n">
        <f aca="false">0</f>
        <v>0</v>
      </c>
      <c r="M69" s="44" t="n">
        <f aca="false">0</f>
        <v>0</v>
      </c>
      <c r="N69" s="44" t="n">
        <f aca="false">0</f>
        <v>0</v>
      </c>
      <c r="O69" s="44" t="n">
        <f aca="false">0</f>
        <v>0</v>
      </c>
      <c r="P69" s="44" t="n">
        <f aca="false">0</f>
        <v>0</v>
      </c>
      <c r="Q69" s="44" t="n">
        <f aca="false">0</f>
        <v>0</v>
      </c>
      <c r="R69" s="44" t="n">
        <f aca="false">0</f>
        <v>0</v>
      </c>
      <c r="S69" s="44" t="n">
        <f aca="false">0</f>
        <v>0</v>
      </c>
      <c r="T69" s="44" t="n">
        <f aca="false">0</f>
        <v>0</v>
      </c>
      <c r="U69" s="44" t="n">
        <f aca="false">0</f>
        <v>0</v>
      </c>
      <c r="V69" s="44" t="n">
        <f aca="false">0</f>
        <v>0</v>
      </c>
      <c r="W69" s="44" t="n">
        <f aca="false">0</f>
        <v>0</v>
      </c>
      <c r="X69" s="44" t="n">
        <f aca="false">0</f>
        <v>0</v>
      </c>
      <c r="Y69" s="44" t="n">
        <f aca="false">0</f>
        <v>0</v>
      </c>
      <c r="Z69" s="44" t="n">
        <f aca="false">0</f>
        <v>0</v>
      </c>
      <c r="AA69" s="44" t="n">
        <f aca="false">0</f>
        <v>0</v>
      </c>
      <c r="AB69" s="44" t="n">
        <f aca="false">0</f>
        <v>0</v>
      </c>
      <c r="AC69" s="44" t="n">
        <f aca="false">0</f>
        <v>0</v>
      </c>
      <c r="AD69" s="44" t="n">
        <f aca="false">0</f>
        <v>0</v>
      </c>
      <c r="AE69" s="44" t="n">
        <f aca="false">0</f>
        <v>0</v>
      </c>
      <c r="AF69" s="44" t="n">
        <f aca="false">0</f>
        <v>0</v>
      </c>
      <c r="AG69" s="44" t="n">
        <f aca="false">0</f>
        <v>0</v>
      </c>
      <c r="AH69" s="44" t="n">
        <f aca="false">0</f>
        <v>0</v>
      </c>
      <c r="AI69" s="44" t="n">
        <f aca="false">0</f>
        <v>0</v>
      </c>
      <c r="AJ69" s="44" t="n">
        <f aca="false">0</f>
        <v>0</v>
      </c>
      <c r="AK69" s="44" t="n">
        <f aca="false">0</f>
        <v>0</v>
      </c>
      <c r="AL69" s="44" t="n">
        <f aca="false">0</f>
        <v>0</v>
      </c>
      <c r="AM69" s="44" t="n">
        <f aca="false">0</f>
        <v>0</v>
      </c>
      <c r="AN69" s="44" t="n">
        <f aca="false">0</f>
        <v>0</v>
      </c>
      <c r="AO69" s="44" t="n">
        <f aca="false">0</f>
        <v>0</v>
      </c>
      <c r="AP69" s="44" t="n">
        <f aca="false">0</f>
        <v>0</v>
      </c>
      <c r="AQ69" s="44" t="n">
        <f aca="false">0</f>
        <v>0</v>
      </c>
      <c r="AR69" s="44" t="n">
        <f aca="false">0</f>
        <v>0</v>
      </c>
      <c r="AS69" s="44" t="n">
        <f aca="false">0</f>
        <v>0</v>
      </c>
      <c r="AT69" s="44" t="n">
        <f aca="false">0</f>
        <v>0</v>
      </c>
      <c r="AU69" s="44" t="n">
        <f aca="false">0</f>
        <v>0</v>
      </c>
      <c r="AV69" s="44" t="n">
        <f aca="false">0</f>
        <v>0</v>
      </c>
      <c r="AW69" s="44" t="n">
        <f aca="false">0</f>
        <v>0</v>
      </c>
      <c r="AX69" s="44" t="n">
        <f aca="false">0</f>
        <v>0</v>
      </c>
      <c r="AY69" s="44" t="n">
        <f aca="false">0</f>
        <v>0</v>
      </c>
      <c r="AZ69" s="44" t="n">
        <f aca="false">0</f>
        <v>0</v>
      </c>
      <c r="BA69" s="44" t="n">
        <f aca="false">0</f>
        <v>0</v>
      </c>
    </row>
    <row r="70" customFormat="false" ht="15" hidden="false" customHeight="true" outlineLevel="0" collapsed="false">
      <c r="A70" s="35" t="s">
        <v>265</v>
      </c>
      <c r="B70" s="35" t="s">
        <v>11</v>
      </c>
      <c r="C70" s="44" t="n">
        <f aca="false">SUM(D70:BA70)</f>
        <v>0</v>
      </c>
      <c r="D70" s="44" t="n">
        <f aca="false">-D202</f>
        <v>-0</v>
      </c>
      <c r="E70" s="44" t="n">
        <f aca="false">-E202</f>
        <v>-0</v>
      </c>
      <c r="F70" s="44" t="n">
        <f aca="false">-F202</f>
        <v>-0</v>
      </c>
      <c r="G70" s="44" t="n">
        <f aca="false">-G202</f>
        <v>-0</v>
      </c>
      <c r="H70" s="44" t="n">
        <f aca="false">-H202</f>
        <v>-0</v>
      </c>
      <c r="I70" s="44" t="n">
        <f aca="false">-I202</f>
        <v>-0</v>
      </c>
      <c r="J70" s="44" t="n">
        <f aca="false">-J202</f>
        <v>-0</v>
      </c>
      <c r="K70" s="44" t="n">
        <f aca="false">-K202</f>
        <v>-0</v>
      </c>
      <c r="L70" s="44" t="n">
        <f aca="false">-L202</f>
        <v>-0</v>
      </c>
      <c r="M70" s="44" t="n">
        <f aca="false">-M202</f>
        <v>-0</v>
      </c>
      <c r="N70" s="44" t="n">
        <f aca="false">-N202</f>
        <v>-0</v>
      </c>
      <c r="O70" s="44" t="n">
        <f aca="false">-O202</f>
        <v>-0</v>
      </c>
      <c r="P70" s="44" t="n">
        <f aca="false">-P202</f>
        <v>-0</v>
      </c>
      <c r="Q70" s="44" t="n">
        <f aca="false">-Q202</f>
        <v>-0</v>
      </c>
      <c r="R70" s="44" t="n">
        <f aca="false">-R202</f>
        <v>-0</v>
      </c>
      <c r="S70" s="44" t="n">
        <f aca="false">-S202</f>
        <v>-0</v>
      </c>
      <c r="T70" s="44" t="n">
        <f aca="false">-T202</f>
        <v>-0</v>
      </c>
      <c r="U70" s="44" t="n">
        <f aca="false">-U202</f>
        <v>-0</v>
      </c>
      <c r="V70" s="44" t="n">
        <f aca="false">-V202</f>
        <v>-0</v>
      </c>
      <c r="W70" s="44" t="n">
        <f aca="false">-W202</f>
        <v>-0</v>
      </c>
      <c r="X70" s="44" t="n">
        <f aca="false">-X202</f>
        <v>-0</v>
      </c>
      <c r="Y70" s="44" t="n">
        <f aca="false">-Y202</f>
        <v>-0</v>
      </c>
      <c r="Z70" s="44" t="n">
        <f aca="false">-Z202</f>
        <v>-0</v>
      </c>
      <c r="AA70" s="44" t="n">
        <f aca="false">-AA202</f>
        <v>-0</v>
      </c>
      <c r="AB70" s="44" t="n">
        <f aca="false">-AB202</f>
        <v>-0</v>
      </c>
      <c r="AC70" s="44" t="n">
        <f aca="false">-AC202</f>
        <v>-0</v>
      </c>
      <c r="AD70" s="44" t="n">
        <f aca="false">-AD202</f>
        <v>-0</v>
      </c>
      <c r="AE70" s="44" t="n">
        <f aca="false">-AE202</f>
        <v>-0</v>
      </c>
      <c r="AF70" s="44" t="n">
        <f aca="false">-AF202</f>
        <v>-0</v>
      </c>
      <c r="AG70" s="44" t="n">
        <f aca="false">-AG202</f>
        <v>-0</v>
      </c>
      <c r="AH70" s="44" t="n">
        <f aca="false">-AH202</f>
        <v>-0</v>
      </c>
      <c r="AI70" s="44" t="n">
        <f aca="false">-AI202</f>
        <v>-0</v>
      </c>
      <c r="AJ70" s="44" t="n">
        <f aca="false">-AJ202</f>
        <v>-0</v>
      </c>
      <c r="AK70" s="44" t="n">
        <f aca="false">-AK202</f>
        <v>-0</v>
      </c>
      <c r="AL70" s="44" t="n">
        <f aca="false">-AL202</f>
        <v>-0</v>
      </c>
      <c r="AM70" s="44" t="n">
        <f aca="false">-AM202</f>
        <v>-0</v>
      </c>
      <c r="AN70" s="44" t="n">
        <f aca="false">-AN202</f>
        <v>-0</v>
      </c>
      <c r="AO70" s="44" t="n">
        <f aca="false">-AO202</f>
        <v>-0</v>
      </c>
      <c r="AP70" s="44" t="n">
        <f aca="false">-AP202</f>
        <v>-0</v>
      </c>
      <c r="AQ70" s="44" t="n">
        <f aca="false">-AQ202</f>
        <v>-0</v>
      </c>
      <c r="AR70" s="44" t="n">
        <f aca="false">-AR202</f>
        <v>-0</v>
      </c>
      <c r="AS70" s="44" t="n">
        <f aca="false">-AS202</f>
        <v>-0</v>
      </c>
      <c r="AT70" s="44" t="n">
        <f aca="false">-AT202</f>
        <v>-0</v>
      </c>
      <c r="AU70" s="44" t="n">
        <f aca="false">-AU202</f>
        <v>-0</v>
      </c>
      <c r="AV70" s="44" t="n">
        <f aca="false">-AV202</f>
        <v>-0</v>
      </c>
      <c r="AW70" s="44" t="n">
        <f aca="false">-AW202</f>
        <v>-0</v>
      </c>
      <c r="AX70" s="44" t="n">
        <f aca="false">-AX202</f>
        <v>-0</v>
      </c>
      <c r="AY70" s="44" t="n">
        <f aca="false">-AY202</f>
        <v>-0</v>
      </c>
      <c r="AZ70" s="44" t="n">
        <f aca="false">-AZ202</f>
        <v>-0</v>
      </c>
      <c r="BA70" s="44" t="n">
        <f aca="false">-BA202</f>
        <v>-0</v>
      </c>
    </row>
    <row r="71" customFormat="false" ht="15" hidden="false" customHeight="true" outlineLevel="0" collapsed="false">
      <c r="A71" s="47" t="s">
        <v>285</v>
      </c>
      <c r="B71" s="35" t="s">
        <v>11</v>
      </c>
      <c r="C71" s="44" t="n">
        <f aca="false">SUM(D71:BA71)</f>
        <v>0</v>
      </c>
      <c r="D71" s="44" t="n">
        <f aca="false">D68+D69+D70</f>
        <v>0</v>
      </c>
      <c r="E71" s="44" t="n">
        <f aca="false">E68+E69+E70</f>
        <v>0</v>
      </c>
      <c r="F71" s="44" t="n">
        <f aca="false">F68+F69+F70</f>
        <v>0</v>
      </c>
      <c r="G71" s="44" t="n">
        <f aca="false">G68+G69+G70</f>
        <v>0</v>
      </c>
      <c r="H71" s="44" t="n">
        <f aca="false">H68+H69+H70</f>
        <v>0</v>
      </c>
      <c r="I71" s="44" t="n">
        <f aca="false">I68+I69+I70</f>
        <v>0</v>
      </c>
      <c r="J71" s="44" t="n">
        <f aca="false">J68+J69+J70</f>
        <v>0</v>
      </c>
      <c r="K71" s="44" t="n">
        <f aca="false">K68+K69+K70</f>
        <v>0</v>
      </c>
      <c r="L71" s="44" t="n">
        <f aca="false">L68+L69+L70</f>
        <v>0</v>
      </c>
      <c r="M71" s="44" t="n">
        <f aca="false">M68+M69+M70</f>
        <v>0</v>
      </c>
      <c r="N71" s="44" t="n">
        <f aca="false">N68+N69+N70</f>
        <v>0</v>
      </c>
      <c r="O71" s="44" t="n">
        <f aca="false">O68+O69+O70</f>
        <v>0</v>
      </c>
      <c r="P71" s="44" t="n">
        <f aca="false">P68+P69+P70</f>
        <v>0</v>
      </c>
      <c r="Q71" s="44" t="n">
        <f aca="false">Q68+Q69+Q70</f>
        <v>0</v>
      </c>
      <c r="R71" s="44" t="n">
        <f aca="false">R68+R69+R70</f>
        <v>0</v>
      </c>
      <c r="S71" s="44" t="n">
        <f aca="false">S68+S69+S70</f>
        <v>0</v>
      </c>
      <c r="T71" s="44" t="n">
        <f aca="false">T68+T69+T70</f>
        <v>0</v>
      </c>
      <c r="U71" s="44" t="n">
        <f aca="false">U68+U69+U70</f>
        <v>0</v>
      </c>
      <c r="V71" s="44" t="n">
        <f aca="false">V68+V69+V70</f>
        <v>0</v>
      </c>
      <c r="W71" s="44" t="n">
        <f aca="false">W68+W69+W70</f>
        <v>0</v>
      </c>
      <c r="X71" s="44" t="n">
        <f aca="false">X68+X69+X70</f>
        <v>0</v>
      </c>
      <c r="Y71" s="44" t="n">
        <f aca="false">Y68+Y69+Y70</f>
        <v>0</v>
      </c>
      <c r="Z71" s="44" t="n">
        <f aca="false">Z68+Z69+Z70</f>
        <v>0</v>
      </c>
      <c r="AA71" s="44" t="n">
        <f aca="false">AA68+AA69+AA70</f>
        <v>0</v>
      </c>
      <c r="AB71" s="44" t="n">
        <f aca="false">AB68+AB69+AB70</f>
        <v>0</v>
      </c>
      <c r="AC71" s="44" t="n">
        <f aca="false">AC68+AC69+AC70</f>
        <v>0</v>
      </c>
      <c r="AD71" s="44" t="n">
        <f aca="false">AD68+AD69+AD70</f>
        <v>0</v>
      </c>
      <c r="AE71" s="44" t="n">
        <f aca="false">AE68+AE69+AE70</f>
        <v>0</v>
      </c>
      <c r="AF71" s="44" t="n">
        <f aca="false">AF68+AF69+AF70</f>
        <v>0</v>
      </c>
      <c r="AG71" s="44" t="n">
        <f aca="false">AG68+AG69+AG70</f>
        <v>0</v>
      </c>
      <c r="AH71" s="44" t="n">
        <f aca="false">AH68+AH69+AH70</f>
        <v>0</v>
      </c>
      <c r="AI71" s="44" t="n">
        <f aca="false">AI68+AI69+AI70</f>
        <v>0</v>
      </c>
      <c r="AJ71" s="44" t="n">
        <f aca="false">AJ68+AJ69+AJ70</f>
        <v>0</v>
      </c>
      <c r="AK71" s="44" t="n">
        <f aca="false">AK68+AK69+AK70</f>
        <v>0</v>
      </c>
      <c r="AL71" s="44" t="n">
        <f aca="false">AL68+AL69+AL70</f>
        <v>0</v>
      </c>
      <c r="AM71" s="44" t="n">
        <f aca="false">AM68+AM69+AM70</f>
        <v>0</v>
      </c>
      <c r="AN71" s="44" t="n">
        <f aca="false">AN68+AN69+AN70</f>
        <v>0</v>
      </c>
      <c r="AO71" s="44" t="n">
        <f aca="false">AO68+AO69+AO70</f>
        <v>0</v>
      </c>
      <c r="AP71" s="44" t="n">
        <f aca="false">AP68+AP69+AP70</f>
        <v>0</v>
      </c>
      <c r="AQ71" s="44" t="n">
        <f aca="false">AQ68+AQ69+AQ70</f>
        <v>0</v>
      </c>
      <c r="AR71" s="44" t="n">
        <f aca="false">AR68+AR69+AR70</f>
        <v>0</v>
      </c>
      <c r="AS71" s="44" t="n">
        <f aca="false">AS68+AS69+AS70</f>
        <v>0</v>
      </c>
      <c r="AT71" s="44" t="n">
        <f aca="false">AT68+AT69+AT70</f>
        <v>0</v>
      </c>
      <c r="AU71" s="44" t="n">
        <f aca="false">AU68+AU69+AU70</f>
        <v>0</v>
      </c>
      <c r="AV71" s="44" t="n">
        <f aca="false">AV68+AV69+AV70</f>
        <v>0</v>
      </c>
      <c r="AW71" s="44" t="n">
        <f aca="false">AW68+AW69+AW70</f>
        <v>0</v>
      </c>
      <c r="AX71" s="44" t="n">
        <f aca="false">AX68+AX69+AX70</f>
        <v>0</v>
      </c>
      <c r="AY71" s="44" t="n">
        <f aca="false">AY68+AY69+AY70</f>
        <v>0</v>
      </c>
      <c r="AZ71" s="44" t="n">
        <f aca="false">AZ68+AZ69+AZ70</f>
        <v>0</v>
      </c>
      <c r="BA71" s="44" t="n">
        <f aca="false">BA68+BA69+BA70</f>
        <v>0</v>
      </c>
    </row>
    <row r="72" customFormat="false" ht="15" hidden="false" customHeight="true" outlineLevel="0" collapsed="false">
      <c r="A72" s="10" t="s">
        <v>286</v>
      </c>
      <c r="B72" s="35" t="s">
        <v>268</v>
      </c>
      <c r="C72" s="41" t="str">
        <f aca="false">IFERROR(IRR(D71:BA71),"-")</f>
        <v>-</v>
      </c>
    </row>
    <row r="74" customFormat="false" ht="15" hidden="false" customHeight="true" outlineLevel="0" collapsed="false">
      <c r="A74" s="45" t="s">
        <v>55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</row>
    <row r="75" customFormat="false" ht="15" hidden="false" customHeight="true" outlineLevel="0" collapsed="false">
      <c r="A75" s="35" t="s">
        <v>263</v>
      </c>
      <c r="B75" s="35" t="s">
        <v>11</v>
      </c>
      <c r="C75" s="44" t="n">
        <f aca="false">SUM(D75:BA75)</f>
        <v>0</v>
      </c>
      <c r="D75" s="44" t="n">
        <f aca="false">D185</f>
        <v>0</v>
      </c>
      <c r="E75" s="44" t="n">
        <f aca="false">E185</f>
        <v>0</v>
      </c>
      <c r="F75" s="44" t="n">
        <f aca="false">F185</f>
        <v>0</v>
      </c>
      <c r="G75" s="44" t="n">
        <f aca="false">G185</f>
        <v>0</v>
      </c>
      <c r="H75" s="44" t="n">
        <f aca="false">H185</f>
        <v>0</v>
      </c>
      <c r="I75" s="44" t="n">
        <f aca="false">I185</f>
        <v>0</v>
      </c>
      <c r="J75" s="44" t="n">
        <f aca="false">J185</f>
        <v>0</v>
      </c>
      <c r="K75" s="44" t="n">
        <f aca="false">K185</f>
        <v>0</v>
      </c>
      <c r="L75" s="44" t="n">
        <f aca="false">L185</f>
        <v>0</v>
      </c>
      <c r="M75" s="44" t="n">
        <f aca="false">M185</f>
        <v>0</v>
      </c>
      <c r="N75" s="44" t="n">
        <f aca="false">N185</f>
        <v>0</v>
      </c>
      <c r="O75" s="44" t="n">
        <f aca="false">O185</f>
        <v>0</v>
      </c>
      <c r="P75" s="44" t="n">
        <f aca="false">P185</f>
        <v>0</v>
      </c>
      <c r="Q75" s="44" t="n">
        <f aca="false">Q185</f>
        <v>0</v>
      </c>
      <c r="R75" s="44" t="n">
        <f aca="false">R185</f>
        <v>0</v>
      </c>
      <c r="S75" s="44" t="n">
        <f aca="false">S185</f>
        <v>0</v>
      </c>
      <c r="T75" s="44" t="n">
        <f aca="false">T185</f>
        <v>0</v>
      </c>
      <c r="U75" s="44" t="n">
        <f aca="false">U185</f>
        <v>0</v>
      </c>
      <c r="V75" s="44" t="n">
        <f aca="false">V185</f>
        <v>0</v>
      </c>
      <c r="W75" s="44" t="n">
        <f aca="false">W185</f>
        <v>0</v>
      </c>
      <c r="X75" s="44" t="n">
        <f aca="false">X185</f>
        <v>0</v>
      </c>
      <c r="Y75" s="44" t="n">
        <f aca="false">Y185</f>
        <v>0</v>
      </c>
      <c r="Z75" s="44" t="n">
        <f aca="false">Z185</f>
        <v>0</v>
      </c>
      <c r="AA75" s="44" t="n">
        <f aca="false">AA185</f>
        <v>0</v>
      </c>
      <c r="AB75" s="44" t="n">
        <f aca="false">AB185</f>
        <v>0</v>
      </c>
      <c r="AC75" s="44" t="n">
        <f aca="false">AC185</f>
        <v>0</v>
      </c>
      <c r="AD75" s="44" t="n">
        <f aca="false">AD185</f>
        <v>0</v>
      </c>
      <c r="AE75" s="44" t="n">
        <f aca="false">AE185</f>
        <v>0</v>
      </c>
      <c r="AF75" s="44" t="n">
        <f aca="false">AF185</f>
        <v>0</v>
      </c>
      <c r="AG75" s="44" t="n">
        <f aca="false">AG185</f>
        <v>0</v>
      </c>
      <c r="AH75" s="44" t="n">
        <f aca="false">AH185</f>
        <v>0</v>
      </c>
      <c r="AI75" s="44" t="n">
        <f aca="false">AI185</f>
        <v>0</v>
      </c>
      <c r="AJ75" s="44" t="n">
        <f aca="false">AJ185</f>
        <v>0</v>
      </c>
      <c r="AK75" s="44" t="n">
        <f aca="false">AK185</f>
        <v>0</v>
      </c>
      <c r="AL75" s="44" t="n">
        <f aca="false">AL185</f>
        <v>0</v>
      </c>
      <c r="AM75" s="44" t="n">
        <f aca="false">AM185</f>
        <v>0</v>
      </c>
      <c r="AN75" s="44" t="n">
        <f aca="false">AN185</f>
        <v>0</v>
      </c>
      <c r="AO75" s="44" t="n">
        <f aca="false">AO185</f>
        <v>0</v>
      </c>
      <c r="AP75" s="44" t="n">
        <f aca="false">AP185</f>
        <v>0</v>
      </c>
      <c r="AQ75" s="44" t="n">
        <f aca="false">AQ185</f>
        <v>0</v>
      </c>
      <c r="AR75" s="44" t="n">
        <f aca="false">AR185</f>
        <v>0</v>
      </c>
      <c r="AS75" s="44" t="n">
        <f aca="false">AS185</f>
        <v>0</v>
      </c>
      <c r="AT75" s="44" t="n">
        <f aca="false">AT185</f>
        <v>0</v>
      </c>
      <c r="AU75" s="44" t="n">
        <f aca="false">AU185</f>
        <v>0</v>
      </c>
      <c r="AV75" s="44" t="n">
        <f aca="false">AV185</f>
        <v>0</v>
      </c>
      <c r="AW75" s="44" t="n">
        <f aca="false">AW185</f>
        <v>0</v>
      </c>
      <c r="AX75" s="44" t="n">
        <f aca="false">AX185</f>
        <v>0</v>
      </c>
      <c r="AY75" s="44" t="n">
        <f aca="false">AY185</f>
        <v>0</v>
      </c>
      <c r="AZ75" s="44" t="n">
        <f aca="false">AZ185</f>
        <v>0</v>
      </c>
      <c r="BA75" s="44" t="n">
        <f aca="false">BA185</f>
        <v>0</v>
      </c>
    </row>
    <row r="76" customFormat="false" ht="15" hidden="false" customHeight="true" outlineLevel="0" collapsed="false">
      <c r="A76" s="35" t="s">
        <v>264</v>
      </c>
      <c r="B76" s="35" t="s">
        <v>11</v>
      </c>
      <c r="C76" s="44" t="n">
        <f aca="false">SUM(D76:BA76)</f>
        <v>0</v>
      </c>
      <c r="D76" s="44" t="n">
        <f aca="false">0</f>
        <v>0</v>
      </c>
      <c r="E76" s="44" t="n">
        <f aca="false">0</f>
        <v>0</v>
      </c>
      <c r="F76" s="44" t="n">
        <f aca="false">0</f>
        <v>0</v>
      </c>
      <c r="G76" s="44" t="n">
        <f aca="false">0</f>
        <v>0</v>
      </c>
      <c r="H76" s="44" t="n">
        <f aca="false">0</f>
        <v>0</v>
      </c>
      <c r="I76" s="44" t="n">
        <f aca="false">0</f>
        <v>0</v>
      </c>
      <c r="J76" s="44" t="n">
        <f aca="false">0</f>
        <v>0</v>
      </c>
      <c r="K76" s="44" t="n">
        <f aca="false">0</f>
        <v>0</v>
      </c>
      <c r="L76" s="44" t="n">
        <f aca="false">0</f>
        <v>0</v>
      </c>
      <c r="M76" s="44" t="n">
        <f aca="false">0</f>
        <v>0</v>
      </c>
      <c r="N76" s="44" t="n">
        <f aca="false">0</f>
        <v>0</v>
      </c>
      <c r="O76" s="44" t="n">
        <f aca="false">0</f>
        <v>0</v>
      </c>
      <c r="P76" s="44" t="n">
        <f aca="false">0</f>
        <v>0</v>
      </c>
      <c r="Q76" s="44" t="n">
        <f aca="false">0</f>
        <v>0</v>
      </c>
      <c r="R76" s="44" t="n">
        <f aca="false">0</f>
        <v>0</v>
      </c>
      <c r="S76" s="44" t="n">
        <f aca="false">0</f>
        <v>0</v>
      </c>
      <c r="T76" s="44" t="n">
        <f aca="false">0</f>
        <v>0</v>
      </c>
      <c r="U76" s="44" t="n">
        <f aca="false">0</f>
        <v>0</v>
      </c>
      <c r="V76" s="44" t="n">
        <f aca="false">0</f>
        <v>0</v>
      </c>
      <c r="W76" s="44" t="n">
        <f aca="false">0</f>
        <v>0</v>
      </c>
      <c r="X76" s="44" t="n">
        <f aca="false">0</f>
        <v>0</v>
      </c>
      <c r="Y76" s="44" t="n">
        <f aca="false">0</f>
        <v>0</v>
      </c>
      <c r="Z76" s="44" t="n">
        <f aca="false">0</f>
        <v>0</v>
      </c>
      <c r="AA76" s="44" t="n">
        <f aca="false">0</f>
        <v>0</v>
      </c>
      <c r="AB76" s="44" t="n">
        <f aca="false">0</f>
        <v>0</v>
      </c>
      <c r="AC76" s="44" t="n">
        <f aca="false">0</f>
        <v>0</v>
      </c>
      <c r="AD76" s="44" t="n">
        <f aca="false">0</f>
        <v>0</v>
      </c>
      <c r="AE76" s="44" t="n">
        <f aca="false">0</f>
        <v>0</v>
      </c>
      <c r="AF76" s="44" t="n">
        <f aca="false">0</f>
        <v>0</v>
      </c>
      <c r="AG76" s="44" t="n">
        <f aca="false">0</f>
        <v>0</v>
      </c>
      <c r="AH76" s="44" t="n">
        <f aca="false">0</f>
        <v>0</v>
      </c>
      <c r="AI76" s="44" t="n">
        <f aca="false">0</f>
        <v>0</v>
      </c>
      <c r="AJ76" s="44" t="n">
        <f aca="false">0</f>
        <v>0</v>
      </c>
      <c r="AK76" s="44" t="n">
        <f aca="false">0</f>
        <v>0</v>
      </c>
      <c r="AL76" s="44" t="n">
        <f aca="false">0</f>
        <v>0</v>
      </c>
      <c r="AM76" s="44" t="n">
        <f aca="false">0</f>
        <v>0</v>
      </c>
      <c r="AN76" s="44" t="n">
        <f aca="false">0</f>
        <v>0</v>
      </c>
      <c r="AO76" s="44" t="n">
        <f aca="false">0</f>
        <v>0</v>
      </c>
      <c r="AP76" s="44" t="n">
        <f aca="false">0</f>
        <v>0</v>
      </c>
      <c r="AQ76" s="44" t="n">
        <f aca="false">0</f>
        <v>0</v>
      </c>
      <c r="AR76" s="44" t="n">
        <f aca="false">0</f>
        <v>0</v>
      </c>
      <c r="AS76" s="44" t="n">
        <f aca="false">0</f>
        <v>0</v>
      </c>
      <c r="AT76" s="44" t="n">
        <f aca="false">0</f>
        <v>0</v>
      </c>
      <c r="AU76" s="44" t="n">
        <f aca="false">0</f>
        <v>0</v>
      </c>
      <c r="AV76" s="44" t="n">
        <f aca="false">0</f>
        <v>0</v>
      </c>
      <c r="AW76" s="44" t="n">
        <f aca="false">0</f>
        <v>0</v>
      </c>
      <c r="AX76" s="44" t="n">
        <f aca="false">0</f>
        <v>0</v>
      </c>
      <c r="AY76" s="44" t="n">
        <f aca="false">0</f>
        <v>0</v>
      </c>
      <c r="AZ76" s="44" t="n">
        <f aca="false">0</f>
        <v>0</v>
      </c>
      <c r="BA76" s="44" t="n">
        <f aca="false">0</f>
        <v>0</v>
      </c>
    </row>
    <row r="77" customFormat="false" ht="15" hidden="false" customHeight="true" outlineLevel="0" collapsed="false">
      <c r="A77" s="35" t="s">
        <v>265</v>
      </c>
      <c r="B77" s="35" t="s">
        <v>11</v>
      </c>
      <c r="C77" s="44" t="n">
        <f aca="false">SUM(D77:BA77)</f>
        <v>0</v>
      </c>
      <c r="D77" s="44" t="n">
        <f aca="false">-D203</f>
        <v>-0</v>
      </c>
      <c r="E77" s="44" t="n">
        <f aca="false">-E203</f>
        <v>-0</v>
      </c>
      <c r="F77" s="44" t="n">
        <f aca="false">-F203</f>
        <v>-0</v>
      </c>
      <c r="G77" s="44" t="n">
        <f aca="false">-G203</f>
        <v>-0</v>
      </c>
      <c r="H77" s="44" t="n">
        <f aca="false">-H203</f>
        <v>-0</v>
      </c>
      <c r="I77" s="44" t="n">
        <f aca="false">-I203</f>
        <v>-0</v>
      </c>
      <c r="J77" s="44" t="n">
        <f aca="false">-J203</f>
        <v>-0</v>
      </c>
      <c r="K77" s="44" t="n">
        <f aca="false">-K203</f>
        <v>-0</v>
      </c>
      <c r="L77" s="44" t="n">
        <f aca="false">-L203</f>
        <v>-0</v>
      </c>
      <c r="M77" s="44" t="n">
        <f aca="false">-M203</f>
        <v>-0</v>
      </c>
      <c r="N77" s="44" t="n">
        <f aca="false">-N203</f>
        <v>-0</v>
      </c>
      <c r="O77" s="44" t="n">
        <f aca="false">-O203</f>
        <v>-0</v>
      </c>
      <c r="P77" s="44" t="n">
        <f aca="false">-P203</f>
        <v>-0</v>
      </c>
      <c r="Q77" s="44" t="n">
        <f aca="false">-Q203</f>
        <v>-0</v>
      </c>
      <c r="R77" s="44" t="n">
        <f aca="false">-R203</f>
        <v>-0</v>
      </c>
      <c r="S77" s="44" t="n">
        <f aca="false">-S203</f>
        <v>-0</v>
      </c>
      <c r="T77" s="44" t="n">
        <f aca="false">-T203</f>
        <v>-0</v>
      </c>
      <c r="U77" s="44" t="n">
        <f aca="false">-U203</f>
        <v>-0</v>
      </c>
      <c r="V77" s="44" t="n">
        <f aca="false">-V203</f>
        <v>-0</v>
      </c>
      <c r="W77" s="44" t="n">
        <f aca="false">-W203</f>
        <v>-0</v>
      </c>
      <c r="X77" s="44" t="n">
        <f aca="false">-X203</f>
        <v>-0</v>
      </c>
      <c r="Y77" s="44" t="n">
        <f aca="false">-Y203</f>
        <v>-0</v>
      </c>
      <c r="Z77" s="44" t="n">
        <f aca="false">-Z203</f>
        <v>-0</v>
      </c>
      <c r="AA77" s="44" t="n">
        <f aca="false">-AA203</f>
        <v>-0</v>
      </c>
      <c r="AB77" s="44" t="n">
        <f aca="false">-AB203</f>
        <v>-0</v>
      </c>
      <c r="AC77" s="44" t="n">
        <f aca="false">-AC203</f>
        <v>-0</v>
      </c>
      <c r="AD77" s="44" t="n">
        <f aca="false">-AD203</f>
        <v>-0</v>
      </c>
      <c r="AE77" s="44" t="n">
        <f aca="false">-AE203</f>
        <v>-0</v>
      </c>
      <c r="AF77" s="44" t="n">
        <f aca="false">-AF203</f>
        <v>-0</v>
      </c>
      <c r="AG77" s="44" t="n">
        <f aca="false">-AG203</f>
        <v>-0</v>
      </c>
      <c r="AH77" s="44" t="n">
        <f aca="false">-AH203</f>
        <v>-0</v>
      </c>
      <c r="AI77" s="44" t="n">
        <f aca="false">-AI203</f>
        <v>-0</v>
      </c>
      <c r="AJ77" s="44" t="n">
        <f aca="false">-AJ203</f>
        <v>-0</v>
      </c>
      <c r="AK77" s="44" t="n">
        <f aca="false">-AK203</f>
        <v>-0</v>
      </c>
      <c r="AL77" s="44" t="n">
        <f aca="false">-AL203</f>
        <v>-0</v>
      </c>
      <c r="AM77" s="44" t="n">
        <f aca="false">-AM203</f>
        <v>-0</v>
      </c>
      <c r="AN77" s="44" t="n">
        <f aca="false">-AN203</f>
        <v>-0</v>
      </c>
      <c r="AO77" s="44" t="n">
        <f aca="false">-AO203</f>
        <v>-0</v>
      </c>
      <c r="AP77" s="44" t="n">
        <f aca="false">-AP203</f>
        <v>-0</v>
      </c>
      <c r="AQ77" s="44" t="n">
        <f aca="false">-AQ203</f>
        <v>-0</v>
      </c>
      <c r="AR77" s="44" t="n">
        <f aca="false">-AR203</f>
        <v>-0</v>
      </c>
      <c r="AS77" s="44" t="n">
        <f aca="false">-AS203</f>
        <v>-0</v>
      </c>
      <c r="AT77" s="44" t="n">
        <f aca="false">-AT203</f>
        <v>-0</v>
      </c>
      <c r="AU77" s="44" t="n">
        <f aca="false">-AU203</f>
        <v>-0</v>
      </c>
      <c r="AV77" s="44" t="n">
        <f aca="false">-AV203</f>
        <v>-0</v>
      </c>
      <c r="AW77" s="44" t="n">
        <f aca="false">-AW203</f>
        <v>-0</v>
      </c>
      <c r="AX77" s="44" t="n">
        <f aca="false">-AX203</f>
        <v>-0</v>
      </c>
      <c r="AY77" s="44" t="n">
        <f aca="false">-AY203</f>
        <v>-0</v>
      </c>
      <c r="AZ77" s="44" t="n">
        <f aca="false">-AZ203</f>
        <v>-0</v>
      </c>
      <c r="BA77" s="44" t="n">
        <f aca="false">-BA203</f>
        <v>-0</v>
      </c>
    </row>
    <row r="78" customFormat="false" ht="15" hidden="false" customHeight="true" outlineLevel="0" collapsed="false">
      <c r="A78" s="47" t="s">
        <v>287</v>
      </c>
      <c r="B78" s="35" t="s">
        <v>11</v>
      </c>
      <c r="C78" s="44" t="n">
        <f aca="false">SUM(D78:BA78)</f>
        <v>0</v>
      </c>
      <c r="D78" s="44" t="n">
        <f aca="false">D75+D76+D77</f>
        <v>0</v>
      </c>
      <c r="E78" s="44" t="n">
        <f aca="false">E75+E76+E77</f>
        <v>0</v>
      </c>
      <c r="F78" s="44" t="n">
        <f aca="false">F75+F76+F77</f>
        <v>0</v>
      </c>
      <c r="G78" s="44" t="n">
        <f aca="false">G75+G76+G77</f>
        <v>0</v>
      </c>
      <c r="H78" s="44" t="n">
        <f aca="false">H75+H76+H77</f>
        <v>0</v>
      </c>
      <c r="I78" s="44" t="n">
        <f aca="false">I75+I76+I77</f>
        <v>0</v>
      </c>
      <c r="J78" s="44" t="n">
        <f aca="false">J75+J76+J77</f>
        <v>0</v>
      </c>
      <c r="K78" s="44" t="n">
        <f aca="false">K75+K76+K77</f>
        <v>0</v>
      </c>
      <c r="L78" s="44" t="n">
        <f aca="false">L75+L76+L77</f>
        <v>0</v>
      </c>
      <c r="M78" s="44" t="n">
        <f aca="false">M75+M76+M77</f>
        <v>0</v>
      </c>
      <c r="N78" s="44" t="n">
        <f aca="false">N75+N76+N77</f>
        <v>0</v>
      </c>
      <c r="O78" s="44" t="n">
        <f aca="false">O75+O76+O77</f>
        <v>0</v>
      </c>
      <c r="P78" s="44" t="n">
        <f aca="false">P75+P76+P77</f>
        <v>0</v>
      </c>
      <c r="Q78" s="44" t="n">
        <f aca="false">Q75+Q76+Q77</f>
        <v>0</v>
      </c>
      <c r="R78" s="44" t="n">
        <f aca="false">R75+R76+R77</f>
        <v>0</v>
      </c>
      <c r="S78" s="44" t="n">
        <f aca="false">S75+S76+S77</f>
        <v>0</v>
      </c>
      <c r="T78" s="44" t="n">
        <f aca="false">T75+T76+T77</f>
        <v>0</v>
      </c>
      <c r="U78" s="44" t="n">
        <f aca="false">U75+U76+U77</f>
        <v>0</v>
      </c>
      <c r="V78" s="44" t="n">
        <f aca="false">V75+V76+V77</f>
        <v>0</v>
      </c>
      <c r="W78" s="44" t="n">
        <f aca="false">W75+W76+W77</f>
        <v>0</v>
      </c>
      <c r="X78" s="44" t="n">
        <f aca="false">X75+X76+X77</f>
        <v>0</v>
      </c>
      <c r="Y78" s="44" t="n">
        <f aca="false">Y75+Y76+Y77</f>
        <v>0</v>
      </c>
      <c r="Z78" s="44" t="n">
        <f aca="false">Z75+Z76+Z77</f>
        <v>0</v>
      </c>
      <c r="AA78" s="44" t="n">
        <f aca="false">AA75+AA76+AA77</f>
        <v>0</v>
      </c>
      <c r="AB78" s="44" t="n">
        <f aca="false">AB75+AB76+AB77</f>
        <v>0</v>
      </c>
      <c r="AC78" s="44" t="n">
        <f aca="false">AC75+AC76+AC77</f>
        <v>0</v>
      </c>
      <c r="AD78" s="44" t="n">
        <f aca="false">AD75+AD76+AD77</f>
        <v>0</v>
      </c>
      <c r="AE78" s="44" t="n">
        <f aca="false">AE75+AE76+AE77</f>
        <v>0</v>
      </c>
      <c r="AF78" s="44" t="n">
        <f aca="false">AF75+AF76+AF77</f>
        <v>0</v>
      </c>
      <c r="AG78" s="44" t="n">
        <f aca="false">AG75+AG76+AG77</f>
        <v>0</v>
      </c>
      <c r="AH78" s="44" t="n">
        <f aca="false">AH75+AH76+AH77</f>
        <v>0</v>
      </c>
      <c r="AI78" s="44" t="n">
        <f aca="false">AI75+AI76+AI77</f>
        <v>0</v>
      </c>
      <c r="AJ78" s="44" t="n">
        <f aca="false">AJ75+AJ76+AJ77</f>
        <v>0</v>
      </c>
      <c r="AK78" s="44" t="n">
        <f aca="false">AK75+AK76+AK77</f>
        <v>0</v>
      </c>
      <c r="AL78" s="44" t="n">
        <f aca="false">AL75+AL76+AL77</f>
        <v>0</v>
      </c>
      <c r="AM78" s="44" t="n">
        <f aca="false">AM75+AM76+AM77</f>
        <v>0</v>
      </c>
      <c r="AN78" s="44" t="n">
        <f aca="false">AN75+AN76+AN77</f>
        <v>0</v>
      </c>
      <c r="AO78" s="44" t="n">
        <f aca="false">AO75+AO76+AO77</f>
        <v>0</v>
      </c>
      <c r="AP78" s="44" t="n">
        <f aca="false">AP75+AP76+AP77</f>
        <v>0</v>
      </c>
      <c r="AQ78" s="44" t="n">
        <f aca="false">AQ75+AQ76+AQ77</f>
        <v>0</v>
      </c>
      <c r="AR78" s="44" t="n">
        <f aca="false">AR75+AR76+AR77</f>
        <v>0</v>
      </c>
      <c r="AS78" s="44" t="n">
        <f aca="false">AS75+AS76+AS77</f>
        <v>0</v>
      </c>
      <c r="AT78" s="44" t="n">
        <f aca="false">AT75+AT76+AT77</f>
        <v>0</v>
      </c>
      <c r="AU78" s="44" t="n">
        <f aca="false">AU75+AU76+AU77</f>
        <v>0</v>
      </c>
      <c r="AV78" s="44" t="n">
        <f aca="false">AV75+AV76+AV77</f>
        <v>0</v>
      </c>
      <c r="AW78" s="44" t="n">
        <f aca="false">AW75+AW76+AW77</f>
        <v>0</v>
      </c>
      <c r="AX78" s="44" t="n">
        <f aca="false">AX75+AX76+AX77</f>
        <v>0</v>
      </c>
      <c r="AY78" s="44" t="n">
        <f aca="false">AY75+AY76+AY77</f>
        <v>0</v>
      </c>
      <c r="AZ78" s="44" t="n">
        <f aca="false">AZ75+AZ76+AZ77</f>
        <v>0</v>
      </c>
      <c r="BA78" s="44" t="n">
        <f aca="false">BA75+BA76+BA77</f>
        <v>0</v>
      </c>
    </row>
    <row r="79" customFormat="false" ht="15" hidden="false" customHeight="true" outlineLevel="0" collapsed="false">
      <c r="A79" s="10" t="s">
        <v>288</v>
      </c>
      <c r="B79" s="35" t="s">
        <v>268</v>
      </c>
      <c r="C79" s="41" t="str">
        <f aca="false">IFERROR(IRR(D78:BA78),"-")</f>
        <v>-</v>
      </c>
    </row>
    <row r="81" customFormat="false" ht="15" hidden="false" customHeight="true" outlineLevel="0" collapsed="false">
      <c r="A81" s="45" t="s">
        <v>56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</row>
    <row r="82" customFormat="false" ht="15" hidden="false" customHeight="true" outlineLevel="0" collapsed="false">
      <c r="A82" s="35" t="s">
        <v>263</v>
      </c>
      <c r="B82" s="35" t="s">
        <v>11</v>
      </c>
      <c r="C82" s="44" t="n">
        <f aca="false">SUM(D82:BA82)</f>
        <v>0</v>
      </c>
      <c r="D82" s="44" t="n">
        <f aca="false">D186</f>
        <v>0</v>
      </c>
      <c r="E82" s="44" t="n">
        <f aca="false">E186</f>
        <v>0</v>
      </c>
      <c r="F82" s="44" t="n">
        <f aca="false">F186</f>
        <v>0</v>
      </c>
      <c r="G82" s="44" t="n">
        <f aca="false">G186</f>
        <v>0</v>
      </c>
      <c r="H82" s="44" t="n">
        <f aca="false">H186</f>
        <v>0</v>
      </c>
      <c r="I82" s="44" t="n">
        <f aca="false">I186</f>
        <v>0</v>
      </c>
      <c r="J82" s="44" t="n">
        <f aca="false">J186</f>
        <v>0</v>
      </c>
      <c r="K82" s="44" t="n">
        <f aca="false">K186</f>
        <v>0</v>
      </c>
      <c r="L82" s="44" t="n">
        <f aca="false">L186</f>
        <v>0</v>
      </c>
      <c r="M82" s="44" t="n">
        <f aca="false">M186</f>
        <v>0</v>
      </c>
      <c r="N82" s="44" t="n">
        <f aca="false">N186</f>
        <v>0</v>
      </c>
      <c r="O82" s="44" t="n">
        <f aca="false">O186</f>
        <v>0</v>
      </c>
      <c r="P82" s="44" t="n">
        <f aca="false">P186</f>
        <v>0</v>
      </c>
      <c r="Q82" s="44" t="n">
        <f aca="false">Q186</f>
        <v>0</v>
      </c>
      <c r="R82" s="44" t="n">
        <f aca="false">R186</f>
        <v>0</v>
      </c>
      <c r="S82" s="44" t="n">
        <f aca="false">S186</f>
        <v>0</v>
      </c>
      <c r="T82" s="44" t="n">
        <f aca="false">T186</f>
        <v>0</v>
      </c>
      <c r="U82" s="44" t="n">
        <f aca="false">U186</f>
        <v>0</v>
      </c>
      <c r="V82" s="44" t="n">
        <f aca="false">V186</f>
        <v>0</v>
      </c>
      <c r="W82" s="44" t="n">
        <f aca="false">W186</f>
        <v>0</v>
      </c>
      <c r="X82" s="44" t="n">
        <f aca="false">X186</f>
        <v>0</v>
      </c>
      <c r="Y82" s="44" t="n">
        <f aca="false">Y186</f>
        <v>0</v>
      </c>
      <c r="Z82" s="44" t="n">
        <f aca="false">Z186</f>
        <v>0</v>
      </c>
      <c r="AA82" s="44" t="n">
        <f aca="false">AA186</f>
        <v>0</v>
      </c>
      <c r="AB82" s="44" t="n">
        <f aca="false">AB186</f>
        <v>0</v>
      </c>
      <c r="AC82" s="44" t="n">
        <f aca="false">AC186</f>
        <v>0</v>
      </c>
      <c r="AD82" s="44" t="n">
        <f aca="false">AD186</f>
        <v>0</v>
      </c>
      <c r="AE82" s="44" t="n">
        <f aca="false">AE186</f>
        <v>0</v>
      </c>
      <c r="AF82" s="44" t="n">
        <f aca="false">AF186</f>
        <v>0</v>
      </c>
      <c r="AG82" s="44" t="n">
        <f aca="false">AG186</f>
        <v>0</v>
      </c>
      <c r="AH82" s="44" t="n">
        <f aca="false">AH186</f>
        <v>0</v>
      </c>
      <c r="AI82" s="44" t="n">
        <f aca="false">AI186</f>
        <v>0</v>
      </c>
      <c r="AJ82" s="44" t="n">
        <f aca="false">AJ186</f>
        <v>0</v>
      </c>
      <c r="AK82" s="44" t="n">
        <f aca="false">AK186</f>
        <v>0</v>
      </c>
      <c r="AL82" s="44" t="n">
        <f aca="false">AL186</f>
        <v>0</v>
      </c>
      <c r="AM82" s="44" t="n">
        <f aca="false">AM186</f>
        <v>0</v>
      </c>
      <c r="AN82" s="44" t="n">
        <f aca="false">AN186</f>
        <v>0</v>
      </c>
      <c r="AO82" s="44" t="n">
        <f aca="false">AO186</f>
        <v>0</v>
      </c>
      <c r="AP82" s="44" t="n">
        <f aca="false">AP186</f>
        <v>0</v>
      </c>
      <c r="AQ82" s="44" t="n">
        <f aca="false">AQ186</f>
        <v>0</v>
      </c>
      <c r="AR82" s="44" t="n">
        <f aca="false">AR186</f>
        <v>0</v>
      </c>
      <c r="AS82" s="44" t="n">
        <f aca="false">AS186</f>
        <v>0</v>
      </c>
      <c r="AT82" s="44" t="n">
        <f aca="false">AT186</f>
        <v>0</v>
      </c>
      <c r="AU82" s="44" t="n">
        <f aca="false">AU186</f>
        <v>0</v>
      </c>
      <c r="AV82" s="44" t="n">
        <f aca="false">AV186</f>
        <v>0</v>
      </c>
      <c r="AW82" s="44" t="n">
        <f aca="false">AW186</f>
        <v>0</v>
      </c>
      <c r="AX82" s="44" t="n">
        <f aca="false">AX186</f>
        <v>0</v>
      </c>
      <c r="AY82" s="44" t="n">
        <f aca="false">AY186</f>
        <v>0</v>
      </c>
      <c r="AZ82" s="44" t="n">
        <f aca="false">AZ186</f>
        <v>0</v>
      </c>
      <c r="BA82" s="44" t="n">
        <f aca="false">BA186</f>
        <v>0</v>
      </c>
    </row>
    <row r="83" customFormat="false" ht="15" hidden="false" customHeight="true" outlineLevel="0" collapsed="false">
      <c r="A83" s="35" t="s">
        <v>264</v>
      </c>
      <c r="B83" s="35" t="s">
        <v>11</v>
      </c>
      <c r="C83" s="44" t="n">
        <f aca="false">SUM(D83:BA83)</f>
        <v>0</v>
      </c>
      <c r="D83" s="44" t="n">
        <f aca="false">0</f>
        <v>0</v>
      </c>
      <c r="E83" s="44" t="n">
        <f aca="false">0</f>
        <v>0</v>
      </c>
      <c r="F83" s="44" t="n">
        <f aca="false">0</f>
        <v>0</v>
      </c>
      <c r="G83" s="44" t="n">
        <f aca="false">0</f>
        <v>0</v>
      </c>
      <c r="H83" s="44" t="n">
        <f aca="false">0</f>
        <v>0</v>
      </c>
      <c r="I83" s="44" t="n">
        <f aca="false">0</f>
        <v>0</v>
      </c>
      <c r="J83" s="44" t="n">
        <f aca="false">0</f>
        <v>0</v>
      </c>
      <c r="K83" s="44" t="n">
        <f aca="false">0</f>
        <v>0</v>
      </c>
      <c r="L83" s="44" t="n">
        <f aca="false">0</f>
        <v>0</v>
      </c>
      <c r="M83" s="44" t="n">
        <f aca="false">0</f>
        <v>0</v>
      </c>
      <c r="N83" s="44" t="n">
        <f aca="false">0</f>
        <v>0</v>
      </c>
      <c r="O83" s="44" t="n">
        <f aca="false">0</f>
        <v>0</v>
      </c>
      <c r="P83" s="44" t="n">
        <f aca="false">0</f>
        <v>0</v>
      </c>
      <c r="Q83" s="44" t="n">
        <f aca="false">0</f>
        <v>0</v>
      </c>
      <c r="R83" s="44" t="n">
        <f aca="false">0</f>
        <v>0</v>
      </c>
      <c r="S83" s="44" t="n">
        <f aca="false">0</f>
        <v>0</v>
      </c>
      <c r="T83" s="44" t="n">
        <f aca="false">0</f>
        <v>0</v>
      </c>
      <c r="U83" s="44" t="n">
        <f aca="false">0</f>
        <v>0</v>
      </c>
      <c r="V83" s="44" t="n">
        <f aca="false">0</f>
        <v>0</v>
      </c>
      <c r="W83" s="44" t="n">
        <f aca="false">0</f>
        <v>0</v>
      </c>
      <c r="X83" s="44" t="n">
        <f aca="false">0</f>
        <v>0</v>
      </c>
      <c r="Y83" s="44" t="n">
        <f aca="false">0</f>
        <v>0</v>
      </c>
      <c r="Z83" s="44" t="n">
        <f aca="false">0</f>
        <v>0</v>
      </c>
      <c r="AA83" s="44" t="n">
        <f aca="false">0</f>
        <v>0</v>
      </c>
      <c r="AB83" s="44" t="n">
        <f aca="false">0</f>
        <v>0</v>
      </c>
      <c r="AC83" s="44" t="n">
        <f aca="false">0</f>
        <v>0</v>
      </c>
      <c r="AD83" s="44" t="n">
        <f aca="false">0</f>
        <v>0</v>
      </c>
      <c r="AE83" s="44" t="n">
        <f aca="false">0</f>
        <v>0</v>
      </c>
      <c r="AF83" s="44" t="n">
        <f aca="false">0</f>
        <v>0</v>
      </c>
      <c r="AG83" s="44" t="n">
        <f aca="false">0</f>
        <v>0</v>
      </c>
      <c r="AH83" s="44" t="n">
        <f aca="false">0</f>
        <v>0</v>
      </c>
      <c r="AI83" s="44" t="n">
        <f aca="false">0</f>
        <v>0</v>
      </c>
      <c r="AJ83" s="44" t="n">
        <f aca="false">0</f>
        <v>0</v>
      </c>
      <c r="AK83" s="44" t="n">
        <f aca="false">0</f>
        <v>0</v>
      </c>
      <c r="AL83" s="44" t="n">
        <f aca="false">0</f>
        <v>0</v>
      </c>
      <c r="AM83" s="44" t="n">
        <f aca="false">0</f>
        <v>0</v>
      </c>
      <c r="AN83" s="44" t="n">
        <f aca="false">0</f>
        <v>0</v>
      </c>
      <c r="AO83" s="44" t="n">
        <f aca="false">0</f>
        <v>0</v>
      </c>
      <c r="AP83" s="44" t="n">
        <f aca="false">0</f>
        <v>0</v>
      </c>
      <c r="AQ83" s="44" t="n">
        <f aca="false">0</f>
        <v>0</v>
      </c>
      <c r="AR83" s="44" t="n">
        <f aca="false">0</f>
        <v>0</v>
      </c>
      <c r="AS83" s="44" t="n">
        <f aca="false">0</f>
        <v>0</v>
      </c>
      <c r="AT83" s="44" t="n">
        <f aca="false">0</f>
        <v>0</v>
      </c>
      <c r="AU83" s="44" t="n">
        <f aca="false">0</f>
        <v>0</v>
      </c>
      <c r="AV83" s="44" t="n">
        <f aca="false">0</f>
        <v>0</v>
      </c>
      <c r="AW83" s="44" t="n">
        <f aca="false">0</f>
        <v>0</v>
      </c>
      <c r="AX83" s="44" t="n">
        <f aca="false">0</f>
        <v>0</v>
      </c>
      <c r="AY83" s="44" t="n">
        <f aca="false">0</f>
        <v>0</v>
      </c>
      <c r="AZ83" s="44" t="n">
        <f aca="false">0</f>
        <v>0</v>
      </c>
      <c r="BA83" s="44" t="n">
        <f aca="false">0</f>
        <v>0</v>
      </c>
    </row>
    <row r="84" customFormat="false" ht="15" hidden="false" customHeight="true" outlineLevel="0" collapsed="false">
      <c r="A84" s="35" t="s">
        <v>265</v>
      </c>
      <c r="B84" s="35" t="s">
        <v>11</v>
      </c>
      <c r="C84" s="44" t="n">
        <f aca="false">SUM(D84:BA84)</f>
        <v>0</v>
      </c>
      <c r="D84" s="44" t="n">
        <f aca="false">-D204</f>
        <v>-0</v>
      </c>
      <c r="E84" s="44" t="n">
        <f aca="false">-E204</f>
        <v>-0</v>
      </c>
      <c r="F84" s="44" t="n">
        <f aca="false">-F204</f>
        <v>-0</v>
      </c>
      <c r="G84" s="44" t="n">
        <f aca="false">-G204</f>
        <v>-0</v>
      </c>
      <c r="H84" s="44" t="n">
        <f aca="false">-H204</f>
        <v>-0</v>
      </c>
      <c r="I84" s="44" t="n">
        <f aca="false">-I204</f>
        <v>-0</v>
      </c>
      <c r="J84" s="44" t="n">
        <f aca="false">-J204</f>
        <v>-0</v>
      </c>
      <c r="K84" s="44" t="n">
        <f aca="false">-K204</f>
        <v>-0</v>
      </c>
      <c r="L84" s="44" t="n">
        <f aca="false">-L204</f>
        <v>-0</v>
      </c>
      <c r="M84" s="44" t="n">
        <f aca="false">-M204</f>
        <v>-0</v>
      </c>
      <c r="N84" s="44" t="n">
        <f aca="false">-N204</f>
        <v>-0</v>
      </c>
      <c r="O84" s="44" t="n">
        <f aca="false">-O204</f>
        <v>-0</v>
      </c>
      <c r="P84" s="44" t="n">
        <f aca="false">-P204</f>
        <v>-0</v>
      </c>
      <c r="Q84" s="44" t="n">
        <f aca="false">-Q204</f>
        <v>-0</v>
      </c>
      <c r="R84" s="44" t="n">
        <f aca="false">-R204</f>
        <v>-0</v>
      </c>
      <c r="S84" s="44" t="n">
        <f aca="false">-S204</f>
        <v>-0</v>
      </c>
      <c r="T84" s="44" t="n">
        <f aca="false">-T204</f>
        <v>-0</v>
      </c>
      <c r="U84" s="44" t="n">
        <f aca="false">-U204</f>
        <v>-0</v>
      </c>
      <c r="V84" s="44" t="n">
        <f aca="false">-V204</f>
        <v>-0</v>
      </c>
      <c r="W84" s="44" t="n">
        <f aca="false">-W204</f>
        <v>-0</v>
      </c>
      <c r="X84" s="44" t="n">
        <f aca="false">-X204</f>
        <v>-0</v>
      </c>
      <c r="Y84" s="44" t="n">
        <f aca="false">-Y204</f>
        <v>-0</v>
      </c>
      <c r="Z84" s="44" t="n">
        <f aca="false">-Z204</f>
        <v>-0</v>
      </c>
      <c r="AA84" s="44" t="n">
        <f aca="false">-AA204</f>
        <v>-0</v>
      </c>
      <c r="AB84" s="44" t="n">
        <f aca="false">-AB204</f>
        <v>-0</v>
      </c>
      <c r="AC84" s="44" t="n">
        <f aca="false">-AC204</f>
        <v>-0</v>
      </c>
      <c r="AD84" s="44" t="n">
        <f aca="false">-AD204</f>
        <v>-0</v>
      </c>
      <c r="AE84" s="44" t="n">
        <f aca="false">-AE204</f>
        <v>-0</v>
      </c>
      <c r="AF84" s="44" t="n">
        <f aca="false">-AF204</f>
        <v>-0</v>
      </c>
      <c r="AG84" s="44" t="n">
        <f aca="false">-AG204</f>
        <v>-0</v>
      </c>
      <c r="AH84" s="44" t="n">
        <f aca="false">-AH204</f>
        <v>-0</v>
      </c>
      <c r="AI84" s="44" t="n">
        <f aca="false">-AI204</f>
        <v>-0</v>
      </c>
      <c r="AJ84" s="44" t="n">
        <f aca="false">-AJ204</f>
        <v>-0</v>
      </c>
      <c r="AK84" s="44" t="n">
        <f aca="false">-AK204</f>
        <v>-0</v>
      </c>
      <c r="AL84" s="44" t="n">
        <f aca="false">-AL204</f>
        <v>-0</v>
      </c>
      <c r="AM84" s="44" t="n">
        <f aca="false">-AM204</f>
        <v>-0</v>
      </c>
      <c r="AN84" s="44" t="n">
        <f aca="false">-AN204</f>
        <v>-0</v>
      </c>
      <c r="AO84" s="44" t="n">
        <f aca="false">-AO204</f>
        <v>-0</v>
      </c>
      <c r="AP84" s="44" t="n">
        <f aca="false">-AP204</f>
        <v>-0</v>
      </c>
      <c r="AQ84" s="44" t="n">
        <f aca="false">-AQ204</f>
        <v>-0</v>
      </c>
      <c r="AR84" s="44" t="n">
        <f aca="false">-AR204</f>
        <v>-0</v>
      </c>
      <c r="AS84" s="44" t="n">
        <f aca="false">-AS204</f>
        <v>-0</v>
      </c>
      <c r="AT84" s="44" t="n">
        <f aca="false">-AT204</f>
        <v>-0</v>
      </c>
      <c r="AU84" s="44" t="n">
        <f aca="false">-AU204</f>
        <v>-0</v>
      </c>
      <c r="AV84" s="44" t="n">
        <f aca="false">-AV204</f>
        <v>-0</v>
      </c>
      <c r="AW84" s="44" t="n">
        <f aca="false">-AW204</f>
        <v>-0</v>
      </c>
      <c r="AX84" s="44" t="n">
        <f aca="false">-AX204</f>
        <v>-0</v>
      </c>
      <c r="AY84" s="44" t="n">
        <f aca="false">-AY204</f>
        <v>-0</v>
      </c>
      <c r="AZ84" s="44" t="n">
        <f aca="false">-AZ204</f>
        <v>-0</v>
      </c>
      <c r="BA84" s="44" t="n">
        <f aca="false">-BA204</f>
        <v>-0</v>
      </c>
    </row>
    <row r="85" customFormat="false" ht="15" hidden="false" customHeight="true" outlineLevel="0" collapsed="false">
      <c r="A85" s="47" t="s">
        <v>289</v>
      </c>
      <c r="B85" s="35" t="s">
        <v>11</v>
      </c>
      <c r="C85" s="44" t="n">
        <f aca="false">SUM(D85:BA85)</f>
        <v>0</v>
      </c>
      <c r="D85" s="44" t="n">
        <f aca="false">D82+D83+D84</f>
        <v>0</v>
      </c>
      <c r="E85" s="44" t="n">
        <f aca="false">E82+E83+E84</f>
        <v>0</v>
      </c>
      <c r="F85" s="44" t="n">
        <f aca="false">F82+F83+F84</f>
        <v>0</v>
      </c>
      <c r="G85" s="44" t="n">
        <f aca="false">G82+G83+G84</f>
        <v>0</v>
      </c>
      <c r="H85" s="44" t="n">
        <f aca="false">H82+H83+H84</f>
        <v>0</v>
      </c>
      <c r="I85" s="44" t="n">
        <f aca="false">I82+I83+I84</f>
        <v>0</v>
      </c>
      <c r="J85" s="44" t="n">
        <f aca="false">J82+J83+J84</f>
        <v>0</v>
      </c>
      <c r="K85" s="44" t="n">
        <f aca="false">K82+K83+K84</f>
        <v>0</v>
      </c>
      <c r="L85" s="44" t="n">
        <f aca="false">L82+L83+L84</f>
        <v>0</v>
      </c>
      <c r="M85" s="44" t="n">
        <f aca="false">M82+M83+M84</f>
        <v>0</v>
      </c>
      <c r="N85" s="44" t="n">
        <f aca="false">N82+N83+N84</f>
        <v>0</v>
      </c>
      <c r="O85" s="44" t="n">
        <f aca="false">O82+O83+O84</f>
        <v>0</v>
      </c>
      <c r="P85" s="44" t="n">
        <f aca="false">P82+P83+P84</f>
        <v>0</v>
      </c>
      <c r="Q85" s="44" t="n">
        <f aca="false">Q82+Q83+Q84</f>
        <v>0</v>
      </c>
      <c r="R85" s="44" t="n">
        <f aca="false">R82+R83+R84</f>
        <v>0</v>
      </c>
      <c r="S85" s="44" t="n">
        <f aca="false">S82+S83+S84</f>
        <v>0</v>
      </c>
      <c r="T85" s="44" t="n">
        <f aca="false">T82+T83+T84</f>
        <v>0</v>
      </c>
      <c r="U85" s="44" t="n">
        <f aca="false">U82+U83+U84</f>
        <v>0</v>
      </c>
      <c r="V85" s="44" t="n">
        <f aca="false">V82+V83+V84</f>
        <v>0</v>
      </c>
      <c r="W85" s="44" t="n">
        <f aca="false">W82+W83+W84</f>
        <v>0</v>
      </c>
      <c r="X85" s="44" t="n">
        <f aca="false">X82+X83+X84</f>
        <v>0</v>
      </c>
      <c r="Y85" s="44" t="n">
        <f aca="false">Y82+Y83+Y84</f>
        <v>0</v>
      </c>
      <c r="Z85" s="44" t="n">
        <f aca="false">Z82+Z83+Z84</f>
        <v>0</v>
      </c>
      <c r="AA85" s="44" t="n">
        <f aca="false">AA82+AA83+AA84</f>
        <v>0</v>
      </c>
      <c r="AB85" s="44" t="n">
        <f aca="false">AB82+AB83+AB84</f>
        <v>0</v>
      </c>
      <c r="AC85" s="44" t="n">
        <f aca="false">AC82+AC83+AC84</f>
        <v>0</v>
      </c>
      <c r="AD85" s="44" t="n">
        <f aca="false">AD82+AD83+AD84</f>
        <v>0</v>
      </c>
      <c r="AE85" s="44" t="n">
        <f aca="false">AE82+AE83+AE84</f>
        <v>0</v>
      </c>
      <c r="AF85" s="44" t="n">
        <f aca="false">AF82+AF83+AF84</f>
        <v>0</v>
      </c>
      <c r="AG85" s="44" t="n">
        <f aca="false">AG82+AG83+AG84</f>
        <v>0</v>
      </c>
      <c r="AH85" s="44" t="n">
        <f aca="false">AH82+AH83+AH84</f>
        <v>0</v>
      </c>
      <c r="AI85" s="44" t="n">
        <f aca="false">AI82+AI83+AI84</f>
        <v>0</v>
      </c>
      <c r="AJ85" s="44" t="n">
        <f aca="false">AJ82+AJ83+AJ84</f>
        <v>0</v>
      </c>
      <c r="AK85" s="44" t="n">
        <f aca="false">AK82+AK83+AK84</f>
        <v>0</v>
      </c>
      <c r="AL85" s="44" t="n">
        <f aca="false">AL82+AL83+AL84</f>
        <v>0</v>
      </c>
      <c r="AM85" s="44" t="n">
        <f aca="false">AM82+AM83+AM84</f>
        <v>0</v>
      </c>
      <c r="AN85" s="44" t="n">
        <f aca="false">AN82+AN83+AN84</f>
        <v>0</v>
      </c>
      <c r="AO85" s="44" t="n">
        <f aca="false">AO82+AO83+AO84</f>
        <v>0</v>
      </c>
      <c r="AP85" s="44" t="n">
        <f aca="false">AP82+AP83+AP84</f>
        <v>0</v>
      </c>
      <c r="AQ85" s="44" t="n">
        <f aca="false">AQ82+AQ83+AQ84</f>
        <v>0</v>
      </c>
      <c r="AR85" s="44" t="n">
        <f aca="false">AR82+AR83+AR84</f>
        <v>0</v>
      </c>
      <c r="AS85" s="44" t="n">
        <f aca="false">AS82+AS83+AS84</f>
        <v>0</v>
      </c>
      <c r="AT85" s="44" t="n">
        <f aca="false">AT82+AT83+AT84</f>
        <v>0</v>
      </c>
      <c r="AU85" s="44" t="n">
        <f aca="false">AU82+AU83+AU84</f>
        <v>0</v>
      </c>
      <c r="AV85" s="44" t="n">
        <f aca="false">AV82+AV83+AV84</f>
        <v>0</v>
      </c>
      <c r="AW85" s="44" t="n">
        <f aca="false">AW82+AW83+AW84</f>
        <v>0</v>
      </c>
      <c r="AX85" s="44" t="n">
        <f aca="false">AX82+AX83+AX84</f>
        <v>0</v>
      </c>
      <c r="AY85" s="44" t="n">
        <f aca="false">AY82+AY83+AY84</f>
        <v>0</v>
      </c>
      <c r="AZ85" s="44" t="n">
        <f aca="false">AZ82+AZ83+AZ84</f>
        <v>0</v>
      </c>
      <c r="BA85" s="44" t="n">
        <f aca="false">BA82+BA83+BA84</f>
        <v>0</v>
      </c>
    </row>
    <row r="86" customFormat="false" ht="15" hidden="false" customHeight="true" outlineLevel="0" collapsed="false">
      <c r="A86" s="10" t="s">
        <v>290</v>
      </c>
      <c r="B86" s="35" t="s">
        <v>268</v>
      </c>
      <c r="C86" s="41" t="str">
        <f aca="false">IFERROR(IRR(D85:BA85),"-")</f>
        <v>-</v>
      </c>
    </row>
    <row r="88" customFormat="false" ht="15" hidden="false" customHeight="true" outlineLevel="0" collapsed="false">
      <c r="A88" s="45" t="s">
        <v>57</v>
      </c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</row>
    <row r="89" customFormat="false" ht="15" hidden="false" customHeight="true" outlineLevel="0" collapsed="false">
      <c r="A89" s="35" t="s">
        <v>263</v>
      </c>
      <c r="B89" s="35" t="s">
        <v>11</v>
      </c>
      <c r="C89" s="44" t="n">
        <f aca="false">SUM(D89:BA89)</f>
        <v>0</v>
      </c>
      <c r="D89" s="44" t="n">
        <f aca="false">D187</f>
        <v>0</v>
      </c>
      <c r="E89" s="44" t="n">
        <f aca="false">E187</f>
        <v>0</v>
      </c>
      <c r="F89" s="44" t="n">
        <f aca="false">F187</f>
        <v>0</v>
      </c>
      <c r="G89" s="44" t="n">
        <f aca="false">G187</f>
        <v>0</v>
      </c>
      <c r="H89" s="44" t="n">
        <f aca="false">H187</f>
        <v>0</v>
      </c>
      <c r="I89" s="44" t="n">
        <f aca="false">I187</f>
        <v>0</v>
      </c>
      <c r="J89" s="44" t="n">
        <f aca="false">J187</f>
        <v>0</v>
      </c>
      <c r="K89" s="44" t="n">
        <f aca="false">K187</f>
        <v>0</v>
      </c>
      <c r="L89" s="44" t="n">
        <f aca="false">L187</f>
        <v>0</v>
      </c>
      <c r="M89" s="44" t="n">
        <f aca="false">M187</f>
        <v>0</v>
      </c>
      <c r="N89" s="44" t="n">
        <f aca="false">N187</f>
        <v>0</v>
      </c>
      <c r="O89" s="44" t="n">
        <f aca="false">O187</f>
        <v>0</v>
      </c>
      <c r="P89" s="44" t="n">
        <f aca="false">P187</f>
        <v>0</v>
      </c>
      <c r="Q89" s="44" t="n">
        <f aca="false">Q187</f>
        <v>0</v>
      </c>
      <c r="R89" s="44" t="n">
        <f aca="false">R187</f>
        <v>0</v>
      </c>
      <c r="S89" s="44" t="n">
        <f aca="false">S187</f>
        <v>0</v>
      </c>
      <c r="T89" s="44" t="n">
        <f aca="false">T187</f>
        <v>0</v>
      </c>
      <c r="U89" s="44" t="n">
        <f aca="false">U187</f>
        <v>0</v>
      </c>
      <c r="V89" s="44" t="n">
        <f aca="false">V187</f>
        <v>0</v>
      </c>
      <c r="W89" s="44" t="n">
        <f aca="false">W187</f>
        <v>0</v>
      </c>
      <c r="X89" s="44" t="n">
        <f aca="false">X187</f>
        <v>0</v>
      </c>
      <c r="Y89" s="44" t="n">
        <f aca="false">Y187</f>
        <v>0</v>
      </c>
      <c r="Z89" s="44" t="n">
        <f aca="false">Z187</f>
        <v>0</v>
      </c>
      <c r="AA89" s="44" t="n">
        <f aca="false">AA187</f>
        <v>0</v>
      </c>
      <c r="AB89" s="44" t="n">
        <f aca="false">AB187</f>
        <v>0</v>
      </c>
      <c r="AC89" s="44" t="n">
        <f aca="false">AC187</f>
        <v>0</v>
      </c>
      <c r="AD89" s="44" t="n">
        <f aca="false">AD187</f>
        <v>0</v>
      </c>
      <c r="AE89" s="44" t="n">
        <f aca="false">AE187</f>
        <v>0</v>
      </c>
      <c r="AF89" s="44" t="n">
        <f aca="false">AF187</f>
        <v>0</v>
      </c>
      <c r="AG89" s="44" t="n">
        <f aca="false">AG187</f>
        <v>0</v>
      </c>
      <c r="AH89" s="44" t="n">
        <f aca="false">AH187</f>
        <v>0</v>
      </c>
      <c r="AI89" s="44" t="n">
        <f aca="false">AI187</f>
        <v>0</v>
      </c>
      <c r="AJ89" s="44" t="n">
        <f aca="false">AJ187</f>
        <v>0</v>
      </c>
      <c r="AK89" s="44" t="n">
        <f aca="false">AK187</f>
        <v>0</v>
      </c>
      <c r="AL89" s="44" t="n">
        <f aca="false">AL187</f>
        <v>0</v>
      </c>
      <c r="AM89" s="44" t="n">
        <f aca="false">AM187</f>
        <v>0</v>
      </c>
      <c r="AN89" s="44" t="n">
        <f aca="false">AN187</f>
        <v>0</v>
      </c>
      <c r="AO89" s="44" t="n">
        <f aca="false">AO187</f>
        <v>0</v>
      </c>
      <c r="AP89" s="44" t="n">
        <f aca="false">AP187</f>
        <v>0</v>
      </c>
      <c r="AQ89" s="44" t="n">
        <f aca="false">AQ187</f>
        <v>0</v>
      </c>
      <c r="AR89" s="44" t="n">
        <f aca="false">AR187</f>
        <v>0</v>
      </c>
      <c r="AS89" s="44" t="n">
        <f aca="false">AS187</f>
        <v>0</v>
      </c>
      <c r="AT89" s="44" t="n">
        <f aca="false">AT187</f>
        <v>0</v>
      </c>
      <c r="AU89" s="44" t="n">
        <f aca="false">AU187</f>
        <v>0</v>
      </c>
      <c r="AV89" s="44" t="n">
        <f aca="false">AV187</f>
        <v>0</v>
      </c>
      <c r="AW89" s="44" t="n">
        <f aca="false">AW187</f>
        <v>0</v>
      </c>
      <c r="AX89" s="44" t="n">
        <f aca="false">AX187</f>
        <v>0</v>
      </c>
      <c r="AY89" s="44" t="n">
        <f aca="false">AY187</f>
        <v>0</v>
      </c>
      <c r="AZ89" s="44" t="n">
        <f aca="false">AZ187</f>
        <v>0</v>
      </c>
      <c r="BA89" s="44" t="n">
        <f aca="false">BA187</f>
        <v>0</v>
      </c>
    </row>
    <row r="90" customFormat="false" ht="15" hidden="false" customHeight="true" outlineLevel="0" collapsed="false">
      <c r="A90" s="35" t="s">
        <v>264</v>
      </c>
      <c r="B90" s="35" t="s">
        <v>11</v>
      </c>
      <c r="C90" s="44" t="n">
        <f aca="false">SUM(D90:BA90)</f>
        <v>0</v>
      </c>
      <c r="D90" s="44" t="n">
        <f aca="false">0</f>
        <v>0</v>
      </c>
      <c r="E90" s="44" t="n">
        <f aca="false">0</f>
        <v>0</v>
      </c>
      <c r="F90" s="44" t="n">
        <f aca="false">0</f>
        <v>0</v>
      </c>
      <c r="G90" s="44" t="n">
        <f aca="false">0</f>
        <v>0</v>
      </c>
      <c r="H90" s="44" t="n">
        <f aca="false">0</f>
        <v>0</v>
      </c>
      <c r="I90" s="44" t="n">
        <f aca="false">0</f>
        <v>0</v>
      </c>
      <c r="J90" s="44" t="n">
        <f aca="false">0</f>
        <v>0</v>
      </c>
      <c r="K90" s="44" t="n">
        <f aca="false">0</f>
        <v>0</v>
      </c>
      <c r="L90" s="44" t="n">
        <f aca="false">0</f>
        <v>0</v>
      </c>
      <c r="M90" s="44" t="n">
        <f aca="false">0</f>
        <v>0</v>
      </c>
      <c r="N90" s="44" t="n">
        <f aca="false">0</f>
        <v>0</v>
      </c>
      <c r="O90" s="44" t="n">
        <f aca="false">0</f>
        <v>0</v>
      </c>
      <c r="P90" s="44" t="n">
        <f aca="false">0</f>
        <v>0</v>
      </c>
      <c r="Q90" s="44" t="n">
        <f aca="false">0</f>
        <v>0</v>
      </c>
      <c r="R90" s="44" t="n">
        <f aca="false">0</f>
        <v>0</v>
      </c>
      <c r="S90" s="44" t="n">
        <f aca="false">0</f>
        <v>0</v>
      </c>
      <c r="T90" s="44" t="n">
        <f aca="false">0</f>
        <v>0</v>
      </c>
      <c r="U90" s="44" t="n">
        <f aca="false">0</f>
        <v>0</v>
      </c>
      <c r="V90" s="44" t="n">
        <f aca="false">0</f>
        <v>0</v>
      </c>
      <c r="W90" s="44" t="n">
        <f aca="false">0</f>
        <v>0</v>
      </c>
      <c r="X90" s="44" t="n">
        <f aca="false">0</f>
        <v>0</v>
      </c>
      <c r="Y90" s="44" t="n">
        <f aca="false">0</f>
        <v>0</v>
      </c>
      <c r="Z90" s="44" t="n">
        <f aca="false">0</f>
        <v>0</v>
      </c>
      <c r="AA90" s="44" t="n">
        <f aca="false">0</f>
        <v>0</v>
      </c>
      <c r="AB90" s="44" t="n">
        <f aca="false">0</f>
        <v>0</v>
      </c>
      <c r="AC90" s="44" t="n">
        <f aca="false">0</f>
        <v>0</v>
      </c>
      <c r="AD90" s="44" t="n">
        <f aca="false">0</f>
        <v>0</v>
      </c>
      <c r="AE90" s="44" t="n">
        <f aca="false">0</f>
        <v>0</v>
      </c>
      <c r="AF90" s="44" t="n">
        <f aca="false">0</f>
        <v>0</v>
      </c>
      <c r="AG90" s="44" t="n">
        <f aca="false">0</f>
        <v>0</v>
      </c>
      <c r="AH90" s="44" t="n">
        <f aca="false">0</f>
        <v>0</v>
      </c>
      <c r="AI90" s="44" t="n">
        <f aca="false">0</f>
        <v>0</v>
      </c>
      <c r="AJ90" s="44" t="n">
        <f aca="false">0</f>
        <v>0</v>
      </c>
      <c r="AK90" s="44" t="n">
        <f aca="false">0</f>
        <v>0</v>
      </c>
      <c r="AL90" s="44" t="n">
        <f aca="false">0</f>
        <v>0</v>
      </c>
      <c r="AM90" s="44" t="n">
        <f aca="false">0</f>
        <v>0</v>
      </c>
      <c r="AN90" s="44" t="n">
        <f aca="false">0</f>
        <v>0</v>
      </c>
      <c r="AO90" s="44" t="n">
        <f aca="false">0</f>
        <v>0</v>
      </c>
      <c r="AP90" s="44" t="n">
        <f aca="false">0</f>
        <v>0</v>
      </c>
      <c r="AQ90" s="44" t="n">
        <f aca="false">0</f>
        <v>0</v>
      </c>
      <c r="AR90" s="44" t="n">
        <f aca="false">0</f>
        <v>0</v>
      </c>
      <c r="AS90" s="44" t="n">
        <f aca="false">0</f>
        <v>0</v>
      </c>
      <c r="AT90" s="44" t="n">
        <f aca="false">0</f>
        <v>0</v>
      </c>
      <c r="AU90" s="44" t="n">
        <f aca="false">0</f>
        <v>0</v>
      </c>
      <c r="AV90" s="44" t="n">
        <f aca="false">0</f>
        <v>0</v>
      </c>
      <c r="AW90" s="44" t="n">
        <f aca="false">0</f>
        <v>0</v>
      </c>
      <c r="AX90" s="44" t="n">
        <f aca="false">0</f>
        <v>0</v>
      </c>
      <c r="AY90" s="44" t="n">
        <f aca="false">0</f>
        <v>0</v>
      </c>
      <c r="AZ90" s="44" t="n">
        <f aca="false">0</f>
        <v>0</v>
      </c>
      <c r="BA90" s="44" t="n">
        <f aca="false">0</f>
        <v>0</v>
      </c>
    </row>
    <row r="91" customFormat="false" ht="15" hidden="false" customHeight="true" outlineLevel="0" collapsed="false">
      <c r="A91" s="35" t="s">
        <v>265</v>
      </c>
      <c r="B91" s="35" t="s">
        <v>11</v>
      </c>
      <c r="C91" s="44" t="n">
        <f aca="false">SUM(D91:BA91)</f>
        <v>0</v>
      </c>
      <c r="D91" s="44" t="n">
        <f aca="false">-D205</f>
        <v>-0</v>
      </c>
      <c r="E91" s="44" t="n">
        <f aca="false">-E205</f>
        <v>-0</v>
      </c>
      <c r="F91" s="44" t="n">
        <f aca="false">-F205</f>
        <v>-0</v>
      </c>
      <c r="G91" s="44" t="n">
        <f aca="false">-G205</f>
        <v>-0</v>
      </c>
      <c r="H91" s="44" t="n">
        <f aca="false">-H205</f>
        <v>-0</v>
      </c>
      <c r="I91" s="44" t="n">
        <f aca="false">-I205</f>
        <v>-0</v>
      </c>
      <c r="J91" s="44" t="n">
        <f aca="false">-J205</f>
        <v>-0</v>
      </c>
      <c r="K91" s="44" t="n">
        <f aca="false">-K205</f>
        <v>-0</v>
      </c>
      <c r="L91" s="44" t="n">
        <f aca="false">-L205</f>
        <v>-0</v>
      </c>
      <c r="M91" s="44" t="n">
        <f aca="false">-M205</f>
        <v>-0</v>
      </c>
      <c r="N91" s="44" t="n">
        <f aca="false">-N205</f>
        <v>-0</v>
      </c>
      <c r="O91" s="44" t="n">
        <f aca="false">-O205</f>
        <v>-0</v>
      </c>
      <c r="P91" s="44" t="n">
        <f aca="false">-P205</f>
        <v>-0</v>
      </c>
      <c r="Q91" s="44" t="n">
        <f aca="false">-Q205</f>
        <v>-0</v>
      </c>
      <c r="R91" s="44" t="n">
        <f aca="false">-R205</f>
        <v>-0</v>
      </c>
      <c r="S91" s="44" t="n">
        <f aca="false">-S205</f>
        <v>-0</v>
      </c>
      <c r="T91" s="44" t="n">
        <f aca="false">-T205</f>
        <v>-0</v>
      </c>
      <c r="U91" s="44" t="n">
        <f aca="false">-U205</f>
        <v>-0</v>
      </c>
      <c r="V91" s="44" t="n">
        <f aca="false">-V205</f>
        <v>-0</v>
      </c>
      <c r="W91" s="44" t="n">
        <f aca="false">-W205</f>
        <v>-0</v>
      </c>
      <c r="X91" s="44" t="n">
        <f aca="false">-X205</f>
        <v>-0</v>
      </c>
      <c r="Y91" s="44" t="n">
        <f aca="false">-Y205</f>
        <v>-0</v>
      </c>
      <c r="Z91" s="44" t="n">
        <f aca="false">-Z205</f>
        <v>-0</v>
      </c>
      <c r="AA91" s="44" t="n">
        <f aca="false">-AA205</f>
        <v>-0</v>
      </c>
      <c r="AB91" s="44" t="n">
        <f aca="false">-AB205</f>
        <v>-0</v>
      </c>
      <c r="AC91" s="44" t="n">
        <f aca="false">-AC205</f>
        <v>-0</v>
      </c>
      <c r="AD91" s="44" t="n">
        <f aca="false">-AD205</f>
        <v>-0</v>
      </c>
      <c r="AE91" s="44" t="n">
        <f aca="false">-AE205</f>
        <v>-0</v>
      </c>
      <c r="AF91" s="44" t="n">
        <f aca="false">-AF205</f>
        <v>-0</v>
      </c>
      <c r="AG91" s="44" t="n">
        <f aca="false">-AG205</f>
        <v>-0</v>
      </c>
      <c r="AH91" s="44" t="n">
        <f aca="false">-AH205</f>
        <v>-0</v>
      </c>
      <c r="AI91" s="44" t="n">
        <f aca="false">-AI205</f>
        <v>-0</v>
      </c>
      <c r="AJ91" s="44" t="n">
        <f aca="false">-AJ205</f>
        <v>-0</v>
      </c>
      <c r="AK91" s="44" t="n">
        <f aca="false">-AK205</f>
        <v>-0</v>
      </c>
      <c r="AL91" s="44" t="n">
        <f aca="false">-AL205</f>
        <v>-0</v>
      </c>
      <c r="AM91" s="44" t="n">
        <f aca="false">-AM205</f>
        <v>-0</v>
      </c>
      <c r="AN91" s="44" t="n">
        <f aca="false">-AN205</f>
        <v>-0</v>
      </c>
      <c r="AO91" s="44" t="n">
        <f aca="false">-AO205</f>
        <v>-0</v>
      </c>
      <c r="AP91" s="44" t="n">
        <f aca="false">-AP205</f>
        <v>-0</v>
      </c>
      <c r="AQ91" s="44" t="n">
        <f aca="false">-AQ205</f>
        <v>-0</v>
      </c>
      <c r="AR91" s="44" t="n">
        <f aca="false">-AR205</f>
        <v>-0</v>
      </c>
      <c r="AS91" s="44" t="n">
        <f aca="false">-AS205</f>
        <v>-0</v>
      </c>
      <c r="AT91" s="44" t="n">
        <f aca="false">-AT205</f>
        <v>-0</v>
      </c>
      <c r="AU91" s="44" t="n">
        <f aca="false">-AU205</f>
        <v>-0</v>
      </c>
      <c r="AV91" s="44" t="n">
        <f aca="false">-AV205</f>
        <v>-0</v>
      </c>
      <c r="AW91" s="44" t="n">
        <f aca="false">-AW205</f>
        <v>-0</v>
      </c>
      <c r="AX91" s="44" t="n">
        <f aca="false">-AX205</f>
        <v>-0</v>
      </c>
      <c r="AY91" s="44" t="n">
        <f aca="false">-AY205</f>
        <v>-0</v>
      </c>
      <c r="AZ91" s="44" t="n">
        <f aca="false">-AZ205</f>
        <v>-0</v>
      </c>
      <c r="BA91" s="44" t="n">
        <f aca="false">-BA205</f>
        <v>-0</v>
      </c>
    </row>
    <row r="92" customFormat="false" ht="15" hidden="false" customHeight="true" outlineLevel="0" collapsed="false">
      <c r="A92" s="47" t="s">
        <v>291</v>
      </c>
      <c r="B92" s="35" t="s">
        <v>11</v>
      </c>
      <c r="C92" s="44" t="n">
        <f aca="false">SUM(D92:BA92)</f>
        <v>0</v>
      </c>
      <c r="D92" s="44" t="n">
        <f aca="false">D89+D90+D91</f>
        <v>0</v>
      </c>
      <c r="E92" s="44" t="n">
        <f aca="false">E89+E90+E91</f>
        <v>0</v>
      </c>
      <c r="F92" s="44" t="n">
        <f aca="false">F89+F90+F91</f>
        <v>0</v>
      </c>
      <c r="G92" s="44" t="n">
        <f aca="false">G89+G90+G91</f>
        <v>0</v>
      </c>
      <c r="H92" s="44" t="n">
        <f aca="false">H89+H90+H91</f>
        <v>0</v>
      </c>
      <c r="I92" s="44" t="n">
        <f aca="false">I89+I90+I91</f>
        <v>0</v>
      </c>
      <c r="J92" s="44" t="n">
        <f aca="false">J89+J90+J91</f>
        <v>0</v>
      </c>
      <c r="K92" s="44" t="n">
        <f aca="false">K89+K90+K91</f>
        <v>0</v>
      </c>
      <c r="L92" s="44" t="n">
        <f aca="false">L89+L90+L91</f>
        <v>0</v>
      </c>
      <c r="M92" s="44" t="n">
        <f aca="false">M89+M90+M91</f>
        <v>0</v>
      </c>
      <c r="N92" s="44" t="n">
        <f aca="false">N89+N90+N91</f>
        <v>0</v>
      </c>
      <c r="O92" s="44" t="n">
        <f aca="false">O89+O90+O91</f>
        <v>0</v>
      </c>
      <c r="P92" s="44" t="n">
        <f aca="false">P89+P90+P91</f>
        <v>0</v>
      </c>
      <c r="Q92" s="44" t="n">
        <f aca="false">Q89+Q90+Q91</f>
        <v>0</v>
      </c>
      <c r="R92" s="44" t="n">
        <f aca="false">R89+R90+R91</f>
        <v>0</v>
      </c>
      <c r="S92" s="44" t="n">
        <f aca="false">S89+S90+S91</f>
        <v>0</v>
      </c>
      <c r="T92" s="44" t="n">
        <f aca="false">T89+T90+T91</f>
        <v>0</v>
      </c>
      <c r="U92" s="44" t="n">
        <f aca="false">U89+U90+U91</f>
        <v>0</v>
      </c>
      <c r="V92" s="44" t="n">
        <f aca="false">V89+V90+V91</f>
        <v>0</v>
      </c>
      <c r="W92" s="44" t="n">
        <f aca="false">W89+W90+W91</f>
        <v>0</v>
      </c>
      <c r="X92" s="44" t="n">
        <f aca="false">X89+X90+X91</f>
        <v>0</v>
      </c>
      <c r="Y92" s="44" t="n">
        <f aca="false">Y89+Y90+Y91</f>
        <v>0</v>
      </c>
      <c r="Z92" s="44" t="n">
        <f aca="false">Z89+Z90+Z91</f>
        <v>0</v>
      </c>
      <c r="AA92" s="44" t="n">
        <f aca="false">AA89+AA90+AA91</f>
        <v>0</v>
      </c>
      <c r="AB92" s="44" t="n">
        <f aca="false">AB89+AB90+AB91</f>
        <v>0</v>
      </c>
      <c r="AC92" s="44" t="n">
        <f aca="false">AC89+AC90+AC91</f>
        <v>0</v>
      </c>
      <c r="AD92" s="44" t="n">
        <f aca="false">AD89+AD90+AD91</f>
        <v>0</v>
      </c>
      <c r="AE92" s="44" t="n">
        <f aca="false">AE89+AE90+AE91</f>
        <v>0</v>
      </c>
      <c r="AF92" s="44" t="n">
        <f aca="false">AF89+AF90+AF91</f>
        <v>0</v>
      </c>
      <c r="AG92" s="44" t="n">
        <f aca="false">AG89+AG90+AG91</f>
        <v>0</v>
      </c>
      <c r="AH92" s="44" t="n">
        <f aca="false">AH89+AH90+AH91</f>
        <v>0</v>
      </c>
      <c r="AI92" s="44" t="n">
        <f aca="false">AI89+AI90+AI91</f>
        <v>0</v>
      </c>
      <c r="AJ92" s="44" t="n">
        <f aca="false">AJ89+AJ90+AJ91</f>
        <v>0</v>
      </c>
      <c r="AK92" s="44" t="n">
        <f aca="false">AK89+AK90+AK91</f>
        <v>0</v>
      </c>
      <c r="AL92" s="44" t="n">
        <f aca="false">AL89+AL90+AL91</f>
        <v>0</v>
      </c>
      <c r="AM92" s="44" t="n">
        <f aca="false">AM89+AM90+AM91</f>
        <v>0</v>
      </c>
      <c r="AN92" s="44" t="n">
        <f aca="false">AN89+AN90+AN91</f>
        <v>0</v>
      </c>
      <c r="AO92" s="44" t="n">
        <f aca="false">AO89+AO90+AO91</f>
        <v>0</v>
      </c>
      <c r="AP92" s="44" t="n">
        <f aca="false">AP89+AP90+AP91</f>
        <v>0</v>
      </c>
      <c r="AQ92" s="44" t="n">
        <f aca="false">AQ89+AQ90+AQ91</f>
        <v>0</v>
      </c>
      <c r="AR92" s="44" t="n">
        <f aca="false">AR89+AR90+AR91</f>
        <v>0</v>
      </c>
      <c r="AS92" s="44" t="n">
        <f aca="false">AS89+AS90+AS91</f>
        <v>0</v>
      </c>
      <c r="AT92" s="44" t="n">
        <f aca="false">AT89+AT90+AT91</f>
        <v>0</v>
      </c>
      <c r="AU92" s="44" t="n">
        <f aca="false">AU89+AU90+AU91</f>
        <v>0</v>
      </c>
      <c r="AV92" s="44" t="n">
        <f aca="false">AV89+AV90+AV91</f>
        <v>0</v>
      </c>
      <c r="AW92" s="44" t="n">
        <f aca="false">AW89+AW90+AW91</f>
        <v>0</v>
      </c>
      <c r="AX92" s="44" t="n">
        <f aca="false">AX89+AX90+AX91</f>
        <v>0</v>
      </c>
      <c r="AY92" s="44" t="n">
        <f aca="false">AY89+AY90+AY91</f>
        <v>0</v>
      </c>
      <c r="AZ92" s="44" t="n">
        <f aca="false">AZ89+AZ90+AZ91</f>
        <v>0</v>
      </c>
      <c r="BA92" s="44" t="n">
        <f aca="false">BA89+BA90+BA91</f>
        <v>0</v>
      </c>
    </row>
    <row r="93" customFormat="false" ht="15" hidden="false" customHeight="true" outlineLevel="0" collapsed="false">
      <c r="A93" s="10" t="s">
        <v>292</v>
      </c>
      <c r="B93" s="35" t="s">
        <v>268</v>
      </c>
      <c r="C93" s="41" t="str">
        <f aca="false">IFERROR(IRR(D92:BA92),"-")</f>
        <v>-</v>
      </c>
    </row>
    <row r="95" customFormat="false" ht="15" hidden="false" customHeight="true" outlineLevel="0" collapsed="false">
      <c r="A95" s="45" t="s">
        <v>58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</row>
    <row r="96" customFormat="false" ht="15" hidden="false" customHeight="true" outlineLevel="0" collapsed="false">
      <c r="A96" s="35" t="s">
        <v>263</v>
      </c>
      <c r="B96" s="35" t="s">
        <v>11</v>
      </c>
      <c r="C96" s="44" t="n">
        <f aca="false">SUM(D96:BA96)</f>
        <v>0</v>
      </c>
      <c r="D96" s="44" t="n">
        <f aca="false">D188</f>
        <v>0</v>
      </c>
      <c r="E96" s="44" t="n">
        <f aca="false">E188</f>
        <v>0</v>
      </c>
      <c r="F96" s="44" t="n">
        <f aca="false">F188</f>
        <v>0</v>
      </c>
      <c r="G96" s="44" t="n">
        <f aca="false">G188</f>
        <v>0</v>
      </c>
      <c r="H96" s="44" t="n">
        <f aca="false">H188</f>
        <v>0</v>
      </c>
      <c r="I96" s="44" t="n">
        <f aca="false">I188</f>
        <v>0</v>
      </c>
      <c r="J96" s="44" t="n">
        <f aca="false">J188</f>
        <v>0</v>
      </c>
      <c r="K96" s="44" t="n">
        <f aca="false">K188</f>
        <v>0</v>
      </c>
      <c r="L96" s="44" t="n">
        <f aca="false">L188</f>
        <v>0</v>
      </c>
      <c r="M96" s="44" t="n">
        <f aca="false">M188</f>
        <v>0</v>
      </c>
      <c r="N96" s="44" t="n">
        <f aca="false">N188</f>
        <v>0</v>
      </c>
      <c r="O96" s="44" t="n">
        <f aca="false">O188</f>
        <v>0</v>
      </c>
      <c r="P96" s="44" t="n">
        <f aca="false">P188</f>
        <v>0</v>
      </c>
      <c r="Q96" s="44" t="n">
        <f aca="false">Q188</f>
        <v>0</v>
      </c>
      <c r="R96" s="44" t="n">
        <f aca="false">R188</f>
        <v>0</v>
      </c>
      <c r="S96" s="44" t="n">
        <f aca="false">S188</f>
        <v>0</v>
      </c>
      <c r="T96" s="44" t="n">
        <f aca="false">T188</f>
        <v>0</v>
      </c>
      <c r="U96" s="44" t="n">
        <f aca="false">U188</f>
        <v>0</v>
      </c>
      <c r="V96" s="44" t="n">
        <f aca="false">V188</f>
        <v>0</v>
      </c>
      <c r="W96" s="44" t="n">
        <f aca="false">W188</f>
        <v>0</v>
      </c>
      <c r="X96" s="44" t="n">
        <f aca="false">X188</f>
        <v>0</v>
      </c>
      <c r="Y96" s="44" t="n">
        <f aca="false">Y188</f>
        <v>0</v>
      </c>
      <c r="Z96" s="44" t="n">
        <f aca="false">Z188</f>
        <v>0</v>
      </c>
      <c r="AA96" s="44" t="n">
        <f aca="false">AA188</f>
        <v>0</v>
      </c>
      <c r="AB96" s="44" t="n">
        <f aca="false">AB188</f>
        <v>0</v>
      </c>
      <c r="AC96" s="44" t="n">
        <f aca="false">AC188</f>
        <v>0</v>
      </c>
      <c r="AD96" s="44" t="n">
        <f aca="false">AD188</f>
        <v>0</v>
      </c>
      <c r="AE96" s="44" t="n">
        <f aca="false">AE188</f>
        <v>0</v>
      </c>
      <c r="AF96" s="44" t="n">
        <f aca="false">AF188</f>
        <v>0</v>
      </c>
      <c r="AG96" s="44" t="n">
        <f aca="false">AG188</f>
        <v>0</v>
      </c>
      <c r="AH96" s="44" t="n">
        <f aca="false">AH188</f>
        <v>0</v>
      </c>
      <c r="AI96" s="44" t="n">
        <f aca="false">AI188</f>
        <v>0</v>
      </c>
      <c r="AJ96" s="44" t="n">
        <f aca="false">AJ188</f>
        <v>0</v>
      </c>
      <c r="AK96" s="44" t="n">
        <f aca="false">AK188</f>
        <v>0</v>
      </c>
      <c r="AL96" s="44" t="n">
        <f aca="false">AL188</f>
        <v>0</v>
      </c>
      <c r="AM96" s="44" t="n">
        <f aca="false">AM188</f>
        <v>0</v>
      </c>
      <c r="AN96" s="44" t="n">
        <f aca="false">AN188</f>
        <v>0</v>
      </c>
      <c r="AO96" s="44" t="n">
        <f aca="false">AO188</f>
        <v>0</v>
      </c>
      <c r="AP96" s="44" t="n">
        <f aca="false">AP188</f>
        <v>0</v>
      </c>
      <c r="AQ96" s="44" t="n">
        <f aca="false">AQ188</f>
        <v>0</v>
      </c>
      <c r="AR96" s="44" t="n">
        <f aca="false">AR188</f>
        <v>0</v>
      </c>
      <c r="AS96" s="44" t="n">
        <f aca="false">AS188</f>
        <v>0</v>
      </c>
      <c r="AT96" s="44" t="n">
        <f aca="false">AT188</f>
        <v>0</v>
      </c>
      <c r="AU96" s="44" t="n">
        <f aca="false">AU188</f>
        <v>0</v>
      </c>
      <c r="AV96" s="44" t="n">
        <f aca="false">AV188</f>
        <v>0</v>
      </c>
      <c r="AW96" s="44" t="n">
        <f aca="false">AW188</f>
        <v>0</v>
      </c>
      <c r="AX96" s="44" t="n">
        <f aca="false">AX188</f>
        <v>0</v>
      </c>
      <c r="AY96" s="44" t="n">
        <f aca="false">AY188</f>
        <v>0</v>
      </c>
      <c r="AZ96" s="44" t="n">
        <f aca="false">AZ188</f>
        <v>0</v>
      </c>
      <c r="BA96" s="44" t="n">
        <f aca="false">BA188</f>
        <v>0</v>
      </c>
    </row>
    <row r="97" customFormat="false" ht="15" hidden="false" customHeight="true" outlineLevel="0" collapsed="false">
      <c r="A97" s="35" t="s">
        <v>264</v>
      </c>
      <c r="B97" s="35" t="s">
        <v>11</v>
      </c>
      <c r="C97" s="44" t="n">
        <f aca="false">SUM(D97:BA97)</f>
        <v>0</v>
      </c>
      <c r="D97" s="44" t="n">
        <f aca="false">0</f>
        <v>0</v>
      </c>
      <c r="E97" s="44" t="n">
        <f aca="false">0</f>
        <v>0</v>
      </c>
      <c r="F97" s="44" t="n">
        <f aca="false">0</f>
        <v>0</v>
      </c>
      <c r="G97" s="44" t="n">
        <f aca="false">0</f>
        <v>0</v>
      </c>
      <c r="H97" s="44" t="n">
        <f aca="false">0</f>
        <v>0</v>
      </c>
      <c r="I97" s="44" t="n">
        <f aca="false">0</f>
        <v>0</v>
      </c>
      <c r="J97" s="44" t="n">
        <f aca="false">0</f>
        <v>0</v>
      </c>
      <c r="K97" s="44" t="n">
        <f aca="false">0</f>
        <v>0</v>
      </c>
      <c r="L97" s="44" t="n">
        <f aca="false">0</f>
        <v>0</v>
      </c>
      <c r="M97" s="44" t="n">
        <f aca="false">0</f>
        <v>0</v>
      </c>
      <c r="N97" s="44" t="n">
        <f aca="false">0</f>
        <v>0</v>
      </c>
      <c r="O97" s="44" t="n">
        <f aca="false">0</f>
        <v>0</v>
      </c>
      <c r="P97" s="44" t="n">
        <f aca="false">0</f>
        <v>0</v>
      </c>
      <c r="Q97" s="44" t="n">
        <f aca="false">0</f>
        <v>0</v>
      </c>
      <c r="R97" s="44" t="n">
        <f aca="false">0</f>
        <v>0</v>
      </c>
      <c r="S97" s="44" t="n">
        <f aca="false">0</f>
        <v>0</v>
      </c>
      <c r="T97" s="44" t="n">
        <f aca="false">0</f>
        <v>0</v>
      </c>
      <c r="U97" s="44" t="n">
        <f aca="false">0</f>
        <v>0</v>
      </c>
      <c r="V97" s="44" t="n">
        <f aca="false">0</f>
        <v>0</v>
      </c>
      <c r="W97" s="44" t="n">
        <f aca="false">0</f>
        <v>0</v>
      </c>
      <c r="X97" s="44" t="n">
        <f aca="false">0</f>
        <v>0</v>
      </c>
      <c r="Y97" s="44" t="n">
        <f aca="false">0</f>
        <v>0</v>
      </c>
      <c r="Z97" s="44" t="n">
        <f aca="false">0</f>
        <v>0</v>
      </c>
      <c r="AA97" s="44" t="n">
        <f aca="false">0</f>
        <v>0</v>
      </c>
      <c r="AB97" s="44" t="n">
        <f aca="false">0</f>
        <v>0</v>
      </c>
      <c r="AC97" s="44" t="n">
        <f aca="false">0</f>
        <v>0</v>
      </c>
      <c r="AD97" s="44" t="n">
        <f aca="false">0</f>
        <v>0</v>
      </c>
      <c r="AE97" s="44" t="n">
        <f aca="false">0</f>
        <v>0</v>
      </c>
      <c r="AF97" s="44" t="n">
        <f aca="false">0</f>
        <v>0</v>
      </c>
      <c r="AG97" s="44" t="n">
        <f aca="false">0</f>
        <v>0</v>
      </c>
      <c r="AH97" s="44" t="n">
        <f aca="false">0</f>
        <v>0</v>
      </c>
      <c r="AI97" s="44" t="n">
        <f aca="false">0</f>
        <v>0</v>
      </c>
      <c r="AJ97" s="44" t="n">
        <f aca="false">0</f>
        <v>0</v>
      </c>
      <c r="AK97" s="44" t="n">
        <f aca="false">0</f>
        <v>0</v>
      </c>
      <c r="AL97" s="44" t="n">
        <f aca="false">0</f>
        <v>0</v>
      </c>
      <c r="AM97" s="44" t="n">
        <f aca="false">0</f>
        <v>0</v>
      </c>
      <c r="AN97" s="44" t="n">
        <f aca="false">0</f>
        <v>0</v>
      </c>
      <c r="AO97" s="44" t="n">
        <f aca="false">0</f>
        <v>0</v>
      </c>
      <c r="AP97" s="44" t="n">
        <f aca="false">0</f>
        <v>0</v>
      </c>
      <c r="AQ97" s="44" t="n">
        <f aca="false">0</f>
        <v>0</v>
      </c>
      <c r="AR97" s="44" t="n">
        <f aca="false">0</f>
        <v>0</v>
      </c>
      <c r="AS97" s="44" t="n">
        <f aca="false">0</f>
        <v>0</v>
      </c>
      <c r="AT97" s="44" t="n">
        <f aca="false">0</f>
        <v>0</v>
      </c>
      <c r="AU97" s="44" t="n">
        <f aca="false">0</f>
        <v>0</v>
      </c>
      <c r="AV97" s="44" t="n">
        <f aca="false">0</f>
        <v>0</v>
      </c>
      <c r="AW97" s="44" t="n">
        <f aca="false">0</f>
        <v>0</v>
      </c>
      <c r="AX97" s="44" t="n">
        <f aca="false">0</f>
        <v>0</v>
      </c>
      <c r="AY97" s="44" t="n">
        <f aca="false">0</f>
        <v>0</v>
      </c>
      <c r="AZ97" s="44" t="n">
        <f aca="false">0</f>
        <v>0</v>
      </c>
      <c r="BA97" s="44" t="n">
        <f aca="false">0</f>
        <v>0</v>
      </c>
    </row>
    <row r="98" customFormat="false" ht="15" hidden="false" customHeight="true" outlineLevel="0" collapsed="false">
      <c r="A98" s="35" t="s">
        <v>265</v>
      </c>
      <c r="B98" s="35" t="s">
        <v>11</v>
      </c>
      <c r="C98" s="44" t="n">
        <f aca="false">SUM(D98:BA98)</f>
        <v>0</v>
      </c>
      <c r="D98" s="44" t="n">
        <f aca="false">-D206</f>
        <v>-0</v>
      </c>
      <c r="E98" s="44" t="n">
        <f aca="false">-E206</f>
        <v>-0</v>
      </c>
      <c r="F98" s="44" t="n">
        <f aca="false">-F206</f>
        <v>-0</v>
      </c>
      <c r="G98" s="44" t="n">
        <f aca="false">-G206</f>
        <v>-0</v>
      </c>
      <c r="H98" s="44" t="n">
        <f aca="false">-H206</f>
        <v>-0</v>
      </c>
      <c r="I98" s="44" t="n">
        <f aca="false">-I206</f>
        <v>-0</v>
      </c>
      <c r="J98" s="44" t="n">
        <f aca="false">-J206</f>
        <v>-0</v>
      </c>
      <c r="K98" s="44" t="n">
        <f aca="false">-K206</f>
        <v>-0</v>
      </c>
      <c r="L98" s="44" t="n">
        <f aca="false">-L206</f>
        <v>-0</v>
      </c>
      <c r="M98" s="44" t="n">
        <f aca="false">-M206</f>
        <v>-0</v>
      </c>
      <c r="N98" s="44" t="n">
        <f aca="false">-N206</f>
        <v>-0</v>
      </c>
      <c r="O98" s="44" t="n">
        <f aca="false">-O206</f>
        <v>-0</v>
      </c>
      <c r="P98" s="44" t="n">
        <f aca="false">-P206</f>
        <v>-0</v>
      </c>
      <c r="Q98" s="44" t="n">
        <f aca="false">-Q206</f>
        <v>-0</v>
      </c>
      <c r="R98" s="44" t="n">
        <f aca="false">-R206</f>
        <v>-0</v>
      </c>
      <c r="S98" s="44" t="n">
        <f aca="false">-S206</f>
        <v>-0</v>
      </c>
      <c r="T98" s="44" t="n">
        <f aca="false">-T206</f>
        <v>-0</v>
      </c>
      <c r="U98" s="44" t="n">
        <f aca="false">-U206</f>
        <v>-0</v>
      </c>
      <c r="V98" s="44" t="n">
        <f aca="false">-V206</f>
        <v>-0</v>
      </c>
      <c r="W98" s="44" t="n">
        <f aca="false">-W206</f>
        <v>-0</v>
      </c>
      <c r="X98" s="44" t="n">
        <f aca="false">-X206</f>
        <v>-0</v>
      </c>
      <c r="Y98" s="44" t="n">
        <f aca="false">-Y206</f>
        <v>-0</v>
      </c>
      <c r="Z98" s="44" t="n">
        <f aca="false">-Z206</f>
        <v>-0</v>
      </c>
      <c r="AA98" s="44" t="n">
        <f aca="false">-AA206</f>
        <v>-0</v>
      </c>
      <c r="AB98" s="44" t="n">
        <f aca="false">-AB206</f>
        <v>-0</v>
      </c>
      <c r="AC98" s="44" t="n">
        <f aca="false">-AC206</f>
        <v>-0</v>
      </c>
      <c r="AD98" s="44" t="n">
        <f aca="false">-AD206</f>
        <v>-0</v>
      </c>
      <c r="AE98" s="44" t="n">
        <f aca="false">-AE206</f>
        <v>-0</v>
      </c>
      <c r="AF98" s="44" t="n">
        <f aca="false">-AF206</f>
        <v>-0</v>
      </c>
      <c r="AG98" s="44" t="n">
        <f aca="false">-AG206</f>
        <v>-0</v>
      </c>
      <c r="AH98" s="44" t="n">
        <f aca="false">-AH206</f>
        <v>-0</v>
      </c>
      <c r="AI98" s="44" t="n">
        <f aca="false">-AI206</f>
        <v>-0</v>
      </c>
      <c r="AJ98" s="44" t="n">
        <f aca="false">-AJ206</f>
        <v>-0</v>
      </c>
      <c r="AK98" s="44" t="n">
        <f aca="false">-AK206</f>
        <v>-0</v>
      </c>
      <c r="AL98" s="44" t="n">
        <f aca="false">-AL206</f>
        <v>-0</v>
      </c>
      <c r="AM98" s="44" t="n">
        <f aca="false">-AM206</f>
        <v>-0</v>
      </c>
      <c r="AN98" s="44" t="n">
        <f aca="false">-AN206</f>
        <v>-0</v>
      </c>
      <c r="AO98" s="44" t="n">
        <f aca="false">-AO206</f>
        <v>-0</v>
      </c>
      <c r="AP98" s="44" t="n">
        <f aca="false">-AP206</f>
        <v>-0</v>
      </c>
      <c r="AQ98" s="44" t="n">
        <f aca="false">-AQ206</f>
        <v>-0</v>
      </c>
      <c r="AR98" s="44" t="n">
        <f aca="false">-AR206</f>
        <v>-0</v>
      </c>
      <c r="AS98" s="44" t="n">
        <f aca="false">-AS206</f>
        <v>-0</v>
      </c>
      <c r="AT98" s="44" t="n">
        <f aca="false">-AT206</f>
        <v>-0</v>
      </c>
      <c r="AU98" s="44" t="n">
        <f aca="false">-AU206</f>
        <v>-0</v>
      </c>
      <c r="AV98" s="44" t="n">
        <f aca="false">-AV206</f>
        <v>-0</v>
      </c>
      <c r="AW98" s="44" t="n">
        <f aca="false">-AW206</f>
        <v>-0</v>
      </c>
      <c r="AX98" s="44" t="n">
        <f aca="false">-AX206</f>
        <v>-0</v>
      </c>
      <c r="AY98" s="44" t="n">
        <f aca="false">-AY206</f>
        <v>-0</v>
      </c>
      <c r="AZ98" s="44" t="n">
        <f aca="false">-AZ206</f>
        <v>-0</v>
      </c>
      <c r="BA98" s="44" t="n">
        <f aca="false">-BA206</f>
        <v>-0</v>
      </c>
    </row>
    <row r="99" customFormat="false" ht="15" hidden="false" customHeight="true" outlineLevel="0" collapsed="false">
      <c r="A99" s="47" t="s">
        <v>293</v>
      </c>
      <c r="B99" s="35" t="s">
        <v>11</v>
      </c>
      <c r="C99" s="44" t="n">
        <f aca="false">SUM(D99:BA99)</f>
        <v>0</v>
      </c>
      <c r="D99" s="44" t="n">
        <f aca="false">D96+D97+D98</f>
        <v>0</v>
      </c>
      <c r="E99" s="44" t="n">
        <f aca="false">E96+E97+E98</f>
        <v>0</v>
      </c>
      <c r="F99" s="44" t="n">
        <f aca="false">F96+F97+F98</f>
        <v>0</v>
      </c>
      <c r="G99" s="44" t="n">
        <f aca="false">G96+G97+G98</f>
        <v>0</v>
      </c>
      <c r="H99" s="44" t="n">
        <f aca="false">H96+H97+H98</f>
        <v>0</v>
      </c>
      <c r="I99" s="44" t="n">
        <f aca="false">I96+I97+I98</f>
        <v>0</v>
      </c>
      <c r="J99" s="44" t="n">
        <f aca="false">J96+J97+J98</f>
        <v>0</v>
      </c>
      <c r="K99" s="44" t="n">
        <f aca="false">K96+K97+K98</f>
        <v>0</v>
      </c>
      <c r="L99" s="44" t="n">
        <f aca="false">L96+L97+L98</f>
        <v>0</v>
      </c>
      <c r="M99" s="44" t="n">
        <f aca="false">M96+M97+M98</f>
        <v>0</v>
      </c>
      <c r="N99" s="44" t="n">
        <f aca="false">N96+N97+N98</f>
        <v>0</v>
      </c>
      <c r="O99" s="44" t="n">
        <f aca="false">O96+O97+O98</f>
        <v>0</v>
      </c>
      <c r="P99" s="44" t="n">
        <f aca="false">P96+P97+P98</f>
        <v>0</v>
      </c>
      <c r="Q99" s="44" t="n">
        <f aca="false">Q96+Q97+Q98</f>
        <v>0</v>
      </c>
      <c r="R99" s="44" t="n">
        <f aca="false">R96+R97+R98</f>
        <v>0</v>
      </c>
      <c r="S99" s="44" t="n">
        <f aca="false">S96+S97+S98</f>
        <v>0</v>
      </c>
      <c r="T99" s="44" t="n">
        <f aca="false">T96+T97+T98</f>
        <v>0</v>
      </c>
      <c r="U99" s="44" t="n">
        <f aca="false">U96+U97+U98</f>
        <v>0</v>
      </c>
      <c r="V99" s="44" t="n">
        <f aca="false">V96+V97+V98</f>
        <v>0</v>
      </c>
      <c r="W99" s="44" t="n">
        <f aca="false">W96+W97+W98</f>
        <v>0</v>
      </c>
      <c r="X99" s="44" t="n">
        <f aca="false">X96+X97+X98</f>
        <v>0</v>
      </c>
      <c r="Y99" s="44" t="n">
        <f aca="false">Y96+Y97+Y98</f>
        <v>0</v>
      </c>
      <c r="Z99" s="44" t="n">
        <f aca="false">Z96+Z97+Z98</f>
        <v>0</v>
      </c>
      <c r="AA99" s="44" t="n">
        <f aca="false">AA96+AA97+AA98</f>
        <v>0</v>
      </c>
      <c r="AB99" s="44" t="n">
        <f aca="false">AB96+AB97+AB98</f>
        <v>0</v>
      </c>
      <c r="AC99" s="44" t="n">
        <f aca="false">AC96+AC97+AC98</f>
        <v>0</v>
      </c>
      <c r="AD99" s="44" t="n">
        <f aca="false">AD96+AD97+AD98</f>
        <v>0</v>
      </c>
      <c r="AE99" s="44" t="n">
        <f aca="false">AE96+AE97+AE98</f>
        <v>0</v>
      </c>
      <c r="AF99" s="44" t="n">
        <f aca="false">AF96+AF97+AF98</f>
        <v>0</v>
      </c>
      <c r="AG99" s="44" t="n">
        <f aca="false">AG96+AG97+AG98</f>
        <v>0</v>
      </c>
      <c r="AH99" s="44" t="n">
        <f aca="false">AH96+AH97+AH98</f>
        <v>0</v>
      </c>
      <c r="AI99" s="44" t="n">
        <f aca="false">AI96+AI97+AI98</f>
        <v>0</v>
      </c>
      <c r="AJ99" s="44" t="n">
        <f aca="false">AJ96+AJ97+AJ98</f>
        <v>0</v>
      </c>
      <c r="AK99" s="44" t="n">
        <f aca="false">AK96+AK97+AK98</f>
        <v>0</v>
      </c>
      <c r="AL99" s="44" t="n">
        <f aca="false">AL96+AL97+AL98</f>
        <v>0</v>
      </c>
      <c r="AM99" s="44" t="n">
        <f aca="false">AM96+AM97+AM98</f>
        <v>0</v>
      </c>
      <c r="AN99" s="44" t="n">
        <f aca="false">AN96+AN97+AN98</f>
        <v>0</v>
      </c>
      <c r="AO99" s="44" t="n">
        <f aca="false">AO96+AO97+AO98</f>
        <v>0</v>
      </c>
      <c r="AP99" s="44" t="n">
        <f aca="false">AP96+AP97+AP98</f>
        <v>0</v>
      </c>
      <c r="AQ99" s="44" t="n">
        <f aca="false">AQ96+AQ97+AQ98</f>
        <v>0</v>
      </c>
      <c r="AR99" s="44" t="n">
        <f aca="false">AR96+AR97+AR98</f>
        <v>0</v>
      </c>
      <c r="AS99" s="44" t="n">
        <f aca="false">AS96+AS97+AS98</f>
        <v>0</v>
      </c>
      <c r="AT99" s="44" t="n">
        <f aca="false">AT96+AT97+AT98</f>
        <v>0</v>
      </c>
      <c r="AU99" s="44" t="n">
        <f aca="false">AU96+AU97+AU98</f>
        <v>0</v>
      </c>
      <c r="AV99" s="44" t="n">
        <f aca="false">AV96+AV97+AV98</f>
        <v>0</v>
      </c>
      <c r="AW99" s="44" t="n">
        <f aca="false">AW96+AW97+AW98</f>
        <v>0</v>
      </c>
      <c r="AX99" s="44" t="n">
        <f aca="false">AX96+AX97+AX98</f>
        <v>0</v>
      </c>
      <c r="AY99" s="44" t="n">
        <f aca="false">AY96+AY97+AY98</f>
        <v>0</v>
      </c>
      <c r="AZ99" s="44" t="n">
        <f aca="false">AZ96+AZ97+AZ98</f>
        <v>0</v>
      </c>
      <c r="BA99" s="44" t="n">
        <f aca="false">BA96+BA97+BA98</f>
        <v>0</v>
      </c>
    </row>
    <row r="100" customFormat="false" ht="15" hidden="false" customHeight="true" outlineLevel="0" collapsed="false">
      <c r="A100" s="10" t="s">
        <v>294</v>
      </c>
      <c r="B100" s="35" t="s">
        <v>268</v>
      </c>
      <c r="C100" s="41" t="str">
        <f aca="false">IFERROR(IRR(D99:BA99),"-")</f>
        <v>-</v>
      </c>
    </row>
    <row r="102" customFormat="false" ht="15" hidden="false" customHeight="true" outlineLevel="0" collapsed="false">
      <c r="A102" s="45" t="s">
        <v>59</v>
      </c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</row>
    <row r="103" customFormat="false" ht="15" hidden="false" customHeight="true" outlineLevel="0" collapsed="false">
      <c r="A103" s="35" t="s">
        <v>263</v>
      </c>
      <c r="B103" s="35" t="s">
        <v>11</v>
      </c>
      <c r="C103" s="44" t="n">
        <f aca="false">SUM(D103:BA103)</f>
        <v>0</v>
      </c>
      <c r="D103" s="44" t="n">
        <f aca="false">D189</f>
        <v>0</v>
      </c>
      <c r="E103" s="44" t="n">
        <f aca="false">E189</f>
        <v>0</v>
      </c>
      <c r="F103" s="44" t="n">
        <f aca="false">F189</f>
        <v>0</v>
      </c>
      <c r="G103" s="44" t="n">
        <f aca="false">G189</f>
        <v>0</v>
      </c>
      <c r="H103" s="44" t="n">
        <f aca="false">H189</f>
        <v>0</v>
      </c>
      <c r="I103" s="44" t="n">
        <f aca="false">I189</f>
        <v>0</v>
      </c>
      <c r="J103" s="44" t="n">
        <f aca="false">J189</f>
        <v>0</v>
      </c>
      <c r="K103" s="44" t="n">
        <f aca="false">K189</f>
        <v>0</v>
      </c>
      <c r="L103" s="44" t="n">
        <f aca="false">L189</f>
        <v>0</v>
      </c>
      <c r="M103" s="44" t="n">
        <f aca="false">M189</f>
        <v>0</v>
      </c>
      <c r="N103" s="44" t="n">
        <f aca="false">N189</f>
        <v>0</v>
      </c>
      <c r="O103" s="44" t="n">
        <f aca="false">O189</f>
        <v>0</v>
      </c>
      <c r="P103" s="44" t="n">
        <f aca="false">P189</f>
        <v>0</v>
      </c>
      <c r="Q103" s="44" t="n">
        <f aca="false">Q189</f>
        <v>0</v>
      </c>
      <c r="R103" s="44" t="n">
        <f aca="false">R189</f>
        <v>0</v>
      </c>
      <c r="S103" s="44" t="n">
        <f aca="false">S189</f>
        <v>0</v>
      </c>
      <c r="T103" s="44" t="n">
        <f aca="false">T189</f>
        <v>0</v>
      </c>
      <c r="U103" s="44" t="n">
        <f aca="false">U189</f>
        <v>0</v>
      </c>
      <c r="V103" s="44" t="n">
        <f aca="false">V189</f>
        <v>0</v>
      </c>
      <c r="W103" s="44" t="n">
        <f aca="false">W189</f>
        <v>0</v>
      </c>
      <c r="X103" s="44" t="n">
        <f aca="false">X189</f>
        <v>0</v>
      </c>
      <c r="Y103" s="44" t="n">
        <f aca="false">Y189</f>
        <v>0</v>
      </c>
      <c r="Z103" s="44" t="n">
        <f aca="false">Z189</f>
        <v>0</v>
      </c>
      <c r="AA103" s="44" t="n">
        <f aca="false">AA189</f>
        <v>0</v>
      </c>
      <c r="AB103" s="44" t="n">
        <f aca="false">AB189</f>
        <v>0</v>
      </c>
      <c r="AC103" s="44" t="n">
        <f aca="false">AC189</f>
        <v>0</v>
      </c>
      <c r="AD103" s="44" t="n">
        <f aca="false">AD189</f>
        <v>0</v>
      </c>
      <c r="AE103" s="44" t="n">
        <f aca="false">AE189</f>
        <v>0</v>
      </c>
      <c r="AF103" s="44" t="n">
        <f aca="false">AF189</f>
        <v>0</v>
      </c>
      <c r="AG103" s="44" t="n">
        <f aca="false">AG189</f>
        <v>0</v>
      </c>
      <c r="AH103" s="44" t="n">
        <f aca="false">AH189</f>
        <v>0</v>
      </c>
      <c r="AI103" s="44" t="n">
        <f aca="false">AI189</f>
        <v>0</v>
      </c>
      <c r="AJ103" s="44" t="n">
        <f aca="false">AJ189</f>
        <v>0</v>
      </c>
      <c r="AK103" s="44" t="n">
        <f aca="false">AK189</f>
        <v>0</v>
      </c>
      <c r="AL103" s="44" t="n">
        <f aca="false">AL189</f>
        <v>0</v>
      </c>
      <c r="AM103" s="44" t="n">
        <f aca="false">AM189</f>
        <v>0</v>
      </c>
      <c r="AN103" s="44" t="n">
        <f aca="false">AN189</f>
        <v>0</v>
      </c>
      <c r="AO103" s="44" t="n">
        <f aca="false">AO189</f>
        <v>0</v>
      </c>
      <c r="AP103" s="44" t="n">
        <f aca="false">AP189</f>
        <v>0</v>
      </c>
      <c r="AQ103" s="44" t="n">
        <f aca="false">AQ189</f>
        <v>0</v>
      </c>
      <c r="AR103" s="44" t="n">
        <f aca="false">AR189</f>
        <v>0</v>
      </c>
      <c r="AS103" s="44" t="n">
        <f aca="false">AS189</f>
        <v>0</v>
      </c>
      <c r="AT103" s="44" t="n">
        <f aca="false">AT189</f>
        <v>0</v>
      </c>
      <c r="AU103" s="44" t="n">
        <f aca="false">AU189</f>
        <v>0</v>
      </c>
      <c r="AV103" s="44" t="n">
        <f aca="false">AV189</f>
        <v>0</v>
      </c>
      <c r="AW103" s="44" t="n">
        <f aca="false">AW189</f>
        <v>0</v>
      </c>
      <c r="AX103" s="44" t="n">
        <f aca="false">AX189</f>
        <v>0</v>
      </c>
      <c r="AY103" s="44" t="n">
        <f aca="false">AY189</f>
        <v>0</v>
      </c>
      <c r="AZ103" s="44" t="n">
        <f aca="false">AZ189</f>
        <v>0</v>
      </c>
      <c r="BA103" s="44" t="n">
        <f aca="false">BA189</f>
        <v>0</v>
      </c>
    </row>
    <row r="104" customFormat="false" ht="15" hidden="false" customHeight="true" outlineLevel="0" collapsed="false">
      <c r="A104" s="35" t="s">
        <v>264</v>
      </c>
      <c r="B104" s="35" t="s">
        <v>11</v>
      </c>
      <c r="C104" s="44" t="n">
        <f aca="false">SUM(D104:BA104)</f>
        <v>0</v>
      </c>
      <c r="D104" s="44" t="n">
        <f aca="false">0</f>
        <v>0</v>
      </c>
      <c r="E104" s="44" t="n">
        <f aca="false">0</f>
        <v>0</v>
      </c>
      <c r="F104" s="44" t="n">
        <f aca="false">0</f>
        <v>0</v>
      </c>
      <c r="G104" s="44" t="n">
        <f aca="false">0</f>
        <v>0</v>
      </c>
      <c r="H104" s="44" t="n">
        <f aca="false">0</f>
        <v>0</v>
      </c>
      <c r="I104" s="44" t="n">
        <f aca="false">0</f>
        <v>0</v>
      </c>
      <c r="J104" s="44" t="n">
        <f aca="false">0</f>
        <v>0</v>
      </c>
      <c r="K104" s="44" t="n">
        <f aca="false">0</f>
        <v>0</v>
      </c>
      <c r="L104" s="44" t="n">
        <f aca="false">0</f>
        <v>0</v>
      </c>
      <c r="M104" s="44" t="n">
        <f aca="false">0</f>
        <v>0</v>
      </c>
      <c r="N104" s="44" t="n">
        <f aca="false">0</f>
        <v>0</v>
      </c>
      <c r="O104" s="44" t="n">
        <f aca="false">0</f>
        <v>0</v>
      </c>
      <c r="P104" s="44" t="n">
        <f aca="false">0</f>
        <v>0</v>
      </c>
      <c r="Q104" s="44" t="n">
        <f aca="false">0</f>
        <v>0</v>
      </c>
      <c r="R104" s="44" t="n">
        <f aca="false">0</f>
        <v>0</v>
      </c>
      <c r="S104" s="44" t="n">
        <f aca="false">0</f>
        <v>0</v>
      </c>
      <c r="T104" s="44" t="n">
        <f aca="false">0</f>
        <v>0</v>
      </c>
      <c r="U104" s="44" t="n">
        <f aca="false">0</f>
        <v>0</v>
      </c>
      <c r="V104" s="44" t="n">
        <f aca="false">0</f>
        <v>0</v>
      </c>
      <c r="W104" s="44" t="n">
        <f aca="false">0</f>
        <v>0</v>
      </c>
      <c r="X104" s="44" t="n">
        <f aca="false">0</f>
        <v>0</v>
      </c>
      <c r="Y104" s="44" t="n">
        <f aca="false">0</f>
        <v>0</v>
      </c>
      <c r="Z104" s="44" t="n">
        <f aca="false">0</f>
        <v>0</v>
      </c>
      <c r="AA104" s="44" t="n">
        <f aca="false">0</f>
        <v>0</v>
      </c>
      <c r="AB104" s="44" t="n">
        <f aca="false">0</f>
        <v>0</v>
      </c>
      <c r="AC104" s="44" t="n">
        <f aca="false">0</f>
        <v>0</v>
      </c>
      <c r="AD104" s="44" t="n">
        <f aca="false">0</f>
        <v>0</v>
      </c>
      <c r="AE104" s="44" t="n">
        <f aca="false">0</f>
        <v>0</v>
      </c>
      <c r="AF104" s="44" t="n">
        <f aca="false">0</f>
        <v>0</v>
      </c>
      <c r="AG104" s="44" t="n">
        <f aca="false">0</f>
        <v>0</v>
      </c>
      <c r="AH104" s="44" t="n">
        <f aca="false">0</f>
        <v>0</v>
      </c>
      <c r="AI104" s="44" t="n">
        <f aca="false">0</f>
        <v>0</v>
      </c>
      <c r="AJ104" s="44" t="n">
        <f aca="false">0</f>
        <v>0</v>
      </c>
      <c r="AK104" s="44" t="n">
        <f aca="false">0</f>
        <v>0</v>
      </c>
      <c r="AL104" s="44" t="n">
        <f aca="false">0</f>
        <v>0</v>
      </c>
      <c r="AM104" s="44" t="n">
        <f aca="false">0</f>
        <v>0</v>
      </c>
      <c r="AN104" s="44" t="n">
        <f aca="false">0</f>
        <v>0</v>
      </c>
      <c r="AO104" s="44" t="n">
        <f aca="false">0</f>
        <v>0</v>
      </c>
      <c r="AP104" s="44" t="n">
        <f aca="false">0</f>
        <v>0</v>
      </c>
      <c r="AQ104" s="44" t="n">
        <f aca="false">0</f>
        <v>0</v>
      </c>
      <c r="AR104" s="44" t="n">
        <f aca="false">0</f>
        <v>0</v>
      </c>
      <c r="AS104" s="44" t="n">
        <f aca="false">0</f>
        <v>0</v>
      </c>
      <c r="AT104" s="44" t="n">
        <f aca="false">0</f>
        <v>0</v>
      </c>
      <c r="AU104" s="44" t="n">
        <f aca="false">0</f>
        <v>0</v>
      </c>
      <c r="AV104" s="44" t="n">
        <f aca="false">0</f>
        <v>0</v>
      </c>
      <c r="AW104" s="44" t="n">
        <f aca="false">0</f>
        <v>0</v>
      </c>
      <c r="AX104" s="44" t="n">
        <f aca="false">0</f>
        <v>0</v>
      </c>
      <c r="AY104" s="44" t="n">
        <f aca="false">0</f>
        <v>0</v>
      </c>
      <c r="AZ104" s="44" t="n">
        <f aca="false">0</f>
        <v>0</v>
      </c>
      <c r="BA104" s="44" t="n">
        <f aca="false">0</f>
        <v>0</v>
      </c>
    </row>
    <row r="105" customFormat="false" ht="15" hidden="false" customHeight="true" outlineLevel="0" collapsed="false">
      <c r="A105" s="35" t="s">
        <v>265</v>
      </c>
      <c r="B105" s="35" t="s">
        <v>11</v>
      </c>
      <c r="C105" s="44" t="n">
        <f aca="false">SUM(D105:BA105)</f>
        <v>0</v>
      </c>
      <c r="D105" s="44" t="n">
        <f aca="false">-D207</f>
        <v>-0</v>
      </c>
      <c r="E105" s="44" t="n">
        <f aca="false">-E207</f>
        <v>-0</v>
      </c>
      <c r="F105" s="44" t="n">
        <f aca="false">-F207</f>
        <v>-0</v>
      </c>
      <c r="G105" s="44" t="n">
        <f aca="false">-G207</f>
        <v>-0</v>
      </c>
      <c r="H105" s="44" t="n">
        <f aca="false">-H207</f>
        <v>-0</v>
      </c>
      <c r="I105" s="44" t="n">
        <f aca="false">-I207</f>
        <v>-0</v>
      </c>
      <c r="J105" s="44" t="n">
        <f aca="false">-J207</f>
        <v>-0</v>
      </c>
      <c r="K105" s="44" t="n">
        <f aca="false">-K207</f>
        <v>-0</v>
      </c>
      <c r="L105" s="44" t="n">
        <f aca="false">-L207</f>
        <v>-0</v>
      </c>
      <c r="M105" s="44" t="n">
        <f aca="false">-M207</f>
        <v>-0</v>
      </c>
      <c r="N105" s="44" t="n">
        <f aca="false">-N207</f>
        <v>-0</v>
      </c>
      <c r="O105" s="44" t="n">
        <f aca="false">-O207</f>
        <v>-0</v>
      </c>
      <c r="P105" s="44" t="n">
        <f aca="false">-P207</f>
        <v>-0</v>
      </c>
      <c r="Q105" s="44" t="n">
        <f aca="false">-Q207</f>
        <v>-0</v>
      </c>
      <c r="R105" s="44" t="n">
        <f aca="false">-R207</f>
        <v>-0</v>
      </c>
      <c r="S105" s="44" t="n">
        <f aca="false">-S207</f>
        <v>-0</v>
      </c>
      <c r="T105" s="44" t="n">
        <f aca="false">-T207</f>
        <v>-0</v>
      </c>
      <c r="U105" s="44" t="n">
        <f aca="false">-U207</f>
        <v>-0</v>
      </c>
      <c r="V105" s="44" t="n">
        <f aca="false">-V207</f>
        <v>-0</v>
      </c>
      <c r="W105" s="44" t="n">
        <f aca="false">-W207</f>
        <v>-0</v>
      </c>
      <c r="X105" s="44" t="n">
        <f aca="false">-X207</f>
        <v>-0</v>
      </c>
      <c r="Y105" s="44" t="n">
        <f aca="false">-Y207</f>
        <v>-0</v>
      </c>
      <c r="Z105" s="44" t="n">
        <f aca="false">-Z207</f>
        <v>-0</v>
      </c>
      <c r="AA105" s="44" t="n">
        <f aca="false">-AA207</f>
        <v>-0</v>
      </c>
      <c r="AB105" s="44" t="n">
        <f aca="false">-AB207</f>
        <v>-0</v>
      </c>
      <c r="AC105" s="44" t="n">
        <f aca="false">-AC207</f>
        <v>-0</v>
      </c>
      <c r="AD105" s="44" t="n">
        <f aca="false">-AD207</f>
        <v>-0</v>
      </c>
      <c r="AE105" s="44" t="n">
        <f aca="false">-AE207</f>
        <v>-0</v>
      </c>
      <c r="AF105" s="44" t="n">
        <f aca="false">-AF207</f>
        <v>-0</v>
      </c>
      <c r="AG105" s="44" t="n">
        <f aca="false">-AG207</f>
        <v>-0</v>
      </c>
      <c r="AH105" s="44" t="n">
        <f aca="false">-AH207</f>
        <v>-0</v>
      </c>
      <c r="AI105" s="44" t="n">
        <f aca="false">-AI207</f>
        <v>-0</v>
      </c>
      <c r="AJ105" s="44" t="n">
        <f aca="false">-AJ207</f>
        <v>-0</v>
      </c>
      <c r="AK105" s="44" t="n">
        <f aca="false">-AK207</f>
        <v>-0</v>
      </c>
      <c r="AL105" s="44" t="n">
        <f aca="false">-AL207</f>
        <v>-0</v>
      </c>
      <c r="AM105" s="44" t="n">
        <f aca="false">-AM207</f>
        <v>-0</v>
      </c>
      <c r="AN105" s="44" t="n">
        <f aca="false">-AN207</f>
        <v>-0</v>
      </c>
      <c r="AO105" s="44" t="n">
        <f aca="false">-AO207</f>
        <v>-0</v>
      </c>
      <c r="AP105" s="44" t="n">
        <f aca="false">-AP207</f>
        <v>-0</v>
      </c>
      <c r="AQ105" s="44" t="n">
        <f aca="false">-AQ207</f>
        <v>-0</v>
      </c>
      <c r="AR105" s="44" t="n">
        <f aca="false">-AR207</f>
        <v>-0</v>
      </c>
      <c r="AS105" s="44" t="n">
        <f aca="false">-AS207</f>
        <v>-0</v>
      </c>
      <c r="AT105" s="44" t="n">
        <f aca="false">-AT207</f>
        <v>-0</v>
      </c>
      <c r="AU105" s="44" t="n">
        <f aca="false">-AU207</f>
        <v>-0</v>
      </c>
      <c r="AV105" s="44" t="n">
        <f aca="false">-AV207</f>
        <v>-0</v>
      </c>
      <c r="AW105" s="44" t="n">
        <f aca="false">-AW207</f>
        <v>-0</v>
      </c>
      <c r="AX105" s="44" t="n">
        <f aca="false">-AX207</f>
        <v>-0</v>
      </c>
      <c r="AY105" s="44" t="n">
        <f aca="false">-AY207</f>
        <v>-0</v>
      </c>
      <c r="AZ105" s="44" t="n">
        <f aca="false">-AZ207</f>
        <v>-0</v>
      </c>
      <c r="BA105" s="44" t="n">
        <f aca="false">-BA207</f>
        <v>-0</v>
      </c>
    </row>
    <row r="106" customFormat="false" ht="15" hidden="false" customHeight="true" outlineLevel="0" collapsed="false">
      <c r="A106" s="47" t="s">
        <v>295</v>
      </c>
      <c r="B106" s="35" t="s">
        <v>11</v>
      </c>
      <c r="C106" s="44" t="n">
        <f aca="false">SUM(D106:BA106)</f>
        <v>0</v>
      </c>
      <c r="D106" s="44" t="n">
        <f aca="false">D103+D104+D105</f>
        <v>0</v>
      </c>
      <c r="E106" s="44" t="n">
        <f aca="false">E103+E104+E105</f>
        <v>0</v>
      </c>
      <c r="F106" s="44" t="n">
        <f aca="false">F103+F104+F105</f>
        <v>0</v>
      </c>
      <c r="G106" s="44" t="n">
        <f aca="false">G103+G104+G105</f>
        <v>0</v>
      </c>
      <c r="H106" s="44" t="n">
        <f aca="false">H103+H104+H105</f>
        <v>0</v>
      </c>
      <c r="I106" s="44" t="n">
        <f aca="false">I103+I104+I105</f>
        <v>0</v>
      </c>
      <c r="J106" s="44" t="n">
        <f aca="false">J103+J104+J105</f>
        <v>0</v>
      </c>
      <c r="K106" s="44" t="n">
        <f aca="false">K103+K104+K105</f>
        <v>0</v>
      </c>
      <c r="L106" s="44" t="n">
        <f aca="false">L103+L104+L105</f>
        <v>0</v>
      </c>
      <c r="M106" s="44" t="n">
        <f aca="false">M103+M104+M105</f>
        <v>0</v>
      </c>
      <c r="N106" s="44" t="n">
        <f aca="false">N103+N104+N105</f>
        <v>0</v>
      </c>
      <c r="O106" s="44" t="n">
        <f aca="false">O103+O104+O105</f>
        <v>0</v>
      </c>
      <c r="P106" s="44" t="n">
        <f aca="false">P103+P104+P105</f>
        <v>0</v>
      </c>
      <c r="Q106" s="44" t="n">
        <f aca="false">Q103+Q104+Q105</f>
        <v>0</v>
      </c>
      <c r="R106" s="44" t="n">
        <f aca="false">R103+R104+R105</f>
        <v>0</v>
      </c>
      <c r="S106" s="44" t="n">
        <f aca="false">S103+S104+S105</f>
        <v>0</v>
      </c>
      <c r="T106" s="44" t="n">
        <f aca="false">T103+T104+T105</f>
        <v>0</v>
      </c>
      <c r="U106" s="44" t="n">
        <f aca="false">U103+U104+U105</f>
        <v>0</v>
      </c>
      <c r="V106" s="44" t="n">
        <f aca="false">V103+V104+V105</f>
        <v>0</v>
      </c>
      <c r="W106" s="44" t="n">
        <f aca="false">W103+W104+W105</f>
        <v>0</v>
      </c>
      <c r="X106" s="44" t="n">
        <f aca="false">X103+X104+X105</f>
        <v>0</v>
      </c>
      <c r="Y106" s="44" t="n">
        <f aca="false">Y103+Y104+Y105</f>
        <v>0</v>
      </c>
      <c r="Z106" s="44" t="n">
        <f aca="false">Z103+Z104+Z105</f>
        <v>0</v>
      </c>
      <c r="AA106" s="44" t="n">
        <f aca="false">AA103+AA104+AA105</f>
        <v>0</v>
      </c>
      <c r="AB106" s="44" t="n">
        <f aca="false">AB103+AB104+AB105</f>
        <v>0</v>
      </c>
      <c r="AC106" s="44" t="n">
        <f aca="false">AC103+AC104+AC105</f>
        <v>0</v>
      </c>
      <c r="AD106" s="44" t="n">
        <f aca="false">AD103+AD104+AD105</f>
        <v>0</v>
      </c>
      <c r="AE106" s="44" t="n">
        <f aca="false">AE103+AE104+AE105</f>
        <v>0</v>
      </c>
      <c r="AF106" s="44" t="n">
        <f aca="false">AF103+AF104+AF105</f>
        <v>0</v>
      </c>
      <c r="AG106" s="44" t="n">
        <f aca="false">AG103+AG104+AG105</f>
        <v>0</v>
      </c>
      <c r="AH106" s="44" t="n">
        <f aca="false">AH103+AH104+AH105</f>
        <v>0</v>
      </c>
      <c r="AI106" s="44" t="n">
        <f aca="false">AI103+AI104+AI105</f>
        <v>0</v>
      </c>
      <c r="AJ106" s="44" t="n">
        <f aca="false">AJ103+AJ104+AJ105</f>
        <v>0</v>
      </c>
      <c r="AK106" s="44" t="n">
        <f aca="false">AK103+AK104+AK105</f>
        <v>0</v>
      </c>
      <c r="AL106" s="44" t="n">
        <f aca="false">AL103+AL104+AL105</f>
        <v>0</v>
      </c>
      <c r="AM106" s="44" t="n">
        <f aca="false">AM103+AM104+AM105</f>
        <v>0</v>
      </c>
      <c r="AN106" s="44" t="n">
        <f aca="false">AN103+AN104+AN105</f>
        <v>0</v>
      </c>
      <c r="AO106" s="44" t="n">
        <f aca="false">AO103+AO104+AO105</f>
        <v>0</v>
      </c>
      <c r="AP106" s="44" t="n">
        <f aca="false">AP103+AP104+AP105</f>
        <v>0</v>
      </c>
      <c r="AQ106" s="44" t="n">
        <f aca="false">AQ103+AQ104+AQ105</f>
        <v>0</v>
      </c>
      <c r="AR106" s="44" t="n">
        <f aca="false">AR103+AR104+AR105</f>
        <v>0</v>
      </c>
      <c r="AS106" s="44" t="n">
        <f aca="false">AS103+AS104+AS105</f>
        <v>0</v>
      </c>
      <c r="AT106" s="44" t="n">
        <f aca="false">AT103+AT104+AT105</f>
        <v>0</v>
      </c>
      <c r="AU106" s="44" t="n">
        <f aca="false">AU103+AU104+AU105</f>
        <v>0</v>
      </c>
      <c r="AV106" s="44" t="n">
        <f aca="false">AV103+AV104+AV105</f>
        <v>0</v>
      </c>
      <c r="AW106" s="44" t="n">
        <f aca="false">AW103+AW104+AW105</f>
        <v>0</v>
      </c>
      <c r="AX106" s="44" t="n">
        <f aca="false">AX103+AX104+AX105</f>
        <v>0</v>
      </c>
      <c r="AY106" s="44" t="n">
        <f aca="false">AY103+AY104+AY105</f>
        <v>0</v>
      </c>
      <c r="AZ106" s="44" t="n">
        <f aca="false">AZ103+AZ104+AZ105</f>
        <v>0</v>
      </c>
      <c r="BA106" s="44" t="n">
        <f aca="false">BA103+BA104+BA105</f>
        <v>0</v>
      </c>
    </row>
    <row r="107" customFormat="false" ht="15" hidden="false" customHeight="true" outlineLevel="0" collapsed="false">
      <c r="A107" s="10" t="s">
        <v>296</v>
      </c>
      <c r="B107" s="35" t="s">
        <v>268</v>
      </c>
      <c r="C107" s="41" t="str">
        <f aca="false">IFERROR(IRR(D106:BA106),"-")</f>
        <v>-</v>
      </c>
    </row>
    <row r="109" customFormat="false" ht="13.5" hidden="false" customHeight="true" outlineLevel="0" collapsed="false">
      <c r="A109" s="23" t="s">
        <v>297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</row>
    <row r="110" customFormat="false" ht="15" hidden="false" customHeight="true" outlineLevel="0" collapsed="false">
      <c r="A110" s="55" t="s">
        <v>298</v>
      </c>
      <c r="B110" s="35" t="s">
        <v>11</v>
      </c>
      <c r="C110" s="44" t="n">
        <f aca="false">SUM(D110:BA110)</f>
        <v>12061937230.1221</v>
      </c>
      <c r="D110" s="44" t="n">
        <f aca="false">D190</f>
        <v>0</v>
      </c>
      <c r="E110" s="44" t="n">
        <f aca="false">E190</f>
        <v>0</v>
      </c>
      <c r="F110" s="44" t="n">
        <f aca="false">F190</f>
        <v>0</v>
      </c>
      <c r="G110" s="44" t="n">
        <f aca="false">G190</f>
        <v>601866</v>
      </c>
      <c r="H110" s="44" t="n">
        <f aca="false">H190</f>
        <v>1212759.99</v>
      </c>
      <c r="I110" s="44" t="n">
        <f aca="false">I190</f>
        <v>34337970.3516824</v>
      </c>
      <c r="J110" s="44" t="n">
        <f aca="false">J190</f>
        <v>85210050.8472408</v>
      </c>
      <c r="K110" s="44" t="n">
        <f aca="false">K190</f>
        <v>159181127.274432</v>
      </c>
      <c r="L110" s="44" t="n">
        <f aca="false">L190</f>
        <v>207261772.325418</v>
      </c>
      <c r="M110" s="44" t="n">
        <f aca="false">M190</f>
        <v>237343278.733009</v>
      </c>
      <c r="N110" s="44" t="n">
        <f aca="false">N190</f>
        <v>244082823.996984</v>
      </c>
      <c r="O110" s="44" t="n">
        <f aca="false">O190</f>
        <v>245913445.176962</v>
      </c>
      <c r="P110" s="44" t="n">
        <f aca="false">P190</f>
        <v>247757796.015789</v>
      </c>
      <c r="Q110" s="44" t="n">
        <f aca="false">Q190</f>
        <v>249615979.485907</v>
      </c>
      <c r="R110" s="44" t="n">
        <f aca="false">R190</f>
        <v>251488099.332052</v>
      </c>
      <c r="S110" s="44" t="n">
        <f aca="false">S190</f>
        <v>253374260.077042</v>
      </c>
      <c r="T110" s="44" t="n">
        <f aca="false">T190</f>
        <v>255274567.02762</v>
      </c>
      <c r="U110" s="44" t="n">
        <f aca="false">U190</f>
        <v>257189126.280327</v>
      </c>
      <c r="V110" s="44" t="n">
        <f aca="false">V190</f>
        <v>259118044.72743</v>
      </c>
      <c r="W110" s="44" t="n">
        <f aca="false">W190</f>
        <v>261061430.062885</v>
      </c>
      <c r="X110" s="44" t="n">
        <f aca="false">X190</f>
        <v>263019390.788357</v>
      </c>
      <c r="Y110" s="44" t="n">
        <f aca="false">Y190</f>
        <v>264992036.21927</v>
      </c>
      <c r="Z110" s="44" t="n">
        <f aca="false">Z190</f>
        <v>266979476.490914</v>
      </c>
      <c r="AA110" s="44" t="n">
        <f aca="false">AA190</f>
        <v>268981822.564596</v>
      </c>
      <c r="AB110" s="44" t="n">
        <f aca="false">AB190</f>
        <v>270999186.233831</v>
      </c>
      <c r="AC110" s="44" t="n">
        <f aca="false">AC190</f>
        <v>273031680.130584</v>
      </c>
      <c r="AD110" s="44" t="n">
        <f aca="false">AD190</f>
        <v>275079417.731564</v>
      </c>
      <c r="AE110" s="44" t="n">
        <f aca="false">AE190</f>
        <v>277142513.364551</v>
      </c>
      <c r="AF110" s="44" t="n">
        <f aca="false">AF190</f>
        <v>279221082.214785</v>
      </c>
      <c r="AG110" s="44" t="n">
        <f aca="false">AG190</f>
        <v>281315240.331396</v>
      </c>
      <c r="AH110" s="44" t="n">
        <f aca="false">AH190</f>
        <v>283425104.633881</v>
      </c>
      <c r="AI110" s="44" t="n">
        <f aca="false">AI190</f>
        <v>285550792.918635</v>
      </c>
      <c r="AJ110" s="44" t="n">
        <f aca="false">AJ190</f>
        <v>287692423.865525</v>
      </c>
      <c r="AK110" s="44" t="n">
        <f aca="false">AK190</f>
        <v>289850117.044516</v>
      </c>
      <c r="AL110" s="44" t="n">
        <f aca="false">AL190</f>
        <v>292023992.92235</v>
      </c>
      <c r="AM110" s="44" t="n">
        <f aca="false">AM190</f>
        <v>294214172.869268</v>
      </c>
      <c r="AN110" s="44" t="n">
        <f aca="false">AN190</f>
        <v>296420779.165787</v>
      </c>
      <c r="AO110" s="44" t="n">
        <f aca="false">AO190</f>
        <v>298643935.009531</v>
      </c>
      <c r="AP110" s="44" t="n">
        <f aca="false">AP190</f>
        <v>300883764.522102</v>
      </c>
      <c r="AQ110" s="44" t="n">
        <f aca="false">AQ190</f>
        <v>303140392.756018</v>
      </c>
      <c r="AR110" s="44" t="n">
        <f aca="false">AR190</f>
        <v>305413945.701688</v>
      </c>
      <c r="AS110" s="44" t="n">
        <f aca="false">AS190</f>
        <v>307704550.294451</v>
      </c>
      <c r="AT110" s="44" t="n">
        <f aca="false">AT190</f>
        <v>310012334.421659</v>
      </c>
      <c r="AU110" s="44" t="n">
        <f aca="false">AU190</f>
        <v>312337426.929822</v>
      </c>
      <c r="AV110" s="44" t="n">
        <f aca="false">AV190</f>
        <v>314679957.631796</v>
      </c>
      <c r="AW110" s="44" t="n">
        <f aca="false">AW190</f>
        <v>317040057.314034</v>
      </c>
      <c r="AX110" s="44" t="n">
        <f aca="false">AX190</f>
        <v>319417857.743889</v>
      </c>
      <c r="AY110" s="44" t="n">
        <f aca="false">AY190</f>
        <v>321813491.676969</v>
      </c>
      <c r="AZ110" s="44" t="n">
        <f aca="false">AZ190</f>
        <v>324227092.864546</v>
      </c>
      <c r="BA110" s="44" t="n">
        <f aca="false">BA190</f>
        <v>326658796.06103</v>
      </c>
    </row>
    <row r="111" customFormat="false" ht="15" hidden="false" customHeight="true" outlineLevel="0" collapsed="false">
      <c r="A111" s="55" t="s">
        <v>299</v>
      </c>
      <c r="B111" s="35" t="s">
        <v>11</v>
      </c>
      <c r="C111" s="44" t="n">
        <f aca="false">SUM(D111:BA111)</f>
        <v>-330796929.587109</v>
      </c>
      <c r="D111" s="44" t="n">
        <f aca="false">IF($E171="Lease",-D209,IF(AND($E171="Purchase",D$3=$C171),-$G171,0))</f>
        <v>-0</v>
      </c>
      <c r="E111" s="44" t="n">
        <f aca="false">IF($E171="Lease",-E209,IF(AND($E171="Purchase",E$3=$C171),-$G171,0))</f>
        <v>-0</v>
      </c>
      <c r="F111" s="44" t="n">
        <f aca="false">IF($E171="Lease",-F209,IF(AND($E171="Purchase",F$3=$C171),-$G171,0))</f>
        <v>-0</v>
      </c>
      <c r="G111" s="44" t="n">
        <f aca="false">IF($E171="Lease",-G209,IF(AND($E171="Purchase",G$3=$C171),-$G171,0))</f>
        <v>-0</v>
      </c>
      <c r="H111" s="44" t="n">
        <f aca="false">IF($E171="Lease",-H209,IF(AND($E171="Purchase",H$3=$C171),-$G171,0))</f>
        <v>-0</v>
      </c>
      <c r="I111" s="44" t="n">
        <f aca="false">IF($E171="Lease",-I209,IF(AND($E171="Purchase",I$3=$C171),-$G171,0))</f>
        <v>-6000000</v>
      </c>
      <c r="J111" s="44" t="n">
        <f aca="false">IF($E171="Lease",-J209,IF(AND($E171="Purchase",J$3=$C171),-$G171,0))</f>
        <v>-6000000</v>
      </c>
      <c r="K111" s="44" t="n">
        <f aca="false">IF($E171="Lease",-K209,IF(AND($E171="Purchase",K$3=$C171),-$G171,0))</f>
        <v>-6000000</v>
      </c>
      <c r="L111" s="44" t="n">
        <f aca="false">IF($E171="Lease",-L209,IF(AND($E171="Purchase",L$3=$C171),-$G171,0))</f>
        <v>-6000000</v>
      </c>
      <c r="M111" s="44" t="n">
        <f aca="false">IF($E171="Lease",-M209,IF(AND($E171="Purchase",M$3=$C171),-$G171,0))</f>
        <v>-6000000</v>
      </c>
      <c r="N111" s="44" t="n">
        <f aca="false">IF($E171="Lease",-N209,IF(AND($E171="Purchase",N$3=$C171),-$G171,0))</f>
        <v>-6300000</v>
      </c>
      <c r="O111" s="44" t="n">
        <f aca="false">IF($E171="Lease",-O209,IF(AND($E171="Purchase",O$3=$C171),-$G171,0))</f>
        <v>-6300000</v>
      </c>
      <c r="P111" s="44" t="n">
        <f aca="false">IF($E171="Lease",-P209,IF(AND($E171="Purchase",P$3=$C171),-$G171,0))</f>
        <v>-6300000</v>
      </c>
      <c r="Q111" s="44" t="n">
        <f aca="false">IF($E171="Lease",-Q209,IF(AND($E171="Purchase",Q$3=$C171),-$G171,0))</f>
        <v>-6300000</v>
      </c>
      <c r="R111" s="44" t="n">
        <f aca="false">IF($E171="Lease",-R209,IF(AND($E171="Purchase",R$3=$C171),-$G171,0))</f>
        <v>-6300000</v>
      </c>
      <c r="S111" s="44" t="n">
        <f aca="false">IF($E171="Lease",-S209,IF(AND($E171="Purchase",S$3=$C171),-$G171,0))</f>
        <v>-6615000</v>
      </c>
      <c r="T111" s="44" t="n">
        <f aca="false">IF($E171="Lease",-T209,IF(AND($E171="Purchase",T$3=$C171),-$G171,0))</f>
        <v>-6615000</v>
      </c>
      <c r="U111" s="44" t="n">
        <f aca="false">IF($E171="Lease",-U209,IF(AND($E171="Purchase",U$3=$C171),-$G171,0))</f>
        <v>-6615000</v>
      </c>
      <c r="V111" s="44" t="n">
        <f aca="false">IF($E171="Lease",-V209,IF(AND($E171="Purchase",V$3=$C171),-$G171,0))</f>
        <v>-6615000</v>
      </c>
      <c r="W111" s="44" t="n">
        <f aca="false">IF($E171="Lease",-W209,IF(AND($E171="Purchase",W$3=$C171),-$G171,0))</f>
        <v>-6615000</v>
      </c>
      <c r="X111" s="44" t="n">
        <f aca="false">IF($E171="Lease",-X209,IF(AND($E171="Purchase",X$3=$C171),-$G171,0))</f>
        <v>-6945750</v>
      </c>
      <c r="Y111" s="44" t="n">
        <f aca="false">IF($E171="Lease",-Y209,IF(AND($E171="Purchase",Y$3=$C171),-$G171,0))</f>
        <v>-6945750</v>
      </c>
      <c r="Z111" s="44" t="n">
        <f aca="false">IF($E171="Lease",-Z209,IF(AND($E171="Purchase",Z$3=$C171),-$G171,0))</f>
        <v>-6945750</v>
      </c>
      <c r="AA111" s="44" t="n">
        <f aca="false">IF($E171="Lease",-AA209,IF(AND($E171="Purchase",AA$3=$C171),-$G171,0))</f>
        <v>-6945750</v>
      </c>
      <c r="AB111" s="44" t="n">
        <f aca="false">IF($E171="Lease",-AB209,IF(AND($E171="Purchase",AB$3=$C171),-$G171,0))</f>
        <v>-6945750</v>
      </c>
      <c r="AC111" s="44" t="n">
        <f aca="false">IF($E171="Lease",-AC209,IF(AND($E171="Purchase",AC$3=$C171),-$G171,0))</f>
        <v>-7293037.5</v>
      </c>
      <c r="AD111" s="44" t="n">
        <f aca="false">IF($E171="Lease",-AD209,IF(AND($E171="Purchase",AD$3=$C171),-$G171,0))</f>
        <v>-7293037.5</v>
      </c>
      <c r="AE111" s="44" t="n">
        <f aca="false">IF($E171="Lease",-AE209,IF(AND($E171="Purchase",AE$3=$C171),-$G171,0))</f>
        <v>-7293037.5</v>
      </c>
      <c r="AF111" s="44" t="n">
        <f aca="false">IF($E171="Lease",-AF209,IF(AND($E171="Purchase",AF$3=$C171),-$G171,0))</f>
        <v>-7293037.5</v>
      </c>
      <c r="AG111" s="44" t="n">
        <f aca="false">IF($E171="Lease",-AG209,IF(AND($E171="Purchase",AG$3=$C171),-$G171,0))</f>
        <v>-7293037.5</v>
      </c>
      <c r="AH111" s="44" t="n">
        <f aca="false">IF($E171="Lease",-AH209,IF(AND($E171="Purchase",AH$3=$C171),-$G171,0))</f>
        <v>-7657689.375</v>
      </c>
      <c r="AI111" s="44" t="n">
        <f aca="false">IF($E171="Lease",-AI209,IF(AND($E171="Purchase",AI$3=$C171),-$G171,0))</f>
        <v>-7657689.375</v>
      </c>
      <c r="AJ111" s="44" t="n">
        <f aca="false">IF($E171="Lease",-AJ209,IF(AND($E171="Purchase",AJ$3=$C171),-$G171,0))</f>
        <v>-7657689.375</v>
      </c>
      <c r="AK111" s="44" t="n">
        <f aca="false">IF($E171="Lease",-AK209,IF(AND($E171="Purchase",AK$3=$C171),-$G171,0))</f>
        <v>-7657689.375</v>
      </c>
      <c r="AL111" s="44" t="n">
        <f aca="false">IF($E171="Lease",-AL209,IF(AND($E171="Purchase",AL$3=$C171),-$G171,0))</f>
        <v>-7657689.375</v>
      </c>
      <c r="AM111" s="44" t="n">
        <f aca="false">IF($E171="Lease",-AM209,IF(AND($E171="Purchase",AM$3=$C171),-$G171,0))</f>
        <v>-8040573.84375</v>
      </c>
      <c r="AN111" s="44" t="n">
        <f aca="false">IF($E171="Lease",-AN209,IF(AND($E171="Purchase",AN$3=$C171),-$G171,0))</f>
        <v>-8040573.84375</v>
      </c>
      <c r="AO111" s="44" t="n">
        <f aca="false">IF($E171="Lease",-AO209,IF(AND($E171="Purchase",AO$3=$C171),-$G171,0))</f>
        <v>-8040573.84375</v>
      </c>
      <c r="AP111" s="44" t="n">
        <f aca="false">IF($E171="Lease",-AP209,IF(AND($E171="Purchase",AP$3=$C171),-$G171,0))</f>
        <v>-8040573.84375</v>
      </c>
      <c r="AQ111" s="44" t="n">
        <f aca="false">IF($E171="Lease",-AQ209,IF(AND($E171="Purchase",AQ$3=$C171),-$G171,0))</f>
        <v>-8040573.84375</v>
      </c>
      <c r="AR111" s="44" t="n">
        <f aca="false">IF($E171="Lease",-AR209,IF(AND($E171="Purchase",AR$3=$C171),-$G171,0))</f>
        <v>-8442602.5359375</v>
      </c>
      <c r="AS111" s="44" t="n">
        <f aca="false">IF($E171="Lease",-AS209,IF(AND($E171="Purchase",AS$3=$C171),-$G171,0))</f>
        <v>-8442602.5359375</v>
      </c>
      <c r="AT111" s="44" t="n">
        <f aca="false">IF($E171="Lease",-AT209,IF(AND($E171="Purchase",AT$3=$C171),-$G171,0))</f>
        <v>-8442602.5359375</v>
      </c>
      <c r="AU111" s="44" t="n">
        <f aca="false">IF($E171="Lease",-AU209,IF(AND($E171="Purchase",AU$3=$C171),-$G171,0))</f>
        <v>-8442602.5359375</v>
      </c>
      <c r="AV111" s="44" t="n">
        <f aca="false">IF($E171="Lease",-AV209,IF(AND($E171="Purchase",AV$3=$C171),-$G171,0))</f>
        <v>-8442602.5359375</v>
      </c>
      <c r="AW111" s="44" t="n">
        <f aca="false">IF($E171="Lease",-AW209,IF(AND($E171="Purchase",AW$3=$C171),-$G171,0))</f>
        <v>-8864732.66273438</v>
      </c>
      <c r="AX111" s="44" t="n">
        <f aca="false">IF($E171="Lease",-AX209,IF(AND($E171="Purchase",AX$3=$C171),-$G171,0))</f>
        <v>-8864732.66273438</v>
      </c>
      <c r="AY111" s="44" t="n">
        <f aca="false">IF($E171="Lease",-AY209,IF(AND($E171="Purchase",AY$3=$C171),-$G171,0))</f>
        <v>-8864732.66273438</v>
      </c>
      <c r="AZ111" s="44" t="n">
        <f aca="false">IF($E171="Lease",-AZ209,IF(AND($E171="Purchase",AZ$3=$C171),-$G171,0))</f>
        <v>-8864732.66273438</v>
      </c>
      <c r="BA111" s="44" t="n">
        <f aca="false">IF($E171="Lease",-BA209,IF(AND($E171="Purchase",BA$3=$C171),-$G171,0))</f>
        <v>-8864732.66273438</v>
      </c>
    </row>
    <row r="112" customFormat="false" ht="15" hidden="false" customHeight="true" outlineLevel="0" collapsed="false">
      <c r="A112" s="55" t="s">
        <v>300</v>
      </c>
      <c r="B112" s="35" t="s">
        <v>11</v>
      </c>
      <c r="C112" s="44" t="n">
        <f aca="false">SUM(D112:BA112)</f>
        <v>-1348153755.795</v>
      </c>
      <c r="D112" s="44" t="n">
        <f aca="false">-D208</f>
        <v>-0</v>
      </c>
      <c r="E112" s="44" t="n">
        <f aca="false">-E208</f>
        <v>-0</v>
      </c>
      <c r="F112" s="44" t="n">
        <f aca="false">-F208</f>
        <v>-115257373</v>
      </c>
      <c r="G112" s="44" t="n">
        <f aca="false">-G208</f>
        <v>-276952729.9</v>
      </c>
      <c r="H112" s="44" t="n">
        <f aca="false">-H208</f>
        <v>-583755066.895</v>
      </c>
      <c r="I112" s="44" t="n">
        <f aca="false">-I208</f>
        <v>-268054571.4</v>
      </c>
      <c r="J112" s="44" t="n">
        <f aca="false">-J208</f>
        <v>-104134014.6</v>
      </c>
      <c r="K112" s="44" t="n">
        <f aca="false">-K208</f>
        <v>-0</v>
      </c>
      <c r="L112" s="44" t="n">
        <f aca="false">-L208</f>
        <v>-0</v>
      </c>
      <c r="M112" s="44" t="n">
        <f aca="false">-M208</f>
        <v>-0</v>
      </c>
      <c r="N112" s="44" t="n">
        <f aca="false">-N208</f>
        <v>-0</v>
      </c>
      <c r="O112" s="44" t="n">
        <f aca="false">-O208</f>
        <v>-0</v>
      </c>
      <c r="P112" s="44" t="n">
        <f aca="false">-P208</f>
        <v>-0</v>
      </c>
      <c r="Q112" s="44" t="n">
        <f aca="false">-Q208</f>
        <v>-0</v>
      </c>
      <c r="R112" s="44" t="n">
        <f aca="false">-R208</f>
        <v>-0</v>
      </c>
      <c r="S112" s="44" t="n">
        <f aca="false">-S208</f>
        <v>-0</v>
      </c>
      <c r="T112" s="44" t="n">
        <f aca="false">-T208</f>
        <v>-0</v>
      </c>
      <c r="U112" s="44" t="n">
        <f aca="false">-U208</f>
        <v>-0</v>
      </c>
      <c r="V112" s="44" t="n">
        <f aca="false">-V208</f>
        <v>-0</v>
      </c>
      <c r="W112" s="44" t="n">
        <f aca="false">-W208</f>
        <v>-0</v>
      </c>
      <c r="X112" s="44" t="n">
        <f aca="false">-X208</f>
        <v>-0</v>
      </c>
      <c r="Y112" s="44" t="n">
        <f aca="false">-Y208</f>
        <v>-0</v>
      </c>
      <c r="Z112" s="44" t="n">
        <f aca="false">-Z208</f>
        <v>-0</v>
      </c>
      <c r="AA112" s="44" t="n">
        <f aca="false">-AA208</f>
        <v>-0</v>
      </c>
      <c r="AB112" s="44" t="n">
        <f aca="false">-AB208</f>
        <v>-0</v>
      </c>
      <c r="AC112" s="44" t="n">
        <f aca="false">-AC208</f>
        <v>-0</v>
      </c>
      <c r="AD112" s="44" t="n">
        <f aca="false">-AD208</f>
        <v>-0</v>
      </c>
      <c r="AE112" s="44" t="n">
        <f aca="false">-AE208</f>
        <v>-0</v>
      </c>
      <c r="AF112" s="44" t="n">
        <f aca="false">-AF208</f>
        <v>-0</v>
      </c>
      <c r="AG112" s="44" t="n">
        <f aca="false">-AG208</f>
        <v>-0</v>
      </c>
      <c r="AH112" s="44" t="n">
        <f aca="false">-AH208</f>
        <v>-0</v>
      </c>
      <c r="AI112" s="44" t="n">
        <f aca="false">-AI208</f>
        <v>-0</v>
      </c>
      <c r="AJ112" s="44" t="n">
        <f aca="false">-AJ208</f>
        <v>-0</v>
      </c>
      <c r="AK112" s="44" t="n">
        <f aca="false">-AK208</f>
        <v>-0</v>
      </c>
      <c r="AL112" s="44" t="n">
        <f aca="false">-AL208</f>
        <v>-0</v>
      </c>
      <c r="AM112" s="44" t="n">
        <f aca="false">-AM208</f>
        <v>-0</v>
      </c>
      <c r="AN112" s="44" t="n">
        <f aca="false">-AN208</f>
        <v>-0</v>
      </c>
      <c r="AO112" s="44" t="n">
        <f aca="false">-AO208</f>
        <v>-0</v>
      </c>
      <c r="AP112" s="44" t="n">
        <f aca="false">-AP208</f>
        <v>-0</v>
      </c>
      <c r="AQ112" s="44" t="n">
        <f aca="false">-AQ208</f>
        <v>-0</v>
      </c>
      <c r="AR112" s="44" t="n">
        <f aca="false">-AR208</f>
        <v>-0</v>
      </c>
      <c r="AS112" s="44" t="n">
        <f aca="false">-AS208</f>
        <v>-0</v>
      </c>
      <c r="AT112" s="44" t="n">
        <f aca="false">-AT208</f>
        <v>-0</v>
      </c>
      <c r="AU112" s="44" t="n">
        <f aca="false">-AU208</f>
        <v>-0</v>
      </c>
      <c r="AV112" s="44" t="n">
        <f aca="false">-AV208</f>
        <v>-0</v>
      </c>
      <c r="AW112" s="44" t="n">
        <f aca="false">-AW208</f>
        <v>-0</v>
      </c>
      <c r="AX112" s="44" t="n">
        <f aca="false">-AX208</f>
        <v>-0</v>
      </c>
      <c r="AY112" s="44" t="n">
        <f aca="false">-AY208</f>
        <v>-0</v>
      </c>
      <c r="AZ112" s="44" t="n">
        <f aca="false">-AZ208</f>
        <v>-0</v>
      </c>
      <c r="BA112" s="44" t="n">
        <f aca="false">-BA208</f>
        <v>-0</v>
      </c>
    </row>
    <row r="113" customFormat="false" ht="15" hidden="false" customHeight="true" outlineLevel="0" collapsed="false">
      <c r="A113" s="48" t="s">
        <v>301</v>
      </c>
      <c r="B113" s="35" t="s">
        <v>11</v>
      </c>
      <c r="C113" s="44" t="n">
        <f aca="false">SUM(D113:BA113)</f>
        <v>10382986544.74</v>
      </c>
      <c r="D113" s="44" t="n">
        <f aca="false">D110+D111+D112</f>
        <v>0</v>
      </c>
      <c r="E113" s="44" t="n">
        <f aca="false">E110+E111+E112</f>
        <v>0</v>
      </c>
      <c r="F113" s="44" t="n">
        <f aca="false">F110+F111+F112</f>
        <v>-115257373</v>
      </c>
      <c r="G113" s="44" t="n">
        <f aca="false">G110+G111+G112</f>
        <v>-276350863.9</v>
      </c>
      <c r="H113" s="44" t="n">
        <f aca="false">H110+H111+H112</f>
        <v>-582542306.905</v>
      </c>
      <c r="I113" s="44" t="n">
        <f aca="false">I110+I111+I112</f>
        <v>-239716601.048318</v>
      </c>
      <c r="J113" s="44" t="n">
        <f aca="false">J110+J111+J112</f>
        <v>-24923963.7527592</v>
      </c>
      <c r="K113" s="44" t="n">
        <f aca="false">K110+K111+K112</f>
        <v>153181127.274432</v>
      </c>
      <c r="L113" s="44" t="n">
        <f aca="false">L110+L111+L112</f>
        <v>201261772.325418</v>
      </c>
      <c r="M113" s="44" t="n">
        <f aca="false">M110+M111+M112</f>
        <v>231343278.733009</v>
      </c>
      <c r="N113" s="44" t="n">
        <f aca="false">N110+N111+N112</f>
        <v>237782823.996984</v>
      </c>
      <c r="O113" s="44" t="n">
        <f aca="false">O110+O111+O112</f>
        <v>239613445.176962</v>
      </c>
      <c r="P113" s="44" t="n">
        <f aca="false">P110+P111+P112</f>
        <v>241457796.015789</v>
      </c>
      <c r="Q113" s="44" t="n">
        <f aca="false">Q110+Q111+Q112</f>
        <v>243315979.485907</v>
      </c>
      <c r="R113" s="44" t="n">
        <f aca="false">R110+R111+R112</f>
        <v>245188099.332052</v>
      </c>
      <c r="S113" s="44" t="n">
        <f aca="false">S110+S111+S112</f>
        <v>246759260.077042</v>
      </c>
      <c r="T113" s="44" t="n">
        <f aca="false">T110+T111+T112</f>
        <v>248659567.02762</v>
      </c>
      <c r="U113" s="44" t="n">
        <f aca="false">U110+U111+U112</f>
        <v>250574126.280327</v>
      </c>
      <c r="V113" s="44" t="n">
        <f aca="false">V110+V111+V112</f>
        <v>252503044.72743</v>
      </c>
      <c r="W113" s="44" t="n">
        <f aca="false">W110+W111+W112</f>
        <v>254446430.062885</v>
      </c>
      <c r="X113" s="44" t="n">
        <f aca="false">X110+X111+X112</f>
        <v>256073640.788357</v>
      </c>
      <c r="Y113" s="44" t="n">
        <f aca="false">Y110+Y111+Y112</f>
        <v>258046286.21927</v>
      </c>
      <c r="Z113" s="44" t="n">
        <f aca="false">Z110+Z111+Z112</f>
        <v>260033726.490914</v>
      </c>
      <c r="AA113" s="44" t="n">
        <f aca="false">AA110+AA111+AA112</f>
        <v>262036072.564596</v>
      </c>
      <c r="AB113" s="44" t="n">
        <f aca="false">AB110+AB111+AB112</f>
        <v>264053436.233831</v>
      </c>
      <c r="AC113" s="44" t="n">
        <f aca="false">AC110+AC111+AC112</f>
        <v>265738642.630584</v>
      </c>
      <c r="AD113" s="44" t="n">
        <f aca="false">AD110+AD111+AD112</f>
        <v>267786380.231564</v>
      </c>
      <c r="AE113" s="44" t="n">
        <f aca="false">AE110+AE111+AE112</f>
        <v>269849475.864551</v>
      </c>
      <c r="AF113" s="44" t="n">
        <f aca="false">AF110+AF111+AF112</f>
        <v>271928044.714785</v>
      </c>
      <c r="AG113" s="44" t="n">
        <f aca="false">AG110+AG111+AG112</f>
        <v>274022202.831396</v>
      </c>
      <c r="AH113" s="44" t="n">
        <f aca="false">AH110+AH111+AH112</f>
        <v>275767415.258881</v>
      </c>
      <c r="AI113" s="44" t="n">
        <f aca="false">AI110+AI111+AI112</f>
        <v>277893103.543635</v>
      </c>
      <c r="AJ113" s="44" t="n">
        <f aca="false">AJ110+AJ111+AJ112</f>
        <v>280034734.490525</v>
      </c>
      <c r="AK113" s="44" t="n">
        <f aca="false">AK110+AK111+AK112</f>
        <v>282192427.669516</v>
      </c>
      <c r="AL113" s="44" t="n">
        <f aca="false">AL110+AL111+AL112</f>
        <v>284366303.54735</v>
      </c>
      <c r="AM113" s="44" t="n">
        <f aca="false">AM110+AM111+AM112</f>
        <v>286173599.025518</v>
      </c>
      <c r="AN113" s="44" t="n">
        <f aca="false">AN110+AN111+AN112</f>
        <v>288380205.322037</v>
      </c>
      <c r="AO113" s="44" t="n">
        <f aca="false">AO110+AO111+AO112</f>
        <v>290603361.165781</v>
      </c>
      <c r="AP113" s="44" t="n">
        <f aca="false">AP110+AP111+AP112</f>
        <v>292843190.678352</v>
      </c>
      <c r="AQ113" s="44" t="n">
        <f aca="false">AQ110+AQ111+AQ112</f>
        <v>295099818.912268</v>
      </c>
      <c r="AR113" s="44" t="n">
        <f aca="false">AR110+AR111+AR112</f>
        <v>296971343.165751</v>
      </c>
      <c r="AS113" s="44" t="n">
        <f aca="false">AS110+AS111+AS112</f>
        <v>299261947.758514</v>
      </c>
      <c r="AT113" s="44" t="n">
        <f aca="false">AT110+AT111+AT112</f>
        <v>301569731.885722</v>
      </c>
      <c r="AU113" s="44" t="n">
        <f aca="false">AU110+AU111+AU112</f>
        <v>303894824.393884</v>
      </c>
      <c r="AV113" s="44" t="n">
        <f aca="false">AV110+AV111+AV112</f>
        <v>306237355.095858</v>
      </c>
      <c r="AW113" s="44" t="n">
        <f aca="false">AW110+AW111+AW112</f>
        <v>308175324.6513</v>
      </c>
      <c r="AX113" s="44" t="n">
        <f aca="false">AX110+AX111+AX112</f>
        <v>310553125.081155</v>
      </c>
      <c r="AY113" s="44" t="n">
        <f aca="false">AY110+AY111+AY112</f>
        <v>312948759.014234</v>
      </c>
      <c r="AZ113" s="44" t="n">
        <f aca="false">AZ110+AZ111+AZ112</f>
        <v>315362360.201811</v>
      </c>
      <c r="BA113" s="44" t="n">
        <f aca="false">BA110+BA111+BA112</f>
        <v>317794063.398296</v>
      </c>
    </row>
    <row r="114" customFormat="false" ht="15" hidden="false" customHeight="true" outlineLevel="0" collapsed="false">
      <c r="A114" s="55" t="s">
        <v>302</v>
      </c>
      <c r="B114" s="35" t="s">
        <v>11</v>
      </c>
      <c r="D114" s="44" t="n">
        <f aca="false">D113</f>
        <v>0</v>
      </c>
      <c r="E114" s="44" t="n">
        <f aca="false">D114+E113</f>
        <v>0</v>
      </c>
      <c r="F114" s="44" t="n">
        <f aca="false">E114+F113</f>
        <v>-115257373</v>
      </c>
      <c r="G114" s="44" t="n">
        <f aca="false">F114+G113</f>
        <v>-391608236.9</v>
      </c>
      <c r="H114" s="44" t="n">
        <f aca="false">G114+H113</f>
        <v>-974150543.805</v>
      </c>
      <c r="I114" s="44" t="n">
        <f aca="false">H114+I113</f>
        <v>-1213867144.85332</v>
      </c>
      <c r="J114" s="44" t="n">
        <f aca="false">I114+J113</f>
        <v>-1238791108.60608</v>
      </c>
      <c r="K114" s="44" t="n">
        <f aca="false">J114+K113</f>
        <v>-1085609981.33165</v>
      </c>
      <c r="L114" s="44" t="n">
        <f aca="false">K114+L113</f>
        <v>-884348209.006227</v>
      </c>
      <c r="M114" s="44" t="n">
        <f aca="false">L114+M113</f>
        <v>-653004930.273218</v>
      </c>
      <c r="N114" s="44" t="n">
        <f aca="false">M114+N113</f>
        <v>-415222106.276233</v>
      </c>
      <c r="O114" s="44" t="n">
        <f aca="false">N114+O113</f>
        <v>-175608661.099272</v>
      </c>
      <c r="P114" s="44" t="n">
        <f aca="false">O114+P113</f>
        <v>65849134.9165174</v>
      </c>
      <c r="Q114" s="44" t="n">
        <f aca="false">P114+Q113</f>
        <v>309165114.402425</v>
      </c>
      <c r="R114" s="44" t="n">
        <f aca="false">Q114+R113</f>
        <v>554353213.734477</v>
      </c>
      <c r="S114" s="44" t="n">
        <f aca="false">R114+S113</f>
        <v>801112473.811519</v>
      </c>
      <c r="T114" s="44" t="n">
        <f aca="false">S114+T113</f>
        <v>1049772040.83914</v>
      </c>
      <c r="U114" s="44" t="n">
        <f aca="false">T114+U113</f>
        <v>1300346167.11947</v>
      </c>
      <c r="V114" s="44" t="n">
        <f aca="false">U114+V113</f>
        <v>1552849211.8469</v>
      </c>
      <c r="W114" s="44" t="n">
        <f aca="false">V114+W113</f>
        <v>1807295641.90978</v>
      </c>
      <c r="X114" s="44" t="n">
        <f aca="false">W114+X113</f>
        <v>2063369282.69814</v>
      </c>
      <c r="Y114" s="44" t="n">
        <f aca="false">X114+Y113</f>
        <v>2321415568.91741</v>
      </c>
      <c r="Z114" s="44" t="n">
        <f aca="false">Y114+Z113</f>
        <v>2581449295.40832</v>
      </c>
      <c r="AA114" s="44" t="n">
        <f aca="false">Z114+AA113</f>
        <v>2843485367.97292</v>
      </c>
      <c r="AB114" s="44" t="n">
        <f aca="false">AA114+AB113</f>
        <v>3107538804.20675</v>
      </c>
      <c r="AC114" s="44" t="n">
        <f aca="false">AB114+AC113</f>
        <v>3373277446.83733</v>
      </c>
      <c r="AD114" s="44" t="n">
        <f aca="false">AC114+AD113</f>
        <v>3641063827.0689</v>
      </c>
      <c r="AE114" s="44" t="n">
        <f aca="false">AD114+AE113</f>
        <v>3910913302.93345</v>
      </c>
      <c r="AF114" s="44" t="n">
        <f aca="false">AE114+AF113</f>
        <v>4182841347.64823</v>
      </c>
      <c r="AG114" s="44" t="n">
        <f aca="false">AF114+AG113</f>
        <v>4456863550.47963</v>
      </c>
      <c r="AH114" s="44" t="n">
        <f aca="false">AG114+AH113</f>
        <v>4732630965.73851</v>
      </c>
      <c r="AI114" s="44" t="n">
        <f aca="false">AH114+AI113</f>
        <v>5010524069.28214</v>
      </c>
      <c r="AJ114" s="44" t="n">
        <f aca="false">AI114+AJ113</f>
        <v>5290558803.77267</v>
      </c>
      <c r="AK114" s="44" t="n">
        <f aca="false">AJ114+AK113</f>
        <v>5572751231.44218</v>
      </c>
      <c r="AL114" s="44" t="n">
        <f aca="false">AK114+AL113</f>
        <v>5857117534.98953</v>
      </c>
      <c r="AM114" s="44" t="n">
        <f aca="false">AL114+AM113</f>
        <v>6143291134.01505</v>
      </c>
      <c r="AN114" s="44" t="n">
        <f aca="false">AM114+AN113</f>
        <v>6431671339.33709</v>
      </c>
      <c r="AO114" s="44" t="n">
        <f aca="false">AN114+AO113</f>
        <v>6722274700.50287</v>
      </c>
      <c r="AP114" s="44" t="n">
        <f aca="false">AO114+AP113</f>
        <v>7015117891.18122</v>
      </c>
      <c r="AQ114" s="44" t="n">
        <f aca="false">AP114+AQ113</f>
        <v>7310217710.09349</v>
      </c>
      <c r="AR114" s="44" t="n">
        <f aca="false">AQ114+AR113</f>
        <v>7607189053.25924</v>
      </c>
      <c r="AS114" s="44" t="n">
        <f aca="false">AR114+AS113</f>
        <v>7906451001.01776</v>
      </c>
      <c r="AT114" s="44" t="n">
        <f aca="false">AS114+AT113</f>
        <v>8208020732.90348</v>
      </c>
      <c r="AU114" s="44" t="n">
        <f aca="false">AT114+AU113</f>
        <v>8511915557.29736</v>
      </c>
      <c r="AV114" s="44" t="n">
        <f aca="false">AU114+AV113</f>
        <v>8818152912.39322</v>
      </c>
      <c r="AW114" s="44" t="n">
        <f aca="false">AV114+AW113</f>
        <v>9126328237.04452</v>
      </c>
      <c r="AX114" s="44" t="n">
        <f aca="false">AW114+AX113</f>
        <v>9436881362.12568</v>
      </c>
      <c r="AY114" s="44" t="n">
        <f aca="false">AX114+AY113</f>
        <v>9749830121.13991</v>
      </c>
      <c r="AZ114" s="44" t="n">
        <f aca="false">AY114+AZ113</f>
        <v>10065192481.3417</v>
      </c>
      <c r="BA114" s="44" t="n">
        <f aca="false">AZ114+BA113</f>
        <v>10382986544.74</v>
      </c>
    </row>
    <row r="115" customFormat="false" ht="15" hidden="false" customHeight="true" outlineLevel="0" collapsed="false">
      <c r="A115" s="48" t="s">
        <v>303</v>
      </c>
      <c r="B115" s="35" t="s">
        <v>268</v>
      </c>
      <c r="C115" s="41" t="n">
        <f aca="false">IFERROR(IRR(D113:BA113),"-")</f>
        <v>0.139297726120231</v>
      </c>
    </row>
    <row r="117" customFormat="false" ht="15" hidden="false" customHeight="true" outlineLevel="0" collapsed="false">
      <c r="A117" s="23" t="s">
        <v>304</v>
      </c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</row>
    <row r="119" customFormat="false" ht="15" hidden="false" customHeight="true" outlineLevel="0" collapsed="false">
      <c r="A119" s="55" t="s">
        <v>305</v>
      </c>
      <c r="B119" s="26" t="n">
        <v>0.1</v>
      </c>
      <c r="C119" s="44" t="n">
        <f aca="false">IFERROR(D113+NPV(B119,E113:BA113),"-")</f>
        <v>464519219.905853</v>
      </c>
    </row>
    <row r="120" customFormat="false" ht="15" hidden="false" customHeight="true" outlineLevel="0" collapsed="false">
      <c r="A120" s="55" t="s">
        <v>306</v>
      </c>
      <c r="B120" s="26" t="n">
        <v>0.12</v>
      </c>
      <c r="C120" s="44" t="n">
        <f aca="false">IFERROR(D113+NPV(B120,E113:BA113),"-")</f>
        <v>177665934.7343</v>
      </c>
    </row>
    <row r="121" customFormat="false" ht="15" hidden="false" customHeight="true" outlineLevel="0" collapsed="false">
      <c r="A121" s="55" t="s">
        <v>307</v>
      </c>
      <c r="B121" s="26" t="n">
        <v>0.14</v>
      </c>
      <c r="C121" s="44" t="n">
        <f aca="false">IFERROR(D113+NPV(B121,E113:BA113),"-")</f>
        <v>-5159526.03177209</v>
      </c>
    </row>
    <row r="123" customFormat="false" ht="15" hidden="false" customHeight="true" outlineLevel="0" collapsed="false">
      <c r="A123" s="55" t="s">
        <v>308</v>
      </c>
      <c r="C123" s="44" t="n">
        <f aca="false">IFERROR(MATCH(TRUE(),D114:BA114&gt;0,0),"-")</f>
        <v>13</v>
      </c>
    </row>
    <row r="170" customFormat="false" ht="15" hidden="false" customHeight="true" outlineLevel="1" collapsed="false">
      <c r="A170" s="49" t="s">
        <v>238</v>
      </c>
      <c r="B170" s="49"/>
      <c r="C170" s="49"/>
      <c r="D170" s="49"/>
      <c r="E170" s="49"/>
      <c r="F170" s="49"/>
      <c r="G170" s="49"/>
      <c r="H170" s="49"/>
    </row>
    <row r="171" customFormat="false" ht="15" hidden="false" customHeight="true" outlineLevel="1" collapsed="false">
      <c r="A171" s="50" t="s">
        <v>239</v>
      </c>
      <c r="B171" s="51" t="s">
        <v>240</v>
      </c>
      <c r="C171" s="52" t="n">
        <f aca="false">Inputs!C7</f>
        <v>2026</v>
      </c>
      <c r="D171" s="51" t="s">
        <v>309</v>
      </c>
      <c r="E171" s="52" t="str">
        <f aca="false">Inputs!C88</f>
        <v>Lease</v>
      </c>
      <c r="F171" s="51" t="s">
        <v>310</v>
      </c>
      <c r="G171" s="52" t="n">
        <f aca="false">Inputs!C93</f>
        <v>0</v>
      </c>
    </row>
    <row r="172" customFormat="false" ht="15" hidden="false" customHeight="true" outlineLevel="1" collapsed="false">
      <c r="B172" s="51" t="s">
        <v>245</v>
      </c>
      <c r="C172" s="53" t="n">
        <f aca="false">Inputs!E45</f>
        <v>0.337259622868647</v>
      </c>
      <c r="D172" s="53" t="n">
        <f aca="false">Inputs!E46</f>
        <v>0.385174192343217</v>
      </c>
      <c r="E172" s="53" t="n">
        <f aca="false">Inputs!E47</f>
        <v>0.277566184788136</v>
      </c>
    </row>
    <row r="173" customFormat="false" ht="15" hidden="false" customHeight="true" outlineLevel="1" collapsed="false"/>
    <row r="174" customFormat="false" ht="15" hidden="false" customHeight="true" outlineLevel="1" collapsed="false">
      <c r="A174" s="50" t="s">
        <v>311</v>
      </c>
    </row>
    <row r="175" customFormat="false" ht="15" hidden="false" customHeight="true" outlineLevel="1" collapsed="false">
      <c r="B175" s="51" t="s">
        <v>45</v>
      </c>
      <c r="C175" s="44" t="n">
        <f aca="false">SUM(D175:BA175)</f>
        <v>3349176631.65723</v>
      </c>
      <c r="D175" s="52" t="n">
        <f aca="false">Revenue!E36</f>
        <v>0</v>
      </c>
      <c r="E175" s="52" t="n">
        <f aca="false">Revenue!F36</f>
        <v>0</v>
      </c>
      <c r="F175" s="52" t="n">
        <f aca="false">Revenue!G36</f>
        <v>0</v>
      </c>
      <c r="G175" s="52" t="n">
        <f aca="false">Revenue!H36</f>
        <v>601866</v>
      </c>
      <c r="H175" s="52" t="n">
        <f aca="false">Revenue!I36</f>
        <v>1212759.99</v>
      </c>
      <c r="I175" s="52" t="n">
        <f aca="false">Revenue!J36</f>
        <v>21345420.3516824</v>
      </c>
      <c r="J175" s="52" t="n">
        <f aca="false">Revenue!K36</f>
        <v>41164492.5972408</v>
      </c>
      <c r="K175" s="52" t="n">
        <f aca="false">Revenue!L36</f>
        <v>61279650.2465879</v>
      </c>
      <c r="L175" s="52" t="n">
        <f aca="false">Revenue!M36</f>
        <v>65582026.048309</v>
      </c>
      <c r="M175" s="52" t="n">
        <f aca="false">Revenue!N36</f>
        <v>66073891.2436714</v>
      </c>
      <c r="N175" s="52" t="n">
        <f aca="false">Revenue!O36</f>
        <v>66569445.4279989</v>
      </c>
      <c r="O175" s="52" t="n">
        <f aca="false">Revenue!P36</f>
        <v>67068716.2687089</v>
      </c>
      <c r="P175" s="52" t="n">
        <f aca="false">Revenue!Q36</f>
        <v>67571731.6407242</v>
      </c>
      <c r="Q175" s="52" t="n">
        <f aca="false">Revenue!R36</f>
        <v>68078519.6280297</v>
      </c>
      <c r="R175" s="52" t="n">
        <f aca="false">Revenue!S36</f>
        <v>68589108.5252399</v>
      </c>
      <c r="S175" s="52" t="n">
        <f aca="false">Revenue!T36</f>
        <v>69103526.8391792</v>
      </c>
      <c r="T175" s="52" t="n">
        <f aca="false">Revenue!U36</f>
        <v>69621803.290473</v>
      </c>
      <c r="U175" s="52" t="n">
        <f aca="false">Revenue!V36</f>
        <v>70143966.8151516</v>
      </c>
      <c r="V175" s="52" t="n">
        <f aca="false">Revenue!W36</f>
        <v>70670046.5662652</v>
      </c>
      <c r="W175" s="52" t="n">
        <f aca="false">Revenue!X36</f>
        <v>71200071.9155122</v>
      </c>
      <c r="X175" s="52" t="n">
        <f aca="false">Revenue!Y36</f>
        <v>71734072.4548786</v>
      </c>
      <c r="Y175" s="52" t="n">
        <f aca="false">Revenue!Z36</f>
        <v>72272077.9982902</v>
      </c>
      <c r="Z175" s="52" t="n">
        <f aca="false">Revenue!AA36</f>
        <v>72814118.5832773</v>
      </c>
      <c r="AA175" s="52" t="n">
        <f aca="false">Revenue!AB36</f>
        <v>73360224.4726519</v>
      </c>
      <c r="AB175" s="52" t="n">
        <f aca="false">Revenue!AC36</f>
        <v>73910426.1561968</v>
      </c>
      <c r="AC175" s="52" t="n">
        <f aca="false">Revenue!AD36</f>
        <v>74464754.3523683</v>
      </c>
      <c r="AD175" s="52" t="n">
        <f aca="false">Revenue!AE36</f>
        <v>75023240.0100111</v>
      </c>
      <c r="AE175" s="52" t="n">
        <f aca="false">Revenue!AF36</f>
        <v>75585914.3100862</v>
      </c>
      <c r="AF175" s="52" t="n">
        <f aca="false">Revenue!AG36</f>
        <v>76152808.6674118</v>
      </c>
      <c r="AG175" s="52" t="n">
        <f aca="false">Revenue!AH36</f>
        <v>76723954.7324174</v>
      </c>
      <c r="AH175" s="52" t="n">
        <f aca="false">Revenue!AI36</f>
        <v>77299384.3929105</v>
      </c>
      <c r="AI175" s="52" t="n">
        <f aca="false">Revenue!AJ36</f>
        <v>77879129.7758574</v>
      </c>
      <c r="AJ175" s="52" t="n">
        <f aca="false">Revenue!AK36</f>
        <v>78463223.2491763</v>
      </c>
      <c r="AK175" s="52" t="n">
        <f aca="false">Revenue!AL36</f>
        <v>79051697.4235451</v>
      </c>
      <c r="AL175" s="52" t="n">
        <f aca="false">Revenue!AM36</f>
        <v>79644585.1542217</v>
      </c>
      <c r="AM175" s="52" t="n">
        <f aca="false">Revenue!AN36</f>
        <v>80241919.5428784</v>
      </c>
      <c r="AN175" s="52" t="n">
        <f aca="false">Revenue!AO36</f>
        <v>80843733.93945</v>
      </c>
      <c r="AO175" s="52" t="n">
        <f aca="false">Revenue!AP36</f>
        <v>81450061.9439959</v>
      </c>
      <c r="AP175" s="52" t="n">
        <f aca="false">Revenue!AQ36</f>
        <v>82060937.4085758</v>
      </c>
      <c r="AQ175" s="52" t="n">
        <f aca="false">Revenue!AR36</f>
        <v>82676394.4391402</v>
      </c>
      <c r="AR175" s="52" t="n">
        <f aca="false">Revenue!AS36</f>
        <v>83296467.3974337</v>
      </c>
      <c r="AS175" s="52" t="n">
        <f aca="false">Revenue!AT36</f>
        <v>83921190.9029145</v>
      </c>
      <c r="AT175" s="52" t="n">
        <f aca="false">Revenue!AU36</f>
        <v>84550599.8346863</v>
      </c>
      <c r="AU175" s="52" t="n">
        <f aca="false">Revenue!AV36</f>
        <v>85184729.3334465</v>
      </c>
      <c r="AV175" s="52" t="n">
        <f aca="false">Revenue!AW36</f>
        <v>85823614.8034473</v>
      </c>
      <c r="AW175" s="52" t="n">
        <f aca="false">Revenue!AX36</f>
        <v>86467291.9144732</v>
      </c>
      <c r="AX175" s="52" t="n">
        <f aca="false">Revenue!AY36</f>
        <v>87115796.6038318</v>
      </c>
      <c r="AY175" s="52" t="n">
        <f aca="false">Revenue!AZ36</f>
        <v>87769165.0783605</v>
      </c>
      <c r="AZ175" s="52" t="n">
        <f aca="false">Revenue!BA36</f>
        <v>88427433.8164482</v>
      </c>
      <c r="BA175" s="52" t="n">
        <f aca="false">Revenue!BB36</f>
        <v>89090639.5700716</v>
      </c>
    </row>
    <row r="176" customFormat="false" ht="15" hidden="false" customHeight="true" outlineLevel="1" collapsed="false">
      <c r="B176" s="51" t="s">
        <v>46</v>
      </c>
      <c r="C176" s="44" t="n">
        <f aca="false">SUM(D176:BA176)</f>
        <v>4387775166.38575</v>
      </c>
      <c r="D176" s="52" t="n">
        <f aca="false">Revenue!E37</f>
        <v>0</v>
      </c>
      <c r="E176" s="52" t="n">
        <f aca="false">Revenue!F37</f>
        <v>0</v>
      </c>
      <c r="F176" s="52" t="n">
        <f aca="false">Revenue!G37</f>
        <v>0</v>
      </c>
      <c r="G176" s="52" t="n">
        <f aca="false">Revenue!H37</f>
        <v>0</v>
      </c>
      <c r="H176" s="52" t="n">
        <f aca="false">Revenue!I37</f>
        <v>0</v>
      </c>
      <c r="I176" s="52" t="n">
        <f aca="false">Revenue!J37</f>
        <v>10496250</v>
      </c>
      <c r="J176" s="52" t="n">
        <f aca="false">Revenue!K37</f>
        <v>34783830</v>
      </c>
      <c r="K176" s="52" t="n">
        <f aca="false">Revenue!L37</f>
        <v>58518611.5209688</v>
      </c>
      <c r="L176" s="52" t="n">
        <f aca="false">Revenue!M37</f>
        <v>77682569.7899327</v>
      </c>
      <c r="M176" s="52" t="n">
        <f aca="false">Revenue!N37</f>
        <v>83187740.6003075</v>
      </c>
      <c r="N176" s="52" t="n">
        <f aca="false">Revenue!O37</f>
        <v>88771119.3282873</v>
      </c>
      <c r="O176" s="52" t="n">
        <f aca="false">Revenue!P37</f>
        <v>89436902.7232495</v>
      </c>
      <c r="P176" s="52" t="n">
        <f aca="false">Revenue!Q37</f>
        <v>90107679.4936739</v>
      </c>
      <c r="Q176" s="52" t="n">
        <f aca="false">Revenue!R37</f>
        <v>90783487.0898764</v>
      </c>
      <c r="R176" s="52" t="n">
        <f aca="false">Revenue!S37</f>
        <v>91464363.2430505</v>
      </c>
      <c r="S176" s="52" t="n">
        <f aca="false">Revenue!T37</f>
        <v>92150345.9673734</v>
      </c>
      <c r="T176" s="52" t="n">
        <f aca="false">Revenue!U37</f>
        <v>92841473.5621287</v>
      </c>
      <c r="U176" s="52" t="n">
        <f aca="false">Revenue!V37</f>
        <v>93537784.6138447</v>
      </c>
      <c r="V176" s="52" t="n">
        <f aca="false">Revenue!W37</f>
        <v>94239317.9984485</v>
      </c>
      <c r="W176" s="52" t="n">
        <f aca="false">Revenue!X37</f>
        <v>94946112.8834369</v>
      </c>
      <c r="X176" s="52" t="n">
        <f aca="false">Revenue!Y37</f>
        <v>95658208.7300627</v>
      </c>
      <c r="Y176" s="52" t="n">
        <f aca="false">Revenue!Z37</f>
        <v>96375645.2955381</v>
      </c>
      <c r="Z176" s="52" t="n">
        <f aca="false">Revenue!AA37</f>
        <v>97098462.6352547</v>
      </c>
      <c r="AA176" s="52" t="n">
        <f aca="false">Revenue!AB37</f>
        <v>97826701.1050191</v>
      </c>
      <c r="AB176" s="52" t="n">
        <f aca="false">Revenue!AC37</f>
        <v>98560401.3633068</v>
      </c>
      <c r="AC176" s="52" t="n">
        <f aca="false">Revenue!AD37</f>
        <v>99299604.3735316</v>
      </c>
      <c r="AD176" s="52" t="n">
        <f aca="false">Revenue!AE37</f>
        <v>100044351.406333</v>
      </c>
      <c r="AE176" s="52" t="n">
        <f aca="false">Revenue!AF37</f>
        <v>100794684.041881</v>
      </c>
      <c r="AF176" s="52" t="n">
        <f aca="false">Revenue!AG37</f>
        <v>101550644.172195</v>
      </c>
      <c r="AG176" s="52" t="n">
        <f aca="false">Revenue!AH37</f>
        <v>102312274.003486</v>
      </c>
      <c r="AH176" s="52" t="n">
        <f aca="false">Revenue!AI37</f>
        <v>103079616.058512</v>
      </c>
      <c r="AI176" s="52" t="n">
        <f aca="false">Revenue!AJ37</f>
        <v>103852713.178951</v>
      </c>
      <c r="AJ176" s="52" t="n">
        <f aca="false">Revenue!AK37</f>
        <v>104631608.527793</v>
      </c>
      <c r="AK176" s="52" t="n">
        <f aca="false">Revenue!AL37</f>
        <v>105416345.591752</v>
      </c>
      <c r="AL176" s="52" t="n">
        <f aca="false">Revenue!AM37</f>
        <v>106206968.18369</v>
      </c>
      <c r="AM176" s="52" t="n">
        <f aca="false">Revenue!AN37</f>
        <v>107003520.445068</v>
      </c>
      <c r="AN176" s="52" t="n">
        <f aca="false">Revenue!AO37</f>
        <v>107806046.848406</v>
      </c>
      <c r="AO176" s="52" t="n">
        <f aca="false">Revenue!AP37</f>
        <v>108614592.199769</v>
      </c>
      <c r="AP176" s="52" t="n">
        <f aca="false">Revenue!AQ37</f>
        <v>109429201.641267</v>
      </c>
      <c r="AQ176" s="52" t="n">
        <f aca="false">Revenue!AR37</f>
        <v>110249920.653576</v>
      </c>
      <c r="AR176" s="52" t="n">
        <f aca="false">Revenue!AS37</f>
        <v>111076795.058478</v>
      </c>
      <c r="AS176" s="52" t="n">
        <f aca="false">Revenue!AT37</f>
        <v>111909871.021417</v>
      </c>
      <c r="AT176" s="52" t="n">
        <f aca="false">Revenue!AU37</f>
        <v>112749195.054077</v>
      </c>
      <c r="AU176" s="52" t="n">
        <f aca="false">Revenue!AV37</f>
        <v>113594814.016983</v>
      </c>
      <c r="AV176" s="52" t="n">
        <f aca="false">Revenue!AW37</f>
        <v>114446775.12211</v>
      </c>
      <c r="AW176" s="52" t="n">
        <f aca="false">Revenue!AX37</f>
        <v>115305125.935526</v>
      </c>
      <c r="AX176" s="52" t="n">
        <f aca="false">Revenue!AY37</f>
        <v>116169914.380043</v>
      </c>
      <c r="AY176" s="52" t="n">
        <f aca="false">Revenue!AZ37</f>
        <v>117041188.737893</v>
      </c>
      <c r="AZ176" s="52" t="n">
        <f aca="false">Revenue!BA37</f>
        <v>117918997.653427</v>
      </c>
      <c r="BA176" s="52" t="n">
        <f aca="false">Revenue!BB37</f>
        <v>118803390.135828</v>
      </c>
    </row>
    <row r="177" customFormat="false" ht="15" hidden="false" customHeight="true" outlineLevel="1" collapsed="false">
      <c r="B177" s="51" t="s">
        <v>47</v>
      </c>
      <c r="C177" s="44" t="n">
        <f aca="false">SUM(D177:BA177)</f>
        <v>4324985432.07914</v>
      </c>
      <c r="D177" s="52" t="n">
        <f aca="false">Revenue!E38</f>
        <v>0</v>
      </c>
      <c r="E177" s="52" t="n">
        <f aca="false">Revenue!F38</f>
        <v>0</v>
      </c>
      <c r="F177" s="52" t="n">
        <f aca="false">Revenue!G38</f>
        <v>0</v>
      </c>
      <c r="G177" s="52" t="n">
        <f aca="false">Revenue!H38</f>
        <v>0</v>
      </c>
      <c r="H177" s="52" t="n">
        <f aca="false">Revenue!I38</f>
        <v>0</v>
      </c>
      <c r="I177" s="52" t="n">
        <f aca="false">Revenue!J38</f>
        <v>2496300</v>
      </c>
      <c r="J177" s="52" t="n">
        <f aca="false">Revenue!K38</f>
        <v>9261728.25</v>
      </c>
      <c r="K177" s="52" t="n">
        <f aca="false">Revenue!L38</f>
        <v>39382865.506875</v>
      </c>
      <c r="L177" s="52" t="n">
        <f aca="false">Revenue!M38</f>
        <v>63997176.4871766</v>
      </c>
      <c r="M177" s="52" t="n">
        <f aca="false">Revenue!N38</f>
        <v>88081646.8890304</v>
      </c>
      <c r="N177" s="52" t="n">
        <f aca="false">Revenue!O38</f>
        <v>88742259.2406981</v>
      </c>
      <c r="O177" s="52" t="n">
        <f aca="false">Revenue!P38</f>
        <v>89407826.1850034</v>
      </c>
      <c r="P177" s="52" t="n">
        <f aca="false">Revenue!Q38</f>
        <v>90078384.8813909</v>
      </c>
      <c r="Q177" s="52" t="n">
        <f aca="false">Revenue!R38</f>
        <v>90753972.7680013</v>
      </c>
      <c r="R177" s="52" t="n">
        <f aca="false">Revenue!S38</f>
        <v>91434627.5637614</v>
      </c>
      <c r="S177" s="52" t="n">
        <f aca="false">Revenue!T38</f>
        <v>92120387.2704896</v>
      </c>
      <c r="T177" s="52" t="n">
        <f aca="false">Revenue!U38</f>
        <v>92811290.1750182</v>
      </c>
      <c r="U177" s="52" t="n">
        <f aca="false">Revenue!V38</f>
        <v>93507374.8513309</v>
      </c>
      <c r="V177" s="52" t="n">
        <f aca="false">Revenue!W38</f>
        <v>94208680.1627159</v>
      </c>
      <c r="W177" s="52" t="n">
        <f aca="false">Revenue!X38</f>
        <v>94915245.2639363</v>
      </c>
      <c r="X177" s="52" t="n">
        <f aca="false">Revenue!Y38</f>
        <v>95627109.6034158</v>
      </c>
      <c r="Y177" s="52" t="n">
        <f aca="false">Revenue!Z38</f>
        <v>96344312.9254414</v>
      </c>
      <c r="Z177" s="52" t="n">
        <f aca="false">Revenue!AA38</f>
        <v>97066895.2723822</v>
      </c>
      <c r="AA177" s="52" t="n">
        <f aca="false">Revenue!AB38</f>
        <v>97794896.9869251</v>
      </c>
      <c r="AB177" s="52" t="n">
        <f aca="false">Revenue!AC38</f>
        <v>98528358.714327</v>
      </c>
      <c r="AC177" s="52" t="n">
        <f aca="false">Revenue!AD38</f>
        <v>99267321.4046845</v>
      </c>
      <c r="AD177" s="52" t="n">
        <f aca="false">Revenue!AE38</f>
        <v>100011826.31522</v>
      </c>
      <c r="AE177" s="52" t="n">
        <f aca="false">Revenue!AF38</f>
        <v>100761915.012584</v>
      </c>
      <c r="AF177" s="52" t="n">
        <f aca="false">Revenue!AG38</f>
        <v>101517629.375178</v>
      </c>
      <c r="AG177" s="52" t="n">
        <f aca="false">Revenue!AH38</f>
        <v>102279011.595492</v>
      </c>
      <c r="AH177" s="52" t="n">
        <f aca="false">Revenue!AI38</f>
        <v>103046104.182458</v>
      </c>
      <c r="AI177" s="52" t="n">
        <f aca="false">Revenue!AJ38</f>
        <v>103818949.963827</v>
      </c>
      <c r="AJ177" s="52" t="n">
        <f aca="false">Revenue!AK38</f>
        <v>104597592.088555</v>
      </c>
      <c r="AK177" s="52" t="n">
        <f aca="false">Revenue!AL38</f>
        <v>105382074.02922</v>
      </c>
      <c r="AL177" s="52" t="n">
        <f aca="false">Revenue!AM38</f>
        <v>106172439.584439</v>
      </c>
      <c r="AM177" s="52" t="n">
        <f aca="false">Revenue!AN38</f>
        <v>106968732.881322</v>
      </c>
      <c r="AN177" s="52" t="n">
        <f aca="false">Revenue!AO38</f>
        <v>107770998.377932</v>
      </c>
      <c r="AO177" s="52" t="n">
        <f aca="false">Revenue!AP38</f>
        <v>108579280.865766</v>
      </c>
      <c r="AP177" s="52" t="n">
        <f aca="false">Revenue!AQ38</f>
        <v>109393625.47226</v>
      </c>
      <c r="AQ177" s="52" t="n">
        <f aca="false">Revenue!AR38</f>
        <v>110214077.663302</v>
      </c>
      <c r="AR177" s="52" t="n">
        <f aca="false">Revenue!AS38</f>
        <v>111040683.245776</v>
      </c>
      <c r="AS177" s="52" t="n">
        <f aca="false">Revenue!AT38</f>
        <v>111873488.37012</v>
      </c>
      <c r="AT177" s="52" t="n">
        <f aca="false">Revenue!AU38</f>
        <v>112712539.532896</v>
      </c>
      <c r="AU177" s="52" t="n">
        <f aca="false">Revenue!AV38</f>
        <v>113557883.579392</v>
      </c>
      <c r="AV177" s="52" t="n">
        <f aca="false">Revenue!AW38</f>
        <v>114409567.706238</v>
      </c>
      <c r="AW177" s="52" t="n">
        <f aca="false">Revenue!AX38</f>
        <v>115267639.464035</v>
      </c>
      <c r="AX177" s="52" t="n">
        <f aca="false">Revenue!AY38</f>
        <v>116132146.760015</v>
      </c>
      <c r="AY177" s="52" t="n">
        <f aca="false">Revenue!AZ38</f>
        <v>117003137.860715</v>
      </c>
      <c r="AZ177" s="52" t="n">
        <f aca="false">Revenue!BA38</f>
        <v>117880661.39467</v>
      </c>
      <c r="BA177" s="52" t="n">
        <f aca="false">Revenue!BB38</f>
        <v>118764766.35513</v>
      </c>
    </row>
    <row r="178" customFormat="false" ht="15" hidden="false" customHeight="true" outlineLevel="1" collapsed="false">
      <c r="B178" s="51" t="s">
        <v>48</v>
      </c>
      <c r="C178" s="44" t="n">
        <f aca="false">SUM(D178:BA178)</f>
        <v>0</v>
      </c>
      <c r="D178" s="52" t="n">
        <f aca="false">Revenue!E39</f>
        <v>0</v>
      </c>
      <c r="E178" s="52" t="n">
        <f aca="false">Revenue!F39</f>
        <v>0</v>
      </c>
      <c r="F178" s="52" t="n">
        <f aca="false">Revenue!G39</f>
        <v>0</v>
      </c>
      <c r="G178" s="52" t="n">
        <f aca="false">Revenue!H39</f>
        <v>0</v>
      </c>
      <c r="H178" s="52" t="n">
        <f aca="false">Revenue!I39</f>
        <v>0</v>
      </c>
      <c r="I178" s="52" t="n">
        <f aca="false">Revenue!J39</f>
        <v>0</v>
      </c>
      <c r="J178" s="52" t="n">
        <f aca="false">Revenue!K39</f>
        <v>0</v>
      </c>
      <c r="K178" s="52" t="n">
        <f aca="false">Revenue!L39</f>
        <v>0</v>
      </c>
      <c r="L178" s="52" t="n">
        <f aca="false">Revenue!M39</f>
        <v>0</v>
      </c>
      <c r="M178" s="52" t="n">
        <f aca="false">Revenue!N39</f>
        <v>0</v>
      </c>
      <c r="N178" s="52" t="n">
        <f aca="false">Revenue!O39</f>
        <v>0</v>
      </c>
      <c r="O178" s="52" t="n">
        <f aca="false">Revenue!P39</f>
        <v>0</v>
      </c>
      <c r="P178" s="52" t="n">
        <f aca="false">Revenue!Q39</f>
        <v>0</v>
      </c>
      <c r="Q178" s="52" t="n">
        <f aca="false">Revenue!R39</f>
        <v>0</v>
      </c>
      <c r="R178" s="52" t="n">
        <f aca="false">Revenue!S39</f>
        <v>0</v>
      </c>
      <c r="S178" s="52" t="n">
        <f aca="false">Revenue!T39</f>
        <v>0</v>
      </c>
      <c r="T178" s="52" t="n">
        <f aca="false">Revenue!U39</f>
        <v>0</v>
      </c>
      <c r="U178" s="52" t="n">
        <f aca="false">Revenue!V39</f>
        <v>0</v>
      </c>
      <c r="V178" s="52" t="n">
        <f aca="false">Revenue!W39</f>
        <v>0</v>
      </c>
      <c r="W178" s="52" t="n">
        <f aca="false">Revenue!X39</f>
        <v>0</v>
      </c>
      <c r="X178" s="52" t="n">
        <f aca="false">Revenue!Y39</f>
        <v>0</v>
      </c>
      <c r="Y178" s="52" t="n">
        <f aca="false">Revenue!Z39</f>
        <v>0</v>
      </c>
      <c r="Z178" s="52" t="n">
        <f aca="false">Revenue!AA39</f>
        <v>0</v>
      </c>
      <c r="AA178" s="52" t="n">
        <f aca="false">Revenue!AB39</f>
        <v>0</v>
      </c>
      <c r="AB178" s="52" t="n">
        <f aca="false">Revenue!AC39</f>
        <v>0</v>
      </c>
      <c r="AC178" s="52" t="n">
        <f aca="false">Revenue!AD39</f>
        <v>0</v>
      </c>
      <c r="AD178" s="52" t="n">
        <f aca="false">Revenue!AE39</f>
        <v>0</v>
      </c>
      <c r="AE178" s="52" t="n">
        <f aca="false">Revenue!AF39</f>
        <v>0</v>
      </c>
      <c r="AF178" s="52" t="n">
        <f aca="false">Revenue!AG39</f>
        <v>0</v>
      </c>
      <c r="AG178" s="52" t="n">
        <f aca="false">Revenue!AH39</f>
        <v>0</v>
      </c>
      <c r="AH178" s="52" t="n">
        <f aca="false">Revenue!AI39</f>
        <v>0</v>
      </c>
      <c r="AI178" s="52" t="n">
        <f aca="false">Revenue!AJ39</f>
        <v>0</v>
      </c>
      <c r="AJ178" s="52" t="n">
        <f aca="false">Revenue!AK39</f>
        <v>0</v>
      </c>
      <c r="AK178" s="52" t="n">
        <f aca="false">Revenue!AL39</f>
        <v>0</v>
      </c>
      <c r="AL178" s="52" t="n">
        <f aca="false">Revenue!AM39</f>
        <v>0</v>
      </c>
      <c r="AM178" s="52" t="n">
        <f aca="false">Revenue!AN39</f>
        <v>0</v>
      </c>
      <c r="AN178" s="52" t="n">
        <f aca="false">Revenue!AO39</f>
        <v>0</v>
      </c>
      <c r="AO178" s="52" t="n">
        <f aca="false">Revenue!AP39</f>
        <v>0</v>
      </c>
      <c r="AP178" s="52" t="n">
        <f aca="false">Revenue!AQ39</f>
        <v>0</v>
      </c>
      <c r="AQ178" s="52" t="n">
        <f aca="false">Revenue!AR39</f>
        <v>0</v>
      </c>
      <c r="AR178" s="52" t="n">
        <f aca="false">Revenue!AS39</f>
        <v>0</v>
      </c>
      <c r="AS178" s="52" t="n">
        <f aca="false">Revenue!AT39</f>
        <v>0</v>
      </c>
      <c r="AT178" s="52" t="n">
        <f aca="false">Revenue!AU39</f>
        <v>0</v>
      </c>
      <c r="AU178" s="52" t="n">
        <f aca="false">Revenue!AV39</f>
        <v>0</v>
      </c>
      <c r="AV178" s="52" t="n">
        <f aca="false">Revenue!AW39</f>
        <v>0</v>
      </c>
      <c r="AW178" s="52" t="n">
        <f aca="false">Revenue!AX39</f>
        <v>0</v>
      </c>
      <c r="AX178" s="52" t="n">
        <f aca="false">Revenue!AY39</f>
        <v>0</v>
      </c>
      <c r="AY178" s="52" t="n">
        <f aca="false">Revenue!AZ39</f>
        <v>0</v>
      </c>
      <c r="AZ178" s="52" t="n">
        <f aca="false">Revenue!BA39</f>
        <v>0</v>
      </c>
      <c r="BA178" s="52" t="n">
        <f aca="false">Revenue!BB39</f>
        <v>0</v>
      </c>
    </row>
    <row r="179" customFormat="false" ht="15" hidden="false" customHeight="true" outlineLevel="1" collapsed="false">
      <c r="B179" s="51" t="s">
        <v>49</v>
      </c>
      <c r="C179" s="44" t="n">
        <f aca="false">SUM(D179:BA179)</f>
        <v>0</v>
      </c>
      <c r="D179" s="52" t="n">
        <f aca="false">Revenue!E40</f>
        <v>0</v>
      </c>
      <c r="E179" s="52" t="n">
        <f aca="false">Revenue!F40</f>
        <v>0</v>
      </c>
      <c r="F179" s="52" t="n">
        <f aca="false">Revenue!G40</f>
        <v>0</v>
      </c>
      <c r="G179" s="52" t="n">
        <f aca="false">Revenue!H40</f>
        <v>0</v>
      </c>
      <c r="H179" s="52" t="n">
        <f aca="false">Revenue!I40</f>
        <v>0</v>
      </c>
      <c r="I179" s="52" t="n">
        <f aca="false">Revenue!J40</f>
        <v>0</v>
      </c>
      <c r="J179" s="52" t="n">
        <f aca="false">Revenue!K40</f>
        <v>0</v>
      </c>
      <c r="K179" s="52" t="n">
        <f aca="false">Revenue!L40</f>
        <v>0</v>
      </c>
      <c r="L179" s="52" t="n">
        <f aca="false">Revenue!M40</f>
        <v>0</v>
      </c>
      <c r="M179" s="52" t="n">
        <f aca="false">Revenue!N40</f>
        <v>0</v>
      </c>
      <c r="N179" s="52" t="n">
        <f aca="false">Revenue!O40</f>
        <v>0</v>
      </c>
      <c r="O179" s="52" t="n">
        <f aca="false">Revenue!P40</f>
        <v>0</v>
      </c>
      <c r="P179" s="52" t="n">
        <f aca="false">Revenue!Q40</f>
        <v>0</v>
      </c>
      <c r="Q179" s="52" t="n">
        <f aca="false">Revenue!R40</f>
        <v>0</v>
      </c>
      <c r="R179" s="52" t="n">
        <f aca="false">Revenue!S40</f>
        <v>0</v>
      </c>
      <c r="S179" s="52" t="n">
        <f aca="false">Revenue!T40</f>
        <v>0</v>
      </c>
      <c r="T179" s="52" t="n">
        <f aca="false">Revenue!U40</f>
        <v>0</v>
      </c>
      <c r="U179" s="52" t="n">
        <f aca="false">Revenue!V40</f>
        <v>0</v>
      </c>
      <c r="V179" s="52" t="n">
        <f aca="false">Revenue!W40</f>
        <v>0</v>
      </c>
      <c r="W179" s="52" t="n">
        <f aca="false">Revenue!X40</f>
        <v>0</v>
      </c>
      <c r="X179" s="52" t="n">
        <f aca="false">Revenue!Y40</f>
        <v>0</v>
      </c>
      <c r="Y179" s="52" t="n">
        <f aca="false">Revenue!Z40</f>
        <v>0</v>
      </c>
      <c r="Z179" s="52" t="n">
        <f aca="false">Revenue!AA40</f>
        <v>0</v>
      </c>
      <c r="AA179" s="52" t="n">
        <f aca="false">Revenue!AB40</f>
        <v>0</v>
      </c>
      <c r="AB179" s="52" t="n">
        <f aca="false">Revenue!AC40</f>
        <v>0</v>
      </c>
      <c r="AC179" s="52" t="n">
        <f aca="false">Revenue!AD40</f>
        <v>0</v>
      </c>
      <c r="AD179" s="52" t="n">
        <f aca="false">Revenue!AE40</f>
        <v>0</v>
      </c>
      <c r="AE179" s="52" t="n">
        <f aca="false">Revenue!AF40</f>
        <v>0</v>
      </c>
      <c r="AF179" s="52" t="n">
        <f aca="false">Revenue!AG40</f>
        <v>0</v>
      </c>
      <c r="AG179" s="52" t="n">
        <f aca="false">Revenue!AH40</f>
        <v>0</v>
      </c>
      <c r="AH179" s="52" t="n">
        <f aca="false">Revenue!AI40</f>
        <v>0</v>
      </c>
      <c r="AI179" s="52" t="n">
        <f aca="false">Revenue!AJ40</f>
        <v>0</v>
      </c>
      <c r="AJ179" s="52" t="n">
        <f aca="false">Revenue!AK40</f>
        <v>0</v>
      </c>
      <c r="AK179" s="52" t="n">
        <f aca="false">Revenue!AL40</f>
        <v>0</v>
      </c>
      <c r="AL179" s="52" t="n">
        <f aca="false">Revenue!AM40</f>
        <v>0</v>
      </c>
      <c r="AM179" s="52" t="n">
        <f aca="false">Revenue!AN40</f>
        <v>0</v>
      </c>
      <c r="AN179" s="52" t="n">
        <f aca="false">Revenue!AO40</f>
        <v>0</v>
      </c>
      <c r="AO179" s="52" t="n">
        <f aca="false">Revenue!AP40</f>
        <v>0</v>
      </c>
      <c r="AP179" s="52" t="n">
        <f aca="false">Revenue!AQ40</f>
        <v>0</v>
      </c>
      <c r="AQ179" s="52" t="n">
        <f aca="false">Revenue!AR40</f>
        <v>0</v>
      </c>
      <c r="AR179" s="52" t="n">
        <f aca="false">Revenue!AS40</f>
        <v>0</v>
      </c>
      <c r="AS179" s="52" t="n">
        <f aca="false">Revenue!AT40</f>
        <v>0</v>
      </c>
      <c r="AT179" s="52" t="n">
        <f aca="false">Revenue!AU40</f>
        <v>0</v>
      </c>
      <c r="AU179" s="52" t="n">
        <f aca="false">Revenue!AV40</f>
        <v>0</v>
      </c>
      <c r="AV179" s="52" t="n">
        <f aca="false">Revenue!AW40</f>
        <v>0</v>
      </c>
      <c r="AW179" s="52" t="n">
        <f aca="false">Revenue!AX40</f>
        <v>0</v>
      </c>
      <c r="AX179" s="52" t="n">
        <f aca="false">Revenue!AY40</f>
        <v>0</v>
      </c>
      <c r="AY179" s="52" t="n">
        <f aca="false">Revenue!AZ40</f>
        <v>0</v>
      </c>
      <c r="AZ179" s="52" t="n">
        <f aca="false">Revenue!BA40</f>
        <v>0</v>
      </c>
      <c r="BA179" s="52" t="n">
        <f aca="false">Revenue!BB40</f>
        <v>0</v>
      </c>
    </row>
    <row r="180" customFormat="false" ht="15" hidden="false" customHeight="true" outlineLevel="1" collapsed="false">
      <c r="B180" s="51" t="s">
        <v>50</v>
      </c>
      <c r="C180" s="44" t="n">
        <f aca="false">SUM(D180:BA180)</f>
        <v>0</v>
      </c>
      <c r="D180" s="52" t="n">
        <f aca="false">Revenue!E41</f>
        <v>0</v>
      </c>
      <c r="E180" s="52" t="n">
        <f aca="false">Revenue!F41</f>
        <v>0</v>
      </c>
      <c r="F180" s="52" t="n">
        <f aca="false">Revenue!G41</f>
        <v>0</v>
      </c>
      <c r="G180" s="52" t="n">
        <f aca="false">Revenue!H41</f>
        <v>0</v>
      </c>
      <c r="H180" s="52" t="n">
        <f aca="false">Revenue!I41</f>
        <v>0</v>
      </c>
      <c r="I180" s="52" t="n">
        <f aca="false">Revenue!J41</f>
        <v>0</v>
      </c>
      <c r="J180" s="52" t="n">
        <f aca="false">Revenue!K41</f>
        <v>0</v>
      </c>
      <c r="K180" s="52" t="n">
        <f aca="false">Revenue!L41</f>
        <v>0</v>
      </c>
      <c r="L180" s="52" t="n">
        <f aca="false">Revenue!M41</f>
        <v>0</v>
      </c>
      <c r="M180" s="52" t="n">
        <f aca="false">Revenue!N41</f>
        <v>0</v>
      </c>
      <c r="N180" s="52" t="n">
        <f aca="false">Revenue!O41</f>
        <v>0</v>
      </c>
      <c r="O180" s="52" t="n">
        <f aca="false">Revenue!P41</f>
        <v>0</v>
      </c>
      <c r="P180" s="52" t="n">
        <f aca="false">Revenue!Q41</f>
        <v>0</v>
      </c>
      <c r="Q180" s="52" t="n">
        <f aca="false">Revenue!R41</f>
        <v>0</v>
      </c>
      <c r="R180" s="52" t="n">
        <f aca="false">Revenue!S41</f>
        <v>0</v>
      </c>
      <c r="S180" s="52" t="n">
        <f aca="false">Revenue!T41</f>
        <v>0</v>
      </c>
      <c r="T180" s="52" t="n">
        <f aca="false">Revenue!U41</f>
        <v>0</v>
      </c>
      <c r="U180" s="52" t="n">
        <f aca="false">Revenue!V41</f>
        <v>0</v>
      </c>
      <c r="V180" s="52" t="n">
        <f aca="false">Revenue!W41</f>
        <v>0</v>
      </c>
      <c r="W180" s="52" t="n">
        <f aca="false">Revenue!X41</f>
        <v>0</v>
      </c>
      <c r="X180" s="52" t="n">
        <f aca="false">Revenue!Y41</f>
        <v>0</v>
      </c>
      <c r="Y180" s="52" t="n">
        <f aca="false">Revenue!Z41</f>
        <v>0</v>
      </c>
      <c r="Z180" s="52" t="n">
        <f aca="false">Revenue!AA41</f>
        <v>0</v>
      </c>
      <c r="AA180" s="52" t="n">
        <f aca="false">Revenue!AB41</f>
        <v>0</v>
      </c>
      <c r="AB180" s="52" t="n">
        <f aca="false">Revenue!AC41</f>
        <v>0</v>
      </c>
      <c r="AC180" s="52" t="n">
        <f aca="false">Revenue!AD41</f>
        <v>0</v>
      </c>
      <c r="AD180" s="52" t="n">
        <f aca="false">Revenue!AE41</f>
        <v>0</v>
      </c>
      <c r="AE180" s="52" t="n">
        <f aca="false">Revenue!AF41</f>
        <v>0</v>
      </c>
      <c r="AF180" s="52" t="n">
        <f aca="false">Revenue!AG41</f>
        <v>0</v>
      </c>
      <c r="AG180" s="52" t="n">
        <f aca="false">Revenue!AH41</f>
        <v>0</v>
      </c>
      <c r="AH180" s="52" t="n">
        <f aca="false">Revenue!AI41</f>
        <v>0</v>
      </c>
      <c r="AI180" s="52" t="n">
        <f aca="false">Revenue!AJ41</f>
        <v>0</v>
      </c>
      <c r="AJ180" s="52" t="n">
        <f aca="false">Revenue!AK41</f>
        <v>0</v>
      </c>
      <c r="AK180" s="52" t="n">
        <f aca="false">Revenue!AL41</f>
        <v>0</v>
      </c>
      <c r="AL180" s="52" t="n">
        <f aca="false">Revenue!AM41</f>
        <v>0</v>
      </c>
      <c r="AM180" s="52" t="n">
        <f aca="false">Revenue!AN41</f>
        <v>0</v>
      </c>
      <c r="AN180" s="52" t="n">
        <f aca="false">Revenue!AO41</f>
        <v>0</v>
      </c>
      <c r="AO180" s="52" t="n">
        <f aca="false">Revenue!AP41</f>
        <v>0</v>
      </c>
      <c r="AP180" s="52" t="n">
        <f aca="false">Revenue!AQ41</f>
        <v>0</v>
      </c>
      <c r="AQ180" s="52" t="n">
        <f aca="false">Revenue!AR41</f>
        <v>0</v>
      </c>
      <c r="AR180" s="52" t="n">
        <f aca="false">Revenue!AS41</f>
        <v>0</v>
      </c>
      <c r="AS180" s="52" t="n">
        <f aca="false">Revenue!AT41</f>
        <v>0</v>
      </c>
      <c r="AT180" s="52" t="n">
        <f aca="false">Revenue!AU41</f>
        <v>0</v>
      </c>
      <c r="AU180" s="52" t="n">
        <f aca="false">Revenue!AV41</f>
        <v>0</v>
      </c>
      <c r="AV180" s="52" t="n">
        <f aca="false">Revenue!AW41</f>
        <v>0</v>
      </c>
      <c r="AW180" s="52" t="n">
        <f aca="false">Revenue!AX41</f>
        <v>0</v>
      </c>
      <c r="AX180" s="52" t="n">
        <f aca="false">Revenue!AY41</f>
        <v>0</v>
      </c>
      <c r="AY180" s="52" t="n">
        <f aca="false">Revenue!AZ41</f>
        <v>0</v>
      </c>
      <c r="AZ180" s="52" t="n">
        <f aca="false">Revenue!BA41</f>
        <v>0</v>
      </c>
      <c r="BA180" s="52" t="n">
        <f aca="false">Revenue!BB41</f>
        <v>0</v>
      </c>
    </row>
    <row r="181" customFormat="false" ht="15" hidden="false" customHeight="true" outlineLevel="1" collapsed="false">
      <c r="B181" s="51" t="s">
        <v>51</v>
      </c>
      <c r="C181" s="44" t="n">
        <f aca="false">SUM(D181:BA181)</f>
        <v>0</v>
      </c>
      <c r="D181" s="52" t="n">
        <f aca="false">Revenue!E42</f>
        <v>0</v>
      </c>
      <c r="E181" s="52" t="n">
        <f aca="false">Revenue!F42</f>
        <v>0</v>
      </c>
      <c r="F181" s="52" t="n">
        <f aca="false">Revenue!G42</f>
        <v>0</v>
      </c>
      <c r="G181" s="52" t="n">
        <f aca="false">Revenue!H42</f>
        <v>0</v>
      </c>
      <c r="H181" s="52" t="n">
        <f aca="false">Revenue!I42</f>
        <v>0</v>
      </c>
      <c r="I181" s="52" t="n">
        <f aca="false">Revenue!J42</f>
        <v>0</v>
      </c>
      <c r="J181" s="52" t="n">
        <f aca="false">Revenue!K42</f>
        <v>0</v>
      </c>
      <c r="K181" s="52" t="n">
        <f aca="false">Revenue!L42</f>
        <v>0</v>
      </c>
      <c r="L181" s="52" t="n">
        <f aca="false">Revenue!M42</f>
        <v>0</v>
      </c>
      <c r="M181" s="52" t="n">
        <f aca="false">Revenue!N42</f>
        <v>0</v>
      </c>
      <c r="N181" s="52" t="n">
        <f aca="false">Revenue!O42</f>
        <v>0</v>
      </c>
      <c r="O181" s="52" t="n">
        <f aca="false">Revenue!P42</f>
        <v>0</v>
      </c>
      <c r="P181" s="52" t="n">
        <f aca="false">Revenue!Q42</f>
        <v>0</v>
      </c>
      <c r="Q181" s="52" t="n">
        <f aca="false">Revenue!R42</f>
        <v>0</v>
      </c>
      <c r="R181" s="52" t="n">
        <f aca="false">Revenue!S42</f>
        <v>0</v>
      </c>
      <c r="S181" s="52" t="n">
        <f aca="false">Revenue!T42</f>
        <v>0</v>
      </c>
      <c r="T181" s="52" t="n">
        <f aca="false">Revenue!U42</f>
        <v>0</v>
      </c>
      <c r="U181" s="52" t="n">
        <f aca="false">Revenue!V42</f>
        <v>0</v>
      </c>
      <c r="V181" s="52" t="n">
        <f aca="false">Revenue!W42</f>
        <v>0</v>
      </c>
      <c r="W181" s="52" t="n">
        <f aca="false">Revenue!X42</f>
        <v>0</v>
      </c>
      <c r="X181" s="52" t="n">
        <f aca="false">Revenue!Y42</f>
        <v>0</v>
      </c>
      <c r="Y181" s="52" t="n">
        <f aca="false">Revenue!Z42</f>
        <v>0</v>
      </c>
      <c r="Z181" s="52" t="n">
        <f aca="false">Revenue!AA42</f>
        <v>0</v>
      </c>
      <c r="AA181" s="52" t="n">
        <f aca="false">Revenue!AB42</f>
        <v>0</v>
      </c>
      <c r="AB181" s="52" t="n">
        <f aca="false">Revenue!AC42</f>
        <v>0</v>
      </c>
      <c r="AC181" s="52" t="n">
        <f aca="false">Revenue!AD42</f>
        <v>0</v>
      </c>
      <c r="AD181" s="52" t="n">
        <f aca="false">Revenue!AE42</f>
        <v>0</v>
      </c>
      <c r="AE181" s="52" t="n">
        <f aca="false">Revenue!AF42</f>
        <v>0</v>
      </c>
      <c r="AF181" s="52" t="n">
        <f aca="false">Revenue!AG42</f>
        <v>0</v>
      </c>
      <c r="AG181" s="52" t="n">
        <f aca="false">Revenue!AH42</f>
        <v>0</v>
      </c>
      <c r="AH181" s="52" t="n">
        <f aca="false">Revenue!AI42</f>
        <v>0</v>
      </c>
      <c r="AI181" s="52" t="n">
        <f aca="false">Revenue!AJ42</f>
        <v>0</v>
      </c>
      <c r="AJ181" s="52" t="n">
        <f aca="false">Revenue!AK42</f>
        <v>0</v>
      </c>
      <c r="AK181" s="52" t="n">
        <f aca="false">Revenue!AL42</f>
        <v>0</v>
      </c>
      <c r="AL181" s="52" t="n">
        <f aca="false">Revenue!AM42</f>
        <v>0</v>
      </c>
      <c r="AM181" s="52" t="n">
        <f aca="false">Revenue!AN42</f>
        <v>0</v>
      </c>
      <c r="AN181" s="52" t="n">
        <f aca="false">Revenue!AO42</f>
        <v>0</v>
      </c>
      <c r="AO181" s="52" t="n">
        <f aca="false">Revenue!AP42</f>
        <v>0</v>
      </c>
      <c r="AP181" s="52" t="n">
        <f aca="false">Revenue!AQ42</f>
        <v>0</v>
      </c>
      <c r="AQ181" s="52" t="n">
        <f aca="false">Revenue!AR42</f>
        <v>0</v>
      </c>
      <c r="AR181" s="52" t="n">
        <f aca="false">Revenue!AS42</f>
        <v>0</v>
      </c>
      <c r="AS181" s="52" t="n">
        <f aca="false">Revenue!AT42</f>
        <v>0</v>
      </c>
      <c r="AT181" s="52" t="n">
        <f aca="false">Revenue!AU42</f>
        <v>0</v>
      </c>
      <c r="AU181" s="52" t="n">
        <f aca="false">Revenue!AV42</f>
        <v>0</v>
      </c>
      <c r="AV181" s="52" t="n">
        <f aca="false">Revenue!AW42</f>
        <v>0</v>
      </c>
      <c r="AW181" s="52" t="n">
        <f aca="false">Revenue!AX42</f>
        <v>0</v>
      </c>
      <c r="AX181" s="52" t="n">
        <f aca="false">Revenue!AY42</f>
        <v>0</v>
      </c>
      <c r="AY181" s="52" t="n">
        <f aca="false">Revenue!AZ42</f>
        <v>0</v>
      </c>
      <c r="AZ181" s="52" t="n">
        <f aca="false">Revenue!BA42</f>
        <v>0</v>
      </c>
      <c r="BA181" s="52" t="n">
        <f aca="false">Revenue!BB42</f>
        <v>0</v>
      </c>
    </row>
    <row r="182" customFormat="false" ht="15" hidden="false" customHeight="true" outlineLevel="1" collapsed="false">
      <c r="B182" s="51" t="s">
        <v>52</v>
      </c>
      <c r="C182" s="44" t="n">
        <f aca="false">SUM(D182:BA182)</f>
        <v>0</v>
      </c>
      <c r="D182" s="52" t="n">
        <f aca="false">Revenue!E43</f>
        <v>0</v>
      </c>
      <c r="E182" s="52" t="n">
        <f aca="false">Revenue!F43</f>
        <v>0</v>
      </c>
      <c r="F182" s="52" t="n">
        <f aca="false">Revenue!G43</f>
        <v>0</v>
      </c>
      <c r="G182" s="52" t="n">
        <f aca="false">Revenue!H43</f>
        <v>0</v>
      </c>
      <c r="H182" s="52" t="n">
        <f aca="false">Revenue!I43</f>
        <v>0</v>
      </c>
      <c r="I182" s="52" t="n">
        <f aca="false">Revenue!J43</f>
        <v>0</v>
      </c>
      <c r="J182" s="52" t="n">
        <f aca="false">Revenue!K43</f>
        <v>0</v>
      </c>
      <c r="K182" s="52" t="n">
        <f aca="false">Revenue!L43</f>
        <v>0</v>
      </c>
      <c r="L182" s="52" t="n">
        <f aca="false">Revenue!M43</f>
        <v>0</v>
      </c>
      <c r="M182" s="52" t="n">
        <f aca="false">Revenue!N43</f>
        <v>0</v>
      </c>
      <c r="N182" s="52" t="n">
        <f aca="false">Revenue!O43</f>
        <v>0</v>
      </c>
      <c r="O182" s="52" t="n">
        <f aca="false">Revenue!P43</f>
        <v>0</v>
      </c>
      <c r="P182" s="52" t="n">
        <f aca="false">Revenue!Q43</f>
        <v>0</v>
      </c>
      <c r="Q182" s="52" t="n">
        <f aca="false">Revenue!R43</f>
        <v>0</v>
      </c>
      <c r="R182" s="52" t="n">
        <f aca="false">Revenue!S43</f>
        <v>0</v>
      </c>
      <c r="S182" s="52" t="n">
        <f aca="false">Revenue!T43</f>
        <v>0</v>
      </c>
      <c r="T182" s="52" t="n">
        <f aca="false">Revenue!U43</f>
        <v>0</v>
      </c>
      <c r="U182" s="52" t="n">
        <f aca="false">Revenue!V43</f>
        <v>0</v>
      </c>
      <c r="V182" s="52" t="n">
        <f aca="false">Revenue!W43</f>
        <v>0</v>
      </c>
      <c r="W182" s="52" t="n">
        <f aca="false">Revenue!X43</f>
        <v>0</v>
      </c>
      <c r="X182" s="52" t="n">
        <f aca="false">Revenue!Y43</f>
        <v>0</v>
      </c>
      <c r="Y182" s="52" t="n">
        <f aca="false">Revenue!Z43</f>
        <v>0</v>
      </c>
      <c r="Z182" s="52" t="n">
        <f aca="false">Revenue!AA43</f>
        <v>0</v>
      </c>
      <c r="AA182" s="52" t="n">
        <f aca="false">Revenue!AB43</f>
        <v>0</v>
      </c>
      <c r="AB182" s="52" t="n">
        <f aca="false">Revenue!AC43</f>
        <v>0</v>
      </c>
      <c r="AC182" s="52" t="n">
        <f aca="false">Revenue!AD43</f>
        <v>0</v>
      </c>
      <c r="AD182" s="52" t="n">
        <f aca="false">Revenue!AE43</f>
        <v>0</v>
      </c>
      <c r="AE182" s="52" t="n">
        <f aca="false">Revenue!AF43</f>
        <v>0</v>
      </c>
      <c r="AF182" s="52" t="n">
        <f aca="false">Revenue!AG43</f>
        <v>0</v>
      </c>
      <c r="AG182" s="52" t="n">
        <f aca="false">Revenue!AH43</f>
        <v>0</v>
      </c>
      <c r="AH182" s="52" t="n">
        <f aca="false">Revenue!AI43</f>
        <v>0</v>
      </c>
      <c r="AI182" s="52" t="n">
        <f aca="false">Revenue!AJ43</f>
        <v>0</v>
      </c>
      <c r="AJ182" s="52" t="n">
        <f aca="false">Revenue!AK43</f>
        <v>0</v>
      </c>
      <c r="AK182" s="52" t="n">
        <f aca="false">Revenue!AL43</f>
        <v>0</v>
      </c>
      <c r="AL182" s="52" t="n">
        <f aca="false">Revenue!AM43</f>
        <v>0</v>
      </c>
      <c r="AM182" s="52" t="n">
        <f aca="false">Revenue!AN43</f>
        <v>0</v>
      </c>
      <c r="AN182" s="52" t="n">
        <f aca="false">Revenue!AO43</f>
        <v>0</v>
      </c>
      <c r="AO182" s="52" t="n">
        <f aca="false">Revenue!AP43</f>
        <v>0</v>
      </c>
      <c r="AP182" s="52" t="n">
        <f aca="false">Revenue!AQ43</f>
        <v>0</v>
      </c>
      <c r="AQ182" s="52" t="n">
        <f aca="false">Revenue!AR43</f>
        <v>0</v>
      </c>
      <c r="AR182" s="52" t="n">
        <f aca="false">Revenue!AS43</f>
        <v>0</v>
      </c>
      <c r="AS182" s="52" t="n">
        <f aca="false">Revenue!AT43</f>
        <v>0</v>
      </c>
      <c r="AT182" s="52" t="n">
        <f aca="false">Revenue!AU43</f>
        <v>0</v>
      </c>
      <c r="AU182" s="52" t="n">
        <f aca="false">Revenue!AV43</f>
        <v>0</v>
      </c>
      <c r="AV182" s="52" t="n">
        <f aca="false">Revenue!AW43</f>
        <v>0</v>
      </c>
      <c r="AW182" s="52" t="n">
        <f aca="false">Revenue!AX43</f>
        <v>0</v>
      </c>
      <c r="AX182" s="52" t="n">
        <f aca="false">Revenue!AY43</f>
        <v>0</v>
      </c>
      <c r="AY182" s="52" t="n">
        <f aca="false">Revenue!AZ43</f>
        <v>0</v>
      </c>
      <c r="AZ182" s="52" t="n">
        <f aca="false">Revenue!BA43</f>
        <v>0</v>
      </c>
      <c r="BA182" s="52" t="n">
        <f aca="false">Revenue!BB43</f>
        <v>0</v>
      </c>
    </row>
    <row r="183" customFormat="false" ht="15" hidden="false" customHeight="true" outlineLevel="1" collapsed="false">
      <c r="B183" s="51" t="s">
        <v>53</v>
      </c>
      <c r="C183" s="44" t="n">
        <f aca="false">SUM(D183:BA183)</f>
        <v>0</v>
      </c>
      <c r="D183" s="52" t="n">
        <f aca="false">Revenue!E44</f>
        <v>0</v>
      </c>
      <c r="E183" s="52" t="n">
        <f aca="false">Revenue!F44</f>
        <v>0</v>
      </c>
      <c r="F183" s="52" t="n">
        <f aca="false">Revenue!G44</f>
        <v>0</v>
      </c>
      <c r="G183" s="52" t="n">
        <f aca="false">Revenue!H44</f>
        <v>0</v>
      </c>
      <c r="H183" s="52" t="n">
        <f aca="false">Revenue!I44</f>
        <v>0</v>
      </c>
      <c r="I183" s="52" t="n">
        <f aca="false">Revenue!J44</f>
        <v>0</v>
      </c>
      <c r="J183" s="52" t="n">
        <f aca="false">Revenue!K44</f>
        <v>0</v>
      </c>
      <c r="K183" s="52" t="n">
        <f aca="false">Revenue!L44</f>
        <v>0</v>
      </c>
      <c r="L183" s="52" t="n">
        <f aca="false">Revenue!M44</f>
        <v>0</v>
      </c>
      <c r="M183" s="52" t="n">
        <f aca="false">Revenue!N44</f>
        <v>0</v>
      </c>
      <c r="N183" s="52" t="n">
        <f aca="false">Revenue!O44</f>
        <v>0</v>
      </c>
      <c r="O183" s="52" t="n">
        <f aca="false">Revenue!P44</f>
        <v>0</v>
      </c>
      <c r="P183" s="52" t="n">
        <f aca="false">Revenue!Q44</f>
        <v>0</v>
      </c>
      <c r="Q183" s="52" t="n">
        <f aca="false">Revenue!R44</f>
        <v>0</v>
      </c>
      <c r="R183" s="52" t="n">
        <f aca="false">Revenue!S44</f>
        <v>0</v>
      </c>
      <c r="S183" s="52" t="n">
        <f aca="false">Revenue!T44</f>
        <v>0</v>
      </c>
      <c r="T183" s="52" t="n">
        <f aca="false">Revenue!U44</f>
        <v>0</v>
      </c>
      <c r="U183" s="52" t="n">
        <f aca="false">Revenue!V44</f>
        <v>0</v>
      </c>
      <c r="V183" s="52" t="n">
        <f aca="false">Revenue!W44</f>
        <v>0</v>
      </c>
      <c r="W183" s="52" t="n">
        <f aca="false">Revenue!X44</f>
        <v>0</v>
      </c>
      <c r="X183" s="52" t="n">
        <f aca="false">Revenue!Y44</f>
        <v>0</v>
      </c>
      <c r="Y183" s="52" t="n">
        <f aca="false">Revenue!Z44</f>
        <v>0</v>
      </c>
      <c r="Z183" s="52" t="n">
        <f aca="false">Revenue!AA44</f>
        <v>0</v>
      </c>
      <c r="AA183" s="52" t="n">
        <f aca="false">Revenue!AB44</f>
        <v>0</v>
      </c>
      <c r="AB183" s="52" t="n">
        <f aca="false">Revenue!AC44</f>
        <v>0</v>
      </c>
      <c r="AC183" s="52" t="n">
        <f aca="false">Revenue!AD44</f>
        <v>0</v>
      </c>
      <c r="AD183" s="52" t="n">
        <f aca="false">Revenue!AE44</f>
        <v>0</v>
      </c>
      <c r="AE183" s="52" t="n">
        <f aca="false">Revenue!AF44</f>
        <v>0</v>
      </c>
      <c r="AF183" s="52" t="n">
        <f aca="false">Revenue!AG44</f>
        <v>0</v>
      </c>
      <c r="AG183" s="52" t="n">
        <f aca="false">Revenue!AH44</f>
        <v>0</v>
      </c>
      <c r="AH183" s="52" t="n">
        <f aca="false">Revenue!AI44</f>
        <v>0</v>
      </c>
      <c r="AI183" s="52" t="n">
        <f aca="false">Revenue!AJ44</f>
        <v>0</v>
      </c>
      <c r="AJ183" s="52" t="n">
        <f aca="false">Revenue!AK44</f>
        <v>0</v>
      </c>
      <c r="AK183" s="52" t="n">
        <f aca="false">Revenue!AL44</f>
        <v>0</v>
      </c>
      <c r="AL183" s="52" t="n">
        <f aca="false">Revenue!AM44</f>
        <v>0</v>
      </c>
      <c r="AM183" s="52" t="n">
        <f aca="false">Revenue!AN44</f>
        <v>0</v>
      </c>
      <c r="AN183" s="52" t="n">
        <f aca="false">Revenue!AO44</f>
        <v>0</v>
      </c>
      <c r="AO183" s="52" t="n">
        <f aca="false">Revenue!AP44</f>
        <v>0</v>
      </c>
      <c r="AP183" s="52" t="n">
        <f aca="false">Revenue!AQ44</f>
        <v>0</v>
      </c>
      <c r="AQ183" s="52" t="n">
        <f aca="false">Revenue!AR44</f>
        <v>0</v>
      </c>
      <c r="AR183" s="52" t="n">
        <f aca="false">Revenue!AS44</f>
        <v>0</v>
      </c>
      <c r="AS183" s="52" t="n">
        <f aca="false">Revenue!AT44</f>
        <v>0</v>
      </c>
      <c r="AT183" s="52" t="n">
        <f aca="false">Revenue!AU44</f>
        <v>0</v>
      </c>
      <c r="AU183" s="52" t="n">
        <f aca="false">Revenue!AV44</f>
        <v>0</v>
      </c>
      <c r="AV183" s="52" t="n">
        <f aca="false">Revenue!AW44</f>
        <v>0</v>
      </c>
      <c r="AW183" s="52" t="n">
        <f aca="false">Revenue!AX44</f>
        <v>0</v>
      </c>
      <c r="AX183" s="52" t="n">
        <f aca="false">Revenue!AY44</f>
        <v>0</v>
      </c>
      <c r="AY183" s="52" t="n">
        <f aca="false">Revenue!AZ44</f>
        <v>0</v>
      </c>
      <c r="AZ183" s="52" t="n">
        <f aca="false">Revenue!BA44</f>
        <v>0</v>
      </c>
      <c r="BA183" s="52" t="n">
        <f aca="false">Revenue!BB44</f>
        <v>0</v>
      </c>
    </row>
    <row r="184" customFormat="false" ht="15" hidden="false" customHeight="true" outlineLevel="1" collapsed="false">
      <c r="B184" s="51" t="s">
        <v>54</v>
      </c>
      <c r="C184" s="44" t="n">
        <f aca="false">SUM(D184:BA184)</f>
        <v>0</v>
      </c>
      <c r="D184" s="52" t="n">
        <f aca="false">Revenue!E45</f>
        <v>0</v>
      </c>
      <c r="E184" s="52" t="n">
        <f aca="false">Revenue!F45</f>
        <v>0</v>
      </c>
      <c r="F184" s="52" t="n">
        <f aca="false">Revenue!G45</f>
        <v>0</v>
      </c>
      <c r="G184" s="52" t="n">
        <f aca="false">Revenue!H45</f>
        <v>0</v>
      </c>
      <c r="H184" s="52" t="n">
        <f aca="false">Revenue!I45</f>
        <v>0</v>
      </c>
      <c r="I184" s="52" t="n">
        <f aca="false">Revenue!J45</f>
        <v>0</v>
      </c>
      <c r="J184" s="52" t="n">
        <f aca="false">Revenue!K45</f>
        <v>0</v>
      </c>
      <c r="K184" s="52" t="n">
        <f aca="false">Revenue!L45</f>
        <v>0</v>
      </c>
      <c r="L184" s="52" t="n">
        <f aca="false">Revenue!M45</f>
        <v>0</v>
      </c>
      <c r="M184" s="52" t="n">
        <f aca="false">Revenue!N45</f>
        <v>0</v>
      </c>
      <c r="N184" s="52" t="n">
        <f aca="false">Revenue!O45</f>
        <v>0</v>
      </c>
      <c r="O184" s="52" t="n">
        <f aca="false">Revenue!P45</f>
        <v>0</v>
      </c>
      <c r="P184" s="52" t="n">
        <f aca="false">Revenue!Q45</f>
        <v>0</v>
      </c>
      <c r="Q184" s="52" t="n">
        <f aca="false">Revenue!R45</f>
        <v>0</v>
      </c>
      <c r="R184" s="52" t="n">
        <f aca="false">Revenue!S45</f>
        <v>0</v>
      </c>
      <c r="S184" s="52" t="n">
        <f aca="false">Revenue!T45</f>
        <v>0</v>
      </c>
      <c r="T184" s="52" t="n">
        <f aca="false">Revenue!U45</f>
        <v>0</v>
      </c>
      <c r="U184" s="52" t="n">
        <f aca="false">Revenue!V45</f>
        <v>0</v>
      </c>
      <c r="V184" s="52" t="n">
        <f aca="false">Revenue!W45</f>
        <v>0</v>
      </c>
      <c r="W184" s="52" t="n">
        <f aca="false">Revenue!X45</f>
        <v>0</v>
      </c>
      <c r="X184" s="52" t="n">
        <f aca="false">Revenue!Y45</f>
        <v>0</v>
      </c>
      <c r="Y184" s="52" t="n">
        <f aca="false">Revenue!Z45</f>
        <v>0</v>
      </c>
      <c r="Z184" s="52" t="n">
        <f aca="false">Revenue!AA45</f>
        <v>0</v>
      </c>
      <c r="AA184" s="52" t="n">
        <f aca="false">Revenue!AB45</f>
        <v>0</v>
      </c>
      <c r="AB184" s="52" t="n">
        <f aca="false">Revenue!AC45</f>
        <v>0</v>
      </c>
      <c r="AC184" s="52" t="n">
        <f aca="false">Revenue!AD45</f>
        <v>0</v>
      </c>
      <c r="AD184" s="52" t="n">
        <f aca="false">Revenue!AE45</f>
        <v>0</v>
      </c>
      <c r="AE184" s="52" t="n">
        <f aca="false">Revenue!AF45</f>
        <v>0</v>
      </c>
      <c r="AF184" s="52" t="n">
        <f aca="false">Revenue!AG45</f>
        <v>0</v>
      </c>
      <c r="AG184" s="52" t="n">
        <f aca="false">Revenue!AH45</f>
        <v>0</v>
      </c>
      <c r="AH184" s="52" t="n">
        <f aca="false">Revenue!AI45</f>
        <v>0</v>
      </c>
      <c r="AI184" s="52" t="n">
        <f aca="false">Revenue!AJ45</f>
        <v>0</v>
      </c>
      <c r="AJ184" s="52" t="n">
        <f aca="false">Revenue!AK45</f>
        <v>0</v>
      </c>
      <c r="AK184" s="52" t="n">
        <f aca="false">Revenue!AL45</f>
        <v>0</v>
      </c>
      <c r="AL184" s="52" t="n">
        <f aca="false">Revenue!AM45</f>
        <v>0</v>
      </c>
      <c r="AM184" s="52" t="n">
        <f aca="false">Revenue!AN45</f>
        <v>0</v>
      </c>
      <c r="AN184" s="52" t="n">
        <f aca="false">Revenue!AO45</f>
        <v>0</v>
      </c>
      <c r="AO184" s="52" t="n">
        <f aca="false">Revenue!AP45</f>
        <v>0</v>
      </c>
      <c r="AP184" s="52" t="n">
        <f aca="false">Revenue!AQ45</f>
        <v>0</v>
      </c>
      <c r="AQ184" s="52" t="n">
        <f aca="false">Revenue!AR45</f>
        <v>0</v>
      </c>
      <c r="AR184" s="52" t="n">
        <f aca="false">Revenue!AS45</f>
        <v>0</v>
      </c>
      <c r="AS184" s="52" t="n">
        <f aca="false">Revenue!AT45</f>
        <v>0</v>
      </c>
      <c r="AT184" s="52" t="n">
        <f aca="false">Revenue!AU45</f>
        <v>0</v>
      </c>
      <c r="AU184" s="52" t="n">
        <f aca="false">Revenue!AV45</f>
        <v>0</v>
      </c>
      <c r="AV184" s="52" t="n">
        <f aca="false">Revenue!AW45</f>
        <v>0</v>
      </c>
      <c r="AW184" s="52" t="n">
        <f aca="false">Revenue!AX45</f>
        <v>0</v>
      </c>
      <c r="AX184" s="52" t="n">
        <f aca="false">Revenue!AY45</f>
        <v>0</v>
      </c>
      <c r="AY184" s="52" t="n">
        <f aca="false">Revenue!AZ45</f>
        <v>0</v>
      </c>
      <c r="AZ184" s="52" t="n">
        <f aca="false">Revenue!BA45</f>
        <v>0</v>
      </c>
      <c r="BA184" s="52" t="n">
        <f aca="false">Revenue!BB45</f>
        <v>0</v>
      </c>
    </row>
    <row r="185" customFormat="false" ht="15" hidden="false" customHeight="true" outlineLevel="1" collapsed="false">
      <c r="B185" s="51" t="s">
        <v>55</v>
      </c>
      <c r="C185" s="44" t="n">
        <f aca="false">SUM(D185:BA185)</f>
        <v>0</v>
      </c>
      <c r="D185" s="52" t="n">
        <f aca="false">Revenue!E46</f>
        <v>0</v>
      </c>
      <c r="E185" s="52" t="n">
        <f aca="false">Revenue!F46</f>
        <v>0</v>
      </c>
      <c r="F185" s="52" t="n">
        <f aca="false">Revenue!G46</f>
        <v>0</v>
      </c>
      <c r="G185" s="52" t="n">
        <f aca="false">Revenue!H46</f>
        <v>0</v>
      </c>
      <c r="H185" s="52" t="n">
        <f aca="false">Revenue!I46</f>
        <v>0</v>
      </c>
      <c r="I185" s="52" t="n">
        <f aca="false">Revenue!J46</f>
        <v>0</v>
      </c>
      <c r="J185" s="52" t="n">
        <f aca="false">Revenue!K46</f>
        <v>0</v>
      </c>
      <c r="K185" s="52" t="n">
        <f aca="false">Revenue!L46</f>
        <v>0</v>
      </c>
      <c r="L185" s="52" t="n">
        <f aca="false">Revenue!M46</f>
        <v>0</v>
      </c>
      <c r="M185" s="52" t="n">
        <f aca="false">Revenue!N46</f>
        <v>0</v>
      </c>
      <c r="N185" s="52" t="n">
        <f aca="false">Revenue!O46</f>
        <v>0</v>
      </c>
      <c r="O185" s="52" t="n">
        <f aca="false">Revenue!P46</f>
        <v>0</v>
      </c>
      <c r="P185" s="52" t="n">
        <f aca="false">Revenue!Q46</f>
        <v>0</v>
      </c>
      <c r="Q185" s="52" t="n">
        <f aca="false">Revenue!R46</f>
        <v>0</v>
      </c>
      <c r="R185" s="52" t="n">
        <f aca="false">Revenue!S46</f>
        <v>0</v>
      </c>
      <c r="S185" s="52" t="n">
        <f aca="false">Revenue!T46</f>
        <v>0</v>
      </c>
      <c r="T185" s="52" t="n">
        <f aca="false">Revenue!U46</f>
        <v>0</v>
      </c>
      <c r="U185" s="52" t="n">
        <f aca="false">Revenue!V46</f>
        <v>0</v>
      </c>
      <c r="V185" s="52" t="n">
        <f aca="false">Revenue!W46</f>
        <v>0</v>
      </c>
      <c r="W185" s="52" t="n">
        <f aca="false">Revenue!X46</f>
        <v>0</v>
      </c>
      <c r="X185" s="52" t="n">
        <f aca="false">Revenue!Y46</f>
        <v>0</v>
      </c>
      <c r="Y185" s="52" t="n">
        <f aca="false">Revenue!Z46</f>
        <v>0</v>
      </c>
      <c r="Z185" s="52" t="n">
        <f aca="false">Revenue!AA46</f>
        <v>0</v>
      </c>
      <c r="AA185" s="52" t="n">
        <f aca="false">Revenue!AB46</f>
        <v>0</v>
      </c>
      <c r="AB185" s="52" t="n">
        <f aca="false">Revenue!AC46</f>
        <v>0</v>
      </c>
      <c r="AC185" s="52" t="n">
        <f aca="false">Revenue!AD46</f>
        <v>0</v>
      </c>
      <c r="AD185" s="52" t="n">
        <f aca="false">Revenue!AE46</f>
        <v>0</v>
      </c>
      <c r="AE185" s="52" t="n">
        <f aca="false">Revenue!AF46</f>
        <v>0</v>
      </c>
      <c r="AF185" s="52" t="n">
        <f aca="false">Revenue!AG46</f>
        <v>0</v>
      </c>
      <c r="AG185" s="52" t="n">
        <f aca="false">Revenue!AH46</f>
        <v>0</v>
      </c>
      <c r="AH185" s="52" t="n">
        <f aca="false">Revenue!AI46</f>
        <v>0</v>
      </c>
      <c r="AI185" s="52" t="n">
        <f aca="false">Revenue!AJ46</f>
        <v>0</v>
      </c>
      <c r="AJ185" s="52" t="n">
        <f aca="false">Revenue!AK46</f>
        <v>0</v>
      </c>
      <c r="AK185" s="52" t="n">
        <f aca="false">Revenue!AL46</f>
        <v>0</v>
      </c>
      <c r="AL185" s="52" t="n">
        <f aca="false">Revenue!AM46</f>
        <v>0</v>
      </c>
      <c r="AM185" s="52" t="n">
        <f aca="false">Revenue!AN46</f>
        <v>0</v>
      </c>
      <c r="AN185" s="52" t="n">
        <f aca="false">Revenue!AO46</f>
        <v>0</v>
      </c>
      <c r="AO185" s="52" t="n">
        <f aca="false">Revenue!AP46</f>
        <v>0</v>
      </c>
      <c r="AP185" s="52" t="n">
        <f aca="false">Revenue!AQ46</f>
        <v>0</v>
      </c>
      <c r="AQ185" s="52" t="n">
        <f aca="false">Revenue!AR46</f>
        <v>0</v>
      </c>
      <c r="AR185" s="52" t="n">
        <f aca="false">Revenue!AS46</f>
        <v>0</v>
      </c>
      <c r="AS185" s="52" t="n">
        <f aca="false">Revenue!AT46</f>
        <v>0</v>
      </c>
      <c r="AT185" s="52" t="n">
        <f aca="false">Revenue!AU46</f>
        <v>0</v>
      </c>
      <c r="AU185" s="52" t="n">
        <f aca="false">Revenue!AV46</f>
        <v>0</v>
      </c>
      <c r="AV185" s="52" t="n">
        <f aca="false">Revenue!AW46</f>
        <v>0</v>
      </c>
      <c r="AW185" s="52" t="n">
        <f aca="false">Revenue!AX46</f>
        <v>0</v>
      </c>
      <c r="AX185" s="52" t="n">
        <f aca="false">Revenue!AY46</f>
        <v>0</v>
      </c>
      <c r="AY185" s="52" t="n">
        <f aca="false">Revenue!AZ46</f>
        <v>0</v>
      </c>
      <c r="AZ185" s="52" t="n">
        <f aca="false">Revenue!BA46</f>
        <v>0</v>
      </c>
      <c r="BA185" s="52" t="n">
        <f aca="false">Revenue!BB46</f>
        <v>0</v>
      </c>
    </row>
    <row r="186" customFormat="false" ht="15" hidden="false" customHeight="true" outlineLevel="1" collapsed="false">
      <c r="B186" s="51" t="s">
        <v>56</v>
      </c>
      <c r="C186" s="44" t="n">
        <f aca="false">SUM(D186:BA186)</f>
        <v>0</v>
      </c>
      <c r="D186" s="52" t="n">
        <f aca="false">Revenue!E47</f>
        <v>0</v>
      </c>
      <c r="E186" s="52" t="n">
        <f aca="false">Revenue!F47</f>
        <v>0</v>
      </c>
      <c r="F186" s="52" t="n">
        <f aca="false">Revenue!G47</f>
        <v>0</v>
      </c>
      <c r="G186" s="52" t="n">
        <f aca="false">Revenue!H47</f>
        <v>0</v>
      </c>
      <c r="H186" s="52" t="n">
        <f aca="false">Revenue!I47</f>
        <v>0</v>
      </c>
      <c r="I186" s="52" t="n">
        <f aca="false">Revenue!J47</f>
        <v>0</v>
      </c>
      <c r="J186" s="52" t="n">
        <f aca="false">Revenue!K47</f>
        <v>0</v>
      </c>
      <c r="K186" s="52" t="n">
        <f aca="false">Revenue!L47</f>
        <v>0</v>
      </c>
      <c r="L186" s="52" t="n">
        <f aca="false">Revenue!M47</f>
        <v>0</v>
      </c>
      <c r="M186" s="52" t="n">
        <f aca="false">Revenue!N47</f>
        <v>0</v>
      </c>
      <c r="N186" s="52" t="n">
        <f aca="false">Revenue!O47</f>
        <v>0</v>
      </c>
      <c r="O186" s="52" t="n">
        <f aca="false">Revenue!P47</f>
        <v>0</v>
      </c>
      <c r="P186" s="52" t="n">
        <f aca="false">Revenue!Q47</f>
        <v>0</v>
      </c>
      <c r="Q186" s="52" t="n">
        <f aca="false">Revenue!R47</f>
        <v>0</v>
      </c>
      <c r="R186" s="52" t="n">
        <f aca="false">Revenue!S47</f>
        <v>0</v>
      </c>
      <c r="S186" s="52" t="n">
        <f aca="false">Revenue!T47</f>
        <v>0</v>
      </c>
      <c r="T186" s="52" t="n">
        <f aca="false">Revenue!U47</f>
        <v>0</v>
      </c>
      <c r="U186" s="52" t="n">
        <f aca="false">Revenue!V47</f>
        <v>0</v>
      </c>
      <c r="V186" s="52" t="n">
        <f aca="false">Revenue!W47</f>
        <v>0</v>
      </c>
      <c r="W186" s="52" t="n">
        <f aca="false">Revenue!X47</f>
        <v>0</v>
      </c>
      <c r="X186" s="52" t="n">
        <f aca="false">Revenue!Y47</f>
        <v>0</v>
      </c>
      <c r="Y186" s="52" t="n">
        <f aca="false">Revenue!Z47</f>
        <v>0</v>
      </c>
      <c r="Z186" s="52" t="n">
        <f aca="false">Revenue!AA47</f>
        <v>0</v>
      </c>
      <c r="AA186" s="52" t="n">
        <f aca="false">Revenue!AB47</f>
        <v>0</v>
      </c>
      <c r="AB186" s="52" t="n">
        <f aca="false">Revenue!AC47</f>
        <v>0</v>
      </c>
      <c r="AC186" s="52" t="n">
        <f aca="false">Revenue!AD47</f>
        <v>0</v>
      </c>
      <c r="AD186" s="52" t="n">
        <f aca="false">Revenue!AE47</f>
        <v>0</v>
      </c>
      <c r="AE186" s="52" t="n">
        <f aca="false">Revenue!AF47</f>
        <v>0</v>
      </c>
      <c r="AF186" s="52" t="n">
        <f aca="false">Revenue!AG47</f>
        <v>0</v>
      </c>
      <c r="AG186" s="52" t="n">
        <f aca="false">Revenue!AH47</f>
        <v>0</v>
      </c>
      <c r="AH186" s="52" t="n">
        <f aca="false">Revenue!AI47</f>
        <v>0</v>
      </c>
      <c r="AI186" s="52" t="n">
        <f aca="false">Revenue!AJ47</f>
        <v>0</v>
      </c>
      <c r="AJ186" s="52" t="n">
        <f aca="false">Revenue!AK47</f>
        <v>0</v>
      </c>
      <c r="AK186" s="52" t="n">
        <f aca="false">Revenue!AL47</f>
        <v>0</v>
      </c>
      <c r="AL186" s="52" t="n">
        <f aca="false">Revenue!AM47</f>
        <v>0</v>
      </c>
      <c r="AM186" s="52" t="n">
        <f aca="false">Revenue!AN47</f>
        <v>0</v>
      </c>
      <c r="AN186" s="52" t="n">
        <f aca="false">Revenue!AO47</f>
        <v>0</v>
      </c>
      <c r="AO186" s="52" t="n">
        <f aca="false">Revenue!AP47</f>
        <v>0</v>
      </c>
      <c r="AP186" s="52" t="n">
        <f aca="false">Revenue!AQ47</f>
        <v>0</v>
      </c>
      <c r="AQ186" s="52" t="n">
        <f aca="false">Revenue!AR47</f>
        <v>0</v>
      </c>
      <c r="AR186" s="52" t="n">
        <f aca="false">Revenue!AS47</f>
        <v>0</v>
      </c>
      <c r="AS186" s="52" t="n">
        <f aca="false">Revenue!AT47</f>
        <v>0</v>
      </c>
      <c r="AT186" s="52" t="n">
        <f aca="false">Revenue!AU47</f>
        <v>0</v>
      </c>
      <c r="AU186" s="52" t="n">
        <f aca="false">Revenue!AV47</f>
        <v>0</v>
      </c>
      <c r="AV186" s="52" t="n">
        <f aca="false">Revenue!AW47</f>
        <v>0</v>
      </c>
      <c r="AW186" s="52" t="n">
        <f aca="false">Revenue!AX47</f>
        <v>0</v>
      </c>
      <c r="AX186" s="52" t="n">
        <f aca="false">Revenue!AY47</f>
        <v>0</v>
      </c>
      <c r="AY186" s="52" t="n">
        <f aca="false">Revenue!AZ47</f>
        <v>0</v>
      </c>
      <c r="AZ186" s="52" t="n">
        <f aca="false">Revenue!BA47</f>
        <v>0</v>
      </c>
      <c r="BA186" s="52" t="n">
        <f aca="false">Revenue!BB47</f>
        <v>0</v>
      </c>
    </row>
    <row r="187" customFormat="false" ht="15" hidden="false" customHeight="true" outlineLevel="1" collapsed="false">
      <c r="B187" s="51" t="s">
        <v>57</v>
      </c>
      <c r="C187" s="44" t="n">
        <f aca="false">SUM(D187:BA187)</f>
        <v>0</v>
      </c>
      <c r="D187" s="52" t="n">
        <f aca="false">Revenue!E48</f>
        <v>0</v>
      </c>
      <c r="E187" s="52" t="n">
        <f aca="false">Revenue!F48</f>
        <v>0</v>
      </c>
      <c r="F187" s="52" t="n">
        <f aca="false">Revenue!G48</f>
        <v>0</v>
      </c>
      <c r="G187" s="52" t="n">
        <f aca="false">Revenue!H48</f>
        <v>0</v>
      </c>
      <c r="H187" s="52" t="n">
        <f aca="false">Revenue!I48</f>
        <v>0</v>
      </c>
      <c r="I187" s="52" t="n">
        <f aca="false">Revenue!J48</f>
        <v>0</v>
      </c>
      <c r="J187" s="52" t="n">
        <f aca="false">Revenue!K48</f>
        <v>0</v>
      </c>
      <c r="K187" s="52" t="n">
        <f aca="false">Revenue!L48</f>
        <v>0</v>
      </c>
      <c r="L187" s="52" t="n">
        <f aca="false">Revenue!M48</f>
        <v>0</v>
      </c>
      <c r="M187" s="52" t="n">
        <f aca="false">Revenue!N48</f>
        <v>0</v>
      </c>
      <c r="N187" s="52" t="n">
        <f aca="false">Revenue!O48</f>
        <v>0</v>
      </c>
      <c r="O187" s="52" t="n">
        <f aca="false">Revenue!P48</f>
        <v>0</v>
      </c>
      <c r="P187" s="52" t="n">
        <f aca="false">Revenue!Q48</f>
        <v>0</v>
      </c>
      <c r="Q187" s="52" t="n">
        <f aca="false">Revenue!R48</f>
        <v>0</v>
      </c>
      <c r="R187" s="52" t="n">
        <f aca="false">Revenue!S48</f>
        <v>0</v>
      </c>
      <c r="S187" s="52" t="n">
        <f aca="false">Revenue!T48</f>
        <v>0</v>
      </c>
      <c r="T187" s="52" t="n">
        <f aca="false">Revenue!U48</f>
        <v>0</v>
      </c>
      <c r="U187" s="52" t="n">
        <f aca="false">Revenue!V48</f>
        <v>0</v>
      </c>
      <c r="V187" s="52" t="n">
        <f aca="false">Revenue!W48</f>
        <v>0</v>
      </c>
      <c r="W187" s="52" t="n">
        <f aca="false">Revenue!X48</f>
        <v>0</v>
      </c>
      <c r="X187" s="52" t="n">
        <f aca="false">Revenue!Y48</f>
        <v>0</v>
      </c>
      <c r="Y187" s="52" t="n">
        <f aca="false">Revenue!Z48</f>
        <v>0</v>
      </c>
      <c r="Z187" s="52" t="n">
        <f aca="false">Revenue!AA48</f>
        <v>0</v>
      </c>
      <c r="AA187" s="52" t="n">
        <f aca="false">Revenue!AB48</f>
        <v>0</v>
      </c>
      <c r="AB187" s="52" t="n">
        <f aca="false">Revenue!AC48</f>
        <v>0</v>
      </c>
      <c r="AC187" s="52" t="n">
        <f aca="false">Revenue!AD48</f>
        <v>0</v>
      </c>
      <c r="AD187" s="52" t="n">
        <f aca="false">Revenue!AE48</f>
        <v>0</v>
      </c>
      <c r="AE187" s="52" t="n">
        <f aca="false">Revenue!AF48</f>
        <v>0</v>
      </c>
      <c r="AF187" s="52" t="n">
        <f aca="false">Revenue!AG48</f>
        <v>0</v>
      </c>
      <c r="AG187" s="52" t="n">
        <f aca="false">Revenue!AH48</f>
        <v>0</v>
      </c>
      <c r="AH187" s="52" t="n">
        <f aca="false">Revenue!AI48</f>
        <v>0</v>
      </c>
      <c r="AI187" s="52" t="n">
        <f aca="false">Revenue!AJ48</f>
        <v>0</v>
      </c>
      <c r="AJ187" s="52" t="n">
        <f aca="false">Revenue!AK48</f>
        <v>0</v>
      </c>
      <c r="AK187" s="52" t="n">
        <f aca="false">Revenue!AL48</f>
        <v>0</v>
      </c>
      <c r="AL187" s="52" t="n">
        <f aca="false">Revenue!AM48</f>
        <v>0</v>
      </c>
      <c r="AM187" s="52" t="n">
        <f aca="false">Revenue!AN48</f>
        <v>0</v>
      </c>
      <c r="AN187" s="52" t="n">
        <f aca="false">Revenue!AO48</f>
        <v>0</v>
      </c>
      <c r="AO187" s="52" t="n">
        <f aca="false">Revenue!AP48</f>
        <v>0</v>
      </c>
      <c r="AP187" s="52" t="n">
        <f aca="false">Revenue!AQ48</f>
        <v>0</v>
      </c>
      <c r="AQ187" s="52" t="n">
        <f aca="false">Revenue!AR48</f>
        <v>0</v>
      </c>
      <c r="AR187" s="52" t="n">
        <f aca="false">Revenue!AS48</f>
        <v>0</v>
      </c>
      <c r="AS187" s="52" t="n">
        <f aca="false">Revenue!AT48</f>
        <v>0</v>
      </c>
      <c r="AT187" s="52" t="n">
        <f aca="false">Revenue!AU48</f>
        <v>0</v>
      </c>
      <c r="AU187" s="52" t="n">
        <f aca="false">Revenue!AV48</f>
        <v>0</v>
      </c>
      <c r="AV187" s="52" t="n">
        <f aca="false">Revenue!AW48</f>
        <v>0</v>
      </c>
      <c r="AW187" s="52" t="n">
        <f aca="false">Revenue!AX48</f>
        <v>0</v>
      </c>
      <c r="AX187" s="52" t="n">
        <f aca="false">Revenue!AY48</f>
        <v>0</v>
      </c>
      <c r="AY187" s="52" t="n">
        <f aca="false">Revenue!AZ48</f>
        <v>0</v>
      </c>
      <c r="AZ187" s="52" t="n">
        <f aca="false">Revenue!BA48</f>
        <v>0</v>
      </c>
      <c r="BA187" s="52" t="n">
        <f aca="false">Revenue!BB48</f>
        <v>0</v>
      </c>
    </row>
    <row r="188" customFormat="false" ht="15" hidden="false" customHeight="true" outlineLevel="1" collapsed="false">
      <c r="B188" s="51" t="s">
        <v>58</v>
      </c>
      <c r="C188" s="44" t="n">
        <f aca="false">SUM(D188:BA188)</f>
        <v>0</v>
      </c>
      <c r="D188" s="52" t="n">
        <f aca="false">Revenue!E49</f>
        <v>0</v>
      </c>
      <c r="E188" s="52" t="n">
        <f aca="false">Revenue!F49</f>
        <v>0</v>
      </c>
      <c r="F188" s="52" t="n">
        <f aca="false">Revenue!G49</f>
        <v>0</v>
      </c>
      <c r="G188" s="52" t="n">
        <f aca="false">Revenue!H49</f>
        <v>0</v>
      </c>
      <c r="H188" s="52" t="n">
        <f aca="false">Revenue!I49</f>
        <v>0</v>
      </c>
      <c r="I188" s="52" t="n">
        <f aca="false">Revenue!J49</f>
        <v>0</v>
      </c>
      <c r="J188" s="52" t="n">
        <f aca="false">Revenue!K49</f>
        <v>0</v>
      </c>
      <c r="K188" s="52" t="n">
        <f aca="false">Revenue!L49</f>
        <v>0</v>
      </c>
      <c r="L188" s="52" t="n">
        <f aca="false">Revenue!M49</f>
        <v>0</v>
      </c>
      <c r="M188" s="52" t="n">
        <f aca="false">Revenue!N49</f>
        <v>0</v>
      </c>
      <c r="N188" s="52" t="n">
        <f aca="false">Revenue!O49</f>
        <v>0</v>
      </c>
      <c r="O188" s="52" t="n">
        <f aca="false">Revenue!P49</f>
        <v>0</v>
      </c>
      <c r="P188" s="52" t="n">
        <f aca="false">Revenue!Q49</f>
        <v>0</v>
      </c>
      <c r="Q188" s="52" t="n">
        <f aca="false">Revenue!R49</f>
        <v>0</v>
      </c>
      <c r="R188" s="52" t="n">
        <f aca="false">Revenue!S49</f>
        <v>0</v>
      </c>
      <c r="S188" s="52" t="n">
        <f aca="false">Revenue!T49</f>
        <v>0</v>
      </c>
      <c r="T188" s="52" t="n">
        <f aca="false">Revenue!U49</f>
        <v>0</v>
      </c>
      <c r="U188" s="52" t="n">
        <f aca="false">Revenue!V49</f>
        <v>0</v>
      </c>
      <c r="V188" s="52" t="n">
        <f aca="false">Revenue!W49</f>
        <v>0</v>
      </c>
      <c r="W188" s="52" t="n">
        <f aca="false">Revenue!X49</f>
        <v>0</v>
      </c>
      <c r="X188" s="52" t="n">
        <f aca="false">Revenue!Y49</f>
        <v>0</v>
      </c>
      <c r="Y188" s="52" t="n">
        <f aca="false">Revenue!Z49</f>
        <v>0</v>
      </c>
      <c r="Z188" s="52" t="n">
        <f aca="false">Revenue!AA49</f>
        <v>0</v>
      </c>
      <c r="AA188" s="52" t="n">
        <f aca="false">Revenue!AB49</f>
        <v>0</v>
      </c>
      <c r="AB188" s="52" t="n">
        <f aca="false">Revenue!AC49</f>
        <v>0</v>
      </c>
      <c r="AC188" s="52" t="n">
        <f aca="false">Revenue!AD49</f>
        <v>0</v>
      </c>
      <c r="AD188" s="52" t="n">
        <f aca="false">Revenue!AE49</f>
        <v>0</v>
      </c>
      <c r="AE188" s="52" t="n">
        <f aca="false">Revenue!AF49</f>
        <v>0</v>
      </c>
      <c r="AF188" s="52" t="n">
        <f aca="false">Revenue!AG49</f>
        <v>0</v>
      </c>
      <c r="AG188" s="52" t="n">
        <f aca="false">Revenue!AH49</f>
        <v>0</v>
      </c>
      <c r="AH188" s="52" t="n">
        <f aca="false">Revenue!AI49</f>
        <v>0</v>
      </c>
      <c r="AI188" s="52" t="n">
        <f aca="false">Revenue!AJ49</f>
        <v>0</v>
      </c>
      <c r="AJ188" s="52" t="n">
        <f aca="false">Revenue!AK49</f>
        <v>0</v>
      </c>
      <c r="AK188" s="52" t="n">
        <f aca="false">Revenue!AL49</f>
        <v>0</v>
      </c>
      <c r="AL188" s="52" t="n">
        <f aca="false">Revenue!AM49</f>
        <v>0</v>
      </c>
      <c r="AM188" s="52" t="n">
        <f aca="false">Revenue!AN49</f>
        <v>0</v>
      </c>
      <c r="AN188" s="52" t="n">
        <f aca="false">Revenue!AO49</f>
        <v>0</v>
      </c>
      <c r="AO188" s="52" t="n">
        <f aca="false">Revenue!AP49</f>
        <v>0</v>
      </c>
      <c r="AP188" s="52" t="n">
        <f aca="false">Revenue!AQ49</f>
        <v>0</v>
      </c>
      <c r="AQ188" s="52" t="n">
        <f aca="false">Revenue!AR49</f>
        <v>0</v>
      </c>
      <c r="AR188" s="52" t="n">
        <f aca="false">Revenue!AS49</f>
        <v>0</v>
      </c>
      <c r="AS188" s="52" t="n">
        <f aca="false">Revenue!AT49</f>
        <v>0</v>
      </c>
      <c r="AT188" s="52" t="n">
        <f aca="false">Revenue!AU49</f>
        <v>0</v>
      </c>
      <c r="AU188" s="52" t="n">
        <f aca="false">Revenue!AV49</f>
        <v>0</v>
      </c>
      <c r="AV188" s="52" t="n">
        <f aca="false">Revenue!AW49</f>
        <v>0</v>
      </c>
      <c r="AW188" s="52" t="n">
        <f aca="false">Revenue!AX49</f>
        <v>0</v>
      </c>
      <c r="AX188" s="52" t="n">
        <f aca="false">Revenue!AY49</f>
        <v>0</v>
      </c>
      <c r="AY188" s="52" t="n">
        <f aca="false">Revenue!AZ49</f>
        <v>0</v>
      </c>
      <c r="AZ188" s="52" t="n">
        <f aca="false">Revenue!BA49</f>
        <v>0</v>
      </c>
      <c r="BA188" s="52" t="n">
        <f aca="false">Revenue!BB49</f>
        <v>0</v>
      </c>
    </row>
    <row r="189" customFormat="false" ht="15" hidden="false" customHeight="true" outlineLevel="1" collapsed="false">
      <c r="B189" s="51" t="s">
        <v>59</v>
      </c>
      <c r="C189" s="44" t="n">
        <f aca="false">SUM(D189:BA189)</f>
        <v>0</v>
      </c>
      <c r="D189" s="52" t="n">
        <f aca="false">Revenue!E50</f>
        <v>0</v>
      </c>
      <c r="E189" s="52" t="n">
        <f aca="false">Revenue!F50</f>
        <v>0</v>
      </c>
      <c r="F189" s="52" t="n">
        <f aca="false">Revenue!G50</f>
        <v>0</v>
      </c>
      <c r="G189" s="52" t="n">
        <f aca="false">Revenue!H50</f>
        <v>0</v>
      </c>
      <c r="H189" s="52" t="n">
        <f aca="false">Revenue!I50</f>
        <v>0</v>
      </c>
      <c r="I189" s="52" t="n">
        <f aca="false">Revenue!J50</f>
        <v>0</v>
      </c>
      <c r="J189" s="52" t="n">
        <f aca="false">Revenue!K50</f>
        <v>0</v>
      </c>
      <c r="K189" s="52" t="n">
        <f aca="false">Revenue!L50</f>
        <v>0</v>
      </c>
      <c r="L189" s="52" t="n">
        <f aca="false">Revenue!M50</f>
        <v>0</v>
      </c>
      <c r="M189" s="52" t="n">
        <f aca="false">Revenue!N50</f>
        <v>0</v>
      </c>
      <c r="N189" s="52" t="n">
        <f aca="false">Revenue!O50</f>
        <v>0</v>
      </c>
      <c r="O189" s="52" t="n">
        <f aca="false">Revenue!P50</f>
        <v>0</v>
      </c>
      <c r="P189" s="52" t="n">
        <f aca="false">Revenue!Q50</f>
        <v>0</v>
      </c>
      <c r="Q189" s="52" t="n">
        <f aca="false">Revenue!R50</f>
        <v>0</v>
      </c>
      <c r="R189" s="52" t="n">
        <f aca="false">Revenue!S50</f>
        <v>0</v>
      </c>
      <c r="S189" s="52" t="n">
        <f aca="false">Revenue!T50</f>
        <v>0</v>
      </c>
      <c r="T189" s="52" t="n">
        <f aca="false">Revenue!U50</f>
        <v>0</v>
      </c>
      <c r="U189" s="52" t="n">
        <f aca="false">Revenue!V50</f>
        <v>0</v>
      </c>
      <c r="V189" s="52" t="n">
        <f aca="false">Revenue!W50</f>
        <v>0</v>
      </c>
      <c r="W189" s="52" t="n">
        <f aca="false">Revenue!X50</f>
        <v>0</v>
      </c>
      <c r="X189" s="52" t="n">
        <f aca="false">Revenue!Y50</f>
        <v>0</v>
      </c>
      <c r="Y189" s="52" t="n">
        <f aca="false">Revenue!Z50</f>
        <v>0</v>
      </c>
      <c r="Z189" s="52" t="n">
        <f aca="false">Revenue!AA50</f>
        <v>0</v>
      </c>
      <c r="AA189" s="52" t="n">
        <f aca="false">Revenue!AB50</f>
        <v>0</v>
      </c>
      <c r="AB189" s="52" t="n">
        <f aca="false">Revenue!AC50</f>
        <v>0</v>
      </c>
      <c r="AC189" s="52" t="n">
        <f aca="false">Revenue!AD50</f>
        <v>0</v>
      </c>
      <c r="AD189" s="52" t="n">
        <f aca="false">Revenue!AE50</f>
        <v>0</v>
      </c>
      <c r="AE189" s="52" t="n">
        <f aca="false">Revenue!AF50</f>
        <v>0</v>
      </c>
      <c r="AF189" s="52" t="n">
        <f aca="false">Revenue!AG50</f>
        <v>0</v>
      </c>
      <c r="AG189" s="52" t="n">
        <f aca="false">Revenue!AH50</f>
        <v>0</v>
      </c>
      <c r="AH189" s="52" t="n">
        <f aca="false">Revenue!AI50</f>
        <v>0</v>
      </c>
      <c r="AI189" s="52" t="n">
        <f aca="false">Revenue!AJ50</f>
        <v>0</v>
      </c>
      <c r="AJ189" s="52" t="n">
        <f aca="false">Revenue!AK50</f>
        <v>0</v>
      </c>
      <c r="AK189" s="52" t="n">
        <f aca="false">Revenue!AL50</f>
        <v>0</v>
      </c>
      <c r="AL189" s="52" t="n">
        <f aca="false">Revenue!AM50</f>
        <v>0</v>
      </c>
      <c r="AM189" s="52" t="n">
        <f aca="false">Revenue!AN50</f>
        <v>0</v>
      </c>
      <c r="AN189" s="52" t="n">
        <f aca="false">Revenue!AO50</f>
        <v>0</v>
      </c>
      <c r="AO189" s="52" t="n">
        <f aca="false">Revenue!AP50</f>
        <v>0</v>
      </c>
      <c r="AP189" s="52" t="n">
        <f aca="false">Revenue!AQ50</f>
        <v>0</v>
      </c>
      <c r="AQ189" s="52" t="n">
        <f aca="false">Revenue!AR50</f>
        <v>0</v>
      </c>
      <c r="AR189" s="52" t="n">
        <f aca="false">Revenue!AS50</f>
        <v>0</v>
      </c>
      <c r="AS189" s="52" t="n">
        <f aca="false">Revenue!AT50</f>
        <v>0</v>
      </c>
      <c r="AT189" s="52" t="n">
        <f aca="false">Revenue!AU50</f>
        <v>0</v>
      </c>
      <c r="AU189" s="52" t="n">
        <f aca="false">Revenue!AV50</f>
        <v>0</v>
      </c>
      <c r="AV189" s="52" t="n">
        <f aca="false">Revenue!AW50</f>
        <v>0</v>
      </c>
      <c r="AW189" s="52" t="n">
        <f aca="false">Revenue!AX50</f>
        <v>0</v>
      </c>
      <c r="AX189" s="52" t="n">
        <f aca="false">Revenue!AY50</f>
        <v>0</v>
      </c>
      <c r="AY189" s="52" t="n">
        <f aca="false">Revenue!AZ50</f>
        <v>0</v>
      </c>
      <c r="AZ189" s="52" t="n">
        <f aca="false">Revenue!BA50</f>
        <v>0</v>
      </c>
      <c r="BA189" s="52" t="n">
        <f aca="false">Revenue!BB50</f>
        <v>0</v>
      </c>
    </row>
    <row r="190" customFormat="false" ht="15" hidden="false" customHeight="true" outlineLevel="1" collapsed="false">
      <c r="B190" s="50" t="s">
        <v>227</v>
      </c>
      <c r="C190" s="44" t="n">
        <f aca="false">SUM(D190:BA190)</f>
        <v>12061937230.1221</v>
      </c>
      <c r="D190" s="52" t="n">
        <f aca="false">Revenue!E52</f>
        <v>0</v>
      </c>
      <c r="E190" s="52" t="n">
        <f aca="false">Revenue!F52</f>
        <v>0</v>
      </c>
      <c r="F190" s="52" t="n">
        <f aca="false">Revenue!G52</f>
        <v>0</v>
      </c>
      <c r="G190" s="52" t="n">
        <f aca="false">Revenue!H52</f>
        <v>601866</v>
      </c>
      <c r="H190" s="52" t="n">
        <f aca="false">Revenue!I52</f>
        <v>1212759.99</v>
      </c>
      <c r="I190" s="52" t="n">
        <f aca="false">Revenue!J52</f>
        <v>34337970.3516824</v>
      </c>
      <c r="J190" s="52" t="n">
        <f aca="false">Revenue!K52</f>
        <v>85210050.8472408</v>
      </c>
      <c r="K190" s="52" t="n">
        <f aca="false">Revenue!L52</f>
        <v>159181127.274432</v>
      </c>
      <c r="L190" s="52" t="n">
        <f aca="false">Revenue!M52</f>
        <v>207261772.325418</v>
      </c>
      <c r="M190" s="52" t="n">
        <f aca="false">Revenue!N52</f>
        <v>237343278.733009</v>
      </c>
      <c r="N190" s="52" t="n">
        <f aca="false">Revenue!O52</f>
        <v>244082823.996984</v>
      </c>
      <c r="O190" s="52" t="n">
        <f aca="false">Revenue!P52</f>
        <v>245913445.176962</v>
      </c>
      <c r="P190" s="52" t="n">
        <f aca="false">Revenue!Q52</f>
        <v>247757796.015789</v>
      </c>
      <c r="Q190" s="52" t="n">
        <f aca="false">Revenue!R52</f>
        <v>249615979.485907</v>
      </c>
      <c r="R190" s="52" t="n">
        <f aca="false">Revenue!S52</f>
        <v>251488099.332052</v>
      </c>
      <c r="S190" s="52" t="n">
        <f aca="false">Revenue!T52</f>
        <v>253374260.077042</v>
      </c>
      <c r="T190" s="52" t="n">
        <f aca="false">Revenue!U52</f>
        <v>255274567.02762</v>
      </c>
      <c r="U190" s="52" t="n">
        <f aca="false">Revenue!V52</f>
        <v>257189126.280327</v>
      </c>
      <c r="V190" s="52" t="n">
        <f aca="false">Revenue!W52</f>
        <v>259118044.72743</v>
      </c>
      <c r="W190" s="52" t="n">
        <f aca="false">Revenue!X52</f>
        <v>261061430.062885</v>
      </c>
      <c r="X190" s="52" t="n">
        <f aca="false">Revenue!Y52</f>
        <v>263019390.788357</v>
      </c>
      <c r="Y190" s="52" t="n">
        <f aca="false">Revenue!Z52</f>
        <v>264992036.21927</v>
      </c>
      <c r="Z190" s="52" t="n">
        <f aca="false">Revenue!AA52</f>
        <v>266979476.490914</v>
      </c>
      <c r="AA190" s="52" t="n">
        <f aca="false">Revenue!AB52</f>
        <v>268981822.564596</v>
      </c>
      <c r="AB190" s="52" t="n">
        <f aca="false">Revenue!AC52</f>
        <v>270999186.233831</v>
      </c>
      <c r="AC190" s="52" t="n">
        <f aca="false">Revenue!AD52</f>
        <v>273031680.130584</v>
      </c>
      <c r="AD190" s="52" t="n">
        <f aca="false">Revenue!AE52</f>
        <v>275079417.731564</v>
      </c>
      <c r="AE190" s="52" t="n">
        <f aca="false">Revenue!AF52</f>
        <v>277142513.364551</v>
      </c>
      <c r="AF190" s="52" t="n">
        <f aca="false">Revenue!AG52</f>
        <v>279221082.214785</v>
      </c>
      <c r="AG190" s="52" t="n">
        <f aca="false">Revenue!AH52</f>
        <v>281315240.331396</v>
      </c>
      <c r="AH190" s="52" t="n">
        <f aca="false">Revenue!AI52</f>
        <v>283425104.633881</v>
      </c>
      <c r="AI190" s="52" t="n">
        <f aca="false">Revenue!AJ52</f>
        <v>285550792.918635</v>
      </c>
      <c r="AJ190" s="52" t="n">
        <f aca="false">Revenue!AK52</f>
        <v>287692423.865525</v>
      </c>
      <c r="AK190" s="52" t="n">
        <f aca="false">Revenue!AL52</f>
        <v>289850117.044516</v>
      </c>
      <c r="AL190" s="52" t="n">
        <f aca="false">Revenue!AM52</f>
        <v>292023992.92235</v>
      </c>
      <c r="AM190" s="52" t="n">
        <f aca="false">Revenue!AN52</f>
        <v>294214172.869268</v>
      </c>
      <c r="AN190" s="52" t="n">
        <f aca="false">Revenue!AO52</f>
        <v>296420779.165787</v>
      </c>
      <c r="AO190" s="52" t="n">
        <f aca="false">Revenue!AP52</f>
        <v>298643935.009531</v>
      </c>
      <c r="AP190" s="52" t="n">
        <f aca="false">Revenue!AQ52</f>
        <v>300883764.522102</v>
      </c>
      <c r="AQ190" s="52" t="n">
        <f aca="false">Revenue!AR52</f>
        <v>303140392.756018</v>
      </c>
      <c r="AR190" s="52" t="n">
        <f aca="false">Revenue!AS52</f>
        <v>305413945.701688</v>
      </c>
      <c r="AS190" s="52" t="n">
        <f aca="false">Revenue!AT52</f>
        <v>307704550.294451</v>
      </c>
      <c r="AT190" s="52" t="n">
        <f aca="false">Revenue!AU52</f>
        <v>310012334.421659</v>
      </c>
      <c r="AU190" s="52" t="n">
        <f aca="false">Revenue!AV52</f>
        <v>312337426.929822</v>
      </c>
      <c r="AV190" s="52" t="n">
        <f aca="false">Revenue!AW52</f>
        <v>314679957.631796</v>
      </c>
      <c r="AW190" s="52" t="n">
        <f aca="false">Revenue!AX52</f>
        <v>317040057.314034</v>
      </c>
      <c r="AX190" s="52" t="n">
        <f aca="false">Revenue!AY52</f>
        <v>319417857.743889</v>
      </c>
      <c r="AY190" s="52" t="n">
        <f aca="false">Revenue!AZ52</f>
        <v>321813491.676969</v>
      </c>
      <c r="AZ190" s="52" t="n">
        <f aca="false">Revenue!BA52</f>
        <v>324227092.864546</v>
      </c>
      <c r="BA190" s="52" t="n">
        <f aca="false">Revenue!BB52</f>
        <v>326658796.06103</v>
      </c>
    </row>
    <row r="191" customFormat="false" ht="15" hidden="false" customHeight="true" outlineLevel="1" collapsed="false"/>
    <row r="192" customFormat="false" ht="15" hidden="false" customHeight="true" outlineLevel="1" collapsed="false">
      <c r="A192" s="50" t="s">
        <v>312</v>
      </c>
    </row>
    <row r="193" customFormat="false" ht="15" hidden="false" customHeight="true" outlineLevel="1" collapsed="false">
      <c r="B193" s="51" t="s">
        <v>45</v>
      </c>
      <c r="C193" s="44" t="n">
        <f aca="false">SUM(D193:BA193)</f>
        <v>386354389.52184</v>
      </c>
      <c r="D193" s="52" t="n">
        <f aca="false">CAPEX!E36</f>
        <v>0</v>
      </c>
      <c r="E193" s="52" t="n">
        <f aca="false">CAPEX!F36</f>
        <v>0</v>
      </c>
      <c r="F193" s="52" t="n">
        <f aca="false">CAPEX!G36</f>
        <v>115257373</v>
      </c>
      <c r="G193" s="52" t="n">
        <f aca="false">CAPEX!H36</f>
        <v>107381428</v>
      </c>
      <c r="H193" s="52" t="n">
        <f aca="false">CAPEX!I36</f>
        <v>163715588.52184</v>
      </c>
      <c r="I193" s="52" t="n">
        <f aca="false">CAPEX!J36</f>
        <v>0</v>
      </c>
      <c r="J193" s="52" t="n">
        <f aca="false">CAPEX!K36</f>
        <v>0</v>
      </c>
      <c r="K193" s="52" t="n">
        <f aca="false">CAPEX!L36</f>
        <v>0</v>
      </c>
      <c r="L193" s="52" t="n">
        <f aca="false">CAPEX!M36</f>
        <v>0</v>
      </c>
      <c r="M193" s="52" t="n">
        <f aca="false">CAPEX!N36</f>
        <v>0</v>
      </c>
      <c r="N193" s="52" t="n">
        <f aca="false">CAPEX!O36</f>
        <v>0</v>
      </c>
      <c r="O193" s="52" t="n">
        <f aca="false">CAPEX!P36</f>
        <v>0</v>
      </c>
      <c r="P193" s="52" t="n">
        <f aca="false">CAPEX!Q36</f>
        <v>0</v>
      </c>
      <c r="Q193" s="52" t="n">
        <f aca="false">CAPEX!R36</f>
        <v>0</v>
      </c>
      <c r="R193" s="52" t="n">
        <f aca="false">CAPEX!S36</f>
        <v>0</v>
      </c>
      <c r="S193" s="52" t="n">
        <f aca="false">CAPEX!T36</f>
        <v>0</v>
      </c>
      <c r="T193" s="52" t="n">
        <f aca="false">CAPEX!U36</f>
        <v>0</v>
      </c>
      <c r="U193" s="52" t="n">
        <f aca="false">CAPEX!V36</f>
        <v>0</v>
      </c>
      <c r="V193" s="52" t="n">
        <f aca="false">CAPEX!W36</f>
        <v>0</v>
      </c>
      <c r="W193" s="52" t="n">
        <f aca="false">CAPEX!X36</f>
        <v>0</v>
      </c>
      <c r="X193" s="52" t="n">
        <f aca="false">CAPEX!Y36</f>
        <v>0</v>
      </c>
      <c r="Y193" s="52" t="n">
        <f aca="false">CAPEX!Z36</f>
        <v>0</v>
      </c>
      <c r="Z193" s="52" t="n">
        <f aca="false">CAPEX!AA36</f>
        <v>0</v>
      </c>
      <c r="AA193" s="52" t="n">
        <f aca="false">CAPEX!AB36</f>
        <v>0</v>
      </c>
      <c r="AB193" s="52" t="n">
        <f aca="false">CAPEX!AC36</f>
        <v>0</v>
      </c>
      <c r="AC193" s="52" t="n">
        <f aca="false">CAPEX!AD36</f>
        <v>0</v>
      </c>
      <c r="AD193" s="52" t="n">
        <f aca="false">CAPEX!AE36</f>
        <v>0</v>
      </c>
      <c r="AE193" s="52" t="n">
        <f aca="false">CAPEX!AF36</f>
        <v>0</v>
      </c>
      <c r="AF193" s="52" t="n">
        <f aca="false">CAPEX!AG36</f>
        <v>0</v>
      </c>
      <c r="AG193" s="52" t="n">
        <f aca="false">CAPEX!AH36</f>
        <v>0</v>
      </c>
      <c r="AH193" s="52" t="n">
        <f aca="false">CAPEX!AI36</f>
        <v>0</v>
      </c>
      <c r="AI193" s="52" t="n">
        <f aca="false">CAPEX!AJ36</f>
        <v>0</v>
      </c>
      <c r="AJ193" s="52" t="n">
        <f aca="false">CAPEX!AK36</f>
        <v>0</v>
      </c>
      <c r="AK193" s="52" t="n">
        <f aca="false">CAPEX!AL36</f>
        <v>0</v>
      </c>
      <c r="AL193" s="52" t="n">
        <f aca="false">CAPEX!AM36</f>
        <v>0</v>
      </c>
      <c r="AM193" s="52" t="n">
        <f aca="false">CAPEX!AN36</f>
        <v>0</v>
      </c>
      <c r="AN193" s="52" t="n">
        <f aca="false">CAPEX!AO36</f>
        <v>0</v>
      </c>
      <c r="AO193" s="52" t="n">
        <f aca="false">CAPEX!AP36</f>
        <v>0</v>
      </c>
      <c r="AP193" s="52" t="n">
        <f aca="false">CAPEX!AQ36</f>
        <v>0</v>
      </c>
      <c r="AQ193" s="52" t="n">
        <f aca="false">CAPEX!AR36</f>
        <v>0</v>
      </c>
      <c r="AR193" s="52" t="n">
        <f aca="false">CAPEX!AS36</f>
        <v>0</v>
      </c>
      <c r="AS193" s="52" t="n">
        <f aca="false">CAPEX!AT36</f>
        <v>0</v>
      </c>
      <c r="AT193" s="52" t="n">
        <f aca="false">CAPEX!AU36</f>
        <v>0</v>
      </c>
      <c r="AU193" s="52" t="n">
        <f aca="false">CAPEX!AV36</f>
        <v>0</v>
      </c>
      <c r="AV193" s="52" t="n">
        <f aca="false">CAPEX!AW36</f>
        <v>0</v>
      </c>
      <c r="AW193" s="52" t="n">
        <f aca="false">CAPEX!AX36</f>
        <v>0</v>
      </c>
      <c r="AX193" s="52" t="n">
        <f aca="false">CAPEX!AY36</f>
        <v>0</v>
      </c>
      <c r="AY193" s="52" t="n">
        <f aca="false">CAPEX!AZ36</f>
        <v>0</v>
      </c>
      <c r="AZ193" s="52" t="n">
        <f aca="false">CAPEX!BA36</f>
        <v>0</v>
      </c>
      <c r="BA193" s="52" t="n">
        <f aca="false">CAPEX!BB36</f>
        <v>0</v>
      </c>
    </row>
    <row r="194" customFormat="false" ht="15" hidden="false" customHeight="true" outlineLevel="1" collapsed="false">
      <c r="B194" s="51" t="s">
        <v>46</v>
      </c>
      <c r="C194" s="44" t="n">
        <f aca="false">SUM(D194:BA194)</f>
        <v>496004466.735064</v>
      </c>
      <c r="D194" s="52" t="n">
        <f aca="false">CAPEX!E37</f>
        <v>0</v>
      </c>
      <c r="E194" s="52" t="n">
        <f aca="false">CAPEX!F37</f>
        <v>0</v>
      </c>
      <c r="F194" s="52" t="n">
        <f aca="false">CAPEX!G37</f>
        <v>0</v>
      </c>
      <c r="G194" s="52" t="n">
        <f aca="false">CAPEX!H37</f>
        <v>169571301.9</v>
      </c>
      <c r="H194" s="52" t="n">
        <f aca="false">CAPEX!I37</f>
        <v>206151187.635064</v>
      </c>
      <c r="I194" s="52" t="n">
        <f aca="false">CAPEX!J37</f>
        <v>93393577.2</v>
      </c>
      <c r="J194" s="52" t="n">
        <f aca="false">CAPEX!K37</f>
        <v>26888400</v>
      </c>
      <c r="K194" s="52" t="n">
        <f aca="false">CAPEX!L37</f>
        <v>0</v>
      </c>
      <c r="L194" s="52" t="n">
        <f aca="false">CAPEX!M37</f>
        <v>0</v>
      </c>
      <c r="M194" s="52" t="n">
        <f aca="false">CAPEX!N37</f>
        <v>0</v>
      </c>
      <c r="N194" s="52" t="n">
        <f aca="false">CAPEX!O37</f>
        <v>0</v>
      </c>
      <c r="O194" s="52" t="n">
        <f aca="false">CAPEX!P37</f>
        <v>0</v>
      </c>
      <c r="P194" s="52" t="n">
        <f aca="false">CAPEX!Q37</f>
        <v>0</v>
      </c>
      <c r="Q194" s="52" t="n">
        <f aca="false">CAPEX!R37</f>
        <v>0</v>
      </c>
      <c r="R194" s="52" t="n">
        <f aca="false">CAPEX!S37</f>
        <v>0</v>
      </c>
      <c r="S194" s="52" t="n">
        <f aca="false">CAPEX!T37</f>
        <v>0</v>
      </c>
      <c r="T194" s="52" t="n">
        <f aca="false">CAPEX!U37</f>
        <v>0</v>
      </c>
      <c r="U194" s="52" t="n">
        <f aca="false">CAPEX!V37</f>
        <v>0</v>
      </c>
      <c r="V194" s="52" t="n">
        <f aca="false">CAPEX!W37</f>
        <v>0</v>
      </c>
      <c r="W194" s="52" t="n">
        <f aca="false">CAPEX!X37</f>
        <v>0</v>
      </c>
      <c r="X194" s="52" t="n">
        <f aca="false">CAPEX!Y37</f>
        <v>0</v>
      </c>
      <c r="Y194" s="52" t="n">
        <f aca="false">CAPEX!Z37</f>
        <v>0</v>
      </c>
      <c r="Z194" s="52" t="n">
        <f aca="false">CAPEX!AA37</f>
        <v>0</v>
      </c>
      <c r="AA194" s="52" t="n">
        <f aca="false">CAPEX!AB37</f>
        <v>0</v>
      </c>
      <c r="AB194" s="52" t="n">
        <f aca="false">CAPEX!AC37</f>
        <v>0</v>
      </c>
      <c r="AC194" s="52" t="n">
        <f aca="false">CAPEX!AD37</f>
        <v>0</v>
      </c>
      <c r="AD194" s="52" t="n">
        <f aca="false">CAPEX!AE37</f>
        <v>0</v>
      </c>
      <c r="AE194" s="52" t="n">
        <f aca="false">CAPEX!AF37</f>
        <v>0</v>
      </c>
      <c r="AF194" s="52" t="n">
        <f aca="false">CAPEX!AG37</f>
        <v>0</v>
      </c>
      <c r="AG194" s="52" t="n">
        <f aca="false">CAPEX!AH37</f>
        <v>0</v>
      </c>
      <c r="AH194" s="52" t="n">
        <f aca="false">CAPEX!AI37</f>
        <v>0</v>
      </c>
      <c r="AI194" s="52" t="n">
        <f aca="false">CAPEX!AJ37</f>
        <v>0</v>
      </c>
      <c r="AJ194" s="52" t="n">
        <f aca="false">CAPEX!AK37</f>
        <v>0</v>
      </c>
      <c r="AK194" s="52" t="n">
        <f aca="false">CAPEX!AL37</f>
        <v>0</v>
      </c>
      <c r="AL194" s="52" t="n">
        <f aca="false">CAPEX!AM37</f>
        <v>0</v>
      </c>
      <c r="AM194" s="52" t="n">
        <f aca="false">CAPEX!AN37</f>
        <v>0</v>
      </c>
      <c r="AN194" s="52" t="n">
        <f aca="false">CAPEX!AO37</f>
        <v>0</v>
      </c>
      <c r="AO194" s="52" t="n">
        <f aca="false">CAPEX!AP37</f>
        <v>0</v>
      </c>
      <c r="AP194" s="52" t="n">
        <f aca="false">CAPEX!AQ37</f>
        <v>0</v>
      </c>
      <c r="AQ194" s="52" t="n">
        <f aca="false">CAPEX!AR37</f>
        <v>0</v>
      </c>
      <c r="AR194" s="52" t="n">
        <f aca="false">CAPEX!AS37</f>
        <v>0</v>
      </c>
      <c r="AS194" s="52" t="n">
        <f aca="false">CAPEX!AT37</f>
        <v>0</v>
      </c>
      <c r="AT194" s="52" t="n">
        <f aca="false">CAPEX!AU37</f>
        <v>0</v>
      </c>
      <c r="AU194" s="52" t="n">
        <f aca="false">CAPEX!AV37</f>
        <v>0</v>
      </c>
      <c r="AV194" s="52" t="n">
        <f aca="false">CAPEX!AW37</f>
        <v>0</v>
      </c>
      <c r="AW194" s="52" t="n">
        <f aca="false">CAPEX!AX37</f>
        <v>0</v>
      </c>
      <c r="AX194" s="52" t="n">
        <f aca="false">CAPEX!AY37</f>
        <v>0</v>
      </c>
      <c r="AY194" s="52" t="n">
        <f aca="false">CAPEX!AZ37</f>
        <v>0</v>
      </c>
      <c r="AZ194" s="52" t="n">
        <f aca="false">CAPEX!BA37</f>
        <v>0</v>
      </c>
      <c r="BA194" s="52" t="n">
        <f aca="false">CAPEX!BB37</f>
        <v>0</v>
      </c>
    </row>
    <row r="195" customFormat="false" ht="15" hidden="false" customHeight="true" outlineLevel="1" collapsed="false">
      <c r="B195" s="51" t="s">
        <v>47</v>
      </c>
      <c r="C195" s="44" t="n">
        <f aca="false">SUM(D195:BA195)</f>
        <v>465794899.538096</v>
      </c>
      <c r="D195" s="52" t="n">
        <f aca="false">CAPEX!E38</f>
        <v>0</v>
      </c>
      <c r="E195" s="52" t="n">
        <f aca="false">CAPEX!F38</f>
        <v>0</v>
      </c>
      <c r="F195" s="52" t="n">
        <f aca="false">CAPEX!G38</f>
        <v>0</v>
      </c>
      <c r="G195" s="52" t="n">
        <f aca="false">CAPEX!H38</f>
        <v>0</v>
      </c>
      <c r="H195" s="52" t="n">
        <f aca="false">CAPEX!I38</f>
        <v>213888290.738096</v>
      </c>
      <c r="I195" s="52" t="n">
        <f aca="false">CAPEX!J38</f>
        <v>174660994.2</v>
      </c>
      <c r="J195" s="52" t="n">
        <f aca="false">CAPEX!K38</f>
        <v>77245614.6</v>
      </c>
      <c r="K195" s="52" t="n">
        <f aca="false">CAPEX!L38</f>
        <v>0</v>
      </c>
      <c r="L195" s="52" t="n">
        <f aca="false">CAPEX!M38</f>
        <v>0</v>
      </c>
      <c r="M195" s="52" t="n">
        <f aca="false">CAPEX!N38</f>
        <v>0</v>
      </c>
      <c r="N195" s="52" t="n">
        <f aca="false">CAPEX!O38</f>
        <v>0</v>
      </c>
      <c r="O195" s="52" t="n">
        <f aca="false">CAPEX!P38</f>
        <v>0</v>
      </c>
      <c r="P195" s="52" t="n">
        <f aca="false">CAPEX!Q38</f>
        <v>0</v>
      </c>
      <c r="Q195" s="52" t="n">
        <f aca="false">CAPEX!R38</f>
        <v>0</v>
      </c>
      <c r="R195" s="52" t="n">
        <f aca="false">CAPEX!S38</f>
        <v>0</v>
      </c>
      <c r="S195" s="52" t="n">
        <f aca="false">CAPEX!T38</f>
        <v>0</v>
      </c>
      <c r="T195" s="52" t="n">
        <f aca="false">CAPEX!U38</f>
        <v>0</v>
      </c>
      <c r="U195" s="52" t="n">
        <f aca="false">CAPEX!V38</f>
        <v>0</v>
      </c>
      <c r="V195" s="52" t="n">
        <f aca="false">CAPEX!W38</f>
        <v>0</v>
      </c>
      <c r="W195" s="52" t="n">
        <f aca="false">CAPEX!X38</f>
        <v>0</v>
      </c>
      <c r="X195" s="52" t="n">
        <f aca="false">CAPEX!Y38</f>
        <v>0</v>
      </c>
      <c r="Y195" s="52" t="n">
        <f aca="false">CAPEX!Z38</f>
        <v>0</v>
      </c>
      <c r="Z195" s="52" t="n">
        <f aca="false">CAPEX!AA38</f>
        <v>0</v>
      </c>
      <c r="AA195" s="52" t="n">
        <f aca="false">CAPEX!AB38</f>
        <v>0</v>
      </c>
      <c r="AB195" s="52" t="n">
        <f aca="false">CAPEX!AC38</f>
        <v>0</v>
      </c>
      <c r="AC195" s="52" t="n">
        <f aca="false">CAPEX!AD38</f>
        <v>0</v>
      </c>
      <c r="AD195" s="52" t="n">
        <f aca="false">CAPEX!AE38</f>
        <v>0</v>
      </c>
      <c r="AE195" s="52" t="n">
        <f aca="false">CAPEX!AF38</f>
        <v>0</v>
      </c>
      <c r="AF195" s="52" t="n">
        <f aca="false">CAPEX!AG38</f>
        <v>0</v>
      </c>
      <c r="AG195" s="52" t="n">
        <f aca="false">CAPEX!AH38</f>
        <v>0</v>
      </c>
      <c r="AH195" s="52" t="n">
        <f aca="false">CAPEX!AI38</f>
        <v>0</v>
      </c>
      <c r="AI195" s="52" t="n">
        <f aca="false">CAPEX!AJ38</f>
        <v>0</v>
      </c>
      <c r="AJ195" s="52" t="n">
        <f aca="false">CAPEX!AK38</f>
        <v>0</v>
      </c>
      <c r="AK195" s="52" t="n">
        <f aca="false">CAPEX!AL38</f>
        <v>0</v>
      </c>
      <c r="AL195" s="52" t="n">
        <f aca="false">CAPEX!AM38</f>
        <v>0</v>
      </c>
      <c r="AM195" s="52" t="n">
        <f aca="false">CAPEX!AN38</f>
        <v>0</v>
      </c>
      <c r="AN195" s="52" t="n">
        <f aca="false">CAPEX!AO38</f>
        <v>0</v>
      </c>
      <c r="AO195" s="52" t="n">
        <f aca="false">CAPEX!AP38</f>
        <v>0</v>
      </c>
      <c r="AP195" s="52" t="n">
        <f aca="false">CAPEX!AQ38</f>
        <v>0</v>
      </c>
      <c r="AQ195" s="52" t="n">
        <f aca="false">CAPEX!AR38</f>
        <v>0</v>
      </c>
      <c r="AR195" s="52" t="n">
        <f aca="false">CAPEX!AS38</f>
        <v>0</v>
      </c>
      <c r="AS195" s="52" t="n">
        <f aca="false">CAPEX!AT38</f>
        <v>0</v>
      </c>
      <c r="AT195" s="52" t="n">
        <f aca="false">CAPEX!AU38</f>
        <v>0</v>
      </c>
      <c r="AU195" s="52" t="n">
        <f aca="false">CAPEX!AV38</f>
        <v>0</v>
      </c>
      <c r="AV195" s="52" t="n">
        <f aca="false">CAPEX!AW38</f>
        <v>0</v>
      </c>
      <c r="AW195" s="52" t="n">
        <f aca="false">CAPEX!AX38</f>
        <v>0</v>
      </c>
      <c r="AX195" s="52" t="n">
        <f aca="false">CAPEX!AY38</f>
        <v>0</v>
      </c>
      <c r="AY195" s="52" t="n">
        <f aca="false">CAPEX!AZ38</f>
        <v>0</v>
      </c>
      <c r="AZ195" s="52" t="n">
        <f aca="false">CAPEX!BA38</f>
        <v>0</v>
      </c>
      <c r="BA195" s="52" t="n">
        <f aca="false">CAPEX!BB38</f>
        <v>0</v>
      </c>
    </row>
    <row r="196" customFormat="false" ht="15" hidden="false" customHeight="true" outlineLevel="1" collapsed="false">
      <c r="B196" s="51" t="s">
        <v>48</v>
      </c>
      <c r="C196" s="44" t="n">
        <f aca="false">SUM(D196:BA196)</f>
        <v>0</v>
      </c>
      <c r="D196" s="52" t="n">
        <f aca="false">CAPEX!E39</f>
        <v>0</v>
      </c>
      <c r="E196" s="52" t="n">
        <f aca="false">CAPEX!F39</f>
        <v>0</v>
      </c>
      <c r="F196" s="52" t="n">
        <f aca="false">CAPEX!G39</f>
        <v>0</v>
      </c>
      <c r="G196" s="52" t="n">
        <f aca="false">CAPEX!H39</f>
        <v>0</v>
      </c>
      <c r="H196" s="52" t="n">
        <f aca="false">CAPEX!I39</f>
        <v>0</v>
      </c>
      <c r="I196" s="52" t="n">
        <f aca="false">CAPEX!J39</f>
        <v>0</v>
      </c>
      <c r="J196" s="52" t="n">
        <f aca="false">CAPEX!K39</f>
        <v>0</v>
      </c>
      <c r="K196" s="52" t="n">
        <f aca="false">CAPEX!L39</f>
        <v>0</v>
      </c>
      <c r="L196" s="52" t="n">
        <f aca="false">CAPEX!M39</f>
        <v>0</v>
      </c>
      <c r="M196" s="52" t="n">
        <f aca="false">CAPEX!N39</f>
        <v>0</v>
      </c>
      <c r="N196" s="52" t="n">
        <f aca="false">CAPEX!O39</f>
        <v>0</v>
      </c>
      <c r="O196" s="52" t="n">
        <f aca="false">CAPEX!P39</f>
        <v>0</v>
      </c>
      <c r="P196" s="52" t="n">
        <f aca="false">CAPEX!Q39</f>
        <v>0</v>
      </c>
      <c r="Q196" s="52" t="n">
        <f aca="false">CAPEX!R39</f>
        <v>0</v>
      </c>
      <c r="R196" s="52" t="n">
        <f aca="false">CAPEX!S39</f>
        <v>0</v>
      </c>
      <c r="S196" s="52" t="n">
        <f aca="false">CAPEX!T39</f>
        <v>0</v>
      </c>
      <c r="T196" s="52" t="n">
        <f aca="false">CAPEX!U39</f>
        <v>0</v>
      </c>
      <c r="U196" s="52" t="n">
        <f aca="false">CAPEX!V39</f>
        <v>0</v>
      </c>
      <c r="V196" s="52" t="n">
        <f aca="false">CAPEX!W39</f>
        <v>0</v>
      </c>
      <c r="W196" s="52" t="n">
        <f aca="false">CAPEX!X39</f>
        <v>0</v>
      </c>
      <c r="X196" s="52" t="n">
        <f aca="false">CAPEX!Y39</f>
        <v>0</v>
      </c>
      <c r="Y196" s="52" t="n">
        <f aca="false">CAPEX!Z39</f>
        <v>0</v>
      </c>
      <c r="Z196" s="52" t="n">
        <f aca="false">CAPEX!AA39</f>
        <v>0</v>
      </c>
      <c r="AA196" s="52" t="n">
        <f aca="false">CAPEX!AB39</f>
        <v>0</v>
      </c>
      <c r="AB196" s="52" t="n">
        <f aca="false">CAPEX!AC39</f>
        <v>0</v>
      </c>
      <c r="AC196" s="52" t="n">
        <f aca="false">CAPEX!AD39</f>
        <v>0</v>
      </c>
      <c r="AD196" s="52" t="n">
        <f aca="false">CAPEX!AE39</f>
        <v>0</v>
      </c>
      <c r="AE196" s="52" t="n">
        <f aca="false">CAPEX!AF39</f>
        <v>0</v>
      </c>
      <c r="AF196" s="52" t="n">
        <f aca="false">CAPEX!AG39</f>
        <v>0</v>
      </c>
      <c r="AG196" s="52" t="n">
        <f aca="false">CAPEX!AH39</f>
        <v>0</v>
      </c>
      <c r="AH196" s="52" t="n">
        <f aca="false">CAPEX!AI39</f>
        <v>0</v>
      </c>
      <c r="AI196" s="52" t="n">
        <f aca="false">CAPEX!AJ39</f>
        <v>0</v>
      </c>
      <c r="AJ196" s="52" t="n">
        <f aca="false">CAPEX!AK39</f>
        <v>0</v>
      </c>
      <c r="AK196" s="52" t="n">
        <f aca="false">CAPEX!AL39</f>
        <v>0</v>
      </c>
      <c r="AL196" s="52" t="n">
        <f aca="false">CAPEX!AM39</f>
        <v>0</v>
      </c>
      <c r="AM196" s="52" t="n">
        <f aca="false">CAPEX!AN39</f>
        <v>0</v>
      </c>
      <c r="AN196" s="52" t="n">
        <f aca="false">CAPEX!AO39</f>
        <v>0</v>
      </c>
      <c r="AO196" s="52" t="n">
        <f aca="false">CAPEX!AP39</f>
        <v>0</v>
      </c>
      <c r="AP196" s="52" t="n">
        <f aca="false">CAPEX!AQ39</f>
        <v>0</v>
      </c>
      <c r="AQ196" s="52" t="n">
        <f aca="false">CAPEX!AR39</f>
        <v>0</v>
      </c>
      <c r="AR196" s="52" t="n">
        <f aca="false">CAPEX!AS39</f>
        <v>0</v>
      </c>
      <c r="AS196" s="52" t="n">
        <f aca="false">CAPEX!AT39</f>
        <v>0</v>
      </c>
      <c r="AT196" s="52" t="n">
        <f aca="false">CAPEX!AU39</f>
        <v>0</v>
      </c>
      <c r="AU196" s="52" t="n">
        <f aca="false">CAPEX!AV39</f>
        <v>0</v>
      </c>
      <c r="AV196" s="52" t="n">
        <f aca="false">CAPEX!AW39</f>
        <v>0</v>
      </c>
      <c r="AW196" s="52" t="n">
        <f aca="false">CAPEX!AX39</f>
        <v>0</v>
      </c>
      <c r="AX196" s="52" t="n">
        <f aca="false">CAPEX!AY39</f>
        <v>0</v>
      </c>
      <c r="AY196" s="52" t="n">
        <f aca="false">CAPEX!AZ39</f>
        <v>0</v>
      </c>
      <c r="AZ196" s="52" t="n">
        <f aca="false">CAPEX!BA39</f>
        <v>0</v>
      </c>
      <c r="BA196" s="52" t="n">
        <f aca="false">CAPEX!BB39</f>
        <v>0</v>
      </c>
    </row>
    <row r="197" customFormat="false" ht="15" hidden="false" customHeight="true" outlineLevel="1" collapsed="false">
      <c r="B197" s="51" t="s">
        <v>49</v>
      </c>
      <c r="C197" s="44" t="n">
        <f aca="false">SUM(D197:BA197)</f>
        <v>0</v>
      </c>
      <c r="D197" s="52" t="n">
        <f aca="false">CAPEX!E40</f>
        <v>0</v>
      </c>
      <c r="E197" s="52" t="n">
        <f aca="false">CAPEX!F40</f>
        <v>0</v>
      </c>
      <c r="F197" s="52" t="n">
        <f aca="false">CAPEX!G40</f>
        <v>0</v>
      </c>
      <c r="G197" s="52" t="n">
        <f aca="false">CAPEX!H40</f>
        <v>0</v>
      </c>
      <c r="H197" s="52" t="n">
        <f aca="false">CAPEX!I40</f>
        <v>0</v>
      </c>
      <c r="I197" s="52" t="n">
        <f aca="false">CAPEX!J40</f>
        <v>0</v>
      </c>
      <c r="J197" s="52" t="n">
        <f aca="false">CAPEX!K40</f>
        <v>0</v>
      </c>
      <c r="K197" s="52" t="n">
        <f aca="false">CAPEX!L40</f>
        <v>0</v>
      </c>
      <c r="L197" s="52" t="n">
        <f aca="false">CAPEX!M40</f>
        <v>0</v>
      </c>
      <c r="M197" s="52" t="n">
        <f aca="false">CAPEX!N40</f>
        <v>0</v>
      </c>
      <c r="N197" s="52" t="n">
        <f aca="false">CAPEX!O40</f>
        <v>0</v>
      </c>
      <c r="O197" s="52" t="n">
        <f aca="false">CAPEX!P40</f>
        <v>0</v>
      </c>
      <c r="P197" s="52" t="n">
        <f aca="false">CAPEX!Q40</f>
        <v>0</v>
      </c>
      <c r="Q197" s="52" t="n">
        <f aca="false">CAPEX!R40</f>
        <v>0</v>
      </c>
      <c r="R197" s="52" t="n">
        <f aca="false">CAPEX!S40</f>
        <v>0</v>
      </c>
      <c r="S197" s="52" t="n">
        <f aca="false">CAPEX!T40</f>
        <v>0</v>
      </c>
      <c r="T197" s="52" t="n">
        <f aca="false">CAPEX!U40</f>
        <v>0</v>
      </c>
      <c r="U197" s="52" t="n">
        <f aca="false">CAPEX!V40</f>
        <v>0</v>
      </c>
      <c r="V197" s="52" t="n">
        <f aca="false">CAPEX!W40</f>
        <v>0</v>
      </c>
      <c r="W197" s="52" t="n">
        <f aca="false">CAPEX!X40</f>
        <v>0</v>
      </c>
      <c r="X197" s="52" t="n">
        <f aca="false">CAPEX!Y40</f>
        <v>0</v>
      </c>
      <c r="Y197" s="52" t="n">
        <f aca="false">CAPEX!Z40</f>
        <v>0</v>
      </c>
      <c r="Z197" s="52" t="n">
        <f aca="false">CAPEX!AA40</f>
        <v>0</v>
      </c>
      <c r="AA197" s="52" t="n">
        <f aca="false">CAPEX!AB40</f>
        <v>0</v>
      </c>
      <c r="AB197" s="52" t="n">
        <f aca="false">CAPEX!AC40</f>
        <v>0</v>
      </c>
      <c r="AC197" s="52" t="n">
        <f aca="false">CAPEX!AD40</f>
        <v>0</v>
      </c>
      <c r="AD197" s="52" t="n">
        <f aca="false">CAPEX!AE40</f>
        <v>0</v>
      </c>
      <c r="AE197" s="52" t="n">
        <f aca="false">CAPEX!AF40</f>
        <v>0</v>
      </c>
      <c r="AF197" s="52" t="n">
        <f aca="false">CAPEX!AG40</f>
        <v>0</v>
      </c>
      <c r="AG197" s="52" t="n">
        <f aca="false">CAPEX!AH40</f>
        <v>0</v>
      </c>
      <c r="AH197" s="52" t="n">
        <f aca="false">CAPEX!AI40</f>
        <v>0</v>
      </c>
      <c r="AI197" s="52" t="n">
        <f aca="false">CAPEX!AJ40</f>
        <v>0</v>
      </c>
      <c r="AJ197" s="52" t="n">
        <f aca="false">CAPEX!AK40</f>
        <v>0</v>
      </c>
      <c r="AK197" s="52" t="n">
        <f aca="false">CAPEX!AL40</f>
        <v>0</v>
      </c>
      <c r="AL197" s="52" t="n">
        <f aca="false">CAPEX!AM40</f>
        <v>0</v>
      </c>
      <c r="AM197" s="52" t="n">
        <f aca="false">CAPEX!AN40</f>
        <v>0</v>
      </c>
      <c r="AN197" s="52" t="n">
        <f aca="false">CAPEX!AO40</f>
        <v>0</v>
      </c>
      <c r="AO197" s="52" t="n">
        <f aca="false">CAPEX!AP40</f>
        <v>0</v>
      </c>
      <c r="AP197" s="52" t="n">
        <f aca="false">CAPEX!AQ40</f>
        <v>0</v>
      </c>
      <c r="AQ197" s="52" t="n">
        <f aca="false">CAPEX!AR40</f>
        <v>0</v>
      </c>
      <c r="AR197" s="52" t="n">
        <f aca="false">CAPEX!AS40</f>
        <v>0</v>
      </c>
      <c r="AS197" s="52" t="n">
        <f aca="false">CAPEX!AT40</f>
        <v>0</v>
      </c>
      <c r="AT197" s="52" t="n">
        <f aca="false">CAPEX!AU40</f>
        <v>0</v>
      </c>
      <c r="AU197" s="52" t="n">
        <f aca="false">CAPEX!AV40</f>
        <v>0</v>
      </c>
      <c r="AV197" s="52" t="n">
        <f aca="false">CAPEX!AW40</f>
        <v>0</v>
      </c>
      <c r="AW197" s="52" t="n">
        <f aca="false">CAPEX!AX40</f>
        <v>0</v>
      </c>
      <c r="AX197" s="52" t="n">
        <f aca="false">CAPEX!AY40</f>
        <v>0</v>
      </c>
      <c r="AY197" s="52" t="n">
        <f aca="false">CAPEX!AZ40</f>
        <v>0</v>
      </c>
      <c r="AZ197" s="52" t="n">
        <f aca="false">CAPEX!BA40</f>
        <v>0</v>
      </c>
      <c r="BA197" s="52" t="n">
        <f aca="false">CAPEX!BB40</f>
        <v>0</v>
      </c>
    </row>
    <row r="198" customFormat="false" ht="15" hidden="false" customHeight="true" outlineLevel="1" collapsed="false">
      <c r="B198" s="51" t="s">
        <v>50</v>
      </c>
      <c r="C198" s="44" t="n">
        <f aca="false">SUM(D198:BA198)</f>
        <v>0</v>
      </c>
      <c r="D198" s="52" t="n">
        <f aca="false">CAPEX!E41</f>
        <v>0</v>
      </c>
      <c r="E198" s="52" t="n">
        <f aca="false">CAPEX!F41</f>
        <v>0</v>
      </c>
      <c r="F198" s="52" t="n">
        <f aca="false">CAPEX!G41</f>
        <v>0</v>
      </c>
      <c r="G198" s="52" t="n">
        <f aca="false">CAPEX!H41</f>
        <v>0</v>
      </c>
      <c r="H198" s="52" t="n">
        <f aca="false">CAPEX!I41</f>
        <v>0</v>
      </c>
      <c r="I198" s="52" t="n">
        <f aca="false">CAPEX!J41</f>
        <v>0</v>
      </c>
      <c r="J198" s="52" t="n">
        <f aca="false">CAPEX!K41</f>
        <v>0</v>
      </c>
      <c r="K198" s="52" t="n">
        <f aca="false">CAPEX!L41</f>
        <v>0</v>
      </c>
      <c r="L198" s="52" t="n">
        <f aca="false">CAPEX!M41</f>
        <v>0</v>
      </c>
      <c r="M198" s="52" t="n">
        <f aca="false">CAPEX!N41</f>
        <v>0</v>
      </c>
      <c r="N198" s="52" t="n">
        <f aca="false">CAPEX!O41</f>
        <v>0</v>
      </c>
      <c r="O198" s="52" t="n">
        <f aca="false">CAPEX!P41</f>
        <v>0</v>
      </c>
      <c r="P198" s="52" t="n">
        <f aca="false">CAPEX!Q41</f>
        <v>0</v>
      </c>
      <c r="Q198" s="52" t="n">
        <f aca="false">CAPEX!R41</f>
        <v>0</v>
      </c>
      <c r="R198" s="52" t="n">
        <f aca="false">CAPEX!S41</f>
        <v>0</v>
      </c>
      <c r="S198" s="52" t="n">
        <f aca="false">CAPEX!T41</f>
        <v>0</v>
      </c>
      <c r="T198" s="52" t="n">
        <f aca="false">CAPEX!U41</f>
        <v>0</v>
      </c>
      <c r="U198" s="52" t="n">
        <f aca="false">CAPEX!V41</f>
        <v>0</v>
      </c>
      <c r="V198" s="52" t="n">
        <f aca="false">CAPEX!W41</f>
        <v>0</v>
      </c>
      <c r="W198" s="52" t="n">
        <f aca="false">CAPEX!X41</f>
        <v>0</v>
      </c>
      <c r="X198" s="52" t="n">
        <f aca="false">CAPEX!Y41</f>
        <v>0</v>
      </c>
      <c r="Y198" s="52" t="n">
        <f aca="false">CAPEX!Z41</f>
        <v>0</v>
      </c>
      <c r="Z198" s="52" t="n">
        <f aca="false">CAPEX!AA41</f>
        <v>0</v>
      </c>
      <c r="AA198" s="52" t="n">
        <f aca="false">CAPEX!AB41</f>
        <v>0</v>
      </c>
      <c r="AB198" s="52" t="n">
        <f aca="false">CAPEX!AC41</f>
        <v>0</v>
      </c>
      <c r="AC198" s="52" t="n">
        <f aca="false">CAPEX!AD41</f>
        <v>0</v>
      </c>
      <c r="AD198" s="52" t="n">
        <f aca="false">CAPEX!AE41</f>
        <v>0</v>
      </c>
      <c r="AE198" s="52" t="n">
        <f aca="false">CAPEX!AF41</f>
        <v>0</v>
      </c>
      <c r="AF198" s="52" t="n">
        <f aca="false">CAPEX!AG41</f>
        <v>0</v>
      </c>
      <c r="AG198" s="52" t="n">
        <f aca="false">CAPEX!AH41</f>
        <v>0</v>
      </c>
      <c r="AH198" s="52" t="n">
        <f aca="false">CAPEX!AI41</f>
        <v>0</v>
      </c>
      <c r="AI198" s="52" t="n">
        <f aca="false">CAPEX!AJ41</f>
        <v>0</v>
      </c>
      <c r="AJ198" s="52" t="n">
        <f aca="false">CAPEX!AK41</f>
        <v>0</v>
      </c>
      <c r="AK198" s="52" t="n">
        <f aca="false">CAPEX!AL41</f>
        <v>0</v>
      </c>
      <c r="AL198" s="52" t="n">
        <f aca="false">CAPEX!AM41</f>
        <v>0</v>
      </c>
      <c r="AM198" s="52" t="n">
        <f aca="false">CAPEX!AN41</f>
        <v>0</v>
      </c>
      <c r="AN198" s="52" t="n">
        <f aca="false">CAPEX!AO41</f>
        <v>0</v>
      </c>
      <c r="AO198" s="52" t="n">
        <f aca="false">CAPEX!AP41</f>
        <v>0</v>
      </c>
      <c r="AP198" s="52" t="n">
        <f aca="false">CAPEX!AQ41</f>
        <v>0</v>
      </c>
      <c r="AQ198" s="52" t="n">
        <f aca="false">CAPEX!AR41</f>
        <v>0</v>
      </c>
      <c r="AR198" s="52" t="n">
        <f aca="false">CAPEX!AS41</f>
        <v>0</v>
      </c>
      <c r="AS198" s="52" t="n">
        <f aca="false">CAPEX!AT41</f>
        <v>0</v>
      </c>
      <c r="AT198" s="52" t="n">
        <f aca="false">CAPEX!AU41</f>
        <v>0</v>
      </c>
      <c r="AU198" s="52" t="n">
        <f aca="false">CAPEX!AV41</f>
        <v>0</v>
      </c>
      <c r="AV198" s="52" t="n">
        <f aca="false">CAPEX!AW41</f>
        <v>0</v>
      </c>
      <c r="AW198" s="52" t="n">
        <f aca="false">CAPEX!AX41</f>
        <v>0</v>
      </c>
      <c r="AX198" s="52" t="n">
        <f aca="false">CAPEX!AY41</f>
        <v>0</v>
      </c>
      <c r="AY198" s="52" t="n">
        <f aca="false">CAPEX!AZ41</f>
        <v>0</v>
      </c>
      <c r="AZ198" s="52" t="n">
        <f aca="false">CAPEX!BA41</f>
        <v>0</v>
      </c>
      <c r="BA198" s="52" t="n">
        <f aca="false">CAPEX!BB41</f>
        <v>0</v>
      </c>
    </row>
    <row r="199" customFormat="false" ht="15" hidden="false" customHeight="true" outlineLevel="1" collapsed="false">
      <c r="B199" s="51" t="s">
        <v>51</v>
      </c>
      <c r="C199" s="44" t="n">
        <f aca="false">SUM(D199:BA199)</f>
        <v>0</v>
      </c>
      <c r="D199" s="52" t="n">
        <f aca="false">CAPEX!E42</f>
        <v>0</v>
      </c>
      <c r="E199" s="52" t="n">
        <f aca="false">CAPEX!F42</f>
        <v>0</v>
      </c>
      <c r="F199" s="52" t="n">
        <f aca="false">CAPEX!G42</f>
        <v>0</v>
      </c>
      <c r="G199" s="52" t="n">
        <f aca="false">CAPEX!H42</f>
        <v>0</v>
      </c>
      <c r="H199" s="52" t="n">
        <f aca="false">CAPEX!I42</f>
        <v>0</v>
      </c>
      <c r="I199" s="52" t="n">
        <f aca="false">CAPEX!J42</f>
        <v>0</v>
      </c>
      <c r="J199" s="52" t="n">
        <f aca="false">CAPEX!K42</f>
        <v>0</v>
      </c>
      <c r="K199" s="52" t="n">
        <f aca="false">CAPEX!L42</f>
        <v>0</v>
      </c>
      <c r="L199" s="52" t="n">
        <f aca="false">CAPEX!M42</f>
        <v>0</v>
      </c>
      <c r="M199" s="52" t="n">
        <f aca="false">CAPEX!N42</f>
        <v>0</v>
      </c>
      <c r="N199" s="52" t="n">
        <f aca="false">CAPEX!O42</f>
        <v>0</v>
      </c>
      <c r="O199" s="52" t="n">
        <f aca="false">CAPEX!P42</f>
        <v>0</v>
      </c>
      <c r="P199" s="52" t="n">
        <f aca="false">CAPEX!Q42</f>
        <v>0</v>
      </c>
      <c r="Q199" s="52" t="n">
        <f aca="false">CAPEX!R42</f>
        <v>0</v>
      </c>
      <c r="R199" s="52" t="n">
        <f aca="false">CAPEX!S42</f>
        <v>0</v>
      </c>
      <c r="S199" s="52" t="n">
        <f aca="false">CAPEX!T42</f>
        <v>0</v>
      </c>
      <c r="T199" s="52" t="n">
        <f aca="false">CAPEX!U42</f>
        <v>0</v>
      </c>
      <c r="U199" s="52" t="n">
        <f aca="false">CAPEX!V42</f>
        <v>0</v>
      </c>
      <c r="V199" s="52" t="n">
        <f aca="false">CAPEX!W42</f>
        <v>0</v>
      </c>
      <c r="W199" s="52" t="n">
        <f aca="false">CAPEX!X42</f>
        <v>0</v>
      </c>
      <c r="X199" s="52" t="n">
        <f aca="false">CAPEX!Y42</f>
        <v>0</v>
      </c>
      <c r="Y199" s="52" t="n">
        <f aca="false">CAPEX!Z42</f>
        <v>0</v>
      </c>
      <c r="Z199" s="52" t="n">
        <f aca="false">CAPEX!AA42</f>
        <v>0</v>
      </c>
      <c r="AA199" s="52" t="n">
        <f aca="false">CAPEX!AB42</f>
        <v>0</v>
      </c>
      <c r="AB199" s="52" t="n">
        <f aca="false">CAPEX!AC42</f>
        <v>0</v>
      </c>
      <c r="AC199" s="52" t="n">
        <f aca="false">CAPEX!AD42</f>
        <v>0</v>
      </c>
      <c r="AD199" s="52" t="n">
        <f aca="false">CAPEX!AE42</f>
        <v>0</v>
      </c>
      <c r="AE199" s="52" t="n">
        <f aca="false">CAPEX!AF42</f>
        <v>0</v>
      </c>
      <c r="AF199" s="52" t="n">
        <f aca="false">CAPEX!AG42</f>
        <v>0</v>
      </c>
      <c r="AG199" s="52" t="n">
        <f aca="false">CAPEX!AH42</f>
        <v>0</v>
      </c>
      <c r="AH199" s="52" t="n">
        <f aca="false">CAPEX!AI42</f>
        <v>0</v>
      </c>
      <c r="AI199" s="52" t="n">
        <f aca="false">CAPEX!AJ42</f>
        <v>0</v>
      </c>
      <c r="AJ199" s="52" t="n">
        <f aca="false">CAPEX!AK42</f>
        <v>0</v>
      </c>
      <c r="AK199" s="52" t="n">
        <f aca="false">CAPEX!AL42</f>
        <v>0</v>
      </c>
      <c r="AL199" s="52" t="n">
        <f aca="false">CAPEX!AM42</f>
        <v>0</v>
      </c>
      <c r="AM199" s="52" t="n">
        <f aca="false">CAPEX!AN42</f>
        <v>0</v>
      </c>
      <c r="AN199" s="52" t="n">
        <f aca="false">CAPEX!AO42</f>
        <v>0</v>
      </c>
      <c r="AO199" s="52" t="n">
        <f aca="false">CAPEX!AP42</f>
        <v>0</v>
      </c>
      <c r="AP199" s="52" t="n">
        <f aca="false">CAPEX!AQ42</f>
        <v>0</v>
      </c>
      <c r="AQ199" s="52" t="n">
        <f aca="false">CAPEX!AR42</f>
        <v>0</v>
      </c>
      <c r="AR199" s="52" t="n">
        <f aca="false">CAPEX!AS42</f>
        <v>0</v>
      </c>
      <c r="AS199" s="52" t="n">
        <f aca="false">CAPEX!AT42</f>
        <v>0</v>
      </c>
      <c r="AT199" s="52" t="n">
        <f aca="false">CAPEX!AU42</f>
        <v>0</v>
      </c>
      <c r="AU199" s="52" t="n">
        <f aca="false">CAPEX!AV42</f>
        <v>0</v>
      </c>
      <c r="AV199" s="52" t="n">
        <f aca="false">CAPEX!AW42</f>
        <v>0</v>
      </c>
      <c r="AW199" s="52" t="n">
        <f aca="false">CAPEX!AX42</f>
        <v>0</v>
      </c>
      <c r="AX199" s="52" t="n">
        <f aca="false">CAPEX!AY42</f>
        <v>0</v>
      </c>
      <c r="AY199" s="52" t="n">
        <f aca="false">CAPEX!AZ42</f>
        <v>0</v>
      </c>
      <c r="AZ199" s="52" t="n">
        <f aca="false">CAPEX!BA42</f>
        <v>0</v>
      </c>
      <c r="BA199" s="52" t="n">
        <f aca="false">CAPEX!BB42</f>
        <v>0</v>
      </c>
    </row>
    <row r="200" customFormat="false" ht="15" hidden="false" customHeight="true" outlineLevel="1" collapsed="false">
      <c r="B200" s="51" t="s">
        <v>52</v>
      </c>
      <c r="C200" s="44" t="n">
        <f aca="false">SUM(D200:BA200)</f>
        <v>0</v>
      </c>
      <c r="D200" s="52" t="n">
        <f aca="false">CAPEX!E43</f>
        <v>0</v>
      </c>
      <c r="E200" s="52" t="n">
        <f aca="false">CAPEX!F43</f>
        <v>0</v>
      </c>
      <c r="F200" s="52" t="n">
        <f aca="false">CAPEX!G43</f>
        <v>0</v>
      </c>
      <c r="G200" s="52" t="n">
        <f aca="false">CAPEX!H43</f>
        <v>0</v>
      </c>
      <c r="H200" s="52" t="n">
        <f aca="false">CAPEX!I43</f>
        <v>0</v>
      </c>
      <c r="I200" s="52" t="n">
        <f aca="false">CAPEX!J43</f>
        <v>0</v>
      </c>
      <c r="J200" s="52" t="n">
        <f aca="false">CAPEX!K43</f>
        <v>0</v>
      </c>
      <c r="K200" s="52" t="n">
        <f aca="false">CAPEX!L43</f>
        <v>0</v>
      </c>
      <c r="L200" s="52" t="n">
        <f aca="false">CAPEX!M43</f>
        <v>0</v>
      </c>
      <c r="M200" s="52" t="n">
        <f aca="false">CAPEX!N43</f>
        <v>0</v>
      </c>
      <c r="N200" s="52" t="n">
        <f aca="false">CAPEX!O43</f>
        <v>0</v>
      </c>
      <c r="O200" s="52" t="n">
        <f aca="false">CAPEX!P43</f>
        <v>0</v>
      </c>
      <c r="P200" s="52" t="n">
        <f aca="false">CAPEX!Q43</f>
        <v>0</v>
      </c>
      <c r="Q200" s="52" t="n">
        <f aca="false">CAPEX!R43</f>
        <v>0</v>
      </c>
      <c r="R200" s="52" t="n">
        <f aca="false">CAPEX!S43</f>
        <v>0</v>
      </c>
      <c r="S200" s="52" t="n">
        <f aca="false">CAPEX!T43</f>
        <v>0</v>
      </c>
      <c r="T200" s="52" t="n">
        <f aca="false">CAPEX!U43</f>
        <v>0</v>
      </c>
      <c r="U200" s="52" t="n">
        <f aca="false">CAPEX!V43</f>
        <v>0</v>
      </c>
      <c r="V200" s="52" t="n">
        <f aca="false">CAPEX!W43</f>
        <v>0</v>
      </c>
      <c r="W200" s="52" t="n">
        <f aca="false">CAPEX!X43</f>
        <v>0</v>
      </c>
      <c r="X200" s="52" t="n">
        <f aca="false">CAPEX!Y43</f>
        <v>0</v>
      </c>
      <c r="Y200" s="52" t="n">
        <f aca="false">CAPEX!Z43</f>
        <v>0</v>
      </c>
      <c r="Z200" s="52" t="n">
        <f aca="false">CAPEX!AA43</f>
        <v>0</v>
      </c>
      <c r="AA200" s="52" t="n">
        <f aca="false">CAPEX!AB43</f>
        <v>0</v>
      </c>
      <c r="AB200" s="52" t="n">
        <f aca="false">CAPEX!AC43</f>
        <v>0</v>
      </c>
      <c r="AC200" s="52" t="n">
        <f aca="false">CAPEX!AD43</f>
        <v>0</v>
      </c>
      <c r="AD200" s="52" t="n">
        <f aca="false">CAPEX!AE43</f>
        <v>0</v>
      </c>
      <c r="AE200" s="52" t="n">
        <f aca="false">CAPEX!AF43</f>
        <v>0</v>
      </c>
      <c r="AF200" s="52" t="n">
        <f aca="false">CAPEX!AG43</f>
        <v>0</v>
      </c>
      <c r="AG200" s="52" t="n">
        <f aca="false">CAPEX!AH43</f>
        <v>0</v>
      </c>
      <c r="AH200" s="52" t="n">
        <f aca="false">CAPEX!AI43</f>
        <v>0</v>
      </c>
      <c r="AI200" s="52" t="n">
        <f aca="false">CAPEX!AJ43</f>
        <v>0</v>
      </c>
      <c r="AJ200" s="52" t="n">
        <f aca="false">CAPEX!AK43</f>
        <v>0</v>
      </c>
      <c r="AK200" s="52" t="n">
        <f aca="false">CAPEX!AL43</f>
        <v>0</v>
      </c>
      <c r="AL200" s="52" t="n">
        <f aca="false">CAPEX!AM43</f>
        <v>0</v>
      </c>
      <c r="AM200" s="52" t="n">
        <f aca="false">CAPEX!AN43</f>
        <v>0</v>
      </c>
      <c r="AN200" s="52" t="n">
        <f aca="false">CAPEX!AO43</f>
        <v>0</v>
      </c>
      <c r="AO200" s="52" t="n">
        <f aca="false">CAPEX!AP43</f>
        <v>0</v>
      </c>
      <c r="AP200" s="52" t="n">
        <f aca="false">CAPEX!AQ43</f>
        <v>0</v>
      </c>
      <c r="AQ200" s="52" t="n">
        <f aca="false">CAPEX!AR43</f>
        <v>0</v>
      </c>
      <c r="AR200" s="52" t="n">
        <f aca="false">CAPEX!AS43</f>
        <v>0</v>
      </c>
      <c r="AS200" s="52" t="n">
        <f aca="false">CAPEX!AT43</f>
        <v>0</v>
      </c>
      <c r="AT200" s="52" t="n">
        <f aca="false">CAPEX!AU43</f>
        <v>0</v>
      </c>
      <c r="AU200" s="52" t="n">
        <f aca="false">CAPEX!AV43</f>
        <v>0</v>
      </c>
      <c r="AV200" s="52" t="n">
        <f aca="false">CAPEX!AW43</f>
        <v>0</v>
      </c>
      <c r="AW200" s="52" t="n">
        <f aca="false">CAPEX!AX43</f>
        <v>0</v>
      </c>
      <c r="AX200" s="52" t="n">
        <f aca="false">CAPEX!AY43</f>
        <v>0</v>
      </c>
      <c r="AY200" s="52" t="n">
        <f aca="false">CAPEX!AZ43</f>
        <v>0</v>
      </c>
      <c r="AZ200" s="52" t="n">
        <f aca="false">CAPEX!BA43</f>
        <v>0</v>
      </c>
      <c r="BA200" s="52" t="n">
        <f aca="false">CAPEX!BB43</f>
        <v>0</v>
      </c>
    </row>
    <row r="201" customFormat="false" ht="15" hidden="false" customHeight="true" outlineLevel="1" collapsed="false">
      <c r="B201" s="51" t="s">
        <v>53</v>
      </c>
      <c r="C201" s="44" t="n">
        <f aca="false">SUM(D201:BA201)</f>
        <v>0</v>
      </c>
      <c r="D201" s="52" t="n">
        <f aca="false">CAPEX!E44</f>
        <v>0</v>
      </c>
      <c r="E201" s="52" t="n">
        <f aca="false">CAPEX!F44</f>
        <v>0</v>
      </c>
      <c r="F201" s="52" t="n">
        <f aca="false">CAPEX!G44</f>
        <v>0</v>
      </c>
      <c r="G201" s="52" t="n">
        <f aca="false">CAPEX!H44</f>
        <v>0</v>
      </c>
      <c r="H201" s="52" t="n">
        <f aca="false">CAPEX!I44</f>
        <v>0</v>
      </c>
      <c r="I201" s="52" t="n">
        <f aca="false">CAPEX!J44</f>
        <v>0</v>
      </c>
      <c r="J201" s="52" t="n">
        <f aca="false">CAPEX!K44</f>
        <v>0</v>
      </c>
      <c r="K201" s="52" t="n">
        <f aca="false">CAPEX!L44</f>
        <v>0</v>
      </c>
      <c r="L201" s="52" t="n">
        <f aca="false">CAPEX!M44</f>
        <v>0</v>
      </c>
      <c r="M201" s="52" t="n">
        <f aca="false">CAPEX!N44</f>
        <v>0</v>
      </c>
      <c r="N201" s="52" t="n">
        <f aca="false">CAPEX!O44</f>
        <v>0</v>
      </c>
      <c r="O201" s="52" t="n">
        <f aca="false">CAPEX!P44</f>
        <v>0</v>
      </c>
      <c r="P201" s="52" t="n">
        <f aca="false">CAPEX!Q44</f>
        <v>0</v>
      </c>
      <c r="Q201" s="52" t="n">
        <f aca="false">CAPEX!R44</f>
        <v>0</v>
      </c>
      <c r="R201" s="52" t="n">
        <f aca="false">CAPEX!S44</f>
        <v>0</v>
      </c>
      <c r="S201" s="52" t="n">
        <f aca="false">CAPEX!T44</f>
        <v>0</v>
      </c>
      <c r="T201" s="52" t="n">
        <f aca="false">CAPEX!U44</f>
        <v>0</v>
      </c>
      <c r="U201" s="52" t="n">
        <f aca="false">CAPEX!V44</f>
        <v>0</v>
      </c>
      <c r="V201" s="52" t="n">
        <f aca="false">CAPEX!W44</f>
        <v>0</v>
      </c>
      <c r="W201" s="52" t="n">
        <f aca="false">CAPEX!X44</f>
        <v>0</v>
      </c>
      <c r="X201" s="52" t="n">
        <f aca="false">CAPEX!Y44</f>
        <v>0</v>
      </c>
      <c r="Y201" s="52" t="n">
        <f aca="false">CAPEX!Z44</f>
        <v>0</v>
      </c>
      <c r="Z201" s="52" t="n">
        <f aca="false">CAPEX!AA44</f>
        <v>0</v>
      </c>
      <c r="AA201" s="52" t="n">
        <f aca="false">CAPEX!AB44</f>
        <v>0</v>
      </c>
      <c r="AB201" s="52" t="n">
        <f aca="false">CAPEX!AC44</f>
        <v>0</v>
      </c>
      <c r="AC201" s="52" t="n">
        <f aca="false">CAPEX!AD44</f>
        <v>0</v>
      </c>
      <c r="AD201" s="52" t="n">
        <f aca="false">CAPEX!AE44</f>
        <v>0</v>
      </c>
      <c r="AE201" s="52" t="n">
        <f aca="false">CAPEX!AF44</f>
        <v>0</v>
      </c>
      <c r="AF201" s="52" t="n">
        <f aca="false">CAPEX!AG44</f>
        <v>0</v>
      </c>
      <c r="AG201" s="52" t="n">
        <f aca="false">CAPEX!AH44</f>
        <v>0</v>
      </c>
      <c r="AH201" s="52" t="n">
        <f aca="false">CAPEX!AI44</f>
        <v>0</v>
      </c>
      <c r="AI201" s="52" t="n">
        <f aca="false">CAPEX!AJ44</f>
        <v>0</v>
      </c>
      <c r="AJ201" s="52" t="n">
        <f aca="false">CAPEX!AK44</f>
        <v>0</v>
      </c>
      <c r="AK201" s="52" t="n">
        <f aca="false">CAPEX!AL44</f>
        <v>0</v>
      </c>
      <c r="AL201" s="52" t="n">
        <f aca="false">CAPEX!AM44</f>
        <v>0</v>
      </c>
      <c r="AM201" s="52" t="n">
        <f aca="false">CAPEX!AN44</f>
        <v>0</v>
      </c>
      <c r="AN201" s="52" t="n">
        <f aca="false">CAPEX!AO44</f>
        <v>0</v>
      </c>
      <c r="AO201" s="52" t="n">
        <f aca="false">CAPEX!AP44</f>
        <v>0</v>
      </c>
      <c r="AP201" s="52" t="n">
        <f aca="false">CAPEX!AQ44</f>
        <v>0</v>
      </c>
      <c r="AQ201" s="52" t="n">
        <f aca="false">CAPEX!AR44</f>
        <v>0</v>
      </c>
      <c r="AR201" s="52" t="n">
        <f aca="false">CAPEX!AS44</f>
        <v>0</v>
      </c>
      <c r="AS201" s="52" t="n">
        <f aca="false">CAPEX!AT44</f>
        <v>0</v>
      </c>
      <c r="AT201" s="52" t="n">
        <f aca="false">CAPEX!AU44</f>
        <v>0</v>
      </c>
      <c r="AU201" s="52" t="n">
        <f aca="false">CAPEX!AV44</f>
        <v>0</v>
      </c>
      <c r="AV201" s="52" t="n">
        <f aca="false">CAPEX!AW44</f>
        <v>0</v>
      </c>
      <c r="AW201" s="52" t="n">
        <f aca="false">CAPEX!AX44</f>
        <v>0</v>
      </c>
      <c r="AX201" s="52" t="n">
        <f aca="false">CAPEX!AY44</f>
        <v>0</v>
      </c>
      <c r="AY201" s="52" t="n">
        <f aca="false">CAPEX!AZ44</f>
        <v>0</v>
      </c>
      <c r="AZ201" s="52" t="n">
        <f aca="false">CAPEX!BA44</f>
        <v>0</v>
      </c>
      <c r="BA201" s="52" t="n">
        <f aca="false">CAPEX!BB44</f>
        <v>0</v>
      </c>
    </row>
    <row r="202" customFormat="false" ht="15" hidden="false" customHeight="true" outlineLevel="1" collapsed="false">
      <c r="B202" s="51" t="s">
        <v>54</v>
      </c>
      <c r="C202" s="44" t="n">
        <f aca="false">SUM(D202:BA202)</f>
        <v>0</v>
      </c>
      <c r="D202" s="52" t="n">
        <f aca="false">CAPEX!E45</f>
        <v>0</v>
      </c>
      <c r="E202" s="52" t="n">
        <f aca="false">CAPEX!F45</f>
        <v>0</v>
      </c>
      <c r="F202" s="52" t="n">
        <f aca="false">CAPEX!G45</f>
        <v>0</v>
      </c>
      <c r="G202" s="52" t="n">
        <f aca="false">CAPEX!H45</f>
        <v>0</v>
      </c>
      <c r="H202" s="52" t="n">
        <f aca="false">CAPEX!I45</f>
        <v>0</v>
      </c>
      <c r="I202" s="52" t="n">
        <f aca="false">CAPEX!J45</f>
        <v>0</v>
      </c>
      <c r="J202" s="52" t="n">
        <f aca="false">CAPEX!K45</f>
        <v>0</v>
      </c>
      <c r="K202" s="52" t="n">
        <f aca="false">CAPEX!L45</f>
        <v>0</v>
      </c>
      <c r="L202" s="52" t="n">
        <f aca="false">CAPEX!M45</f>
        <v>0</v>
      </c>
      <c r="M202" s="52" t="n">
        <f aca="false">CAPEX!N45</f>
        <v>0</v>
      </c>
      <c r="N202" s="52" t="n">
        <f aca="false">CAPEX!O45</f>
        <v>0</v>
      </c>
      <c r="O202" s="52" t="n">
        <f aca="false">CAPEX!P45</f>
        <v>0</v>
      </c>
      <c r="P202" s="52" t="n">
        <f aca="false">CAPEX!Q45</f>
        <v>0</v>
      </c>
      <c r="Q202" s="52" t="n">
        <f aca="false">CAPEX!R45</f>
        <v>0</v>
      </c>
      <c r="R202" s="52" t="n">
        <f aca="false">CAPEX!S45</f>
        <v>0</v>
      </c>
      <c r="S202" s="52" t="n">
        <f aca="false">CAPEX!T45</f>
        <v>0</v>
      </c>
      <c r="T202" s="52" t="n">
        <f aca="false">CAPEX!U45</f>
        <v>0</v>
      </c>
      <c r="U202" s="52" t="n">
        <f aca="false">CAPEX!V45</f>
        <v>0</v>
      </c>
      <c r="V202" s="52" t="n">
        <f aca="false">CAPEX!W45</f>
        <v>0</v>
      </c>
      <c r="W202" s="52" t="n">
        <f aca="false">CAPEX!X45</f>
        <v>0</v>
      </c>
      <c r="X202" s="52" t="n">
        <f aca="false">CAPEX!Y45</f>
        <v>0</v>
      </c>
      <c r="Y202" s="52" t="n">
        <f aca="false">CAPEX!Z45</f>
        <v>0</v>
      </c>
      <c r="Z202" s="52" t="n">
        <f aca="false">CAPEX!AA45</f>
        <v>0</v>
      </c>
      <c r="AA202" s="52" t="n">
        <f aca="false">CAPEX!AB45</f>
        <v>0</v>
      </c>
      <c r="AB202" s="52" t="n">
        <f aca="false">CAPEX!AC45</f>
        <v>0</v>
      </c>
      <c r="AC202" s="52" t="n">
        <f aca="false">CAPEX!AD45</f>
        <v>0</v>
      </c>
      <c r="AD202" s="52" t="n">
        <f aca="false">CAPEX!AE45</f>
        <v>0</v>
      </c>
      <c r="AE202" s="52" t="n">
        <f aca="false">CAPEX!AF45</f>
        <v>0</v>
      </c>
      <c r="AF202" s="52" t="n">
        <f aca="false">CAPEX!AG45</f>
        <v>0</v>
      </c>
      <c r="AG202" s="52" t="n">
        <f aca="false">CAPEX!AH45</f>
        <v>0</v>
      </c>
      <c r="AH202" s="52" t="n">
        <f aca="false">CAPEX!AI45</f>
        <v>0</v>
      </c>
      <c r="AI202" s="52" t="n">
        <f aca="false">CAPEX!AJ45</f>
        <v>0</v>
      </c>
      <c r="AJ202" s="52" t="n">
        <f aca="false">CAPEX!AK45</f>
        <v>0</v>
      </c>
      <c r="AK202" s="52" t="n">
        <f aca="false">CAPEX!AL45</f>
        <v>0</v>
      </c>
      <c r="AL202" s="52" t="n">
        <f aca="false">CAPEX!AM45</f>
        <v>0</v>
      </c>
      <c r="AM202" s="52" t="n">
        <f aca="false">CAPEX!AN45</f>
        <v>0</v>
      </c>
      <c r="AN202" s="52" t="n">
        <f aca="false">CAPEX!AO45</f>
        <v>0</v>
      </c>
      <c r="AO202" s="52" t="n">
        <f aca="false">CAPEX!AP45</f>
        <v>0</v>
      </c>
      <c r="AP202" s="52" t="n">
        <f aca="false">CAPEX!AQ45</f>
        <v>0</v>
      </c>
      <c r="AQ202" s="52" t="n">
        <f aca="false">CAPEX!AR45</f>
        <v>0</v>
      </c>
      <c r="AR202" s="52" t="n">
        <f aca="false">CAPEX!AS45</f>
        <v>0</v>
      </c>
      <c r="AS202" s="52" t="n">
        <f aca="false">CAPEX!AT45</f>
        <v>0</v>
      </c>
      <c r="AT202" s="52" t="n">
        <f aca="false">CAPEX!AU45</f>
        <v>0</v>
      </c>
      <c r="AU202" s="52" t="n">
        <f aca="false">CAPEX!AV45</f>
        <v>0</v>
      </c>
      <c r="AV202" s="52" t="n">
        <f aca="false">CAPEX!AW45</f>
        <v>0</v>
      </c>
      <c r="AW202" s="52" t="n">
        <f aca="false">CAPEX!AX45</f>
        <v>0</v>
      </c>
      <c r="AX202" s="52" t="n">
        <f aca="false">CAPEX!AY45</f>
        <v>0</v>
      </c>
      <c r="AY202" s="52" t="n">
        <f aca="false">CAPEX!AZ45</f>
        <v>0</v>
      </c>
      <c r="AZ202" s="52" t="n">
        <f aca="false">CAPEX!BA45</f>
        <v>0</v>
      </c>
      <c r="BA202" s="52" t="n">
        <f aca="false">CAPEX!BB45</f>
        <v>0</v>
      </c>
    </row>
    <row r="203" customFormat="false" ht="15" hidden="false" customHeight="true" outlineLevel="1" collapsed="false">
      <c r="B203" s="51" t="s">
        <v>55</v>
      </c>
      <c r="C203" s="44" t="n">
        <f aca="false">SUM(D203:BA203)</f>
        <v>0</v>
      </c>
      <c r="D203" s="52" t="n">
        <f aca="false">CAPEX!E46</f>
        <v>0</v>
      </c>
      <c r="E203" s="52" t="n">
        <f aca="false">CAPEX!F46</f>
        <v>0</v>
      </c>
      <c r="F203" s="52" t="n">
        <f aca="false">CAPEX!G46</f>
        <v>0</v>
      </c>
      <c r="G203" s="52" t="n">
        <f aca="false">CAPEX!H46</f>
        <v>0</v>
      </c>
      <c r="H203" s="52" t="n">
        <f aca="false">CAPEX!I46</f>
        <v>0</v>
      </c>
      <c r="I203" s="52" t="n">
        <f aca="false">CAPEX!J46</f>
        <v>0</v>
      </c>
      <c r="J203" s="52" t="n">
        <f aca="false">CAPEX!K46</f>
        <v>0</v>
      </c>
      <c r="K203" s="52" t="n">
        <f aca="false">CAPEX!L46</f>
        <v>0</v>
      </c>
      <c r="L203" s="52" t="n">
        <f aca="false">CAPEX!M46</f>
        <v>0</v>
      </c>
      <c r="M203" s="52" t="n">
        <f aca="false">CAPEX!N46</f>
        <v>0</v>
      </c>
      <c r="N203" s="52" t="n">
        <f aca="false">CAPEX!O46</f>
        <v>0</v>
      </c>
      <c r="O203" s="52" t="n">
        <f aca="false">CAPEX!P46</f>
        <v>0</v>
      </c>
      <c r="P203" s="52" t="n">
        <f aca="false">CAPEX!Q46</f>
        <v>0</v>
      </c>
      <c r="Q203" s="52" t="n">
        <f aca="false">CAPEX!R46</f>
        <v>0</v>
      </c>
      <c r="R203" s="52" t="n">
        <f aca="false">CAPEX!S46</f>
        <v>0</v>
      </c>
      <c r="S203" s="52" t="n">
        <f aca="false">CAPEX!T46</f>
        <v>0</v>
      </c>
      <c r="T203" s="52" t="n">
        <f aca="false">CAPEX!U46</f>
        <v>0</v>
      </c>
      <c r="U203" s="52" t="n">
        <f aca="false">CAPEX!V46</f>
        <v>0</v>
      </c>
      <c r="V203" s="52" t="n">
        <f aca="false">CAPEX!W46</f>
        <v>0</v>
      </c>
      <c r="W203" s="52" t="n">
        <f aca="false">CAPEX!X46</f>
        <v>0</v>
      </c>
      <c r="X203" s="52" t="n">
        <f aca="false">CAPEX!Y46</f>
        <v>0</v>
      </c>
      <c r="Y203" s="52" t="n">
        <f aca="false">CAPEX!Z46</f>
        <v>0</v>
      </c>
      <c r="Z203" s="52" t="n">
        <f aca="false">CAPEX!AA46</f>
        <v>0</v>
      </c>
      <c r="AA203" s="52" t="n">
        <f aca="false">CAPEX!AB46</f>
        <v>0</v>
      </c>
      <c r="AB203" s="52" t="n">
        <f aca="false">CAPEX!AC46</f>
        <v>0</v>
      </c>
      <c r="AC203" s="52" t="n">
        <f aca="false">CAPEX!AD46</f>
        <v>0</v>
      </c>
      <c r="AD203" s="52" t="n">
        <f aca="false">CAPEX!AE46</f>
        <v>0</v>
      </c>
      <c r="AE203" s="52" t="n">
        <f aca="false">CAPEX!AF46</f>
        <v>0</v>
      </c>
      <c r="AF203" s="52" t="n">
        <f aca="false">CAPEX!AG46</f>
        <v>0</v>
      </c>
      <c r="AG203" s="52" t="n">
        <f aca="false">CAPEX!AH46</f>
        <v>0</v>
      </c>
      <c r="AH203" s="52" t="n">
        <f aca="false">CAPEX!AI46</f>
        <v>0</v>
      </c>
      <c r="AI203" s="52" t="n">
        <f aca="false">CAPEX!AJ46</f>
        <v>0</v>
      </c>
      <c r="AJ203" s="52" t="n">
        <f aca="false">CAPEX!AK46</f>
        <v>0</v>
      </c>
      <c r="AK203" s="52" t="n">
        <f aca="false">CAPEX!AL46</f>
        <v>0</v>
      </c>
      <c r="AL203" s="52" t="n">
        <f aca="false">CAPEX!AM46</f>
        <v>0</v>
      </c>
      <c r="AM203" s="52" t="n">
        <f aca="false">CAPEX!AN46</f>
        <v>0</v>
      </c>
      <c r="AN203" s="52" t="n">
        <f aca="false">CAPEX!AO46</f>
        <v>0</v>
      </c>
      <c r="AO203" s="52" t="n">
        <f aca="false">CAPEX!AP46</f>
        <v>0</v>
      </c>
      <c r="AP203" s="52" t="n">
        <f aca="false">CAPEX!AQ46</f>
        <v>0</v>
      </c>
      <c r="AQ203" s="52" t="n">
        <f aca="false">CAPEX!AR46</f>
        <v>0</v>
      </c>
      <c r="AR203" s="52" t="n">
        <f aca="false">CAPEX!AS46</f>
        <v>0</v>
      </c>
      <c r="AS203" s="52" t="n">
        <f aca="false">CAPEX!AT46</f>
        <v>0</v>
      </c>
      <c r="AT203" s="52" t="n">
        <f aca="false">CAPEX!AU46</f>
        <v>0</v>
      </c>
      <c r="AU203" s="52" t="n">
        <f aca="false">CAPEX!AV46</f>
        <v>0</v>
      </c>
      <c r="AV203" s="52" t="n">
        <f aca="false">CAPEX!AW46</f>
        <v>0</v>
      </c>
      <c r="AW203" s="52" t="n">
        <f aca="false">CAPEX!AX46</f>
        <v>0</v>
      </c>
      <c r="AX203" s="52" t="n">
        <f aca="false">CAPEX!AY46</f>
        <v>0</v>
      </c>
      <c r="AY203" s="52" t="n">
        <f aca="false">CAPEX!AZ46</f>
        <v>0</v>
      </c>
      <c r="AZ203" s="52" t="n">
        <f aca="false">CAPEX!BA46</f>
        <v>0</v>
      </c>
      <c r="BA203" s="52" t="n">
        <f aca="false">CAPEX!BB46</f>
        <v>0</v>
      </c>
    </row>
    <row r="204" customFormat="false" ht="15" hidden="false" customHeight="true" outlineLevel="1" collapsed="false">
      <c r="B204" s="51" t="s">
        <v>56</v>
      </c>
      <c r="C204" s="44" t="n">
        <f aca="false">SUM(D204:BA204)</f>
        <v>0</v>
      </c>
      <c r="D204" s="52" t="n">
        <f aca="false">CAPEX!E47</f>
        <v>0</v>
      </c>
      <c r="E204" s="52" t="n">
        <f aca="false">CAPEX!F47</f>
        <v>0</v>
      </c>
      <c r="F204" s="52" t="n">
        <f aca="false">CAPEX!G47</f>
        <v>0</v>
      </c>
      <c r="G204" s="52" t="n">
        <f aca="false">CAPEX!H47</f>
        <v>0</v>
      </c>
      <c r="H204" s="52" t="n">
        <f aca="false">CAPEX!I47</f>
        <v>0</v>
      </c>
      <c r="I204" s="52" t="n">
        <f aca="false">CAPEX!J47</f>
        <v>0</v>
      </c>
      <c r="J204" s="52" t="n">
        <f aca="false">CAPEX!K47</f>
        <v>0</v>
      </c>
      <c r="K204" s="52" t="n">
        <f aca="false">CAPEX!L47</f>
        <v>0</v>
      </c>
      <c r="L204" s="52" t="n">
        <f aca="false">CAPEX!M47</f>
        <v>0</v>
      </c>
      <c r="M204" s="52" t="n">
        <f aca="false">CAPEX!N47</f>
        <v>0</v>
      </c>
      <c r="N204" s="52" t="n">
        <f aca="false">CAPEX!O47</f>
        <v>0</v>
      </c>
      <c r="O204" s="52" t="n">
        <f aca="false">CAPEX!P47</f>
        <v>0</v>
      </c>
      <c r="P204" s="52" t="n">
        <f aca="false">CAPEX!Q47</f>
        <v>0</v>
      </c>
      <c r="Q204" s="52" t="n">
        <f aca="false">CAPEX!R47</f>
        <v>0</v>
      </c>
      <c r="R204" s="52" t="n">
        <f aca="false">CAPEX!S47</f>
        <v>0</v>
      </c>
      <c r="S204" s="52" t="n">
        <f aca="false">CAPEX!T47</f>
        <v>0</v>
      </c>
      <c r="T204" s="52" t="n">
        <f aca="false">CAPEX!U47</f>
        <v>0</v>
      </c>
      <c r="U204" s="52" t="n">
        <f aca="false">CAPEX!V47</f>
        <v>0</v>
      </c>
      <c r="V204" s="52" t="n">
        <f aca="false">CAPEX!W47</f>
        <v>0</v>
      </c>
      <c r="W204" s="52" t="n">
        <f aca="false">CAPEX!X47</f>
        <v>0</v>
      </c>
      <c r="X204" s="52" t="n">
        <f aca="false">CAPEX!Y47</f>
        <v>0</v>
      </c>
      <c r="Y204" s="52" t="n">
        <f aca="false">CAPEX!Z47</f>
        <v>0</v>
      </c>
      <c r="Z204" s="52" t="n">
        <f aca="false">CAPEX!AA47</f>
        <v>0</v>
      </c>
      <c r="AA204" s="52" t="n">
        <f aca="false">CAPEX!AB47</f>
        <v>0</v>
      </c>
      <c r="AB204" s="52" t="n">
        <f aca="false">CAPEX!AC47</f>
        <v>0</v>
      </c>
      <c r="AC204" s="52" t="n">
        <f aca="false">CAPEX!AD47</f>
        <v>0</v>
      </c>
      <c r="AD204" s="52" t="n">
        <f aca="false">CAPEX!AE47</f>
        <v>0</v>
      </c>
      <c r="AE204" s="52" t="n">
        <f aca="false">CAPEX!AF47</f>
        <v>0</v>
      </c>
      <c r="AF204" s="52" t="n">
        <f aca="false">CAPEX!AG47</f>
        <v>0</v>
      </c>
      <c r="AG204" s="52" t="n">
        <f aca="false">CAPEX!AH47</f>
        <v>0</v>
      </c>
      <c r="AH204" s="52" t="n">
        <f aca="false">CAPEX!AI47</f>
        <v>0</v>
      </c>
      <c r="AI204" s="52" t="n">
        <f aca="false">CAPEX!AJ47</f>
        <v>0</v>
      </c>
      <c r="AJ204" s="52" t="n">
        <f aca="false">CAPEX!AK47</f>
        <v>0</v>
      </c>
      <c r="AK204" s="52" t="n">
        <f aca="false">CAPEX!AL47</f>
        <v>0</v>
      </c>
      <c r="AL204" s="52" t="n">
        <f aca="false">CAPEX!AM47</f>
        <v>0</v>
      </c>
      <c r="AM204" s="52" t="n">
        <f aca="false">CAPEX!AN47</f>
        <v>0</v>
      </c>
      <c r="AN204" s="52" t="n">
        <f aca="false">CAPEX!AO47</f>
        <v>0</v>
      </c>
      <c r="AO204" s="52" t="n">
        <f aca="false">CAPEX!AP47</f>
        <v>0</v>
      </c>
      <c r="AP204" s="52" t="n">
        <f aca="false">CAPEX!AQ47</f>
        <v>0</v>
      </c>
      <c r="AQ204" s="52" t="n">
        <f aca="false">CAPEX!AR47</f>
        <v>0</v>
      </c>
      <c r="AR204" s="52" t="n">
        <f aca="false">CAPEX!AS47</f>
        <v>0</v>
      </c>
      <c r="AS204" s="52" t="n">
        <f aca="false">CAPEX!AT47</f>
        <v>0</v>
      </c>
      <c r="AT204" s="52" t="n">
        <f aca="false">CAPEX!AU47</f>
        <v>0</v>
      </c>
      <c r="AU204" s="52" t="n">
        <f aca="false">CAPEX!AV47</f>
        <v>0</v>
      </c>
      <c r="AV204" s="52" t="n">
        <f aca="false">CAPEX!AW47</f>
        <v>0</v>
      </c>
      <c r="AW204" s="52" t="n">
        <f aca="false">CAPEX!AX47</f>
        <v>0</v>
      </c>
      <c r="AX204" s="52" t="n">
        <f aca="false">CAPEX!AY47</f>
        <v>0</v>
      </c>
      <c r="AY204" s="52" t="n">
        <f aca="false">CAPEX!AZ47</f>
        <v>0</v>
      </c>
      <c r="AZ204" s="52" t="n">
        <f aca="false">CAPEX!BA47</f>
        <v>0</v>
      </c>
      <c r="BA204" s="52" t="n">
        <f aca="false">CAPEX!BB47</f>
        <v>0</v>
      </c>
    </row>
    <row r="205" customFormat="false" ht="15" hidden="false" customHeight="true" outlineLevel="1" collapsed="false">
      <c r="B205" s="51" t="s">
        <v>57</v>
      </c>
      <c r="C205" s="44" t="n">
        <f aca="false">SUM(D205:BA205)</f>
        <v>0</v>
      </c>
      <c r="D205" s="52" t="n">
        <f aca="false">CAPEX!E48</f>
        <v>0</v>
      </c>
      <c r="E205" s="52" t="n">
        <f aca="false">CAPEX!F48</f>
        <v>0</v>
      </c>
      <c r="F205" s="52" t="n">
        <f aca="false">CAPEX!G48</f>
        <v>0</v>
      </c>
      <c r="G205" s="52" t="n">
        <f aca="false">CAPEX!H48</f>
        <v>0</v>
      </c>
      <c r="H205" s="52" t="n">
        <f aca="false">CAPEX!I48</f>
        <v>0</v>
      </c>
      <c r="I205" s="52" t="n">
        <f aca="false">CAPEX!J48</f>
        <v>0</v>
      </c>
      <c r="J205" s="52" t="n">
        <f aca="false">CAPEX!K48</f>
        <v>0</v>
      </c>
      <c r="K205" s="52" t="n">
        <f aca="false">CAPEX!L48</f>
        <v>0</v>
      </c>
      <c r="L205" s="52" t="n">
        <f aca="false">CAPEX!M48</f>
        <v>0</v>
      </c>
      <c r="M205" s="52" t="n">
        <f aca="false">CAPEX!N48</f>
        <v>0</v>
      </c>
      <c r="N205" s="52" t="n">
        <f aca="false">CAPEX!O48</f>
        <v>0</v>
      </c>
      <c r="O205" s="52" t="n">
        <f aca="false">CAPEX!P48</f>
        <v>0</v>
      </c>
      <c r="P205" s="52" t="n">
        <f aca="false">CAPEX!Q48</f>
        <v>0</v>
      </c>
      <c r="Q205" s="52" t="n">
        <f aca="false">CAPEX!R48</f>
        <v>0</v>
      </c>
      <c r="R205" s="52" t="n">
        <f aca="false">CAPEX!S48</f>
        <v>0</v>
      </c>
      <c r="S205" s="52" t="n">
        <f aca="false">CAPEX!T48</f>
        <v>0</v>
      </c>
      <c r="T205" s="52" t="n">
        <f aca="false">CAPEX!U48</f>
        <v>0</v>
      </c>
      <c r="U205" s="52" t="n">
        <f aca="false">CAPEX!V48</f>
        <v>0</v>
      </c>
      <c r="V205" s="52" t="n">
        <f aca="false">CAPEX!W48</f>
        <v>0</v>
      </c>
      <c r="W205" s="52" t="n">
        <f aca="false">CAPEX!X48</f>
        <v>0</v>
      </c>
      <c r="X205" s="52" t="n">
        <f aca="false">CAPEX!Y48</f>
        <v>0</v>
      </c>
      <c r="Y205" s="52" t="n">
        <f aca="false">CAPEX!Z48</f>
        <v>0</v>
      </c>
      <c r="Z205" s="52" t="n">
        <f aca="false">CAPEX!AA48</f>
        <v>0</v>
      </c>
      <c r="AA205" s="52" t="n">
        <f aca="false">CAPEX!AB48</f>
        <v>0</v>
      </c>
      <c r="AB205" s="52" t="n">
        <f aca="false">CAPEX!AC48</f>
        <v>0</v>
      </c>
      <c r="AC205" s="52" t="n">
        <f aca="false">CAPEX!AD48</f>
        <v>0</v>
      </c>
      <c r="AD205" s="52" t="n">
        <f aca="false">CAPEX!AE48</f>
        <v>0</v>
      </c>
      <c r="AE205" s="52" t="n">
        <f aca="false">CAPEX!AF48</f>
        <v>0</v>
      </c>
      <c r="AF205" s="52" t="n">
        <f aca="false">CAPEX!AG48</f>
        <v>0</v>
      </c>
      <c r="AG205" s="52" t="n">
        <f aca="false">CAPEX!AH48</f>
        <v>0</v>
      </c>
      <c r="AH205" s="52" t="n">
        <f aca="false">CAPEX!AI48</f>
        <v>0</v>
      </c>
      <c r="AI205" s="52" t="n">
        <f aca="false">CAPEX!AJ48</f>
        <v>0</v>
      </c>
      <c r="AJ205" s="52" t="n">
        <f aca="false">CAPEX!AK48</f>
        <v>0</v>
      </c>
      <c r="AK205" s="52" t="n">
        <f aca="false">CAPEX!AL48</f>
        <v>0</v>
      </c>
      <c r="AL205" s="52" t="n">
        <f aca="false">CAPEX!AM48</f>
        <v>0</v>
      </c>
      <c r="AM205" s="52" t="n">
        <f aca="false">CAPEX!AN48</f>
        <v>0</v>
      </c>
      <c r="AN205" s="52" t="n">
        <f aca="false">CAPEX!AO48</f>
        <v>0</v>
      </c>
      <c r="AO205" s="52" t="n">
        <f aca="false">CAPEX!AP48</f>
        <v>0</v>
      </c>
      <c r="AP205" s="52" t="n">
        <f aca="false">CAPEX!AQ48</f>
        <v>0</v>
      </c>
      <c r="AQ205" s="52" t="n">
        <f aca="false">CAPEX!AR48</f>
        <v>0</v>
      </c>
      <c r="AR205" s="52" t="n">
        <f aca="false">CAPEX!AS48</f>
        <v>0</v>
      </c>
      <c r="AS205" s="52" t="n">
        <f aca="false">CAPEX!AT48</f>
        <v>0</v>
      </c>
      <c r="AT205" s="52" t="n">
        <f aca="false">CAPEX!AU48</f>
        <v>0</v>
      </c>
      <c r="AU205" s="52" t="n">
        <f aca="false">CAPEX!AV48</f>
        <v>0</v>
      </c>
      <c r="AV205" s="52" t="n">
        <f aca="false">CAPEX!AW48</f>
        <v>0</v>
      </c>
      <c r="AW205" s="52" t="n">
        <f aca="false">CAPEX!AX48</f>
        <v>0</v>
      </c>
      <c r="AX205" s="52" t="n">
        <f aca="false">CAPEX!AY48</f>
        <v>0</v>
      </c>
      <c r="AY205" s="52" t="n">
        <f aca="false">CAPEX!AZ48</f>
        <v>0</v>
      </c>
      <c r="AZ205" s="52" t="n">
        <f aca="false">CAPEX!BA48</f>
        <v>0</v>
      </c>
      <c r="BA205" s="52" t="n">
        <f aca="false">CAPEX!BB48</f>
        <v>0</v>
      </c>
    </row>
    <row r="206" customFormat="false" ht="15" hidden="false" customHeight="true" outlineLevel="1" collapsed="false">
      <c r="B206" s="51" t="s">
        <v>58</v>
      </c>
      <c r="C206" s="44" t="n">
        <f aca="false">SUM(D206:BA206)</f>
        <v>0</v>
      </c>
      <c r="D206" s="52" t="n">
        <f aca="false">CAPEX!E49</f>
        <v>0</v>
      </c>
      <c r="E206" s="52" t="n">
        <f aca="false">CAPEX!F49</f>
        <v>0</v>
      </c>
      <c r="F206" s="52" t="n">
        <f aca="false">CAPEX!G49</f>
        <v>0</v>
      </c>
      <c r="G206" s="52" t="n">
        <f aca="false">CAPEX!H49</f>
        <v>0</v>
      </c>
      <c r="H206" s="52" t="n">
        <f aca="false">CAPEX!I49</f>
        <v>0</v>
      </c>
      <c r="I206" s="52" t="n">
        <f aca="false">CAPEX!J49</f>
        <v>0</v>
      </c>
      <c r="J206" s="52" t="n">
        <f aca="false">CAPEX!K49</f>
        <v>0</v>
      </c>
      <c r="K206" s="52" t="n">
        <f aca="false">CAPEX!L49</f>
        <v>0</v>
      </c>
      <c r="L206" s="52" t="n">
        <f aca="false">CAPEX!M49</f>
        <v>0</v>
      </c>
      <c r="M206" s="52" t="n">
        <f aca="false">CAPEX!N49</f>
        <v>0</v>
      </c>
      <c r="N206" s="52" t="n">
        <f aca="false">CAPEX!O49</f>
        <v>0</v>
      </c>
      <c r="O206" s="52" t="n">
        <f aca="false">CAPEX!P49</f>
        <v>0</v>
      </c>
      <c r="P206" s="52" t="n">
        <f aca="false">CAPEX!Q49</f>
        <v>0</v>
      </c>
      <c r="Q206" s="52" t="n">
        <f aca="false">CAPEX!R49</f>
        <v>0</v>
      </c>
      <c r="R206" s="52" t="n">
        <f aca="false">CAPEX!S49</f>
        <v>0</v>
      </c>
      <c r="S206" s="52" t="n">
        <f aca="false">CAPEX!T49</f>
        <v>0</v>
      </c>
      <c r="T206" s="52" t="n">
        <f aca="false">CAPEX!U49</f>
        <v>0</v>
      </c>
      <c r="U206" s="52" t="n">
        <f aca="false">CAPEX!V49</f>
        <v>0</v>
      </c>
      <c r="V206" s="52" t="n">
        <f aca="false">CAPEX!W49</f>
        <v>0</v>
      </c>
      <c r="W206" s="52" t="n">
        <f aca="false">CAPEX!X49</f>
        <v>0</v>
      </c>
      <c r="X206" s="52" t="n">
        <f aca="false">CAPEX!Y49</f>
        <v>0</v>
      </c>
      <c r="Y206" s="52" t="n">
        <f aca="false">CAPEX!Z49</f>
        <v>0</v>
      </c>
      <c r="Z206" s="52" t="n">
        <f aca="false">CAPEX!AA49</f>
        <v>0</v>
      </c>
      <c r="AA206" s="52" t="n">
        <f aca="false">CAPEX!AB49</f>
        <v>0</v>
      </c>
      <c r="AB206" s="52" t="n">
        <f aca="false">CAPEX!AC49</f>
        <v>0</v>
      </c>
      <c r="AC206" s="52" t="n">
        <f aca="false">CAPEX!AD49</f>
        <v>0</v>
      </c>
      <c r="AD206" s="52" t="n">
        <f aca="false">CAPEX!AE49</f>
        <v>0</v>
      </c>
      <c r="AE206" s="52" t="n">
        <f aca="false">CAPEX!AF49</f>
        <v>0</v>
      </c>
      <c r="AF206" s="52" t="n">
        <f aca="false">CAPEX!AG49</f>
        <v>0</v>
      </c>
      <c r="AG206" s="52" t="n">
        <f aca="false">CAPEX!AH49</f>
        <v>0</v>
      </c>
      <c r="AH206" s="52" t="n">
        <f aca="false">CAPEX!AI49</f>
        <v>0</v>
      </c>
      <c r="AI206" s="52" t="n">
        <f aca="false">CAPEX!AJ49</f>
        <v>0</v>
      </c>
      <c r="AJ206" s="52" t="n">
        <f aca="false">CAPEX!AK49</f>
        <v>0</v>
      </c>
      <c r="AK206" s="52" t="n">
        <f aca="false">CAPEX!AL49</f>
        <v>0</v>
      </c>
      <c r="AL206" s="52" t="n">
        <f aca="false">CAPEX!AM49</f>
        <v>0</v>
      </c>
      <c r="AM206" s="52" t="n">
        <f aca="false">CAPEX!AN49</f>
        <v>0</v>
      </c>
      <c r="AN206" s="52" t="n">
        <f aca="false">CAPEX!AO49</f>
        <v>0</v>
      </c>
      <c r="AO206" s="52" t="n">
        <f aca="false">CAPEX!AP49</f>
        <v>0</v>
      </c>
      <c r="AP206" s="52" t="n">
        <f aca="false">CAPEX!AQ49</f>
        <v>0</v>
      </c>
      <c r="AQ206" s="52" t="n">
        <f aca="false">CAPEX!AR49</f>
        <v>0</v>
      </c>
      <c r="AR206" s="52" t="n">
        <f aca="false">CAPEX!AS49</f>
        <v>0</v>
      </c>
      <c r="AS206" s="52" t="n">
        <f aca="false">CAPEX!AT49</f>
        <v>0</v>
      </c>
      <c r="AT206" s="52" t="n">
        <f aca="false">CAPEX!AU49</f>
        <v>0</v>
      </c>
      <c r="AU206" s="52" t="n">
        <f aca="false">CAPEX!AV49</f>
        <v>0</v>
      </c>
      <c r="AV206" s="52" t="n">
        <f aca="false">CAPEX!AW49</f>
        <v>0</v>
      </c>
      <c r="AW206" s="52" t="n">
        <f aca="false">CAPEX!AX49</f>
        <v>0</v>
      </c>
      <c r="AX206" s="52" t="n">
        <f aca="false">CAPEX!AY49</f>
        <v>0</v>
      </c>
      <c r="AY206" s="52" t="n">
        <f aca="false">CAPEX!AZ49</f>
        <v>0</v>
      </c>
      <c r="AZ206" s="52" t="n">
        <f aca="false">CAPEX!BA49</f>
        <v>0</v>
      </c>
      <c r="BA206" s="52" t="n">
        <f aca="false">CAPEX!BB49</f>
        <v>0</v>
      </c>
    </row>
    <row r="207" customFormat="false" ht="15" hidden="false" customHeight="true" outlineLevel="1" collapsed="false">
      <c r="B207" s="51" t="s">
        <v>59</v>
      </c>
      <c r="C207" s="44" t="n">
        <f aca="false">SUM(D207:BA207)</f>
        <v>0</v>
      </c>
      <c r="D207" s="52" t="n">
        <f aca="false">CAPEX!E50</f>
        <v>0</v>
      </c>
      <c r="E207" s="52" t="n">
        <f aca="false">CAPEX!F50</f>
        <v>0</v>
      </c>
      <c r="F207" s="52" t="n">
        <f aca="false">CAPEX!G50</f>
        <v>0</v>
      </c>
      <c r="G207" s="52" t="n">
        <f aca="false">CAPEX!H50</f>
        <v>0</v>
      </c>
      <c r="H207" s="52" t="n">
        <f aca="false">CAPEX!I50</f>
        <v>0</v>
      </c>
      <c r="I207" s="52" t="n">
        <f aca="false">CAPEX!J50</f>
        <v>0</v>
      </c>
      <c r="J207" s="52" t="n">
        <f aca="false">CAPEX!K50</f>
        <v>0</v>
      </c>
      <c r="K207" s="52" t="n">
        <f aca="false">CAPEX!L50</f>
        <v>0</v>
      </c>
      <c r="L207" s="52" t="n">
        <f aca="false">CAPEX!M50</f>
        <v>0</v>
      </c>
      <c r="M207" s="52" t="n">
        <f aca="false">CAPEX!N50</f>
        <v>0</v>
      </c>
      <c r="N207" s="52" t="n">
        <f aca="false">CAPEX!O50</f>
        <v>0</v>
      </c>
      <c r="O207" s="52" t="n">
        <f aca="false">CAPEX!P50</f>
        <v>0</v>
      </c>
      <c r="P207" s="52" t="n">
        <f aca="false">CAPEX!Q50</f>
        <v>0</v>
      </c>
      <c r="Q207" s="52" t="n">
        <f aca="false">CAPEX!R50</f>
        <v>0</v>
      </c>
      <c r="R207" s="52" t="n">
        <f aca="false">CAPEX!S50</f>
        <v>0</v>
      </c>
      <c r="S207" s="52" t="n">
        <f aca="false">CAPEX!T50</f>
        <v>0</v>
      </c>
      <c r="T207" s="52" t="n">
        <f aca="false">CAPEX!U50</f>
        <v>0</v>
      </c>
      <c r="U207" s="52" t="n">
        <f aca="false">CAPEX!V50</f>
        <v>0</v>
      </c>
      <c r="V207" s="52" t="n">
        <f aca="false">CAPEX!W50</f>
        <v>0</v>
      </c>
      <c r="W207" s="52" t="n">
        <f aca="false">CAPEX!X50</f>
        <v>0</v>
      </c>
      <c r="X207" s="52" t="n">
        <f aca="false">CAPEX!Y50</f>
        <v>0</v>
      </c>
      <c r="Y207" s="52" t="n">
        <f aca="false">CAPEX!Z50</f>
        <v>0</v>
      </c>
      <c r="Z207" s="52" t="n">
        <f aca="false">CAPEX!AA50</f>
        <v>0</v>
      </c>
      <c r="AA207" s="52" t="n">
        <f aca="false">CAPEX!AB50</f>
        <v>0</v>
      </c>
      <c r="AB207" s="52" t="n">
        <f aca="false">CAPEX!AC50</f>
        <v>0</v>
      </c>
      <c r="AC207" s="52" t="n">
        <f aca="false">CAPEX!AD50</f>
        <v>0</v>
      </c>
      <c r="AD207" s="52" t="n">
        <f aca="false">CAPEX!AE50</f>
        <v>0</v>
      </c>
      <c r="AE207" s="52" t="n">
        <f aca="false">CAPEX!AF50</f>
        <v>0</v>
      </c>
      <c r="AF207" s="52" t="n">
        <f aca="false">CAPEX!AG50</f>
        <v>0</v>
      </c>
      <c r="AG207" s="52" t="n">
        <f aca="false">CAPEX!AH50</f>
        <v>0</v>
      </c>
      <c r="AH207" s="52" t="n">
        <f aca="false">CAPEX!AI50</f>
        <v>0</v>
      </c>
      <c r="AI207" s="52" t="n">
        <f aca="false">CAPEX!AJ50</f>
        <v>0</v>
      </c>
      <c r="AJ207" s="52" t="n">
        <f aca="false">CAPEX!AK50</f>
        <v>0</v>
      </c>
      <c r="AK207" s="52" t="n">
        <f aca="false">CAPEX!AL50</f>
        <v>0</v>
      </c>
      <c r="AL207" s="52" t="n">
        <f aca="false">CAPEX!AM50</f>
        <v>0</v>
      </c>
      <c r="AM207" s="52" t="n">
        <f aca="false">CAPEX!AN50</f>
        <v>0</v>
      </c>
      <c r="AN207" s="52" t="n">
        <f aca="false">CAPEX!AO50</f>
        <v>0</v>
      </c>
      <c r="AO207" s="52" t="n">
        <f aca="false">CAPEX!AP50</f>
        <v>0</v>
      </c>
      <c r="AP207" s="52" t="n">
        <f aca="false">CAPEX!AQ50</f>
        <v>0</v>
      </c>
      <c r="AQ207" s="52" t="n">
        <f aca="false">CAPEX!AR50</f>
        <v>0</v>
      </c>
      <c r="AR207" s="52" t="n">
        <f aca="false">CAPEX!AS50</f>
        <v>0</v>
      </c>
      <c r="AS207" s="52" t="n">
        <f aca="false">CAPEX!AT50</f>
        <v>0</v>
      </c>
      <c r="AT207" s="52" t="n">
        <f aca="false">CAPEX!AU50</f>
        <v>0</v>
      </c>
      <c r="AU207" s="52" t="n">
        <f aca="false">CAPEX!AV50</f>
        <v>0</v>
      </c>
      <c r="AV207" s="52" t="n">
        <f aca="false">CAPEX!AW50</f>
        <v>0</v>
      </c>
      <c r="AW207" s="52" t="n">
        <f aca="false">CAPEX!AX50</f>
        <v>0</v>
      </c>
      <c r="AX207" s="52" t="n">
        <f aca="false">CAPEX!AY50</f>
        <v>0</v>
      </c>
      <c r="AY207" s="52" t="n">
        <f aca="false">CAPEX!AZ50</f>
        <v>0</v>
      </c>
      <c r="AZ207" s="52" t="n">
        <f aca="false">CAPEX!BA50</f>
        <v>0</v>
      </c>
      <c r="BA207" s="52" t="n">
        <f aca="false">CAPEX!BB50</f>
        <v>0</v>
      </c>
    </row>
    <row r="208" customFormat="false" ht="15" hidden="false" customHeight="true" outlineLevel="1" collapsed="false">
      <c r="B208" s="50" t="s">
        <v>227</v>
      </c>
      <c r="C208" s="44" t="n">
        <f aca="false">SUM(D208:BA208)</f>
        <v>1348153755.795</v>
      </c>
      <c r="D208" s="52" t="n">
        <f aca="false">CAPEX!E52</f>
        <v>0</v>
      </c>
      <c r="E208" s="52" t="n">
        <f aca="false">CAPEX!F52</f>
        <v>0</v>
      </c>
      <c r="F208" s="52" t="n">
        <f aca="false">CAPEX!G52</f>
        <v>115257373</v>
      </c>
      <c r="G208" s="52" t="n">
        <f aca="false">CAPEX!H52</f>
        <v>276952729.9</v>
      </c>
      <c r="H208" s="52" t="n">
        <f aca="false">CAPEX!I52</f>
        <v>583755066.895</v>
      </c>
      <c r="I208" s="52" t="n">
        <f aca="false">CAPEX!J52</f>
        <v>268054571.4</v>
      </c>
      <c r="J208" s="52" t="n">
        <f aca="false">CAPEX!K52</f>
        <v>104134014.6</v>
      </c>
      <c r="K208" s="52" t="n">
        <f aca="false">CAPEX!L52</f>
        <v>0</v>
      </c>
      <c r="L208" s="52" t="n">
        <f aca="false">CAPEX!M52</f>
        <v>0</v>
      </c>
      <c r="M208" s="52" t="n">
        <f aca="false">CAPEX!N52</f>
        <v>0</v>
      </c>
      <c r="N208" s="52" t="n">
        <f aca="false">CAPEX!O52</f>
        <v>0</v>
      </c>
      <c r="O208" s="52" t="n">
        <f aca="false">CAPEX!P52</f>
        <v>0</v>
      </c>
      <c r="P208" s="52" t="n">
        <f aca="false">CAPEX!Q52</f>
        <v>0</v>
      </c>
      <c r="Q208" s="52" t="n">
        <f aca="false">CAPEX!R52</f>
        <v>0</v>
      </c>
      <c r="R208" s="52" t="n">
        <f aca="false">CAPEX!S52</f>
        <v>0</v>
      </c>
      <c r="S208" s="52" t="n">
        <f aca="false">CAPEX!T52</f>
        <v>0</v>
      </c>
      <c r="T208" s="52" t="n">
        <f aca="false">CAPEX!U52</f>
        <v>0</v>
      </c>
      <c r="U208" s="52" t="n">
        <f aca="false">CAPEX!V52</f>
        <v>0</v>
      </c>
      <c r="V208" s="52" t="n">
        <f aca="false">CAPEX!W52</f>
        <v>0</v>
      </c>
      <c r="W208" s="52" t="n">
        <f aca="false">CAPEX!X52</f>
        <v>0</v>
      </c>
      <c r="X208" s="52" t="n">
        <f aca="false">CAPEX!Y52</f>
        <v>0</v>
      </c>
      <c r="Y208" s="52" t="n">
        <f aca="false">CAPEX!Z52</f>
        <v>0</v>
      </c>
      <c r="Z208" s="52" t="n">
        <f aca="false">CAPEX!AA52</f>
        <v>0</v>
      </c>
      <c r="AA208" s="52" t="n">
        <f aca="false">CAPEX!AB52</f>
        <v>0</v>
      </c>
      <c r="AB208" s="52" t="n">
        <f aca="false">CAPEX!AC52</f>
        <v>0</v>
      </c>
      <c r="AC208" s="52" t="n">
        <f aca="false">CAPEX!AD52</f>
        <v>0</v>
      </c>
      <c r="AD208" s="52" t="n">
        <f aca="false">CAPEX!AE52</f>
        <v>0</v>
      </c>
      <c r="AE208" s="52" t="n">
        <f aca="false">CAPEX!AF52</f>
        <v>0</v>
      </c>
      <c r="AF208" s="52" t="n">
        <f aca="false">CAPEX!AG52</f>
        <v>0</v>
      </c>
      <c r="AG208" s="52" t="n">
        <f aca="false">CAPEX!AH52</f>
        <v>0</v>
      </c>
      <c r="AH208" s="52" t="n">
        <f aca="false">CAPEX!AI52</f>
        <v>0</v>
      </c>
      <c r="AI208" s="52" t="n">
        <f aca="false">CAPEX!AJ52</f>
        <v>0</v>
      </c>
      <c r="AJ208" s="52" t="n">
        <f aca="false">CAPEX!AK52</f>
        <v>0</v>
      </c>
      <c r="AK208" s="52" t="n">
        <f aca="false">CAPEX!AL52</f>
        <v>0</v>
      </c>
      <c r="AL208" s="52" t="n">
        <f aca="false">CAPEX!AM52</f>
        <v>0</v>
      </c>
      <c r="AM208" s="52" t="n">
        <f aca="false">CAPEX!AN52</f>
        <v>0</v>
      </c>
      <c r="AN208" s="52" t="n">
        <f aca="false">CAPEX!AO52</f>
        <v>0</v>
      </c>
      <c r="AO208" s="52" t="n">
        <f aca="false">CAPEX!AP52</f>
        <v>0</v>
      </c>
      <c r="AP208" s="52" t="n">
        <f aca="false">CAPEX!AQ52</f>
        <v>0</v>
      </c>
      <c r="AQ208" s="52" t="n">
        <f aca="false">CAPEX!AR52</f>
        <v>0</v>
      </c>
      <c r="AR208" s="52" t="n">
        <f aca="false">CAPEX!AS52</f>
        <v>0</v>
      </c>
      <c r="AS208" s="52" t="n">
        <f aca="false">CAPEX!AT52</f>
        <v>0</v>
      </c>
      <c r="AT208" s="52" t="n">
        <f aca="false">CAPEX!AU52</f>
        <v>0</v>
      </c>
      <c r="AU208" s="52" t="n">
        <f aca="false">CAPEX!AV52</f>
        <v>0</v>
      </c>
      <c r="AV208" s="52" t="n">
        <f aca="false">CAPEX!AW52</f>
        <v>0</v>
      </c>
      <c r="AW208" s="52" t="n">
        <f aca="false">CAPEX!AX52</f>
        <v>0</v>
      </c>
      <c r="AX208" s="52" t="n">
        <f aca="false">CAPEX!AY52</f>
        <v>0</v>
      </c>
      <c r="AY208" s="52" t="n">
        <f aca="false">CAPEX!AZ52</f>
        <v>0</v>
      </c>
      <c r="AZ208" s="52" t="n">
        <f aca="false">CAPEX!BA52</f>
        <v>0</v>
      </c>
      <c r="BA208" s="52" t="n">
        <f aca="false">CAPEX!BB52</f>
        <v>0</v>
      </c>
    </row>
    <row r="209" customFormat="false" ht="15" hidden="false" customHeight="true" outlineLevel="1" collapsed="false">
      <c r="B209" s="51" t="s">
        <v>241</v>
      </c>
      <c r="C209" s="44" t="n">
        <f aca="false">SUM(D209:BA209)</f>
        <v>330796929.587109</v>
      </c>
      <c r="D209" s="52" t="n">
        <f aca="false">CAPEX!E55</f>
        <v>0</v>
      </c>
      <c r="E209" s="52" t="n">
        <f aca="false">CAPEX!F55</f>
        <v>0</v>
      </c>
      <c r="F209" s="52" t="n">
        <f aca="false">CAPEX!G55</f>
        <v>0</v>
      </c>
      <c r="G209" s="52" t="n">
        <f aca="false">CAPEX!H55</f>
        <v>0</v>
      </c>
      <c r="H209" s="52" t="n">
        <f aca="false">CAPEX!I55</f>
        <v>0</v>
      </c>
      <c r="I209" s="52" t="n">
        <f aca="false">CAPEX!J55</f>
        <v>6000000</v>
      </c>
      <c r="J209" s="52" t="n">
        <f aca="false">CAPEX!K55</f>
        <v>6000000</v>
      </c>
      <c r="K209" s="52" t="n">
        <f aca="false">CAPEX!L55</f>
        <v>6000000</v>
      </c>
      <c r="L209" s="52" t="n">
        <f aca="false">CAPEX!M55</f>
        <v>6000000</v>
      </c>
      <c r="M209" s="52" t="n">
        <f aca="false">CAPEX!N55</f>
        <v>6000000</v>
      </c>
      <c r="N209" s="52" t="n">
        <f aca="false">CAPEX!O55</f>
        <v>6300000</v>
      </c>
      <c r="O209" s="52" t="n">
        <f aca="false">CAPEX!P55</f>
        <v>6300000</v>
      </c>
      <c r="P209" s="52" t="n">
        <f aca="false">CAPEX!Q55</f>
        <v>6300000</v>
      </c>
      <c r="Q209" s="52" t="n">
        <f aca="false">CAPEX!R55</f>
        <v>6300000</v>
      </c>
      <c r="R209" s="52" t="n">
        <f aca="false">CAPEX!S55</f>
        <v>6300000</v>
      </c>
      <c r="S209" s="52" t="n">
        <f aca="false">CAPEX!T55</f>
        <v>6615000</v>
      </c>
      <c r="T209" s="52" t="n">
        <f aca="false">CAPEX!U55</f>
        <v>6615000</v>
      </c>
      <c r="U209" s="52" t="n">
        <f aca="false">CAPEX!V55</f>
        <v>6615000</v>
      </c>
      <c r="V209" s="52" t="n">
        <f aca="false">CAPEX!W55</f>
        <v>6615000</v>
      </c>
      <c r="W209" s="52" t="n">
        <f aca="false">CAPEX!X55</f>
        <v>6615000</v>
      </c>
      <c r="X209" s="52" t="n">
        <f aca="false">CAPEX!Y55</f>
        <v>6945750</v>
      </c>
      <c r="Y209" s="52" t="n">
        <f aca="false">CAPEX!Z55</f>
        <v>6945750</v>
      </c>
      <c r="Z209" s="52" t="n">
        <f aca="false">CAPEX!AA55</f>
        <v>6945750</v>
      </c>
      <c r="AA209" s="52" t="n">
        <f aca="false">CAPEX!AB55</f>
        <v>6945750</v>
      </c>
      <c r="AB209" s="52" t="n">
        <f aca="false">CAPEX!AC55</f>
        <v>6945750</v>
      </c>
      <c r="AC209" s="52" t="n">
        <f aca="false">CAPEX!AD55</f>
        <v>7293037.5</v>
      </c>
      <c r="AD209" s="52" t="n">
        <f aca="false">CAPEX!AE55</f>
        <v>7293037.5</v>
      </c>
      <c r="AE209" s="52" t="n">
        <f aca="false">CAPEX!AF55</f>
        <v>7293037.5</v>
      </c>
      <c r="AF209" s="52" t="n">
        <f aca="false">CAPEX!AG55</f>
        <v>7293037.5</v>
      </c>
      <c r="AG209" s="52" t="n">
        <f aca="false">CAPEX!AH55</f>
        <v>7293037.5</v>
      </c>
      <c r="AH209" s="52" t="n">
        <f aca="false">CAPEX!AI55</f>
        <v>7657689.375</v>
      </c>
      <c r="AI209" s="52" t="n">
        <f aca="false">CAPEX!AJ55</f>
        <v>7657689.375</v>
      </c>
      <c r="AJ209" s="52" t="n">
        <f aca="false">CAPEX!AK55</f>
        <v>7657689.375</v>
      </c>
      <c r="AK209" s="52" t="n">
        <f aca="false">CAPEX!AL55</f>
        <v>7657689.375</v>
      </c>
      <c r="AL209" s="52" t="n">
        <f aca="false">CAPEX!AM55</f>
        <v>7657689.375</v>
      </c>
      <c r="AM209" s="52" t="n">
        <f aca="false">CAPEX!AN55</f>
        <v>8040573.84375</v>
      </c>
      <c r="AN209" s="52" t="n">
        <f aca="false">CAPEX!AO55</f>
        <v>8040573.84375</v>
      </c>
      <c r="AO209" s="52" t="n">
        <f aca="false">CAPEX!AP55</f>
        <v>8040573.84375</v>
      </c>
      <c r="AP209" s="52" t="n">
        <f aca="false">CAPEX!AQ55</f>
        <v>8040573.84375</v>
      </c>
      <c r="AQ209" s="52" t="n">
        <f aca="false">CAPEX!AR55</f>
        <v>8040573.84375</v>
      </c>
      <c r="AR209" s="52" t="n">
        <f aca="false">CAPEX!AS55</f>
        <v>8442602.5359375</v>
      </c>
      <c r="AS209" s="52" t="n">
        <f aca="false">CAPEX!AT55</f>
        <v>8442602.5359375</v>
      </c>
      <c r="AT209" s="52" t="n">
        <f aca="false">CAPEX!AU55</f>
        <v>8442602.5359375</v>
      </c>
      <c r="AU209" s="52" t="n">
        <f aca="false">CAPEX!AV55</f>
        <v>8442602.5359375</v>
      </c>
      <c r="AV209" s="52" t="n">
        <f aca="false">CAPEX!AW55</f>
        <v>8442602.5359375</v>
      </c>
      <c r="AW209" s="52" t="n">
        <f aca="false">CAPEX!AX55</f>
        <v>8864732.66273438</v>
      </c>
      <c r="AX209" s="52" t="n">
        <f aca="false">CAPEX!AY55</f>
        <v>8864732.66273438</v>
      </c>
      <c r="AY209" s="52" t="n">
        <f aca="false">CAPEX!AZ55</f>
        <v>8864732.66273438</v>
      </c>
      <c r="AZ209" s="52" t="n">
        <f aca="false">CAPEX!BA55</f>
        <v>8864732.66273438</v>
      </c>
      <c r="BA209" s="52" t="n">
        <f aca="false">CAPEX!BB55</f>
        <v>8864732.66273438</v>
      </c>
    </row>
    <row r="210" customFormat="false" ht="15" hidden="false" customHeight="true" outlineLevel="1" collapsed="false">
      <c r="B210" s="51" t="s">
        <v>235</v>
      </c>
      <c r="C210" s="44" t="n">
        <f aca="false">SUM(D210:BA210)</f>
        <v>111564447.718655</v>
      </c>
      <c r="D210" s="52" t="n">
        <f aca="false">CAPEX!E56</f>
        <v>0</v>
      </c>
      <c r="E210" s="52" t="n">
        <f aca="false">CAPEX!F56</f>
        <v>0</v>
      </c>
      <c r="F210" s="52" t="n">
        <f aca="false">CAPEX!G56</f>
        <v>0</v>
      </c>
      <c r="G210" s="52" t="n">
        <f aca="false">CAPEX!H56</f>
        <v>0</v>
      </c>
      <c r="H210" s="52" t="n">
        <f aca="false">CAPEX!I56</f>
        <v>0</v>
      </c>
      <c r="I210" s="52" t="n">
        <f aca="false">CAPEX!J56</f>
        <v>2023557.73721188</v>
      </c>
      <c r="J210" s="52" t="n">
        <f aca="false">CAPEX!K56</f>
        <v>2023557.73721188</v>
      </c>
      <c r="K210" s="52" t="n">
        <f aca="false">CAPEX!L56</f>
        <v>2023557.73721188</v>
      </c>
      <c r="L210" s="52" t="n">
        <f aca="false">CAPEX!M56</f>
        <v>2023557.73721188</v>
      </c>
      <c r="M210" s="52" t="n">
        <f aca="false">CAPEX!N56</f>
        <v>2023557.73721188</v>
      </c>
      <c r="N210" s="52" t="n">
        <f aca="false">CAPEX!O56</f>
        <v>2124735.62407248</v>
      </c>
      <c r="O210" s="52" t="n">
        <f aca="false">CAPEX!P56</f>
        <v>2124735.62407248</v>
      </c>
      <c r="P210" s="52" t="n">
        <f aca="false">CAPEX!Q56</f>
        <v>2124735.62407248</v>
      </c>
      <c r="Q210" s="52" t="n">
        <f aca="false">CAPEX!R56</f>
        <v>2124735.62407248</v>
      </c>
      <c r="R210" s="52" t="n">
        <f aca="false">CAPEX!S56</f>
        <v>2124735.62407248</v>
      </c>
      <c r="S210" s="52" t="n">
        <f aca="false">CAPEX!T56</f>
        <v>2230972.4052761</v>
      </c>
      <c r="T210" s="52" t="n">
        <f aca="false">CAPEX!U56</f>
        <v>2230972.4052761</v>
      </c>
      <c r="U210" s="52" t="n">
        <f aca="false">CAPEX!V56</f>
        <v>2230972.4052761</v>
      </c>
      <c r="V210" s="52" t="n">
        <f aca="false">CAPEX!W56</f>
        <v>2230972.4052761</v>
      </c>
      <c r="W210" s="52" t="n">
        <f aca="false">CAPEX!X56</f>
        <v>2230972.4052761</v>
      </c>
      <c r="X210" s="52" t="n">
        <f aca="false">CAPEX!Y56</f>
        <v>2342521.02553991</v>
      </c>
      <c r="Y210" s="52" t="n">
        <f aca="false">CAPEX!Z56</f>
        <v>2342521.02553991</v>
      </c>
      <c r="Z210" s="52" t="n">
        <f aca="false">CAPEX!AA56</f>
        <v>2342521.02553991</v>
      </c>
      <c r="AA210" s="52" t="n">
        <f aca="false">CAPEX!AB56</f>
        <v>2342521.02553991</v>
      </c>
      <c r="AB210" s="52" t="n">
        <f aca="false">CAPEX!AC56</f>
        <v>2342521.02553991</v>
      </c>
      <c r="AC210" s="52" t="n">
        <f aca="false">CAPEX!AD56</f>
        <v>2459647.0768169</v>
      </c>
      <c r="AD210" s="52" t="n">
        <f aca="false">CAPEX!AE56</f>
        <v>2459647.0768169</v>
      </c>
      <c r="AE210" s="52" t="n">
        <f aca="false">CAPEX!AF56</f>
        <v>2459647.0768169</v>
      </c>
      <c r="AF210" s="52" t="n">
        <f aca="false">CAPEX!AG56</f>
        <v>2459647.0768169</v>
      </c>
      <c r="AG210" s="52" t="n">
        <f aca="false">CAPEX!AH56</f>
        <v>2459647.0768169</v>
      </c>
      <c r="AH210" s="52" t="n">
        <f aca="false">CAPEX!AI56</f>
        <v>2582629.43065775</v>
      </c>
      <c r="AI210" s="52" t="n">
        <f aca="false">CAPEX!AJ56</f>
        <v>2582629.43065775</v>
      </c>
      <c r="AJ210" s="52" t="n">
        <f aca="false">CAPEX!AK56</f>
        <v>2582629.43065775</v>
      </c>
      <c r="AK210" s="52" t="n">
        <f aca="false">CAPEX!AL56</f>
        <v>2582629.43065775</v>
      </c>
      <c r="AL210" s="52" t="n">
        <f aca="false">CAPEX!AM56</f>
        <v>2582629.43065775</v>
      </c>
      <c r="AM210" s="52" t="n">
        <f aca="false">CAPEX!AN56</f>
        <v>2711760.90219064</v>
      </c>
      <c r="AN210" s="52" t="n">
        <f aca="false">CAPEX!AO56</f>
        <v>2711760.90219064</v>
      </c>
      <c r="AO210" s="52" t="n">
        <f aca="false">CAPEX!AP56</f>
        <v>2711760.90219064</v>
      </c>
      <c r="AP210" s="52" t="n">
        <f aca="false">CAPEX!AQ56</f>
        <v>2711760.90219064</v>
      </c>
      <c r="AQ210" s="52" t="n">
        <f aca="false">CAPEX!AR56</f>
        <v>2711760.90219064</v>
      </c>
      <c r="AR210" s="52" t="n">
        <f aca="false">CAPEX!AS56</f>
        <v>2847348.94730017</v>
      </c>
      <c r="AS210" s="52" t="n">
        <f aca="false">CAPEX!AT56</f>
        <v>2847348.94730017</v>
      </c>
      <c r="AT210" s="52" t="n">
        <f aca="false">CAPEX!AU56</f>
        <v>2847348.94730017</v>
      </c>
      <c r="AU210" s="52" t="n">
        <f aca="false">CAPEX!AV56</f>
        <v>2847348.94730017</v>
      </c>
      <c r="AV210" s="52" t="n">
        <f aca="false">CAPEX!AW56</f>
        <v>2847348.94730017</v>
      </c>
      <c r="AW210" s="52" t="n">
        <f aca="false">CAPEX!AX56</f>
        <v>2989716.39466518</v>
      </c>
      <c r="AX210" s="52" t="n">
        <f aca="false">CAPEX!AY56</f>
        <v>2989716.39466518</v>
      </c>
      <c r="AY210" s="52" t="n">
        <f aca="false">CAPEX!AZ56</f>
        <v>2989716.39466518</v>
      </c>
      <c r="AZ210" s="52" t="n">
        <f aca="false">CAPEX!BA56</f>
        <v>2989716.39466518</v>
      </c>
      <c r="BA210" s="52" t="n">
        <f aca="false">CAPEX!BB56</f>
        <v>2989716.39466518</v>
      </c>
    </row>
    <row r="211" customFormat="false" ht="15" hidden="false" customHeight="true" outlineLevel="1" collapsed="false">
      <c r="B211" s="51" t="s">
        <v>236</v>
      </c>
      <c r="C211" s="44" t="n">
        <f aca="false">SUM(D211:BA211)</f>
        <v>127414440.183331</v>
      </c>
      <c r="D211" s="52" t="n">
        <f aca="false">CAPEX!E57</f>
        <v>0</v>
      </c>
      <c r="E211" s="52" t="n">
        <f aca="false">CAPEX!F57</f>
        <v>0</v>
      </c>
      <c r="F211" s="52" t="n">
        <f aca="false">CAPEX!G57</f>
        <v>0</v>
      </c>
      <c r="G211" s="52" t="n">
        <f aca="false">CAPEX!H57</f>
        <v>0</v>
      </c>
      <c r="H211" s="52" t="n">
        <f aca="false">CAPEX!I57</f>
        <v>0</v>
      </c>
      <c r="I211" s="52" t="n">
        <f aca="false">CAPEX!J57</f>
        <v>2311045.1540593</v>
      </c>
      <c r="J211" s="52" t="n">
        <f aca="false">CAPEX!K57</f>
        <v>2311045.1540593</v>
      </c>
      <c r="K211" s="52" t="n">
        <f aca="false">CAPEX!L57</f>
        <v>2311045.1540593</v>
      </c>
      <c r="L211" s="52" t="n">
        <f aca="false">CAPEX!M57</f>
        <v>2311045.1540593</v>
      </c>
      <c r="M211" s="52" t="n">
        <f aca="false">CAPEX!N57</f>
        <v>2311045.1540593</v>
      </c>
      <c r="N211" s="52" t="n">
        <f aca="false">CAPEX!O57</f>
        <v>2426597.41176226</v>
      </c>
      <c r="O211" s="52" t="n">
        <f aca="false">CAPEX!P57</f>
        <v>2426597.41176226</v>
      </c>
      <c r="P211" s="52" t="n">
        <f aca="false">CAPEX!Q57</f>
        <v>2426597.41176226</v>
      </c>
      <c r="Q211" s="52" t="n">
        <f aca="false">CAPEX!R57</f>
        <v>2426597.41176226</v>
      </c>
      <c r="R211" s="52" t="n">
        <f aca="false">CAPEX!S57</f>
        <v>2426597.41176226</v>
      </c>
      <c r="S211" s="52" t="n">
        <f aca="false">CAPEX!T57</f>
        <v>2547927.28235038</v>
      </c>
      <c r="T211" s="52" t="n">
        <f aca="false">CAPEX!U57</f>
        <v>2547927.28235038</v>
      </c>
      <c r="U211" s="52" t="n">
        <f aca="false">CAPEX!V57</f>
        <v>2547927.28235038</v>
      </c>
      <c r="V211" s="52" t="n">
        <f aca="false">CAPEX!W57</f>
        <v>2547927.28235038</v>
      </c>
      <c r="W211" s="52" t="n">
        <f aca="false">CAPEX!X57</f>
        <v>2547927.28235038</v>
      </c>
      <c r="X211" s="52" t="n">
        <f aca="false">CAPEX!Y57</f>
        <v>2675323.6464679</v>
      </c>
      <c r="Y211" s="52" t="n">
        <f aca="false">CAPEX!Z57</f>
        <v>2675323.6464679</v>
      </c>
      <c r="Z211" s="52" t="n">
        <f aca="false">CAPEX!AA57</f>
        <v>2675323.6464679</v>
      </c>
      <c r="AA211" s="52" t="n">
        <f aca="false">CAPEX!AB57</f>
        <v>2675323.6464679</v>
      </c>
      <c r="AB211" s="52" t="n">
        <f aca="false">CAPEX!AC57</f>
        <v>2675323.6464679</v>
      </c>
      <c r="AC211" s="52" t="n">
        <f aca="false">CAPEX!AD57</f>
        <v>2809089.82879129</v>
      </c>
      <c r="AD211" s="52" t="n">
        <f aca="false">CAPEX!AE57</f>
        <v>2809089.82879129</v>
      </c>
      <c r="AE211" s="52" t="n">
        <f aca="false">CAPEX!AF57</f>
        <v>2809089.82879129</v>
      </c>
      <c r="AF211" s="52" t="n">
        <f aca="false">CAPEX!AG57</f>
        <v>2809089.82879129</v>
      </c>
      <c r="AG211" s="52" t="n">
        <f aca="false">CAPEX!AH57</f>
        <v>2809089.82879129</v>
      </c>
      <c r="AH211" s="52" t="n">
        <f aca="false">CAPEX!AI57</f>
        <v>2949544.32023086</v>
      </c>
      <c r="AI211" s="52" t="n">
        <f aca="false">CAPEX!AJ57</f>
        <v>2949544.32023086</v>
      </c>
      <c r="AJ211" s="52" t="n">
        <f aca="false">CAPEX!AK57</f>
        <v>2949544.32023086</v>
      </c>
      <c r="AK211" s="52" t="n">
        <f aca="false">CAPEX!AL57</f>
        <v>2949544.32023086</v>
      </c>
      <c r="AL211" s="52" t="n">
        <f aca="false">CAPEX!AM57</f>
        <v>2949544.32023086</v>
      </c>
      <c r="AM211" s="52" t="n">
        <f aca="false">CAPEX!AN57</f>
        <v>3097021.5362424</v>
      </c>
      <c r="AN211" s="52" t="n">
        <f aca="false">CAPEX!AO57</f>
        <v>3097021.5362424</v>
      </c>
      <c r="AO211" s="52" t="n">
        <f aca="false">CAPEX!AP57</f>
        <v>3097021.5362424</v>
      </c>
      <c r="AP211" s="52" t="n">
        <f aca="false">CAPEX!AQ57</f>
        <v>3097021.5362424</v>
      </c>
      <c r="AQ211" s="52" t="n">
        <f aca="false">CAPEX!AR57</f>
        <v>3097021.5362424</v>
      </c>
      <c r="AR211" s="52" t="n">
        <f aca="false">CAPEX!AS57</f>
        <v>3251872.61305452</v>
      </c>
      <c r="AS211" s="52" t="n">
        <f aca="false">CAPEX!AT57</f>
        <v>3251872.61305452</v>
      </c>
      <c r="AT211" s="52" t="n">
        <f aca="false">CAPEX!AU57</f>
        <v>3251872.61305452</v>
      </c>
      <c r="AU211" s="52" t="n">
        <f aca="false">CAPEX!AV57</f>
        <v>3251872.61305452</v>
      </c>
      <c r="AV211" s="52" t="n">
        <f aca="false">CAPEX!AW57</f>
        <v>3251872.61305452</v>
      </c>
      <c r="AW211" s="52" t="n">
        <f aca="false">CAPEX!AX57</f>
        <v>3414466.24370725</v>
      </c>
      <c r="AX211" s="52" t="n">
        <f aca="false">CAPEX!AY57</f>
        <v>3414466.24370725</v>
      </c>
      <c r="AY211" s="52" t="n">
        <f aca="false">CAPEX!AZ57</f>
        <v>3414466.24370725</v>
      </c>
      <c r="AZ211" s="52" t="n">
        <f aca="false">CAPEX!BA57</f>
        <v>3414466.24370725</v>
      </c>
      <c r="BA211" s="52" t="n">
        <f aca="false">CAPEX!BB57</f>
        <v>3414466.24370725</v>
      </c>
    </row>
    <row r="212" customFormat="false" ht="15" hidden="false" customHeight="true" outlineLevel="1" collapsed="false">
      <c r="B212" s="51" t="s">
        <v>237</v>
      </c>
      <c r="C212" s="44" t="n">
        <f aca="false">SUM(D212:BA212)</f>
        <v>91818041.6851236</v>
      </c>
      <c r="D212" s="52" t="n">
        <f aca="false">CAPEX!E58</f>
        <v>0</v>
      </c>
      <c r="E212" s="52" t="n">
        <f aca="false">CAPEX!F58</f>
        <v>0</v>
      </c>
      <c r="F212" s="52" t="n">
        <f aca="false">CAPEX!G58</f>
        <v>0</v>
      </c>
      <c r="G212" s="52" t="n">
        <f aca="false">CAPEX!H58</f>
        <v>0</v>
      </c>
      <c r="H212" s="52" t="n">
        <f aca="false">CAPEX!I58</f>
        <v>0</v>
      </c>
      <c r="I212" s="52" t="n">
        <f aca="false">CAPEX!J58</f>
        <v>1665397.10872882</v>
      </c>
      <c r="J212" s="52" t="n">
        <f aca="false">CAPEX!K58</f>
        <v>1665397.10872882</v>
      </c>
      <c r="K212" s="52" t="n">
        <f aca="false">CAPEX!L58</f>
        <v>1665397.10872882</v>
      </c>
      <c r="L212" s="52" t="n">
        <f aca="false">CAPEX!M58</f>
        <v>1665397.10872882</v>
      </c>
      <c r="M212" s="52" t="n">
        <f aca="false">CAPEX!N58</f>
        <v>1665397.10872882</v>
      </c>
      <c r="N212" s="52" t="n">
        <f aca="false">CAPEX!O58</f>
        <v>1748666.96416526</v>
      </c>
      <c r="O212" s="52" t="n">
        <f aca="false">CAPEX!P58</f>
        <v>1748666.96416526</v>
      </c>
      <c r="P212" s="52" t="n">
        <f aca="false">CAPEX!Q58</f>
        <v>1748666.96416526</v>
      </c>
      <c r="Q212" s="52" t="n">
        <f aca="false">CAPEX!R58</f>
        <v>1748666.96416526</v>
      </c>
      <c r="R212" s="52" t="n">
        <f aca="false">CAPEX!S58</f>
        <v>1748666.96416526</v>
      </c>
      <c r="S212" s="52" t="n">
        <f aca="false">CAPEX!T58</f>
        <v>1836100.31237352</v>
      </c>
      <c r="T212" s="52" t="n">
        <f aca="false">CAPEX!U58</f>
        <v>1836100.31237352</v>
      </c>
      <c r="U212" s="52" t="n">
        <f aca="false">CAPEX!V58</f>
        <v>1836100.31237352</v>
      </c>
      <c r="V212" s="52" t="n">
        <f aca="false">CAPEX!W58</f>
        <v>1836100.31237352</v>
      </c>
      <c r="W212" s="52" t="n">
        <f aca="false">CAPEX!X58</f>
        <v>1836100.31237352</v>
      </c>
      <c r="X212" s="52" t="n">
        <f aca="false">CAPEX!Y58</f>
        <v>1927905.3279922</v>
      </c>
      <c r="Y212" s="52" t="n">
        <f aca="false">CAPEX!Z58</f>
        <v>1927905.3279922</v>
      </c>
      <c r="Z212" s="52" t="n">
        <f aca="false">CAPEX!AA58</f>
        <v>1927905.3279922</v>
      </c>
      <c r="AA212" s="52" t="n">
        <f aca="false">CAPEX!AB58</f>
        <v>1927905.3279922</v>
      </c>
      <c r="AB212" s="52" t="n">
        <f aca="false">CAPEX!AC58</f>
        <v>1927905.3279922</v>
      </c>
      <c r="AC212" s="52" t="n">
        <f aca="false">CAPEX!AD58</f>
        <v>2024300.59439181</v>
      </c>
      <c r="AD212" s="52" t="n">
        <f aca="false">CAPEX!AE58</f>
        <v>2024300.59439181</v>
      </c>
      <c r="AE212" s="52" t="n">
        <f aca="false">CAPEX!AF58</f>
        <v>2024300.59439181</v>
      </c>
      <c r="AF212" s="52" t="n">
        <f aca="false">CAPEX!AG58</f>
        <v>2024300.59439181</v>
      </c>
      <c r="AG212" s="52" t="n">
        <f aca="false">CAPEX!AH58</f>
        <v>2024300.59439181</v>
      </c>
      <c r="AH212" s="52" t="n">
        <f aca="false">CAPEX!AI58</f>
        <v>2125515.6241114</v>
      </c>
      <c r="AI212" s="52" t="n">
        <f aca="false">CAPEX!AJ58</f>
        <v>2125515.6241114</v>
      </c>
      <c r="AJ212" s="52" t="n">
        <f aca="false">CAPEX!AK58</f>
        <v>2125515.6241114</v>
      </c>
      <c r="AK212" s="52" t="n">
        <f aca="false">CAPEX!AL58</f>
        <v>2125515.6241114</v>
      </c>
      <c r="AL212" s="52" t="n">
        <f aca="false">CAPEX!AM58</f>
        <v>2125515.6241114</v>
      </c>
      <c r="AM212" s="52" t="n">
        <f aca="false">CAPEX!AN58</f>
        <v>2231791.40531697</v>
      </c>
      <c r="AN212" s="52" t="n">
        <f aca="false">CAPEX!AO58</f>
        <v>2231791.40531697</v>
      </c>
      <c r="AO212" s="52" t="n">
        <f aca="false">CAPEX!AP58</f>
        <v>2231791.40531697</v>
      </c>
      <c r="AP212" s="52" t="n">
        <f aca="false">CAPEX!AQ58</f>
        <v>2231791.40531697</v>
      </c>
      <c r="AQ212" s="52" t="n">
        <f aca="false">CAPEX!AR58</f>
        <v>2231791.40531697</v>
      </c>
      <c r="AR212" s="52" t="n">
        <f aca="false">CAPEX!AS58</f>
        <v>2343380.97558282</v>
      </c>
      <c r="AS212" s="52" t="n">
        <f aca="false">CAPEX!AT58</f>
        <v>2343380.97558282</v>
      </c>
      <c r="AT212" s="52" t="n">
        <f aca="false">CAPEX!AU58</f>
        <v>2343380.97558282</v>
      </c>
      <c r="AU212" s="52" t="n">
        <f aca="false">CAPEX!AV58</f>
        <v>2343380.97558282</v>
      </c>
      <c r="AV212" s="52" t="n">
        <f aca="false">CAPEX!AW58</f>
        <v>2343380.97558282</v>
      </c>
      <c r="AW212" s="52" t="n">
        <f aca="false">CAPEX!AX58</f>
        <v>2460550.02436196</v>
      </c>
      <c r="AX212" s="52" t="n">
        <f aca="false">CAPEX!AY58</f>
        <v>2460550.02436196</v>
      </c>
      <c r="AY212" s="52" t="n">
        <f aca="false">CAPEX!AZ58</f>
        <v>2460550.02436196</v>
      </c>
      <c r="AZ212" s="52" t="n">
        <f aca="false">CAPEX!BA58</f>
        <v>2460550.02436196</v>
      </c>
      <c r="BA212" s="52" t="n">
        <f aca="false">CAPEX!BB58</f>
        <v>2460550.02436196</v>
      </c>
    </row>
  </sheetData>
  <sheetProtection sheet="true" sort="false" autoFilter="false"/>
  <mergeCells count="4">
    <mergeCell ref="A1:BA1"/>
    <mergeCell ref="A109:BA109"/>
    <mergeCell ref="A117:BA117"/>
    <mergeCell ref="A170:H1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4" min="3" style="1" width="18"/>
    <col collapsed="false" customWidth="true" hidden="false" outlineLevel="0" max="5" min="5" style="1" width="32"/>
  </cols>
  <sheetData>
    <row r="1" customFormat="false" ht="36" hidden="false" customHeight="true" outlineLevel="0" collapsed="false">
      <c r="A1" s="42" t="s">
        <v>313</v>
      </c>
      <c r="B1" s="42"/>
      <c r="C1" s="42"/>
      <c r="D1" s="42"/>
      <c r="E1" s="42"/>
    </row>
    <row r="3" customFormat="false" ht="24" hidden="false" customHeight="true" outlineLevel="0" collapsed="false">
      <c r="A3" s="23" t="s">
        <v>314</v>
      </c>
      <c r="B3" s="23"/>
      <c r="C3" s="23"/>
      <c r="D3" s="23"/>
      <c r="E3" s="23"/>
    </row>
    <row r="4" customFormat="false" ht="15" hidden="false" customHeight="true" outlineLevel="0" collapsed="false">
      <c r="B4" s="55" t="s">
        <v>315</v>
      </c>
      <c r="C4" s="55" t="s">
        <v>316</v>
      </c>
      <c r="D4" s="55" t="s">
        <v>317</v>
      </c>
    </row>
    <row r="6" customFormat="false" ht="24" hidden="false" customHeight="true" outlineLevel="0" collapsed="false">
      <c r="A6" s="56" t="s">
        <v>318</v>
      </c>
      <c r="B6" s="23" t="s">
        <v>319</v>
      </c>
      <c r="C6" s="23"/>
      <c r="D6" s="23"/>
      <c r="E6" s="23"/>
    </row>
    <row r="7" customFormat="false" ht="15" hidden="false" customHeight="true" outlineLevel="0" collapsed="false">
      <c r="B7" s="16" t="s">
        <v>320</v>
      </c>
      <c r="C7" s="24" t="n">
        <v>4</v>
      </c>
      <c r="D7" s="24" t="n">
        <v>12</v>
      </c>
    </row>
    <row r="8" customFormat="false" ht="15" hidden="false" customHeight="true" outlineLevel="0" collapsed="false">
      <c r="B8" s="16" t="s">
        <v>321</v>
      </c>
      <c r="C8" s="24" t="n">
        <v>230</v>
      </c>
      <c r="D8" s="24" t="n">
        <v>175</v>
      </c>
    </row>
    <row r="9" customFormat="false" ht="15" hidden="false" customHeight="true" outlineLevel="0" collapsed="false">
      <c r="B9" s="16" t="s">
        <v>322</v>
      </c>
      <c r="C9" s="24" t="n">
        <v>548</v>
      </c>
      <c r="D9" s="24" t="n">
        <v>920</v>
      </c>
    </row>
    <row r="10" customFormat="false" ht="15" hidden="false" customHeight="true" outlineLevel="0" collapsed="false">
      <c r="B10" s="16" t="s">
        <v>323</v>
      </c>
      <c r="C10" s="26" t="n">
        <v>0.7</v>
      </c>
      <c r="D10" s="26" t="n">
        <v>0.73</v>
      </c>
    </row>
    <row r="11" customFormat="false" ht="15" hidden="false" customHeight="true" outlineLevel="0" collapsed="false">
      <c r="B11" s="16" t="s">
        <v>324</v>
      </c>
      <c r="C11" s="24" t="n">
        <v>365</v>
      </c>
      <c r="D11" s="24" t="n">
        <v>365</v>
      </c>
    </row>
    <row r="12" customFormat="false" ht="15" hidden="false" customHeight="true" outlineLevel="0" collapsed="false">
      <c r="B12" s="16" t="s">
        <v>325</v>
      </c>
      <c r="C12" s="19" t="n">
        <f aca="false">Inputs!C41</f>
        <v>0.0075</v>
      </c>
      <c r="D12" s="19" t="n">
        <f aca="false">Inputs!C41</f>
        <v>0.0075</v>
      </c>
    </row>
    <row r="14" customFormat="false" ht="24" hidden="false" customHeight="true" outlineLevel="0" collapsed="false">
      <c r="B14" s="23" t="s">
        <v>326</v>
      </c>
      <c r="C14" s="23"/>
      <c r="D14" s="23"/>
      <c r="E14" s="23"/>
    </row>
    <row r="15" customFormat="false" ht="15" hidden="false" customHeight="true" outlineLevel="0" collapsed="false">
      <c r="B15" s="16" t="s">
        <v>327</v>
      </c>
      <c r="C15" s="26" t="n">
        <v>0.72</v>
      </c>
      <c r="D15" s="26" t="n">
        <v>0.64</v>
      </c>
    </row>
    <row r="16" customFormat="false" ht="15" hidden="false" customHeight="true" outlineLevel="0" collapsed="false">
      <c r="B16" s="16" t="s">
        <v>328</v>
      </c>
      <c r="C16" s="26" t="n">
        <v>0.22</v>
      </c>
      <c r="D16" s="26" t="n">
        <v>0.25</v>
      </c>
    </row>
    <row r="17" customFormat="false" ht="15" hidden="false" customHeight="true" outlineLevel="0" collapsed="false">
      <c r="B17" s="16" t="s">
        <v>329</v>
      </c>
      <c r="C17" s="26" t="n">
        <v>0.04</v>
      </c>
      <c r="D17" s="26" t="n">
        <v>0.07</v>
      </c>
    </row>
    <row r="18" customFormat="false" ht="15" hidden="false" customHeight="true" outlineLevel="0" collapsed="false">
      <c r="B18" s="16" t="s">
        <v>330</v>
      </c>
      <c r="C18" s="26" t="n">
        <v>0.02</v>
      </c>
      <c r="D18" s="26" t="n">
        <v>0.04</v>
      </c>
    </row>
    <row r="20" customFormat="false" ht="24" hidden="false" customHeight="true" outlineLevel="0" collapsed="false">
      <c r="B20" s="23" t="s">
        <v>331</v>
      </c>
      <c r="C20" s="23"/>
      <c r="D20" s="23"/>
      <c r="E20" s="23"/>
    </row>
    <row r="21" customFormat="false" ht="15" hidden="false" customHeight="true" outlineLevel="0" collapsed="false">
      <c r="B21" s="16" t="s">
        <v>332</v>
      </c>
      <c r="C21" s="38" t="n">
        <f aca="false">C8*C9*C11*C10</f>
        <v>32203220</v>
      </c>
      <c r="D21" s="38" t="n">
        <f aca="false">D8*D9*D11*D10</f>
        <v>42898450</v>
      </c>
    </row>
    <row r="22" customFormat="false" ht="15" hidden="false" customHeight="true" outlineLevel="0" collapsed="false">
      <c r="B22" s="16" t="s">
        <v>333</v>
      </c>
      <c r="C22" s="38" t="n">
        <f aca="false">C21/C15</f>
        <v>44726694.4444444</v>
      </c>
      <c r="D22" s="38" t="n">
        <f aca="false">D21/D15</f>
        <v>67028828.125</v>
      </c>
    </row>
    <row r="23" customFormat="false" ht="15" hidden="false" customHeight="true" outlineLevel="0" collapsed="false">
      <c r="B23" s="16" t="s">
        <v>334</v>
      </c>
      <c r="C23" s="38" t="n">
        <f aca="false">C22*C16</f>
        <v>9839872.77777778</v>
      </c>
      <c r="D23" s="38" t="n">
        <f aca="false">D22*D16</f>
        <v>16757207.03125</v>
      </c>
    </row>
    <row r="24" customFormat="false" ht="15" hidden="false" customHeight="true" outlineLevel="0" collapsed="false">
      <c r="B24" s="16" t="s">
        <v>335</v>
      </c>
      <c r="C24" s="38" t="n">
        <f aca="false">C22*C17</f>
        <v>1789067.77777778</v>
      </c>
      <c r="D24" s="38" t="n">
        <f aca="false">D22*D17</f>
        <v>4692017.96875</v>
      </c>
    </row>
    <row r="25" customFormat="false" ht="15" hidden="false" customHeight="true" outlineLevel="0" collapsed="false">
      <c r="B25" s="16" t="s">
        <v>336</v>
      </c>
      <c r="C25" s="38" t="n">
        <f aca="false">C22*C18</f>
        <v>894533.888888889</v>
      </c>
      <c r="D25" s="38" t="n">
        <f aca="false">D22*D18</f>
        <v>2681153.125</v>
      </c>
    </row>
    <row r="27" customFormat="false" ht="24" hidden="false" customHeight="true" outlineLevel="0" collapsed="false">
      <c r="B27" s="23" t="s">
        <v>337</v>
      </c>
      <c r="C27" s="23"/>
      <c r="D27" s="23"/>
      <c r="E27" s="23"/>
    </row>
    <row r="28" customFormat="false" ht="15" hidden="false" customHeight="true" outlineLevel="0" collapsed="false">
      <c r="B28" s="16" t="s">
        <v>338</v>
      </c>
      <c r="C28" s="26" t="n">
        <v>0.2</v>
      </c>
      <c r="D28" s="26" t="n">
        <v>0.2</v>
      </c>
    </row>
    <row r="29" customFormat="false" ht="15" hidden="false" customHeight="true" outlineLevel="0" collapsed="false">
      <c r="B29" s="16" t="s">
        <v>339</v>
      </c>
      <c r="C29" s="26" t="n">
        <v>0.6</v>
      </c>
      <c r="D29" s="26" t="n">
        <v>0.6</v>
      </c>
    </row>
    <row r="30" customFormat="false" ht="15" hidden="false" customHeight="true" outlineLevel="0" collapsed="false">
      <c r="B30" s="16" t="s">
        <v>340</v>
      </c>
      <c r="C30" s="26" t="n">
        <v>0.58</v>
      </c>
      <c r="D30" s="26" t="n">
        <v>0.58</v>
      </c>
    </row>
    <row r="31" customFormat="false" ht="15" hidden="false" customHeight="true" outlineLevel="0" collapsed="false">
      <c r="B31" s="16" t="s">
        <v>341</v>
      </c>
      <c r="C31" s="26" t="n">
        <v>0.5</v>
      </c>
      <c r="D31" s="26" t="n">
        <v>0.55</v>
      </c>
    </row>
    <row r="32" customFormat="false" ht="15" hidden="false" customHeight="true" outlineLevel="0" collapsed="false">
      <c r="B32" s="16" t="s">
        <v>342</v>
      </c>
      <c r="C32" s="26" t="n">
        <v>0.29</v>
      </c>
      <c r="D32" s="26" t="n">
        <v>0.28</v>
      </c>
    </row>
    <row r="33" customFormat="false" ht="15" hidden="false" customHeight="true" outlineLevel="0" collapsed="false">
      <c r="B33" s="16" t="s">
        <v>343</v>
      </c>
      <c r="C33" s="26" t="n">
        <v>0.09</v>
      </c>
      <c r="D33" s="26" t="n">
        <v>0.09</v>
      </c>
    </row>
    <row r="35" customFormat="false" ht="24" hidden="false" customHeight="true" outlineLevel="0" collapsed="false">
      <c r="B35" s="23" t="s">
        <v>344</v>
      </c>
      <c r="C35" s="23"/>
      <c r="D35" s="23"/>
      <c r="E35" s="23"/>
    </row>
    <row r="36" customFormat="false" ht="15" hidden="false" customHeight="true" outlineLevel="0" collapsed="false">
      <c r="B36" s="16" t="s">
        <v>345</v>
      </c>
      <c r="C36" s="38" t="n">
        <f aca="false">C21*C28</f>
        <v>6440644</v>
      </c>
      <c r="D36" s="38" t="n">
        <f aca="false">D21*D28</f>
        <v>8579690</v>
      </c>
    </row>
    <row r="37" customFormat="false" ht="15" hidden="false" customHeight="true" outlineLevel="0" collapsed="false">
      <c r="B37" s="16" t="s">
        <v>346</v>
      </c>
      <c r="C37" s="38" t="n">
        <f aca="false">C23*C29</f>
        <v>5903923.66666667</v>
      </c>
      <c r="D37" s="38" t="n">
        <f aca="false">D23*D29</f>
        <v>10054324.21875</v>
      </c>
    </row>
    <row r="38" customFormat="false" ht="15" hidden="false" customHeight="true" outlineLevel="0" collapsed="false">
      <c r="B38" s="16" t="s">
        <v>347</v>
      </c>
      <c r="C38" s="38" t="n">
        <f aca="false">C24*C30</f>
        <v>1037659.31111111</v>
      </c>
      <c r="D38" s="38" t="n">
        <f aca="false">D24*D30</f>
        <v>2721370.421875</v>
      </c>
    </row>
    <row r="39" customFormat="false" ht="15" hidden="false" customHeight="true" outlineLevel="0" collapsed="false">
      <c r="B39" s="16" t="s">
        <v>348</v>
      </c>
      <c r="C39" s="38" t="n">
        <f aca="false">C25*C31</f>
        <v>447266.944444444</v>
      </c>
      <c r="D39" s="38" t="n">
        <f aca="false">D25*D31</f>
        <v>1474634.21875</v>
      </c>
    </row>
    <row r="40" customFormat="false" ht="15" hidden="false" customHeight="true" outlineLevel="0" collapsed="false">
      <c r="B40" s="16" t="s">
        <v>349</v>
      </c>
      <c r="C40" s="38" t="n">
        <f aca="false">C22*C32</f>
        <v>12970741.3888889</v>
      </c>
      <c r="D40" s="38" t="n">
        <f aca="false">D22*D32</f>
        <v>18768071.875</v>
      </c>
    </row>
    <row r="41" customFormat="false" ht="15" hidden="false" customHeight="true" outlineLevel="0" collapsed="false">
      <c r="B41" s="16" t="s">
        <v>350</v>
      </c>
      <c r="C41" s="38" t="n">
        <f aca="false">C22*C33</f>
        <v>4025402.5</v>
      </c>
      <c r="D41" s="38" t="n">
        <f aca="false">D22*D33</f>
        <v>6032594.53125</v>
      </c>
    </row>
    <row r="42" customFormat="false" ht="15" hidden="false" customHeight="true" outlineLevel="0" collapsed="false">
      <c r="B42" s="16" t="s">
        <v>351</v>
      </c>
      <c r="C42" s="57" t="n">
        <f aca="false">SUM(C36:C41)</f>
        <v>30825637.8111111</v>
      </c>
      <c r="D42" s="57" t="n">
        <f aca="false">SUM(D36:D41)</f>
        <v>47630685.265625</v>
      </c>
    </row>
    <row r="44" customFormat="false" ht="15" hidden="false" customHeight="true" outlineLevel="0" collapsed="false">
      <c r="B44" s="16" t="s">
        <v>352</v>
      </c>
      <c r="C44" s="57" t="n">
        <f aca="false">C22-C42</f>
        <v>13901056.6333333</v>
      </c>
      <c r="D44" s="57" t="n">
        <f aca="false">D22-D42</f>
        <v>19398142.859375</v>
      </c>
    </row>
    <row r="45" customFormat="false" ht="15" hidden="false" customHeight="true" outlineLevel="0" collapsed="false">
      <c r="B45" s="16" t="s">
        <v>353</v>
      </c>
      <c r="C45" s="19" t="n">
        <f aca="false">IF(C22&gt;0,C44/C22,0)</f>
        <v>0.3108</v>
      </c>
      <c r="D45" s="19" t="n">
        <f aca="false">IF(D22&gt;0,D44/D22,0)</f>
        <v>0.2894</v>
      </c>
    </row>
    <row r="48" customFormat="false" ht="24" hidden="false" customHeight="true" outlineLevel="0" collapsed="false">
      <c r="A48" s="23" t="s">
        <v>354</v>
      </c>
      <c r="B48" s="23"/>
      <c r="C48" s="23"/>
      <c r="D48" s="23"/>
      <c r="E48" s="23"/>
    </row>
    <row r="49" customFormat="false" ht="15" hidden="false" customHeight="true" outlineLevel="0" collapsed="false">
      <c r="B49" s="55" t="s">
        <v>315</v>
      </c>
      <c r="C49" s="55" t="s">
        <v>166</v>
      </c>
    </row>
    <row r="50" customFormat="false" ht="15" hidden="false" customHeight="true" outlineLevel="0" collapsed="false">
      <c r="B50" s="16" t="s">
        <v>320</v>
      </c>
      <c r="C50" s="24" t="n">
        <v>8</v>
      </c>
    </row>
    <row r="52" customFormat="false" ht="24" hidden="false" customHeight="true" outlineLevel="0" collapsed="false">
      <c r="B52" s="23" t="s">
        <v>355</v>
      </c>
      <c r="C52" s="23"/>
      <c r="D52" s="23"/>
      <c r="E52" s="23"/>
    </row>
    <row r="53" customFormat="false" ht="15" hidden="false" customHeight="true" outlineLevel="0" collapsed="false">
      <c r="B53" s="16" t="s">
        <v>356</v>
      </c>
      <c r="C53" s="24" t="n">
        <v>80</v>
      </c>
    </row>
    <row r="54" customFormat="false" ht="15" hidden="false" customHeight="true" outlineLevel="0" collapsed="false">
      <c r="B54" s="16" t="s">
        <v>357</v>
      </c>
      <c r="C54" s="24" t="n">
        <v>14</v>
      </c>
    </row>
    <row r="55" customFormat="false" ht="15" hidden="false" customHeight="true" outlineLevel="0" collapsed="false">
      <c r="B55" s="16" t="s">
        <v>358</v>
      </c>
      <c r="C55" s="25" t="n">
        <v>2063</v>
      </c>
    </row>
    <row r="56" customFormat="false" ht="15" hidden="false" customHeight="true" outlineLevel="0" collapsed="false">
      <c r="B56" s="16" t="s">
        <v>359</v>
      </c>
      <c r="C56" s="26" t="n">
        <v>0.9</v>
      </c>
    </row>
    <row r="57" customFormat="false" ht="15" hidden="false" customHeight="true" outlineLevel="0" collapsed="false">
      <c r="B57" s="16" t="s">
        <v>360</v>
      </c>
      <c r="C57" s="19" t="n">
        <f aca="false">Inputs!C41</f>
        <v>0.0075</v>
      </c>
    </row>
    <row r="59" customFormat="false" ht="24" hidden="false" customHeight="true" outlineLevel="0" collapsed="false">
      <c r="B59" s="23" t="s">
        <v>326</v>
      </c>
      <c r="C59" s="23"/>
      <c r="D59" s="23"/>
      <c r="E59" s="23"/>
    </row>
    <row r="60" customFormat="false" ht="15" hidden="false" customHeight="true" outlineLevel="0" collapsed="false">
      <c r="B60" s="16" t="s">
        <v>361</v>
      </c>
      <c r="C60" s="26" t="n">
        <v>0.25</v>
      </c>
    </row>
    <row r="61" customFormat="false" ht="15" hidden="false" customHeight="true" outlineLevel="0" collapsed="false">
      <c r="B61" s="16" t="s">
        <v>362</v>
      </c>
      <c r="C61" s="26" t="n">
        <v>0.1</v>
      </c>
    </row>
    <row r="63" customFormat="false" ht="24" hidden="false" customHeight="true" outlineLevel="0" collapsed="false">
      <c r="B63" s="23" t="s">
        <v>363</v>
      </c>
      <c r="C63" s="23"/>
      <c r="D63" s="23"/>
      <c r="E63" s="23"/>
    </row>
    <row r="64" customFormat="false" ht="15" hidden="false" customHeight="true" outlineLevel="0" collapsed="false">
      <c r="B64" s="16" t="s">
        <v>364</v>
      </c>
      <c r="C64" s="38" t="n">
        <f aca="false">C53*C54*C55*C56</f>
        <v>2079504</v>
      </c>
    </row>
    <row r="65" customFormat="false" ht="15" hidden="false" customHeight="true" outlineLevel="0" collapsed="false">
      <c r="B65" s="16" t="s">
        <v>333</v>
      </c>
      <c r="C65" s="38" t="n">
        <f aca="false">C64/(1-C60-C61)</f>
        <v>3199236.92307692</v>
      </c>
    </row>
    <row r="66" customFormat="false" ht="15" hidden="false" customHeight="true" outlineLevel="0" collapsed="false">
      <c r="B66" s="16" t="s">
        <v>365</v>
      </c>
      <c r="C66" s="38" t="n">
        <f aca="false">C65*C60</f>
        <v>799809.230769231</v>
      </c>
    </row>
    <row r="67" customFormat="false" ht="15" hidden="false" customHeight="true" outlineLevel="0" collapsed="false">
      <c r="B67" s="16" t="s">
        <v>366</v>
      </c>
      <c r="C67" s="38" t="n">
        <f aca="false">C65*C61</f>
        <v>319923.692307692</v>
      </c>
    </row>
    <row r="69" customFormat="false" ht="24" hidden="false" customHeight="true" outlineLevel="0" collapsed="false">
      <c r="B69" s="23" t="s">
        <v>367</v>
      </c>
      <c r="C69" s="23"/>
      <c r="D69" s="23"/>
      <c r="E69" s="23"/>
    </row>
    <row r="70" customFormat="false" ht="15" hidden="false" customHeight="true" outlineLevel="0" collapsed="false">
      <c r="B70" s="16" t="s">
        <v>368</v>
      </c>
      <c r="C70" s="26" t="n">
        <v>0.58</v>
      </c>
    </row>
    <row r="71" customFormat="false" ht="15" hidden="false" customHeight="true" outlineLevel="0" collapsed="false">
      <c r="B71" s="16" t="s">
        <v>369</v>
      </c>
      <c r="C71" s="26" t="n">
        <v>0.96</v>
      </c>
    </row>
    <row r="72" customFormat="false" ht="15" hidden="false" customHeight="true" outlineLevel="0" collapsed="false">
      <c r="B72" s="16" t="s">
        <v>370</v>
      </c>
      <c r="C72" s="26" t="n">
        <v>0.3</v>
      </c>
    </row>
    <row r="74" customFormat="false" ht="24" hidden="false" customHeight="true" outlineLevel="0" collapsed="false">
      <c r="B74" s="23" t="s">
        <v>371</v>
      </c>
      <c r="C74" s="23"/>
      <c r="D74" s="23"/>
      <c r="E74" s="23"/>
    </row>
    <row r="75" customFormat="false" ht="15" hidden="false" customHeight="true" outlineLevel="0" collapsed="false">
      <c r="B75" s="16" t="s">
        <v>372</v>
      </c>
      <c r="C75" s="38" t="n">
        <f aca="false">C64*C70</f>
        <v>1206112.32</v>
      </c>
    </row>
    <row r="76" customFormat="false" ht="15" hidden="false" customHeight="true" outlineLevel="0" collapsed="false">
      <c r="B76" s="16" t="s">
        <v>373</v>
      </c>
      <c r="C76" s="38" t="n">
        <f aca="false">C66*C71</f>
        <v>767816.861538462</v>
      </c>
    </row>
    <row r="77" customFormat="false" ht="15" hidden="false" customHeight="true" outlineLevel="0" collapsed="false">
      <c r="B77" s="16" t="s">
        <v>374</v>
      </c>
      <c r="C77" s="38" t="n">
        <f aca="false">C67*C72</f>
        <v>95977.1076923077</v>
      </c>
    </row>
    <row r="78" customFormat="false" ht="15" hidden="false" customHeight="true" outlineLevel="0" collapsed="false">
      <c r="B78" s="16" t="s">
        <v>375</v>
      </c>
      <c r="C78" s="57" t="n">
        <f aca="false">SUM(C75:C77)</f>
        <v>2069906.28923077</v>
      </c>
    </row>
    <row r="80" customFormat="false" ht="15" hidden="false" customHeight="true" outlineLevel="0" collapsed="false">
      <c r="B80" s="16" t="s">
        <v>376</v>
      </c>
      <c r="C80" s="57" t="n">
        <f aca="false">C65-C78</f>
        <v>1129330.63384615</v>
      </c>
    </row>
    <row r="81" customFormat="false" ht="15" hidden="false" customHeight="true" outlineLevel="0" collapsed="false">
      <c r="B81" s="16" t="s">
        <v>377</v>
      </c>
      <c r="C81" s="19" t="n">
        <f aca="false">IF(C65&gt;0,C80/C65,0)</f>
        <v>0.353</v>
      </c>
    </row>
  </sheetData>
  <sheetProtection sheet="true" sort="false" autoFilter="false"/>
  <mergeCells count="13">
    <mergeCell ref="A1:E1"/>
    <mergeCell ref="A3:E3"/>
    <mergeCell ref="B6:E6"/>
    <mergeCell ref="B14:E14"/>
    <mergeCell ref="B20:E20"/>
    <mergeCell ref="B27:E27"/>
    <mergeCell ref="B35:E35"/>
    <mergeCell ref="A48:E48"/>
    <mergeCell ref="B52:E52"/>
    <mergeCell ref="B59:E59"/>
    <mergeCell ref="B63:E63"/>
    <mergeCell ref="B69:E69"/>
    <mergeCell ref="B74:E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5"/>
    <col collapsed="false" customWidth="true" hidden="false" outlineLevel="0" max="3" min="3" style="1" width="28"/>
    <col collapsed="false" customWidth="true" hidden="false" outlineLevel="0" max="14" min="4" style="1" width="16"/>
  </cols>
  <sheetData>
    <row r="1" customFormat="false" ht="15" hidden="false" customHeight="true" outlineLevel="0" collapsed="false">
      <c r="A1" s="58" t="s">
        <v>378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3" customFormat="false" ht="15" hidden="false" customHeight="true" outlineLevel="0" collapsed="false">
      <c r="C3" s="59" t="s">
        <v>379</v>
      </c>
      <c r="D3" s="22" t="str">
        <f aca="false">Inputs!C118</f>
        <v>Unified</v>
      </c>
    </row>
    <row r="5" customFormat="false" ht="15" hidden="false" customHeight="true" outlineLevel="0" collapsed="false">
      <c r="A5" s="58" t="s">
        <v>380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</row>
    <row r="7" customFormat="false" ht="23.25" hidden="false" customHeight="true" outlineLevel="0" collapsed="false">
      <c r="C7" s="60" t="s">
        <v>381</v>
      </c>
      <c r="D7" s="60" t="s">
        <v>382</v>
      </c>
      <c r="E7" s="60" t="s">
        <v>383</v>
      </c>
      <c r="F7" s="60" t="s">
        <v>384</v>
      </c>
      <c r="G7" s="60" t="s">
        <v>385</v>
      </c>
      <c r="H7" s="60" t="s">
        <v>386</v>
      </c>
      <c r="I7" s="60" t="s">
        <v>387</v>
      </c>
      <c r="J7" s="60" t="s">
        <v>388</v>
      </c>
      <c r="K7" s="60" t="s">
        <v>389</v>
      </c>
      <c r="L7" s="60" t="s">
        <v>390</v>
      </c>
      <c r="M7" s="60" t="s">
        <v>391</v>
      </c>
    </row>
    <row r="8" customFormat="false" ht="15" hidden="false" customHeight="true" outlineLevel="0" collapsed="false">
      <c r="C8" s="20" t="s">
        <v>45</v>
      </c>
      <c r="D8" s="61" t="n">
        <f aca="false">'Fund_ZAN 1'!C14</f>
        <v>146509895.828937</v>
      </c>
      <c r="E8" s="61" t="n">
        <f aca="false">'Fund_ZAN 1'!C18</f>
        <v>488366319.429789</v>
      </c>
      <c r="F8" s="61" t="n">
        <f aca="false">'Fund_ZAN 1'!C19</f>
        <v>341856423.600852</v>
      </c>
      <c r="G8" s="61" t="n">
        <f aca="false">'Fund_ZAN 1'!D69</f>
        <v>71016092.1432042</v>
      </c>
      <c r="H8" s="61" t="n">
        <f aca="false">'Fund_ZAN 1'!D51</f>
        <v>600540572.416561</v>
      </c>
      <c r="I8" s="61" t="n">
        <f aca="false">'Fund_ZAN 1'!D93</f>
        <v>204299944.356431</v>
      </c>
      <c r="J8" s="61" t="n">
        <f aca="false">'Fund_ZAN 1'!D94</f>
        <v>363647841.721839</v>
      </c>
      <c r="K8" s="62" t="n">
        <f aca="false">'Fund_ZAN 1'!C107</f>
        <v>0.177999791260126</v>
      </c>
      <c r="L8" s="62" t="n">
        <f aca="false">'Fund_ZAN 1'!E101</f>
        <v>0.331762868418731</v>
      </c>
      <c r="M8" s="62" t="n">
        <f aca="false">'Fund_ZAN 1'!E104</f>
        <v>0.252243665655288</v>
      </c>
    </row>
    <row r="9" customFormat="false" ht="15" hidden="false" customHeight="true" outlineLevel="0" collapsed="false">
      <c r="C9" s="20" t="s">
        <v>46</v>
      </c>
      <c r="D9" s="61" t="n">
        <f aca="false">'Fund_ZAN 2'!C14</f>
        <v>183752778.064708</v>
      </c>
      <c r="E9" s="61" t="n">
        <f aca="false">'Fund_ZAN 2'!C18</f>
        <v>612509260.215694</v>
      </c>
      <c r="F9" s="61" t="n">
        <f aca="false">'Fund_ZAN 2'!C19</f>
        <v>428756482.150985</v>
      </c>
      <c r="G9" s="61" t="n">
        <f aca="false">'Fund_ZAN 2'!D69</f>
        <v>91587445.5622303</v>
      </c>
      <c r="H9" s="61" t="n">
        <f aca="false">'Fund_ZAN 2'!D51</f>
        <v>761289183.94134</v>
      </c>
      <c r="I9" s="61" t="n">
        <f aca="false">'Fund_ZAN 2'!D93</f>
        <v>285521288.959934</v>
      </c>
      <c r="J9" s="61" t="n">
        <f aca="false">'Fund_ZAN 2'!D94</f>
        <v>435872612.461441</v>
      </c>
      <c r="K9" s="62" t="n">
        <f aca="false">'Fund_ZAN 2'!C107</f>
        <v>0.174829507691599</v>
      </c>
      <c r="L9" s="62" t="n">
        <f aca="false">'Fund_ZAN 2'!E101</f>
        <v>0.291500300845587</v>
      </c>
      <c r="M9" s="62" t="n">
        <f aca="false">'Fund_ZAN 2'!E104</f>
        <v>0.253571275982684</v>
      </c>
    </row>
    <row r="10" customFormat="false" ht="15" hidden="false" customHeight="true" outlineLevel="0" collapsed="false">
      <c r="C10" s="20" t="s">
        <v>47</v>
      </c>
      <c r="D10" s="61" t="n">
        <f aca="false">'Fund_ZAN 3'!C14</f>
        <v>164925352.844855</v>
      </c>
      <c r="E10" s="61" t="n">
        <f aca="false">'Fund_ZAN 3'!C18</f>
        <v>549751176.149518</v>
      </c>
      <c r="F10" s="61" t="n">
        <f aca="false">'Fund_ZAN 3'!C19</f>
        <v>384825823.304663</v>
      </c>
      <c r="G10" s="61" t="n">
        <f aca="false">'Fund_ZAN 3'!D69</f>
        <v>86952398.5613068</v>
      </c>
      <c r="H10" s="61" t="n">
        <f aca="false">'Fund_ZAN 3'!D51</f>
        <v>863200139.512498</v>
      </c>
      <c r="I10" s="61" t="n">
        <f aca="false">'Fund_ZAN 3'!D93</f>
        <v>441546875.503045</v>
      </c>
      <c r="J10" s="61" t="n">
        <f aca="false">'Fund_ZAN 3'!D94</f>
        <v>404414194.053395</v>
      </c>
      <c r="K10" s="62" t="n">
        <f aca="false">'Fund_ZAN 3'!C107</f>
        <v>0.217923544345674</v>
      </c>
      <c r="L10" s="62" t="n">
        <f aca="false">'Fund_ZAN 3'!E101</f>
        <v>0.345017728732261</v>
      </c>
      <c r="M10" s="62" t="n">
        <f aca="false">'Fund_ZAN 3'!E104</f>
        <v>0.308078190826386</v>
      </c>
    </row>
    <row r="11" customFormat="false" ht="15" hidden="false" customHeight="true" outlineLevel="0" collapsed="false">
      <c r="C11" s="20" t="s">
        <v>48</v>
      </c>
      <c r="D11" s="61" t="n">
        <f aca="false">'Fund_ZAN 4'!C14</f>
        <v>0</v>
      </c>
      <c r="E11" s="61" t="n">
        <f aca="false">'Fund_ZAN 4'!C18</f>
        <v>0</v>
      </c>
      <c r="F11" s="61" t="n">
        <f aca="false">'Fund_ZAN 4'!C19</f>
        <v>0</v>
      </c>
      <c r="G11" s="61" t="n">
        <f aca="false">'Fund_ZAN 4'!D69</f>
        <v>0</v>
      </c>
      <c r="H11" s="61" t="n">
        <f aca="false">'Fund_ZAN 4'!D51</f>
        <v>0</v>
      </c>
      <c r="I11" s="61" t="n">
        <f aca="false">'Fund_ZAN 4'!D93</f>
        <v>0</v>
      </c>
      <c r="J11" s="61" t="n">
        <f aca="false">'Fund_ZAN 4'!D94</f>
        <v>0</v>
      </c>
      <c r="K11" s="62" t="str">
        <f aca="false">'Fund_ZAN 4'!C107</f>
        <v>-</v>
      </c>
      <c r="L11" s="62" t="str">
        <f aca="false">'Fund_ZAN 4'!E101</f>
        <v>-</v>
      </c>
      <c r="M11" s="62" t="str">
        <f aca="false">'Fund_ZAN 4'!E104</f>
        <v>-</v>
      </c>
    </row>
    <row r="12" customFormat="false" ht="15" hidden="false" customHeight="true" outlineLevel="0" collapsed="false">
      <c r="C12" s="20" t="s">
        <v>49</v>
      </c>
      <c r="D12" s="61" t="n">
        <f aca="false">'Fund_ZAN 5'!C14</f>
        <v>0</v>
      </c>
      <c r="E12" s="61" t="n">
        <f aca="false">'Fund_ZAN 5'!C18</f>
        <v>0</v>
      </c>
      <c r="F12" s="61" t="n">
        <f aca="false">'Fund_ZAN 5'!C19</f>
        <v>0</v>
      </c>
      <c r="G12" s="61" t="n">
        <f aca="false">'Fund_ZAN 5'!D69</f>
        <v>0</v>
      </c>
      <c r="H12" s="61" t="n">
        <f aca="false">'Fund_ZAN 5'!D51</f>
        <v>0</v>
      </c>
      <c r="I12" s="61" t="n">
        <f aca="false">'Fund_ZAN 5'!D93</f>
        <v>0</v>
      </c>
      <c r="J12" s="61" t="n">
        <f aca="false">'Fund_ZAN 5'!D94</f>
        <v>0</v>
      </c>
      <c r="K12" s="62" t="str">
        <f aca="false">'Fund_ZAN 5'!C107</f>
        <v>-</v>
      </c>
      <c r="L12" s="62" t="str">
        <f aca="false">'Fund_ZAN 5'!E101</f>
        <v>-</v>
      </c>
      <c r="M12" s="62" t="str">
        <f aca="false">'Fund_ZAN 5'!E104</f>
        <v>-</v>
      </c>
    </row>
    <row r="13" customFormat="false" ht="15" hidden="false" customHeight="true" outlineLevel="0" collapsed="false">
      <c r="C13" s="20" t="s">
        <v>50</v>
      </c>
      <c r="D13" s="61" t="n">
        <f aca="false">'Fund_ZAN 6'!C14</f>
        <v>0</v>
      </c>
      <c r="E13" s="61" t="n">
        <f aca="false">'Fund_ZAN 6'!C18</f>
        <v>0</v>
      </c>
      <c r="F13" s="61" t="n">
        <f aca="false">'Fund_ZAN 6'!C19</f>
        <v>0</v>
      </c>
      <c r="G13" s="61" t="n">
        <f aca="false">'Fund_ZAN 6'!D69</f>
        <v>0</v>
      </c>
      <c r="H13" s="61" t="n">
        <f aca="false">'Fund_ZAN 6'!D51</f>
        <v>0</v>
      </c>
      <c r="I13" s="61" t="n">
        <f aca="false">'Fund_ZAN 6'!D93</f>
        <v>0</v>
      </c>
      <c r="J13" s="61" t="n">
        <f aca="false">'Fund_ZAN 6'!D94</f>
        <v>0</v>
      </c>
      <c r="K13" s="62" t="str">
        <f aca="false">'Fund_ZAN 6'!C107</f>
        <v>-</v>
      </c>
      <c r="L13" s="62" t="str">
        <f aca="false">'Fund_ZAN 6'!E101</f>
        <v>-</v>
      </c>
      <c r="M13" s="62" t="str">
        <f aca="false">'Fund_ZAN 6'!E104</f>
        <v>-</v>
      </c>
    </row>
    <row r="14" customFormat="false" ht="15" hidden="false" customHeight="true" outlineLevel="0" collapsed="false">
      <c r="C14" s="20" t="s">
        <v>392</v>
      </c>
      <c r="D14" s="63" t="n">
        <f aca="false">SUM(D8:D13)</f>
        <v>495188026.7385</v>
      </c>
      <c r="E14" s="63" t="n">
        <f aca="false">SUM(E8:E13)</f>
        <v>1650626755.795</v>
      </c>
      <c r="F14" s="63" t="n">
        <f aca="false">SUM(F8:F13)</f>
        <v>1155438729.0565</v>
      </c>
      <c r="G14" s="63" t="n">
        <f aca="false">SUM(G8:G13)</f>
        <v>249555936.266741</v>
      </c>
      <c r="H14" s="63" t="n">
        <f aca="false">SUM(H8:H13)</f>
        <v>2225029895.8704</v>
      </c>
      <c r="I14" s="63" t="n">
        <f aca="false">SUM(I8:I13)</f>
        <v>931368108.819411</v>
      </c>
      <c r="J14" s="63" t="n">
        <f aca="false">SUM(J8:J13)</f>
        <v>1203934648.23668</v>
      </c>
      <c r="K14" s="20" t="s">
        <v>393</v>
      </c>
      <c r="L14" s="20" t="s">
        <v>393</v>
      </c>
      <c r="M14" s="20" t="s">
        <v>393</v>
      </c>
    </row>
    <row r="16" customFormat="false" ht="15" hidden="false" customHeight="true" outlineLevel="0" collapsed="false">
      <c r="A16" s="58" t="s">
        <v>394</v>
      </c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</row>
    <row r="18" customFormat="false" ht="23.25" hidden="false" customHeight="true" outlineLevel="0" collapsed="false">
      <c r="C18" s="60" t="s">
        <v>87</v>
      </c>
      <c r="D18" s="60" t="s">
        <v>395</v>
      </c>
      <c r="E18" s="60" t="s">
        <v>396</v>
      </c>
      <c r="F18" s="60" t="s">
        <v>397</v>
      </c>
      <c r="G18" s="60" t="s">
        <v>398</v>
      </c>
      <c r="H18" s="60" t="s">
        <v>399</v>
      </c>
      <c r="I18" s="60" t="s">
        <v>400</v>
      </c>
    </row>
    <row r="19" customFormat="false" ht="15" hidden="false" customHeight="true" outlineLevel="0" collapsed="false">
      <c r="C19" s="20" t="s">
        <v>45</v>
      </c>
      <c r="D19" s="61" t="n">
        <f aca="false">'Fund_ZAN 1'!C12</f>
        <v>102011929.907948</v>
      </c>
      <c r="E19" s="61" t="n">
        <f aca="false">'Fund_ZAN 1'!C13</f>
        <v>44497965.9209882</v>
      </c>
      <c r="F19" s="62" t="n">
        <f aca="false">'Fund_ZAN 1'!C15</f>
        <v>0.696280134053583</v>
      </c>
      <c r="G19" s="62" t="n">
        <f aca="false">'Fund_ZAN 1'!C16</f>
        <v>0.303719865946417</v>
      </c>
      <c r="H19" s="64" t="n">
        <f aca="false">'Fund_ZAN 1'!C110</f>
        <v>3.14446017161954</v>
      </c>
      <c r="I19" s="64" t="n">
        <f aca="false">'Fund_ZAN 1'!C111</f>
        <v>2.44145126471611</v>
      </c>
    </row>
    <row r="20" customFormat="false" ht="15" hidden="false" customHeight="true" outlineLevel="0" collapsed="false">
      <c r="C20" s="20" t="s">
        <v>46</v>
      </c>
      <c r="D20" s="61" t="n">
        <f aca="false">'Fund_ZAN 2'!C12</f>
        <v>116504793.48063</v>
      </c>
      <c r="E20" s="61" t="n">
        <f aca="false">'Fund_ZAN 2'!C13</f>
        <v>67247984.5840783</v>
      </c>
      <c r="F20" s="62" t="n">
        <f aca="false">'Fund_ZAN 2'!C15</f>
        <v>0.634030106688253</v>
      </c>
      <c r="G20" s="62" t="n">
        <f aca="false">'Fund_ZAN 2'!C16</f>
        <v>0.365969893311747</v>
      </c>
      <c r="H20" s="64" t="n">
        <f aca="false">'Fund_ZAN 2'!C110</f>
        <v>2.88158074047853</v>
      </c>
      <c r="I20" s="64" t="n">
        <f aca="false">'Fund_ZAN 2'!C111</f>
        <v>2.5391441532382</v>
      </c>
    </row>
    <row r="21" customFormat="false" ht="15" hidden="false" customHeight="true" outlineLevel="0" collapsed="false">
      <c r="C21" s="20" t="s">
        <v>47</v>
      </c>
      <c r="D21" s="61" t="n">
        <f aca="false">'Fund_ZAN 3'!C12</f>
        <v>83956276.6114219</v>
      </c>
      <c r="E21" s="61" t="n">
        <f aca="false">'Fund_ZAN 3'!C13</f>
        <v>80969076.2334336</v>
      </c>
      <c r="F21" s="62" t="n">
        <f aca="false">'Fund_ZAN 3'!C15</f>
        <v>0.509056219454623</v>
      </c>
      <c r="G21" s="62" t="n">
        <f aca="false">'Fund_ZAN 3'!C16</f>
        <v>0.490943780545377</v>
      </c>
      <c r="H21" s="64" t="n">
        <f aca="false">'Fund_ZAN 3'!C110</f>
        <v>3.63305776414348</v>
      </c>
      <c r="I21" s="64" t="n">
        <f aca="false">'Fund_ZAN 3'!C111</f>
        <v>3.20913429562003</v>
      </c>
    </row>
    <row r="22" customFormat="false" ht="15" hidden="false" customHeight="true" outlineLevel="0" collapsed="false">
      <c r="C22" s="20" t="s">
        <v>48</v>
      </c>
      <c r="D22" s="61" t="n">
        <f aca="false">'Fund_ZAN 4'!C12</f>
        <v>0</v>
      </c>
      <c r="E22" s="61" t="n">
        <f aca="false">'Fund_ZAN 4'!C13</f>
        <v>0</v>
      </c>
      <c r="F22" s="62" t="n">
        <f aca="false">'Fund_ZAN 4'!C15</f>
        <v>0</v>
      </c>
      <c r="G22" s="62" t="n">
        <f aca="false">'Fund_ZAN 4'!C16</f>
        <v>0</v>
      </c>
      <c r="H22" s="64" t="str">
        <f aca="false">'Fund_ZAN 4'!C110</f>
        <v>-</v>
      </c>
      <c r="I22" s="64" t="str">
        <f aca="false">'Fund_ZAN 4'!C111</f>
        <v>-</v>
      </c>
    </row>
    <row r="23" customFormat="false" ht="15" hidden="false" customHeight="true" outlineLevel="0" collapsed="false">
      <c r="C23" s="20" t="s">
        <v>49</v>
      </c>
      <c r="D23" s="61" t="n">
        <f aca="false">'Fund_ZAN 5'!C12</f>
        <v>0</v>
      </c>
      <c r="E23" s="61" t="n">
        <f aca="false">'Fund_ZAN 5'!C13</f>
        <v>0</v>
      </c>
      <c r="F23" s="62" t="n">
        <f aca="false">'Fund_ZAN 5'!C15</f>
        <v>0</v>
      </c>
      <c r="G23" s="62" t="n">
        <f aca="false">'Fund_ZAN 5'!C16</f>
        <v>0</v>
      </c>
      <c r="H23" s="64" t="str">
        <f aca="false">'Fund_ZAN 5'!C110</f>
        <v>-</v>
      </c>
      <c r="I23" s="64" t="str">
        <f aca="false">'Fund_ZAN 5'!C111</f>
        <v>-</v>
      </c>
    </row>
    <row r="24" customFormat="false" ht="15" hidden="false" customHeight="true" outlineLevel="0" collapsed="false">
      <c r="C24" s="20" t="s">
        <v>50</v>
      </c>
      <c r="D24" s="61" t="n">
        <f aca="false">'Fund_ZAN 6'!C12</f>
        <v>0</v>
      </c>
      <c r="E24" s="61" t="n">
        <f aca="false">'Fund_ZAN 6'!C13</f>
        <v>0</v>
      </c>
      <c r="F24" s="62" t="n">
        <f aca="false">'Fund_ZAN 6'!C15</f>
        <v>0</v>
      </c>
      <c r="G24" s="62" t="n">
        <f aca="false">'Fund_ZAN 6'!C16</f>
        <v>0</v>
      </c>
      <c r="H24" s="64" t="str">
        <f aca="false">'Fund_ZAN 6'!C110</f>
        <v>-</v>
      </c>
      <c r="I24" s="64" t="str">
        <f aca="false">'Fund_ZAN 6'!C111</f>
        <v>-</v>
      </c>
    </row>
    <row r="25" customFormat="false" ht="15" hidden="false" customHeight="true" outlineLevel="0" collapsed="false">
      <c r="C25" s="20" t="s">
        <v>227</v>
      </c>
      <c r="D25" s="63" t="n">
        <f aca="false">SUM(D19:D24)</f>
        <v>302473000</v>
      </c>
      <c r="E25" s="63" t="n">
        <f aca="false">SUM(E19:E24)</f>
        <v>192715026.7385</v>
      </c>
    </row>
  </sheetData>
  <sheetProtection sheet="true" password="ce4b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401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402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403</v>
      </c>
      <c r="C4" s="24" t="s">
        <v>404</v>
      </c>
      <c r="D4" s="30" t="s">
        <v>405</v>
      </c>
    </row>
    <row r="5" customFormat="false" ht="15" hidden="false" customHeight="true" outlineLevel="0" collapsed="false">
      <c r="B5" s="59" t="s">
        <v>406</v>
      </c>
      <c r="C5" s="59" t="s">
        <v>45</v>
      </c>
      <c r="D5" s="30" t="s">
        <v>407</v>
      </c>
    </row>
    <row r="6" customFormat="false" ht="15" hidden="false" customHeight="true" outlineLevel="0" collapsed="false">
      <c r="B6" s="59" t="s">
        <v>408</v>
      </c>
      <c r="C6" s="24" t="s">
        <v>87</v>
      </c>
      <c r="D6" s="30" t="s">
        <v>409</v>
      </c>
    </row>
    <row r="7" customFormat="false" ht="15" hidden="false" customHeight="true" outlineLevel="0" collapsed="false">
      <c r="B7" s="59" t="s">
        <v>410</v>
      </c>
      <c r="C7" s="24" t="s">
        <v>411</v>
      </c>
      <c r="D7" s="30" t="s">
        <v>412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  <c r="D8" s="30" t="s">
        <v>413</v>
      </c>
    </row>
    <row r="9" customFormat="false" ht="15" hidden="false" customHeight="true" outlineLevel="0" collapsed="false">
      <c r="B9" s="59" t="s">
        <v>414</v>
      </c>
      <c r="C9" s="65" t="n">
        <f aca="false">Inputs!C7+Inputs!C45-1</f>
        <v>2027</v>
      </c>
      <c r="D9" s="30" t="s">
        <v>415</v>
      </c>
    </row>
    <row r="11" customFormat="false" ht="15" hidden="false" customHeight="true" outlineLevel="0" collapsed="false">
      <c r="A11" s="58" t="s">
        <v>416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customFormat="false" ht="15" hidden="false" customHeight="true" outlineLevel="0" collapsed="false">
      <c r="B12" s="59" t="s">
        <v>417</v>
      </c>
      <c r="C12" s="61" t="n">
        <f aca="false">Inputs!E67</f>
        <v>102011929.907948</v>
      </c>
      <c r="D12" s="30" t="s">
        <v>418</v>
      </c>
    </row>
    <row r="13" customFormat="false" ht="15" hidden="false" customHeight="true" outlineLevel="0" collapsed="false">
      <c r="B13" s="59" t="s">
        <v>419</v>
      </c>
      <c r="C13" s="66" t="n">
        <f aca="false">C14-C12</f>
        <v>44497965.9209882</v>
      </c>
      <c r="D13" s="30" t="s">
        <v>420</v>
      </c>
    </row>
    <row r="14" customFormat="false" ht="15" hidden="false" customHeight="true" outlineLevel="0" collapsed="false">
      <c r="B14" s="59" t="s">
        <v>421</v>
      </c>
      <c r="C14" s="63" t="n">
        <f aca="false">C18-C19</f>
        <v>146509895.828937</v>
      </c>
      <c r="D14" s="30" t="s">
        <v>422</v>
      </c>
    </row>
    <row r="15" customFormat="false" ht="15" hidden="false" customHeight="true" outlineLevel="0" collapsed="false">
      <c r="B15" s="59" t="s">
        <v>423</v>
      </c>
      <c r="C15" s="67" t="n">
        <f aca="false">IF(C14=0,0,C12/C14)</f>
        <v>0.696280134053583</v>
      </c>
    </row>
    <row r="16" customFormat="false" ht="15" hidden="false" customHeight="true" outlineLevel="0" collapsed="false">
      <c r="B16" s="59" t="s">
        <v>398</v>
      </c>
      <c r="C16" s="67" t="n">
        <f aca="false">IF(C14=0,0,C13/C14)</f>
        <v>0.303719865946417</v>
      </c>
    </row>
    <row r="17" customFormat="false" ht="15" hidden="false" customHeight="true" outlineLevel="0" collapsed="false">
      <c r="B17" s="59" t="s">
        <v>424</v>
      </c>
      <c r="C17" s="61" t="n">
        <f aca="false">CAPEX!D36</f>
        <v>386354389.52184</v>
      </c>
    </row>
    <row r="18" customFormat="false" ht="15" hidden="false" customHeight="true" outlineLevel="0" collapsed="false">
      <c r="B18" s="59" t="s">
        <v>425</v>
      </c>
      <c r="C18" s="63" t="n">
        <f aca="false">C17+C12</f>
        <v>488366319.429789</v>
      </c>
      <c r="D18" s="30" t="s">
        <v>426</v>
      </c>
    </row>
    <row r="19" customFormat="false" ht="15" hidden="false" customHeight="true" outlineLevel="0" collapsed="false">
      <c r="B19" s="59" t="s">
        <v>427</v>
      </c>
      <c r="C19" s="61" t="n">
        <f aca="false">IF($C$22="Y",C18*Inputs!$C$85,0)</f>
        <v>341856423.600852</v>
      </c>
      <c r="D19" s="30" t="s">
        <v>428</v>
      </c>
    </row>
    <row r="21" customFormat="false" ht="15" hidden="false" customHeight="true" outlineLevel="0" collapsed="false">
      <c r="A21" s="58" t="s">
        <v>429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customFormat="false" ht="15" hidden="false" customHeight="true" outlineLevel="0" collapsed="false">
      <c r="B22" s="59" t="s">
        <v>430</v>
      </c>
      <c r="C22" s="24" t="s">
        <v>122</v>
      </c>
      <c r="D22" s="30" t="s">
        <v>431</v>
      </c>
    </row>
    <row r="23" customFormat="false" ht="15" hidden="false" customHeight="true" outlineLevel="0" collapsed="false">
      <c r="B23" s="59" t="s">
        <v>432</v>
      </c>
      <c r="C23" s="62" t="n">
        <f aca="false">Inputs!C$126</f>
        <v>0.065</v>
      </c>
      <c r="D23" s="30" t="s">
        <v>433</v>
      </c>
    </row>
    <row r="24" customFormat="false" ht="15" hidden="false" customHeight="true" outlineLevel="0" collapsed="false">
      <c r="B24" s="59" t="s">
        <v>434</v>
      </c>
      <c r="C24" s="65" t="n">
        <f aca="false">Inputs!C$127</f>
        <v>7</v>
      </c>
      <c r="D24" s="30" t="s">
        <v>435</v>
      </c>
    </row>
    <row r="25" customFormat="false" ht="15" hidden="false" customHeight="true" outlineLevel="0" collapsed="false">
      <c r="B25" s="59" t="s">
        <v>114</v>
      </c>
      <c r="C25" s="62" t="n">
        <f aca="false">Inputs!C$129</f>
        <v>0.005</v>
      </c>
      <c r="D25" s="30" t="s">
        <v>436</v>
      </c>
    </row>
    <row r="26" customFormat="false" ht="15" hidden="false" customHeight="true" outlineLevel="0" collapsed="false">
      <c r="B26" s="59" t="s">
        <v>21</v>
      </c>
      <c r="C26" s="65" t="n">
        <f aca="false">Inputs!C$128</f>
        <v>3</v>
      </c>
      <c r="D26" s="30" t="s">
        <v>437</v>
      </c>
    </row>
    <row r="28" customFormat="false" ht="15" hidden="false" customHeight="tru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customFormat="false" ht="15" hidden="false" customHeight="true" outlineLevel="0" collapsed="false">
      <c r="B29" s="59" t="s">
        <v>439</v>
      </c>
      <c r="C29" s="62" t="n">
        <f aca="false">Inputs!C$130</f>
        <v>0.02</v>
      </c>
      <c r="D29" s="30" t="s">
        <v>440</v>
      </c>
    </row>
    <row r="30" customFormat="false" ht="15" hidden="false" customHeight="true" outlineLevel="0" collapsed="false">
      <c r="B30" s="59" t="s">
        <v>441</v>
      </c>
      <c r="C30" s="62" t="n">
        <f aca="false">Inputs!C$131</f>
        <v>0.009</v>
      </c>
      <c r="D30" s="30" t="s">
        <v>442</v>
      </c>
    </row>
    <row r="31" customFormat="false" ht="15" hidden="false" customHeight="true" outlineLevel="0" collapsed="false">
      <c r="B31" s="59" t="s">
        <v>443</v>
      </c>
      <c r="C31" s="61" t="n">
        <f aca="false">Inputs!C$132</f>
        <v>130000</v>
      </c>
      <c r="D31" s="30" t="s">
        <v>444</v>
      </c>
    </row>
    <row r="32" customFormat="false" ht="15" hidden="false" customHeight="true" outlineLevel="0" collapsed="false">
      <c r="B32" s="59" t="s">
        <v>445</v>
      </c>
      <c r="C32" s="62" t="n">
        <f aca="false">Inputs!C$133</f>
        <v>0.12</v>
      </c>
      <c r="D32" s="30" t="s">
        <v>446</v>
      </c>
    </row>
    <row r="33" customFormat="false" ht="15" hidden="false" customHeight="true" outlineLevel="0" collapsed="false">
      <c r="B33" s="59" t="s">
        <v>447</v>
      </c>
      <c r="C33" s="62" t="n">
        <f aca="false">Inputs!C$134</f>
        <v>0.01</v>
      </c>
      <c r="D33" s="30" t="s">
        <v>448</v>
      </c>
    </row>
    <row r="35" customFormat="false" ht="15" hidden="false" customHeight="true" outlineLevel="0" collapsed="false">
      <c r="A35" s="58" t="s">
        <v>449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customFormat="false" ht="15" hidden="false" customHeight="true" outlineLevel="0" collapsed="false">
      <c r="B36" s="59" t="s">
        <v>120</v>
      </c>
      <c r="C36" s="62" t="n">
        <f aca="false">Inputs!C$135</f>
        <v>0.15</v>
      </c>
      <c r="D36" s="30" t="s">
        <v>450</v>
      </c>
    </row>
    <row r="37" customFormat="false" ht="15" hidden="false" customHeight="true" outlineLevel="0" collapsed="false">
      <c r="B37" s="59" t="s">
        <v>451</v>
      </c>
      <c r="C37" s="22" t="str">
        <f aca="false">Inputs!C$136</f>
        <v>Y</v>
      </c>
      <c r="D37" s="30" t="s">
        <v>452</v>
      </c>
    </row>
    <row r="38" customFormat="false" ht="15" hidden="false" customHeight="true" outlineLevel="0" collapsed="false">
      <c r="B38" s="59" t="s">
        <v>123</v>
      </c>
      <c r="C38" s="62" t="n">
        <f aca="false">Inputs!C$137</f>
        <v>0.3</v>
      </c>
      <c r="D38" s="30" t="s">
        <v>453</v>
      </c>
    </row>
    <row r="40" customFormat="false" ht="15" hidden="false" customHeight="true" outlineLevel="0" collapsed="false">
      <c r="A40" s="58" t="s">
        <v>454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customFormat="false" ht="15" hidden="false" customHeight="true" outlineLevel="0" collapsed="false">
      <c r="B41" s="59" t="s">
        <v>100</v>
      </c>
      <c r="C41" s="65" t="n">
        <f aca="false">Inputs!C$138</f>
        <v>2033</v>
      </c>
      <c r="D41" s="30" t="s">
        <v>455</v>
      </c>
    </row>
    <row r="42" customFormat="false" ht="15" hidden="false" customHeight="true" outlineLevel="0" collapsed="false">
      <c r="B42" s="59" t="s">
        <v>101</v>
      </c>
      <c r="C42" s="68" t="n">
        <f aca="false">Inputs!C$139</f>
        <v>10</v>
      </c>
      <c r="D42" s="30" t="s">
        <v>456</v>
      </c>
    </row>
    <row r="43" customFormat="false" ht="15" hidden="false" customHeight="true" outlineLevel="0" collapsed="false">
      <c r="B43" s="59" t="s">
        <v>102</v>
      </c>
      <c r="C43" s="62" t="n">
        <f aca="false">Inputs!C$140</f>
        <v>0.02</v>
      </c>
      <c r="D43" s="30" t="s">
        <v>457</v>
      </c>
    </row>
    <row r="45" customFormat="false" ht="15" hidden="false" customHeight="true" outlineLevel="0" collapsed="false">
      <c r="A45" s="58" t="s">
        <v>458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customFormat="false" ht="15" hidden="false" customHeight="true" outlineLevel="0" collapsed="false">
      <c r="C46" s="69" t="s">
        <v>262</v>
      </c>
      <c r="D46" s="69" t="s">
        <v>60</v>
      </c>
      <c r="E46" s="70" t="n">
        <f aca="false">Inputs!$C$7+0</f>
        <v>2026</v>
      </c>
      <c r="F46" s="70" t="n">
        <f aca="false">Inputs!$C$7+1</f>
        <v>2027</v>
      </c>
      <c r="G46" s="70" t="n">
        <f aca="false">Inputs!$C$7+2</f>
        <v>2028</v>
      </c>
      <c r="H46" s="70" t="n">
        <f aca="false">Inputs!$C$7+3</f>
        <v>2029</v>
      </c>
      <c r="I46" s="70" t="n">
        <f aca="false">Inputs!$C$7+4</f>
        <v>2030</v>
      </c>
      <c r="J46" s="70" t="n">
        <f aca="false">Inputs!$C$7+5</f>
        <v>2031</v>
      </c>
      <c r="K46" s="70" t="n">
        <f aca="false">Inputs!$C$7+6</f>
        <v>2032</v>
      </c>
      <c r="L46" s="70" t="n">
        <f aca="false">Inputs!$C$7+7</f>
        <v>2033</v>
      </c>
      <c r="M46" s="70" t="n">
        <f aca="false">Inputs!$C$7+8</f>
        <v>2034</v>
      </c>
      <c r="N46" s="70" t="n">
        <f aca="false">Inputs!$C$7+9</f>
        <v>2035</v>
      </c>
      <c r="O46" s="70" t="n">
        <f aca="false">Inputs!$C$7+10</f>
        <v>2036</v>
      </c>
      <c r="P46" s="70" t="n">
        <f aca="false">Inputs!$C$7+11</f>
        <v>2037</v>
      </c>
      <c r="Q46" s="70" t="n">
        <f aca="false">Inputs!$C$7+12</f>
        <v>2038</v>
      </c>
      <c r="R46" s="70" t="n">
        <f aca="false">Inputs!$C$7+13</f>
        <v>2039</v>
      </c>
      <c r="S46" s="70" t="n">
        <f aca="false">Inputs!$C$7+14</f>
        <v>2040</v>
      </c>
      <c r="T46" s="70" t="n">
        <f aca="false">Inputs!$C$7+15</f>
        <v>2041</v>
      </c>
      <c r="U46" s="70" t="n">
        <f aca="false">Inputs!$C$7+16</f>
        <v>2042</v>
      </c>
      <c r="V46" s="70" t="n">
        <f aca="false">Inputs!$C$7+17</f>
        <v>2043</v>
      </c>
      <c r="W46" s="70" t="n">
        <f aca="false">Inputs!$C$7+18</f>
        <v>2044</v>
      </c>
      <c r="X46" s="70" t="n">
        <f aca="false">Inputs!$C$7+19</f>
        <v>2045</v>
      </c>
      <c r="Y46" s="70" t="n">
        <f aca="false">Inputs!$C$7+20</f>
        <v>2046</v>
      </c>
      <c r="Z46" s="70" t="n">
        <f aca="false">Inputs!$C$7+21</f>
        <v>2047</v>
      </c>
      <c r="AA46" s="70" t="n">
        <f aca="false">Inputs!$C$7+22</f>
        <v>2048</v>
      </c>
      <c r="AB46" s="70" t="n">
        <f aca="false">Inputs!$C$7+23</f>
        <v>2049</v>
      </c>
      <c r="AC46" s="70" t="n">
        <f aca="false">Inputs!$C$7+24</f>
        <v>2050</v>
      </c>
      <c r="AD46" s="70" t="n">
        <f aca="false">Inputs!$C$7+25</f>
        <v>2051</v>
      </c>
      <c r="AE46" s="70" t="n">
        <f aca="false">Inputs!$C$7+26</f>
        <v>2052</v>
      </c>
      <c r="AF46" s="70" t="n">
        <f aca="false">Inputs!$C$7+27</f>
        <v>2053</v>
      </c>
      <c r="AG46" s="70" t="n">
        <f aca="false">Inputs!$C$7+28</f>
        <v>2054</v>
      </c>
      <c r="AH46" s="70" t="n">
        <f aca="false">Inputs!$C$7+29</f>
        <v>2055</v>
      </c>
      <c r="AI46" s="70" t="n">
        <f aca="false">Inputs!$C$7+30</f>
        <v>2056</v>
      </c>
      <c r="AJ46" s="70" t="n">
        <f aca="false">Inputs!$C$7+31</f>
        <v>2057</v>
      </c>
      <c r="AK46" s="70" t="n">
        <f aca="false">Inputs!$C$7+32</f>
        <v>2058</v>
      </c>
      <c r="AL46" s="70" t="n">
        <f aca="false">Inputs!$C$7+33</f>
        <v>2059</v>
      </c>
      <c r="AM46" s="70" t="n">
        <f aca="false">Inputs!$C$7+34</f>
        <v>2060</v>
      </c>
      <c r="AN46" s="70" t="n">
        <f aca="false">Inputs!$C$7+35</f>
        <v>2061</v>
      </c>
      <c r="AO46" s="70" t="n">
        <f aca="false">Inputs!$C$7+36</f>
        <v>2062</v>
      </c>
      <c r="AP46" s="70" t="n">
        <f aca="false">Inputs!$C$7+37</f>
        <v>2063</v>
      </c>
      <c r="AQ46" s="70" t="n">
        <f aca="false">Inputs!$C$7+38</f>
        <v>2064</v>
      </c>
      <c r="AR46" s="70" t="n">
        <f aca="false">Inputs!$C$7+39</f>
        <v>2065</v>
      </c>
      <c r="AS46" s="70" t="n">
        <f aca="false">Inputs!$C$7+40</f>
        <v>2066</v>
      </c>
      <c r="AT46" s="70" t="n">
        <f aca="false">Inputs!$C$7+41</f>
        <v>2067</v>
      </c>
      <c r="AU46" s="70" t="n">
        <f aca="false">Inputs!$C$7+42</f>
        <v>2068</v>
      </c>
      <c r="AV46" s="70" t="n">
        <f aca="false">Inputs!$C$7+43</f>
        <v>2069</v>
      </c>
      <c r="AW46" s="70" t="n">
        <f aca="false">Inputs!$C$7+44</f>
        <v>2070</v>
      </c>
      <c r="AX46" s="70" t="n">
        <f aca="false">Inputs!$C$7+45</f>
        <v>2071</v>
      </c>
      <c r="AY46" s="70" t="n">
        <f aca="false">Inputs!$C$7+46</f>
        <v>2072</v>
      </c>
      <c r="AZ46" s="70" t="n">
        <f aca="false">Inputs!$C$7+47</f>
        <v>2073</v>
      </c>
      <c r="BA46" s="70" t="n">
        <f aca="false">Inputs!$C$7+48</f>
        <v>2074</v>
      </c>
      <c r="BB46" s="70" t="n">
        <f aca="false">Inputs!$C$7+49</f>
        <v>2075</v>
      </c>
    </row>
    <row r="47" customFormat="false" ht="15" hidden="false" customHeight="true" outlineLevel="0" collapsed="false">
      <c r="B47" s="59" t="s">
        <v>459</v>
      </c>
      <c r="C47" s="59" t="s">
        <v>11</v>
      </c>
      <c r="D47" s="63" t="n">
        <f aca="false">SUM(E47:BB47)</f>
        <v>3349176631.65723</v>
      </c>
      <c r="E47" s="61" t="n">
        <f aca="false">CashFlow!D5</f>
        <v>0</v>
      </c>
      <c r="F47" s="61" t="n">
        <f aca="false">CashFlow!E5</f>
        <v>0</v>
      </c>
      <c r="G47" s="61" t="n">
        <f aca="false">CashFlow!F5</f>
        <v>0</v>
      </c>
      <c r="H47" s="61" t="n">
        <f aca="false">CashFlow!G5</f>
        <v>601866</v>
      </c>
      <c r="I47" s="61" t="n">
        <f aca="false">CashFlow!H5</f>
        <v>1212759.99</v>
      </c>
      <c r="J47" s="61" t="n">
        <f aca="false">CashFlow!I5</f>
        <v>21345420.3516824</v>
      </c>
      <c r="K47" s="61" t="n">
        <f aca="false">CashFlow!J5</f>
        <v>41164492.5972408</v>
      </c>
      <c r="L47" s="61" t="n">
        <f aca="false">CashFlow!K5</f>
        <v>61279650.2465879</v>
      </c>
      <c r="M47" s="61" t="n">
        <f aca="false">CashFlow!L5</f>
        <v>65582026.048309</v>
      </c>
      <c r="N47" s="61" t="n">
        <f aca="false">CashFlow!M5</f>
        <v>66073891.2436714</v>
      </c>
      <c r="O47" s="61" t="n">
        <f aca="false">CashFlow!N5</f>
        <v>66569445.4279989</v>
      </c>
      <c r="P47" s="61" t="n">
        <f aca="false">CashFlow!O5</f>
        <v>67068716.2687089</v>
      </c>
      <c r="Q47" s="61" t="n">
        <f aca="false">CashFlow!P5</f>
        <v>67571731.6407242</v>
      </c>
      <c r="R47" s="61" t="n">
        <f aca="false">CashFlow!Q5</f>
        <v>68078519.6280297</v>
      </c>
      <c r="S47" s="61" t="n">
        <f aca="false">CashFlow!R5</f>
        <v>68589108.5252399</v>
      </c>
      <c r="T47" s="61" t="n">
        <f aca="false">CashFlow!S5</f>
        <v>69103526.8391792</v>
      </c>
      <c r="U47" s="61" t="n">
        <f aca="false">CashFlow!T5</f>
        <v>69621803.290473</v>
      </c>
      <c r="V47" s="61" t="n">
        <f aca="false">CashFlow!U5</f>
        <v>70143966.8151516</v>
      </c>
      <c r="W47" s="61" t="n">
        <f aca="false">CashFlow!V5</f>
        <v>70670046.5662652</v>
      </c>
      <c r="X47" s="61" t="n">
        <f aca="false">CashFlow!W5</f>
        <v>71200071.9155122</v>
      </c>
      <c r="Y47" s="61" t="n">
        <f aca="false">CashFlow!X5</f>
        <v>71734072.4548786</v>
      </c>
      <c r="Z47" s="61" t="n">
        <f aca="false">CashFlow!Y5</f>
        <v>72272077.9982902</v>
      </c>
      <c r="AA47" s="61" t="n">
        <f aca="false">CashFlow!Z5</f>
        <v>72814118.5832773</v>
      </c>
      <c r="AB47" s="61" t="n">
        <f aca="false">CashFlow!AA5</f>
        <v>73360224.4726519</v>
      </c>
      <c r="AC47" s="61" t="n">
        <f aca="false">CashFlow!AB5</f>
        <v>73910426.1561968</v>
      </c>
      <c r="AD47" s="61" t="n">
        <f aca="false">CashFlow!AC5</f>
        <v>74464754.3523683</v>
      </c>
      <c r="AE47" s="61" t="n">
        <f aca="false">CashFlow!AD5</f>
        <v>75023240.0100111</v>
      </c>
      <c r="AF47" s="61" t="n">
        <f aca="false">CashFlow!AE5</f>
        <v>75585914.3100862</v>
      </c>
      <c r="AG47" s="61" t="n">
        <f aca="false">CashFlow!AF5</f>
        <v>76152808.6674118</v>
      </c>
      <c r="AH47" s="61" t="n">
        <f aca="false">CashFlow!AG5</f>
        <v>76723954.7324174</v>
      </c>
      <c r="AI47" s="61" t="n">
        <f aca="false">CashFlow!AH5</f>
        <v>77299384.3929105</v>
      </c>
      <c r="AJ47" s="61" t="n">
        <f aca="false">CashFlow!AI5</f>
        <v>77879129.7758574</v>
      </c>
      <c r="AK47" s="61" t="n">
        <f aca="false">CashFlow!AJ5</f>
        <v>78463223.2491763</v>
      </c>
      <c r="AL47" s="61" t="n">
        <f aca="false">CashFlow!AK5</f>
        <v>79051697.4235451</v>
      </c>
      <c r="AM47" s="61" t="n">
        <f aca="false">CashFlow!AL5</f>
        <v>79644585.1542217</v>
      </c>
      <c r="AN47" s="61" t="n">
        <f aca="false">CashFlow!AM5</f>
        <v>80241919.5428784</v>
      </c>
      <c r="AO47" s="61" t="n">
        <f aca="false">CashFlow!AN5</f>
        <v>80843733.93945</v>
      </c>
      <c r="AP47" s="61" t="n">
        <f aca="false">CashFlow!AO5</f>
        <v>81450061.9439959</v>
      </c>
      <c r="AQ47" s="61" t="n">
        <f aca="false">CashFlow!AP5</f>
        <v>82060937.4085758</v>
      </c>
      <c r="AR47" s="61" t="n">
        <f aca="false">CashFlow!AQ5</f>
        <v>82676394.4391402</v>
      </c>
      <c r="AS47" s="61" t="n">
        <f aca="false">CashFlow!AR5</f>
        <v>83296467.3974337</v>
      </c>
      <c r="AT47" s="61" t="n">
        <f aca="false">CashFlow!AS5</f>
        <v>83921190.9029145</v>
      </c>
      <c r="AU47" s="61" t="n">
        <f aca="false">CashFlow!AT5</f>
        <v>84550599.8346863</v>
      </c>
      <c r="AV47" s="61" t="n">
        <f aca="false">CashFlow!AU5</f>
        <v>85184729.3334465</v>
      </c>
      <c r="AW47" s="61" t="n">
        <f aca="false">CashFlow!AV5</f>
        <v>85823614.8034473</v>
      </c>
      <c r="AX47" s="61" t="n">
        <f aca="false">CashFlow!AW5</f>
        <v>86467291.9144732</v>
      </c>
      <c r="AY47" s="61" t="n">
        <f aca="false">CashFlow!AX5</f>
        <v>87115796.6038318</v>
      </c>
      <c r="AZ47" s="61" t="n">
        <f aca="false">CashFlow!AY5</f>
        <v>87769165.0783605</v>
      </c>
      <c r="BA47" s="61" t="n">
        <f aca="false">CashFlow!AZ5</f>
        <v>88427433.8164482</v>
      </c>
      <c r="BB47" s="61" t="n">
        <f aca="false">CashFlow!BA5</f>
        <v>89090639.5700716</v>
      </c>
    </row>
    <row r="48" customFormat="false" ht="15" hidden="false" customHeight="true" outlineLevel="0" collapsed="false">
      <c r="B48" s="59" t="s">
        <v>460</v>
      </c>
      <c r="C48" s="59" t="s">
        <v>11</v>
      </c>
      <c r="D48" s="63" t="n">
        <f aca="false">SUM(E48:BB48)</f>
        <v>-111564447.718655</v>
      </c>
      <c r="E48" s="61" t="n">
        <f aca="false">CashFlow!D6</f>
        <v>-0</v>
      </c>
      <c r="F48" s="61" t="n">
        <f aca="false">CashFlow!E6</f>
        <v>-0</v>
      </c>
      <c r="G48" s="61" t="n">
        <f aca="false">CashFlow!F6</f>
        <v>-0</v>
      </c>
      <c r="H48" s="61" t="n">
        <f aca="false">CashFlow!G6</f>
        <v>-0</v>
      </c>
      <c r="I48" s="61" t="n">
        <f aca="false">CashFlow!H6</f>
        <v>-0</v>
      </c>
      <c r="J48" s="61" t="n">
        <f aca="false">CashFlow!I6</f>
        <v>-2023557.73721188</v>
      </c>
      <c r="K48" s="61" t="n">
        <f aca="false">CashFlow!J6</f>
        <v>-2023557.73721188</v>
      </c>
      <c r="L48" s="61" t="n">
        <f aca="false">CashFlow!K6</f>
        <v>-2023557.73721188</v>
      </c>
      <c r="M48" s="61" t="n">
        <f aca="false">CashFlow!L6</f>
        <v>-2023557.73721188</v>
      </c>
      <c r="N48" s="61" t="n">
        <f aca="false">CashFlow!M6</f>
        <v>-2023557.73721188</v>
      </c>
      <c r="O48" s="61" t="n">
        <f aca="false">CashFlow!N6</f>
        <v>-2124735.62407248</v>
      </c>
      <c r="P48" s="61" t="n">
        <f aca="false">CashFlow!O6</f>
        <v>-2124735.62407248</v>
      </c>
      <c r="Q48" s="61" t="n">
        <f aca="false">CashFlow!P6</f>
        <v>-2124735.62407248</v>
      </c>
      <c r="R48" s="61" t="n">
        <f aca="false">CashFlow!Q6</f>
        <v>-2124735.62407248</v>
      </c>
      <c r="S48" s="61" t="n">
        <f aca="false">CashFlow!R6</f>
        <v>-2124735.62407248</v>
      </c>
      <c r="T48" s="61" t="n">
        <f aca="false">CashFlow!S6</f>
        <v>-2230972.4052761</v>
      </c>
      <c r="U48" s="61" t="n">
        <f aca="false">CashFlow!T6</f>
        <v>-2230972.4052761</v>
      </c>
      <c r="V48" s="61" t="n">
        <f aca="false">CashFlow!U6</f>
        <v>-2230972.4052761</v>
      </c>
      <c r="W48" s="61" t="n">
        <f aca="false">CashFlow!V6</f>
        <v>-2230972.4052761</v>
      </c>
      <c r="X48" s="61" t="n">
        <f aca="false">CashFlow!W6</f>
        <v>-2230972.4052761</v>
      </c>
      <c r="Y48" s="61" t="n">
        <f aca="false">CashFlow!X6</f>
        <v>-2342521.02553991</v>
      </c>
      <c r="Z48" s="61" t="n">
        <f aca="false">CashFlow!Y6</f>
        <v>-2342521.02553991</v>
      </c>
      <c r="AA48" s="61" t="n">
        <f aca="false">CashFlow!Z6</f>
        <v>-2342521.02553991</v>
      </c>
      <c r="AB48" s="61" t="n">
        <f aca="false">CashFlow!AA6</f>
        <v>-2342521.02553991</v>
      </c>
      <c r="AC48" s="61" t="n">
        <f aca="false">CashFlow!AB6</f>
        <v>-2342521.02553991</v>
      </c>
      <c r="AD48" s="61" t="n">
        <f aca="false">CashFlow!AC6</f>
        <v>-2459647.0768169</v>
      </c>
      <c r="AE48" s="61" t="n">
        <f aca="false">CashFlow!AD6</f>
        <v>-2459647.0768169</v>
      </c>
      <c r="AF48" s="61" t="n">
        <f aca="false">CashFlow!AE6</f>
        <v>-2459647.0768169</v>
      </c>
      <c r="AG48" s="61" t="n">
        <f aca="false">CashFlow!AF6</f>
        <v>-2459647.0768169</v>
      </c>
      <c r="AH48" s="61" t="n">
        <f aca="false">CashFlow!AG6</f>
        <v>-2459647.0768169</v>
      </c>
      <c r="AI48" s="61" t="n">
        <f aca="false">CashFlow!AH6</f>
        <v>-2582629.43065775</v>
      </c>
      <c r="AJ48" s="61" t="n">
        <f aca="false">CashFlow!AI6</f>
        <v>-2582629.43065775</v>
      </c>
      <c r="AK48" s="61" t="n">
        <f aca="false">CashFlow!AJ6</f>
        <v>-2582629.43065775</v>
      </c>
      <c r="AL48" s="61" t="n">
        <f aca="false">CashFlow!AK6</f>
        <v>-2582629.43065775</v>
      </c>
      <c r="AM48" s="61" t="n">
        <f aca="false">CashFlow!AL6</f>
        <v>-2582629.43065775</v>
      </c>
      <c r="AN48" s="61" t="n">
        <f aca="false">CashFlow!AM6</f>
        <v>-2711760.90219064</v>
      </c>
      <c r="AO48" s="61" t="n">
        <f aca="false">CashFlow!AN6</f>
        <v>-2711760.90219064</v>
      </c>
      <c r="AP48" s="61" t="n">
        <f aca="false">CashFlow!AO6</f>
        <v>-2711760.90219064</v>
      </c>
      <c r="AQ48" s="61" t="n">
        <f aca="false">CashFlow!AP6</f>
        <v>-2711760.90219064</v>
      </c>
      <c r="AR48" s="61" t="n">
        <f aca="false">CashFlow!AQ6</f>
        <v>-2711760.90219064</v>
      </c>
      <c r="AS48" s="61" t="n">
        <f aca="false">CashFlow!AR6</f>
        <v>-2847348.94730017</v>
      </c>
      <c r="AT48" s="61" t="n">
        <f aca="false">CashFlow!AS6</f>
        <v>-2847348.94730017</v>
      </c>
      <c r="AU48" s="61" t="n">
        <f aca="false">CashFlow!AT6</f>
        <v>-2847348.94730017</v>
      </c>
      <c r="AV48" s="61" t="n">
        <f aca="false">CashFlow!AU6</f>
        <v>-2847348.94730017</v>
      </c>
      <c r="AW48" s="61" t="n">
        <f aca="false">CashFlow!AV6</f>
        <v>-2847348.94730017</v>
      </c>
      <c r="AX48" s="61" t="n">
        <f aca="false">CashFlow!AW6</f>
        <v>-2989716.39466518</v>
      </c>
      <c r="AY48" s="61" t="n">
        <f aca="false">CashFlow!AX6</f>
        <v>-2989716.39466518</v>
      </c>
      <c r="AZ48" s="61" t="n">
        <f aca="false">CashFlow!AY6</f>
        <v>-2989716.39466518</v>
      </c>
      <c r="BA48" s="61" t="n">
        <f aca="false">CashFlow!AZ6</f>
        <v>-2989716.39466518</v>
      </c>
      <c r="BB48" s="61" t="n">
        <f aca="false">CashFlow!BA6</f>
        <v>-2989716.39466518</v>
      </c>
    </row>
    <row r="49" customFormat="false" ht="15" hidden="false" customHeight="true" outlineLevel="0" collapsed="false">
      <c r="B49" s="59" t="s">
        <v>461</v>
      </c>
      <c r="C49" s="59" t="s">
        <v>11</v>
      </c>
      <c r="D49" s="63" t="n">
        <f aca="false">SUM(E49:BB49)</f>
        <v>-386354389.52184</v>
      </c>
      <c r="E49" s="61" t="n">
        <f aca="false">CashFlow!D7</f>
        <v>-0</v>
      </c>
      <c r="F49" s="61" t="n">
        <f aca="false">CashFlow!E7</f>
        <v>-0</v>
      </c>
      <c r="G49" s="61" t="n">
        <f aca="false">CashFlow!F7</f>
        <v>-115257373</v>
      </c>
      <c r="H49" s="61" t="n">
        <f aca="false">CashFlow!G7</f>
        <v>-107381428</v>
      </c>
      <c r="I49" s="61" t="n">
        <f aca="false">CashFlow!H7</f>
        <v>-163715588.52184</v>
      </c>
      <c r="J49" s="61" t="n">
        <f aca="false">CashFlow!I7</f>
        <v>-0</v>
      </c>
      <c r="K49" s="61" t="n">
        <f aca="false">CashFlow!J7</f>
        <v>-0</v>
      </c>
      <c r="L49" s="61" t="n">
        <f aca="false">CashFlow!K7</f>
        <v>-0</v>
      </c>
      <c r="M49" s="61" t="n">
        <f aca="false">CashFlow!L7</f>
        <v>-0</v>
      </c>
      <c r="N49" s="61" t="n">
        <f aca="false">CashFlow!M7</f>
        <v>-0</v>
      </c>
      <c r="O49" s="61" t="n">
        <f aca="false">CashFlow!N7</f>
        <v>-0</v>
      </c>
      <c r="P49" s="61" t="n">
        <f aca="false">CashFlow!O7</f>
        <v>-0</v>
      </c>
      <c r="Q49" s="61" t="n">
        <f aca="false">CashFlow!P7</f>
        <v>-0</v>
      </c>
      <c r="R49" s="61" t="n">
        <f aca="false">CashFlow!Q7</f>
        <v>-0</v>
      </c>
      <c r="S49" s="61" t="n">
        <f aca="false">CashFlow!R7</f>
        <v>-0</v>
      </c>
      <c r="T49" s="61" t="n">
        <f aca="false">CashFlow!S7</f>
        <v>-0</v>
      </c>
      <c r="U49" s="61" t="n">
        <f aca="false">CashFlow!T7</f>
        <v>-0</v>
      </c>
      <c r="V49" s="61" t="n">
        <f aca="false">CashFlow!U7</f>
        <v>-0</v>
      </c>
      <c r="W49" s="61" t="n">
        <f aca="false">CashFlow!V7</f>
        <v>-0</v>
      </c>
      <c r="X49" s="61" t="n">
        <f aca="false">CashFlow!W7</f>
        <v>-0</v>
      </c>
      <c r="Y49" s="61" t="n">
        <f aca="false">CashFlow!X7</f>
        <v>-0</v>
      </c>
      <c r="Z49" s="61" t="n">
        <f aca="false">CashFlow!Y7</f>
        <v>-0</v>
      </c>
      <c r="AA49" s="61" t="n">
        <f aca="false">CashFlow!Z7</f>
        <v>-0</v>
      </c>
      <c r="AB49" s="61" t="n">
        <f aca="false">CashFlow!AA7</f>
        <v>-0</v>
      </c>
      <c r="AC49" s="61" t="n">
        <f aca="false">CashFlow!AB7</f>
        <v>-0</v>
      </c>
      <c r="AD49" s="61" t="n">
        <f aca="false">CashFlow!AC7</f>
        <v>-0</v>
      </c>
      <c r="AE49" s="61" t="n">
        <f aca="false">CashFlow!AD7</f>
        <v>-0</v>
      </c>
      <c r="AF49" s="61" t="n">
        <f aca="false">CashFlow!AE7</f>
        <v>-0</v>
      </c>
      <c r="AG49" s="61" t="n">
        <f aca="false">CashFlow!AF7</f>
        <v>-0</v>
      </c>
      <c r="AH49" s="61" t="n">
        <f aca="false">CashFlow!AG7</f>
        <v>-0</v>
      </c>
      <c r="AI49" s="61" t="n">
        <f aca="false">CashFlow!AH7</f>
        <v>-0</v>
      </c>
      <c r="AJ49" s="61" t="n">
        <f aca="false">CashFlow!AI7</f>
        <v>-0</v>
      </c>
      <c r="AK49" s="61" t="n">
        <f aca="false">CashFlow!AJ7</f>
        <v>-0</v>
      </c>
      <c r="AL49" s="61" t="n">
        <f aca="false">CashFlow!AK7</f>
        <v>-0</v>
      </c>
      <c r="AM49" s="61" t="n">
        <f aca="false">CashFlow!AL7</f>
        <v>-0</v>
      </c>
      <c r="AN49" s="61" t="n">
        <f aca="false">CashFlow!AM7</f>
        <v>-0</v>
      </c>
      <c r="AO49" s="61" t="n">
        <f aca="false">CashFlow!AN7</f>
        <v>-0</v>
      </c>
      <c r="AP49" s="61" t="n">
        <f aca="false">CashFlow!AO7</f>
        <v>-0</v>
      </c>
      <c r="AQ49" s="61" t="n">
        <f aca="false">CashFlow!AP7</f>
        <v>-0</v>
      </c>
      <c r="AR49" s="61" t="n">
        <f aca="false">CashFlow!AQ7</f>
        <v>-0</v>
      </c>
      <c r="AS49" s="61" t="n">
        <f aca="false">CashFlow!AR7</f>
        <v>-0</v>
      </c>
      <c r="AT49" s="61" t="n">
        <f aca="false">CashFlow!AS7</f>
        <v>-0</v>
      </c>
      <c r="AU49" s="61" t="n">
        <f aca="false">CashFlow!AT7</f>
        <v>-0</v>
      </c>
      <c r="AV49" s="61" t="n">
        <f aca="false">CashFlow!AU7</f>
        <v>-0</v>
      </c>
      <c r="AW49" s="61" t="n">
        <f aca="false">CashFlow!AV7</f>
        <v>-0</v>
      </c>
      <c r="AX49" s="61" t="n">
        <f aca="false">CashFlow!AW7</f>
        <v>-0</v>
      </c>
      <c r="AY49" s="61" t="n">
        <f aca="false">CashFlow!AX7</f>
        <v>-0</v>
      </c>
      <c r="AZ49" s="61" t="n">
        <f aca="false">CashFlow!AY7</f>
        <v>-0</v>
      </c>
      <c r="BA49" s="61" t="n">
        <f aca="false">CashFlow!AZ7</f>
        <v>-0</v>
      </c>
      <c r="BB49" s="61" t="n">
        <f aca="false">CashFlow!BA7</f>
        <v>-0</v>
      </c>
    </row>
    <row r="50" customFormat="false" ht="15" hidden="false" customHeight="true" outlineLevel="0" collapsed="false">
      <c r="B50" s="20" t="s">
        <v>462</v>
      </c>
      <c r="C50" s="59" t="s">
        <v>11</v>
      </c>
      <c r="D50" s="63" t="n">
        <f aca="false">SUM(E50:BB50)</f>
        <v>2851257794.41673</v>
      </c>
      <c r="E50" s="63" t="n">
        <f aca="false">E47+E48+E49</f>
        <v>0</v>
      </c>
      <c r="F50" s="63" t="n">
        <f aca="false">F47+F48+F49</f>
        <v>0</v>
      </c>
      <c r="G50" s="63" t="n">
        <f aca="false">G47+G48+G49</f>
        <v>-115257373</v>
      </c>
      <c r="H50" s="63" t="n">
        <f aca="false">H47+H48+H49</f>
        <v>-106779562</v>
      </c>
      <c r="I50" s="63" t="n">
        <f aca="false">I47+I48+I49</f>
        <v>-162502828.53184</v>
      </c>
      <c r="J50" s="63" t="n">
        <f aca="false">J47+J48+J49</f>
        <v>19321862.6144705</v>
      </c>
      <c r="K50" s="63" t="n">
        <f aca="false">K47+K48+K49</f>
        <v>39140934.8600289</v>
      </c>
      <c r="L50" s="63" t="n">
        <f aca="false">L47+L48+L49</f>
        <v>59256092.509376</v>
      </c>
      <c r="M50" s="63" t="n">
        <f aca="false">M47+M48+M49</f>
        <v>63558468.3110972</v>
      </c>
      <c r="N50" s="63" t="n">
        <f aca="false">N47+N48+N49</f>
        <v>64050333.5064595</v>
      </c>
      <c r="O50" s="63" t="n">
        <f aca="false">O47+O48+O49</f>
        <v>64444709.8039264</v>
      </c>
      <c r="P50" s="63" t="n">
        <f aca="false">P47+P48+P49</f>
        <v>64943980.6446364</v>
      </c>
      <c r="Q50" s="63" t="n">
        <f aca="false">Q47+Q48+Q49</f>
        <v>65446996.0166518</v>
      </c>
      <c r="R50" s="63" t="n">
        <f aca="false">R47+R48+R49</f>
        <v>65953784.0039572</v>
      </c>
      <c r="S50" s="63" t="n">
        <f aca="false">S47+S48+S49</f>
        <v>66464372.9011674</v>
      </c>
      <c r="T50" s="63" t="n">
        <f aca="false">T47+T48+T49</f>
        <v>66872554.4339031</v>
      </c>
      <c r="U50" s="63" t="n">
        <f aca="false">U47+U48+U49</f>
        <v>67390830.8851969</v>
      </c>
      <c r="V50" s="63" t="n">
        <f aca="false">V47+V48+V49</f>
        <v>67912994.4098755</v>
      </c>
      <c r="W50" s="63" t="n">
        <f aca="false">W47+W48+W49</f>
        <v>68439074.1609891</v>
      </c>
      <c r="X50" s="63" t="n">
        <f aca="false">X47+X48+X49</f>
        <v>68969099.5102361</v>
      </c>
      <c r="Y50" s="63" t="n">
        <f aca="false">Y47+Y48+Y49</f>
        <v>69391551.4293387</v>
      </c>
      <c r="Z50" s="63" t="n">
        <f aca="false">Z47+Z48+Z49</f>
        <v>69929556.9727503</v>
      </c>
      <c r="AA50" s="63" t="n">
        <f aca="false">AA47+AA48+AA49</f>
        <v>70471597.5577374</v>
      </c>
      <c r="AB50" s="63" t="n">
        <f aca="false">AB47+AB48+AB49</f>
        <v>71017703.447112</v>
      </c>
      <c r="AC50" s="63" t="n">
        <f aca="false">AC47+AC48+AC49</f>
        <v>71567905.1306569</v>
      </c>
      <c r="AD50" s="63" t="n">
        <f aca="false">AD47+AD48+AD49</f>
        <v>72005107.2755514</v>
      </c>
      <c r="AE50" s="63" t="n">
        <f aca="false">AE47+AE48+AE49</f>
        <v>72563592.9331942</v>
      </c>
      <c r="AF50" s="63" t="n">
        <f aca="false">AF47+AF48+AF49</f>
        <v>73126267.2332692</v>
      </c>
      <c r="AG50" s="63" t="n">
        <f aca="false">AG47+AG48+AG49</f>
        <v>73693161.5905949</v>
      </c>
      <c r="AH50" s="63" t="n">
        <f aca="false">AH47+AH48+AH49</f>
        <v>74264307.6556005</v>
      </c>
      <c r="AI50" s="63" t="n">
        <f aca="false">AI47+AI48+AI49</f>
        <v>74716754.9622528</v>
      </c>
      <c r="AJ50" s="63" t="n">
        <f aca="false">AJ47+AJ48+AJ49</f>
        <v>75296500.3451996</v>
      </c>
      <c r="AK50" s="63" t="n">
        <f aca="false">AK47+AK48+AK49</f>
        <v>75880593.8185186</v>
      </c>
      <c r="AL50" s="63" t="n">
        <f aca="false">AL47+AL48+AL49</f>
        <v>76469067.9928874</v>
      </c>
      <c r="AM50" s="63" t="n">
        <f aca="false">AM47+AM48+AM49</f>
        <v>77061955.723564</v>
      </c>
      <c r="AN50" s="63" t="n">
        <f aca="false">AN47+AN48+AN49</f>
        <v>77530158.6406878</v>
      </c>
      <c r="AO50" s="63" t="n">
        <f aca="false">AO47+AO48+AO49</f>
        <v>78131973.0372593</v>
      </c>
      <c r="AP50" s="63" t="n">
        <f aca="false">AP47+AP48+AP49</f>
        <v>78738301.0418052</v>
      </c>
      <c r="AQ50" s="63" t="n">
        <f aca="false">AQ47+AQ48+AQ49</f>
        <v>79349176.5063852</v>
      </c>
      <c r="AR50" s="63" t="n">
        <f aca="false">AR47+AR48+AR49</f>
        <v>79964633.5369495</v>
      </c>
      <c r="AS50" s="63" t="n">
        <f aca="false">AS47+AS48+AS49</f>
        <v>80449118.4501336</v>
      </c>
      <c r="AT50" s="63" t="n">
        <f aca="false">AT47+AT48+AT49</f>
        <v>81073841.9556143</v>
      </c>
      <c r="AU50" s="63" t="n">
        <f aca="false">AU47+AU48+AU49</f>
        <v>81703250.8873862</v>
      </c>
      <c r="AV50" s="63" t="n">
        <f aca="false">AV47+AV48+AV49</f>
        <v>82337380.3861463</v>
      </c>
      <c r="AW50" s="63" t="n">
        <f aca="false">AW47+AW48+AW49</f>
        <v>82976265.8561472</v>
      </c>
      <c r="AX50" s="63" t="n">
        <f aca="false">AX47+AX48+AX49</f>
        <v>83477575.519808</v>
      </c>
      <c r="AY50" s="63" t="n">
        <f aca="false">AY47+AY48+AY49</f>
        <v>84126080.2091666</v>
      </c>
      <c r="AZ50" s="63" t="n">
        <f aca="false">AZ47+AZ48+AZ49</f>
        <v>84779448.6836953</v>
      </c>
      <c r="BA50" s="63" t="n">
        <f aca="false">BA47+BA48+BA49</f>
        <v>85437717.421783</v>
      </c>
      <c r="BB50" s="63" t="n">
        <f aca="false">BB47+BB48+BB49</f>
        <v>86100923.1754064</v>
      </c>
    </row>
    <row r="51" customFormat="false" ht="15" hidden="false" customHeight="true" outlineLevel="0" collapsed="false">
      <c r="B51" s="59" t="s">
        <v>463</v>
      </c>
      <c r="C51" s="59" t="s">
        <v>11</v>
      </c>
      <c r="D51" s="63" t="n">
        <f aca="false">SUM(E51:BB51)</f>
        <v>600540572.416561</v>
      </c>
      <c r="E51" s="66" t="n">
        <f aca="false">IF(E$46=$C$41,E47*$C$42*(1-$C$43),0)</f>
        <v>0</v>
      </c>
      <c r="F51" s="66" t="n">
        <f aca="false">IF(F$46=$C$41,F47*$C$42*(1-$C$43),0)</f>
        <v>0</v>
      </c>
      <c r="G51" s="66" t="n">
        <f aca="false">IF(G$46=$C$41,G47*$C$42*(1-$C$43),0)</f>
        <v>0</v>
      </c>
      <c r="H51" s="66" t="n">
        <f aca="false">IF(H$46=$C$41,H47*$C$42*(1-$C$43),0)</f>
        <v>0</v>
      </c>
      <c r="I51" s="66" t="n">
        <f aca="false">IF(I$46=$C$41,I47*$C$42*(1-$C$43),0)</f>
        <v>0</v>
      </c>
      <c r="J51" s="66" t="n">
        <f aca="false">IF(J$46=$C$41,J47*$C$42*(1-$C$43),0)</f>
        <v>0</v>
      </c>
      <c r="K51" s="66" t="n">
        <f aca="false">IF(K$46=$C$41,K47*$C$42*(1-$C$43),0)</f>
        <v>0</v>
      </c>
      <c r="L51" s="66" t="n">
        <f aca="false">IF(L$46=$C$41,L47*$C$42*(1-$C$43),0)</f>
        <v>600540572.416561</v>
      </c>
      <c r="M51" s="66" t="n">
        <f aca="false">IF(M$46=$C$41,M47*$C$42*(1-$C$43),0)</f>
        <v>0</v>
      </c>
      <c r="N51" s="66" t="n">
        <f aca="false">IF(N$46=$C$41,N47*$C$42*(1-$C$43),0)</f>
        <v>0</v>
      </c>
      <c r="O51" s="66" t="n">
        <f aca="false">IF(O$46=$C$41,O47*$C$42*(1-$C$43),0)</f>
        <v>0</v>
      </c>
      <c r="P51" s="66" t="n">
        <f aca="false">IF(P$46=$C$41,P47*$C$42*(1-$C$43),0)</f>
        <v>0</v>
      </c>
      <c r="Q51" s="66" t="n">
        <f aca="false">IF(Q$46=$C$41,Q47*$C$42*(1-$C$43),0)</f>
        <v>0</v>
      </c>
      <c r="R51" s="66" t="n">
        <f aca="false">IF(R$46=$C$41,R47*$C$42*(1-$C$43),0)</f>
        <v>0</v>
      </c>
      <c r="S51" s="66" t="n">
        <f aca="false">IF(S$46=$C$41,S47*$C$42*(1-$C$43),0)</f>
        <v>0</v>
      </c>
      <c r="T51" s="66" t="n">
        <f aca="false">IF(T$46=$C$41,T47*$C$42*(1-$C$43),0)</f>
        <v>0</v>
      </c>
      <c r="U51" s="66" t="n">
        <f aca="false">IF(U$46=$C$41,U47*$C$42*(1-$C$43),0)</f>
        <v>0</v>
      </c>
      <c r="V51" s="66" t="n">
        <f aca="false">IF(V$46=$C$41,V47*$C$42*(1-$C$43),0)</f>
        <v>0</v>
      </c>
      <c r="W51" s="66" t="n">
        <f aca="false">IF(W$46=$C$41,W47*$C$42*(1-$C$43),0)</f>
        <v>0</v>
      </c>
      <c r="X51" s="66" t="n">
        <f aca="false">IF(X$46=$C$41,X47*$C$42*(1-$C$43),0)</f>
        <v>0</v>
      </c>
      <c r="Y51" s="66" t="n">
        <f aca="false">IF(Y$46=$C$41,Y47*$C$42*(1-$C$43),0)</f>
        <v>0</v>
      </c>
      <c r="Z51" s="66" t="n">
        <f aca="false">IF(Z$46=$C$41,Z47*$C$42*(1-$C$43),0)</f>
        <v>0</v>
      </c>
      <c r="AA51" s="66" t="n">
        <f aca="false">IF(AA$46=$C$41,AA47*$C$42*(1-$C$43),0)</f>
        <v>0</v>
      </c>
      <c r="AB51" s="66" t="n">
        <f aca="false">IF(AB$46=$C$41,AB47*$C$42*(1-$C$43),0)</f>
        <v>0</v>
      </c>
      <c r="AC51" s="66" t="n">
        <f aca="false">IF(AC$46=$C$41,AC47*$C$42*(1-$C$43),0)</f>
        <v>0</v>
      </c>
      <c r="AD51" s="66" t="n">
        <f aca="false">IF(AD$46=$C$41,AD47*$C$42*(1-$C$43),0)</f>
        <v>0</v>
      </c>
      <c r="AE51" s="66" t="n">
        <f aca="false">IF(AE$46=$C$41,AE47*$C$42*(1-$C$43),0)</f>
        <v>0</v>
      </c>
      <c r="AF51" s="66" t="n">
        <f aca="false">IF(AF$46=$C$41,AF47*$C$42*(1-$C$43),0)</f>
        <v>0</v>
      </c>
      <c r="AG51" s="66" t="n">
        <f aca="false">IF(AG$46=$C$41,AG47*$C$42*(1-$C$43),0)</f>
        <v>0</v>
      </c>
      <c r="AH51" s="66" t="n">
        <f aca="false">IF(AH$46=$C$41,AH47*$C$42*(1-$C$43),0)</f>
        <v>0</v>
      </c>
      <c r="AI51" s="66" t="n">
        <f aca="false">IF(AI$46=$C$41,AI47*$C$42*(1-$C$43),0)</f>
        <v>0</v>
      </c>
      <c r="AJ51" s="66" t="n">
        <f aca="false">IF(AJ$46=$C$41,AJ47*$C$42*(1-$C$43),0)</f>
        <v>0</v>
      </c>
      <c r="AK51" s="66" t="n">
        <f aca="false">IF(AK$46=$C$41,AK47*$C$42*(1-$C$43),0)</f>
        <v>0</v>
      </c>
      <c r="AL51" s="66" t="n">
        <f aca="false">IF(AL$46=$C$41,AL47*$C$42*(1-$C$43),0)</f>
        <v>0</v>
      </c>
      <c r="AM51" s="66" t="n">
        <f aca="false">IF(AM$46=$C$41,AM47*$C$42*(1-$C$43),0)</f>
        <v>0</v>
      </c>
      <c r="AN51" s="66" t="n">
        <f aca="false">IF(AN$46=$C$41,AN47*$C$42*(1-$C$43),0)</f>
        <v>0</v>
      </c>
      <c r="AO51" s="66" t="n">
        <f aca="false">IF(AO$46=$C$41,AO47*$C$42*(1-$C$43),0)</f>
        <v>0</v>
      </c>
      <c r="AP51" s="66" t="n">
        <f aca="false">IF(AP$46=$C$41,AP47*$C$42*(1-$C$43),0)</f>
        <v>0</v>
      </c>
      <c r="AQ51" s="66" t="n">
        <f aca="false">IF(AQ$46=$C$41,AQ47*$C$42*(1-$C$43),0)</f>
        <v>0</v>
      </c>
      <c r="AR51" s="66" t="n">
        <f aca="false">IF(AR$46=$C$41,AR47*$C$42*(1-$C$43),0)</f>
        <v>0</v>
      </c>
      <c r="AS51" s="66" t="n">
        <f aca="false">IF(AS$46=$C$41,AS47*$C$42*(1-$C$43),0)</f>
        <v>0</v>
      </c>
      <c r="AT51" s="66" t="n">
        <f aca="false">IF(AT$46=$C$41,AT47*$C$42*(1-$C$43),0)</f>
        <v>0</v>
      </c>
      <c r="AU51" s="66" t="n">
        <f aca="false">IF(AU$46=$C$41,AU47*$C$42*(1-$C$43),0)</f>
        <v>0</v>
      </c>
      <c r="AV51" s="66" t="n">
        <f aca="false">IF(AV$46=$C$41,AV47*$C$42*(1-$C$43),0)</f>
        <v>0</v>
      </c>
      <c r="AW51" s="66" t="n">
        <f aca="false">IF(AW$46=$C$41,AW47*$C$42*(1-$C$43),0)</f>
        <v>0</v>
      </c>
      <c r="AX51" s="66" t="n">
        <f aca="false">IF(AX$46=$C$41,AX47*$C$42*(1-$C$43),0)</f>
        <v>0</v>
      </c>
      <c r="AY51" s="66" t="n">
        <f aca="false">IF(AY$46=$C$41,AY47*$C$42*(1-$C$43),0)</f>
        <v>0</v>
      </c>
      <c r="AZ51" s="66" t="n">
        <f aca="false">IF(AZ$46=$C$41,AZ47*$C$42*(1-$C$43),0)</f>
        <v>0</v>
      </c>
      <c r="BA51" s="66" t="n">
        <f aca="false">IF(BA$46=$C$41,BA47*$C$42*(1-$C$43),0)</f>
        <v>0</v>
      </c>
      <c r="BB51" s="66" t="n">
        <f aca="false">IF(BB$46=$C$41,BB47*$C$42*(1-$C$43),0)</f>
        <v>0</v>
      </c>
    </row>
    <row r="52" customFormat="false" ht="15" hidden="false" customHeight="true" outlineLevel="0" collapsed="false">
      <c r="B52" s="59" t="s">
        <v>464</v>
      </c>
      <c r="C52" s="59" t="s">
        <v>11</v>
      </c>
      <c r="D52" s="63" t="n">
        <f aca="false">SUM(E52:BB52)</f>
        <v>333719698.868597</v>
      </c>
      <c r="E52" s="66" t="n">
        <f aca="false">IF(AND(E$46&gt;=$C$9,E$46&lt;=$C$41),E50+E51,0)</f>
        <v>0</v>
      </c>
      <c r="F52" s="66" t="n">
        <f aca="false">IF(AND(F$46&gt;=$C$9,F$46&lt;=$C$41),F50+F51,0)</f>
        <v>0</v>
      </c>
      <c r="G52" s="66" t="n">
        <f aca="false">IF(AND(G$46&gt;=$C$9,G$46&lt;=$C$41),G50+G51,0)</f>
        <v>-115257373</v>
      </c>
      <c r="H52" s="66" t="n">
        <f aca="false">IF(AND(H$46&gt;=$C$9,H$46&lt;=$C$41),H50+H51,0)</f>
        <v>-106779562</v>
      </c>
      <c r="I52" s="66" t="n">
        <f aca="false">IF(AND(I$46&gt;=$C$9,I$46&lt;=$C$41),I50+I51,0)</f>
        <v>-162502828.53184</v>
      </c>
      <c r="J52" s="66" t="n">
        <f aca="false">IF(AND(J$46&gt;=$C$9,J$46&lt;=$C$41),J50+J51,0)</f>
        <v>19321862.6144705</v>
      </c>
      <c r="K52" s="66" t="n">
        <f aca="false">IF(AND(K$46&gt;=$C$9,K$46&lt;=$C$41),K50+K51,0)</f>
        <v>39140934.8600289</v>
      </c>
      <c r="L52" s="66" t="n">
        <f aca="false">IF(AND(L$46&gt;=$C$9,L$46&lt;=$C$41),L50+L51,0)</f>
        <v>659796664.925937</v>
      </c>
      <c r="M52" s="66" t="n">
        <f aca="false">IF(AND(M$46&gt;=$C$9,M$46&lt;=$C$41),M50+M51,0)</f>
        <v>0</v>
      </c>
      <c r="N52" s="66" t="n">
        <f aca="false">IF(AND(N$46&gt;=$C$9,N$46&lt;=$C$41),N50+N51,0)</f>
        <v>0</v>
      </c>
      <c r="O52" s="66" t="n">
        <f aca="false">IF(AND(O$46&gt;=$C$9,O$46&lt;=$C$41),O50+O51,0)</f>
        <v>0</v>
      </c>
      <c r="P52" s="66" t="n">
        <f aca="false">IF(AND(P$46&gt;=$C$9,P$46&lt;=$C$41),P50+P51,0)</f>
        <v>0</v>
      </c>
      <c r="Q52" s="66" t="n">
        <f aca="false">IF(AND(Q$46&gt;=$C$9,Q$46&lt;=$C$41),Q50+Q51,0)</f>
        <v>0</v>
      </c>
      <c r="R52" s="66" t="n">
        <f aca="false">IF(AND(R$46&gt;=$C$9,R$46&lt;=$C$41),R50+R51,0)</f>
        <v>0</v>
      </c>
      <c r="S52" s="66" t="n">
        <f aca="false">IF(AND(S$46&gt;=$C$9,S$46&lt;=$C$41),S50+S51,0)</f>
        <v>0</v>
      </c>
      <c r="T52" s="66" t="n">
        <f aca="false">IF(AND(T$46&gt;=$C$9,T$46&lt;=$C$41),T50+T51,0)</f>
        <v>0</v>
      </c>
      <c r="U52" s="66" t="n">
        <f aca="false">IF(AND(U$46&gt;=$C$9,U$46&lt;=$C$41),U50+U51,0)</f>
        <v>0</v>
      </c>
      <c r="V52" s="66" t="n">
        <f aca="false">IF(AND(V$46&gt;=$C$9,V$46&lt;=$C$41),V50+V51,0)</f>
        <v>0</v>
      </c>
      <c r="W52" s="66" t="n">
        <f aca="false">IF(AND(W$46&gt;=$C$9,W$46&lt;=$C$41),W50+W51,0)</f>
        <v>0</v>
      </c>
      <c r="X52" s="66" t="n">
        <f aca="false">IF(AND(X$46&gt;=$C$9,X$46&lt;=$C$41),X50+X51,0)</f>
        <v>0</v>
      </c>
      <c r="Y52" s="66" t="n">
        <f aca="false">IF(AND(Y$46&gt;=$C$9,Y$46&lt;=$C$41),Y50+Y51,0)</f>
        <v>0</v>
      </c>
      <c r="Z52" s="66" t="n">
        <f aca="false">IF(AND(Z$46&gt;=$C$9,Z$46&lt;=$C$41),Z50+Z51,0)</f>
        <v>0</v>
      </c>
      <c r="AA52" s="66" t="n">
        <f aca="false">IF(AND(AA$46&gt;=$C$9,AA$46&lt;=$C$41),AA50+AA51,0)</f>
        <v>0</v>
      </c>
      <c r="AB52" s="66" t="n">
        <f aca="false">IF(AND(AB$46&gt;=$C$9,AB$46&lt;=$C$41),AB50+AB51,0)</f>
        <v>0</v>
      </c>
      <c r="AC52" s="66" t="n">
        <f aca="false">IF(AND(AC$46&gt;=$C$9,AC$46&lt;=$C$41),AC50+AC51,0)</f>
        <v>0</v>
      </c>
      <c r="AD52" s="66" t="n">
        <f aca="false">IF(AND(AD$46&gt;=$C$9,AD$46&lt;=$C$41),AD50+AD51,0)</f>
        <v>0</v>
      </c>
      <c r="AE52" s="66" t="n">
        <f aca="false">IF(AND(AE$46&gt;=$C$9,AE$46&lt;=$C$41),AE50+AE51,0)</f>
        <v>0</v>
      </c>
      <c r="AF52" s="66" t="n">
        <f aca="false">IF(AND(AF$46&gt;=$C$9,AF$46&lt;=$C$41),AF50+AF51,0)</f>
        <v>0</v>
      </c>
      <c r="AG52" s="66" t="n">
        <f aca="false">IF(AND(AG$46&gt;=$C$9,AG$46&lt;=$C$41),AG50+AG51,0)</f>
        <v>0</v>
      </c>
      <c r="AH52" s="66" t="n">
        <f aca="false">IF(AND(AH$46&gt;=$C$9,AH$46&lt;=$C$41),AH50+AH51,0)</f>
        <v>0</v>
      </c>
      <c r="AI52" s="66" t="n">
        <f aca="false">IF(AND(AI$46&gt;=$C$9,AI$46&lt;=$C$41),AI50+AI51,0)</f>
        <v>0</v>
      </c>
      <c r="AJ52" s="66" t="n">
        <f aca="false">IF(AND(AJ$46&gt;=$C$9,AJ$46&lt;=$C$41),AJ50+AJ51,0)</f>
        <v>0</v>
      </c>
      <c r="AK52" s="66" t="n">
        <f aca="false">IF(AND(AK$46&gt;=$C$9,AK$46&lt;=$C$41),AK50+AK51,0)</f>
        <v>0</v>
      </c>
      <c r="AL52" s="66" t="n">
        <f aca="false">IF(AND(AL$46&gt;=$C$9,AL$46&lt;=$C$41),AL50+AL51,0)</f>
        <v>0</v>
      </c>
      <c r="AM52" s="66" t="n">
        <f aca="false">IF(AND(AM$46&gt;=$C$9,AM$46&lt;=$C$41),AM50+AM51,0)</f>
        <v>0</v>
      </c>
      <c r="AN52" s="66" t="n">
        <f aca="false">IF(AND(AN$46&gt;=$C$9,AN$46&lt;=$C$41),AN50+AN51,0)</f>
        <v>0</v>
      </c>
      <c r="AO52" s="66" t="n">
        <f aca="false">IF(AND(AO$46&gt;=$C$9,AO$46&lt;=$C$41),AO50+AO51,0)</f>
        <v>0</v>
      </c>
      <c r="AP52" s="66" t="n">
        <f aca="false">IF(AND(AP$46&gt;=$C$9,AP$46&lt;=$C$41),AP50+AP51,0)</f>
        <v>0</v>
      </c>
      <c r="AQ52" s="66" t="n">
        <f aca="false">IF(AND(AQ$46&gt;=$C$9,AQ$46&lt;=$C$41),AQ50+AQ51,0)</f>
        <v>0</v>
      </c>
      <c r="AR52" s="66" t="n">
        <f aca="false">IF(AND(AR$46&gt;=$C$9,AR$46&lt;=$C$41),AR50+AR51,0)</f>
        <v>0</v>
      </c>
      <c r="AS52" s="66" t="n">
        <f aca="false">IF(AND(AS$46&gt;=$C$9,AS$46&lt;=$C$41),AS50+AS51,0)</f>
        <v>0</v>
      </c>
      <c r="AT52" s="66" t="n">
        <f aca="false">IF(AND(AT$46&gt;=$C$9,AT$46&lt;=$C$41),AT50+AT51,0)</f>
        <v>0</v>
      </c>
      <c r="AU52" s="66" t="n">
        <f aca="false">IF(AND(AU$46&gt;=$C$9,AU$46&lt;=$C$41),AU50+AU51,0)</f>
        <v>0</v>
      </c>
      <c r="AV52" s="66" t="n">
        <f aca="false">IF(AND(AV$46&gt;=$C$9,AV$46&lt;=$C$41),AV50+AV51,0)</f>
        <v>0</v>
      </c>
      <c r="AW52" s="66" t="n">
        <f aca="false">IF(AND(AW$46&gt;=$C$9,AW$46&lt;=$C$41),AW50+AW51,0)</f>
        <v>0</v>
      </c>
      <c r="AX52" s="66" t="n">
        <f aca="false">IF(AND(AX$46&gt;=$C$9,AX$46&lt;=$C$41),AX50+AX51,0)</f>
        <v>0</v>
      </c>
      <c r="AY52" s="66" t="n">
        <f aca="false">IF(AND(AY$46&gt;=$C$9,AY$46&lt;=$C$41),AY50+AY51,0)</f>
        <v>0</v>
      </c>
      <c r="AZ52" s="66" t="n">
        <f aca="false">IF(AND(AZ$46&gt;=$C$9,AZ$46&lt;=$C$41),AZ50+AZ51,0)</f>
        <v>0</v>
      </c>
      <c r="BA52" s="66" t="n">
        <f aca="false">IF(AND(BA$46&gt;=$C$9,BA$46&lt;=$C$41),BA50+BA51,0)</f>
        <v>0</v>
      </c>
      <c r="BB52" s="66" t="n">
        <f aca="false">IF(AND(BB$46&gt;=$C$9,BB$46&lt;=$C$41),BB50+BB51,0)</f>
        <v>0</v>
      </c>
    </row>
    <row r="54" customFormat="false" ht="15" hidden="false" customHeight="true" outlineLevel="0" collapsed="false">
      <c r="A54" s="58" t="s">
        <v>465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customFormat="false" ht="15" hidden="false" customHeight="true" outlineLevel="0" collapsed="false">
      <c r="C55" s="69" t="s">
        <v>262</v>
      </c>
      <c r="D55" s="69" t="s">
        <v>60</v>
      </c>
      <c r="E55" s="70" t="n">
        <f aca="false">E$46</f>
        <v>2026</v>
      </c>
      <c r="F55" s="70" t="n">
        <f aca="false">F$46</f>
        <v>2027</v>
      </c>
      <c r="G55" s="70" t="n">
        <f aca="false">G$46</f>
        <v>2028</v>
      </c>
      <c r="H55" s="70" t="n">
        <f aca="false">H$46</f>
        <v>2029</v>
      </c>
      <c r="I55" s="70" t="n">
        <f aca="false">I$46</f>
        <v>2030</v>
      </c>
      <c r="J55" s="70" t="n">
        <f aca="false">J$46</f>
        <v>2031</v>
      </c>
      <c r="K55" s="70" t="n">
        <f aca="false">K$46</f>
        <v>2032</v>
      </c>
      <c r="L55" s="70" t="n">
        <f aca="false">L$46</f>
        <v>2033</v>
      </c>
      <c r="M55" s="70" t="n">
        <f aca="false">M$46</f>
        <v>2034</v>
      </c>
      <c r="N55" s="70" t="n">
        <f aca="false">N$46</f>
        <v>2035</v>
      </c>
      <c r="O55" s="70" t="n">
        <f aca="false">O$46</f>
        <v>2036</v>
      </c>
      <c r="P55" s="70" t="n">
        <f aca="false">P$46</f>
        <v>2037</v>
      </c>
      <c r="Q55" s="70" t="n">
        <f aca="false">Q$46</f>
        <v>2038</v>
      </c>
      <c r="R55" s="70" t="n">
        <f aca="false">R$46</f>
        <v>2039</v>
      </c>
      <c r="S55" s="70" t="n">
        <f aca="false">S$46</f>
        <v>2040</v>
      </c>
      <c r="T55" s="70" t="n">
        <f aca="false">T$46</f>
        <v>2041</v>
      </c>
      <c r="U55" s="70" t="n">
        <f aca="false">U$46</f>
        <v>2042</v>
      </c>
      <c r="V55" s="70" t="n">
        <f aca="false">V$46</f>
        <v>2043</v>
      </c>
      <c r="W55" s="70" t="n">
        <f aca="false">W$46</f>
        <v>2044</v>
      </c>
      <c r="X55" s="70" t="n">
        <f aca="false">X$46</f>
        <v>2045</v>
      </c>
      <c r="Y55" s="70" t="n">
        <f aca="false">Y$46</f>
        <v>2046</v>
      </c>
      <c r="Z55" s="70" t="n">
        <f aca="false">Z$46</f>
        <v>2047</v>
      </c>
      <c r="AA55" s="70" t="n">
        <f aca="false">AA$46</f>
        <v>2048</v>
      </c>
      <c r="AB55" s="70" t="n">
        <f aca="false">AB$46</f>
        <v>2049</v>
      </c>
      <c r="AC55" s="70" t="n">
        <f aca="false">AC$46</f>
        <v>2050</v>
      </c>
      <c r="AD55" s="70" t="n">
        <f aca="false">AD$46</f>
        <v>2051</v>
      </c>
      <c r="AE55" s="70" t="n">
        <f aca="false">AE$46</f>
        <v>2052</v>
      </c>
      <c r="AF55" s="70" t="n">
        <f aca="false">AF$46</f>
        <v>2053</v>
      </c>
      <c r="AG55" s="70" t="n">
        <f aca="false">AG$46</f>
        <v>2054</v>
      </c>
      <c r="AH55" s="70" t="n">
        <f aca="false">AH$46</f>
        <v>2055</v>
      </c>
      <c r="AI55" s="70" t="n">
        <f aca="false">AI$46</f>
        <v>2056</v>
      </c>
      <c r="AJ55" s="70" t="n">
        <f aca="false">AJ$46</f>
        <v>2057</v>
      </c>
      <c r="AK55" s="70" t="n">
        <f aca="false">AK$46</f>
        <v>2058</v>
      </c>
      <c r="AL55" s="70" t="n">
        <f aca="false">AL$46</f>
        <v>2059</v>
      </c>
      <c r="AM55" s="70" t="n">
        <f aca="false">AM$46</f>
        <v>2060</v>
      </c>
      <c r="AN55" s="70" t="n">
        <f aca="false">AN$46</f>
        <v>2061</v>
      </c>
      <c r="AO55" s="70" t="n">
        <f aca="false">AO$46</f>
        <v>2062</v>
      </c>
      <c r="AP55" s="70" t="n">
        <f aca="false">AP$46</f>
        <v>2063</v>
      </c>
      <c r="AQ55" s="70" t="n">
        <f aca="false">AQ$46</f>
        <v>2064</v>
      </c>
      <c r="AR55" s="70" t="n">
        <f aca="false">AR$46</f>
        <v>2065</v>
      </c>
      <c r="AS55" s="70" t="n">
        <f aca="false">AS$46</f>
        <v>2066</v>
      </c>
      <c r="AT55" s="70" t="n">
        <f aca="false">AT$46</f>
        <v>2067</v>
      </c>
      <c r="AU55" s="70" t="n">
        <f aca="false">AU$46</f>
        <v>2068</v>
      </c>
      <c r="AV55" s="70" t="n">
        <f aca="false">AV$46</f>
        <v>2069</v>
      </c>
      <c r="AW55" s="70" t="n">
        <f aca="false">AW$46</f>
        <v>2070</v>
      </c>
      <c r="AX55" s="70" t="n">
        <f aca="false">AX$46</f>
        <v>2071</v>
      </c>
      <c r="AY55" s="70" t="n">
        <f aca="false">AY$46</f>
        <v>2072</v>
      </c>
      <c r="AZ55" s="70" t="n">
        <f aca="false">AZ$46</f>
        <v>2073</v>
      </c>
      <c r="BA55" s="70" t="n">
        <f aca="false">BA$46</f>
        <v>2074</v>
      </c>
      <c r="BB55" s="70" t="n">
        <f aca="false">BB$46</f>
        <v>2075</v>
      </c>
    </row>
    <row r="56" customFormat="false" ht="15" hidden="false" customHeight="true" outlineLevel="0" collapsed="false">
      <c r="B56" s="59" t="s">
        <v>466</v>
      </c>
      <c r="C56" s="59" t="s">
        <v>11</v>
      </c>
      <c r="D56" s="63" t="n">
        <f aca="false">SUM(E56:BB56)</f>
        <v>213918798.466444</v>
      </c>
      <c r="E56" s="66" t="n">
        <f aca="false">IF(AND(E49&lt;0,E$46&gt;=$C$9,E$46&lt;=$C$41),ABS(E49/$D$49)*$C$14,0)+E70</f>
        <v>0</v>
      </c>
      <c r="F56" s="66" t="n">
        <f aca="false">IF(AND(F49&lt;0,F$46&gt;=$C$9,F$46&lt;=$C$41),ABS(F49/$D$49)*$C$14,0)+F70</f>
        <v>6923741.81179713</v>
      </c>
      <c r="G56" s="66" t="n">
        <f aca="false">IF(AND(G49&lt;0,G$46&gt;=$C$9,G$46&lt;=$C$41),ABS(G49/$D$49)*$C$14,0)+G70</f>
        <v>58705083.1137227</v>
      </c>
      <c r="H56" s="66" t="n">
        <f aca="false">IF(AND(H49&lt;0,H$46&gt;=$C$9,H$46&lt;=$C$41),ABS(H49/$D$49)*$C$14,0)+H70</f>
        <v>55739756.3341824</v>
      </c>
      <c r="I56" s="66" t="n">
        <f aca="false">IF(AND(I49&lt;0,I$46&gt;=$C$9,I$46&lt;=$C$41),ABS(I49/$D$49)*$C$14,0)+I70</f>
        <v>85335838.1953489</v>
      </c>
      <c r="J56" s="66" t="n">
        <f aca="false">IF(AND(J49&lt;0,J$46&gt;=$C$9,J$46&lt;=$C$41),ABS(J49/$D$49)*$C$14,0)+J70</f>
        <v>3607189.50569656</v>
      </c>
      <c r="K56" s="66" t="n">
        <f aca="false">IF(AND(K49&lt;0,K$46&gt;=$C$9,K$46&lt;=$C$41),ABS(K49/$D$49)*$C$14,0)+K70</f>
        <v>3607189.50569656</v>
      </c>
      <c r="L56" s="66" t="n">
        <f aca="false">IF(AND(L49&lt;0,L$46&gt;=$C$9,L$46&lt;=$C$41),ABS(L49/$D$49)*$C$14,0)+L70</f>
        <v>0</v>
      </c>
      <c r="M56" s="66" t="n">
        <f aca="false">IF(AND(M49&lt;0,M$46&gt;=$C$9,M$46&lt;=$C$41),ABS(M49/$D$49)*$C$14,0)+M70</f>
        <v>0</v>
      </c>
      <c r="N56" s="66" t="n">
        <f aca="false">IF(AND(N49&lt;0,N$46&gt;=$C$9,N$46&lt;=$C$41),ABS(N49/$D$49)*$C$14,0)+N70</f>
        <v>0</v>
      </c>
      <c r="O56" s="66" t="n">
        <f aca="false">IF(AND(O49&lt;0,O$46&gt;=$C$9,O$46&lt;=$C$41),ABS(O49/$D$49)*$C$14,0)+O70</f>
        <v>0</v>
      </c>
      <c r="P56" s="66" t="n">
        <f aca="false">IF(AND(P49&lt;0,P$46&gt;=$C$9,P$46&lt;=$C$41),ABS(P49/$D$49)*$C$14,0)+P70</f>
        <v>0</v>
      </c>
      <c r="Q56" s="66" t="n">
        <f aca="false">IF(AND(Q49&lt;0,Q$46&gt;=$C$9,Q$46&lt;=$C$41),ABS(Q49/$D$49)*$C$14,0)+Q70</f>
        <v>0</v>
      </c>
      <c r="R56" s="66" t="n">
        <f aca="false">IF(AND(R49&lt;0,R$46&gt;=$C$9,R$46&lt;=$C$41),ABS(R49/$D$49)*$C$14,0)+R70</f>
        <v>0</v>
      </c>
      <c r="S56" s="66" t="n">
        <f aca="false">IF(AND(S49&lt;0,S$46&gt;=$C$9,S$46&lt;=$C$41),ABS(S49/$D$49)*$C$14,0)+S70</f>
        <v>0</v>
      </c>
      <c r="T56" s="66" t="n">
        <f aca="false">IF(AND(T49&lt;0,T$46&gt;=$C$9,T$46&lt;=$C$41),ABS(T49/$D$49)*$C$14,0)+T70</f>
        <v>0</v>
      </c>
      <c r="U56" s="66" t="n">
        <f aca="false">IF(AND(U49&lt;0,U$46&gt;=$C$9,U$46&lt;=$C$41),ABS(U49/$D$49)*$C$14,0)+U70</f>
        <v>0</v>
      </c>
      <c r="V56" s="66" t="n">
        <f aca="false">IF(AND(V49&lt;0,V$46&gt;=$C$9,V$46&lt;=$C$41),ABS(V49/$D$49)*$C$14,0)+V70</f>
        <v>0</v>
      </c>
      <c r="W56" s="66" t="n">
        <f aca="false">IF(AND(W49&lt;0,W$46&gt;=$C$9,W$46&lt;=$C$41),ABS(W49/$D$49)*$C$14,0)+W70</f>
        <v>0</v>
      </c>
      <c r="X56" s="66" t="n">
        <f aca="false">IF(AND(X49&lt;0,X$46&gt;=$C$9,X$46&lt;=$C$41),ABS(X49/$D$49)*$C$14,0)+X70</f>
        <v>0</v>
      </c>
      <c r="Y56" s="66" t="n">
        <f aca="false">IF(AND(Y49&lt;0,Y$46&gt;=$C$9,Y$46&lt;=$C$41),ABS(Y49/$D$49)*$C$14,0)+Y70</f>
        <v>0</v>
      </c>
      <c r="Z56" s="66" t="n">
        <f aca="false">IF(AND(Z49&lt;0,Z$46&gt;=$C$9,Z$46&lt;=$C$41),ABS(Z49/$D$49)*$C$14,0)+Z70</f>
        <v>0</v>
      </c>
      <c r="AA56" s="66" t="n">
        <f aca="false">IF(AND(AA49&lt;0,AA$46&gt;=$C$9,AA$46&lt;=$C$41),ABS(AA49/$D$49)*$C$14,0)+AA70</f>
        <v>0</v>
      </c>
      <c r="AB56" s="66" t="n">
        <f aca="false">IF(AND(AB49&lt;0,AB$46&gt;=$C$9,AB$46&lt;=$C$41),ABS(AB49/$D$49)*$C$14,0)+AB70</f>
        <v>0</v>
      </c>
      <c r="AC56" s="66" t="n">
        <f aca="false">IF(AND(AC49&lt;0,AC$46&gt;=$C$9,AC$46&lt;=$C$41),ABS(AC49/$D$49)*$C$14,0)+AC70</f>
        <v>0</v>
      </c>
      <c r="AD56" s="66" t="n">
        <f aca="false">IF(AND(AD49&lt;0,AD$46&gt;=$C$9,AD$46&lt;=$C$41),ABS(AD49/$D$49)*$C$14,0)+AD70</f>
        <v>0</v>
      </c>
      <c r="AE56" s="66" t="n">
        <f aca="false">IF(AND(AE49&lt;0,AE$46&gt;=$C$9,AE$46&lt;=$C$41),ABS(AE49/$D$49)*$C$14,0)+AE70</f>
        <v>0</v>
      </c>
      <c r="AF56" s="66" t="n">
        <f aca="false">IF(AND(AF49&lt;0,AF$46&gt;=$C$9,AF$46&lt;=$C$41),ABS(AF49/$D$49)*$C$14,0)+AF70</f>
        <v>0</v>
      </c>
      <c r="AG56" s="66" t="n">
        <f aca="false">IF(AND(AG49&lt;0,AG$46&gt;=$C$9,AG$46&lt;=$C$41),ABS(AG49/$D$49)*$C$14,0)+AG70</f>
        <v>0</v>
      </c>
      <c r="AH56" s="66" t="n">
        <f aca="false">IF(AND(AH49&lt;0,AH$46&gt;=$C$9,AH$46&lt;=$C$41),ABS(AH49/$D$49)*$C$14,0)+AH70</f>
        <v>0</v>
      </c>
      <c r="AI56" s="66" t="n">
        <f aca="false">IF(AND(AI49&lt;0,AI$46&gt;=$C$9,AI$46&lt;=$C$41),ABS(AI49/$D$49)*$C$14,0)+AI70</f>
        <v>0</v>
      </c>
      <c r="AJ56" s="66" t="n">
        <f aca="false">IF(AND(AJ49&lt;0,AJ$46&gt;=$C$9,AJ$46&lt;=$C$41),ABS(AJ49/$D$49)*$C$14,0)+AJ70</f>
        <v>0</v>
      </c>
      <c r="AK56" s="66" t="n">
        <f aca="false">IF(AND(AK49&lt;0,AK$46&gt;=$C$9,AK$46&lt;=$C$41),ABS(AK49/$D$49)*$C$14,0)+AK70</f>
        <v>0</v>
      </c>
      <c r="AL56" s="66" t="n">
        <f aca="false">IF(AND(AL49&lt;0,AL$46&gt;=$C$9,AL$46&lt;=$C$41),ABS(AL49/$D$49)*$C$14,0)+AL70</f>
        <v>0</v>
      </c>
      <c r="AM56" s="66" t="n">
        <f aca="false">IF(AND(AM49&lt;0,AM$46&gt;=$C$9,AM$46&lt;=$C$41),ABS(AM49/$D$49)*$C$14,0)+AM70</f>
        <v>0</v>
      </c>
      <c r="AN56" s="66" t="n">
        <f aca="false">IF(AND(AN49&lt;0,AN$46&gt;=$C$9,AN$46&lt;=$C$41),ABS(AN49/$D$49)*$C$14,0)+AN70</f>
        <v>0</v>
      </c>
      <c r="AO56" s="66" t="n">
        <f aca="false">IF(AND(AO49&lt;0,AO$46&gt;=$C$9,AO$46&lt;=$C$41),ABS(AO49/$D$49)*$C$14,0)+AO70</f>
        <v>0</v>
      </c>
      <c r="AP56" s="66" t="n">
        <f aca="false">IF(AND(AP49&lt;0,AP$46&gt;=$C$9,AP$46&lt;=$C$41),ABS(AP49/$D$49)*$C$14,0)+AP70</f>
        <v>0</v>
      </c>
      <c r="AQ56" s="66" t="n">
        <f aca="false">IF(AND(AQ49&lt;0,AQ$46&gt;=$C$9,AQ$46&lt;=$C$41),ABS(AQ49/$D$49)*$C$14,0)+AQ70</f>
        <v>0</v>
      </c>
      <c r="AR56" s="66" t="n">
        <f aca="false">IF(AND(AR49&lt;0,AR$46&gt;=$C$9,AR$46&lt;=$C$41),ABS(AR49/$D$49)*$C$14,0)+AR70</f>
        <v>0</v>
      </c>
      <c r="AS56" s="66" t="n">
        <f aca="false">IF(AND(AS49&lt;0,AS$46&gt;=$C$9,AS$46&lt;=$C$41),ABS(AS49/$D$49)*$C$14,0)+AS70</f>
        <v>0</v>
      </c>
      <c r="AT56" s="66" t="n">
        <f aca="false">IF(AND(AT49&lt;0,AT$46&gt;=$C$9,AT$46&lt;=$C$41),ABS(AT49/$D$49)*$C$14,0)+AT70</f>
        <v>0</v>
      </c>
      <c r="AU56" s="66" t="n">
        <f aca="false">IF(AND(AU49&lt;0,AU$46&gt;=$C$9,AU$46&lt;=$C$41),ABS(AU49/$D$49)*$C$14,0)+AU70</f>
        <v>0</v>
      </c>
      <c r="AV56" s="66" t="n">
        <f aca="false">IF(AND(AV49&lt;0,AV$46&gt;=$C$9,AV$46&lt;=$C$41),ABS(AV49/$D$49)*$C$14,0)+AV70</f>
        <v>0</v>
      </c>
      <c r="AW56" s="66" t="n">
        <f aca="false">IF(AND(AW49&lt;0,AW$46&gt;=$C$9,AW$46&lt;=$C$41),ABS(AW49/$D$49)*$C$14,0)+AW70</f>
        <v>0</v>
      </c>
      <c r="AX56" s="66" t="n">
        <f aca="false">IF(AND(AX49&lt;0,AX$46&gt;=$C$9,AX$46&lt;=$C$41),ABS(AX49/$D$49)*$C$14,0)+AX70</f>
        <v>0</v>
      </c>
      <c r="AY56" s="66" t="n">
        <f aca="false">IF(AND(AY49&lt;0,AY$46&gt;=$C$9,AY$46&lt;=$C$41),ABS(AY49/$D$49)*$C$14,0)+AY70</f>
        <v>0</v>
      </c>
      <c r="AZ56" s="66" t="n">
        <f aca="false">IF(AND(AZ49&lt;0,AZ$46&gt;=$C$9,AZ$46&lt;=$C$41),ABS(AZ49/$D$49)*$C$14,0)+AZ70</f>
        <v>0</v>
      </c>
      <c r="BA56" s="66" t="n">
        <f aca="false">IF(AND(BA49&lt;0,BA$46&gt;=$C$9,BA$46&lt;=$C$41),ABS(BA49/$D$49)*$C$14,0)+BA70</f>
        <v>0</v>
      </c>
      <c r="BB56" s="66" t="n">
        <f aca="false">IF(AND(BB49&lt;0,BB$46&gt;=$C$9,BB$46&lt;=$C$41),ABS(BB49/$D$49)*$C$14,0)+BB70</f>
        <v>0</v>
      </c>
    </row>
    <row r="57" customFormat="false" ht="15" hidden="false" customHeight="true" outlineLevel="0" collapsed="false">
      <c r="B57" s="59" t="s">
        <v>467</v>
      </c>
      <c r="C57" s="59" t="s">
        <v>11</v>
      </c>
      <c r="D57" s="63" t="n">
        <f aca="false">SUM(E57:BB57)</f>
        <v>341856423.600852</v>
      </c>
      <c r="E57" s="66" t="n">
        <f aca="false">IF(AND($C$22="Y",E49&lt;0,E$46&gt;=$C$9,E$46&lt;=$C$41),MIN(ABS(E49/$D$49)*$C$19,MAX(0,$C$19-0)),0)</f>
        <v>0</v>
      </c>
      <c r="F57" s="66" t="n">
        <f aca="false">IF(AND($C$22="Y",F49&lt;0,F$46&gt;=$C$9,F$46&lt;=$C$41),MIN(ABS(F49/$D$49)*$C$19,MAX(0,$C$19-E60)),0)</f>
        <v>0</v>
      </c>
      <c r="G57" s="66" t="n">
        <f aca="false">IF(AND($C$22="Y",G49&lt;0,G$46&gt;=$C$9,G$46&lt;=$C$41),MIN(ABS(G49/$D$49)*$C$19,MAX(0,$C$19-F60)),0)</f>
        <v>101982724.65902</v>
      </c>
      <c r="H57" s="66" t="n">
        <f aca="false">IF(AND($C$22="Y",H49&lt;0,H$46&gt;=$C$9,H$46&lt;=$C$41),MIN(ABS(H49/$D$49)*$C$19,MAX(0,$C$19-G60)),0)</f>
        <v>95013883.4520923</v>
      </c>
      <c r="I57" s="66" t="n">
        <f aca="false">IF(AND($C$22="Y",I49&lt;0,I$46&gt;=$C$9,I$46&lt;=$C$41),MIN(ABS(I49/$D$49)*$C$19,MAX(0,$C$19-H60)),0)</f>
        <v>144859815.48974</v>
      </c>
      <c r="J57" s="66" t="n">
        <f aca="false">IF(AND($C$22="Y",J49&lt;0,J$46&gt;=$C$9,J$46&lt;=$C$41),MIN(ABS(J49/$D$49)*$C$19,MAX(0,$C$19-I60)),0)</f>
        <v>0</v>
      </c>
      <c r="K57" s="66" t="n">
        <f aca="false">IF(AND($C$22="Y",K49&lt;0,K$46&gt;=$C$9,K$46&lt;=$C$41),MIN(ABS(K49/$D$49)*$C$19,MAX(0,$C$19-J60)),0)</f>
        <v>0</v>
      </c>
      <c r="L57" s="66" t="n">
        <f aca="false">IF(AND($C$22="Y",L49&lt;0,L$46&gt;=$C$9,L$46&lt;=$C$41),MIN(ABS(L49/$D$49)*$C$19,MAX(0,$C$19-K60)),0)</f>
        <v>0</v>
      </c>
      <c r="M57" s="66" t="n">
        <f aca="false">IF(AND($C$22="Y",M49&lt;0,M$46&gt;=$C$9,M$46&lt;=$C$41),MIN(ABS(M49/$D$49)*$C$19,MAX(0,$C$19-L60)),0)</f>
        <v>0</v>
      </c>
      <c r="N57" s="66" t="n">
        <f aca="false">IF(AND($C$22="Y",N49&lt;0,N$46&gt;=$C$9,N$46&lt;=$C$41),MIN(ABS(N49/$D$49)*$C$19,MAX(0,$C$19-M60)),0)</f>
        <v>0</v>
      </c>
      <c r="O57" s="66" t="n">
        <f aca="false">IF(AND($C$22="Y",O49&lt;0,O$46&gt;=$C$9,O$46&lt;=$C$41),MIN(ABS(O49/$D$49)*$C$19,MAX(0,$C$19-N60)),0)</f>
        <v>0</v>
      </c>
      <c r="P57" s="66" t="n">
        <f aca="false">IF(AND($C$22="Y",P49&lt;0,P$46&gt;=$C$9,P$46&lt;=$C$41),MIN(ABS(P49/$D$49)*$C$19,MAX(0,$C$19-O60)),0)</f>
        <v>0</v>
      </c>
      <c r="Q57" s="66" t="n">
        <f aca="false">IF(AND($C$22="Y",Q49&lt;0,Q$46&gt;=$C$9,Q$46&lt;=$C$41),MIN(ABS(Q49/$D$49)*$C$19,MAX(0,$C$19-P60)),0)</f>
        <v>0</v>
      </c>
      <c r="R57" s="66" t="n">
        <f aca="false">IF(AND($C$22="Y",R49&lt;0,R$46&gt;=$C$9,R$46&lt;=$C$41),MIN(ABS(R49/$D$49)*$C$19,MAX(0,$C$19-Q60)),0)</f>
        <v>0</v>
      </c>
      <c r="S57" s="66" t="n">
        <f aca="false">IF(AND($C$22="Y",S49&lt;0,S$46&gt;=$C$9,S$46&lt;=$C$41),MIN(ABS(S49/$D$49)*$C$19,MAX(0,$C$19-R60)),0)</f>
        <v>0</v>
      </c>
      <c r="T57" s="66" t="n">
        <f aca="false">IF(AND($C$22="Y",T49&lt;0,T$46&gt;=$C$9,T$46&lt;=$C$41),MIN(ABS(T49/$D$49)*$C$19,MAX(0,$C$19-S60)),0)</f>
        <v>0</v>
      </c>
      <c r="U57" s="66" t="n">
        <f aca="false">IF(AND($C$22="Y",U49&lt;0,U$46&gt;=$C$9,U$46&lt;=$C$41),MIN(ABS(U49/$D$49)*$C$19,MAX(0,$C$19-T60)),0)</f>
        <v>0</v>
      </c>
      <c r="V57" s="66" t="n">
        <f aca="false">IF(AND($C$22="Y",V49&lt;0,V$46&gt;=$C$9,V$46&lt;=$C$41),MIN(ABS(V49/$D$49)*$C$19,MAX(0,$C$19-U60)),0)</f>
        <v>0</v>
      </c>
      <c r="W57" s="66" t="n">
        <f aca="false">IF(AND($C$22="Y",W49&lt;0,W$46&gt;=$C$9,W$46&lt;=$C$41),MIN(ABS(W49/$D$49)*$C$19,MAX(0,$C$19-V60)),0)</f>
        <v>0</v>
      </c>
      <c r="X57" s="66" t="n">
        <f aca="false">IF(AND($C$22="Y",X49&lt;0,X$46&gt;=$C$9,X$46&lt;=$C$41),MIN(ABS(X49/$D$49)*$C$19,MAX(0,$C$19-W60)),0)</f>
        <v>0</v>
      </c>
      <c r="Y57" s="66" t="n">
        <f aca="false">IF(AND($C$22="Y",Y49&lt;0,Y$46&gt;=$C$9,Y$46&lt;=$C$41),MIN(ABS(Y49/$D$49)*$C$19,MAX(0,$C$19-X60)),0)</f>
        <v>0</v>
      </c>
      <c r="Z57" s="66" t="n">
        <f aca="false">IF(AND($C$22="Y",Z49&lt;0,Z$46&gt;=$C$9,Z$46&lt;=$C$41),MIN(ABS(Z49/$D$49)*$C$19,MAX(0,$C$19-Y60)),0)</f>
        <v>0</v>
      </c>
      <c r="AA57" s="66" t="n">
        <f aca="false">IF(AND($C$22="Y",AA49&lt;0,AA$46&gt;=$C$9,AA$46&lt;=$C$41),MIN(ABS(AA49/$D$49)*$C$19,MAX(0,$C$19-Z60)),0)</f>
        <v>0</v>
      </c>
      <c r="AB57" s="66" t="n">
        <f aca="false">IF(AND($C$22="Y",AB49&lt;0,AB$46&gt;=$C$9,AB$46&lt;=$C$41),MIN(ABS(AB49/$D$49)*$C$19,MAX(0,$C$19-AA60)),0)</f>
        <v>0</v>
      </c>
      <c r="AC57" s="66" t="n">
        <f aca="false">IF(AND($C$22="Y",AC49&lt;0,AC$46&gt;=$C$9,AC$46&lt;=$C$41),MIN(ABS(AC49/$D$49)*$C$19,MAX(0,$C$19-AB60)),0)</f>
        <v>0</v>
      </c>
      <c r="AD57" s="66" t="n">
        <f aca="false">IF(AND($C$22="Y",AD49&lt;0,AD$46&gt;=$C$9,AD$46&lt;=$C$41),MIN(ABS(AD49/$D$49)*$C$19,MAX(0,$C$19-AC60)),0)</f>
        <v>0</v>
      </c>
      <c r="AE57" s="66" t="n">
        <f aca="false">IF(AND($C$22="Y",AE49&lt;0,AE$46&gt;=$C$9,AE$46&lt;=$C$41),MIN(ABS(AE49/$D$49)*$C$19,MAX(0,$C$19-AD60)),0)</f>
        <v>0</v>
      </c>
      <c r="AF57" s="66" t="n">
        <f aca="false">IF(AND($C$22="Y",AF49&lt;0,AF$46&gt;=$C$9,AF$46&lt;=$C$41),MIN(ABS(AF49/$D$49)*$C$19,MAX(0,$C$19-AE60)),0)</f>
        <v>0</v>
      </c>
      <c r="AG57" s="66" t="n">
        <f aca="false">IF(AND($C$22="Y",AG49&lt;0,AG$46&gt;=$C$9,AG$46&lt;=$C$41),MIN(ABS(AG49/$D$49)*$C$19,MAX(0,$C$19-AF60)),0)</f>
        <v>0</v>
      </c>
      <c r="AH57" s="66" t="n">
        <f aca="false">IF(AND($C$22="Y",AH49&lt;0,AH$46&gt;=$C$9,AH$46&lt;=$C$41),MIN(ABS(AH49/$D$49)*$C$19,MAX(0,$C$19-AG60)),0)</f>
        <v>0</v>
      </c>
      <c r="AI57" s="66" t="n">
        <f aca="false">IF(AND($C$22="Y",AI49&lt;0,AI$46&gt;=$C$9,AI$46&lt;=$C$41),MIN(ABS(AI49/$D$49)*$C$19,MAX(0,$C$19-AH60)),0)</f>
        <v>0</v>
      </c>
      <c r="AJ57" s="66" t="n">
        <f aca="false">IF(AND($C$22="Y",AJ49&lt;0,AJ$46&gt;=$C$9,AJ$46&lt;=$C$41),MIN(ABS(AJ49/$D$49)*$C$19,MAX(0,$C$19-AI60)),0)</f>
        <v>0</v>
      </c>
      <c r="AK57" s="66" t="n">
        <f aca="false">IF(AND($C$22="Y",AK49&lt;0,AK$46&gt;=$C$9,AK$46&lt;=$C$41),MIN(ABS(AK49/$D$49)*$C$19,MAX(0,$C$19-AJ60)),0)</f>
        <v>0</v>
      </c>
      <c r="AL57" s="66" t="n">
        <f aca="false">IF(AND($C$22="Y",AL49&lt;0,AL$46&gt;=$C$9,AL$46&lt;=$C$41),MIN(ABS(AL49/$D$49)*$C$19,MAX(0,$C$19-AK60)),0)</f>
        <v>0</v>
      </c>
      <c r="AM57" s="66" t="n">
        <f aca="false">IF(AND($C$22="Y",AM49&lt;0,AM$46&gt;=$C$9,AM$46&lt;=$C$41),MIN(ABS(AM49/$D$49)*$C$19,MAX(0,$C$19-AL60)),0)</f>
        <v>0</v>
      </c>
      <c r="AN57" s="66" t="n">
        <f aca="false">IF(AND($C$22="Y",AN49&lt;0,AN$46&gt;=$C$9,AN$46&lt;=$C$41),MIN(ABS(AN49/$D$49)*$C$19,MAX(0,$C$19-AM60)),0)</f>
        <v>0</v>
      </c>
      <c r="AO57" s="66" t="n">
        <f aca="false">IF(AND($C$22="Y",AO49&lt;0,AO$46&gt;=$C$9,AO$46&lt;=$C$41),MIN(ABS(AO49/$D$49)*$C$19,MAX(0,$C$19-AN60)),0)</f>
        <v>0</v>
      </c>
      <c r="AP57" s="66" t="n">
        <f aca="false">IF(AND($C$22="Y",AP49&lt;0,AP$46&gt;=$C$9,AP$46&lt;=$C$41),MIN(ABS(AP49/$D$49)*$C$19,MAX(0,$C$19-AO60)),0)</f>
        <v>0</v>
      </c>
      <c r="AQ57" s="66" t="n">
        <f aca="false">IF(AND($C$22="Y",AQ49&lt;0,AQ$46&gt;=$C$9,AQ$46&lt;=$C$41),MIN(ABS(AQ49/$D$49)*$C$19,MAX(0,$C$19-AP60)),0)</f>
        <v>0</v>
      </c>
      <c r="AR57" s="66" t="n">
        <f aca="false">IF(AND($C$22="Y",AR49&lt;0,AR$46&gt;=$C$9,AR$46&lt;=$C$41),MIN(ABS(AR49/$D$49)*$C$19,MAX(0,$C$19-AQ60)),0)</f>
        <v>0</v>
      </c>
      <c r="AS57" s="66" t="n">
        <f aca="false">IF(AND($C$22="Y",AS49&lt;0,AS$46&gt;=$C$9,AS$46&lt;=$C$41),MIN(ABS(AS49/$D$49)*$C$19,MAX(0,$C$19-AR60)),0)</f>
        <v>0</v>
      </c>
      <c r="AT57" s="66" t="n">
        <f aca="false">IF(AND($C$22="Y",AT49&lt;0,AT$46&gt;=$C$9,AT$46&lt;=$C$41),MIN(ABS(AT49/$D$49)*$C$19,MAX(0,$C$19-AS60)),0)</f>
        <v>0</v>
      </c>
      <c r="AU57" s="66" t="n">
        <f aca="false">IF(AND($C$22="Y",AU49&lt;0,AU$46&gt;=$C$9,AU$46&lt;=$C$41),MIN(ABS(AU49/$D$49)*$C$19,MAX(0,$C$19-AT60)),0)</f>
        <v>0</v>
      </c>
      <c r="AV57" s="66" t="n">
        <f aca="false">IF(AND($C$22="Y",AV49&lt;0,AV$46&gt;=$C$9,AV$46&lt;=$C$41),MIN(ABS(AV49/$D$49)*$C$19,MAX(0,$C$19-AU60)),0)</f>
        <v>0</v>
      </c>
      <c r="AW57" s="66" t="n">
        <f aca="false">IF(AND($C$22="Y",AW49&lt;0,AW$46&gt;=$C$9,AW$46&lt;=$C$41),MIN(ABS(AW49/$D$49)*$C$19,MAX(0,$C$19-AV60)),0)</f>
        <v>0</v>
      </c>
      <c r="AX57" s="66" t="n">
        <f aca="false">IF(AND($C$22="Y",AX49&lt;0,AX$46&gt;=$C$9,AX$46&lt;=$C$41),MIN(ABS(AX49/$D$49)*$C$19,MAX(0,$C$19-AW60)),0)</f>
        <v>0</v>
      </c>
      <c r="AY57" s="66" t="n">
        <f aca="false">IF(AND($C$22="Y",AY49&lt;0,AY$46&gt;=$C$9,AY$46&lt;=$C$41),MIN(ABS(AY49/$D$49)*$C$19,MAX(0,$C$19-AX60)),0)</f>
        <v>0</v>
      </c>
      <c r="AZ57" s="66" t="n">
        <f aca="false">IF(AND($C$22="Y",AZ49&lt;0,AZ$46&gt;=$C$9,AZ$46&lt;=$C$41),MIN(ABS(AZ49/$D$49)*$C$19,MAX(0,$C$19-AY60)),0)</f>
        <v>0</v>
      </c>
      <c r="BA57" s="66" t="n">
        <f aca="false">IF(AND($C$22="Y",BA49&lt;0,BA$46&gt;=$C$9,BA$46&lt;=$C$41),MIN(ABS(BA49/$D$49)*$C$19,MAX(0,$C$19-AZ60)),0)</f>
        <v>0</v>
      </c>
      <c r="BB57" s="66" t="n">
        <f aca="false">IF(AND($C$22="Y",BB49&lt;0,BB$46&gt;=$C$9,BB$46&lt;=$C$41),MIN(ABS(BB49/$D$49)*$C$19,MAX(0,$C$19-BA60)),0)</f>
        <v>0</v>
      </c>
    </row>
    <row r="58" customFormat="false" ht="15" hidden="false" customHeight="true" outlineLevel="0" collapsed="false">
      <c r="B58" s="59" t="s">
        <v>468</v>
      </c>
      <c r="C58" s="59" t="s">
        <v>11</v>
      </c>
      <c r="D58" s="66" t="n">
        <f aca="false">SUM(E58:BB58)</f>
        <v>811763968.171409</v>
      </c>
      <c r="E58" s="66" t="n">
        <f aca="false">0</f>
        <v>0</v>
      </c>
      <c r="F58" s="66" t="n">
        <f aca="false">E60</f>
        <v>0</v>
      </c>
      <c r="G58" s="66" t="n">
        <f aca="false">F60</f>
        <v>0</v>
      </c>
      <c r="H58" s="66" t="n">
        <f aca="false">G60</f>
        <v>101982724.65902</v>
      </c>
      <c r="I58" s="66" t="n">
        <f aca="false">H60</f>
        <v>196996608.111112</v>
      </c>
      <c r="J58" s="66" t="n">
        <f aca="false">I60</f>
        <v>256392317.700639</v>
      </c>
      <c r="K58" s="66" t="n">
        <f aca="false">J60</f>
        <v>170928211.800426</v>
      </c>
      <c r="L58" s="66" t="n">
        <f aca="false">K60</f>
        <v>85464105.900213</v>
      </c>
      <c r="M58" s="66" t="n">
        <f aca="false">L60</f>
        <v>0</v>
      </c>
      <c r="N58" s="66" t="n">
        <f aca="false">M60</f>
        <v>0</v>
      </c>
      <c r="O58" s="66" t="n">
        <f aca="false">N60</f>
        <v>0</v>
      </c>
      <c r="P58" s="66" t="n">
        <f aca="false">O60</f>
        <v>0</v>
      </c>
      <c r="Q58" s="66" t="n">
        <f aca="false">P60</f>
        <v>0</v>
      </c>
      <c r="R58" s="66" t="n">
        <f aca="false">Q60</f>
        <v>0</v>
      </c>
      <c r="S58" s="66" t="n">
        <f aca="false">R60</f>
        <v>0</v>
      </c>
      <c r="T58" s="66" t="n">
        <f aca="false">S60</f>
        <v>0</v>
      </c>
      <c r="U58" s="66" t="n">
        <f aca="false">T60</f>
        <v>0</v>
      </c>
      <c r="V58" s="66" t="n">
        <f aca="false">U60</f>
        <v>0</v>
      </c>
      <c r="W58" s="66" t="n">
        <f aca="false">V60</f>
        <v>0</v>
      </c>
      <c r="X58" s="66" t="n">
        <f aca="false">W60</f>
        <v>0</v>
      </c>
      <c r="Y58" s="66" t="n">
        <f aca="false">X60</f>
        <v>0</v>
      </c>
      <c r="Z58" s="66" t="n">
        <f aca="false">Y60</f>
        <v>0</v>
      </c>
      <c r="AA58" s="66" t="n">
        <f aca="false">Z60</f>
        <v>0</v>
      </c>
      <c r="AB58" s="66" t="n">
        <f aca="false">AA60</f>
        <v>0</v>
      </c>
      <c r="AC58" s="66" t="n">
        <f aca="false">AB60</f>
        <v>0</v>
      </c>
      <c r="AD58" s="66" t="n">
        <f aca="false">AC60</f>
        <v>0</v>
      </c>
      <c r="AE58" s="66" t="n">
        <f aca="false">AD60</f>
        <v>0</v>
      </c>
      <c r="AF58" s="66" t="n">
        <f aca="false">AE60</f>
        <v>0</v>
      </c>
      <c r="AG58" s="66" t="n">
        <f aca="false">AF60</f>
        <v>0</v>
      </c>
      <c r="AH58" s="66" t="n">
        <f aca="false">AG60</f>
        <v>0</v>
      </c>
      <c r="AI58" s="66" t="n">
        <f aca="false">AH60</f>
        <v>0</v>
      </c>
      <c r="AJ58" s="66" t="n">
        <f aca="false">AI60</f>
        <v>0</v>
      </c>
      <c r="AK58" s="66" t="n">
        <f aca="false">AJ60</f>
        <v>0</v>
      </c>
      <c r="AL58" s="66" t="n">
        <f aca="false">AK60</f>
        <v>0</v>
      </c>
      <c r="AM58" s="66" t="n">
        <f aca="false">AL60</f>
        <v>0</v>
      </c>
      <c r="AN58" s="66" t="n">
        <f aca="false">AM60</f>
        <v>0</v>
      </c>
      <c r="AO58" s="66" t="n">
        <f aca="false">AN60</f>
        <v>0</v>
      </c>
      <c r="AP58" s="66" t="n">
        <f aca="false">AO60</f>
        <v>0</v>
      </c>
      <c r="AQ58" s="66" t="n">
        <f aca="false">AP60</f>
        <v>0</v>
      </c>
      <c r="AR58" s="66" t="n">
        <f aca="false">AQ60</f>
        <v>0</v>
      </c>
      <c r="AS58" s="66" t="n">
        <f aca="false">AR60</f>
        <v>0</v>
      </c>
      <c r="AT58" s="66" t="n">
        <f aca="false">AS60</f>
        <v>0</v>
      </c>
      <c r="AU58" s="66" t="n">
        <f aca="false">AT60</f>
        <v>0</v>
      </c>
      <c r="AV58" s="66" t="n">
        <f aca="false">AU60</f>
        <v>0</v>
      </c>
      <c r="AW58" s="66" t="n">
        <f aca="false">AV60</f>
        <v>0</v>
      </c>
      <c r="AX58" s="66" t="n">
        <f aca="false">AW60</f>
        <v>0</v>
      </c>
      <c r="AY58" s="66" t="n">
        <f aca="false">AX60</f>
        <v>0</v>
      </c>
      <c r="AZ58" s="66" t="n">
        <f aca="false">AY60</f>
        <v>0</v>
      </c>
      <c r="BA58" s="66" t="n">
        <f aca="false">AZ60</f>
        <v>0</v>
      </c>
      <c r="BB58" s="66" t="n">
        <f aca="false">BA60</f>
        <v>0</v>
      </c>
    </row>
    <row r="59" customFormat="false" ht="15" hidden="false" customHeight="true" outlineLevel="0" collapsed="false">
      <c r="B59" s="59" t="s">
        <v>469</v>
      </c>
      <c r="C59" s="59" t="s">
        <v>11</v>
      </c>
      <c r="D59" s="63" t="n">
        <f aca="false">SUM(E59:BB59)</f>
        <v>-341856423.600852</v>
      </c>
      <c r="E59" s="66" t="n">
        <f aca="false">IF(AND($C$22="Y",(E$46-$C$9+1)&gt;$C$26,E58&gt;0),-MIN(E58,$C$19/MAX(1,$C$24-$C$26)),0)</f>
        <v>0</v>
      </c>
      <c r="F59" s="66" t="n">
        <f aca="false">IF(AND($C$22="Y",(F$46-$C$9+1)&gt;$C$26,F58&gt;0),-MIN(F58,$C$19/MAX(1,$C$24-$C$26)),0)</f>
        <v>0</v>
      </c>
      <c r="G59" s="66" t="n">
        <f aca="false">IF(AND($C$22="Y",(G$46-$C$9+1)&gt;$C$26,G58&gt;0),-MIN(G58,$C$19/MAX(1,$C$24-$C$26)),0)</f>
        <v>0</v>
      </c>
      <c r="H59" s="66" t="n">
        <f aca="false">IF(AND($C$22="Y",(H$46-$C$9+1)&gt;$C$26,H58&gt;0),-MIN(H58,$C$19/MAX(1,$C$24-$C$26)),0)</f>
        <v>0</v>
      </c>
      <c r="I59" s="66" t="n">
        <f aca="false">IF(AND($C$22="Y",(I$46-$C$9+1)&gt;$C$26,I58&gt;0),-MIN(I58,$C$19/MAX(1,$C$24-$C$26)),0)</f>
        <v>-85464105.900213</v>
      </c>
      <c r="J59" s="66" t="n">
        <f aca="false">IF(AND($C$22="Y",(J$46-$C$9+1)&gt;$C$26,J58&gt;0),-MIN(J58,$C$19/MAX(1,$C$24-$C$26)),0)</f>
        <v>-85464105.900213</v>
      </c>
      <c r="K59" s="66" t="n">
        <f aca="false">IF(AND($C$22="Y",(K$46-$C$9+1)&gt;$C$26,K58&gt;0),-MIN(K58,$C$19/MAX(1,$C$24-$C$26)),0)</f>
        <v>-85464105.900213</v>
      </c>
      <c r="L59" s="66" t="n">
        <f aca="false">IF(AND($C$22="Y",(L$46-$C$9+1)&gt;$C$26,L58&gt;0),-MIN(L58,$C$19/MAX(1,$C$24-$C$26)),0)</f>
        <v>-85464105.900213</v>
      </c>
      <c r="M59" s="66" t="n">
        <f aca="false">IF(AND($C$22="Y",(M$46-$C$9+1)&gt;$C$26,M58&gt;0),-MIN(M58,$C$19/MAX(1,$C$24-$C$26)),0)</f>
        <v>0</v>
      </c>
      <c r="N59" s="66" t="n">
        <f aca="false">IF(AND($C$22="Y",(N$46-$C$9+1)&gt;$C$26,N58&gt;0),-MIN(N58,$C$19/MAX(1,$C$24-$C$26)),0)</f>
        <v>0</v>
      </c>
      <c r="O59" s="66" t="n">
        <f aca="false">IF(AND($C$22="Y",(O$46-$C$9+1)&gt;$C$26,O58&gt;0),-MIN(O58,$C$19/MAX(1,$C$24-$C$26)),0)</f>
        <v>0</v>
      </c>
      <c r="P59" s="66" t="n">
        <f aca="false">IF(AND($C$22="Y",(P$46-$C$9+1)&gt;$C$26,P58&gt;0),-MIN(P58,$C$19/MAX(1,$C$24-$C$26)),0)</f>
        <v>0</v>
      </c>
      <c r="Q59" s="66" t="n">
        <f aca="false">IF(AND($C$22="Y",(Q$46-$C$9+1)&gt;$C$26,Q58&gt;0),-MIN(Q58,$C$19/MAX(1,$C$24-$C$26)),0)</f>
        <v>0</v>
      </c>
      <c r="R59" s="66" t="n">
        <f aca="false">IF(AND($C$22="Y",(R$46-$C$9+1)&gt;$C$26,R58&gt;0),-MIN(R58,$C$19/MAX(1,$C$24-$C$26)),0)</f>
        <v>0</v>
      </c>
      <c r="S59" s="66" t="n">
        <f aca="false">IF(AND($C$22="Y",(S$46-$C$9+1)&gt;$C$26,S58&gt;0),-MIN(S58,$C$19/MAX(1,$C$24-$C$26)),0)</f>
        <v>0</v>
      </c>
      <c r="T59" s="66" t="n">
        <f aca="false">IF(AND($C$22="Y",(T$46-$C$9+1)&gt;$C$26,T58&gt;0),-MIN(T58,$C$19/MAX(1,$C$24-$C$26)),0)</f>
        <v>0</v>
      </c>
      <c r="U59" s="66" t="n">
        <f aca="false">IF(AND($C$22="Y",(U$46-$C$9+1)&gt;$C$26,U58&gt;0),-MIN(U58,$C$19/MAX(1,$C$24-$C$26)),0)</f>
        <v>0</v>
      </c>
      <c r="V59" s="66" t="n">
        <f aca="false">IF(AND($C$22="Y",(V$46-$C$9+1)&gt;$C$26,V58&gt;0),-MIN(V58,$C$19/MAX(1,$C$24-$C$26)),0)</f>
        <v>0</v>
      </c>
      <c r="W59" s="66" t="n">
        <f aca="false">IF(AND($C$22="Y",(W$46-$C$9+1)&gt;$C$26,W58&gt;0),-MIN(W58,$C$19/MAX(1,$C$24-$C$26)),0)</f>
        <v>0</v>
      </c>
      <c r="X59" s="66" t="n">
        <f aca="false">IF(AND($C$22="Y",(X$46-$C$9+1)&gt;$C$26,X58&gt;0),-MIN(X58,$C$19/MAX(1,$C$24-$C$26)),0)</f>
        <v>0</v>
      </c>
      <c r="Y59" s="66" t="n">
        <f aca="false">IF(AND($C$22="Y",(Y$46-$C$9+1)&gt;$C$26,Y58&gt;0),-MIN(Y58,$C$19/MAX(1,$C$24-$C$26)),0)</f>
        <v>0</v>
      </c>
      <c r="Z59" s="66" t="n">
        <f aca="false">IF(AND($C$22="Y",(Z$46-$C$9+1)&gt;$C$26,Z58&gt;0),-MIN(Z58,$C$19/MAX(1,$C$24-$C$26)),0)</f>
        <v>0</v>
      </c>
      <c r="AA59" s="66" t="n">
        <f aca="false">IF(AND($C$22="Y",(AA$46-$C$9+1)&gt;$C$26,AA58&gt;0),-MIN(AA58,$C$19/MAX(1,$C$24-$C$26)),0)</f>
        <v>0</v>
      </c>
      <c r="AB59" s="66" t="n">
        <f aca="false">IF(AND($C$22="Y",(AB$46-$C$9+1)&gt;$C$26,AB58&gt;0),-MIN(AB58,$C$19/MAX(1,$C$24-$C$26)),0)</f>
        <v>0</v>
      </c>
      <c r="AC59" s="66" t="n">
        <f aca="false">IF(AND($C$22="Y",(AC$46-$C$9+1)&gt;$C$26,AC58&gt;0),-MIN(AC58,$C$19/MAX(1,$C$24-$C$26)),0)</f>
        <v>0</v>
      </c>
      <c r="AD59" s="66" t="n">
        <f aca="false">IF(AND($C$22="Y",(AD$46-$C$9+1)&gt;$C$26,AD58&gt;0),-MIN(AD58,$C$19/MAX(1,$C$24-$C$26)),0)</f>
        <v>0</v>
      </c>
      <c r="AE59" s="66" t="n">
        <f aca="false">IF(AND($C$22="Y",(AE$46-$C$9+1)&gt;$C$26,AE58&gt;0),-MIN(AE58,$C$19/MAX(1,$C$24-$C$26)),0)</f>
        <v>0</v>
      </c>
      <c r="AF59" s="66" t="n">
        <f aca="false">IF(AND($C$22="Y",(AF$46-$C$9+1)&gt;$C$26,AF58&gt;0),-MIN(AF58,$C$19/MAX(1,$C$24-$C$26)),0)</f>
        <v>0</v>
      </c>
      <c r="AG59" s="66" t="n">
        <f aca="false">IF(AND($C$22="Y",(AG$46-$C$9+1)&gt;$C$26,AG58&gt;0),-MIN(AG58,$C$19/MAX(1,$C$24-$C$26)),0)</f>
        <v>0</v>
      </c>
      <c r="AH59" s="66" t="n">
        <f aca="false">IF(AND($C$22="Y",(AH$46-$C$9+1)&gt;$C$26,AH58&gt;0),-MIN(AH58,$C$19/MAX(1,$C$24-$C$26)),0)</f>
        <v>0</v>
      </c>
      <c r="AI59" s="66" t="n">
        <f aca="false">IF(AND($C$22="Y",(AI$46-$C$9+1)&gt;$C$26,AI58&gt;0),-MIN(AI58,$C$19/MAX(1,$C$24-$C$26)),0)</f>
        <v>0</v>
      </c>
      <c r="AJ59" s="66" t="n">
        <f aca="false">IF(AND($C$22="Y",(AJ$46-$C$9+1)&gt;$C$26,AJ58&gt;0),-MIN(AJ58,$C$19/MAX(1,$C$24-$C$26)),0)</f>
        <v>0</v>
      </c>
      <c r="AK59" s="66" t="n">
        <f aca="false">IF(AND($C$22="Y",(AK$46-$C$9+1)&gt;$C$26,AK58&gt;0),-MIN(AK58,$C$19/MAX(1,$C$24-$C$26)),0)</f>
        <v>0</v>
      </c>
      <c r="AL59" s="66" t="n">
        <f aca="false">IF(AND($C$22="Y",(AL$46-$C$9+1)&gt;$C$26,AL58&gt;0),-MIN(AL58,$C$19/MAX(1,$C$24-$C$26)),0)</f>
        <v>0</v>
      </c>
      <c r="AM59" s="66" t="n">
        <f aca="false">IF(AND($C$22="Y",(AM$46-$C$9+1)&gt;$C$26,AM58&gt;0),-MIN(AM58,$C$19/MAX(1,$C$24-$C$26)),0)</f>
        <v>0</v>
      </c>
      <c r="AN59" s="66" t="n">
        <f aca="false">IF(AND($C$22="Y",(AN$46-$C$9+1)&gt;$C$26,AN58&gt;0),-MIN(AN58,$C$19/MAX(1,$C$24-$C$26)),0)</f>
        <v>0</v>
      </c>
      <c r="AO59" s="66" t="n">
        <f aca="false">IF(AND($C$22="Y",(AO$46-$C$9+1)&gt;$C$26,AO58&gt;0),-MIN(AO58,$C$19/MAX(1,$C$24-$C$26)),0)</f>
        <v>0</v>
      </c>
      <c r="AP59" s="66" t="n">
        <f aca="false">IF(AND($C$22="Y",(AP$46-$C$9+1)&gt;$C$26,AP58&gt;0),-MIN(AP58,$C$19/MAX(1,$C$24-$C$26)),0)</f>
        <v>0</v>
      </c>
      <c r="AQ59" s="66" t="n">
        <f aca="false">IF(AND($C$22="Y",(AQ$46-$C$9+1)&gt;$C$26,AQ58&gt;0),-MIN(AQ58,$C$19/MAX(1,$C$24-$C$26)),0)</f>
        <v>0</v>
      </c>
      <c r="AR59" s="66" t="n">
        <f aca="false">IF(AND($C$22="Y",(AR$46-$C$9+1)&gt;$C$26,AR58&gt;0),-MIN(AR58,$C$19/MAX(1,$C$24-$C$26)),0)</f>
        <v>0</v>
      </c>
      <c r="AS59" s="66" t="n">
        <f aca="false">IF(AND($C$22="Y",(AS$46-$C$9+1)&gt;$C$26,AS58&gt;0),-MIN(AS58,$C$19/MAX(1,$C$24-$C$26)),0)</f>
        <v>0</v>
      </c>
      <c r="AT59" s="66" t="n">
        <f aca="false">IF(AND($C$22="Y",(AT$46-$C$9+1)&gt;$C$26,AT58&gt;0),-MIN(AT58,$C$19/MAX(1,$C$24-$C$26)),0)</f>
        <v>0</v>
      </c>
      <c r="AU59" s="66" t="n">
        <f aca="false">IF(AND($C$22="Y",(AU$46-$C$9+1)&gt;$C$26,AU58&gt;0),-MIN(AU58,$C$19/MAX(1,$C$24-$C$26)),0)</f>
        <v>0</v>
      </c>
      <c r="AV59" s="66" t="n">
        <f aca="false">IF(AND($C$22="Y",(AV$46-$C$9+1)&gt;$C$26,AV58&gt;0),-MIN(AV58,$C$19/MAX(1,$C$24-$C$26)),0)</f>
        <v>0</v>
      </c>
      <c r="AW59" s="66" t="n">
        <f aca="false">IF(AND($C$22="Y",(AW$46-$C$9+1)&gt;$C$26,AW58&gt;0),-MIN(AW58,$C$19/MAX(1,$C$24-$C$26)),0)</f>
        <v>0</v>
      </c>
      <c r="AX59" s="66" t="n">
        <f aca="false">IF(AND($C$22="Y",(AX$46-$C$9+1)&gt;$C$26,AX58&gt;0),-MIN(AX58,$C$19/MAX(1,$C$24-$C$26)),0)</f>
        <v>0</v>
      </c>
      <c r="AY59" s="66" t="n">
        <f aca="false">IF(AND($C$22="Y",(AY$46-$C$9+1)&gt;$C$26,AY58&gt;0),-MIN(AY58,$C$19/MAX(1,$C$24-$C$26)),0)</f>
        <v>0</v>
      </c>
      <c r="AZ59" s="66" t="n">
        <f aca="false">IF(AND($C$22="Y",(AZ$46-$C$9+1)&gt;$C$26,AZ58&gt;0),-MIN(AZ58,$C$19/MAX(1,$C$24-$C$26)),0)</f>
        <v>0</v>
      </c>
      <c r="BA59" s="66" t="n">
        <f aca="false">IF(AND($C$22="Y",(BA$46-$C$9+1)&gt;$C$26,BA58&gt;0),-MIN(BA58,$C$19/MAX(1,$C$24-$C$26)),0)</f>
        <v>0</v>
      </c>
      <c r="BB59" s="66" t="n">
        <f aca="false">IF(AND($C$22="Y",(BB$46-$C$9+1)&gt;$C$26,BB58&gt;0),-MIN(BB58,$C$19/MAX(1,$C$24-$C$26)),0)</f>
        <v>0</v>
      </c>
    </row>
    <row r="60" customFormat="false" ht="15" hidden="false" customHeight="true" outlineLevel="0" collapsed="false">
      <c r="B60" s="59" t="s">
        <v>470</v>
      </c>
      <c r="C60" s="59" t="s">
        <v>11</v>
      </c>
      <c r="D60" s="66" t="n">
        <f aca="false">SUM(E60:BB60)</f>
        <v>811763968.171409</v>
      </c>
      <c r="E60" s="66" t="n">
        <f aca="false">MAX(0,E58+E57+E59)</f>
        <v>0</v>
      </c>
      <c r="F60" s="66" t="n">
        <f aca="false">MAX(0,F58+F57+F59)</f>
        <v>0</v>
      </c>
      <c r="G60" s="66" t="n">
        <f aca="false">MAX(0,G58+G57+G59)</f>
        <v>101982724.65902</v>
      </c>
      <c r="H60" s="66" t="n">
        <f aca="false">MAX(0,H58+H57+H59)</f>
        <v>196996608.111112</v>
      </c>
      <c r="I60" s="66" t="n">
        <f aca="false">MAX(0,I58+I57+I59)</f>
        <v>256392317.700639</v>
      </c>
      <c r="J60" s="66" t="n">
        <f aca="false">MAX(0,J58+J57+J59)</f>
        <v>170928211.800426</v>
      </c>
      <c r="K60" s="66" t="n">
        <f aca="false">MAX(0,K58+K57+K59)</f>
        <v>85464105.900213</v>
      </c>
      <c r="L60" s="66" t="n">
        <f aca="false">MAX(0,L58+L57+L59)</f>
        <v>0</v>
      </c>
      <c r="M60" s="66" t="n">
        <f aca="false">MAX(0,M58+M57+M59)</f>
        <v>0</v>
      </c>
      <c r="N60" s="66" t="n">
        <f aca="false">MAX(0,N58+N57+N59)</f>
        <v>0</v>
      </c>
      <c r="O60" s="66" t="n">
        <f aca="false">MAX(0,O58+O57+O59)</f>
        <v>0</v>
      </c>
      <c r="P60" s="66" t="n">
        <f aca="false">MAX(0,P58+P57+P59)</f>
        <v>0</v>
      </c>
      <c r="Q60" s="66" t="n">
        <f aca="false">MAX(0,Q58+Q57+Q59)</f>
        <v>0</v>
      </c>
      <c r="R60" s="66" t="n">
        <f aca="false">MAX(0,R58+R57+R59)</f>
        <v>0</v>
      </c>
      <c r="S60" s="66" t="n">
        <f aca="false">MAX(0,S58+S57+S59)</f>
        <v>0</v>
      </c>
      <c r="T60" s="66" t="n">
        <f aca="false">MAX(0,T58+T57+T59)</f>
        <v>0</v>
      </c>
      <c r="U60" s="66" t="n">
        <f aca="false">MAX(0,U58+U57+U59)</f>
        <v>0</v>
      </c>
      <c r="V60" s="66" t="n">
        <f aca="false">MAX(0,V58+V57+V59)</f>
        <v>0</v>
      </c>
      <c r="W60" s="66" t="n">
        <f aca="false">MAX(0,W58+W57+W59)</f>
        <v>0</v>
      </c>
      <c r="X60" s="66" t="n">
        <f aca="false">MAX(0,X58+X57+X59)</f>
        <v>0</v>
      </c>
      <c r="Y60" s="66" t="n">
        <f aca="false">MAX(0,Y58+Y57+Y59)</f>
        <v>0</v>
      </c>
      <c r="Z60" s="66" t="n">
        <f aca="false">MAX(0,Z58+Z57+Z59)</f>
        <v>0</v>
      </c>
      <c r="AA60" s="66" t="n">
        <f aca="false">MAX(0,AA58+AA57+AA59)</f>
        <v>0</v>
      </c>
      <c r="AB60" s="66" t="n">
        <f aca="false">MAX(0,AB58+AB57+AB59)</f>
        <v>0</v>
      </c>
      <c r="AC60" s="66" t="n">
        <f aca="false">MAX(0,AC58+AC57+AC59)</f>
        <v>0</v>
      </c>
      <c r="AD60" s="66" t="n">
        <f aca="false">MAX(0,AD58+AD57+AD59)</f>
        <v>0</v>
      </c>
      <c r="AE60" s="66" t="n">
        <f aca="false">MAX(0,AE58+AE57+AE59)</f>
        <v>0</v>
      </c>
      <c r="AF60" s="66" t="n">
        <f aca="false">MAX(0,AF58+AF57+AF59)</f>
        <v>0</v>
      </c>
      <c r="AG60" s="66" t="n">
        <f aca="false">MAX(0,AG58+AG57+AG59)</f>
        <v>0</v>
      </c>
      <c r="AH60" s="66" t="n">
        <f aca="false">MAX(0,AH58+AH57+AH59)</f>
        <v>0</v>
      </c>
      <c r="AI60" s="66" t="n">
        <f aca="false">MAX(0,AI58+AI57+AI59)</f>
        <v>0</v>
      </c>
      <c r="AJ60" s="66" t="n">
        <f aca="false">MAX(0,AJ58+AJ57+AJ59)</f>
        <v>0</v>
      </c>
      <c r="AK60" s="66" t="n">
        <f aca="false">MAX(0,AK58+AK57+AK59)</f>
        <v>0</v>
      </c>
      <c r="AL60" s="66" t="n">
        <f aca="false">MAX(0,AL58+AL57+AL59)</f>
        <v>0</v>
      </c>
      <c r="AM60" s="66" t="n">
        <f aca="false">MAX(0,AM58+AM57+AM59)</f>
        <v>0</v>
      </c>
      <c r="AN60" s="66" t="n">
        <f aca="false">MAX(0,AN58+AN57+AN59)</f>
        <v>0</v>
      </c>
      <c r="AO60" s="66" t="n">
        <f aca="false">MAX(0,AO58+AO57+AO59)</f>
        <v>0</v>
      </c>
      <c r="AP60" s="66" t="n">
        <f aca="false">MAX(0,AP58+AP57+AP59)</f>
        <v>0</v>
      </c>
      <c r="AQ60" s="66" t="n">
        <f aca="false">MAX(0,AQ58+AQ57+AQ59)</f>
        <v>0</v>
      </c>
      <c r="AR60" s="66" t="n">
        <f aca="false">MAX(0,AR58+AR57+AR59)</f>
        <v>0</v>
      </c>
      <c r="AS60" s="66" t="n">
        <f aca="false">MAX(0,AS58+AS57+AS59)</f>
        <v>0</v>
      </c>
      <c r="AT60" s="66" t="n">
        <f aca="false">MAX(0,AT58+AT57+AT59)</f>
        <v>0</v>
      </c>
      <c r="AU60" s="66" t="n">
        <f aca="false">MAX(0,AU58+AU57+AU59)</f>
        <v>0</v>
      </c>
      <c r="AV60" s="66" t="n">
        <f aca="false">MAX(0,AV58+AV57+AV59)</f>
        <v>0</v>
      </c>
      <c r="AW60" s="66" t="n">
        <f aca="false">MAX(0,AW58+AW57+AW59)</f>
        <v>0</v>
      </c>
      <c r="AX60" s="66" t="n">
        <f aca="false">MAX(0,AX58+AX57+AX59)</f>
        <v>0</v>
      </c>
      <c r="AY60" s="66" t="n">
        <f aca="false">MAX(0,AY58+AY57+AY59)</f>
        <v>0</v>
      </c>
      <c r="AZ60" s="66" t="n">
        <f aca="false">MAX(0,AZ58+AZ57+AZ59)</f>
        <v>0</v>
      </c>
      <c r="BA60" s="66" t="n">
        <f aca="false">MAX(0,BA58+BA57+BA59)</f>
        <v>0</v>
      </c>
      <c r="BB60" s="66" t="n">
        <f aca="false">MAX(0,BB58+BB57+BB59)</f>
        <v>0</v>
      </c>
    </row>
    <row r="61" customFormat="false" ht="15" hidden="false" customHeight="true" outlineLevel="0" collapsed="false">
      <c r="B61" s="59" t="s">
        <v>471</v>
      </c>
      <c r="C61" s="59" t="s">
        <v>11</v>
      </c>
      <c r="D61" s="63" t="n">
        <f aca="false">SUM(E61:BB61)</f>
        <v>-54473940.0491459</v>
      </c>
      <c r="E61" s="66" t="n">
        <f aca="false">IF(AND($C$22="Y",E58+E60&gt;0),-(E58+E60)/2*$C$23,0)-ABS(E57)*$C$25</f>
        <v>0</v>
      </c>
      <c r="F61" s="66" t="n">
        <f aca="false">IF(AND($C$22="Y",F58+F60&gt;0),-(F58+F60)/2*$C$23,0)-ABS(F57)*$C$25</f>
        <v>0</v>
      </c>
      <c r="G61" s="66" t="n">
        <f aca="false">IF(AND($C$22="Y",G58+G60&gt;0),-(G58+G60)/2*$C$23,0)-ABS(G57)*$C$25</f>
        <v>-3824352.17471323</v>
      </c>
      <c r="H61" s="66" t="n">
        <f aca="false">IF(AND($C$22="Y",H58+H60&gt;0),-(H58+H60)/2*$C$23,0)-ABS(H57)*$C$25</f>
        <v>-10191897.7322897</v>
      </c>
      <c r="I61" s="66" t="n">
        <f aca="false">IF(AND($C$22="Y",I58+I60&gt;0),-(I58+I60)/2*$C$23,0)-ABS(I57)*$C$25</f>
        <v>-15459439.1663306</v>
      </c>
      <c r="J61" s="66" t="n">
        <f aca="false">IF(AND($C$22="Y",J58+J60&gt;0),-(J58+J60)/2*$C$23,0)-ABS(J57)*$C$25</f>
        <v>-13887917.2087846</v>
      </c>
      <c r="K61" s="66" t="n">
        <f aca="false">IF(AND($C$22="Y",K58+K60&gt;0),-(K58+K60)/2*$C$23,0)-ABS(K57)*$C$25</f>
        <v>-8332750.32527077</v>
      </c>
      <c r="L61" s="66" t="n">
        <f aca="false">IF(AND($C$22="Y",L58+L60&gt;0),-(L58+L60)/2*$C$23,0)-ABS(L57)*$C$25</f>
        <v>-2777583.44175692</v>
      </c>
      <c r="M61" s="66" t="n">
        <f aca="false">IF(AND($C$22="Y",M58+M60&gt;0),-(M58+M60)/2*$C$23,0)-ABS(M57)*$C$25</f>
        <v>0</v>
      </c>
      <c r="N61" s="66" t="n">
        <f aca="false">IF(AND($C$22="Y",N58+N60&gt;0),-(N58+N60)/2*$C$23,0)-ABS(N57)*$C$25</f>
        <v>0</v>
      </c>
      <c r="O61" s="66" t="n">
        <f aca="false">IF(AND($C$22="Y",O58+O60&gt;0),-(O58+O60)/2*$C$23,0)-ABS(O57)*$C$25</f>
        <v>0</v>
      </c>
      <c r="P61" s="66" t="n">
        <f aca="false">IF(AND($C$22="Y",P58+P60&gt;0),-(P58+P60)/2*$C$23,0)-ABS(P57)*$C$25</f>
        <v>0</v>
      </c>
      <c r="Q61" s="66" t="n">
        <f aca="false">IF(AND($C$22="Y",Q58+Q60&gt;0),-(Q58+Q60)/2*$C$23,0)-ABS(Q57)*$C$25</f>
        <v>0</v>
      </c>
      <c r="R61" s="66" t="n">
        <f aca="false">IF(AND($C$22="Y",R58+R60&gt;0),-(R58+R60)/2*$C$23,0)-ABS(R57)*$C$25</f>
        <v>0</v>
      </c>
      <c r="S61" s="66" t="n">
        <f aca="false">IF(AND($C$22="Y",S58+S60&gt;0),-(S58+S60)/2*$C$23,0)-ABS(S57)*$C$25</f>
        <v>0</v>
      </c>
      <c r="T61" s="66" t="n">
        <f aca="false">IF(AND($C$22="Y",T58+T60&gt;0),-(T58+T60)/2*$C$23,0)-ABS(T57)*$C$25</f>
        <v>0</v>
      </c>
      <c r="U61" s="66" t="n">
        <f aca="false">IF(AND($C$22="Y",U58+U60&gt;0),-(U58+U60)/2*$C$23,0)-ABS(U57)*$C$25</f>
        <v>0</v>
      </c>
      <c r="V61" s="66" t="n">
        <f aca="false">IF(AND($C$22="Y",V58+V60&gt;0),-(V58+V60)/2*$C$23,0)-ABS(V57)*$C$25</f>
        <v>0</v>
      </c>
      <c r="W61" s="66" t="n">
        <f aca="false">IF(AND($C$22="Y",W58+W60&gt;0),-(W58+W60)/2*$C$23,0)-ABS(W57)*$C$25</f>
        <v>0</v>
      </c>
      <c r="X61" s="66" t="n">
        <f aca="false">IF(AND($C$22="Y",X58+X60&gt;0),-(X58+X60)/2*$C$23,0)-ABS(X57)*$C$25</f>
        <v>0</v>
      </c>
      <c r="Y61" s="66" t="n">
        <f aca="false">IF(AND($C$22="Y",Y58+Y60&gt;0),-(Y58+Y60)/2*$C$23,0)-ABS(Y57)*$C$25</f>
        <v>0</v>
      </c>
      <c r="Z61" s="66" t="n">
        <f aca="false">IF(AND($C$22="Y",Z58+Z60&gt;0),-(Z58+Z60)/2*$C$23,0)-ABS(Z57)*$C$25</f>
        <v>0</v>
      </c>
      <c r="AA61" s="66" t="n">
        <f aca="false">IF(AND($C$22="Y",AA58+AA60&gt;0),-(AA58+AA60)/2*$C$23,0)-ABS(AA57)*$C$25</f>
        <v>0</v>
      </c>
      <c r="AB61" s="66" t="n">
        <f aca="false">IF(AND($C$22="Y",AB58+AB60&gt;0),-(AB58+AB60)/2*$C$23,0)-ABS(AB57)*$C$25</f>
        <v>0</v>
      </c>
      <c r="AC61" s="66" t="n">
        <f aca="false">IF(AND($C$22="Y",AC58+AC60&gt;0),-(AC58+AC60)/2*$C$23,0)-ABS(AC57)*$C$25</f>
        <v>0</v>
      </c>
      <c r="AD61" s="66" t="n">
        <f aca="false">IF(AND($C$22="Y",AD58+AD60&gt;0),-(AD58+AD60)/2*$C$23,0)-ABS(AD57)*$C$25</f>
        <v>0</v>
      </c>
      <c r="AE61" s="66" t="n">
        <f aca="false">IF(AND($C$22="Y",AE58+AE60&gt;0),-(AE58+AE60)/2*$C$23,0)-ABS(AE57)*$C$25</f>
        <v>0</v>
      </c>
      <c r="AF61" s="66" t="n">
        <f aca="false">IF(AND($C$22="Y",AF58+AF60&gt;0),-(AF58+AF60)/2*$C$23,0)-ABS(AF57)*$C$25</f>
        <v>0</v>
      </c>
      <c r="AG61" s="66" t="n">
        <f aca="false">IF(AND($C$22="Y",AG58+AG60&gt;0),-(AG58+AG60)/2*$C$23,0)-ABS(AG57)*$C$25</f>
        <v>0</v>
      </c>
      <c r="AH61" s="66" t="n">
        <f aca="false">IF(AND($C$22="Y",AH58+AH60&gt;0),-(AH58+AH60)/2*$C$23,0)-ABS(AH57)*$C$25</f>
        <v>0</v>
      </c>
      <c r="AI61" s="66" t="n">
        <f aca="false">IF(AND($C$22="Y",AI58+AI60&gt;0),-(AI58+AI60)/2*$C$23,0)-ABS(AI57)*$C$25</f>
        <v>0</v>
      </c>
      <c r="AJ61" s="66" t="n">
        <f aca="false">IF(AND($C$22="Y",AJ58+AJ60&gt;0),-(AJ58+AJ60)/2*$C$23,0)-ABS(AJ57)*$C$25</f>
        <v>0</v>
      </c>
      <c r="AK61" s="66" t="n">
        <f aca="false">IF(AND($C$22="Y",AK58+AK60&gt;0),-(AK58+AK60)/2*$C$23,0)-ABS(AK57)*$C$25</f>
        <v>0</v>
      </c>
      <c r="AL61" s="66" t="n">
        <f aca="false">IF(AND($C$22="Y",AL58+AL60&gt;0),-(AL58+AL60)/2*$C$23,0)-ABS(AL57)*$C$25</f>
        <v>0</v>
      </c>
      <c r="AM61" s="66" t="n">
        <f aca="false">IF(AND($C$22="Y",AM58+AM60&gt;0),-(AM58+AM60)/2*$C$23,0)-ABS(AM57)*$C$25</f>
        <v>0</v>
      </c>
      <c r="AN61" s="66" t="n">
        <f aca="false">IF(AND($C$22="Y",AN58+AN60&gt;0),-(AN58+AN60)/2*$C$23,0)-ABS(AN57)*$C$25</f>
        <v>0</v>
      </c>
      <c r="AO61" s="66" t="n">
        <f aca="false">IF(AND($C$22="Y",AO58+AO60&gt;0),-(AO58+AO60)/2*$C$23,0)-ABS(AO57)*$C$25</f>
        <v>0</v>
      </c>
      <c r="AP61" s="66" t="n">
        <f aca="false">IF(AND($C$22="Y",AP58+AP60&gt;0),-(AP58+AP60)/2*$C$23,0)-ABS(AP57)*$C$25</f>
        <v>0</v>
      </c>
      <c r="AQ61" s="66" t="n">
        <f aca="false">IF(AND($C$22="Y",AQ58+AQ60&gt;0),-(AQ58+AQ60)/2*$C$23,0)-ABS(AQ57)*$C$25</f>
        <v>0</v>
      </c>
      <c r="AR61" s="66" t="n">
        <f aca="false">IF(AND($C$22="Y",AR58+AR60&gt;0),-(AR58+AR60)/2*$C$23,0)-ABS(AR57)*$C$25</f>
        <v>0</v>
      </c>
      <c r="AS61" s="66" t="n">
        <f aca="false">IF(AND($C$22="Y",AS58+AS60&gt;0),-(AS58+AS60)/2*$C$23,0)-ABS(AS57)*$C$25</f>
        <v>0</v>
      </c>
      <c r="AT61" s="66" t="n">
        <f aca="false">IF(AND($C$22="Y",AT58+AT60&gt;0),-(AT58+AT60)/2*$C$23,0)-ABS(AT57)*$C$25</f>
        <v>0</v>
      </c>
      <c r="AU61" s="66" t="n">
        <f aca="false">IF(AND($C$22="Y",AU58+AU60&gt;0),-(AU58+AU60)/2*$C$23,0)-ABS(AU57)*$C$25</f>
        <v>0</v>
      </c>
      <c r="AV61" s="66" t="n">
        <f aca="false">IF(AND($C$22="Y",AV58+AV60&gt;0),-(AV58+AV60)/2*$C$23,0)-ABS(AV57)*$C$25</f>
        <v>0</v>
      </c>
      <c r="AW61" s="66" t="n">
        <f aca="false">IF(AND($C$22="Y",AW58+AW60&gt;0),-(AW58+AW60)/2*$C$23,0)-ABS(AW57)*$C$25</f>
        <v>0</v>
      </c>
      <c r="AX61" s="66" t="n">
        <f aca="false">IF(AND($C$22="Y",AX58+AX60&gt;0),-(AX58+AX60)/2*$C$23,0)-ABS(AX57)*$C$25</f>
        <v>0</v>
      </c>
      <c r="AY61" s="66" t="n">
        <f aca="false">IF(AND($C$22="Y",AY58+AY60&gt;0),-(AY58+AY60)/2*$C$23,0)-ABS(AY57)*$C$25</f>
        <v>0</v>
      </c>
      <c r="AZ61" s="66" t="n">
        <f aca="false">IF(AND($C$22="Y",AZ58+AZ60&gt;0),-(AZ58+AZ60)/2*$C$23,0)-ABS(AZ57)*$C$25</f>
        <v>0</v>
      </c>
      <c r="BA61" s="66" t="n">
        <f aca="false">IF(AND($C$22="Y",BA58+BA60&gt;0),-(BA58+BA60)/2*$C$23,0)-ABS(BA57)*$C$25</f>
        <v>0</v>
      </c>
      <c r="BB61" s="66" t="n">
        <f aca="false">IF(AND($C$22="Y",BB58+BB60&gt;0),-(BB58+BB60)/2*$C$23,0)-ABS(BB57)*$C$25</f>
        <v>0</v>
      </c>
    </row>
    <row r="62" customFormat="false" ht="15" hidden="false" customHeight="true" outlineLevel="0" collapsed="false">
      <c r="B62" s="20" t="s">
        <v>472</v>
      </c>
      <c r="C62" s="59" t="s">
        <v>11</v>
      </c>
      <c r="D62" s="63" t="n">
        <f aca="false">SUM(E62:BB62)</f>
        <v>-396330363.649998</v>
      </c>
      <c r="E62" s="63" t="n">
        <f aca="false">E59+E61</f>
        <v>0</v>
      </c>
      <c r="F62" s="63" t="n">
        <f aca="false">F59+F61</f>
        <v>0</v>
      </c>
      <c r="G62" s="63" t="n">
        <f aca="false">G59+G61</f>
        <v>-3824352.17471323</v>
      </c>
      <c r="H62" s="63" t="n">
        <f aca="false">H59+H61</f>
        <v>-10191897.7322897</v>
      </c>
      <c r="I62" s="63" t="n">
        <f aca="false">I59+I61</f>
        <v>-100923545.066544</v>
      </c>
      <c r="J62" s="63" t="n">
        <f aca="false">J59+J61</f>
        <v>-99352023.1089976</v>
      </c>
      <c r="K62" s="63" t="n">
        <f aca="false">K59+K61</f>
        <v>-93796856.2254838</v>
      </c>
      <c r="L62" s="63" t="n">
        <f aca="false">L59+L61</f>
        <v>-88241689.3419699</v>
      </c>
      <c r="M62" s="63" t="n">
        <f aca="false">M59+M61</f>
        <v>0</v>
      </c>
      <c r="N62" s="63" t="n">
        <f aca="false">N59+N61</f>
        <v>0</v>
      </c>
      <c r="O62" s="63" t="n">
        <f aca="false">O59+O61</f>
        <v>0</v>
      </c>
      <c r="P62" s="63" t="n">
        <f aca="false">P59+P61</f>
        <v>0</v>
      </c>
      <c r="Q62" s="63" t="n">
        <f aca="false">Q59+Q61</f>
        <v>0</v>
      </c>
      <c r="R62" s="63" t="n">
        <f aca="false">R59+R61</f>
        <v>0</v>
      </c>
      <c r="S62" s="63" t="n">
        <f aca="false">S59+S61</f>
        <v>0</v>
      </c>
      <c r="T62" s="63" t="n">
        <f aca="false">T59+T61</f>
        <v>0</v>
      </c>
      <c r="U62" s="63" t="n">
        <f aca="false">U59+U61</f>
        <v>0</v>
      </c>
      <c r="V62" s="63" t="n">
        <f aca="false">V59+V61</f>
        <v>0</v>
      </c>
      <c r="W62" s="63" t="n">
        <f aca="false">W59+W61</f>
        <v>0</v>
      </c>
      <c r="X62" s="63" t="n">
        <f aca="false">X59+X61</f>
        <v>0</v>
      </c>
      <c r="Y62" s="63" t="n">
        <f aca="false">Y59+Y61</f>
        <v>0</v>
      </c>
      <c r="Z62" s="63" t="n">
        <f aca="false">Z59+Z61</f>
        <v>0</v>
      </c>
      <c r="AA62" s="63" t="n">
        <f aca="false">AA59+AA61</f>
        <v>0</v>
      </c>
      <c r="AB62" s="63" t="n">
        <f aca="false">AB59+AB61</f>
        <v>0</v>
      </c>
      <c r="AC62" s="63" t="n">
        <f aca="false">AC59+AC61</f>
        <v>0</v>
      </c>
      <c r="AD62" s="63" t="n">
        <f aca="false">AD59+AD61</f>
        <v>0</v>
      </c>
      <c r="AE62" s="63" t="n">
        <f aca="false">AE59+AE61</f>
        <v>0</v>
      </c>
      <c r="AF62" s="63" t="n">
        <f aca="false">AF59+AF61</f>
        <v>0</v>
      </c>
      <c r="AG62" s="63" t="n">
        <f aca="false">AG59+AG61</f>
        <v>0</v>
      </c>
      <c r="AH62" s="63" t="n">
        <f aca="false">AH59+AH61</f>
        <v>0</v>
      </c>
      <c r="AI62" s="63" t="n">
        <f aca="false">AI59+AI61</f>
        <v>0</v>
      </c>
      <c r="AJ62" s="63" t="n">
        <f aca="false">AJ59+AJ61</f>
        <v>0</v>
      </c>
      <c r="AK62" s="63" t="n">
        <f aca="false">AK59+AK61</f>
        <v>0</v>
      </c>
      <c r="AL62" s="63" t="n">
        <f aca="false">AL59+AL61</f>
        <v>0</v>
      </c>
      <c r="AM62" s="63" t="n">
        <f aca="false">AM59+AM61</f>
        <v>0</v>
      </c>
      <c r="AN62" s="63" t="n">
        <f aca="false">AN59+AN61</f>
        <v>0</v>
      </c>
      <c r="AO62" s="63" t="n">
        <f aca="false">AO59+AO61</f>
        <v>0</v>
      </c>
      <c r="AP62" s="63" t="n">
        <f aca="false">AP59+AP61</f>
        <v>0</v>
      </c>
      <c r="AQ62" s="63" t="n">
        <f aca="false">AQ59+AQ61</f>
        <v>0</v>
      </c>
      <c r="AR62" s="63" t="n">
        <f aca="false">AR59+AR61</f>
        <v>0</v>
      </c>
      <c r="AS62" s="63" t="n">
        <f aca="false">AS59+AS61</f>
        <v>0</v>
      </c>
      <c r="AT62" s="63" t="n">
        <f aca="false">AT59+AT61</f>
        <v>0</v>
      </c>
      <c r="AU62" s="63" t="n">
        <f aca="false">AU59+AU61</f>
        <v>0</v>
      </c>
      <c r="AV62" s="63" t="n">
        <f aca="false">AV59+AV61</f>
        <v>0</v>
      </c>
      <c r="AW62" s="63" t="n">
        <f aca="false">AW59+AW61</f>
        <v>0</v>
      </c>
      <c r="AX62" s="63" t="n">
        <f aca="false">AX59+AX61</f>
        <v>0</v>
      </c>
      <c r="AY62" s="63" t="n">
        <f aca="false">AY59+AY61</f>
        <v>0</v>
      </c>
      <c r="AZ62" s="63" t="n">
        <f aca="false">AZ59+AZ61</f>
        <v>0</v>
      </c>
      <c r="BA62" s="63" t="n">
        <f aca="false">BA59+BA61</f>
        <v>0</v>
      </c>
      <c r="BB62" s="63" t="n">
        <f aca="false">BB59+BB61</f>
        <v>0</v>
      </c>
    </row>
    <row r="64" customFormat="false" ht="15" hidden="false" customHeight="true" outlineLevel="0" collapsed="false">
      <c r="B64" s="59" t="s">
        <v>473</v>
      </c>
      <c r="C64" s="59" t="s">
        <v>11</v>
      </c>
      <c r="D64" s="66" t="n">
        <f aca="false">SUM(E64:BB64)</f>
        <v>2930197.91657873</v>
      </c>
      <c r="E64" s="66" t="n">
        <f aca="false">IF(E$46=$C$9,$C$14*$C$29,0)</f>
        <v>0</v>
      </c>
      <c r="F64" s="66" t="n">
        <f aca="false">IF(F$46=$C$9,$C$14*$C$29,0)</f>
        <v>2930197.91657873</v>
      </c>
      <c r="G64" s="66" t="n">
        <f aca="false">IF(G$46=$C$9,$C$14*$C$29,0)</f>
        <v>0</v>
      </c>
      <c r="H64" s="66" t="n">
        <f aca="false">IF(H$46=$C$9,$C$14*$C$29,0)</f>
        <v>0</v>
      </c>
      <c r="I64" s="66" t="n">
        <f aca="false">IF(I$46=$C$9,$C$14*$C$29,0)</f>
        <v>0</v>
      </c>
      <c r="J64" s="66" t="n">
        <f aca="false">IF(J$46=$C$9,$C$14*$C$29,0)</f>
        <v>0</v>
      </c>
      <c r="K64" s="66" t="n">
        <f aca="false">IF(K$46=$C$9,$C$14*$C$29,0)</f>
        <v>0</v>
      </c>
      <c r="L64" s="66" t="n">
        <f aca="false">IF(L$46=$C$9,$C$14*$C$29,0)</f>
        <v>0</v>
      </c>
      <c r="M64" s="66" t="n">
        <f aca="false">IF(M$46=$C$9,$C$14*$C$29,0)</f>
        <v>0</v>
      </c>
      <c r="N64" s="66" t="n">
        <f aca="false">IF(N$46=$C$9,$C$14*$C$29,0)</f>
        <v>0</v>
      </c>
      <c r="O64" s="66" t="n">
        <f aca="false">IF(O$46=$C$9,$C$14*$C$29,0)</f>
        <v>0</v>
      </c>
      <c r="P64" s="66" t="n">
        <f aca="false">IF(P$46=$C$9,$C$14*$C$29,0)</f>
        <v>0</v>
      </c>
      <c r="Q64" s="66" t="n">
        <f aca="false">IF(Q$46=$C$9,$C$14*$C$29,0)</f>
        <v>0</v>
      </c>
      <c r="R64" s="66" t="n">
        <f aca="false">IF(R$46=$C$9,$C$14*$C$29,0)</f>
        <v>0</v>
      </c>
      <c r="S64" s="66" t="n">
        <f aca="false">IF(S$46=$C$9,$C$14*$C$29,0)</f>
        <v>0</v>
      </c>
      <c r="T64" s="66" t="n">
        <f aca="false">IF(T$46=$C$9,$C$14*$C$29,0)</f>
        <v>0</v>
      </c>
      <c r="U64" s="66" t="n">
        <f aca="false">IF(U$46=$C$9,$C$14*$C$29,0)</f>
        <v>0</v>
      </c>
      <c r="V64" s="66" t="n">
        <f aca="false">IF(V$46=$C$9,$C$14*$C$29,0)</f>
        <v>0</v>
      </c>
      <c r="W64" s="66" t="n">
        <f aca="false">IF(W$46=$C$9,$C$14*$C$29,0)</f>
        <v>0</v>
      </c>
      <c r="X64" s="66" t="n">
        <f aca="false">IF(X$46=$C$9,$C$14*$C$29,0)</f>
        <v>0</v>
      </c>
      <c r="Y64" s="66" t="n">
        <f aca="false">IF(Y$46=$C$9,$C$14*$C$29,0)</f>
        <v>0</v>
      </c>
      <c r="Z64" s="66" t="n">
        <f aca="false">IF(Z$46=$C$9,$C$14*$C$29,0)</f>
        <v>0</v>
      </c>
      <c r="AA64" s="66" t="n">
        <f aca="false">IF(AA$46=$C$9,$C$14*$C$29,0)</f>
        <v>0</v>
      </c>
      <c r="AB64" s="66" t="n">
        <f aca="false">IF(AB$46=$C$9,$C$14*$C$29,0)</f>
        <v>0</v>
      </c>
      <c r="AC64" s="66" t="n">
        <f aca="false">IF(AC$46=$C$9,$C$14*$C$29,0)</f>
        <v>0</v>
      </c>
      <c r="AD64" s="66" t="n">
        <f aca="false">IF(AD$46=$C$9,$C$14*$C$29,0)</f>
        <v>0</v>
      </c>
      <c r="AE64" s="66" t="n">
        <f aca="false">IF(AE$46=$C$9,$C$14*$C$29,0)</f>
        <v>0</v>
      </c>
      <c r="AF64" s="66" t="n">
        <f aca="false">IF(AF$46=$C$9,$C$14*$C$29,0)</f>
        <v>0</v>
      </c>
      <c r="AG64" s="66" t="n">
        <f aca="false">IF(AG$46=$C$9,$C$14*$C$29,0)</f>
        <v>0</v>
      </c>
      <c r="AH64" s="66" t="n">
        <f aca="false">IF(AH$46=$C$9,$C$14*$C$29,0)</f>
        <v>0</v>
      </c>
      <c r="AI64" s="66" t="n">
        <f aca="false">IF(AI$46=$C$9,$C$14*$C$29,0)</f>
        <v>0</v>
      </c>
      <c r="AJ64" s="66" t="n">
        <f aca="false">IF(AJ$46=$C$9,$C$14*$C$29,0)</f>
        <v>0</v>
      </c>
      <c r="AK64" s="66" t="n">
        <f aca="false">IF(AK$46=$C$9,$C$14*$C$29,0)</f>
        <v>0</v>
      </c>
      <c r="AL64" s="66" t="n">
        <f aca="false">IF(AL$46=$C$9,$C$14*$C$29,0)</f>
        <v>0</v>
      </c>
      <c r="AM64" s="66" t="n">
        <f aca="false">IF(AM$46=$C$9,$C$14*$C$29,0)</f>
        <v>0</v>
      </c>
      <c r="AN64" s="66" t="n">
        <f aca="false">IF(AN$46=$C$9,$C$14*$C$29,0)</f>
        <v>0</v>
      </c>
      <c r="AO64" s="66" t="n">
        <f aca="false">IF(AO$46=$C$9,$C$14*$C$29,0)</f>
        <v>0</v>
      </c>
      <c r="AP64" s="66" t="n">
        <f aca="false">IF(AP$46=$C$9,$C$14*$C$29,0)</f>
        <v>0</v>
      </c>
      <c r="AQ64" s="66" t="n">
        <f aca="false">IF(AQ$46=$C$9,$C$14*$C$29,0)</f>
        <v>0</v>
      </c>
      <c r="AR64" s="66" t="n">
        <f aca="false">IF(AR$46=$C$9,$C$14*$C$29,0)</f>
        <v>0</v>
      </c>
      <c r="AS64" s="66" t="n">
        <f aca="false">IF(AS$46=$C$9,$C$14*$C$29,0)</f>
        <v>0</v>
      </c>
      <c r="AT64" s="66" t="n">
        <f aca="false">IF(AT$46=$C$9,$C$14*$C$29,0)</f>
        <v>0</v>
      </c>
      <c r="AU64" s="66" t="n">
        <f aca="false">IF(AU$46=$C$9,$C$14*$C$29,0)</f>
        <v>0</v>
      </c>
      <c r="AV64" s="66" t="n">
        <f aca="false">IF(AV$46=$C$9,$C$14*$C$29,0)</f>
        <v>0</v>
      </c>
      <c r="AW64" s="66" t="n">
        <f aca="false">IF(AW$46=$C$9,$C$14*$C$29,0)</f>
        <v>0</v>
      </c>
      <c r="AX64" s="66" t="n">
        <f aca="false">IF(AX$46=$C$9,$C$14*$C$29,0)</f>
        <v>0</v>
      </c>
      <c r="AY64" s="66" t="n">
        <f aca="false">IF(AY$46=$C$9,$C$14*$C$29,0)</f>
        <v>0</v>
      </c>
      <c r="AZ64" s="66" t="n">
        <f aca="false">IF(AZ$46=$C$9,$C$14*$C$29,0)</f>
        <v>0</v>
      </c>
      <c r="BA64" s="66" t="n">
        <f aca="false">IF(BA$46=$C$9,$C$14*$C$29,0)</f>
        <v>0</v>
      </c>
      <c r="BB64" s="66" t="n">
        <f aca="false">IF(BB$46=$C$9,$C$14*$C$29,0)</f>
        <v>0</v>
      </c>
    </row>
    <row r="65" customFormat="false" ht="15" hidden="false" customHeight="true" outlineLevel="0" collapsed="false">
      <c r="B65" s="59" t="s">
        <v>474</v>
      </c>
      <c r="C65" s="59" t="s">
        <v>11</v>
      </c>
      <c r="D65" s="66" t="n">
        <f aca="false">SUM(E65:BB65)</f>
        <v>16949823.5887862</v>
      </c>
      <c r="E65" s="66" t="n">
        <f aca="false">IF(AND(E$46&gt;=$C$9,E$46&lt;=$C$41),ABS(SUM($E$49:E49))*$C$30,0)</f>
        <v>0</v>
      </c>
      <c r="F65" s="66" t="n">
        <f aca="false">IF(AND(F$46&gt;=$C$9,F$46&lt;=$C$41),ABS(SUM($E$49:F49))*$C$30,0)</f>
        <v>0</v>
      </c>
      <c r="G65" s="66" t="n">
        <f aca="false">IF(AND(G$46&gt;=$C$9,G$46&lt;=$C$41),ABS(SUM($E$49:G49))*$C$30,0)</f>
        <v>1037316.357</v>
      </c>
      <c r="H65" s="66" t="n">
        <f aca="false">IF(AND(H$46&gt;=$C$9,H$46&lt;=$C$41),ABS(SUM($E$49:H49))*$C$30,0)</f>
        <v>2003749.209</v>
      </c>
      <c r="I65" s="66" t="n">
        <f aca="false">IF(AND(I$46&gt;=$C$9,I$46&lt;=$C$41),ABS(SUM($E$49:I49))*$C$30,0)</f>
        <v>3477189.50569656</v>
      </c>
      <c r="J65" s="66" t="n">
        <f aca="false">IF(AND(J$46&gt;=$C$9,J$46&lt;=$C$41),ABS(SUM($E$49:J49))*$C$30,0)</f>
        <v>3477189.50569656</v>
      </c>
      <c r="K65" s="66" t="n">
        <f aca="false">IF(AND(K$46&gt;=$C$9,K$46&lt;=$C$41),ABS(SUM($E$49:K49))*$C$30,0)</f>
        <v>3477189.50569656</v>
      </c>
      <c r="L65" s="66" t="n">
        <f aca="false">IF(AND(L$46&gt;=$C$9,L$46&lt;=$C$41),ABS(SUM($E$49:L49))*$C$30,0)</f>
        <v>3477189.50569656</v>
      </c>
      <c r="M65" s="66" t="n">
        <f aca="false">IF(AND(M$46&gt;=$C$9,M$46&lt;=$C$41),ABS(SUM($E$49:M49))*$C$30,0)</f>
        <v>0</v>
      </c>
      <c r="N65" s="66" t="n">
        <f aca="false">IF(AND(N$46&gt;=$C$9,N$46&lt;=$C$41),ABS(SUM($E$49:N49))*$C$30,0)</f>
        <v>0</v>
      </c>
      <c r="O65" s="66" t="n">
        <f aca="false">IF(AND(O$46&gt;=$C$9,O$46&lt;=$C$41),ABS(SUM($E$49:O49))*$C$30,0)</f>
        <v>0</v>
      </c>
      <c r="P65" s="66" t="n">
        <f aca="false">IF(AND(P$46&gt;=$C$9,P$46&lt;=$C$41),ABS(SUM($E$49:P49))*$C$30,0)</f>
        <v>0</v>
      </c>
      <c r="Q65" s="66" t="n">
        <f aca="false">IF(AND(Q$46&gt;=$C$9,Q$46&lt;=$C$41),ABS(SUM($E$49:Q49))*$C$30,0)</f>
        <v>0</v>
      </c>
      <c r="R65" s="66" t="n">
        <f aca="false">IF(AND(R$46&gt;=$C$9,R$46&lt;=$C$41),ABS(SUM($E$49:R49))*$C$30,0)</f>
        <v>0</v>
      </c>
      <c r="S65" s="66" t="n">
        <f aca="false">IF(AND(S$46&gt;=$C$9,S$46&lt;=$C$41),ABS(SUM($E$49:S49))*$C$30,0)</f>
        <v>0</v>
      </c>
      <c r="T65" s="66" t="n">
        <f aca="false">IF(AND(T$46&gt;=$C$9,T$46&lt;=$C$41),ABS(SUM($E$49:T49))*$C$30,0)</f>
        <v>0</v>
      </c>
      <c r="U65" s="66" t="n">
        <f aca="false">IF(AND(U$46&gt;=$C$9,U$46&lt;=$C$41),ABS(SUM($E$49:U49))*$C$30,0)</f>
        <v>0</v>
      </c>
      <c r="V65" s="66" t="n">
        <f aca="false">IF(AND(V$46&gt;=$C$9,V$46&lt;=$C$41),ABS(SUM($E$49:V49))*$C$30,0)</f>
        <v>0</v>
      </c>
      <c r="W65" s="66" t="n">
        <f aca="false">IF(AND(W$46&gt;=$C$9,W$46&lt;=$C$41),ABS(SUM($E$49:W49))*$C$30,0)</f>
        <v>0</v>
      </c>
      <c r="X65" s="66" t="n">
        <f aca="false">IF(AND(X$46&gt;=$C$9,X$46&lt;=$C$41),ABS(SUM($E$49:X49))*$C$30,0)</f>
        <v>0</v>
      </c>
      <c r="Y65" s="66" t="n">
        <f aca="false">IF(AND(Y$46&gt;=$C$9,Y$46&lt;=$C$41),ABS(SUM($E$49:Y49))*$C$30,0)</f>
        <v>0</v>
      </c>
      <c r="Z65" s="66" t="n">
        <f aca="false">IF(AND(Z$46&gt;=$C$9,Z$46&lt;=$C$41),ABS(SUM($E$49:Z49))*$C$30,0)</f>
        <v>0</v>
      </c>
      <c r="AA65" s="66" t="n">
        <f aca="false">IF(AND(AA$46&gt;=$C$9,AA$46&lt;=$C$41),ABS(SUM($E$49:AA49))*$C$30,0)</f>
        <v>0</v>
      </c>
      <c r="AB65" s="66" t="n">
        <f aca="false">IF(AND(AB$46&gt;=$C$9,AB$46&lt;=$C$41),ABS(SUM($E$49:AB49))*$C$30,0)</f>
        <v>0</v>
      </c>
      <c r="AC65" s="66" t="n">
        <f aca="false">IF(AND(AC$46&gt;=$C$9,AC$46&lt;=$C$41),ABS(SUM($E$49:AC49))*$C$30,0)</f>
        <v>0</v>
      </c>
      <c r="AD65" s="66" t="n">
        <f aca="false">IF(AND(AD$46&gt;=$C$9,AD$46&lt;=$C$41),ABS(SUM($E$49:AD49))*$C$30,0)</f>
        <v>0</v>
      </c>
      <c r="AE65" s="66" t="n">
        <f aca="false">IF(AND(AE$46&gt;=$C$9,AE$46&lt;=$C$41),ABS(SUM($E$49:AE49))*$C$30,0)</f>
        <v>0</v>
      </c>
      <c r="AF65" s="66" t="n">
        <f aca="false">IF(AND(AF$46&gt;=$C$9,AF$46&lt;=$C$41),ABS(SUM($E$49:AF49))*$C$30,0)</f>
        <v>0</v>
      </c>
      <c r="AG65" s="66" t="n">
        <f aca="false">IF(AND(AG$46&gt;=$C$9,AG$46&lt;=$C$41),ABS(SUM($E$49:AG49))*$C$30,0)</f>
        <v>0</v>
      </c>
      <c r="AH65" s="66" t="n">
        <f aca="false">IF(AND(AH$46&gt;=$C$9,AH$46&lt;=$C$41),ABS(SUM($E$49:AH49))*$C$30,0)</f>
        <v>0</v>
      </c>
      <c r="AI65" s="66" t="n">
        <f aca="false">IF(AND(AI$46&gt;=$C$9,AI$46&lt;=$C$41),ABS(SUM($E$49:AI49))*$C$30,0)</f>
        <v>0</v>
      </c>
      <c r="AJ65" s="66" t="n">
        <f aca="false">IF(AND(AJ$46&gt;=$C$9,AJ$46&lt;=$C$41),ABS(SUM($E$49:AJ49))*$C$30,0)</f>
        <v>0</v>
      </c>
      <c r="AK65" s="66" t="n">
        <f aca="false">IF(AND(AK$46&gt;=$C$9,AK$46&lt;=$C$41),ABS(SUM($E$49:AK49))*$C$30,0)</f>
        <v>0</v>
      </c>
      <c r="AL65" s="66" t="n">
        <f aca="false">IF(AND(AL$46&gt;=$C$9,AL$46&lt;=$C$41),ABS(SUM($E$49:AL49))*$C$30,0)</f>
        <v>0</v>
      </c>
      <c r="AM65" s="66" t="n">
        <f aca="false">IF(AND(AM$46&gt;=$C$9,AM$46&lt;=$C$41),ABS(SUM($E$49:AM49))*$C$30,0)</f>
        <v>0</v>
      </c>
      <c r="AN65" s="66" t="n">
        <f aca="false">IF(AND(AN$46&gt;=$C$9,AN$46&lt;=$C$41),ABS(SUM($E$49:AN49))*$C$30,0)</f>
        <v>0</v>
      </c>
      <c r="AO65" s="66" t="n">
        <f aca="false">IF(AND(AO$46&gt;=$C$9,AO$46&lt;=$C$41),ABS(SUM($E$49:AO49))*$C$30,0)</f>
        <v>0</v>
      </c>
      <c r="AP65" s="66" t="n">
        <f aca="false">IF(AND(AP$46&gt;=$C$9,AP$46&lt;=$C$41),ABS(SUM($E$49:AP49))*$C$30,0)</f>
        <v>0</v>
      </c>
      <c r="AQ65" s="66" t="n">
        <f aca="false">IF(AND(AQ$46&gt;=$C$9,AQ$46&lt;=$C$41),ABS(SUM($E$49:AQ49))*$C$30,0)</f>
        <v>0</v>
      </c>
      <c r="AR65" s="66" t="n">
        <f aca="false">IF(AND(AR$46&gt;=$C$9,AR$46&lt;=$C$41),ABS(SUM($E$49:AR49))*$C$30,0)</f>
        <v>0</v>
      </c>
      <c r="AS65" s="66" t="n">
        <f aca="false">IF(AND(AS$46&gt;=$C$9,AS$46&lt;=$C$41),ABS(SUM($E$49:AS49))*$C$30,0)</f>
        <v>0</v>
      </c>
      <c r="AT65" s="66" t="n">
        <f aca="false">IF(AND(AT$46&gt;=$C$9,AT$46&lt;=$C$41),ABS(SUM($E$49:AT49))*$C$30,0)</f>
        <v>0</v>
      </c>
      <c r="AU65" s="66" t="n">
        <f aca="false">IF(AND(AU$46&gt;=$C$9,AU$46&lt;=$C$41),ABS(SUM($E$49:AU49))*$C$30,0)</f>
        <v>0</v>
      </c>
      <c r="AV65" s="66" t="n">
        <f aca="false">IF(AND(AV$46&gt;=$C$9,AV$46&lt;=$C$41),ABS(SUM($E$49:AV49))*$C$30,0)</f>
        <v>0</v>
      </c>
      <c r="AW65" s="66" t="n">
        <f aca="false">IF(AND(AW$46&gt;=$C$9,AW$46&lt;=$C$41),ABS(SUM($E$49:AW49))*$C$30,0)</f>
        <v>0</v>
      </c>
      <c r="AX65" s="66" t="n">
        <f aca="false">IF(AND(AX$46&gt;=$C$9,AX$46&lt;=$C$41),ABS(SUM($E$49:AX49))*$C$30,0)</f>
        <v>0</v>
      </c>
      <c r="AY65" s="66" t="n">
        <f aca="false">IF(AND(AY$46&gt;=$C$9,AY$46&lt;=$C$41),ABS(SUM($E$49:AY49))*$C$30,0)</f>
        <v>0</v>
      </c>
      <c r="AZ65" s="66" t="n">
        <f aca="false">IF(AND(AZ$46&gt;=$C$9,AZ$46&lt;=$C$41),ABS(SUM($E$49:AZ49))*$C$30,0)</f>
        <v>0</v>
      </c>
      <c r="BA65" s="66" t="n">
        <f aca="false">IF(AND(BA$46&gt;=$C$9,BA$46&lt;=$C$41),ABS(SUM($E$49:BA49))*$C$30,0)</f>
        <v>0</v>
      </c>
      <c r="BB65" s="66" t="n">
        <f aca="false">IF(AND(BB$46&gt;=$C$9,BB$46&lt;=$C$41),ABS(SUM($E$49:BB49))*$C$30,0)</f>
        <v>0</v>
      </c>
    </row>
    <row r="66" customFormat="false" ht="15" hidden="false" customHeight="true" outlineLevel="0" collapsed="false">
      <c r="B66" s="59" t="s">
        <v>475</v>
      </c>
      <c r="C66" s="59" t="s">
        <v>11</v>
      </c>
      <c r="D66" s="66" t="n">
        <f aca="false">SUM(E66:BB66)</f>
        <v>910000</v>
      </c>
      <c r="E66" s="66" t="n">
        <f aca="false">IF(AND($C$17&gt;0,E$46&gt;=$C$9,E$46&lt;=$C$41),$C$31,0)</f>
        <v>0</v>
      </c>
      <c r="F66" s="66" t="n">
        <f aca="false">IF(AND($C$17&gt;0,F$46&gt;=$C$9,F$46&lt;=$C$41),$C$31,0)</f>
        <v>130000</v>
      </c>
      <c r="G66" s="66" t="n">
        <f aca="false">IF(AND($C$17&gt;0,G$46&gt;=$C$9,G$46&lt;=$C$41),$C$31,0)</f>
        <v>130000</v>
      </c>
      <c r="H66" s="66" t="n">
        <f aca="false">IF(AND($C$17&gt;0,H$46&gt;=$C$9,H$46&lt;=$C$41),$C$31,0)</f>
        <v>130000</v>
      </c>
      <c r="I66" s="66" t="n">
        <f aca="false">IF(AND($C$17&gt;0,I$46&gt;=$C$9,I$46&lt;=$C$41),$C$31,0)</f>
        <v>130000</v>
      </c>
      <c r="J66" s="66" t="n">
        <f aca="false">IF(AND($C$17&gt;0,J$46&gt;=$C$9,J$46&lt;=$C$41),$C$31,0)</f>
        <v>130000</v>
      </c>
      <c r="K66" s="66" t="n">
        <f aca="false">IF(AND($C$17&gt;0,K$46&gt;=$C$9,K$46&lt;=$C$41),$C$31,0)</f>
        <v>130000</v>
      </c>
      <c r="L66" s="66" t="n">
        <f aca="false">IF(AND($C$17&gt;0,L$46&gt;=$C$9,L$46&lt;=$C$41),$C$31,0)</f>
        <v>130000</v>
      </c>
      <c r="M66" s="66" t="n">
        <f aca="false">IF(AND($C$17&gt;0,M$46&gt;=$C$9,M$46&lt;=$C$41),$C$31,0)</f>
        <v>0</v>
      </c>
      <c r="N66" s="66" t="n">
        <f aca="false">IF(AND($C$17&gt;0,N$46&gt;=$C$9,N$46&lt;=$C$41),$C$31,0)</f>
        <v>0</v>
      </c>
      <c r="O66" s="66" t="n">
        <f aca="false">IF(AND($C$17&gt;0,O$46&gt;=$C$9,O$46&lt;=$C$41),$C$31,0)</f>
        <v>0</v>
      </c>
      <c r="P66" s="66" t="n">
        <f aca="false">IF(AND($C$17&gt;0,P$46&gt;=$C$9,P$46&lt;=$C$41),$C$31,0)</f>
        <v>0</v>
      </c>
      <c r="Q66" s="66" t="n">
        <f aca="false">IF(AND($C$17&gt;0,Q$46&gt;=$C$9,Q$46&lt;=$C$41),$C$31,0)</f>
        <v>0</v>
      </c>
      <c r="R66" s="66" t="n">
        <f aca="false">IF(AND($C$17&gt;0,R$46&gt;=$C$9,R$46&lt;=$C$41),$C$31,0)</f>
        <v>0</v>
      </c>
      <c r="S66" s="66" t="n">
        <f aca="false">IF(AND($C$17&gt;0,S$46&gt;=$C$9,S$46&lt;=$C$41),$C$31,0)</f>
        <v>0</v>
      </c>
      <c r="T66" s="66" t="n">
        <f aca="false">IF(AND($C$17&gt;0,T$46&gt;=$C$9,T$46&lt;=$C$41),$C$31,0)</f>
        <v>0</v>
      </c>
      <c r="U66" s="66" t="n">
        <f aca="false">IF(AND($C$17&gt;0,U$46&gt;=$C$9,U$46&lt;=$C$41),$C$31,0)</f>
        <v>0</v>
      </c>
      <c r="V66" s="66" t="n">
        <f aca="false">IF(AND($C$17&gt;0,V$46&gt;=$C$9,V$46&lt;=$C$41),$C$31,0)</f>
        <v>0</v>
      </c>
      <c r="W66" s="66" t="n">
        <f aca="false">IF(AND($C$17&gt;0,W$46&gt;=$C$9,W$46&lt;=$C$41),$C$31,0)</f>
        <v>0</v>
      </c>
      <c r="X66" s="66" t="n">
        <f aca="false">IF(AND($C$17&gt;0,X$46&gt;=$C$9,X$46&lt;=$C$41),$C$31,0)</f>
        <v>0</v>
      </c>
      <c r="Y66" s="66" t="n">
        <f aca="false">IF(AND($C$17&gt;0,Y$46&gt;=$C$9,Y$46&lt;=$C$41),$C$31,0)</f>
        <v>0</v>
      </c>
      <c r="Z66" s="66" t="n">
        <f aca="false">IF(AND($C$17&gt;0,Z$46&gt;=$C$9,Z$46&lt;=$C$41),$C$31,0)</f>
        <v>0</v>
      </c>
      <c r="AA66" s="66" t="n">
        <f aca="false">IF(AND($C$17&gt;0,AA$46&gt;=$C$9,AA$46&lt;=$C$41),$C$31,0)</f>
        <v>0</v>
      </c>
      <c r="AB66" s="66" t="n">
        <f aca="false">IF(AND($C$17&gt;0,AB$46&gt;=$C$9,AB$46&lt;=$C$41),$C$31,0)</f>
        <v>0</v>
      </c>
      <c r="AC66" s="66" t="n">
        <f aca="false">IF(AND($C$17&gt;0,AC$46&gt;=$C$9,AC$46&lt;=$C$41),$C$31,0)</f>
        <v>0</v>
      </c>
      <c r="AD66" s="66" t="n">
        <f aca="false">IF(AND($C$17&gt;0,AD$46&gt;=$C$9,AD$46&lt;=$C$41),$C$31,0)</f>
        <v>0</v>
      </c>
      <c r="AE66" s="66" t="n">
        <f aca="false">IF(AND($C$17&gt;0,AE$46&gt;=$C$9,AE$46&lt;=$C$41),$C$31,0)</f>
        <v>0</v>
      </c>
      <c r="AF66" s="66" t="n">
        <f aca="false">IF(AND($C$17&gt;0,AF$46&gt;=$C$9,AF$46&lt;=$C$41),$C$31,0)</f>
        <v>0</v>
      </c>
      <c r="AG66" s="66" t="n">
        <f aca="false">IF(AND($C$17&gt;0,AG$46&gt;=$C$9,AG$46&lt;=$C$41),$C$31,0)</f>
        <v>0</v>
      </c>
      <c r="AH66" s="66" t="n">
        <f aca="false">IF(AND($C$17&gt;0,AH$46&gt;=$C$9,AH$46&lt;=$C$41),$C$31,0)</f>
        <v>0</v>
      </c>
      <c r="AI66" s="66" t="n">
        <f aca="false">IF(AND($C$17&gt;0,AI$46&gt;=$C$9,AI$46&lt;=$C$41),$C$31,0)</f>
        <v>0</v>
      </c>
      <c r="AJ66" s="66" t="n">
        <f aca="false">IF(AND($C$17&gt;0,AJ$46&gt;=$C$9,AJ$46&lt;=$C$41),$C$31,0)</f>
        <v>0</v>
      </c>
      <c r="AK66" s="66" t="n">
        <f aca="false">IF(AND($C$17&gt;0,AK$46&gt;=$C$9,AK$46&lt;=$C$41),$C$31,0)</f>
        <v>0</v>
      </c>
      <c r="AL66" s="66" t="n">
        <f aca="false">IF(AND($C$17&gt;0,AL$46&gt;=$C$9,AL$46&lt;=$C$41),$C$31,0)</f>
        <v>0</v>
      </c>
      <c r="AM66" s="66" t="n">
        <f aca="false">IF(AND($C$17&gt;0,AM$46&gt;=$C$9,AM$46&lt;=$C$41),$C$31,0)</f>
        <v>0</v>
      </c>
      <c r="AN66" s="66" t="n">
        <f aca="false">IF(AND($C$17&gt;0,AN$46&gt;=$C$9,AN$46&lt;=$C$41),$C$31,0)</f>
        <v>0</v>
      </c>
      <c r="AO66" s="66" t="n">
        <f aca="false">IF(AND($C$17&gt;0,AO$46&gt;=$C$9,AO$46&lt;=$C$41),$C$31,0)</f>
        <v>0</v>
      </c>
      <c r="AP66" s="66" t="n">
        <f aca="false">IF(AND($C$17&gt;0,AP$46&gt;=$C$9,AP$46&lt;=$C$41),$C$31,0)</f>
        <v>0</v>
      </c>
      <c r="AQ66" s="66" t="n">
        <f aca="false">IF(AND($C$17&gt;0,AQ$46&gt;=$C$9,AQ$46&lt;=$C$41),$C$31,0)</f>
        <v>0</v>
      </c>
      <c r="AR66" s="66" t="n">
        <f aca="false">IF(AND($C$17&gt;0,AR$46&gt;=$C$9,AR$46&lt;=$C$41),$C$31,0)</f>
        <v>0</v>
      </c>
      <c r="AS66" s="66" t="n">
        <f aca="false">IF(AND($C$17&gt;0,AS$46&gt;=$C$9,AS$46&lt;=$C$41),$C$31,0)</f>
        <v>0</v>
      </c>
      <c r="AT66" s="66" t="n">
        <f aca="false">IF(AND($C$17&gt;0,AT$46&gt;=$C$9,AT$46&lt;=$C$41),$C$31,0)</f>
        <v>0</v>
      </c>
      <c r="AU66" s="66" t="n">
        <f aca="false">IF(AND($C$17&gt;0,AU$46&gt;=$C$9,AU$46&lt;=$C$41),$C$31,0)</f>
        <v>0</v>
      </c>
      <c r="AV66" s="66" t="n">
        <f aca="false">IF(AND($C$17&gt;0,AV$46&gt;=$C$9,AV$46&lt;=$C$41),$C$31,0)</f>
        <v>0</v>
      </c>
      <c r="AW66" s="66" t="n">
        <f aca="false">IF(AND($C$17&gt;0,AW$46&gt;=$C$9,AW$46&lt;=$C$41),$C$31,0)</f>
        <v>0</v>
      </c>
      <c r="AX66" s="66" t="n">
        <f aca="false">IF(AND($C$17&gt;0,AX$46&gt;=$C$9,AX$46&lt;=$C$41),$C$31,0)</f>
        <v>0</v>
      </c>
      <c r="AY66" s="66" t="n">
        <f aca="false">IF(AND($C$17&gt;0,AY$46&gt;=$C$9,AY$46&lt;=$C$41),$C$31,0)</f>
        <v>0</v>
      </c>
      <c r="AZ66" s="66" t="n">
        <f aca="false">IF(AND($C$17&gt;0,AZ$46&gt;=$C$9,AZ$46&lt;=$C$41),$C$31,0)</f>
        <v>0</v>
      </c>
      <c r="BA66" s="66" t="n">
        <f aca="false">IF(AND($C$17&gt;0,BA$46&gt;=$C$9,BA$46&lt;=$C$41),$C$31,0)</f>
        <v>0</v>
      </c>
      <c r="BB66" s="66" t="n">
        <f aca="false">IF(AND($C$17&gt;0,BB$46&gt;=$C$9,BB$46&lt;=$C$41),$C$31,0)</f>
        <v>0</v>
      </c>
    </row>
    <row r="67" customFormat="false" ht="15" hidden="false" customHeight="true" outlineLevel="0" collapsed="false">
      <c r="B67" s="59" t="s">
        <v>476</v>
      </c>
      <c r="C67" s="59" t="s">
        <v>11</v>
      </c>
      <c r="D67" s="66" t="n">
        <f aca="false">SUM(E67:BB67)</f>
        <v>46362526.7426208</v>
      </c>
      <c r="E67" s="66" t="n">
        <f aca="false">IF(AND(E49&lt;0,E$46&gt;=$C$9,E$46&lt;=$C$41),ABS(E49)*$C$32,0)</f>
        <v>0</v>
      </c>
      <c r="F67" s="66" t="n">
        <f aca="false">IF(AND(F49&lt;0,F$46&gt;=$C$9,F$46&lt;=$C$41),ABS(F49)*$C$32,0)</f>
        <v>0</v>
      </c>
      <c r="G67" s="66" t="n">
        <f aca="false">IF(AND(G49&lt;0,G$46&gt;=$C$9,G$46&lt;=$C$41),ABS(G49)*$C$32,0)</f>
        <v>13830884.76</v>
      </c>
      <c r="H67" s="66" t="n">
        <f aca="false">IF(AND(H49&lt;0,H$46&gt;=$C$9,H$46&lt;=$C$41),ABS(H49)*$C$32,0)</f>
        <v>12885771.36</v>
      </c>
      <c r="I67" s="66" t="n">
        <f aca="false">IF(AND(I49&lt;0,I$46&gt;=$C$9,I$46&lt;=$C$41),ABS(I49)*$C$32,0)</f>
        <v>19645870.6226208</v>
      </c>
      <c r="J67" s="66" t="n">
        <f aca="false">IF(AND(J49&lt;0,J$46&gt;=$C$9,J$46&lt;=$C$41),ABS(J49)*$C$32,0)</f>
        <v>0</v>
      </c>
      <c r="K67" s="66" t="n">
        <f aca="false">IF(AND(K49&lt;0,K$46&gt;=$C$9,K$46&lt;=$C$41),ABS(K49)*$C$32,0)</f>
        <v>0</v>
      </c>
      <c r="L67" s="66" t="n">
        <f aca="false">IF(AND(L49&lt;0,L$46&gt;=$C$9,L$46&lt;=$C$41),ABS(L49)*$C$32,0)</f>
        <v>0</v>
      </c>
      <c r="M67" s="66" t="n">
        <f aca="false">IF(AND(M49&lt;0,M$46&gt;=$C$9,M$46&lt;=$C$41),ABS(M49)*$C$32,0)</f>
        <v>0</v>
      </c>
      <c r="N67" s="66" t="n">
        <f aca="false">IF(AND(N49&lt;0,N$46&gt;=$C$9,N$46&lt;=$C$41),ABS(N49)*$C$32,0)</f>
        <v>0</v>
      </c>
      <c r="O67" s="66" t="n">
        <f aca="false">IF(AND(O49&lt;0,O$46&gt;=$C$9,O$46&lt;=$C$41),ABS(O49)*$C$32,0)</f>
        <v>0</v>
      </c>
      <c r="P67" s="66" t="n">
        <f aca="false">IF(AND(P49&lt;0,P$46&gt;=$C$9,P$46&lt;=$C$41),ABS(P49)*$C$32,0)</f>
        <v>0</v>
      </c>
      <c r="Q67" s="66" t="n">
        <f aca="false">IF(AND(Q49&lt;0,Q$46&gt;=$C$9,Q$46&lt;=$C$41),ABS(Q49)*$C$32,0)</f>
        <v>0</v>
      </c>
      <c r="R67" s="66" t="n">
        <f aca="false">IF(AND(R49&lt;0,R$46&gt;=$C$9,R$46&lt;=$C$41),ABS(R49)*$C$32,0)</f>
        <v>0</v>
      </c>
      <c r="S67" s="66" t="n">
        <f aca="false">IF(AND(S49&lt;0,S$46&gt;=$C$9,S$46&lt;=$C$41),ABS(S49)*$C$32,0)</f>
        <v>0</v>
      </c>
      <c r="T67" s="66" t="n">
        <f aca="false">IF(AND(T49&lt;0,T$46&gt;=$C$9,T$46&lt;=$C$41),ABS(T49)*$C$32,0)</f>
        <v>0</v>
      </c>
      <c r="U67" s="66" t="n">
        <f aca="false">IF(AND(U49&lt;0,U$46&gt;=$C$9,U$46&lt;=$C$41),ABS(U49)*$C$32,0)</f>
        <v>0</v>
      </c>
      <c r="V67" s="66" t="n">
        <f aca="false">IF(AND(V49&lt;0,V$46&gt;=$C$9,V$46&lt;=$C$41),ABS(V49)*$C$32,0)</f>
        <v>0</v>
      </c>
      <c r="W67" s="66" t="n">
        <f aca="false">IF(AND(W49&lt;0,W$46&gt;=$C$9,W$46&lt;=$C$41),ABS(W49)*$C$32,0)</f>
        <v>0</v>
      </c>
      <c r="X67" s="66" t="n">
        <f aca="false">IF(AND(X49&lt;0,X$46&gt;=$C$9,X$46&lt;=$C$41),ABS(X49)*$C$32,0)</f>
        <v>0</v>
      </c>
      <c r="Y67" s="66" t="n">
        <f aca="false">IF(AND(Y49&lt;0,Y$46&gt;=$C$9,Y$46&lt;=$C$41),ABS(Y49)*$C$32,0)</f>
        <v>0</v>
      </c>
      <c r="Z67" s="66" t="n">
        <f aca="false">IF(AND(Z49&lt;0,Z$46&gt;=$C$9,Z$46&lt;=$C$41),ABS(Z49)*$C$32,0)</f>
        <v>0</v>
      </c>
      <c r="AA67" s="66" t="n">
        <f aca="false">IF(AND(AA49&lt;0,AA$46&gt;=$C$9,AA$46&lt;=$C$41),ABS(AA49)*$C$32,0)</f>
        <v>0</v>
      </c>
      <c r="AB67" s="66" t="n">
        <f aca="false">IF(AND(AB49&lt;0,AB$46&gt;=$C$9,AB$46&lt;=$C$41),ABS(AB49)*$C$32,0)</f>
        <v>0</v>
      </c>
      <c r="AC67" s="66" t="n">
        <f aca="false">IF(AND(AC49&lt;0,AC$46&gt;=$C$9,AC$46&lt;=$C$41),ABS(AC49)*$C$32,0)</f>
        <v>0</v>
      </c>
      <c r="AD67" s="66" t="n">
        <f aca="false">IF(AND(AD49&lt;0,AD$46&gt;=$C$9,AD$46&lt;=$C$41),ABS(AD49)*$C$32,0)</f>
        <v>0</v>
      </c>
      <c r="AE67" s="66" t="n">
        <f aca="false">IF(AND(AE49&lt;0,AE$46&gt;=$C$9,AE$46&lt;=$C$41),ABS(AE49)*$C$32,0)</f>
        <v>0</v>
      </c>
      <c r="AF67" s="66" t="n">
        <f aca="false">IF(AND(AF49&lt;0,AF$46&gt;=$C$9,AF$46&lt;=$C$41),ABS(AF49)*$C$32,0)</f>
        <v>0</v>
      </c>
      <c r="AG67" s="66" t="n">
        <f aca="false">IF(AND(AG49&lt;0,AG$46&gt;=$C$9,AG$46&lt;=$C$41),ABS(AG49)*$C$32,0)</f>
        <v>0</v>
      </c>
      <c r="AH67" s="66" t="n">
        <f aca="false">IF(AND(AH49&lt;0,AH$46&gt;=$C$9,AH$46&lt;=$C$41),ABS(AH49)*$C$32,0)</f>
        <v>0</v>
      </c>
      <c r="AI67" s="66" t="n">
        <f aca="false">IF(AND(AI49&lt;0,AI$46&gt;=$C$9,AI$46&lt;=$C$41),ABS(AI49)*$C$32,0)</f>
        <v>0</v>
      </c>
      <c r="AJ67" s="66" t="n">
        <f aca="false">IF(AND(AJ49&lt;0,AJ$46&gt;=$C$9,AJ$46&lt;=$C$41),ABS(AJ49)*$C$32,0)</f>
        <v>0</v>
      </c>
      <c r="AK67" s="66" t="n">
        <f aca="false">IF(AND(AK49&lt;0,AK$46&gt;=$C$9,AK$46&lt;=$C$41),ABS(AK49)*$C$32,0)</f>
        <v>0</v>
      </c>
      <c r="AL67" s="66" t="n">
        <f aca="false">IF(AND(AL49&lt;0,AL$46&gt;=$C$9,AL$46&lt;=$C$41),ABS(AL49)*$C$32,0)</f>
        <v>0</v>
      </c>
      <c r="AM67" s="66" t="n">
        <f aca="false">IF(AND(AM49&lt;0,AM$46&gt;=$C$9,AM$46&lt;=$C$41),ABS(AM49)*$C$32,0)</f>
        <v>0</v>
      </c>
      <c r="AN67" s="66" t="n">
        <f aca="false">IF(AND(AN49&lt;0,AN$46&gt;=$C$9,AN$46&lt;=$C$41),ABS(AN49)*$C$32,0)</f>
        <v>0</v>
      </c>
      <c r="AO67" s="66" t="n">
        <f aca="false">IF(AND(AO49&lt;0,AO$46&gt;=$C$9,AO$46&lt;=$C$41),ABS(AO49)*$C$32,0)</f>
        <v>0</v>
      </c>
      <c r="AP67" s="66" t="n">
        <f aca="false">IF(AND(AP49&lt;0,AP$46&gt;=$C$9,AP$46&lt;=$C$41),ABS(AP49)*$C$32,0)</f>
        <v>0</v>
      </c>
      <c r="AQ67" s="66" t="n">
        <f aca="false">IF(AND(AQ49&lt;0,AQ$46&gt;=$C$9,AQ$46&lt;=$C$41),ABS(AQ49)*$C$32,0)</f>
        <v>0</v>
      </c>
      <c r="AR67" s="66" t="n">
        <f aca="false">IF(AND(AR49&lt;0,AR$46&gt;=$C$9,AR$46&lt;=$C$41),ABS(AR49)*$C$32,0)</f>
        <v>0</v>
      </c>
      <c r="AS67" s="66" t="n">
        <f aca="false">IF(AND(AS49&lt;0,AS$46&gt;=$C$9,AS$46&lt;=$C$41),ABS(AS49)*$C$32,0)</f>
        <v>0</v>
      </c>
      <c r="AT67" s="66" t="n">
        <f aca="false">IF(AND(AT49&lt;0,AT$46&gt;=$C$9,AT$46&lt;=$C$41),ABS(AT49)*$C$32,0)</f>
        <v>0</v>
      </c>
      <c r="AU67" s="66" t="n">
        <f aca="false">IF(AND(AU49&lt;0,AU$46&gt;=$C$9,AU$46&lt;=$C$41),ABS(AU49)*$C$32,0)</f>
        <v>0</v>
      </c>
      <c r="AV67" s="66" t="n">
        <f aca="false">IF(AND(AV49&lt;0,AV$46&gt;=$C$9,AV$46&lt;=$C$41),ABS(AV49)*$C$32,0)</f>
        <v>0</v>
      </c>
      <c r="AW67" s="66" t="n">
        <f aca="false">IF(AND(AW49&lt;0,AW$46&gt;=$C$9,AW$46&lt;=$C$41),ABS(AW49)*$C$32,0)</f>
        <v>0</v>
      </c>
      <c r="AX67" s="66" t="n">
        <f aca="false">IF(AND(AX49&lt;0,AX$46&gt;=$C$9,AX$46&lt;=$C$41),ABS(AX49)*$C$32,0)</f>
        <v>0</v>
      </c>
      <c r="AY67" s="66" t="n">
        <f aca="false">IF(AND(AY49&lt;0,AY$46&gt;=$C$9,AY$46&lt;=$C$41),ABS(AY49)*$C$32,0)</f>
        <v>0</v>
      </c>
      <c r="AZ67" s="66" t="n">
        <f aca="false">IF(AND(AZ49&lt;0,AZ$46&gt;=$C$9,AZ$46&lt;=$C$41),ABS(AZ49)*$C$32,0)</f>
        <v>0</v>
      </c>
      <c r="BA67" s="66" t="n">
        <f aca="false">IF(AND(BA49&lt;0,BA$46&gt;=$C$9,BA$46&lt;=$C$41),ABS(BA49)*$C$32,0)</f>
        <v>0</v>
      </c>
      <c r="BB67" s="66" t="n">
        <f aca="false">IF(AND(BB49&lt;0,BB$46&gt;=$C$9,BB$46&lt;=$C$41),ABS(BB49)*$C$32,0)</f>
        <v>0</v>
      </c>
    </row>
    <row r="68" customFormat="false" ht="15" hidden="false" customHeight="true" outlineLevel="0" collapsed="false">
      <c r="B68" s="59" t="s">
        <v>477</v>
      </c>
      <c r="C68" s="59" t="s">
        <v>11</v>
      </c>
      <c r="D68" s="66" t="n">
        <f aca="false">SUM(E68:BB68)</f>
        <v>3863543.8952184</v>
      </c>
      <c r="E68" s="66" t="n">
        <f aca="false">IF(E$46=$C$9,ABS($D$49)*$C$33,0)</f>
        <v>0</v>
      </c>
      <c r="F68" s="66" t="n">
        <f aca="false">IF(F$46=$C$9,ABS($D$49)*$C$33,0)</f>
        <v>3863543.8952184</v>
      </c>
      <c r="G68" s="66" t="n">
        <f aca="false">IF(G$46=$C$9,ABS($D$49)*$C$33,0)</f>
        <v>0</v>
      </c>
      <c r="H68" s="66" t="n">
        <f aca="false">IF(H$46=$C$9,ABS($D$49)*$C$33,0)</f>
        <v>0</v>
      </c>
      <c r="I68" s="66" t="n">
        <f aca="false">IF(I$46=$C$9,ABS($D$49)*$C$33,0)</f>
        <v>0</v>
      </c>
      <c r="J68" s="66" t="n">
        <f aca="false">IF(J$46=$C$9,ABS($D$49)*$C$33,0)</f>
        <v>0</v>
      </c>
      <c r="K68" s="66" t="n">
        <f aca="false">IF(K$46=$C$9,ABS($D$49)*$C$33,0)</f>
        <v>0</v>
      </c>
      <c r="L68" s="66" t="n">
        <f aca="false">IF(L$46=$C$9,ABS($D$49)*$C$33,0)</f>
        <v>0</v>
      </c>
      <c r="M68" s="66" t="n">
        <f aca="false">IF(M$46=$C$9,ABS($D$49)*$C$33,0)</f>
        <v>0</v>
      </c>
      <c r="N68" s="66" t="n">
        <f aca="false">IF(N$46=$C$9,ABS($D$49)*$C$33,0)</f>
        <v>0</v>
      </c>
      <c r="O68" s="66" t="n">
        <f aca="false">IF(O$46=$C$9,ABS($D$49)*$C$33,0)</f>
        <v>0</v>
      </c>
      <c r="P68" s="66" t="n">
        <f aca="false">IF(P$46=$C$9,ABS($D$49)*$C$33,0)</f>
        <v>0</v>
      </c>
      <c r="Q68" s="66" t="n">
        <f aca="false">IF(Q$46=$C$9,ABS($D$49)*$C$33,0)</f>
        <v>0</v>
      </c>
      <c r="R68" s="66" t="n">
        <f aca="false">IF(R$46=$C$9,ABS($D$49)*$C$33,0)</f>
        <v>0</v>
      </c>
      <c r="S68" s="66" t="n">
        <f aca="false">IF(S$46=$C$9,ABS($D$49)*$C$33,0)</f>
        <v>0</v>
      </c>
      <c r="T68" s="66" t="n">
        <f aca="false">IF(T$46=$C$9,ABS($D$49)*$C$33,0)</f>
        <v>0</v>
      </c>
      <c r="U68" s="66" t="n">
        <f aca="false">IF(U$46=$C$9,ABS($D$49)*$C$33,0)</f>
        <v>0</v>
      </c>
      <c r="V68" s="66" t="n">
        <f aca="false">IF(V$46=$C$9,ABS($D$49)*$C$33,0)</f>
        <v>0</v>
      </c>
      <c r="W68" s="66" t="n">
        <f aca="false">IF(W$46=$C$9,ABS($D$49)*$C$33,0)</f>
        <v>0</v>
      </c>
      <c r="X68" s="66" t="n">
        <f aca="false">IF(X$46=$C$9,ABS($D$49)*$C$33,0)</f>
        <v>0</v>
      </c>
      <c r="Y68" s="66" t="n">
        <f aca="false">IF(Y$46=$C$9,ABS($D$49)*$C$33,0)</f>
        <v>0</v>
      </c>
      <c r="Z68" s="66" t="n">
        <f aca="false">IF(Z$46=$C$9,ABS($D$49)*$C$33,0)</f>
        <v>0</v>
      </c>
      <c r="AA68" s="66" t="n">
        <f aca="false">IF(AA$46=$C$9,ABS($D$49)*$C$33,0)</f>
        <v>0</v>
      </c>
      <c r="AB68" s="66" t="n">
        <f aca="false">IF(AB$46=$C$9,ABS($D$49)*$C$33,0)</f>
        <v>0</v>
      </c>
      <c r="AC68" s="66" t="n">
        <f aca="false">IF(AC$46=$C$9,ABS($D$49)*$C$33,0)</f>
        <v>0</v>
      </c>
      <c r="AD68" s="66" t="n">
        <f aca="false">IF(AD$46=$C$9,ABS($D$49)*$C$33,0)</f>
        <v>0</v>
      </c>
      <c r="AE68" s="66" t="n">
        <f aca="false">IF(AE$46=$C$9,ABS($D$49)*$C$33,0)</f>
        <v>0</v>
      </c>
      <c r="AF68" s="66" t="n">
        <f aca="false">IF(AF$46=$C$9,ABS($D$49)*$C$33,0)</f>
        <v>0</v>
      </c>
      <c r="AG68" s="66" t="n">
        <f aca="false">IF(AG$46=$C$9,ABS($D$49)*$C$33,0)</f>
        <v>0</v>
      </c>
      <c r="AH68" s="66" t="n">
        <f aca="false">IF(AH$46=$C$9,ABS($D$49)*$C$33,0)</f>
        <v>0</v>
      </c>
      <c r="AI68" s="66" t="n">
        <f aca="false">IF(AI$46=$C$9,ABS($D$49)*$C$33,0)</f>
        <v>0</v>
      </c>
      <c r="AJ68" s="66" t="n">
        <f aca="false">IF(AJ$46=$C$9,ABS($D$49)*$C$33,0)</f>
        <v>0</v>
      </c>
      <c r="AK68" s="66" t="n">
        <f aca="false">IF(AK$46=$C$9,ABS($D$49)*$C$33,0)</f>
        <v>0</v>
      </c>
      <c r="AL68" s="66" t="n">
        <f aca="false">IF(AL$46=$C$9,ABS($D$49)*$C$33,0)</f>
        <v>0</v>
      </c>
      <c r="AM68" s="66" t="n">
        <f aca="false">IF(AM$46=$C$9,ABS($D$49)*$C$33,0)</f>
        <v>0</v>
      </c>
      <c r="AN68" s="66" t="n">
        <f aca="false">IF(AN$46=$C$9,ABS($D$49)*$C$33,0)</f>
        <v>0</v>
      </c>
      <c r="AO68" s="66" t="n">
        <f aca="false">IF(AO$46=$C$9,ABS($D$49)*$C$33,0)</f>
        <v>0</v>
      </c>
      <c r="AP68" s="66" t="n">
        <f aca="false">IF(AP$46=$C$9,ABS($D$49)*$C$33,0)</f>
        <v>0</v>
      </c>
      <c r="AQ68" s="66" t="n">
        <f aca="false">IF(AQ$46=$C$9,ABS($D$49)*$C$33,0)</f>
        <v>0</v>
      </c>
      <c r="AR68" s="66" t="n">
        <f aca="false">IF(AR$46=$C$9,ABS($D$49)*$C$33,0)</f>
        <v>0</v>
      </c>
      <c r="AS68" s="66" t="n">
        <f aca="false">IF(AS$46=$C$9,ABS($D$49)*$C$33,0)</f>
        <v>0</v>
      </c>
      <c r="AT68" s="66" t="n">
        <f aca="false">IF(AT$46=$C$9,ABS($D$49)*$C$33,0)</f>
        <v>0</v>
      </c>
      <c r="AU68" s="66" t="n">
        <f aca="false">IF(AU$46=$C$9,ABS($D$49)*$C$33,0)</f>
        <v>0</v>
      </c>
      <c r="AV68" s="66" t="n">
        <f aca="false">IF(AV$46=$C$9,ABS($D$49)*$C$33,0)</f>
        <v>0</v>
      </c>
      <c r="AW68" s="66" t="n">
        <f aca="false">IF(AW$46=$C$9,ABS($D$49)*$C$33,0)</f>
        <v>0</v>
      </c>
      <c r="AX68" s="66" t="n">
        <f aca="false">IF(AX$46=$C$9,ABS($D$49)*$C$33,0)</f>
        <v>0</v>
      </c>
      <c r="AY68" s="66" t="n">
        <f aca="false">IF(AY$46=$C$9,ABS($D$49)*$C$33,0)</f>
        <v>0</v>
      </c>
      <c r="AZ68" s="66" t="n">
        <f aca="false">IF(AZ$46=$C$9,ABS($D$49)*$C$33,0)</f>
        <v>0</v>
      </c>
      <c r="BA68" s="66" t="n">
        <f aca="false">IF(BA$46=$C$9,ABS($D$49)*$C$33,0)</f>
        <v>0</v>
      </c>
      <c r="BB68" s="66" t="n">
        <f aca="false">IF(BB$46=$C$9,ABS($D$49)*$C$33,0)</f>
        <v>0</v>
      </c>
    </row>
    <row r="69" customFormat="false" ht="15" hidden="false" customHeight="true" outlineLevel="0" collapsed="false">
      <c r="B69" s="20" t="s">
        <v>478</v>
      </c>
      <c r="C69" s="59" t="s">
        <v>11</v>
      </c>
      <c r="D69" s="63" t="n">
        <f aca="false">SUM(E69:BB69)</f>
        <v>71016092.1432042</v>
      </c>
      <c r="E69" s="63" t="n">
        <f aca="false">E64+E65+E66+E67+E68</f>
        <v>0</v>
      </c>
      <c r="F69" s="63" t="n">
        <f aca="false">F64+F65+F66+F67+F68</f>
        <v>6923741.81179713</v>
      </c>
      <c r="G69" s="63" t="n">
        <f aca="false">G64+G65+G66+G67+G68</f>
        <v>14998201.117</v>
      </c>
      <c r="H69" s="63" t="n">
        <f aca="false">H64+H65+H66+H67+H68</f>
        <v>15019520.569</v>
      </c>
      <c r="I69" s="63" t="n">
        <f aca="false">I64+I65+I66+I67+I68</f>
        <v>23253060.1283174</v>
      </c>
      <c r="J69" s="63" t="n">
        <f aca="false">J64+J65+J66+J67+J68</f>
        <v>3607189.50569656</v>
      </c>
      <c r="K69" s="63" t="n">
        <f aca="false">K64+K65+K66+K67+K68</f>
        <v>3607189.50569656</v>
      </c>
      <c r="L69" s="63" t="n">
        <f aca="false">L64+L65+L66+L67+L68</f>
        <v>3607189.50569656</v>
      </c>
      <c r="M69" s="63" t="n">
        <f aca="false">M64+M65+M66+M67+M68</f>
        <v>0</v>
      </c>
      <c r="N69" s="63" t="n">
        <f aca="false">N64+N65+N66+N67+N68</f>
        <v>0</v>
      </c>
      <c r="O69" s="63" t="n">
        <f aca="false">O64+O65+O66+O67+O68</f>
        <v>0</v>
      </c>
      <c r="P69" s="63" t="n">
        <f aca="false">P64+P65+P66+P67+P68</f>
        <v>0</v>
      </c>
      <c r="Q69" s="63" t="n">
        <f aca="false">Q64+Q65+Q66+Q67+Q68</f>
        <v>0</v>
      </c>
      <c r="R69" s="63" t="n">
        <f aca="false">R64+R65+R66+R67+R68</f>
        <v>0</v>
      </c>
      <c r="S69" s="63" t="n">
        <f aca="false">S64+S65+S66+S67+S68</f>
        <v>0</v>
      </c>
      <c r="T69" s="63" t="n">
        <f aca="false">T64+T65+T66+T67+T68</f>
        <v>0</v>
      </c>
      <c r="U69" s="63" t="n">
        <f aca="false">U64+U65+U66+U67+U68</f>
        <v>0</v>
      </c>
      <c r="V69" s="63" t="n">
        <f aca="false">V64+V65+V66+V67+V68</f>
        <v>0</v>
      </c>
      <c r="W69" s="63" t="n">
        <f aca="false">W64+W65+W66+W67+W68</f>
        <v>0</v>
      </c>
      <c r="X69" s="63" t="n">
        <f aca="false">X64+X65+X66+X67+X68</f>
        <v>0</v>
      </c>
      <c r="Y69" s="63" t="n">
        <f aca="false">Y64+Y65+Y66+Y67+Y68</f>
        <v>0</v>
      </c>
      <c r="Z69" s="63" t="n">
        <f aca="false">Z64+Z65+Z66+Z67+Z68</f>
        <v>0</v>
      </c>
      <c r="AA69" s="63" t="n">
        <f aca="false">AA64+AA65+AA66+AA67+AA68</f>
        <v>0</v>
      </c>
      <c r="AB69" s="63" t="n">
        <f aca="false">AB64+AB65+AB66+AB67+AB68</f>
        <v>0</v>
      </c>
      <c r="AC69" s="63" t="n">
        <f aca="false">AC64+AC65+AC66+AC67+AC68</f>
        <v>0</v>
      </c>
      <c r="AD69" s="63" t="n">
        <f aca="false">AD64+AD65+AD66+AD67+AD68</f>
        <v>0</v>
      </c>
      <c r="AE69" s="63" t="n">
        <f aca="false">AE64+AE65+AE66+AE67+AE68</f>
        <v>0</v>
      </c>
      <c r="AF69" s="63" t="n">
        <f aca="false">AF64+AF65+AF66+AF67+AF68</f>
        <v>0</v>
      </c>
      <c r="AG69" s="63" t="n">
        <f aca="false">AG64+AG65+AG66+AG67+AG68</f>
        <v>0</v>
      </c>
      <c r="AH69" s="63" t="n">
        <f aca="false">AH64+AH65+AH66+AH67+AH68</f>
        <v>0</v>
      </c>
      <c r="AI69" s="63" t="n">
        <f aca="false">AI64+AI65+AI66+AI67+AI68</f>
        <v>0</v>
      </c>
      <c r="AJ69" s="63" t="n">
        <f aca="false">AJ64+AJ65+AJ66+AJ67+AJ68</f>
        <v>0</v>
      </c>
      <c r="AK69" s="63" t="n">
        <f aca="false">AK64+AK65+AK66+AK67+AK68</f>
        <v>0</v>
      </c>
      <c r="AL69" s="63" t="n">
        <f aca="false">AL64+AL65+AL66+AL67+AL68</f>
        <v>0</v>
      </c>
      <c r="AM69" s="63" t="n">
        <f aca="false">AM64+AM65+AM66+AM67+AM68</f>
        <v>0</v>
      </c>
      <c r="AN69" s="63" t="n">
        <f aca="false">AN64+AN65+AN66+AN67+AN68</f>
        <v>0</v>
      </c>
      <c r="AO69" s="63" t="n">
        <f aca="false">AO64+AO65+AO66+AO67+AO68</f>
        <v>0</v>
      </c>
      <c r="AP69" s="63" t="n">
        <f aca="false">AP64+AP65+AP66+AP67+AP68</f>
        <v>0</v>
      </c>
      <c r="AQ69" s="63" t="n">
        <f aca="false">AQ64+AQ65+AQ66+AQ67+AQ68</f>
        <v>0</v>
      </c>
      <c r="AR69" s="63" t="n">
        <f aca="false">AR64+AR65+AR66+AR67+AR68</f>
        <v>0</v>
      </c>
      <c r="AS69" s="63" t="n">
        <f aca="false">AS64+AS65+AS66+AS67+AS68</f>
        <v>0</v>
      </c>
      <c r="AT69" s="63" t="n">
        <f aca="false">AT64+AT65+AT66+AT67+AT68</f>
        <v>0</v>
      </c>
      <c r="AU69" s="63" t="n">
        <f aca="false">AU64+AU65+AU66+AU67+AU68</f>
        <v>0</v>
      </c>
      <c r="AV69" s="63" t="n">
        <f aca="false">AV64+AV65+AV66+AV67+AV68</f>
        <v>0</v>
      </c>
      <c r="AW69" s="63" t="n">
        <f aca="false">AW64+AW65+AW66+AW67+AW68</f>
        <v>0</v>
      </c>
      <c r="AX69" s="63" t="n">
        <f aca="false">AX64+AX65+AX66+AX67+AX68</f>
        <v>0</v>
      </c>
      <c r="AY69" s="63" t="n">
        <f aca="false">AY64+AY65+AY66+AY67+AY68</f>
        <v>0</v>
      </c>
      <c r="AZ69" s="63" t="n">
        <f aca="false">AZ64+AZ65+AZ66+AZ67+AZ68</f>
        <v>0</v>
      </c>
      <c r="BA69" s="63" t="n">
        <f aca="false">BA64+BA65+BA66+BA67+BA68</f>
        <v>0</v>
      </c>
      <c r="BB69" s="63" t="n">
        <f aca="false">BB64+BB65+BB66+BB67+BB68</f>
        <v>0</v>
      </c>
    </row>
    <row r="70" customFormat="false" ht="15" hidden="false" customHeight="true" outlineLevel="0" collapsed="false">
      <c r="B70" s="59" t="s">
        <v>479</v>
      </c>
      <c r="C70" s="59" t="s">
        <v>11</v>
      </c>
      <c r="D70" s="66" t="n">
        <f aca="false">SUM(E70:BB70)</f>
        <v>67408902.6375077</v>
      </c>
      <c r="E70" s="66" t="n">
        <f aca="false">MAX(0,E69-MAX(0,IF(E$46&lt;=$C$41,E50,0)+E62+E51))</f>
        <v>0</v>
      </c>
      <c r="F70" s="66" t="n">
        <f aca="false">MAX(0,F69-MAX(0,IF(F$46&lt;=$C$41,F50,0)+F62+F51))</f>
        <v>6923741.81179713</v>
      </c>
      <c r="G70" s="66" t="n">
        <f aca="false">MAX(0,G69-MAX(0,IF(G$46&lt;=$C$41,G50,0)+G62+G51))</f>
        <v>14998201.117</v>
      </c>
      <c r="H70" s="66" t="n">
        <f aca="false">MAX(0,H69-MAX(0,IF(H$46&lt;=$C$41,H50,0)+H62+H51))</f>
        <v>15019520.569</v>
      </c>
      <c r="I70" s="66" t="n">
        <f aca="false">MAX(0,I69-MAX(0,IF(I$46&lt;=$C$41,I50,0)+I62+I51))</f>
        <v>23253060.1283174</v>
      </c>
      <c r="J70" s="66" t="n">
        <f aca="false">MAX(0,J69-MAX(0,IF(J$46&lt;=$C$41,J50,0)+J62+J51))</f>
        <v>3607189.50569656</v>
      </c>
      <c r="K70" s="66" t="n">
        <f aca="false">MAX(0,K69-MAX(0,IF(K$46&lt;=$C$41,K50,0)+K62+K51))</f>
        <v>3607189.50569656</v>
      </c>
      <c r="L70" s="66" t="n">
        <f aca="false">MAX(0,L69-MAX(0,IF(L$46&lt;=$C$41,L50,0)+L62+L51))</f>
        <v>0</v>
      </c>
      <c r="M70" s="66" t="n">
        <f aca="false">MAX(0,M69-MAX(0,IF(M$46&lt;=$C$41,M50,0)+M62+M51))</f>
        <v>0</v>
      </c>
      <c r="N70" s="66" t="n">
        <f aca="false">MAX(0,N69-MAX(0,IF(N$46&lt;=$C$41,N50,0)+N62+N51))</f>
        <v>0</v>
      </c>
      <c r="O70" s="66" t="n">
        <f aca="false">MAX(0,O69-MAX(0,IF(O$46&lt;=$C$41,O50,0)+O62+O51))</f>
        <v>0</v>
      </c>
      <c r="P70" s="66" t="n">
        <f aca="false">MAX(0,P69-MAX(0,IF(P$46&lt;=$C$41,P50,0)+P62+P51))</f>
        <v>0</v>
      </c>
      <c r="Q70" s="66" t="n">
        <f aca="false">MAX(0,Q69-MAX(0,IF(Q$46&lt;=$C$41,Q50,0)+Q62+Q51))</f>
        <v>0</v>
      </c>
      <c r="R70" s="66" t="n">
        <f aca="false">MAX(0,R69-MAX(0,IF(R$46&lt;=$C$41,R50,0)+R62+R51))</f>
        <v>0</v>
      </c>
      <c r="S70" s="66" t="n">
        <f aca="false">MAX(0,S69-MAX(0,IF(S$46&lt;=$C$41,S50,0)+S62+S51))</f>
        <v>0</v>
      </c>
      <c r="T70" s="66" t="n">
        <f aca="false">MAX(0,T69-MAX(0,IF(T$46&lt;=$C$41,T50,0)+T62+T51))</f>
        <v>0</v>
      </c>
      <c r="U70" s="66" t="n">
        <f aca="false">MAX(0,U69-MAX(0,IF(U$46&lt;=$C$41,U50,0)+U62+U51))</f>
        <v>0</v>
      </c>
      <c r="V70" s="66" t="n">
        <f aca="false">MAX(0,V69-MAX(0,IF(V$46&lt;=$C$41,V50,0)+V62+V51))</f>
        <v>0</v>
      </c>
      <c r="W70" s="66" t="n">
        <f aca="false">MAX(0,W69-MAX(0,IF(W$46&lt;=$C$41,W50,0)+W62+W51))</f>
        <v>0</v>
      </c>
      <c r="X70" s="66" t="n">
        <f aca="false">MAX(0,X69-MAX(0,IF(X$46&lt;=$C$41,X50,0)+X62+X51))</f>
        <v>0</v>
      </c>
      <c r="Y70" s="66" t="n">
        <f aca="false">MAX(0,Y69-MAX(0,IF(Y$46&lt;=$C$41,Y50,0)+Y62+Y51))</f>
        <v>0</v>
      </c>
      <c r="Z70" s="66" t="n">
        <f aca="false">MAX(0,Z69-MAX(0,IF(Z$46&lt;=$C$41,Z50,0)+Z62+Z51))</f>
        <v>0</v>
      </c>
      <c r="AA70" s="66" t="n">
        <f aca="false">MAX(0,AA69-MAX(0,IF(AA$46&lt;=$C$41,AA50,0)+AA62+AA51))</f>
        <v>0</v>
      </c>
      <c r="AB70" s="66" t="n">
        <f aca="false">MAX(0,AB69-MAX(0,IF(AB$46&lt;=$C$41,AB50,0)+AB62+AB51))</f>
        <v>0</v>
      </c>
      <c r="AC70" s="66" t="n">
        <f aca="false">MAX(0,AC69-MAX(0,IF(AC$46&lt;=$C$41,AC50,0)+AC62+AC51))</f>
        <v>0</v>
      </c>
      <c r="AD70" s="66" t="n">
        <f aca="false">MAX(0,AD69-MAX(0,IF(AD$46&lt;=$C$41,AD50,0)+AD62+AD51))</f>
        <v>0</v>
      </c>
      <c r="AE70" s="66" t="n">
        <f aca="false">MAX(0,AE69-MAX(0,IF(AE$46&lt;=$C$41,AE50,0)+AE62+AE51))</f>
        <v>0</v>
      </c>
      <c r="AF70" s="66" t="n">
        <f aca="false">MAX(0,AF69-MAX(0,IF(AF$46&lt;=$C$41,AF50,0)+AF62+AF51))</f>
        <v>0</v>
      </c>
      <c r="AG70" s="66" t="n">
        <f aca="false">MAX(0,AG69-MAX(0,IF(AG$46&lt;=$C$41,AG50,0)+AG62+AG51))</f>
        <v>0</v>
      </c>
      <c r="AH70" s="66" t="n">
        <f aca="false">MAX(0,AH69-MAX(0,IF(AH$46&lt;=$C$41,AH50,0)+AH62+AH51))</f>
        <v>0</v>
      </c>
      <c r="AI70" s="66" t="n">
        <f aca="false">MAX(0,AI69-MAX(0,IF(AI$46&lt;=$C$41,AI50,0)+AI62+AI51))</f>
        <v>0</v>
      </c>
      <c r="AJ70" s="66" t="n">
        <f aca="false">MAX(0,AJ69-MAX(0,IF(AJ$46&lt;=$C$41,AJ50,0)+AJ62+AJ51))</f>
        <v>0</v>
      </c>
      <c r="AK70" s="66" t="n">
        <f aca="false">MAX(0,AK69-MAX(0,IF(AK$46&lt;=$C$41,AK50,0)+AK62+AK51))</f>
        <v>0</v>
      </c>
      <c r="AL70" s="66" t="n">
        <f aca="false">MAX(0,AL69-MAX(0,IF(AL$46&lt;=$C$41,AL50,0)+AL62+AL51))</f>
        <v>0</v>
      </c>
      <c r="AM70" s="66" t="n">
        <f aca="false">MAX(0,AM69-MAX(0,IF(AM$46&lt;=$C$41,AM50,0)+AM62+AM51))</f>
        <v>0</v>
      </c>
      <c r="AN70" s="66" t="n">
        <f aca="false">MAX(0,AN69-MAX(0,IF(AN$46&lt;=$C$41,AN50,0)+AN62+AN51))</f>
        <v>0</v>
      </c>
      <c r="AO70" s="66" t="n">
        <f aca="false">MAX(0,AO69-MAX(0,IF(AO$46&lt;=$C$41,AO50,0)+AO62+AO51))</f>
        <v>0</v>
      </c>
      <c r="AP70" s="66" t="n">
        <f aca="false">MAX(0,AP69-MAX(0,IF(AP$46&lt;=$C$41,AP50,0)+AP62+AP51))</f>
        <v>0</v>
      </c>
      <c r="AQ70" s="66" t="n">
        <f aca="false">MAX(0,AQ69-MAX(0,IF(AQ$46&lt;=$C$41,AQ50,0)+AQ62+AQ51))</f>
        <v>0</v>
      </c>
      <c r="AR70" s="66" t="n">
        <f aca="false">MAX(0,AR69-MAX(0,IF(AR$46&lt;=$C$41,AR50,0)+AR62+AR51))</f>
        <v>0</v>
      </c>
      <c r="AS70" s="66" t="n">
        <f aca="false">MAX(0,AS69-MAX(0,IF(AS$46&lt;=$C$41,AS50,0)+AS62+AS51))</f>
        <v>0</v>
      </c>
      <c r="AT70" s="66" t="n">
        <f aca="false">MAX(0,AT69-MAX(0,IF(AT$46&lt;=$C$41,AT50,0)+AT62+AT51))</f>
        <v>0</v>
      </c>
      <c r="AU70" s="66" t="n">
        <f aca="false">MAX(0,AU69-MAX(0,IF(AU$46&lt;=$C$41,AU50,0)+AU62+AU51))</f>
        <v>0</v>
      </c>
      <c r="AV70" s="66" t="n">
        <f aca="false">MAX(0,AV69-MAX(0,IF(AV$46&lt;=$C$41,AV50,0)+AV62+AV51))</f>
        <v>0</v>
      </c>
      <c r="AW70" s="66" t="n">
        <f aca="false">MAX(0,AW69-MAX(0,IF(AW$46&lt;=$C$41,AW50,0)+AW62+AW51))</f>
        <v>0</v>
      </c>
      <c r="AX70" s="66" t="n">
        <f aca="false">MAX(0,AX69-MAX(0,IF(AX$46&lt;=$C$41,AX50,0)+AX62+AX51))</f>
        <v>0</v>
      </c>
      <c r="AY70" s="66" t="n">
        <f aca="false">MAX(0,AY69-MAX(0,IF(AY$46&lt;=$C$41,AY50,0)+AY62+AY51))</f>
        <v>0</v>
      </c>
      <c r="AZ70" s="66" t="n">
        <f aca="false">MAX(0,AZ69-MAX(0,IF(AZ$46&lt;=$C$41,AZ50,0)+AZ62+AZ51))</f>
        <v>0</v>
      </c>
      <c r="BA70" s="66" t="n">
        <f aca="false">MAX(0,BA69-MAX(0,IF(BA$46&lt;=$C$41,BA50,0)+BA62+BA51))</f>
        <v>0</v>
      </c>
      <c r="BB70" s="66" t="n">
        <f aca="false">MAX(0,BB69-MAX(0,IF(BB$46&lt;=$C$41,BB50,0)+BB62+BB51))</f>
        <v>0</v>
      </c>
    </row>
    <row r="71" customFormat="false" ht="15" hidden="false" customHeight="true" outlineLevel="0" collapsed="false">
      <c r="B71" s="59" t="s">
        <v>463</v>
      </c>
      <c r="C71" s="59" t="s">
        <v>11</v>
      </c>
      <c r="D71" s="63" t="n">
        <f aca="false">SUM(E71:BB71)</f>
        <v>600540572.416561</v>
      </c>
      <c r="E71" s="66" t="n">
        <f aca="false">E51</f>
        <v>0</v>
      </c>
      <c r="F71" s="66" t="n">
        <f aca="false">F51</f>
        <v>0</v>
      </c>
      <c r="G71" s="66" t="n">
        <f aca="false">G51</f>
        <v>0</v>
      </c>
      <c r="H71" s="66" t="n">
        <f aca="false">H51</f>
        <v>0</v>
      </c>
      <c r="I71" s="66" t="n">
        <f aca="false">I51</f>
        <v>0</v>
      </c>
      <c r="J71" s="66" t="n">
        <f aca="false">J51</f>
        <v>0</v>
      </c>
      <c r="K71" s="66" t="n">
        <f aca="false">K51</f>
        <v>0</v>
      </c>
      <c r="L71" s="66" t="n">
        <f aca="false">L51</f>
        <v>600540572.416561</v>
      </c>
      <c r="M71" s="66" t="n">
        <f aca="false">M51</f>
        <v>0</v>
      </c>
      <c r="N71" s="66" t="n">
        <f aca="false">N51</f>
        <v>0</v>
      </c>
      <c r="O71" s="66" t="n">
        <f aca="false">O51</f>
        <v>0</v>
      </c>
      <c r="P71" s="66" t="n">
        <f aca="false">P51</f>
        <v>0</v>
      </c>
      <c r="Q71" s="66" t="n">
        <f aca="false">Q51</f>
        <v>0</v>
      </c>
      <c r="R71" s="66" t="n">
        <f aca="false">R51</f>
        <v>0</v>
      </c>
      <c r="S71" s="66" t="n">
        <f aca="false">S51</f>
        <v>0</v>
      </c>
      <c r="T71" s="66" t="n">
        <f aca="false">T51</f>
        <v>0</v>
      </c>
      <c r="U71" s="66" t="n">
        <f aca="false">U51</f>
        <v>0</v>
      </c>
      <c r="V71" s="66" t="n">
        <f aca="false">V51</f>
        <v>0</v>
      </c>
      <c r="W71" s="66" t="n">
        <f aca="false">W51</f>
        <v>0</v>
      </c>
      <c r="X71" s="66" t="n">
        <f aca="false">X51</f>
        <v>0</v>
      </c>
      <c r="Y71" s="66" t="n">
        <f aca="false">Y51</f>
        <v>0</v>
      </c>
      <c r="Z71" s="66" t="n">
        <f aca="false">Z51</f>
        <v>0</v>
      </c>
      <c r="AA71" s="66" t="n">
        <f aca="false">AA51</f>
        <v>0</v>
      </c>
      <c r="AB71" s="66" t="n">
        <f aca="false">AB51</f>
        <v>0</v>
      </c>
      <c r="AC71" s="66" t="n">
        <f aca="false">AC51</f>
        <v>0</v>
      </c>
      <c r="AD71" s="66" t="n">
        <f aca="false">AD51</f>
        <v>0</v>
      </c>
      <c r="AE71" s="66" t="n">
        <f aca="false">AE51</f>
        <v>0</v>
      </c>
      <c r="AF71" s="66" t="n">
        <f aca="false">AF51</f>
        <v>0</v>
      </c>
      <c r="AG71" s="66" t="n">
        <f aca="false">AG51</f>
        <v>0</v>
      </c>
      <c r="AH71" s="66" t="n">
        <f aca="false">AH51</f>
        <v>0</v>
      </c>
      <c r="AI71" s="66" t="n">
        <f aca="false">AI51</f>
        <v>0</v>
      </c>
      <c r="AJ71" s="66" t="n">
        <f aca="false">AJ51</f>
        <v>0</v>
      </c>
      <c r="AK71" s="66" t="n">
        <f aca="false">AK51</f>
        <v>0</v>
      </c>
      <c r="AL71" s="66" t="n">
        <f aca="false">AL51</f>
        <v>0</v>
      </c>
      <c r="AM71" s="66" t="n">
        <f aca="false">AM51</f>
        <v>0</v>
      </c>
      <c r="AN71" s="66" t="n">
        <f aca="false">AN51</f>
        <v>0</v>
      </c>
      <c r="AO71" s="66" t="n">
        <f aca="false">AO51</f>
        <v>0</v>
      </c>
      <c r="AP71" s="66" t="n">
        <f aca="false">AP51</f>
        <v>0</v>
      </c>
      <c r="AQ71" s="66" t="n">
        <f aca="false">AQ51</f>
        <v>0</v>
      </c>
      <c r="AR71" s="66" t="n">
        <f aca="false">AR51</f>
        <v>0</v>
      </c>
      <c r="AS71" s="66" t="n">
        <f aca="false">AS51</f>
        <v>0</v>
      </c>
      <c r="AT71" s="66" t="n">
        <f aca="false">AT51</f>
        <v>0</v>
      </c>
      <c r="AU71" s="66" t="n">
        <f aca="false">AU51</f>
        <v>0</v>
      </c>
      <c r="AV71" s="66" t="n">
        <f aca="false">AV51</f>
        <v>0</v>
      </c>
      <c r="AW71" s="66" t="n">
        <f aca="false">AW51</f>
        <v>0</v>
      </c>
      <c r="AX71" s="66" t="n">
        <f aca="false">AX51</f>
        <v>0</v>
      </c>
      <c r="AY71" s="66" t="n">
        <f aca="false">AY51</f>
        <v>0</v>
      </c>
      <c r="AZ71" s="66" t="n">
        <f aca="false">AZ51</f>
        <v>0</v>
      </c>
      <c r="BA71" s="66" t="n">
        <f aca="false">BA51</f>
        <v>0</v>
      </c>
      <c r="BB71" s="66" t="n">
        <f aca="false">BB51</f>
        <v>0</v>
      </c>
    </row>
    <row r="73" customFormat="false" ht="15" hidden="false" customHeight="true" outlineLevel="0" collapsed="false">
      <c r="A73" s="58" t="s">
        <v>480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customFormat="false" ht="15" hidden="false" customHeight="true" outlineLevel="0" collapsed="false">
      <c r="C74" s="69" t="s">
        <v>262</v>
      </c>
      <c r="D74" s="69" t="s">
        <v>60</v>
      </c>
      <c r="E74" s="70" t="n">
        <f aca="false">E$46</f>
        <v>2026</v>
      </c>
      <c r="F74" s="70" t="n">
        <f aca="false">F$46</f>
        <v>2027</v>
      </c>
      <c r="G74" s="70" t="n">
        <f aca="false">G$46</f>
        <v>2028</v>
      </c>
      <c r="H74" s="70" t="n">
        <f aca="false">H$46</f>
        <v>2029</v>
      </c>
      <c r="I74" s="70" t="n">
        <f aca="false">I$46</f>
        <v>2030</v>
      </c>
      <c r="J74" s="70" t="n">
        <f aca="false">J$46</f>
        <v>2031</v>
      </c>
      <c r="K74" s="70" t="n">
        <f aca="false">K$46</f>
        <v>2032</v>
      </c>
      <c r="L74" s="70" t="n">
        <f aca="false">L$46</f>
        <v>2033</v>
      </c>
      <c r="M74" s="70" t="n">
        <f aca="false">M$46</f>
        <v>2034</v>
      </c>
      <c r="N74" s="70" t="n">
        <f aca="false">N$46</f>
        <v>2035</v>
      </c>
      <c r="O74" s="70" t="n">
        <f aca="false">O$46</f>
        <v>2036</v>
      </c>
      <c r="P74" s="70" t="n">
        <f aca="false">P$46</f>
        <v>2037</v>
      </c>
      <c r="Q74" s="70" t="n">
        <f aca="false">Q$46</f>
        <v>2038</v>
      </c>
      <c r="R74" s="70" t="n">
        <f aca="false">R$46</f>
        <v>2039</v>
      </c>
      <c r="S74" s="70" t="n">
        <f aca="false">S$46</f>
        <v>2040</v>
      </c>
      <c r="T74" s="70" t="n">
        <f aca="false">T$46</f>
        <v>2041</v>
      </c>
      <c r="U74" s="70" t="n">
        <f aca="false">U$46</f>
        <v>2042</v>
      </c>
      <c r="V74" s="70" t="n">
        <f aca="false">V$46</f>
        <v>2043</v>
      </c>
      <c r="W74" s="70" t="n">
        <f aca="false">W$46</f>
        <v>2044</v>
      </c>
      <c r="X74" s="70" t="n">
        <f aca="false">X$46</f>
        <v>2045</v>
      </c>
      <c r="Y74" s="70" t="n">
        <f aca="false">Y$46</f>
        <v>2046</v>
      </c>
      <c r="Z74" s="70" t="n">
        <f aca="false">Z$46</f>
        <v>2047</v>
      </c>
      <c r="AA74" s="70" t="n">
        <f aca="false">AA$46</f>
        <v>2048</v>
      </c>
      <c r="AB74" s="70" t="n">
        <f aca="false">AB$46</f>
        <v>2049</v>
      </c>
      <c r="AC74" s="70" t="n">
        <f aca="false">AC$46</f>
        <v>2050</v>
      </c>
      <c r="AD74" s="70" t="n">
        <f aca="false">AD$46</f>
        <v>2051</v>
      </c>
      <c r="AE74" s="70" t="n">
        <f aca="false">AE$46</f>
        <v>2052</v>
      </c>
      <c r="AF74" s="70" t="n">
        <f aca="false">AF$46</f>
        <v>2053</v>
      </c>
      <c r="AG74" s="70" t="n">
        <f aca="false">AG$46</f>
        <v>2054</v>
      </c>
      <c r="AH74" s="70" t="n">
        <f aca="false">AH$46</f>
        <v>2055</v>
      </c>
      <c r="AI74" s="70" t="n">
        <f aca="false">AI$46</f>
        <v>2056</v>
      </c>
      <c r="AJ74" s="70" t="n">
        <f aca="false">AJ$46</f>
        <v>2057</v>
      </c>
      <c r="AK74" s="70" t="n">
        <f aca="false">AK$46</f>
        <v>2058</v>
      </c>
      <c r="AL74" s="70" t="n">
        <f aca="false">AL$46</f>
        <v>2059</v>
      </c>
      <c r="AM74" s="70" t="n">
        <f aca="false">AM$46</f>
        <v>2060</v>
      </c>
      <c r="AN74" s="70" t="n">
        <f aca="false">AN$46</f>
        <v>2061</v>
      </c>
      <c r="AO74" s="70" t="n">
        <f aca="false">AO$46</f>
        <v>2062</v>
      </c>
      <c r="AP74" s="70" t="n">
        <f aca="false">AP$46</f>
        <v>2063</v>
      </c>
      <c r="AQ74" s="70" t="n">
        <f aca="false">AQ$46</f>
        <v>2064</v>
      </c>
      <c r="AR74" s="70" t="n">
        <f aca="false">AR$46</f>
        <v>2065</v>
      </c>
      <c r="AS74" s="70" t="n">
        <f aca="false">AS$46</f>
        <v>2066</v>
      </c>
      <c r="AT74" s="70" t="n">
        <f aca="false">AT$46</f>
        <v>2067</v>
      </c>
      <c r="AU74" s="70" t="n">
        <f aca="false">AU$46</f>
        <v>2068</v>
      </c>
      <c r="AV74" s="70" t="n">
        <f aca="false">AV$46</f>
        <v>2069</v>
      </c>
      <c r="AW74" s="70" t="n">
        <f aca="false">AW$46</f>
        <v>2070</v>
      </c>
      <c r="AX74" s="70" t="n">
        <f aca="false">AX$46</f>
        <v>2071</v>
      </c>
      <c r="AY74" s="70" t="n">
        <f aca="false">AY$46</f>
        <v>2072</v>
      </c>
      <c r="AZ74" s="70" t="n">
        <f aca="false">AZ$46</f>
        <v>2073</v>
      </c>
      <c r="BA74" s="70" t="n">
        <f aca="false">BA$46</f>
        <v>2074</v>
      </c>
      <c r="BB74" s="70" t="n">
        <f aca="false">BB$46</f>
        <v>2075</v>
      </c>
    </row>
    <row r="75" customFormat="false" ht="15" hidden="false" customHeight="true" outlineLevel="0" collapsed="false">
      <c r="B75" s="59" t="s">
        <v>481</v>
      </c>
      <c r="C75" s="59" t="s">
        <v>11</v>
      </c>
      <c r="D75" s="63" t="n">
        <f aca="false">SUM(E75:BB75)</f>
        <v>567947786.078271</v>
      </c>
      <c r="E75" s="66" t="n">
        <f aca="false">MAX(0,IF(AND(E$46&gt;=$C$9,E$46&lt;=$C$41),E50,0)+E62-E69+E70+E51)</f>
        <v>0</v>
      </c>
      <c r="F75" s="66" t="n">
        <f aca="false">MAX(0,IF(AND(F$46&gt;=$C$9,F$46&lt;=$C$41),F50,0)+F62-F69+F70+F51)</f>
        <v>0</v>
      </c>
      <c r="G75" s="66" t="n">
        <f aca="false">MAX(0,IF(AND(G$46&gt;=$C$9,G$46&lt;=$C$41),G50,0)+G62-G69+G70+G51)</f>
        <v>0</v>
      </c>
      <c r="H75" s="66" t="n">
        <f aca="false">MAX(0,IF(AND(H$46&gt;=$C$9,H$46&lt;=$C$41),H50,0)+H62-H69+H70+H51)</f>
        <v>0</v>
      </c>
      <c r="I75" s="66" t="n">
        <f aca="false">MAX(0,IF(AND(I$46&gt;=$C$9,I$46&lt;=$C$41),I50,0)+I62-I69+I70+I51)</f>
        <v>0</v>
      </c>
      <c r="J75" s="66" t="n">
        <f aca="false">MAX(0,IF(AND(J$46&gt;=$C$9,J$46&lt;=$C$41),J50,0)+J62-J69+J70+J51)</f>
        <v>0</v>
      </c>
      <c r="K75" s="66" t="n">
        <f aca="false">MAX(0,IF(AND(K$46&gt;=$C$9,K$46&lt;=$C$41),K50,0)+K62-K69+K70+K51)</f>
        <v>0</v>
      </c>
      <c r="L75" s="66" t="n">
        <f aca="false">MAX(0,IF(AND(L$46&gt;=$C$9,L$46&lt;=$C$41),L50,0)+L62-L69+L70+L51)</f>
        <v>567947786.078271</v>
      </c>
      <c r="M75" s="66" t="n">
        <f aca="false">MAX(0,IF(AND(M$46&gt;=$C$9,M$46&lt;=$C$41),M50,0)+M62-M69+M70+M51)</f>
        <v>0</v>
      </c>
      <c r="N75" s="66" t="n">
        <f aca="false">MAX(0,IF(AND(N$46&gt;=$C$9,N$46&lt;=$C$41),N50,0)+N62-N69+N70+N51)</f>
        <v>0</v>
      </c>
      <c r="O75" s="66" t="n">
        <f aca="false">MAX(0,IF(AND(O$46&gt;=$C$9,O$46&lt;=$C$41),O50,0)+O62-O69+O70+O51)</f>
        <v>0</v>
      </c>
      <c r="P75" s="66" t="n">
        <f aca="false">MAX(0,IF(AND(P$46&gt;=$C$9,P$46&lt;=$C$41),P50,0)+P62-P69+P70+P51)</f>
        <v>0</v>
      </c>
      <c r="Q75" s="66" t="n">
        <f aca="false">MAX(0,IF(AND(Q$46&gt;=$C$9,Q$46&lt;=$C$41),Q50,0)+Q62-Q69+Q70+Q51)</f>
        <v>0</v>
      </c>
      <c r="R75" s="66" t="n">
        <f aca="false">MAX(0,IF(AND(R$46&gt;=$C$9,R$46&lt;=$C$41),R50,0)+R62-R69+R70+R51)</f>
        <v>0</v>
      </c>
      <c r="S75" s="66" t="n">
        <f aca="false">MAX(0,IF(AND(S$46&gt;=$C$9,S$46&lt;=$C$41),S50,0)+S62-S69+S70+S51)</f>
        <v>0</v>
      </c>
      <c r="T75" s="66" t="n">
        <f aca="false">MAX(0,IF(AND(T$46&gt;=$C$9,T$46&lt;=$C$41),T50,0)+T62-T69+T70+T51)</f>
        <v>0</v>
      </c>
      <c r="U75" s="66" t="n">
        <f aca="false">MAX(0,IF(AND(U$46&gt;=$C$9,U$46&lt;=$C$41),U50,0)+U62-U69+U70+U51)</f>
        <v>0</v>
      </c>
      <c r="V75" s="66" t="n">
        <f aca="false">MAX(0,IF(AND(V$46&gt;=$C$9,V$46&lt;=$C$41),V50,0)+V62-V69+V70+V51)</f>
        <v>0</v>
      </c>
      <c r="W75" s="66" t="n">
        <f aca="false">MAX(0,IF(AND(W$46&gt;=$C$9,W$46&lt;=$C$41),W50,0)+W62-W69+W70+W51)</f>
        <v>0</v>
      </c>
      <c r="X75" s="66" t="n">
        <f aca="false">MAX(0,IF(AND(X$46&gt;=$C$9,X$46&lt;=$C$41),X50,0)+X62-X69+X70+X51)</f>
        <v>0</v>
      </c>
      <c r="Y75" s="66" t="n">
        <f aca="false">MAX(0,IF(AND(Y$46&gt;=$C$9,Y$46&lt;=$C$41),Y50,0)+Y62-Y69+Y70+Y51)</f>
        <v>0</v>
      </c>
      <c r="Z75" s="66" t="n">
        <f aca="false">MAX(0,IF(AND(Z$46&gt;=$C$9,Z$46&lt;=$C$41),Z50,0)+Z62-Z69+Z70+Z51)</f>
        <v>0</v>
      </c>
      <c r="AA75" s="66" t="n">
        <f aca="false">MAX(0,IF(AND(AA$46&gt;=$C$9,AA$46&lt;=$C$41),AA50,0)+AA62-AA69+AA70+AA51)</f>
        <v>0</v>
      </c>
      <c r="AB75" s="66" t="n">
        <f aca="false">MAX(0,IF(AND(AB$46&gt;=$C$9,AB$46&lt;=$C$41),AB50,0)+AB62-AB69+AB70+AB51)</f>
        <v>0</v>
      </c>
      <c r="AC75" s="66" t="n">
        <f aca="false">MAX(0,IF(AND(AC$46&gt;=$C$9,AC$46&lt;=$C$41),AC50,0)+AC62-AC69+AC70+AC51)</f>
        <v>0</v>
      </c>
      <c r="AD75" s="66" t="n">
        <f aca="false">MAX(0,IF(AND(AD$46&gt;=$C$9,AD$46&lt;=$C$41),AD50,0)+AD62-AD69+AD70+AD51)</f>
        <v>0</v>
      </c>
      <c r="AE75" s="66" t="n">
        <f aca="false">MAX(0,IF(AND(AE$46&gt;=$C$9,AE$46&lt;=$C$41),AE50,0)+AE62-AE69+AE70+AE51)</f>
        <v>0</v>
      </c>
      <c r="AF75" s="66" t="n">
        <f aca="false">MAX(0,IF(AND(AF$46&gt;=$C$9,AF$46&lt;=$C$41),AF50,0)+AF62-AF69+AF70+AF51)</f>
        <v>0</v>
      </c>
      <c r="AG75" s="66" t="n">
        <f aca="false">MAX(0,IF(AND(AG$46&gt;=$C$9,AG$46&lt;=$C$41),AG50,0)+AG62-AG69+AG70+AG51)</f>
        <v>0</v>
      </c>
      <c r="AH75" s="66" t="n">
        <f aca="false">MAX(0,IF(AND(AH$46&gt;=$C$9,AH$46&lt;=$C$41),AH50,0)+AH62-AH69+AH70+AH51)</f>
        <v>0</v>
      </c>
      <c r="AI75" s="66" t="n">
        <f aca="false">MAX(0,IF(AND(AI$46&gt;=$C$9,AI$46&lt;=$C$41),AI50,0)+AI62-AI69+AI70+AI51)</f>
        <v>0</v>
      </c>
      <c r="AJ75" s="66" t="n">
        <f aca="false">MAX(0,IF(AND(AJ$46&gt;=$C$9,AJ$46&lt;=$C$41),AJ50,0)+AJ62-AJ69+AJ70+AJ51)</f>
        <v>0</v>
      </c>
      <c r="AK75" s="66" t="n">
        <f aca="false">MAX(0,IF(AND(AK$46&gt;=$C$9,AK$46&lt;=$C$41),AK50,0)+AK62-AK69+AK70+AK51)</f>
        <v>0</v>
      </c>
      <c r="AL75" s="66" t="n">
        <f aca="false">MAX(0,IF(AND(AL$46&gt;=$C$9,AL$46&lt;=$C$41),AL50,0)+AL62-AL69+AL70+AL51)</f>
        <v>0</v>
      </c>
      <c r="AM75" s="66" t="n">
        <f aca="false">MAX(0,IF(AND(AM$46&gt;=$C$9,AM$46&lt;=$C$41),AM50,0)+AM62-AM69+AM70+AM51)</f>
        <v>0</v>
      </c>
      <c r="AN75" s="66" t="n">
        <f aca="false">MAX(0,IF(AND(AN$46&gt;=$C$9,AN$46&lt;=$C$41),AN50,0)+AN62-AN69+AN70+AN51)</f>
        <v>0</v>
      </c>
      <c r="AO75" s="66" t="n">
        <f aca="false">MAX(0,IF(AND(AO$46&gt;=$C$9,AO$46&lt;=$C$41),AO50,0)+AO62-AO69+AO70+AO51)</f>
        <v>0</v>
      </c>
      <c r="AP75" s="66" t="n">
        <f aca="false">MAX(0,IF(AND(AP$46&gt;=$C$9,AP$46&lt;=$C$41),AP50,0)+AP62-AP69+AP70+AP51)</f>
        <v>0</v>
      </c>
      <c r="AQ75" s="66" t="n">
        <f aca="false">MAX(0,IF(AND(AQ$46&gt;=$C$9,AQ$46&lt;=$C$41),AQ50,0)+AQ62-AQ69+AQ70+AQ51)</f>
        <v>0</v>
      </c>
      <c r="AR75" s="66" t="n">
        <f aca="false">MAX(0,IF(AND(AR$46&gt;=$C$9,AR$46&lt;=$C$41),AR50,0)+AR62-AR69+AR70+AR51)</f>
        <v>0</v>
      </c>
      <c r="AS75" s="66" t="n">
        <f aca="false">MAX(0,IF(AND(AS$46&gt;=$C$9,AS$46&lt;=$C$41),AS50,0)+AS62-AS69+AS70+AS51)</f>
        <v>0</v>
      </c>
      <c r="AT75" s="66" t="n">
        <f aca="false">MAX(0,IF(AND(AT$46&gt;=$C$9,AT$46&lt;=$C$41),AT50,0)+AT62-AT69+AT70+AT51)</f>
        <v>0</v>
      </c>
      <c r="AU75" s="66" t="n">
        <f aca="false">MAX(0,IF(AND(AU$46&gt;=$C$9,AU$46&lt;=$C$41),AU50,0)+AU62-AU69+AU70+AU51)</f>
        <v>0</v>
      </c>
      <c r="AV75" s="66" t="n">
        <f aca="false">MAX(0,IF(AND(AV$46&gt;=$C$9,AV$46&lt;=$C$41),AV50,0)+AV62-AV69+AV70+AV51)</f>
        <v>0</v>
      </c>
      <c r="AW75" s="66" t="n">
        <f aca="false">MAX(0,IF(AND(AW$46&gt;=$C$9,AW$46&lt;=$C$41),AW50,0)+AW62-AW69+AW70+AW51)</f>
        <v>0</v>
      </c>
      <c r="AX75" s="66" t="n">
        <f aca="false">MAX(0,IF(AND(AX$46&gt;=$C$9,AX$46&lt;=$C$41),AX50,0)+AX62-AX69+AX70+AX51)</f>
        <v>0</v>
      </c>
      <c r="AY75" s="66" t="n">
        <f aca="false">MAX(0,IF(AND(AY$46&gt;=$C$9,AY$46&lt;=$C$41),AY50,0)+AY62-AY69+AY70+AY51)</f>
        <v>0</v>
      </c>
      <c r="AZ75" s="66" t="n">
        <f aca="false">MAX(0,IF(AND(AZ$46&gt;=$C$9,AZ$46&lt;=$C$41),AZ50,0)+AZ62-AZ69+AZ70+AZ51)</f>
        <v>0</v>
      </c>
      <c r="BA75" s="66" t="n">
        <f aca="false">MAX(0,IF(AND(BA$46&gt;=$C$9,BA$46&lt;=$C$41),BA50,0)+BA62-BA69+BA70+BA51)</f>
        <v>0</v>
      </c>
      <c r="BB75" s="66" t="n">
        <f aca="false">MAX(0,IF(AND(BB$46&gt;=$C$9,BB$46&lt;=$C$41),BB50,0)+BB62-BB69+BB70+BB51)</f>
        <v>0</v>
      </c>
    </row>
    <row r="77" customFormat="false" ht="15" hidden="false" customHeight="true" outlineLevel="0" collapsed="false">
      <c r="B77" s="59" t="s">
        <v>482</v>
      </c>
      <c r="C77" s="59" t="s">
        <v>11</v>
      </c>
      <c r="E77" s="66" t="n">
        <f aca="false">E56</f>
        <v>0</v>
      </c>
      <c r="F77" s="66" t="n">
        <f aca="false">E79+F56</f>
        <v>6923741.81179713</v>
      </c>
      <c r="G77" s="66" t="n">
        <f aca="false">F79+G56</f>
        <v>65628824.9255198</v>
      </c>
      <c r="H77" s="66" t="n">
        <f aca="false">G79+H56</f>
        <v>121368581.259702</v>
      </c>
      <c r="I77" s="66" t="n">
        <f aca="false">H79+I56</f>
        <v>206704419.455051</v>
      </c>
      <c r="J77" s="66" t="n">
        <f aca="false">I79+J56</f>
        <v>210311608.960748</v>
      </c>
      <c r="K77" s="66" t="n">
        <f aca="false">J79+K56</f>
        <v>213918798.466444</v>
      </c>
      <c r="L77" s="66" t="n">
        <f aca="false">K79+L56</f>
        <v>213918798.466444</v>
      </c>
      <c r="M77" s="66" t="n">
        <f aca="false">L79+M56</f>
        <v>0</v>
      </c>
      <c r="N77" s="66" t="n">
        <f aca="false">M79+N56</f>
        <v>0</v>
      </c>
      <c r="O77" s="66" t="n">
        <f aca="false">N79+O56</f>
        <v>0</v>
      </c>
      <c r="P77" s="66" t="n">
        <f aca="false">O79+P56</f>
        <v>0</v>
      </c>
      <c r="Q77" s="66" t="n">
        <f aca="false">P79+Q56</f>
        <v>0</v>
      </c>
      <c r="R77" s="66" t="n">
        <f aca="false">Q79+R56</f>
        <v>0</v>
      </c>
      <c r="S77" s="66" t="n">
        <f aca="false">R79+S56</f>
        <v>0</v>
      </c>
      <c r="T77" s="66" t="n">
        <f aca="false">S79+T56</f>
        <v>0</v>
      </c>
      <c r="U77" s="66" t="n">
        <f aca="false">T79+U56</f>
        <v>0</v>
      </c>
      <c r="V77" s="66" t="n">
        <f aca="false">U79+V56</f>
        <v>0</v>
      </c>
      <c r="W77" s="66" t="n">
        <f aca="false">V79+W56</f>
        <v>0</v>
      </c>
      <c r="X77" s="66" t="n">
        <f aca="false">W79+X56</f>
        <v>0</v>
      </c>
      <c r="Y77" s="66" t="n">
        <f aca="false">X79+Y56</f>
        <v>0</v>
      </c>
      <c r="Z77" s="66" t="n">
        <f aca="false">Y79+Z56</f>
        <v>0</v>
      </c>
      <c r="AA77" s="66" t="n">
        <f aca="false">Z79+AA56</f>
        <v>0</v>
      </c>
      <c r="AB77" s="66" t="n">
        <f aca="false">AA79+AB56</f>
        <v>0</v>
      </c>
      <c r="AC77" s="66" t="n">
        <f aca="false">AB79+AC56</f>
        <v>0</v>
      </c>
      <c r="AD77" s="66" t="n">
        <f aca="false">AC79+AD56</f>
        <v>0</v>
      </c>
      <c r="AE77" s="66" t="n">
        <f aca="false">AD79+AE56</f>
        <v>0</v>
      </c>
      <c r="AF77" s="66" t="n">
        <f aca="false">AE79+AF56</f>
        <v>0</v>
      </c>
      <c r="AG77" s="66" t="n">
        <f aca="false">AF79+AG56</f>
        <v>0</v>
      </c>
      <c r="AH77" s="66" t="n">
        <f aca="false">AG79+AH56</f>
        <v>0</v>
      </c>
      <c r="AI77" s="66" t="n">
        <f aca="false">AH79+AI56</f>
        <v>0</v>
      </c>
      <c r="AJ77" s="66" t="n">
        <f aca="false">AI79+AJ56</f>
        <v>0</v>
      </c>
      <c r="AK77" s="66" t="n">
        <f aca="false">AJ79+AK56</f>
        <v>0</v>
      </c>
      <c r="AL77" s="66" t="n">
        <f aca="false">AK79+AL56</f>
        <v>0</v>
      </c>
      <c r="AM77" s="66" t="n">
        <f aca="false">AL79+AM56</f>
        <v>0</v>
      </c>
      <c r="AN77" s="66" t="n">
        <f aca="false">AM79+AN56</f>
        <v>0</v>
      </c>
      <c r="AO77" s="66" t="n">
        <f aca="false">AN79+AO56</f>
        <v>0</v>
      </c>
      <c r="AP77" s="66" t="n">
        <f aca="false">AO79+AP56</f>
        <v>0</v>
      </c>
      <c r="AQ77" s="66" t="n">
        <f aca="false">AP79+AQ56</f>
        <v>0</v>
      </c>
      <c r="AR77" s="66" t="n">
        <f aca="false">AQ79+AR56</f>
        <v>0</v>
      </c>
      <c r="AS77" s="66" t="n">
        <f aca="false">AR79+AS56</f>
        <v>0</v>
      </c>
      <c r="AT77" s="66" t="n">
        <f aca="false">AS79+AT56</f>
        <v>0</v>
      </c>
      <c r="AU77" s="66" t="n">
        <f aca="false">AT79+AU56</f>
        <v>0</v>
      </c>
      <c r="AV77" s="66" t="n">
        <f aca="false">AU79+AV56</f>
        <v>0</v>
      </c>
      <c r="AW77" s="66" t="n">
        <f aca="false">AV79+AW56</f>
        <v>0</v>
      </c>
      <c r="AX77" s="66" t="n">
        <f aca="false">AW79+AX56</f>
        <v>0</v>
      </c>
      <c r="AY77" s="66" t="n">
        <f aca="false">AX79+AY56</f>
        <v>0</v>
      </c>
      <c r="AZ77" s="66" t="n">
        <f aca="false">AY79+AZ56</f>
        <v>0</v>
      </c>
      <c r="BA77" s="66" t="n">
        <f aca="false">AZ79+BA56</f>
        <v>0</v>
      </c>
      <c r="BB77" s="66" t="n">
        <f aca="false">BA79+BB56</f>
        <v>0</v>
      </c>
    </row>
    <row r="78" customFormat="false" ht="15" hidden="false" customHeight="true" outlineLevel="0" collapsed="false">
      <c r="B78" s="59" t="s">
        <v>483</v>
      </c>
      <c r="C78" s="59" t="s">
        <v>11</v>
      </c>
      <c r="D78" s="63" t="n">
        <f aca="false">SUM(E78:BB78)</f>
        <v>213918798.466444</v>
      </c>
      <c r="E78" s="66" t="n">
        <f aca="false">MIN(E75,E77)</f>
        <v>0</v>
      </c>
      <c r="F78" s="66" t="n">
        <f aca="false">MIN(F75,F77)</f>
        <v>0</v>
      </c>
      <c r="G78" s="66" t="n">
        <f aca="false">MIN(G75,G77)</f>
        <v>0</v>
      </c>
      <c r="H78" s="66" t="n">
        <f aca="false">MIN(H75,H77)</f>
        <v>0</v>
      </c>
      <c r="I78" s="66" t="n">
        <f aca="false">MIN(I75,I77)</f>
        <v>0</v>
      </c>
      <c r="J78" s="66" t="n">
        <f aca="false">MIN(J75,J77)</f>
        <v>0</v>
      </c>
      <c r="K78" s="66" t="n">
        <f aca="false">MIN(K75,K77)</f>
        <v>0</v>
      </c>
      <c r="L78" s="66" t="n">
        <f aca="false">MIN(L75,L77)</f>
        <v>213918798.466444</v>
      </c>
      <c r="M78" s="66" t="n">
        <f aca="false">MIN(M75,M77)</f>
        <v>0</v>
      </c>
      <c r="N78" s="66" t="n">
        <f aca="false">MIN(N75,N77)</f>
        <v>0</v>
      </c>
      <c r="O78" s="66" t="n">
        <f aca="false">MIN(O75,O77)</f>
        <v>0</v>
      </c>
      <c r="P78" s="66" t="n">
        <f aca="false">MIN(P75,P77)</f>
        <v>0</v>
      </c>
      <c r="Q78" s="66" t="n">
        <f aca="false">MIN(Q75,Q77)</f>
        <v>0</v>
      </c>
      <c r="R78" s="66" t="n">
        <f aca="false">MIN(R75,R77)</f>
        <v>0</v>
      </c>
      <c r="S78" s="66" t="n">
        <f aca="false">MIN(S75,S77)</f>
        <v>0</v>
      </c>
      <c r="T78" s="66" t="n">
        <f aca="false">MIN(T75,T77)</f>
        <v>0</v>
      </c>
      <c r="U78" s="66" t="n">
        <f aca="false">MIN(U75,U77)</f>
        <v>0</v>
      </c>
      <c r="V78" s="66" t="n">
        <f aca="false">MIN(V75,V77)</f>
        <v>0</v>
      </c>
      <c r="W78" s="66" t="n">
        <f aca="false">MIN(W75,W77)</f>
        <v>0</v>
      </c>
      <c r="X78" s="66" t="n">
        <f aca="false">MIN(X75,X77)</f>
        <v>0</v>
      </c>
      <c r="Y78" s="66" t="n">
        <f aca="false">MIN(Y75,Y77)</f>
        <v>0</v>
      </c>
      <c r="Z78" s="66" t="n">
        <f aca="false">MIN(Z75,Z77)</f>
        <v>0</v>
      </c>
      <c r="AA78" s="66" t="n">
        <f aca="false">MIN(AA75,AA77)</f>
        <v>0</v>
      </c>
      <c r="AB78" s="66" t="n">
        <f aca="false">MIN(AB75,AB77)</f>
        <v>0</v>
      </c>
      <c r="AC78" s="66" t="n">
        <f aca="false">MIN(AC75,AC77)</f>
        <v>0</v>
      </c>
      <c r="AD78" s="66" t="n">
        <f aca="false">MIN(AD75,AD77)</f>
        <v>0</v>
      </c>
      <c r="AE78" s="66" t="n">
        <f aca="false">MIN(AE75,AE77)</f>
        <v>0</v>
      </c>
      <c r="AF78" s="66" t="n">
        <f aca="false">MIN(AF75,AF77)</f>
        <v>0</v>
      </c>
      <c r="AG78" s="66" t="n">
        <f aca="false">MIN(AG75,AG77)</f>
        <v>0</v>
      </c>
      <c r="AH78" s="66" t="n">
        <f aca="false">MIN(AH75,AH77)</f>
        <v>0</v>
      </c>
      <c r="AI78" s="66" t="n">
        <f aca="false">MIN(AI75,AI77)</f>
        <v>0</v>
      </c>
      <c r="AJ78" s="66" t="n">
        <f aca="false">MIN(AJ75,AJ77)</f>
        <v>0</v>
      </c>
      <c r="AK78" s="66" t="n">
        <f aca="false">MIN(AK75,AK77)</f>
        <v>0</v>
      </c>
      <c r="AL78" s="66" t="n">
        <f aca="false">MIN(AL75,AL77)</f>
        <v>0</v>
      </c>
      <c r="AM78" s="66" t="n">
        <f aca="false">MIN(AM75,AM77)</f>
        <v>0</v>
      </c>
      <c r="AN78" s="66" t="n">
        <f aca="false">MIN(AN75,AN77)</f>
        <v>0</v>
      </c>
      <c r="AO78" s="66" t="n">
        <f aca="false">MIN(AO75,AO77)</f>
        <v>0</v>
      </c>
      <c r="AP78" s="66" t="n">
        <f aca="false">MIN(AP75,AP77)</f>
        <v>0</v>
      </c>
      <c r="AQ78" s="66" t="n">
        <f aca="false">MIN(AQ75,AQ77)</f>
        <v>0</v>
      </c>
      <c r="AR78" s="66" t="n">
        <f aca="false">MIN(AR75,AR77)</f>
        <v>0</v>
      </c>
      <c r="AS78" s="66" t="n">
        <f aca="false">MIN(AS75,AS77)</f>
        <v>0</v>
      </c>
      <c r="AT78" s="66" t="n">
        <f aca="false">MIN(AT75,AT77)</f>
        <v>0</v>
      </c>
      <c r="AU78" s="66" t="n">
        <f aca="false">MIN(AU75,AU77)</f>
        <v>0</v>
      </c>
      <c r="AV78" s="66" t="n">
        <f aca="false">MIN(AV75,AV77)</f>
        <v>0</v>
      </c>
      <c r="AW78" s="66" t="n">
        <f aca="false">MIN(AW75,AW77)</f>
        <v>0</v>
      </c>
      <c r="AX78" s="66" t="n">
        <f aca="false">MIN(AX75,AX77)</f>
        <v>0</v>
      </c>
      <c r="AY78" s="66" t="n">
        <f aca="false">MIN(AY75,AY77)</f>
        <v>0</v>
      </c>
      <c r="AZ78" s="66" t="n">
        <f aca="false">MIN(AZ75,AZ77)</f>
        <v>0</v>
      </c>
      <c r="BA78" s="66" t="n">
        <f aca="false">MIN(BA75,BA77)</f>
        <v>0</v>
      </c>
      <c r="BB78" s="66" t="n">
        <f aca="false">MIN(BB75,BB77)</f>
        <v>0</v>
      </c>
    </row>
    <row r="79" customFormat="false" ht="15" hidden="false" customHeight="true" outlineLevel="0" collapsed="false">
      <c r="B79" s="59" t="s">
        <v>484</v>
      </c>
      <c r="C79" s="59" t="s">
        <v>11</v>
      </c>
      <c r="E79" s="66" t="n">
        <f aca="false">E77-E78</f>
        <v>0</v>
      </c>
      <c r="F79" s="66" t="n">
        <f aca="false">F77-F78</f>
        <v>6923741.81179713</v>
      </c>
      <c r="G79" s="66" t="n">
        <f aca="false">G77-G78</f>
        <v>65628824.9255198</v>
      </c>
      <c r="H79" s="66" t="n">
        <f aca="false">H77-H78</f>
        <v>121368581.259702</v>
      </c>
      <c r="I79" s="66" t="n">
        <f aca="false">I77-I78</f>
        <v>206704419.455051</v>
      </c>
      <c r="J79" s="66" t="n">
        <f aca="false">J77-J78</f>
        <v>210311608.960748</v>
      </c>
      <c r="K79" s="66" t="n">
        <f aca="false">K77-K78</f>
        <v>213918798.466444</v>
      </c>
      <c r="L79" s="66" t="n">
        <f aca="false">L77-L78</f>
        <v>0</v>
      </c>
      <c r="M79" s="66" t="n">
        <f aca="false">M77-M78</f>
        <v>0</v>
      </c>
      <c r="N79" s="66" t="n">
        <f aca="false">N77-N78</f>
        <v>0</v>
      </c>
      <c r="O79" s="66" t="n">
        <f aca="false">O77-O78</f>
        <v>0</v>
      </c>
      <c r="P79" s="66" t="n">
        <f aca="false">P77-P78</f>
        <v>0</v>
      </c>
      <c r="Q79" s="66" t="n">
        <f aca="false">Q77-Q78</f>
        <v>0</v>
      </c>
      <c r="R79" s="66" t="n">
        <f aca="false">R77-R78</f>
        <v>0</v>
      </c>
      <c r="S79" s="66" t="n">
        <f aca="false">S77-S78</f>
        <v>0</v>
      </c>
      <c r="T79" s="66" t="n">
        <f aca="false">T77-T78</f>
        <v>0</v>
      </c>
      <c r="U79" s="66" t="n">
        <f aca="false">U77-U78</f>
        <v>0</v>
      </c>
      <c r="V79" s="66" t="n">
        <f aca="false">V77-V78</f>
        <v>0</v>
      </c>
      <c r="W79" s="66" t="n">
        <f aca="false">W77-W78</f>
        <v>0</v>
      </c>
      <c r="X79" s="66" t="n">
        <f aca="false">X77-X78</f>
        <v>0</v>
      </c>
      <c r="Y79" s="66" t="n">
        <f aca="false">Y77-Y78</f>
        <v>0</v>
      </c>
      <c r="Z79" s="66" t="n">
        <f aca="false">Z77-Z78</f>
        <v>0</v>
      </c>
      <c r="AA79" s="66" t="n">
        <f aca="false">AA77-AA78</f>
        <v>0</v>
      </c>
      <c r="AB79" s="66" t="n">
        <f aca="false">AB77-AB78</f>
        <v>0</v>
      </c>
      <c r="AC79" s="66" t="n">
        <f aca="false">AC77-AC78</f>
        <v>0</v>
      </c>
      <c r="AD79" s="66" t="n">
        <f aca="false">AD77-AD78</f>
        <v>0</v>
      </c>
      <c r="AE79" s="66" t="n">
        <f aca="false">AE77-AE78</f>
        <v>0</v>
      </c>
      <c r="AF79" s="66" t="n">
        <f aca="false">AF77-AF78</f>
        <v>0</v>
      </c>
      <c r="AG79" s="66" t="n">
        <f aca="false">AG77-AG78</f>
        <v>0</v>
      </c>
      <c r="AH79" s="66" t="n">
        <f aca="false">AH77-AH78</f>
        <v>0</v>
      </c>
      <c r="AI79" s="66" t="n">
        <f aca="false">AI77-AI78</f>
        <v>0</v>
      </c>
      <c r="AJ79" s="66" t="n">
        <f aca="false">AJ77-AJ78</f>
        <v>0</v>
      </c>
      <c r="AK79" s="66" t="n">
        <f aca="false">AK77-AK78</f>
        <v>0</v>
      </c>
      <c r="AL79" s="66" t="n">
        <f aca="false">AL77-AL78</f>
        <v>0</v>
      </c>
      <c r="AM79" s="66" t="n">
        <f aca="false">AM77-AM78</f>
        <v>0</v>
      </c>
      <c r="AN79" s="66" t="n">
        <f aca="false">AN77-AN78</f>
        <v>0</v>
      </c>
      <c r="AO79" s="66" t="n">
        <f aca="false">AO77-AO78</f>
        <v>0</v>
      </c>
      <c r="AP79" s="66" t="n">
        <f aca="false">AP77-AP78</f>
        <v>0</v>
      </c>
      <c r="AQ79" s="66" t="n">
        <f aca="false">AQ77-AQ78</f>
        <v>0</v>
      </c>
      <c r="AR79" s="66" t="n">
        <f aca="false">AR77-AR78</f>
        <v>0</v>
      </c>
      <c r="AS79" s="66" t="n">
        <f aca="false">AS77-AS78</f>
        <v>0</v>
      </c>
      <c r="AT79" s="66" t="n">
        <f aca="false">AT77-AT78</f>
        <v>0</v>
      </c>
      <c r="AU79" s="66" t="n">
        <f aca="false">AU77-AU78</f>
        <v>0</v>
      </c>
      <c r="AV79" s="66" t="n">
        <f aca="false">AV77-AV78</f>
        <v>0</v>
      </c>
      <c r="AW79" s="66" t="n">
        <f aca="false">AW77-AW78</f>
        <v>0</v>
      </c>
      <c r="AX79" s="66" t="n">
        <f aca="false">AX77-AX78</f>
        <v>0</v>
      </c>
      <c r="AY79" s="66" t="n">
        <f aca="false">AY77-AY78</f>
        <v>0</v>
      </c>
      <c r="AZ79" s="66" t="n">
        <f aca="false">AZ77-AZ78</f>
        <v>0</v>
      </c>
      <c r="BA79" s="66" t="n">
        <f aca="false">BA77-BA78</f>
        <v>0</v>
      </c>
      <c r="BB79" s="66" t="n">
        <f aca="false">BB77-BB78</f>
        <v>0</v>
      </c>
    </row>
    <row r="81" customFormat="false" ht="15" hidden="false" customHeight="true" outlineLevel="0" collapsed="false">
      <c r="B81" s="59" t="s">
        <v>485</v>
      </c>
      <c r="C81" s="59" t="s">
        <v>11</v>
      </c>
      <c r="D81" s="66" t="n">
        <f aca="false">SUM(E81:BB81)</f>
        <v>155816216.001856</v>
      </c>
      <c r="E81" s="66" t="n">
        <f aca="false">E77*$C$36</f>
        <v>0</v>
      </c>
      <c r="F81" s="66" t="n">
        <f aca="false">F77*$C$36</f>
        <v>1038561.27176957</v>
      </c>
      <c r="G81" s="66" t="n">
        <f aca="false">G77*$C$36</f>
        <v>9844323.73882797</v>
      </c>
      <c r="H81" s="66" t="n">
        <f aca="false">H77*$C$36</f>
        <v>18205287.1889553</v>
      </c>
      <c r="I81" s="66" t="n">
        <f aca="false">I77*$C$36</f>
        <v>31005662.9182577</v>
      </c>
      <c r="J81" s="66" t="n">
        <f aca="false">J77*$C$36</f>
        <v>31546741.3441122</v>
      </c>
      <c r="K81" s="66" t="n">
        <f aca="false">K77*$C$36</f>
        <v>32087819.7699666</v>
      </c>
      <c r="L81" s="66" t="n">
        <f aca="false">L77*$C$36</f>
        <v>32087819.7699666</v>
      </c>
      <c r="M81" s="66" t="n">
        <f aca="false">M77*$C$36</f>
        <v>0</v>
      </c>
      <c r="N81" s="66" t="n">
        <f aca="false">N77*$C$36</f>
        <v>0</v>
      </c>
      <c r="O81" s="66" t="n">
        <f aca="false">O77*$C$36</f>
        <v>0</v>
      </c>
      <c r="P81" s="66" t="n">
        <f aca="false">P77*$C$36</f>
        <v>0</v>
      </c>
      <c r="Q81" s="66" t="n">
        <f aca="false">Q77*$C$36</f>
        <v>0</v>
      </c>
      <c r="R81" s="66" t="n">
        <f aca="false">R77*$C$36</f>
        <v>0</v>
      </c>
      <c r="S81" s="66" t="n">
        <f aca="false">S77*$C$36</f>
        <v>0</v>
      </c>
      <c r="T81" s="66" t="n">
        <f aca="false">T77*$C$36</f>
        <v>0</v>
      </c>
      <c r="U81" s="66" t="n">
        <f aca="false">U77*$C$36</f>
        <v>0</v>
      </c>
      <c r="V81" s="66" t="n">
        <f aca="false">V77*$C$36</f>
        <v>0</v>
      </c>
      <c r="W81" s="66" t="n">
        <f aca="false">W77*$C$36</f>
        <v>0</v>
      </c>
      <c r="X81" s="66" t="n">
        <f aca="false">X77*$C$36</f>
        <v>0</v>
      </c>
      <c r="Y81" s="66" t="n">
        <f aca="false">Y77*$C$36</f>
        <v>0</v>
      </c>
      <c r="Z81" s="66" t="n">
        <f aca="false">Z77*$C$36</f>
        <v>0</v>
      </c>
      <c r="AA81" s="66" t="n">
        <f aca="false">AA77*$C$36</f>
        <v>0</v>
      </c>
      <c r="AB81" s="66" t="n">
        <f aca="false">AB77*$C$36</f>
        <v>0</v>
      </c>
      <c r="AC81" s="66" t="n">
        <f aca="false">AC77*$C$36</f>
        <v>0</v>
      </c>
      <c r="AD81" s="66" t="n">
        <f aca="false">AD77*$C$36</f>
        <v>0</v>
      </c>
      <c r="AE81" s="66" t="n">
        <f aca="false">AE77*$C$36</f>
        <v>0</v>
      </c>
      <c r="AF81" s="66" t="n">
        <f aca="false">AF77*$C$36</f>
        <v>0</v>
      </c>
      <c r="AG81" s="66" t="n">
        <f aca="false">AG77*$C$36</f>
        <v>0</v>
      </c>
      <c r="AH81" s="66" t="n">
        <f aca="false">AH77*$C$36</f>
        <v>0</v>
      </c>
      <c r="AI81" s="66" t="n">
        <f aca="false">AI77*$C$36</f>
        <v>0</v>
      </c>
      <c r="AJ81" s="66" t="n">
        <f aca="false">AJ77*$C$36</f>
        <v>0</v>
      </c>
      <c r="AK81" s="66" t="n">
        <f aca="false">AK77*$C$36</f>
        <v>0</v>
      </c>
      <c r="AL81" s="66" t="n">
        <f aca="false">AL77*$C$36</f>
        <v>0</v>
      </c>
      <c r="AM81" s="66" t="n">
        <f aca="false">AM77*$C$36</f>
        <v>0</v>
      </c>
      <c r="AN81" s="66" t="n">
        <f aca="false">AN77*$C$36</f>
        <v>0</v>
      </c>
      <c r="AO81" s="66" t="n">
        <f aca="false">AO77*$C$36</f>
        <v>0</v>
      </c>
      <c r="AP81" s="66" t="n">
        <f aca="false">AP77*$C$36</f>
        <v>0</v>
      </c>
      <c r="AQ81" s="66" t="n">
        <f aca="false">AQ77*$C$36</f>
        <v>0</v>
      </c>
      <c r="AR81" s="66" t="n">
        <f aca="false">AR77*$C$36</f>
        <v>0</v>
      </c>
      <c r="AS81" s="66" t="n">
        <f aca="false">AS77*$C$36</f>
        <v>0</v>
      </c>
      <c r="AT81" s="66" t="n">
        <f aca="false">AT77*$C$36</f>
        <v>0</v>
      </c>
      <c r="AU81" s="66" t="n">
        <f aca="false">AU77*$C$36</f>
        <v>0</v>
      </c>
      <c r="AV81" s="66" t="n">
        <f aca="false">AV77*$C$36</f>
        <v>0</v>
      </c>
      <c r="AW81" s="66" t="n">
        <f aca="false">AW77*$C$36</f>
        <v>0</v>
      </c>
      <c r="AX81" s="66" t="n">
        <f aca="false">AX77*$C$36</f>
        <v>0</v>
      </c>
      <c r="AY81" s="66" t="n">
        <f aca="false">AY77*$C$36</f>
        <v>0</v>
      </c>
      <c r="AZ81" s="66" t="n">
        <f aca="false">AZ77*$C$36</f>
        <v>0</v>
      </c>
      <c r="BA81" s="66" t="n">
        <f aca="false">BA77*$C$36</f>
        <v>0</v>
      </c>
      <c r="BB81" s="66" t="n">
        <f aca="false">BB77*$C$36</f>
        <v>0</v>
      </c>
    </row>
    <row r="82" customFormat="false" ht="15" hidden="false" customHeight="true" outlineLevel="0" collapsed="false">
      <c r="B82" s="59" t="s">
        <v>486</v>
      </c>
      <c r="C82" s="59" t="s">
        <v>11</v>
      </c>
      <c r="E82" s="66" t="n">
        <f aca="false">0</f>
        <v>0</v>
      </c>
      <c r="F82" s="66" t="n">
        <f aca="false">E85</f>
        <v>0</v>
      </c>
      <c r="G82" s="66" t="n">
        <f aca="false">F85</f>
        <v>1038561.27176957</v>
      </c>
      <c r="H82" s="66" t="n">
        <f aca="false">G85</f>
        <v>10882885.0105975</v>
      </c>
      <c r="I82" s="66" t="n">
        <f aca="false">H85</f>
        <v>29088172.1995529</v>
      </c>
      <c r="J82" s="66" t="n">
        <f aca="false">I85</f>
        <v>60093835.1178105</v>
      </c>
      <c r="K82" s="66" t="n">
        <f aca="false">J85</f>
        <v>91640576.4619227</v>
      </c>
      <c r="L82" s="66" t="n">
        <f aca="false">K85</f>
        <v>123728396.231889</v>
      </c>
      <c r="M82" s="66" t="n">
        <f aca="false">L85</f>
        <v>0</v>
      </c>
      <c r="N82" s="66" t="n">
        <f aca="false">M85</f>
        <v>0</v>
      </c>
      <c r="O82" s="66" t="n">
        <f aca="false">N85</f>
        <v>0</v>
      </c>
      <c r="P82" s="66" t="n">
        <f aca="false">O85</f>
        <v>0</v>
      </c>
      <c r="Q82" s="66" t="n">
        <f aca="false">P85</f>
        <v>0</v>
      </c>
      <c r="R82" s="66" t="n">
        <f aca="false">Q85</f>
        <v>0</v>
      </c>
      <c r="S82" s="66" t="n">
        <f aca="false">R85</f>
        <v>0</v>
      </c>
      <c r="T82" s="66" t="n">
        <f aca="false">S85</f>
        <v>0</v>
      </c>
      <c r="U82" s="66" t="n">
        <f aca="false">T85</f>
        <v>0</v>
      </c>
      <c r="V82" s="66" t="n">
        <f aca="false">U85</f>
        <v>0</v>
      </c>
      <c r="W82" s="66" t="n">
        <f aca="false">V85</f>
        <v>0</v>
      </c>
      <c r="X82" s="66" t="n">
        <f aca="false">W85</f>
        <v>0</v>
      </c>
      <c r="Y82" s="66" t="n">
        <f aca="false">X85</f>
        <v>0</v>
      </c>
      <c r="Z82" s="66" t="n">
        <f aca="false">Y85</f>
        <v>0</v>
      </c>
      <c r="AA82" s="66" t="n">
        <f aca="false">Z85</f>
        <v>0</v>
      </c>
      <c r="AB82" s="66" t="n">
        <f aca="false">AA85</f>
        <v>0</v>
      </c>
      <c r="AC82" s="66" t="n">
        <f aca="false">AB85</f>
        <v>0</v>
      </c>
      <c r="AD82" s="66" t="n">
        <f aca="false">AC85</f>
        <v>0</v>
      </c>
      <c r="AE82" s="66" t="n">
        <f aca="false">AD85</f>
        <v>0</v>
      </c>
      <c r="AF82" s="66" t="n">
        <f aca="false">AE85</f>
        <v>0</v>
      </c>
      <c r="AG82" s="66" t="n">
        <f aca="false">AF85</f>
        <v>0</v>
      </c>
      <c r="AH82" s="66" t="n">
        <f aca="false">AG85</f>
        <v>0</v>
      </c>
      <c r="AI82" s="66" t="n">
        <f aca="false">AH85</f>
        <v>0</v>
      </c>
      <c r="AJ82" s="66" t="n">
        <f aca="false">AI85</f>
        <v>0</v>
      </c>
      <c r="AK82" s="66" t="n">
        <f aca="false">AJ85</f>
        <v>0</v>
      </c>
      <c r="AL82" s="66" t="n">
        <f aca="false">AK85</f>
        <v>0</v>
      </c>
      <c r="AM82" s="66" t="n">
        <f aca="false">AL85</f>
        <v>0</v>
      </c>
      <c r="AN82" s="66" t="n">
        <f aca="false">AM85</f>
        <v>0</v>
      </c>
      <c r="AO82" s="66" t="n">
        <f aca="false">AN85</f>
        <v>0</v>
      </c>
      <c r="AP82" s="66" t="n">
        <f aca="false">AO85</f>
        <v>0</v>
      </c>
      <c r="AQ82" s="66" t="n">
        <f aca="false">AP85</f>
        <v>0</v>
      </c>
      <c r="AR82" s="66" t="n">
        <f aca="false">AQ85</f>
        <v>0</v>
      </c>
      <c r="AS82" s="66" t="n">
        <f aca="false">AR85</f>
        <v>0</v>
      </c>
      <c r="AT82" s="66" t="n">
        <f aca="false">AS85</f>
        <v>0</v>
      </c>
      <c r="AU82" s="66" t="n">
        <f aca="false">AT85</f>
        <v>0</v>
      </c>
      <c r="AV82" s="66" t="n">
        <f aca="false">AU85</f>
        <v>0</v>
      </c>
      <c r="AW82" s="66" t="n">
        <f aca="false">AV85</f>
        <v>0</v>
      </c>
      <c r="AX82" s="66" t="n">
        <f aca="false">AW85</f>
        <v>0</v>
      </c>
      <c r="AY82" s="66" t="n">
        <f aca="false">AX85</f>
        <v>0</v>
      </c>
      <c r="AZ82" s="66" t="n">
        <f aca="false">AY85</f>
        <v>0</v>
      </c>
      <c r="BA82" s="66" t="n">
        <f aca="false">AZ85</f>
        <v>0</v>
      </c>
      <c r="BB82" s="66" t="n">
        <f aca="false">BA85</f>
        <v>0</v>
      </c>
    </row>
    <row r="83" customFormat="false" ht="15" hidden="false" customHeight="true" outlineLevel="0" collapsed="false">
      <c r="B83" s="59" t="s">
        <v>487</v>
      </c>
      <c r="C83" s="59" t="s">
        <v>11</v>
      </c>
      <c r="E83" s="66" t="n">
        <f aca="false">E81+E82</f>
        <v>0</v>
      </c>
      <c r="F83" s="66" t="n">
        <f aca="false">F81+F82</f>
        <v>1038561.27176957</v>
      </c>
      <c r="G83" s="66" t="n">
        <f aca="false">G81+G82</f>
        <v>10882885.0105975</v>
      </c>
      <c r="H83" s="66" t="n">
        <f aca="false">H81+H82</f>
        <v>29088172.1995529</v>
      </c>
      <c r="I83" s="66" t="n">
        <f aca="false">I81+I82</f>
        <v>60093835.1178105</v>
      </c>
      <c r="J83" s="66" t="n">
        <f aca="false">J81+J82</f>
        <v>91640576.4619227</v>
      </c>
      <c r="K83" s="66" t="n">
        <f aca="false">K81+K82</f>
        <v>123728396.231889</v>
      </c>
      <c r="L83" s="66" t="n">
        <f aca="false">L81+L82</f>
        <v>155816216.001856</v>
      </c>
      <c r="M83" s="66" t="n">
        <f aca="false">M81+M82</f>
        <v>0</v>
      </c>
      <c r="N83" s="66" t="n">
        <f aca="false">N81+N82</f>
        <v>0</v>
      </c>
      <c r="O83" s="66" t="n">
        <f aca="false">O81+O82</f>
        <v>0</v>
      </c>
      <c r="P83" s="66" t="n">
        <f aca="false">P81+P82</f>
        <v>0</v>
      </c>
      <c r="Q83" s="66" t="n">
        <f aca="false">Q81+Q82</f>
        <v>0</v>
      </c>
      <c r="R83" s="66" t="n">
        <f aca="false">R81+R82</f>
        <v>0</v>
      </c>
      <c r="S83" s="66" t="n">
        <f aca="false">S81+S82</f>
        <v>0</v>
      </c>
      <c r="T83" s="66" t="n">
        <f aca="false">T81+T82</f>
        <v>0</v>
      </c>
      <c r="U83" s="66" t="n">
        <f aca="false">U81+U82</f>
        <v>0</v>
      </c>
      <c r="V83" s="66" t="n">
        <f aca="false">V81+V82</f>
        <v>0</v>
      </c>
      <c r="W83" s="66" t="n">
        <f aca="false">W81+W82</f>
        <v>0</v>
      </c>
      <c r="X83" s="66" t="n">
        <f aca="false">X81+X82</f>
        <v>0</v>
      </c>
      <c r="Y83" s="66" t="n">
        <f aca="false">Y81+Y82</f>
        <v>0</v>
      </c>
      <c r="Z83" s="66" t="n">
        <f aca="false">Z81+Z82</f>
        <v>0</v>
      </c>
      <c r="AA83" s="66" t="n">
        <f aca="false">AA81+AA82</f>
        <v>0</v>
      </c>
      <c r="AB83" s="66" t="n">
        <f aca="false">AB81+AB82</f>
        <v>0</v>
      </c>
      <c r="AC83" s="66" t="n">
        <f aca="false">AC81+AC82</f>
        <v>0</v>
      </c>
      <c r="AD83" s="66" t="n">
        <f aca="false">AD81+AD82</f>
        <v>0</v>
      </c>
      <c r="AE83" s="66" t="n">
        <f aca="false">AE81+AE82</f>
        <v>0</v>
      </c>
      <c r="AF83" s="66" t="n">
        <f aca="false">AF81+AF82</f>
        <v>0</v>
      </c>
      <c r="AG83" s="66" t="n">
        <f aca="false">AG81+AG82</f>
        <v>0</v>
      </c>
      <c r="AH83" s="66" t="n">
        <f aca="false">AH81+AH82</f>
        <v>0</v>
      </c>
      <c r="AI83" s="66" t="n">
        <f aca="false">AI81+AI82</f>
        <v>0</v>
      </c>
      <c r="AJ83" s="66" t="n">
        <f aca="false">AJ81+AJ82</f>
        <v>0</v>
      </c>
      <c r="AK83" s="66" t="n">
        <f aca="false">AK81+AK82</f>
        <v>0</v>
      </c>
      <c r="AL83" s="66" t="n">
        <f aca="false">AL81+AL82</f>
        <v>0</v>
      </c>
      <c r="AM83" s="66" t="n">
        <f aca="false">AM81+AM82</f>
        <v>0</v>
      </c>
      <c r="AN83" s="66" t="n">
        <f aca="false">AN81+AN82</f>
        <v>0</v>
      </c>
      <c r="AO83" s="66" t="n">
        <f aca="false">AO81+AO82</f>
        <v>0</v>
      </c>
      <c r="AP83" s="66" t="n">
        <f aca="false">AP81+AP82</f>
        <v>0</v>
      </c>
      <c r="AQ83" s="66" t="n">
        <f aca="false">AQ81+AQ82</f>
        <v>0</v>
      </c>
      <c r="AR83" s="66" t="n">
        <f aca="false">AR81+AR82</f>
        <v>0</v>
      </c>
      <c r="AS83" s="66" t="n">
        <f aca="false">AS81+AS82</f>
        <v>0</v>
      </c>
      <c r="AT83" s="66" t="n">
        <f aca="false">AT81+AT82</f>
        <v>0</v>
      </c>
      <c r="AU83" s="66" t="n">
        <f aca="false">AU81+AU82</f>
        <v>0</v>
      </c>
      <c r="AV83" s="66" t="n">
        <f aca="false">AV81+AV82</f>
        <v>0</v>
      </c>
      <c r="AW83" s="66" t="n">
        <f aca="false">AW81+AW82</f>
        <v>0</v>
      </c>
      <c r="AX83" s="66" t="n">
        <f aca="false">AX81+AX82</f>
        <v>0</v>
      </c>
      <c r="AY83" s="66" t="n">
        <f aca="false">AY81+AY82</f>
        <v>0</v>
      </c>
      <c r="AZ83" s="66" t="n">
        <f aca="false">AZ81+AZ82</f>
        <v>0</v>
      </c>
      <c r="BA83" s="66" t="n">
        <f aca="false">BA81+BA82</f>
        <v>0</v>
      </c>
      <c r="BB83" s="66" t="n">
        <f aca="false">BB81+BB82</f>
        <v>0</v>
      </c>
    </row>
    <row r="84" customFormat="false" ht="15" hidden="false" customHeight="true" outlineLevel="0" collapsed="false">
      <c r="B84" s="59" t="s">
        <v>488</v>
      </c>
      <c r="C84" s="59" t="s">
        <v>11</v>
      </c>
      <c r="D84" s="63" t="n">
        <f aca="false">SUM(E84:BB84)</f>
        <v>155816216.001856</v>
      </c>
      <c r="E84" s="66" t="n">
        <f aca="false">MIN(MAX(0,E75-E78),E83)</f>
        <v>0</v>
      </c>
      <c r="F84" s="66" t="n">
        <f aca="false">MIN(MAX(0,F75-F78),F83)</f>
        <v>0</v>
      </c>
      <c r="G84" s="66" t="n">
        <f aca="false">MIN(MAX(0,G75-G78),G83)</f>
        <v>0</v>
      </c>
      <c r="H84" s="66" t="n">
        <f aca="false">MIN(MAX(0,H75-H78),H83)</f>
        <v>0</v>
      </c>
      <c r="I84" s="66" t="n">
        <f aca="false">MIN(MAX(0,I75-I78),I83)</f>
        <v>0</v>
      </c>
      <c r="J84" s="66" t="n">
        <f aca="false">MIN(MAX(0,J75-J78),J83)</f>
        <v>0</v>
      </c>
      <c r="K84" s="66" t="n">
        <f aca="false">MIN(MAX(0,K75-K78),K83)</f>
        <v>0</v>
      </c>
      <c r="L84" s="66" t="n">
        <f aca="false">MIN(MAX(0,L75-L78),L83)</f>
        <v>155816216.001856</v>
      </c>
      <c r="M84" s="66" t="n">
        <f aca="false">MIN(MAX(0,M75-M78),M83)</f>
        <v>0</v>
      </c>
      <c r="N84" s="66" t="n">
        <f aca="false">MIN(MAX(0,N75-N78),N83)</f>
        <v>0</v>
      </c>
      <c r="O84" s="66" t="n">
        <f aca="false">MIN(MAX(0,O75-O78),O83)</f>
        <v>0</v>
      </c>
      <c r="P84" s="66" t="n">
        <f aca="false">MIN(MAX(0,P75-P78),P83)</f>
        <v>0</v>
      </c>
      <c r="Q84" s="66" t="n">
        <f aca="false">MIN(MAX(0,Q75-Q78),Q83)</f>
        <v>0</v>
      </c>
      <c r="R84" s="66" t="n">
        <f aca="false">MIN(MAX(0,R75-R78),R83)</f>
        <v>0</v>
      </c>
      <c r="S84" s="66" t="n">
        <f aca="false">MIN(MAX(0,S75-S78),S83)</f>
        <v>0</v>
      </c>
      <c r="T84" s="66" t="n">
        <f aca="false">MIN(MAX(0,T75-T78),T83)</f>
        <v>0</v>
      </c>
      <c r="U84" s="66" t="n">
        <f aca="false">MIN(MAX(0,U75-U78),U83)</f>
        <v>0</v>
      </c>
      <c r="V84" s="66" t="n">
        <f aca="false">MIN(MAX(0,V75-V78),V83)</f>
        <v>0</v>
      </c>
      <c r="W84" s="66" t="n">
        <f aca="false">MIN(MAX(0,W75-W78),W83)</f>
        <v>0</v>
      </c>
      <c r="X84" s="66" t="n">
        <f aca="false">MIN(MAX(0,X75-X78),X83)</f>
        <v>0</v>
      </c>
      <c r="Y84" s="66" t="n">
        <f aca="false">MIN(MAX(0,Y75-Y78),Y83)</f>
        <v>0</v>
      </c>
      <c r="Z84" s="66" t="n">
        <f aca="false">MIN(MAX(0,Z75-Z78),Z83)</f>
        <v>0</v>
      </c>
      <c r="AA84" s="66" t="n">
        <f aca="false">MIN(MAX(0,AA75-AA78),AA83)</f>
        <v>0</v>
      </c>
      <c r="AB84" s="66" t="n">
        <f aca="false">MIN(MAX(0,AB75-AB78),AB83)</f>
        <v>0</v>
      </c>
      <c r="AC84" s="66" t="n">
        <f aca="false">MIN(MAX(0,AC75-AC78),AC83)</f>
        <v>0</v>
      </c>
      <c r="AD84" s="66" t="n">
        <f aca="false">MIN(MAX(0,AD75-AD78),AD83)</f>
        <v>0</v>
      </c>
      <c r="AE84" s="66" t="n">
        <f aca="false">MIN(MAX(0,AE75-AE78),AE83)</f>
        <v>0</v>
      </c>
      <c r="AF84" s="66" t="n">
        <f aca="false">MIN(MAX(0,AF75-AF78),AF83)</f>
        <v>0</v>
      </c>
      <c r="AG84" s="66" t="n">
        <f aca="false">MIN(MAX(0,AG75-AG78),AG83)</f>
        <v>0</v>
      </c>
      <c r="AH84" s="66" t="n">
        <f aca="false">MIN(MAX(0,AH75-AH78),AH83)</f>
        <v>0</v>
      </c>
      <c r="AI84" s="66" t="n">
        <f aca="false">MIN(MAX(0,AI75-AI78),AI83)</f>
        <v>0</v>
      </c>
      <c r="AJ84" s="66" t="n">
        <f aca="false">MIN(MAX(0,AJ75-AJ78),AJ83)</f>
        <v>0</v>
      </c>
      <c r="AK84" s="66" t="n">
        <f aca="false">MIN(MAX(0,AK75-AK78),AK83)</f>
        <v>0</v>
      </c>
      <c r="AL84" s="66" t="n">
        <f aca="false">MIN(MAX(0,AL75-AL78),AL83)</f>
        <v>0</v>
      </c>
      <c r="AM84" s="66" t="n">
        <f aca="false">MIN(MAX(0,AM75-AM78),AM83)</f>
        <v>0</v>
      </c>
      <c r="AN84" s="66" t="n">
        <f aca="false">MIN(MAX(0,AN75-AN78),AN83)</f>
        <v>0</v>
      </c>
      <c r="AO84" s="66" t="n">
        <f aca="false">MIN(MAX(0,AO75-AO78),AO83)</f>
        <v>0</v>
      </c>
      <c r="AP84" s="66" t="n">
        <f aca="false">MIN(MAX(0,AP75-AP78),AP83)</f>
        <v>0</v>
      </c>
      <c r="AQ84" s="66" t="n">
        <f aca="false">MIN(MAX(0,AQ75-AQ78),AQ83)</f>
        <v>0</v>
      </c>
      <c r="AR84" s="66" t="n">
        <f aca="false">MIN(MAX(0,AR75-AR78),AR83)</f>
        <v>0</v>
      </c>
      <c r="AS84" s="66" t="n">
        <f aca="false">MIN(MAX(0,AS75-AS78),AS83)</f>
        <v>0</v>
      </c>
      <c r="AT84" s="66" t="n">
        <f aca="false">MIN(MAX(0,AT75-AT78),AT83)</f>
        <v>0</v>
      </c>
      <c r="AU84" s="66" t="n">
        <f aca="false">MIN(MAX(0,AU75-AU78),AU83)</f>
        <v>0</v>
      </c>
      <c r="AV84" s="66" t="n">
        <f aca="false">MIN(MAX(0,AV75-AV78),AV83)</f>
        <v>0</v>
      </c>
      <c r="AW84" s="66" t="n">
        <f aca="false">MIN(MAX(0,AW75-AW78),AW83)</f>
        <v>0</v>
      </c>
      <c r="AX84" s="66" t="n">
        <f aca="false">MIN(MAX(0,AX75-AX78),AX83)</f>
        <v>0</v>
      </c>
      <c r="AY84" s="66" t="n">
        <f aca="false">MIN(MAX(0,AY75-AY78),AY83)</f>
        <v>0</v>
      </c>
      <c r="AZ84" s="66" t="n">
        <f aca="false">MIN(MAX(0,AZ75-AZ78),AZ83)</f>
        <v>0</v>
      </c>
      <c r="BA84" s="66" t="n">
        <f aca="false">MIN(MAX(0,BA75-BA78),BA83)</f>
        <v>0</v>
      </c>
      <c r="BB84" s="66" t="n">
        <f aca="false">MIN(MAX(0,BB75-BB78),BB83)</f>
        <v>0</v>
      </c>
    </row>
    <row r="85" customFormat="false" ht="15" hidden="false" customHeight="true" outlineLevel="0" collapsed="false">
      <c r="B85" s="59" t="s">
        <v>489</v>
      </c>
      <c r="C85" s="59" t="s">
        <v>11</v>
      </c>
      <c r="E85" s="66" t="n">
        <f aca="false">E83-E84</f>
        <v>0</v>
      </c>
      <c r="F85" s="66" t="n">
        <f aca="false">F83-F84</f>
        <v>1038561.27176957</v>
      </c>
      <c r="G85" s="66" t="n">
        <f aca="false">G83-G84</f>
        <v>10882885.0105975</v>
      </c>
      <c r="H85" s="66" t="n">
        <f aca="false">H83-H84</f>
        <v>29088172.1995529</v>
      </c>
      <c r="I85" s="66" t="n">
        <f aca="false">I83-I84</f>
        <v>60093835.1178105</v>
      </c>
      <c r="J85" s="66" t="n">
        <f aca="false">J83-J84</f>
        <v>91640576.4619227</v>
      </c>
      <c r="K85" s="66" t="n">
        <f aca="false">K83-K84</f>
        <v>123728396.231889</v>
      </c>
      <c r="L85" s="66" t="n">
        <f aca="false">L83-L84</f>
        <v>0</v>
      </c>
      <c r="M85" s="66" t="n">
        <f aca="false">M83-M84</f>
        <v>0</v>
      </c>
      <c r="N85" s="66" t="n">
        <f aca="false">N83-N84</f>
        <v>0</v>
      </c>
      <c r="O85" s="66" t="n">
        <f aca="false">O83-O84</f>
        <v>0</v>
      </c>
      <c r="P85" s="66" t="n">
        <f aca="false">P83-P84</f>
        <v>0</v>
      </c>
      <c r="Q85" s="66" t="n">
        <f aca="false">Q83-Q84</f>
        <v>0</v>
      </c>
      <c r="R85" s="66" t="n">
        <f aca="false">R83-R84</f>
        <v>0</v>
      </c>
      <c r="S85" s="66" t="n">
        <f aca="false">S83-S84</f>
        <v>0</v>
      </c>
      <c r="T85" s="66" t="n">
        <f aca="false">T83-T84</f>
        <v>0</v>
      </c>
      <c r="U85" s="66" t="n">
        <f aca="false">U83-U84</f>
        <v>0</v>
      </c>
      <c r="V85" s="66" t="n">
        <f aca="false">V83-V84</f>
        <v>0</v>
      </c>
      <c r="W85" s="66" t="n">
        <f aca="false">W83-W84</f>
        <v>0</v>
      </c>
      <c r="X85" s="66" t="n">
        <f aca="false">X83-X84</f>
        <v>0</v>
      </c>
      <c r="Y85" s="66" t="n">
        <f aca="false">Y83-Y84</f>
        <v>0</v>
      </c>
      <c r="Z85" s="66" t="n">
        <f aca="false">Z83-Z84</f>
        <v>0</v>
      </c>
      <c r="AA85" s="66" t="n">
        <f aca="false">AA83-AA84</f>
        <v>0</v>
      </c>
      <c r="AB85" s="66" t="n">
        <f aca="false">AB83-AB84</f>
        <v>0</v>
      </c>
      <c r="AC85" s="66" t="n">
        <f aca="false">AC83-AC84</f>
        <v>0</v>
      </c>
      <c r="AD85" s="66" t="n">
        <f aca="false">AD83-AD84</f>
        <v>0</v>
      </c>
      <c r="AE85" s="66" t="n">
        <f aca="false">AE83-AE84</f>
        <v>0</v>
      </c>
      <c r="AF85" s="66" t="n">
        <f aca="false">AF83-AF84</f>
        <v>0</v>
      </c>
      <c r="AG85" s="66" t="n">
        <f aca="false">AG83-AG84</f>
        <v>0</v>
      </c>
      <c r="AH85" s="66" t="n">
        <f aca="false">AH83-AH84</f>
        <v>0</v>
      </c>
      <c r="AI85" s="66" t="n">
        <f aca="false">AI83-AI84</f>
        <v>0</v>
      </c>
      <c r="AJ85" s="66" t="n">
        <f aca="false">AJ83-AJ84</f>
        <v>0</v>
      </c>
      <c r="AK85" s="66" t="n">
        <f aca="false">AK83-AK84</f>
        <v>0</v>
      </c>
      <c r="AL85" s="66" t="n">
        <f aca="false">AL83-AL84</f>
        <v>0</v>
      </c>
      <c r="AM85" s="66" t="n">
        <f aca="false">AM83-AM84</f>
        <v>0</v>
      </c>
      <c r="AN85" s="66" t="n">
        <f aca="false">AN83-AN84</f>
        <v>0</v>
      </c>
      <c r="AO85" s="66" t="n">
        <f aca="false">AO83-AO84</f>
        <v>0</v>
      </c>
      <c r="AP85" s="66" t="n">
        <f aca="false">AP83-AP84</f>
        <v>0</v>
      </c>
      <c r="AQ85" s="66" t="n">
        <f aca="false">AQ83-AQ84</f>
        <v>0</v>
      </c>
      <c r="AR85" s="66" t="n">
        <f aca="false">AR83-AR84</f>
        <v>0</v>
      </c>
      <c r="AS85" s="66" t="n">
        <f aca="false">AS83-AS84</f>
        <v>0</v>
      </c>
      <c r="AT85" s="66" t="n">
        <f aca="false">AT83-AT84</f>
        <v>0</v>
      </c>
      <c r="AU85" s="66" t="n">
        <f aca="false">AU83-AU84</f>
        <v>0</v>
      </c>
      <c r="AV85" s="66" t="n">
        <f aca="false">AV83-AV84</f>
        <v>0</v>
      </c>
      <c r="AW85" s="66" t="n">
        <f aca="false">AW83-AW84</f>
        <v>0</v>
      </c>
      <c r="AX85" s="66" t="n">
        <f aca="false">AX83-AX84</f>
        <v>0</v>
      </c>
      <c r="AY85" s="66" t="n">
        <f aca="false">AY83-AY84</f>
        <v>0</v>
      </c>
      <c r="AZ85" s="66" t="n">
        <f aca="false">AZ83-AZ84</f>
        <v>0</v>
      </c>
      <c r="BA85" s="66" t="n">
        <f aca="false">BA83-BA84</f>
        <v>0</v>
      </c>
      <c r="BB85" s="66" t="n">
        <f aca="false">BB83-BB84</f>
        <v>0</v>
      </c>
    </row>
    <row r="87" customFormat="false" ht="15" hidden="false" customHeight="true" outlineLevel="0" collapsed="false">
      <c r="B87" s="59" t="s">
        <v>490</v>
      </c>
      <c r="C87" s="59" t="s">
        <v>11</v>
      </c>
      <c r="E87" s="66" t="n">
        <f aca="false">MAX(0,E75-E78-E84)</f>
        <v>0</v>
      </c>
      <c r="F87" s="66" t="n">
        <f aca="false">MAX(0,F75-F78-F84)</f>
        <v>0</v>
      </c>
      <c r="G87" s="66" t="n">
        <f aca="false">MAX(0,G75-G78-G84)</f>
        <v>0</v>
      </c>
      <c r="H87" s="66" t="n">
        <f aca="false">MAX(0,H75-H78-H84)</f>
        <v>0</v>
      </c>
      <c r="I87" s="66" t="n">
        <f aca="false">MAX(0,I75-I78-I84)</f>
        <v>0</v>
      </c>
      <c r="J87" s="66" t="n">
        <f aca="false">MAX(0,J75-J78-J84)</f>
        <v>0</v>
      </c>
      <c r="K87" s="66" t="n">
        <f aca="false">MAX(0,K75-K78-K84)</f>
        <v>0</v>
      </c>
      <c r="L87" s="66" t="n">
        <f aca="false">MAX(0,L75-L78-L84)</f>
        <v>198212771.609971</v>
      </c>
      <c r="M87" s="66" t="n">
        <f aca="false">MAX(0,M75-M78-M84)</f>
        <v>0</v>
      </c>
      <c r="N87" s="66" t="n">
        <f aca="false">MAX(0,N75-N78-N84)</f>
        <v>0</v>
      </c>
      <c r="O87" s="66" t="n">
        <f aca="false">MAX(0,O75-O78-O84)</f>
        <v>0</v>
      </c>
      <c r="P87" s="66" t="n">
        <f aca="false">MAX(0,P75-P78-P84)</f>
        <v>0</v>
      </c>
      <c r="Q87" s="66" t="n">
        <f aca="false">MAX(0,Q75-Q78-Q84)</f>
        <v>0</v>
      </c>
      <c r="R87" s="66" t="n">
        <f aca="false">MAX(0,R75-R78-R84)</f>
        <v>0</v>
      </c>
      <c r="S87" s="66" t="n">
        <f aca="false">MAX(0,S75-S78-S84)</f>
        <v>0</v>
      </c>
      <c r="T87" s="66" t="n">
        <f aca="false">MAX(0,T75-T78-T84)</f>
        <v>0</v>
      </c>
      <c r="U87" s="66" t="n">
        <f aca="false">MAX(0,U75-U78-U84)</f>
        <v>0</v>
      </c>
      <c r="V87" s="66" t="n">
        <f aca="false">MAX(0,V75-V78-V84)</f>
        <v>0</v>
      </c>
      <c r="W87" s="66" t="n">
        <f aca="false">MAX(0,W75-W78-W84)</f>
        <v>0</v>
      </c>
      <c r="X87" s="66" t="n">
        <f aca="false">MAX(0,X75-X78-X84)</f>
        <v>0</v>
      </c>
      <c r="Y87" s="66" t="n">
        <f aca="false">MAX(0,Y75-Y78-Y84)</f>
        <v>0</v>
      </c>
      <c r="Z87" s="66" t="n">
        <f aca="false">MAX(0,Z75-Z78-Z84)</f>
        <v>0</v>
      </c>
      <c r="AA87" s="66" t="n">
        <f aca="false">MAX(0,AA75-AA78-AA84)</f>
        <v>0</v>
      </c>
      <c r="AB87" s="66" t="n">
        <f aca="false">MAX(0,AB75-AB78-AB84)</f>
        <v>0</v>
      </c>
      <c r="AC87" s="66" t="n">
        <f aca="false">MAX(0,AC75-AC78-AC84)</f>
        <v>0</v>
      </c>
      <c r="AD87" s="66" t="n">
        <f aca="false">MAX(0,AD75-AD78-AD84)</f>
        <v>0</v>
      </c>
      <c r="AE87" s="66" t="n">
        <f aca="false">MAX(0,AE75-AE78-AE84)</f>
        <v>0</v>
      </c>
      <c r="AF87" s="66" t="n">
        <f aca="false">MAX(0,AF75-AF78-AF84)</f>
        <v>0</v>
      </c>
      <c r="AG87" s="66" t="n">
        <f aca="false">MAX(0,AG75-AG78-AG84)</f>
        <v>0</v>
      </c>
      <c r="AH87" s="66" t="n">
        <f aca="false">MAX(0,AH75-AH78-AH84)</f>
        <v>0</v>
      </c>
      <c r="AI87" s="66" t="n">
        <f aca="false">MAX(0,AI75-AI78-AI84)</f>
        <v>0</v>
      </c>
      <c r="AJ87" s="66" t="n">
        <f aca="false">MAX(0,AJ75-AJ78-AJ84)</f>
        <v>0</v>
      </c>
      <c r="AK87" s="66" t="n">
        <f aca="false">MAX(0,AK75-AK78-AK84)</f>
        <v>0</v>
      </c>
      <c r="AL87" s="66" t="n">
        <f aca="false">MAX(0,AL75-AL78-AL84)</f>
        <v>0</v>
      </c>
      <c r="AM87" s="66" t="n">
        <f aca="false">MAX(0,AM75-AM78-AM84)</f>
        <v>0</v>
      </c>
      <c r="AN87" s="66" t="n">
        <f aca="false">MAX(0,AN75-AN78-AN84)</f>
        <v>0</v>
      </c>
      <c r="AO87" s="66" t="n">
        <f aca="false">MAX(0,AO75-AO78-AO84)</f>
        <v>0</v>
      </c>
      <c r="AP87" s="66" t="n">
        <f aca="false">MAX(0,AP75-AP78-AP84)</f>
        <v>0</v>
      </c>
      <c r="AQ87" s="66" t="n">
        <f aca="false">MAX(0,AQ75-AQ78-AQ84)</f>
        <v>0</v>
      </c>
      <c r="AR87" s="66" t="n">
        <f aca="false">MAX(0,AR75-AR78-AR84)</f>
        <v>0</v>
      </c>
      <c r="AS87" s="66" t="n">
        <f aca="false">MAX(0,AS75-AS78-AS84)</f>
        <v>0</v>
      </c>
      <c r="AT87" s="66" t="n">
        <f aca="false">MAX(0,AT75-AT78-AT84)</f>
        <v>0</v>
      </c>
      <c r="AU87" s="66" t="n">
        <f aca="false">MAX(0,AU75-AU78-AU84)</f>
        <v>0</v>
      </c>
      <c r="AV87" s="66" t="n">
        <f aca="false">MAX(0,AV75-AV78-AV84)</f>
        <v>0</v>
      </c>
      <c r="AW87" s="66" t="n">
        <f aca="false">MAX(0,AW75-AW78-AW84)</f>
        <v>0</v>
      </c>
      <c r="AX87" s="66" t="n">
        <f aca="false">MAX(0,AX75-AX78-AX84)</f>
        <v>0</v>
      </c>
      <c r="AY87" s="66" t="n">
        <f aca="false">MAX(0,AY75-AY78-AY84)</f>
        <v>0</v>
      </c>
      <c r="AZ87" s="66" t="n">
        <f aca="false">MAX(0,AZ75-AZ78-AZ84)</f>
        <v>0</v>
      </c>
      <c r="BA87" s="66" t="n">
        <f aca="false">MAX(0,BA75-BA78-BA84)</f>
        <v>0</v>
      </c>
      <c r="BB87" s="66" t="n">
        <f aca="false">MAX(0,BB75-BB78-BB84)</f>
        <v>0</v>
      </c>
    </row>
    <row r="88" customFormat="false" ht="15" hidden="false" customHeight="true" outlineLevel="0" collapsed="false">
      <c r="B88" s="59" t="s">
        <v>491</v>
      </c>
      <c r="C88" s="59" t="s">
        <v>11</v>
      </c>
      <c r="D88" s="63" t="n">
        <f aca="false">SUM(E88:BB88)</f>
        <v>66778378.2865097</v>
      </c>
      <c r="E88" s="66" t="n">
        <f aca="false">IF($C$37="Y",MIN(E87,E84*$C$38/(1-$C$38)),0)</f>
        <v>0</v>
      </c>
      <c r="F88" s="66" t="n">
        <f aca="false">IF($C$37="Y",MIN(F87,F84*$C$38/(1-$C$38)),0)</f>
        <v>0</v>
      </c>
      <c r="G88" s="66" t="n">
        <f aca="false">IF($C$37="Y",MIN(G87,G84*$C$38/(1-$C$38)),0)</f>
        <v>0</v>
      </c>
      <c r="H88" s="66" t="n">
        <f aca="false">IF($C$37="Y",MIN(H87,H84*$C$38/(1-$C$38)),0)</f>
        <v>0</v>
      </c>
      <c r="I88" s="66" t="n">
        <f aca="false">IF($C$37="Y",MIN(I87,I84*$C$38/(1-$C$38)),0)</f>
        <v>0</v>
      </c>
      <c r="J88" s="66" t="n">
        <f aca="false">IF($C$37="Y",MIN(J87,J84*$C$38/(1-$C$38)),0)</f>
        <v>0</v>
      </c>
      <c r="K88" s="66" t="n">
        <f aca="false">IF($C$37="Y",MIN(K87,K84*$C$38/(1-$C$38)),0)</f>
        <v>0</v>
      </c>
      <c r="L88" s="66" t="n">
        <f aca="false">IF($C$37="Y",MIN(L87,L84*$C$38/(1-$C$38)),0)</f>
        <v>66778378.2865097</v>
      </c>
      <c r="M88" s="66" t="n">
        <f aca="false">IF($C$37="Y",MIN(M87,M84*$C$38/(1-$C$38)),0)</f>
        <v>0</v>
      </c>
      <c r="N88" s="66" t="n">
        <f aca="false">IF($C$37="Y",MIN(N87,N84*$C$38/(1-$C$38)),0)</f>
        <v>0</v>
      </c>
      <c r="O88" s="66" t="n">
        <f aca="false">IF($C$37="Y",MIN(O87,O84*$C$38/(1-$C$38)),0)</f>
        <v>0</v>
      </c>
      <c r="P88" s="66" t="n">
        <f aca="false">IF($C$37="Y",MIN(P87,P84*$C$38/(1-$C$38)),0)</f>
        <v>0</v>
      </c>
      <c r="Q88" s="66" t="n">
        <f aca="false">IF($C$37="Y",MIN(Q87,Q84*$C$38/(1-$C$38)),0)</f>
        <v>0</v>
      </c>
      <c r="R88" s="66" t="n">
        <f aca="false">IF($C$37="Y",MIN(R87,R84*$C$38/(1-$C$38)),0)</f>
        <v>0</v>
      </c>
      <c r="S88" s="66" t="n">
        <f aca="false">IF($C$37="Y",MIN(S87,S84*$C$38/(1-$C$38)),0)</f>
        <v>0</v>
      </c>
      <c r="T88" s="66" t="n">
        <f aca="false">IF($C$37="Y",MIN(T87,T84*$C$38/(1-$C$38)),0)</f>
        <v>0</v>
      </c>
      <c r="U88" s="66" t="n">
        <f aca="false">IF($C$37="Y",MIN(U87,U84*$C$38/(1-$C$38)),0)</f>
        <v>0</v>
      </c>
      <c r="V88" s="66" t="n">
        <f aca="false">IF($C$37="Y",MIN(V87,V84*$C$38/(1-$C$38)),0)</f>
        <v>0</v>
      </c>
      <c r="W88" s="66" t="n">
        <f aca="false">IF($C$37="Y",MIN(W87,W84*$C$38/(1-$C$38)),0)</f>
        <v>0</v>
      </c>
      <c r="X88" s="66" t="n">
        <f aca="false">IF($C$37="Y",MIN(X87,X84*$C$38/(1-$C$38)),0)</f>
        <v>0</v>
      </c>
      <c r="Y88" s="66" t="n">
        <f aca="false">IF($C$37="Y",MIN(Y87,Y84*$C$38/(1-$C$38)),0)</f>
        <v>0</v>
      </c>
      <c r="Z88" s="66" t="n">
        <f aca="false">IF($C$37="Y",MIN(Z87,Z84*$C$38/(1-$C$38)),0)</f>
        <v>0</v>
      </c>
      <c r="AA88" s="66" t="n">
        <f aca="false">IF($C$37="Y",MIN(AA87,AA84*$C$38/(1-$C$38)),0)</f>
        <v>0</v>
      </c>
      <c r="AB88" s="66" t="n">
        <f aca="false">IF($C$37="Y",MIN(AB87,AB84*$C$38/(1-$C$38)),0)</f>
        <v>0</v>
      </c>
      <c r="AC88" s="66" t="n">
        <f aca="false">IF($C$37="Y",MIN(AC87,AC84*$C$38/(1-$C$38)),0)</f>
        <v>0</v>
      </c>
      <c r="AD88" s="66" t="n">
        <f aca="false">IF($C$37="Y",MIN(AD87,AD84*$C$38/(1-$C$38)),0)</f>
        <v>0</v>
      </c>
      <c r="AE88" s="66" t="n">
        <f aca="false">IF($C$37="Y",MIN(AE87,AE84*$C$38/(1-$C$38)),0)</f>
        <v>0</v>
      </c>
      <c r="AF88" s="66" t="n">
        <f aca="false">IF($C$37="Y",MIN(AF87,AF84*$C$38/(1-$C$38)),0)</f>
        <v>0</v>
      </c>
      <c r="AG88" s="66" t="n">
        <f aca="false">IF($C$37="Y",MIN(AG87,AG84*$C$38/(1-$C$38)),0)</f>
        <v>0</v>
      </c>
      <c r="AH88" s="66" t="n">
        <f aca="false">IF($C$37="Y",MIN(AH87,AH84*$C$38/(1-$C$38)),0)</f>
        <v>0</v>
      </c>
      <c r="AI88" s="66" t="n">
        <f aca="false">IF($C$37="Y",MIN(AI87,AI84*$C$38/(1-$C$38)),0)</f>
        <v>0</v>
      </c>
      <c r="AJ88" s="66" t="n">
        <f aca="false">IF($C$37="Y",MIN(AJ87,AJ84*$C$38/(1-$C$38)),0)</f>
        <v>0</v>
      </c>
      <c r="AK88" s="66" t="n">
        <f aca="false">IF($C$37="Y",MIN(AK87,AK84*$C$38/(1-$C$38)),0)</f>
        <v>0</v>
      </c>
      <c r="AL88" s="66" t="n">
        <f aca="false">IF($C$37="Y",MIN(AL87,AL84*$C$38/(1-$C$38)),0)</f>
        <v>0</v>
      </c>
      <c r="AM88" s="66" t="n">
        <f aca="false">IF($C$37="Y",MIN(AM87,AM84*$C$38/(1-$C$38)),0)</f>
        <v>0</v>
      </c>
      <c r="AN88" s="66" t="n">
        <f aca="false">IF($C$37="Y",MIN(AN87,AN84*$C$38/(1-$C$38)),0)</f>
        <v>0</v>
      </c>
      <c r="AO88" s="66" t="n">
        <f aca="false">IF($C$37="Y",MIN(AO87,AO84*$C$38/(1-$C$38)),0)</f>
        <v>0</v>
      </c>
      <c r="AP88" s="66" t="n">
        <f aca="false">IF($C$37="Y",MIN(AP87,AP84*$C$38/(1-$C$38)),0)</f>
        <v>0</v>
      </c>
      <c r="AQ88" s="66" t="n">
        <f aca="false">IF($C$37="Y",MIN(AQ87,AQ84*$C$38/(1-$C$38)),0)</f>
        <v>0</v>
      </c>
      <c r="AR88" s="66" t="n">
        <f aca="false">IF($C$37="Y",MIN(AR87,AR84*$C$38/(1-$C$38)),0)</f>
        <v>0</v>
      </c>
      <c r="AS88" s="66" t="n">
        <f aca="false">IF($C$37="Y",MIN(AS87,AS84*$C$38/(1-$C$38)),0)</f>
        <v>0</v>
      </c>
      <c r="AT88" s="66" t="n">
        <f aca="false">IF($C$37="Y",MIN(AT87,AT84*$C$38/(1-$C$38)),0)</f>
        <v>0</v>
      </c>
      <c r="AU88" s="66" t="n">
        <f aca="false">IF($C$37="Y",MIN(AU87,AU84*$C$38/(1-$C$38)),0)</f>
        <v>0</v>
      </c>
      <c r="AV88" s="66" t="n">
        <f aca="false">IF($C$37="Y",MIN(AV87,AV84*$C$38/(1-$C$38)),0)</f>
        <v>0</v>
      </c>
      <c r="AW88" s="66" t="n">
        <f aca="false">IF($C$37="Y",MIN(AW87,AW84*$C$38/(1-$C$38)),0)</f>
        <v>0</v>
      </c>
      <c r="AX88" s="66" t="n">
        <f aca="false">IF($C$37="Y",MIN(AX87,AX84*$C$38/(1-$C$38)),0)</f>
        <v>0</v>
      </c>
      <c r="AY88" s="66" t="n">
        <f aca="false">IF($C$37="Y",MIN(AY87,AY84*$C$38/(1-$C$38)),0)</f>
        <v>0</v>
      </c>
      <c r="AZ88" s="66" t="n">
        <f aca="false">IF($C$37="Y",MIN(AZ87,AZ84*$C$38/(1-$C$38)),0)</f>
        <v>0</v>
      </c>
      <c r="BA88" s="66" t="n">
        <f aca="false">IF($C$37="Y",MIN(BA87,BA84*$C$38/(1-$C$38)),0)</f>
        <v>0</v>
      </c>
      <c r="BB88" s="66" t="n">
        <f aca="false">IF($C$37="Y",MIN(BB87,BB84*$C$38/(1-$C$38)),0)</f>
        <v>0</v>
      </c>
    </row>
    <row r="89" customFormat="false" ht="15" hidden="false" customHeight="true" outlineLevel="0" collapsed="false">
      <c r="B89" s="59" t="s">
        <v>492</v>
      </c>
      <c r="C89" s="59" t="s">
        <v>11</v>
      </c>
      <c r="D89" s="63" t="n">
        <f aca="false">SUM(E89:BB89)</f>
        <v>131434393.323461</v>
      </c>
      <c r="E89" s="66" t="n">
        <f aca="false">MAX(0,E87-E88)</f>
        <v>0</v>
      </c>
      <c r="F89" s="66" t="n">
        <f aca="false">MAX(0,F87-F88)</f>
        <v>0</v>
      </c>
      <c r="G89" s="66" t="n">
        <f aca="false">MAX(0,G87-G88)</f>
        <v>0</v>
      </c>
      <c r="H89" s="66" t="n">
        <f aca="false">MAX(0,H87-H88)</f>
        <v>0</v>
      </c>
      <c r="I89" s="66" t="n">
        <f aca="false">MAX(0,I87-I88)</f>
        <v>0</v>
      </c>
      <c r="J89" s="66" t="n">
        <f aca="false">MAX(0,J87-J88)</f>
        <v>0</v>
      </c>
      <c r="K89" s="66" t="n">
        <f aca="false">MAX(0,K87-K88)</f>
        <v>0</v>
      </c>
      <c r="L89" s="66" t="n">
        <f aca="false">MAX(0,L87-L88)</f>
        <v>131434393.323461</v>
      </c>
      <c r="M89" s="66" t="n">
        <f aca="false">MAX(0,M87-M88)</f>
        <v>0</v>
      </c>
      <c r="N89" s="66" t="n">
        <f aca="false">MAX(0,N87-N88)</f>
        <v>0</v>
      </c>
      <c r="O89" s="66" t="n">
        <f aca="false">MAX(0,O87-O88)</f>
        <v>0</v>
      </c>
      <c r="P89" s="66" t="n">
        <f aca="false">MAX(0,P87-P88)</f>
        <v>0</v>
      </c>
      <c r="Q89" s="66" t="n">
        <f aca="false">MAX(0,Q87-Q88)</f>
        <v>0</v>
      </c>
      <c r="R89" s="66" t="n">
        <f aca="false">MAX(0,R87-R88)</f>
        <v>0</v>
      </c>
      <c r="S89" s="66" t="n">
        <f aca="false">MAX(0,S87-S88)</f>
        <v>0</v>
      </c>
      <c r="T89" s="66" t="n">
        <f aca="false">MAX(0,T87-T88)</f>
        <v>0</v>
      </c>
      <c r="U89" s="66" t="n">
        <f aca="false">MAX(0,U87-U88)</f>
        <v>0</v>
      </c>
      <c r="V89" s="66" t="n">
        <f aca="false">MAX(0,V87-V88)</f>
        <v>0</v>
      </c>
      <c r="W89" s="66" t="n">
        <f aca="false">MAX(0,W87-W88)</f>
        <v>0</v>
      </c>
      <c r="X89" s="66" t="n">
        <f aca="false">MAX(0,X87-X88)</f>
        <v>0</v>
      </c>
      <c r="Y89" s="66" t="n">
        <f aca="false">MAX(0,Y87-Y88)</f>
        <v>0</v>
      </c>
      <c r="Z89" s="66" t="n">
        <f aca="false">MAX(0,Z87-Z88)</f>
        <v>0</v>
      </c>
      <c r="AA89" s="66" t="n">
        <f aca="false">MAX(0,AA87-AA88)</f>
        <v>0</v>
      </c>
      <c r="AB89" s="66" t="n">
        <f aca="false">MAX(0,AB87-AB88)</f>
        <v>0</v>
      </c>
      <c r="AC89" s="66" t="n">
        <f aca="false">MAX(0,AC87-AC88)</f>
        <v>0</v>
      </c>
      <c r="AD89" s="66" t="n">
        <f aca="false">MAX(0,AD87-AD88)</f>
        <v>0</v>
      </c>
      <c r="AE89" s="66" t="n">
        <f aca="false">MAX(0,AE87-AE88)</f>
        <v>0</v>
      </c>
      <c r="AF89" s="66" t="n">
        <f aca="false">MAX(0,AF87-AF88)</f>
        <v>0</v>
      </c>
      <c r="AG89" s="66" t="n">
        <f aca="false">MAX(0,AG87-AG88)</f>
        <v>0</v>
      </c>
      <c r="AH89" s="66" t="n">
        <f aca="false">MAX(0,AH87-AH88)</f>
        <v>0</v>
      </c>
      <c r="AI89" s="66" t="n">
        <f aca="false">MAX(0,AI87-AI88)</f>
        <v>0</v>
      </c>
      <c r="AJ89" s="66" t="n">
        <f aca="false">MAX(0,AJ87-AJ88)</f>
        <v>0</v>
      </c>
      <c r="AK89" s="66" t="n">
        <f aca="false">MAX(0,AK87-AK88)</f>
        <v>0</v>
      </c>
      <c r="AL89" s="66" t="n">
        <f aca="false">MAX(0,AL87-AL88)</f>
        <v>0</v>
      </c>
      <c r="AM89" s="66" t="n">
        <f aca="false">MAX(0,AM87-AM88)</f>
        <v>0</v>
      </c>
      <c r="AN89" s="66" t="n">
        <f aca="false">MAX(0,AN87-AN88)</f>
        <v>0</v>
      </c>
      <c r="AO89" s="66" t="n">
        <f aca="false">MAX(0,AO87-AO88)</f>
        <v>0</v>
      </c>
      <c r="AP89" s="66" t="n">
        <f aca="false">MAX(0,AP87-AP88)</f>
        <v>0</v>
      </c>
      <c r="AQ89" s="66" t="n">
        <f aca="false">MAX(0,AQ87-AQ88)</f>
        <v>0</v>
      </c>
      <c r="AR89" s="66" t="n">
        <f aca="false">MAX(0,AR87-AR88)</f>
        <v>0</v>
      </c>
      <c r="AS89" s="66" t="n">
        <f aca="false">MAX(0,AS87-AS88)</f>
        <v>0</v>
      </c>
      <c r="AT89" s="66" t="n">
        <f aca="false">MAX(0,AT87-AT88)</f>
        <v>0</v>
      </c>
      <c r="AU89" s="66" t="n">
        <f aca="false">MAX(0,AU87-AU88)</f>
        <v>0</v>
      </c>
      <c r="AV89" s="66" t="n">
        <f aca="false">MAX(0,AV87-AV88)</f>
        <v>0</v>
      </c>
      <c r="AW89" s="66" t="n">
        <f aca="false">MAX(0,AW87-AW88)</f>
        <v>0</v>
      </c>
      <c r="AX89" s="66" t="n">
        <f aca="false">MAX(0,AX87-AX88)</f>
        <v>0</v>
      </c>
      <c r="AY89" s="66" t="n">
        <f aca="false">MAX(0,AY87-AY88)</f>
        <v>0</v>
      </c>
      <c r="AZ89" s="66" t="n">
        <f aca="false">MAX(0,AZ87-AZ88)</f>
        <v>0</v>
      </c>
      <c r="BA89" s="66" t="n">
        <f aca="false">MAX(0,BA87-BA88)</f>
        <v>0</v>
      </c>
      <c r="BB89" s="66" t="n">
        <f aca="false">MAX(0,BB87-BB88)</f>
        <v>0</v>
      </c>
    </row>
    <row r="90" customFormat="false" ht="15" hidden="false" customHeight="true" outlineLevel="0" collapsed="false">
      <c r="B90" s="59" t="s">
        <v>493</v>
      </c>
      <c r="C90" s="59" t="s">
        <v>11</v>
      </c>
      <c r="D90" s="66" t="n">
        <f aca="false">SUM(E90:BB90)</f>
        <v>92004075.3264226</v>
      </c>
      <c r="E90" s="66" t="n">
        <f aca="false">E89*(1-$C$38)</f>
        <v>0</v>
      </c>
      <c r="F90" s="66" t="n">
        <f aca="false">F89*(1-$C$38)</f>
        <v>0</v>
      </c>
      <c r="G90" s="66" t="n">
        <f aca="false">G89*(1-$C$38)</f>
        <v>0</v>
      </c>
      <c r="H90" s="66" t="n">
        <f aca="false">H89*(1-$C$38)</f>
        <v>0</v>
      </c>
      <c r="I90" s="66" t="n">
        <f aca="false">I89*(1-$C$38)</f>
        <v>0</v>
      </c>
      <c r="J90" s="66" t="n">
        <f aca="false">J89*(1-$C$38)</f>
        <v>0</v>
      </c>
      <c r="K90" s="66" t="n">
        <f aca="false">K89*(1-$C$38)</f>
        <v>0</v>
      </c>
      <c r="L90" s="66" t="n">
        <f aca="false">L89*(1-$C$38)</f>
        <v>92004075.3264226</v>
      </c>
      <c r="M90" s="66" t="n">
        <f aca="false">M89*(1-$C$38)</f>
        <v>0</v>
      </c>
      <c r="N90" s="66" t="n">
        <f aca="false">N89*(1-$C$38)</f>
        <v>0</v>
      </c>
      <c r="O90" s="66" t="n">
        <f aca="false">O89*(1-$C$38)</f>
        <v>0</v>
      </c>
      <c r="P90" s="66" t="n">
        <f aca="false">P89*(1-$C$38)</f>
        <v>0</v>
      </c>
      <c r="Q90" s="66" t="n">
        <f aca="false">Q89*(1-$C$38)</f>
        <v>0</v>
      </c>
      <c r="R90" s="66" t="n">
        <f aca="false">R89*(1-$C$38)</f>
        <v>0</v>
      </c>
      <c r="S90" s="66" t="n">
        <f aca="false">S89*(1-$C$38)</f>
        <v>0</v>
      </c>
      <c r="T90" s="66" t="n">
        <f aca="false">T89*(1-$C$38)</f>
        <v>0</v>
      </c>
      <c r="U90" s="66" t="n">
        <f aca="false">U89*(1-$C$38)</f>
        <v>0</v>
      </c>
      <c r="V90" s="66" t="n">
        <f aca="false">V89*(1-$C$38)</f>
        <v>0</v>
      </c>
      <c r="W90" s="66" t="n">
        <f aca="false">W89*(1-$C$38)</f>
        <v>0</v>
      </c>
      <c r="X90" s="66" t="n">
        <f aca="false">X89*(1-$C$38)</f>
        <v>0</v>
      </c>
      <c r="Y90" s="66" t="n">
        <f aca="false">Y89*(1-$C$38)</f>
        <v>0</v>
      </c>
      <c r="Z90" s="66" t="n">
        <f aca="false">Z89*(1-$C$38)</f>
        <v>0</v>
      </c>
      <c r="AA90" s="66" t="n">
        <f aca="false">AA89*(1-$C$38)</f>
        <v>0</v>
      </c>
      <c r="AB90" s="66" t="n">
        <f aca="false">AB89*(1-$C$38)</f>
        <v>0</v>
      </c>
      <c r="AC90" s="66" t="n">
        <f aca="false">AC89*(1-$C$38)</f>
        <v>0</v>
      </c>
      <c r="AD90" s="66" t="n">
        <f aca="false">AD89*(1-$C$38)</f>
        <v>0</v>
      </c>
      <c r="AE90" s="66" t="n">
        <f aca="false">AE89*(1-$C$38)</f>
        <v>0</v>
      </c>
      <c r="AF90" s="66" t="n">
        <f aca="false">AF89*(1-$C$38)</f>
        <v>0</v>
      </c>
      <c r="AG90" s="66" t="n">
        <f aca="false">AG89*(1-$C$38)</f>
        <v>0</v>
      </c>
      <c r="AH90" s="66" t="n">
        <f aca="false">AH89*(1-$C$38)</f>
        <v>0</v>
      </c>
      <c r="AI90" s="66" t="n">
        <f aca="false">AI89*(1-$C$38)</f>
        <v>0</v>
      </c>
      <c r="AJ90" s="66" t="n">
        <f aca="false">AJ89*(1-$C$38)</f>
        <v>0</v>
      </c>
      <c r="AK90" s="66" t="n">
        <f aca="false">AK89*(1-$C$38)</f>
        <v>0</v>
      </c>
      <c r="AL90" s="66" t="n">
        <f aca="false">AL89*(1-$C$38)</f>
        <v>0</v>
      </c>
      <c r="AM90" s="66" t="n">
        <f aca="false">AM89*(1-$C$38)</f>
        <v>0</v>
      </c>
      <c r="AN90" s="66" t="n">
        <f aca="false">AN89*(1-$C$38)</f>
        <v>0</v>
      </c>
      <c r="AO90" s="66" t="n">
        <f aca="false">AO89*(1-$C$38)</f>
        <v>0</v>
      </c>
      <c r="AP90" s="66" t="n">
        <f aca="false">AP89*(1-$C$38)</f>
        <v>0</v>
      </c>
      <c r="AQ90" s="66" t="n">
        <f aca="false">AQ89*(1-$C$38)</f>
        <v>0</v>
      </c>
      <c r="AR90" s="66" t="n">
        <f aca="false">AR89*(1-$C$38)</f>
        <v>0</v>
      </c>
      <c r="AS90" s="66" t="n">
        <f aca="false">AS89*(1-$C$38)</f>
        <v>0</v>
      </c>
      <c r="AT90" s="66" t="n">
        <f aca="false">AT89*(1-$C$38)</f>
        <v>0</v>
      </c>
      <c r="AU90" s="66" t="n">
        <f aca="false">AU89*(1-$C$38)</f>
        <v>0</v>
      </c>
      <c r="AV90" s="66" t="n">
        <f aca="false">AV89*(1-$C$38)</f>
        <v>0</v>
      </c>
      <c r="AW90" s="66" t="n">
        <f aca="false">AW89*(1-$C$38)</f>
        <v>0</v>
      </c>
      <c r="AX90" s="66" t="n">
        <f aca="false">AX89*(1-$C$38)</f>
        <v>0</v>
      </c>
      <c r="AY90" s="66" t="n">
        <f aca="false">AY89*(1-$C$38)</f>
        <v>0</v>
      </c>
      <c r="AZ90" s="66" t="n">
        <f aca="false">AZ89*(1-$C$38)</f>
        <v>0</v>
      </c>
      <c r="BA90" s="66" t="n">
        <f aca="false">BA89*(1-$C$38)</f>
        <v>0</v>
      </c>
      <c r="BB90" s="66" t="n">
        <f aca="false">BB89*(1-$C$38)</f>
        <v>0</v>
      </c>
    </row>
    <row r="91" customFormat="false" ht="15" hidden="false" customHeight="true" outlineLevel="0" collapsed="false">
      <c r="B91" s="59" t="s">
        <v>494</v>
      </c>
      <c r="C91" s="59" t="s">
        <v>11</v>
      </c>
      <c r="D91" s="66" t="n">
        <f aca="false">SUM(E91:BB91)</f>
        <v>39430317.9970383</v>
      </c>
      <c r="E91" s="66" t="n">
        <f aca="false">E89*$C$38</f>
        <v>0</v>
      </c>
      <c r="F91" s="66" t="n">
        <f aca="false">F89*$C$38</f>
        <v>0</v>
      </c>
      <c r="G91" s="66" t="n">
        <f aca="false">G89*$C$38</f>
        <v>0</v>
      </c>
      <c r="H91" s="66" t="n">
        <f aca="false">H89*$C$38</f>
        <v>0</v>
      </c>
      <c r="I91" s="66" t="n">
        <f aca="false">I89*$C$38</f>
        <v>0</v>
      </c>
      <c r="J91" s="66" t="n">
        <f aca="false">J89*$C$38</f>
        <v>0</v>
      </c>
      <c r="K91" s="66" t="n">
        <f aca="false">K89*$C$38</f>
        <v>0</v>
      </c>
      <c r="L91" s="66" t="n">
        <f aca="false">L89*$C$38</f>
        <v>39430317.9970383</v>
      </c>
      <c r="M91" s="66" t="n">
        <f aca="false">M89*$C$38</f>
        <v>0</v>
      </c>
      <c r="N91" s="66" t="n">
        <f aca="false">N89*$C$38</f>
        <v>0</v>
      </c>
      <c r="O91" s="66" t="n">
        <f aca="false">O89*$C$38</f>
        <v>0</v>
      </c>
      <c r="P91" s="66" t="n">
        <f aca="false">P89*$C$38</f>
        <v>0</v>
      </c>
      <c r="Q91" s="66" t="n">
        <f aca="false">Q89*$C$38</f>
        <v>0</v>
      </c>
      <c r="R91" s="66" t="n">
        <f aca="false">R89*$C$38</f>
        <v>0</v>
      </c>
      <c r="S91" s="66" t="n">
        <f aca="false">S89*$C$38</f>
        <v>0</v>
      </c>
      <c r="T91" s="66" t="n">
        <f aca="false">T89*$C$38</f>
        <v>0</v>
      </c>
      <c r="U91" s="66" t="n">
        <f aca="false">U89*$C$38</f>
        <v>0</v>
      </c>
      <c r="V91" s="66" t="n">
        <f aca="false">V89*$C$38</f>
        <v>0</v>
      </c>
      <c r="W91" s="66" t="n">
        <f aca="false">W89*$C$38</f>
        <v>0</v>
      </c>
      <c r="X91" s="66" t="n">
        <f aca="false">X89*$C$38</f>
        <v>0</v>
      </c>
      <c r="Y91" s="66" t="n">
        <f aca="false">Y89*$C$38</f>
        <v>0</v>
      </c>
      <c r="Z91" s="66" t="n">
        <f aca="false">Z89*$C$38</f>
        <v>0</v>
      </c>
      <c r="AA91" s="66" t="n">
        <f aca="false">AA89*$C$38</f>
        <v>0</v>
      </c>
      <c r="AB91" s="66" t="n">
        <f aca="false">AB89*$C$38</f>
        <v>0</v>
      </c>
      <c r="AC91" s="66" t="n">
        <f aca="false">AC89*$C$38</f>
        <v>0</v>
      </c>
      <c r="AD91" s="66" t="n">
        <f aca="false">AD89*$C$38</f>
        <v>0</v>
      </c>
      <c r="AE91" s="66" t="n">
        <f aca="false">AE89*$C$38</f>
        <v>0</v>
      </c>
      <c r="AF91" s="66" t="n">
        <f aca="false">AF89*$C$38</f>
        <v>0</v>
      </c>
      <c r="AG91" s="66" t="n">
        <f aca="false">AG89*$C$38</f>
        <v>0</v>
      </c>
      <c r="AH91" s="66" t="n">
        <f aca="false">AH89*$C$38</f>
        <v>0</v>
      </c>
      <c r="AI91" s="66" t="n">
        <f aca="false">AI89*$C$38</f>
        <v>0</v>
      </c>
      <c r="AJ91" s="66" t="n">
        <f aca="false">AJ89*$C$38</f>
        <v>0</v>
      </c>
      <c r="AK91" s="66" t="n">
        <f aca="false">AK89*$C$38</f>
        <v>0</v>
      </c>
      <c r="AL91" s="66" t="n">
        <f aca="false">AL89*$C$38</f>
        <v>0</v>
      </c>
      <c r="AM91" s="66" t="n">
        <f aca="false">AM89*$C$38</f>
        <v>0</v>
      </c>
      <c r="AN91" s="66" t="n">
        <f aca="false">AN89*$C$38</f>
        <v>0</v>
      </c>
      <c r="AO91" s="66" t="n">
        <f aca="false">AO89*$C$38</f>
        <v>0</v>
      </c>
      <c r="AP91" s="66" t="n">
        <f aca="false">AP89*$C$38</f>
        <v>0</v>
      </c>
      <c r="AQ91" s="66" t="n">
        <f aca="false">AQ89*$C$38</f>
        <v>0</v>
      </c>
      <c r="AR91" s="66" t="n">
        <f aca="false">AR89*$C$38</f>
        <v>0</v>
      </c>
      <c r="AS91" s="66" t="n">
        <f aca="false">AS89*$C$38</f>
        <v>0</v>
      </c>
      <c r="AT91" s="66" t="n">
        <f aca="false">AT89*$C$38</f>
        <v>0</v>
      </c>
      <c r="AU91" s="66" t="n">
        <f aca="false">AU89*$C$38</f>
        <v>0</v>
      </c>
      <c r="AV91" s="66" t="n">
        <f aca="false">AV89*$C$38</f>
        <v>0</v>
      </c>
      <c r="AW91" s="66" t="n">
        <f aca="false">AW89*$C$38</f>
        <v>0</v>
      </c>
      <c r="AX91" s="66" t="n">
        <f aca="false">AX89*$C$38</f>
        <v>0</v>
      </c>
      <c r="AY91" s="66" t="n">
        <f aca="false">AY89*$C$38</f>
        <v>0</v>
      </c>
      <c r="AZ91" s="66" t="n">
        <f aca="false">AZ89*$C$38</f>
        <v>0</v>
      </c>
      <c r="BA91" s="66" t="n">
        <f aca="false">BA89*$C$38</f>
        <v>0</v>
      </c>
      <c r="BB91" s="66" t="n">
        <f aca="false">BB89*$C$38</f>
        <v>0</v>
      </c>
    </row>
    <row r="93" customFormat="false" ht="15" hidden="false" customHeight="true" outlineLevel="0" collapsed="false">
      <c r="B93" s="20" t="s">
        <v>495</v>
      </c>
      <c r="C93" s="59" t="s">
        <v>11</v>
      </c>
      <c r="D93" s="63" t="n">
        <f aca="false">SUM(E93:BB93)</f>
        <v>204299944.356431</v>
      </c>
      <c r="E93" s="66" t="n">
        <f aca="false">E78*$C$16+E84*$C$16+E90</f>
        <v>0</v>
      </c>
      <c r="F93" s="66" t="n">
        <f aca="false">F78*$C$16+F84*$C$16+F90</f>
        <v>0</v>
      </c>
      <c r="G93" s="66" t="n">
        <f aca="false">G78*$C$16+G84*$C$16+G90</f>
        <v>0</v>
      </c>
      <c r="H93" s="66" t="n">
        <f aca="false">H78*$C$16+H84*$C$16+H90</f>
        <v>0</v>
      </c>
      <c r="I93" s="66" t="n">
        <f aca="false">I78*$C$16+I84*$C$16+I90</f>
        <v>0</v>
      </c>
      <c r="J93" s="66" t="n">
        <f aca="false">J78*$C$16+J84*$C$16+J90</f>
        <v>0</v>
      </c>
      <c r="K93" s="66" t="n">
        <f aca="false">K78*$C$16+K84*$C$16+K90</f>
        <v>0</v>
      </c>
      <c r="L93" s="66" t="n">
        <f aca="false">L78*$C$16+L84*$C$16+L90</f>
        <v>204299944.356431</v>
      </c>
      <c r="M93" s="66" t="n">
        <f aca="false">M78*$C$16+M84*$C$16+M90</f>
        <v>0</v>
      </c>
      <c r="N93" s="66" t="n">
        <f aca="false">N78*$C$16+N84*$C$16+N90</f>
        <v>0</v>
      </c>
      <c r="O93" s="66" t="n">
        <f aca="false">O78*$C$16+O84*$C$16+O90</f>
        <v>0</v>
      </c>
      <c r="P93" s="66" t="n">
        <f aca="false">P78*$C$16+P84*$C$16+P90</f>
        <v>0</v>
      </c>
      <c r="Q93" s="66" t="n">
        <f aca="false">Q78*$C$16+Q84*$C$16+Q90</f>
        <v>0</v>
      </c>
      <c r="R93" s="66" t="n">
        <f aca="false">R78*$C$16+R84*$C$16+R90</f>
        <v>0</v>
      </c>
      <c r="S93" s="66" t="n">
        <f aca="false">S78*$C$16+S84*$C$16+S90</f>
        <v>0</v>
      </c>
      <c r="T93" s="66" t="n">
        <f aca="false">T78*$C$16+T84*$C$16+T90</f>
        <v>0</v>
      </c>
      <c r="U93" s="66" t="n">
        <f aca="false">U78*$C$16+U84*$C$16+U90</f>
        <v>0</v>
      </c>
      <c r="V93" s="66" t="n">
        <f aca="false">V78*$C$16+V84*$C$16+V90</f>
        <v>0</v>
      </c>
      <c r="W93" s="66" t="n">
        <f aca="false">W78*$C$16+W84*$C$16+W90</f>
        <v>0</v>
      </c>
      <c r="X93" s="66" t="n">
        <f aca="false">X78*$C$16+X84*$C$16+X90</f>
        <v>0</v>
      </c>
      <c r="Y93" s="66" t="n">
        <f aca="false">Y78*$C$16+Y84*$C$16+Y90</f>
        <v>0</v>
      </c>
      <c r="Z93" s="66" t="n">
        <f aca="false">Z78*$C$16+Z84*$C$16+Z90</f>
        <v>0</v>
      </c>
      <c r="AA93" s="66" t="n">
        <f aca="false">AA78*$C$16+AA84*$C$16+AA90</f>
        <v>0</v>
      </c>
      <c r="AB93" s="66" t="n">
        <f aca="false">AB78*$C$16+AB84*$C$16+AB90</f>
        <v>0</v>
      </c>
      <c r="AC93" s="66" t="n">
        <f aca="false">AC78*$C$16+AC84*$C$16+AC90</f>
        <v>0</v>
      </c>
      <c r="AD93" s="66" t="n">
        <f aca="false">AD78*$C$16+AD84*$C$16+AD90</f>
        <v>0</v>
      </c>
      <c r="AE93" s="66" t="n">
        <f aca="false">AE78*$C$16+AE84*$C$16+AE90</f>
        <v>0</v>
      </c>
      <c r="AF93" s="66" t="n">
        <f aca="false">AF78*$C$16+AF84*$C$16+AF90</f>
        <v>0</v>
      </c>
      <c r="AG93" s="66" t="n">
        <f aca="false">AG78*$C$16+AG84*$C$16+AG90</f>
        <v>0</v>
      </c>
      <c r="AH93" s="66" t="n">
        <f aca="false">AH78*$C$16+AH84*$C$16+AH90</f>
        <v>0</v>
      </c>
      <c r="AI93" s="66" t="n">
        <f aca="false">AI78*$C$16+AI84*$C$16+AI90</f>
        <v>0</v>
      </c>
      <c r="AJ93" s="66" t="n">
        <f aca="false">AJ78*$C$16+AJ84*$C$16+AJ90</f>
        <v>0</v>
      </c>
      <c r="AK93" s="66" t="n">
        <f aca="false">AK78*$C$16+AK84*$C$16+AK90</f>
        <v>0</v>
      </c>
      <c r="AL93" s="66" t="n">
        <f aca="false">AL78*$C$16+AL84*$C$16+AL90</f>
        <v>0</v>
      </c>
      <c r="AM93" s="66" t="n">
        <f aca="false">AM78*$C$16+AM84*$C$16+AM90</f>
        <v>0</v>
      </c>
      <c r="AN93" s="66" t="n">
        <f aca="false">AN78*$C$16+AN84*$C$16+AN90</f>
        <v>0</v>
      </c>
      <c r="AO93" s="66" t="n">
        <f aca="false">AO78*$C$16+AO84*$C$16+AO90</f>
        <v>0</v>
      </c>
      <c r="AP93" s="66" t="n">
        <f aca="false">AP78*$C$16+AP84*$C$16+AP90</f>
        <v>0</v>
      </c>
      <c r="AQ93" s="66" t="n">
        <f aca="false">AQ78*$C$16+AQ84*$C$16+AQ90</f>
        <v>0</v>
      </c>
      <c r="AR93" s="66" t="n">
        <f aca="false">AR78*$C$16+AR84*$C$16+AR90</f>
        <v>0</v>
      </c>
      <c r="AS93" s="66" t="n">
        <f aca="false">AS78*$C$16+AS84*$C$16+AS90</f>
        <v>0</v>
      </c>
      <c r="AT93" s="66" t="n">
        <f aca="false">AT78*$C$16+AT84*$C$16+AT90</f>
        <v>0</v>
      </c>
      <c r="AU93" s="66" t="n">
        <f aca="false">AU78*$C$16+AU84*$C$16+AU90</f>
        <v>0</v>
      </c>
      <c r="AV93" s="66" t="n">
        <f aca="false">AV78*$C$16+AV84*$C$16+AV90</f>
        <v>0</v>
      </c>
      <c r="AW93" s="66" t="n">
        <f aca="false">AW78*$C$16+AW84*$C$16+AW90</f>
        <v>0</v>
      </c>
      <c r="AX93" s="66" t="n">
        <f aca="false">AX78*$C$16+AX84*$C$16+AX90</f>
        <v>0</v>
      </c>
      <c r="AY93" s="66" t="n">
        <f aca="false">AY78*$C$16+AY84*$C$16+AY90</f>
        <v>0</v>
      </c>
      <c r="AZ93" s="66" t="n">
        <f aca="false">AZ78*$C$16+AZ84*$C$16+AZ90</f>
        <v>0</v>
      </c>
      <c r="BA93" s="66" t="n">
        <f aca="false">BA78*$C$16+BA84*$C$16+BA90</f>
        <v>0</v>
      </c>
      <c r="BB93" s="66" t="n">
        <f aca="false">BB78*$C$16+BB84*$C$16+BB90</f>
        <v>0</v>
      </c>
    </row>
    <row r="94" customFormat="false" ht="15" hidden="false" customHeight="true" outlineLevel="0" collapsed="false">
      <c r="B94" s="20" t="s">
        <v>496</v>
      </c>
      <c r="C94" s="59" t="s">
        <v>11</v>
      </c>
      <c r="D94" s="63" t="n">
        <f aca="false">SUM(E94:BB94)</f>
        <v>363647841.721839</v>
      </c>
      <c r="E94" s="66" t="n">
        <f aca="false">E78*$C$15+E84*$C$15+E88+E91</f>
        <v>0</v>
      </c>
      <c r="F94" s="66" t="n">
        <f aca="false">F78*$C$15+F84*$C$15+F88+F91</f>
        <v>0</v>
      </c>
      <c r="G94" s="66" t="n">
        <f aca="false">G78*$C$15+G84*$C$15+G88+G91</f>
        <v>0</v>
      </c>
      <c r="H94" s="66" t="n">
        <f aca="false">H78*$C$15+H84*$C$15+H88+H91</f>
        <v>0</v>
      </c>
      <c r="I94" s="66" t="n">
        <f aca="false">I78*$C$15+I84*$C$15+I88+I91</f>
        <v>0</v>
      </c>
      <c r="J94" s="66" t="n">
        <f aca="false">J78*$C$15+J84*$C$15+J88+J91</f>
        <v>0</v>
      </c>
      <c r="K94" s="66" t="n">
        <f aca="false">K78*$C$15+K84*$C$15+K88+K91</f>
        <v>0</v>
      </c>
      <c r="L94" s="66" t="n">
        <f aca="false">L78*$C$15+L84*$C$15+L88+L91</f>
        <v>363647841.721839</v>
      </c>
      <c r="M94" s="66" t="n">
        <f aca="false">M78*$C$15+M84*$C$15+M88+M91</f>
        <v>0</v>
      </c>
      <c r="N94" s="66" t="n">
        <f aca="false">N78*$C$15+N84*$C$15+N88+N91</f>
        <v>0</v>
      </c>
      <c r="O94" s="66" t="n">
        <f aca="false">O78*$C$15+O84*$C$15+O88+O91</f>
        <v>0</v>
      </c>
      <c r="P94" s="66" t="n">
        <f aca="false">P78*$C$15+P84*$C$15+P88+P91</f>
        <v>0</v>
      </c>
      <c r="Q94" s="66" t="n">
        <f aca="false">Q78*$C$15+Q84*$C$15+Q88+Q91</f>
        <v>0</v>
      </c>
      <c r="R94" s="66" t="n">
        <f aca="false">R78*$C$15+R84*$C$15+R88+R91</f>
        <v>0</v>
      </c>
      <c r="S94" s="66" t="n">
        <f aca="false">S78*$C$15+S84*$C$15+S88+S91</f>
        <v>0</v>
      </c>
      <c r="T94" s="66" t="n">
        <f aca="false">T78*$C$15+T84*$C$15+T88+T91</f>
        <v>0</v>
      </c>
      <c r="U94" s="66" t="n">
        <f aca="false">U78*$C$15+U84*$C$15+U88+U91</f>
        <v>0</v>
      </c>
      <c r="V94" s="66" t="n">
        <f aca="false">V78*$C$15+V84*$C$15+V88+V91</f>
        <v>0</v>
      </c>
      <c r="W94" s="66" t="n">
        <f aca="false">W78*$C$15+W84*$C$15+W88+W91</f>
        <v>0</v>
      </c>
      <c r="X94" s="66" t="n">
        <f aca="false">X78*$C$15+X84*$C$15+X88+X91</f>
        <v>0</v>
      </c>
      <c r="Y94" s="66" t="n">
        <f aca="false">Y78*$C$15+Y84*$C$15+Y88+Y91</f>
        <v>0</v>
      </c>
      <c r="Z94" s="66" t="n">
        <f aca="false">Z78*$C$15+Z84*$C$15+Z88+Z91</f>
        <v>0</v>
      </c>
      <c r="AA94" s="66" t="n">
        <f aca="false">AA78*$C$15+AA84*$C$15+AA88+AA91</f>
        <v>0</v>
      </c>
      <c r="AB94" s="66" t="n">
        <f aca="false">AB78*$C$15+AB84*$C$15+AB88+AB91</f>
        <v>0</v>
      </c>
      <c r="AC94" s="66" t="n">
        <f aca="false">AC78*$C$15+AC84*$C$15+AC88+AC91</f>
        <v>0</v>
      </c>
      <c r="AD94" s="66" t="n">
        <f aca="false">AD78*$C$15+AD84*$C$15+AD88+AD91</f>
        <v>0</v>
      </c>
      <c r="AE94" s="66" t="n">
        <f aca="false">AE78*$C$15+AE84*$C$15+AE88+AE91</f>
        <v>0</v>
      </c>
      <c r="AF94" s="66" t="n">
        <f aca="false">AF78*$C$15+AF84*$C$15+AF88+AF91</f>
        <v>0</v>
      </c>
      <c r="AG94" s="66" t="n">
        <f aca="false">AG78*$C$15+AG84*$C$15+AG88+AG91</f>
        <v>0</v>
      </c>
      <c r="AH94" s="66" t="n">
        <f aca="false">AH78*$C$15+AH84*$C$15+AH88+AH91</f>
        <v>0</v>
      </c>
      <c r="AI94" s="66" t="n">
        <f aca="false">AI78*$C$15+AI84*$C$15+AI88+AI91</f>
        <v>0</v>
      </c>
      <c r="AJ94" s="66" t="n">
        <f aca="false">AJ78*$C$15+AJ84*$C$15+AJ88+AJ91</f>
        <v>0</v>
      </c>
      <c r="AK94" s="66" t="n">
        <f aca="false">AK78*$C$15+AK84*$C$15+AK88+AK91</f>
        <v>0</v>
      </c>
      <c r="AL94" s="66" t="n">
        <f aca="false">AL78*$C$15+AL84*$C$15+AL88+AL91</f>
        <v>0</v>
      </c>
      <c r="AM94" s="66" t="n">
        <f aca="false">AM78*$C$15+AM84*$C$15+AM88+AM91</f>
        <v>0</v>
      </c>
      <c r="AN94" s="66" t="n">
        <f aca="false">AN78*$C$15+AN84*$C$15+AN88+AN91</f>
        <v>0</v>
      </c>
      <c r="AO94" s="66" t="n">
        <f aca="false">AO78*$C$15+AO84*$C$15+AO88+AO91</f>
        <v>0</v>
      </c>
      <c r="AP94" s="66" t="n">
        <f aca="false">AP78*$C$15+AP84*$C$15+AP88+AP91</f>
        <v>0</v>
      </c>
      <c r="AQ94" s="66" t="n">
        <f aca="false">AQ78*$C$15+AQ84*$C$15+AQ88+AQ91</f>
        <v>0</v>
      </c>
      <c r="AR94" s="66" t="n">
        <f aca="false">AR78*$C$15+AR84*$C$15+AR88+AR91</f>
        <v>0</v>
      </c>
      <c r="AS94" s="66" t="n">
        <f aca="false">AS78*$C$15+AS84*$C$15+AS88+AS91</f>
        <v>0</v>
      </c>
      <c r="AT94" s="66" t="n">
        <f aca="false">AT78*$C$15+AT84*$C$15+AT88+AT91</f>
        <v>0</v>
      </c>
      <c r="AU94" s="66" t="n">
        <f aca="false">AU78*$C$15+AU84*$C$15+AU88+AU91</f>
        <v>0</v>
      </c>
      <c r="AV94" s="66" t="n">
        <f aca="false">AV78*$C$15+AV84*$C$15+AV88+AV91</f>
        <v>0</v>
      </c>
      <c r="AW94" s="66" t="n">
        <f aca="false">AW78*$C$15+AW84*$C$15+AW88+AW91</f>
        <v>0</v>
      </c>
      <c r="AX94" s="66" t="n">
        <f aca="false">AX78*$C$15+AX84*$C$15+AX88+AX91</f>
        <v>0</v>
      </c>
      <c r="AY94" s="66" t="n">
        <f aca="false">AY78*$C$15+AY84*$C$15+AY88+AY91</f>
        <v>0</v>
      </c>
      <c r="AZ94" s="66" t="n">
        <f aca="false">AZ78*$C$15+AZ84*$C$15+AZ88+AZ91</f>
        <v>0</v>
      </c>
      <c r="BA94" s="66" t="n">
        <f aca="false">BA78*$C$15+BA84*$C$15+BA88+BA91</f>
        <v>0</v>
      </c>
      <c r="BB94" s="66" t="n">
        <f aca="false">BB78*$C$15+BB84*$C$15+BB88+BB91</f>
        <v>0</v>
      </c>
    </row>
    <row r="95" customFormat="false" ht="15" hidden="false" customHeight="true" outlineLevel="0" collapsed="false">
      <c r="B95" s="20" t="s">
        <v>497</v>
      </c>
      <c r="C95" s="59" t="s">
        <v>11</v>
      </c>
      <c r="D95" s="63" t="n">
        <f aca="false">SUM(E95:BB95)</f>
        <v>567947786.078271</v>
      </c>
      <c r="E95" s="63" t="n">
        <f aca="false">E93+E94</f>
        <v>0</v>
      </c>
      <c r="F95" s="63" t="n">
        <f aca="false">F93+F94</f>
        <v>0</v>
      </c>
      <c r="G95" s="63" t="n">
        <f aca="false">G93+G94</f>
        <v>0</v>
      </c>
      <c r="H95" s="63" t="n">
        <f aca="false">H93+H94</f>
        <v>0</v>
      </c>
      <c r="I95" s="63" t="n">
        <f aca="false">I93+I94</f>
        <v>0</v>
      </c>
      <c r="J95" s="63" t="n">
        <f aca="false">J93+J94</f>
        <v>0</v>
      </c>
      <c r="K95" s="63" t="n">
        <f aca="false">K93+K94</f>
        <v>0</v>
      </c>
      <c r="L95" s="63" t="n">
        <f aca="false">L93+L94</f>
        <v>567947786.078271</v>
      </c>
      <c r="M95" s="63" t="n">
        <f aca="false">M93+M94</f>
        <v>0</v>
      </c>
      <c r="N95" s="63" t="n">
        <f aca="false">N93+N94</f>
        <v>0</v>
      </c>
      <c r="O95" s="63" t="n">
        <f aca="false">O93+O94</f>
        <v>0</v>
      </c>
      <c r="P95" s="63" t="n">
        <f aca="false">P93+P94</f>
        <v>0</v>
      </c>
      <c r="Q95" s="63" t="n">
        <f aca="false">Q93+Q94</f>
        <v>0</v>
      </c>
      <c r="R95" s="63" t="n">
        <f aca="false">R93+R94</f>
        <v>0</v>
      </c>
      <c r="S95" s="63" t="n">
        <f aca="false">S93+S94</f>
        <v>0</v>
      </c>
      <c r="T95" s="63" t="n">
        <f aca="false">T93+T94</f>
        <v>0</v>
      </c>
      <c r="U95" s="63" t="n">
        <f aca="false">U93+U94</f>
        <v>0</v>
      </c>
      <c r="V95" s="63" t="n">
        <f aca="false">V93+V94</f>
        <v>0</v>
      </c>
      <c r="W95" s="63" t="n">
        <f aca="false">W93+W94</f>
        <v>0</v>
      </c>
      <c r="X95" s="63" t="n">
        <f aca="false">X93+X94</f>
        <v>0</v>
      </c>
      <c r="Y95" s="63" t="n">
        <f aca="false">Y93+Y94</f>
        <v>0</v>
      </c>
      <c r="Z95" s="63" t="n">
        <f aca="false">Z93+Z94</f>
        <v>0</v>
      </c>
      <c r="AA95" s="63" t="n">
        <f aca="false">AA93+AA94</f>
        <v>0</v>
      </c>
      <c r="AB95" s="63" t="n">
        <f aca="false">AB93+AB94</f>
        <v>0</v>
      </c>
      <c r="AC95" s="63" t="n">
        <f aca="false">AC93+AC94</f>
        <v>0</v>
      </c>
      <c r="AD95" s="63" t="n">
        <f aca="false">AD93+AD94</f>
        <v>0</v>
      </c>
      <c r="AE95" s="63" t="n">
        <f aca="false">AE93+AE94</f>
        <v>0</v>
      </c>
      <c r="AF95" s="63" t="n">
        <f aca="false">AF93+AF94</f>
        <v>0</v>
      </c>
      <c r="AG95" s="63" t="n">
        <f aca="false">AG93+AG94</f>
        <v>0</v>
      </c>
      <c r="AH95" s="63" t="n">
        <f aca="false">AH93+AH94</f>
        <v>0</v>
      </c>
      <c r="AI95" s="63" t="n">
        <f aca="false">AI93+AI94</f>
        <v>0</v>
      </c>
      <c r="AJ95" s="63" t="n">
        <f aca="false">AJ93+AJ94</f>
        <v>0</v>
      </c>
      <c r="AK95" s="63" t="n">
        <f aca="false">AK93+AK94</f>
        <v>0</v>
      </c>
      <c r="AL95" s="63" t="n">
        <f aca="false">AL93+AL94</f>
        <v>0</v>
      </c>
      <c r="AM95" s="63" t="n">
        <f aca="false">AM93+AM94</f>
        <v>0</v>
      </c>
      <c r="AN95" s="63" t="n">
        <f aca="false">AN93+AN94</f>
        <v>0</v>
      </c>
      <c r="AO95" s="63" t="n">
        <f aca="false">AO93+AO94</f>
        <v>0</v>
      </c>
      <c r="AP95" s="63" t="n">
        <f aca="false">AP93+AP94</f>
        <v>0</v>
      </c>
      <c r="AQ95" s="63" t="n">
        <f aca="false">AQ93+AQ94</f>
        <v>0</v>
      </c>
      <c r="AR95" s="63" t="n">
        <f aca="false">AR93+AR94</f>
        <v>0</v>
      </c>
      <c r="AS95" s="63" t="n">
        <f aca="false">AS93+AS94</f>
        <v>0</v>
      </c>
      <c r="AT95" s="63" t="n">
        <f aca="false">AT93+AT94</f>
        <v>0</v>
      </c>
      <c r="AU95" s="63" t="n">
        <f aca="false">AU93+AU94</f>
        <v>0</v>
      </c>
      <c r="AV95" s="63" t="n">
        <f aca="false">AV93+AV94</f>
        <v>0</v>
      </c>
      <c r="AW95" s="63" t="n">
        <f aca="false">AW93+AW94</f>
        <v>0</v>
      </c>
      <c r="AX95" s="63" t="n">
        <f aca="false">AX93+AX94</f>
        <v>0</v>
      </c>
      <c r="AY95" s="63" t="n">
        <f aca="false">AY93+AY94</f>
        <v>0</v>
      </c>
      <c r="AZ95" s="63" t="n">
        <f aca="false">AZ93+AZ94</f>
        <v>0</v>
      </c>
      <c r="BA95" s="63" t="n">
        <f aca="false">BA93+BA94</f>
        <v>0</v>
      </c>
      <c r="BB95" s="63" t="n">
        <f aca="false">BB93+BB94</f>
        <v>0</v>
      </c>
    </row>
    <row r="97" customFormat="false" ht="15" hidden="false" customHeight="true" outlineLevel="0" collapsed="false">
      <c r="A97" s="58" t="s">
        <v>498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customFormat="false" ht="15" hidden="false" customHeight="true" outlineLevel="0" collapsed="false">
      <c r="C98" s="69" t="s">
        <v>262</v>
      </c>
      <c r="D98" s="69" t="s">
        <v>60</v>
      </c>
      <c r="E98" s="70" t="n">
        <f aca="false">E$46</f>
        <v>2026</v>
      </c>
      <c r="F98" s="70" t="n">
        <f aca="false">F$46</f>
        <v>2027</v>
      </c>
      <c r="G98" s="70" t="n">
        <f aca="false">G$46</f>
        <v>2028</v>
      </c>
      <c r="H98" s="70" t="n">
        <f aca="false">H$46</f>
        <v>2029</v>
      </c>
      <c r="I98" s="70" t="n">
        <f aca="false">I$46</f>
        <v>2030</v>
      </c>
      <c r="J98" s="70" t="n">
        <f aca="false">J$46</f>
        <v>2031</v>
      </c>
      <c r="K98" s="70" t="n">
        <f aca="false">K$46</f>
        <v>2032</v>
      </c>
      <c r="L98" s="70" t="n">
        <f aca="false">L$46</f>
        <v>2033</v>
      </c>
      <c r="M98" s="70" t="n">
        <f aca="false">M$46</f>
        <v>2034</v>
      </c>
      <c r="N98" s="70" t="n">
        <f aca="false">N$46</f>
        <v>2035</v>
      </c>
      <c r="O98" s="70" t="n">
        <f aca="false">O$46</f>
        <v>2036</v>
      </c>
      <c r="P98" s="70" t="n">
        <f aca="false">P$46</f>
        <v>2037</v>
      </c>
      <c r="Q98" s="70" t="n">
        <f aca="false">Q$46</f>
        <v>2038</v>
      </c>
      <c r="R98" s="70" t="n">
        <f aca="false">R$46</f>
        <v>2039</v>
      </c>
      <c r="S98" s="70" t="n">
        <f aca="false">S$46</f>
        <v>2040</v>
      </c>
      <c r="T98" s="70" t="n">
        <f aca="false">T$46</f>
        <v>2041</v>
      </c>
      <c r="U98" s="70" t="n">
        <f aca="false">U$46</f>
        <v>2042</v>
      </c>
      <c r="V98" s="70" t="n">
        <f aca="false">V$46</f>
        <v>2043</v>
      </c>
      <c r="W98" s="70" t="n">
        <f aca="false">W$46</f>
        <v>2044</v>
      </c>
      <c r="X98" s="70" t="n">
        <f aca="false">X$46</f>
        <v>2045</v>
      </c>
      <c r="Y98" s="70" t="n">
        <f aca="false">Y$46</f>
        <v>2046</v>
      </c>
      <c r="Z98" s="70" t="n">
        <f aca="false">Z$46</f>
        <v>2047</v>
      </c>
      <c r="AA98" s="70" t="n">
        <f aca="false">AA$46</f>
        <v>2048</v>
      </c>
      <c r="AB98" s="70" t="n">
        <f aca="false">AB$46</f>
        <v>2049</v>
      </c>
      <c r="AC98" s="70" t="n">
        <f aca="false">AC$46</f>
        <v>2050</v>
      </c>
      <c r="AD98" s="70" t="n">
        <f aca="false">AD$46</f>
        <v>2051</v>
      </c>
      <c r="AE98" s="70" t="n">
        <f aca="false">AE$46</f>
        <v>2052</v>
      </c>
      <c r="AF98" s="70" t="n">
        <f aca="false">AF$46</f>
        <v>2053</v>
      </c>
      <c r="AG98" s="70" t="n">
        <f aca="false">AG$46</f>
        <v>2054</v>
      </c>
      <c r="AH98" s="70" t="n">
        <f aca="false">AH$46</f>
        <v>2055</v>
      </c>
      <c r="AI98" s="70" t="n">
        <f aca="false">AI$46</f>
        <v>2056</v>
      </c>
      <c r="AJ98" s="70" t="n">
        <f aca="false">AJ$46</f>
        <v>2057</v>
      </c>
      <c r="AK98" s="70" t="n">
        <f aca="false">AK$46</f>
        <v>2058</v>
      </c>
      <c r="AL98" s="70" t="n">
        <f aca="false">AL$46</f>
        <v>2059</v>
      </c>
      <c r="AM98" s="70" t="n">
        <f aca="false">AM$46</f>
        <v>2060</v>
      </c>
      <c r="AN98" s="70" t="n">
        <f aca="false">AN$46</f>
        <v>2061</v>
      </c>
      <c r="AO98" s="70" t="n">
        <f aca="false">AO$46</f>
        <v>2062</v>
      </c>
      <c r="AP98" s="70" t="n">
        <f aca="false">AP$46</f>
        <v>2063</v>
      </c>
      <c r="AQ98" s="70" t="n">
        <f aca="false">AQ$46</f>
        <v>2064</v>
      </c>
      <c r="AR98" s="70" t="n">
        <f aca="false">AR$46</f>
        <v>2065</v>
      </c>
      <c r="AS98" s="70" t="n">
        <f aca="false">AS$46</f>
        <v>2066</v>
      </c>
      <c r="AT98" s="70" t="n">
        <f aca="false">AT$46</f>
        <v>2067</v>
      </c>
      <c r="AU98" s="70" t="n">
        <f aca="false">AU$46</f>
        <v>2068</v>
      </c>
      <c r="AV98" s="70" t="n">
        <f aca="false">AV$46</f>
        <v>2069</v>
      </c>
      <c r="AW98" s="70" t="n">
        <f aca="false">AW$46</f>
        <v>2070</v>
      </c>
      <c r="AX98" s="70" t="n">
        <f aca="false">AX$46</f>
        <v>2071</v>
      </c>
      <c r="AY98" s="70" t="n">
        <f aca="false">AY$46</f>
        <v>2072</v>
      </c>
      <c r="AZ98" s="70" t="n">
        <f aca="false">AZ$46</f>
        <v>2073</v>
      </c>
      <c r="BA98" s="70" t="n">
        <f aca="false">BA$46</f>
        <v>2074</v>
      </c>
      <c r="BB98" s="70" t="n">
        <f aca="false">BB$46</f>
        <v>2075</v>
      </c>
    </row>
    <row r="99" customFormat="false" ht="15" hidden="false" customHeight="true" outlineLevel="0" collapsed="false">
      <c r="B99" s="59" t="s">
        <v>499</v>
      </c>
      <c r="C99" s="59" t="s">
        <v>11</v>
      </c>
      <c r="D99" s="63" t="n">
        <f aca="false">SUM(E99:BB99)</f>
        <v>139328555.562784</v>
      </c>
      <c r="E99" s="66" t="n">
        <f aca="false">-E56*$C$16+E93</f>
        <v>0</v>
      </c>
      <c r="F99" s="66" t="n">
        <f aca="false">-F56*$C$16+F93</f>
        <v>-2102877.93492663</v>
      </c>
      <c r="G99" s="66" t="n">
        <f aca="false">-G56*$C$16+G93</f>
        <v>-17829899.9736731</v>
      </c>
      <c r="H99" s="66" t="n">
        <f aca="false">-H56*$C$16+H93</f>
        <v>-16929271.3217038</v>
      </c>
      <c r="I99" s="66" t="n">
        <f aca="false">-I56*$C$16+I93</f>
        <v>-25918189.3371165</v>
      </c>
      <c r="J99" s="66" t="n">
        <f aca="false">-J56*$C$16+J93</f>
        <v>-1095575.11311348</v>
      </c>
      <c r="K99" s="66" t="n">
        <f aca="false">-K56*$C$16+K93</f>
        <v>-1095575.11311348</v>
      </c>
      <c r="L99" s="66" t="n">
        <f aca="false">-L56*$C$16+L93</f>
        <v>204299944.356431</v>
      </c>
      <c r="M99" s="66" t="n">
        <f aca="false">-M56*$C$16+M93</f>
        <v>0</v>
      </c>
      <c r="N99" s="66" t="n">
        <f aca="false">-N56*$C$16+N93</f>
        <v>0</v>
      </c>
      <c r="O99" s="66" t="n">
        <f aca="false">-O56*$C$16+O93</f>
        <v>0</v>
      </c>
      <c r="P99" s="66" t="n">
        <f aca="false">-P56*$C$16+P93</f>
        <v>0</v>
      </c>
      <c r="Q99" s="66" t="n">
        <f aca="false">-Q56*$C$16+Q93</f>
        <v>0</v>
      </c>
      <c r="R99" s="66" t="n">
        <f aca="false">-R56*$C$16+R93</f>
        <v>0</v>
      </c>
      <c r="S99" s="66" t="n">
        <f aca="false">-S56*$C$16+S93</f>
        <v>0</v>
      </c>
      <c r="T99" s="66" t="n">
        <f aca="false">-T56*$C$16+T93</f>
        <v>0</v>
      </c>
      <c r="U99" s="66" t="n">
        <f aca="false">-U56*$C$16+U93</f>
        <v>0</v>
      </c>
      <c r="V99" s="66" t="n">
        <f aca="false">-V56*$C$16+V93</f>
        <v>0</v>
      </c>
      <c r="W99" s="66" t="n">
        <f aca="false">-W56*$C$16+W93</f>
        <v>0</v>
      </c>
      <c r="X99" s="66" t="n">
        <f aca="false">-X56*$C$16+X93</f>
        <v>0</v>
      </c>
      <c r="Y99" s="66" t="n">
        <f aca="false">-Y56*$C$16+Y93</f>
        <v>0</v>
      </c>
      <c r="Z99" s="66" t="n">
        <f aca="false">-Z56*$C$16+Z93</f>
        <v>0</v>
      </c>
      <c r="AA99" s="66" t="n">
        <f aca="false">-AA56*$C$16+AA93</f>
        <v>0</v>
      </c>
      <c r="AB99" s="66" t="n">
        <f aca="false">-AB56*$C$16+AB93</f>
        <v>0</v>
      </c>
      <c r="AC99" s="66" t="n">
        <f aca="false">-AC56*$C$16+AC93</f>
        <v>0</v>
      </c>
      <c r="AD99" s="66" t="n">
        <f aca="false">-AD56*$C$16+AD93</f>
        <v>0</v>
      </c>
      <c r="AE99" s="66" t="n">
        <f aca="false">-AE56*$C$16+AE93</f>
        <v>0</v>
      </c>
      <c r="AF99" s="66" t="n">
        <f aca="false">-AF56*$C$16+AF93</f>
        <v>0</v>
      </c>
      <c r="AG99" s="66" t="n">
        <f aca="false">-AG56*$C$16+AG93</f>
        <v>0</v>
      </c>
      <c r="AH99" s="66" t="n">
        <f aca="false">-AH56*$C$16+AH93</f>
        <v>0</v>
      </c>
      <c r="AI99" s="66" t="n">
        <f aca="false">-AI56*$C$16+AI93</f>
        <v>0</v>
      </c>
      <c r="AJ99" s="66" t="n">
        <f aca="false">-AJ56*$C$16+AJ93</f>
        <v>0</v>
      </c>
      <c r="AK99" s="66" t="n">
        <f aca="false">-AK56*$C$16+AK93</f>
        <v>0</v>
      </c>
      <c r="AL99" s="66" t="n">
        <f aca="false">-AL56*$C$16+AL93</f>
        <v>0</v>
      </c>
      <c r="AM99" s="66" t="n">
        <f aca="false">-AM56*$C$16+AM93</f>
        <v>0</v>
      </c>
      <c r="AN99" s="66" t="n">
        <f aca="false">-AN56*$C$16+AN93</f>
        <v>0</v>
      </c>
      <c r="AO99" s="66" t="n">
        <f aca="false">-AO56*$C$16+AO93</f>
        <v>0</v>
      </c>
      <c r="AP99" s="66" t="n">
        <f aca="false">-AP56*$C$16+AP93</f>
        <v>0</v>
      </c>
      <c r="AQ99" s="66" t="n">
        <f aca="false">-AQ56*$C$16+AQ93</f>
        <v>0</v>
      </c>
      <c r="AR99" s="66" t="n">
        <f aca="false">-AR56*$C$16+AR93</f>
        <v>0</v>
      </c>
      <c r="AS99" s="66" t="n">
        <f aca="false">-AS56*$C$16+AS93</f>
        <v>0</v>
      </c>
      <c r="AT99" s="66" t="n">
        <f aca="false">-AT56*$C$16+AT93</f>
        <v>0</v>
      </c>
      <c r="AU99" s="66" t="n">
        <f aca="false">-AU56*$C$16+AU93</f>
        <v>0</v>
      </c>
      <c r="AV99" s="66" t="n">
        <f aca="false">-AV56*$C$16+AV93</f>
        <v>0</v>
      </c>
      <c r="AW99" s="66" t="n">
        <f aca="false">-AW56*$C$16+AW93</f>
        <v>0</v>
      </c>
      <c r="AX99" s="66" t="n">
        <f aca="false">-AX56*$C$16+AX93</f>
        <v>0</v>
      </c>
      <c r="AY99" s="66" t="n">
        <f aca="false">-AY56*$C$16+AY93</f>
        <v>0</v>
      </c>
      <c r="AZ99" s="66" t="n">
        <f aca="false">-AZ56*$C$16+AZ93</f>
        <v>0</v>
      </c>
      <c r="BA99" s="66" t="n">
        <f aca="false">-BA56*$C$16+BA93</f>
        <v>0</v>
      </c>
      <c r="BB99" s="66" t="n">
        <f aca="false">-BB56*$C$16+BB93</f>
        <v>0</v>
      </c>
    </row>
    <row r="100" customFormat="false" ht="15" hidden="false" customHeight="true" outlineLevel="0" collapsed="false">
      <c r="B100" s="59" t="s">
        <v>500</v>
      </c>
      <c r="C100" s="59" t="s">
        <v>11</v>
      </c>
      <c r="E100" s="66" t="n">
        <f aca="false">E99</f>
        <v>0</v>
      </c>
      <c r="F100" s="66" t="n">
        <f aca="false">E100+F99</f>
        <v>-2102877.93492663</v>
      </c>
      <c r="G100" s="66" t="n">
        <f aca="false">F100+G99</f>
        <v>-19932777.9085998</v>
      </c>
      <c r="H100" s="66" t="n">
        <f aca="false">G100+H99</f>
        <v>-36862049.2303036</v>
      </c>
      <c r="I100" s="66" t="n">
        <f aca="false">H100+I99</f>
        <v>-62780238.5674201</v>
      </c>
      <c r="J100" s="66" t="n">
        <f aca="false">I100+J99</f>
        <v>-63875813.6805336</v>
      </c>
      <c r="K100" s="66" t="n">
        <f aca="false">J100+K99</f>
        <v>-64971388.7936471</v>
      </c>
      <c r="L100" s="66" t="n">
        <f aca="false">K100+L99</f>
        <v>139328555.562784</v>
      </c>
      <c r="M100" s="66" t="n">
        <f aca="false">L100+M99</f>
        <v>139328555.562784</v>
      </c>
      <c r="N100" s="66" t="n">
        <f aca="false">M100+N99</f>
        <v>139328555.562784</v>
      </c>
      <c r="O100" s="66" t="n">
        <f aca="false">N100+O99</f>
        <v>139328555.562784</v>
      </c>
      <c r="P100" s="66" t="n">
        <f aca="false">O100+P99</f>
        <v>139328555.562784</v>
      </c>
      <c r="Q100" s="66" t="n">
        <f aca="false">P100+Q99</f>
        <v>139328555.562784</v>
      </c>
      <c r="R100" s="66" t="n">
        <f aca="false">Q100+R99</f>
        <v>139328555.562784</v>
      </c>
      <c r="S100" s="66" t="n">
        <f aca="false">R100+S99</f>
        <v>139328555.562784</v>
      </c>
      <c r="T100" s="66" t="n">
        <f aca="false">S100+T99</f>
        <v>139328555.562784</v>
      </c>
      <c r="U100" s="66" t="n">
        <f aca="false">T100+U99</f>
        <v>139328555.562784</v>
      </c>
      <c r="V100" s="66" t="n">
        <f aca="false">U100+V99</f>
        <v>139328555.562784</v>
      </c>
      <c r="W100" s="66" t="n">
        <f aca="false">V100+W99</f>
        <v>139328555.562784</v>
      </c>
      <c r="X100" s="66" t="n">
        <f aca="false">W100+X99</f>
        <v>139328555.562784</v>
      </c>
      <c r="Y100" s="66" t="n">
        <f aca="false">X100+Y99</f>
        <v>139328555.562784</v>
      </c>
      <c r="Z100" s="66" t="n">
        <f aca="false">Y100+Z99</f>
        <v>139328555.562784</v>
      </c>
      <c r="AA100" s="66" t="n">
        <f aca="false">Z100+AA99</f>
        <v>139328555.562784</v>
      </c>
      <c r="AB100" s="66" t="n">
        <f aca="false">AA100+AB99</f>
        <v>139328555.562784</v>
      </c>
      <c r="AC100" s="66" t="n">
        <f aca="false">AB100+AC99</f>
        <v>139328555.562784</v>
      </c>
      <c r="AD100" s="66" t="n">
        <f aca="false">AC100+AD99</f>
        <v>139328555.562784</v>
      </c>
      <c r="AE100" s="66" t="n">
        <f aca="false">AD100+AE99</f>
        <v>139328555.562784</v>
      </c>
      <c r="AF100" s="66" t="n">
        <f aca="false">AE100+AF99</f>
        <v>139328555.562784</v>
      </c>
      <c r="AG100" s="66" t="n">
        <f aca="false">AF100+AG99</f>
        <v>139328555.562784</v>
      </c>
      <c r="AH100" s="66" t="n">
        <f aca="false">AG100+AH99</f>
        <v>139328555.562784</v>
      </c>
      <c r="AI100" s="66" t="n">
        <f aca="false">AH100+AI99</f>
        <v>139328555.562784</v>
      </c>
      <c r="AJ100" s="66" t="n">
        <f aca="false">AI100+AJ99</f>
        <v>139328555.562784</v>
      </c>
      <c r="AK100" s="66" t="n">
        <f aca="false">AJ100+AK99</f>
        <v>139328555.562784</v>
      </c>
      <c r="AL100" s="66" t="n">
        <f aca="false">AK100+AL99</f>
        <v>139328555.562784</v>
      </c>
      <c r="AM100" s="66" t="n">
        <f aca="false">AL100+AM99</f>
        <v>139328555.562784</v>
      </c>
      <c r="AN100" s="66" t="n">
        <f aca="false">AM100+AN99</f>
        <v>139328555.562784</v>
      </c>
      <c r="AO100" s="66" t="n">
        <f aca="false">AN100+AO99</f>
        <v>139328555.562784</v>
      </c>
      <c r="AP100" s="66" t="n">
        <f aca="false">AO100+AP99</f>
        <v>139328555.562784</v>
      </c>
      <c r="AQ100" s="66" t="n">
        <f aca="false">AP100+AQ99</f>
        <v>139328555.562784</v>
      </c>
      <c r="AR100" s="66" t="n">
        <f aca="false">AQ100+AR99</f>
        <v>139328555.562784</v>
      </c>
      <c r="AS100" s="66" t="n">
        <f aca="false">AR100+AS99</f>
        <v>139328555.562784</v>
      </c>
      <c r="AT100" s="66" t="n">
        <f aca="false">AS100+AT99</f>
        <v>139328555.562784</v>
      </c>
      <c r="AU100" s="66" t="n">
        <f aca="false">AT100+AU99</f>
        <v>139328555.562784</v>
      </c>
      <c r="AV100" s="66" t="n">
        <f aca="false">AU100+AV99</f>
        <v>139328555.562784</v>
      </c>
      <c r="AW100" s="66" t="n">
        <f aca="false">AV100+AW99</f>
        <v>139328555.562784</v>
      </c>
      <c r="AX100" s="66" t="n">
        <f aca="false">AW100+AX99</f>
        <v>139328555.562784</v>
      </c>
      <c r="AY100" s="66" t="n">
        <f aca="false">AX100+AY99</f>
        <v>139328555.562784</v>
      </c>
      <c r="AZ100" s="66" t="n">
        <f aca="false">AY100+AZ99</f>
        <v>139328555.562784</v>
      </c>
      <c r="BA100" s="66" t="n">
        <f aca="false">AZ100+BA99</f>
        <v>139328555.562784</v>
      </c>
      <c r="BB100" s="66" t="n">
        <f aca="false">BA100+BB99</f>
        <v>139328555.562784</v>
      </c>
    </row>
    <row r="101" customFormat="false" ht="15" hidden="false" customHeight="true" outlineLevel="0" collapsed="false">
      <c r="B101" s="20" t="s">
        <v>501</v>
      </c>
      <c r="C101" s="59" t="s">
        <v>268</v>
      </c>
      <c r="E101" s="67" t="n">
        <f aca="false">IFERROR(IRR(E99:BB99),"-")</f>
        <v>0.331762868418731</v>
      </c>
    </row>
    <row r="103" customFormat="false" ht="15" hidden="false" customHeight="true" outlineLevel="0" collapsed="false">
      <c r="B103" s="59" t="s">
        <v>502</v>
      </c>
      <c r="C103" s="59" t="s">
        <v>11</v>
      </c>
      <c r="D103" s="63" t="n">
        <f aca="false">SUM(E103:BB103)</f>
        <v>214700432.049042</v>
      </c>
      <c r="E103" s="66" t="n">
        <f aca="false">-E56*$C$15+E94</f>
        <v>0</v>
      </c>
      <c r="F103" s="66" t="n">
        <f aca="false">-F56*$C$15+F94</f>
        <v>-4820863.87687051</v>
      </c>
      <c r="G103" s="66" t="n">
        <f aca="false">-G56*$C$15+G94</f>
        <v>-40875183.1400495</v>
      </c>
      <c r="H103" s="66" t="n">
        <f aca="false">-H56*$C$15+H94</f>
        <v>-38810485.0124786</v>
      </c>
      <c r="I103" s="66" t="n">
        <f aca="false">-I56*$C$15+I94</f>
        <v>-59417648.8582324</v>
      </c>
      <c r="J103" s="66" t="n">
        <f aca="false">-J56*$C$15+J94</f>
        <v>-2511614.39258308</v>
      </c>
      <c r="K103" s="66" t="n">
        <f aca="false">-K56*$C$15+K94</f>
        <v>-2511614.39258308</v>
      </c>
      <c r="L103" s="66" t="n">
        <f aca="false">-L56*$C$15+L94</f>
        <v>363647841.721839</v>
      </c>
      <c r="M103" s="66" t="n">
        <f aca="false">-M56*$C$15+M94</f>
        <v>0</v>
      </c>
      <c r="N103" s="66" t="n">
        <f aca="false">-N56*$C$15+N94</f>
        <v>0</v>
      </c>
      <c r="O103" s="66" t="n">
        <f aca="false">-O56*$C$15+O94</f>
        <v>0</v>
      </c>
      <c r="P103" s="66" t="n">
        <f aca="false">-P56*$C$15+P94</f>
        <v>0</v>
      </c>
      <c r="Q103" s="66" t="n">
        <f aca="false">-Q56*$C$15+Q94</f>
        <v>0</v>
      </c>
      <c r="R103" s="66" t="n">
        <f aca="false">-R56*$C$15+R94</f>
        <v>0</v>
      </c>
      <c r="S103" s="66" t="n">
        <f aca="false">-S56*$C$15+S94</f>
        <v>0</v>
      </c>
      <c r="T103" s="66" t="n">
        <f aca="false">-T56*$C$15+T94</f>
        <v>0</v>
      </c>
      <c r="U103" s="66" t="n">
        <f aca="false">-U56*$C$15+U94</f>
        <v>0</v>
      </c>
      <c r="V103" s="66" t="n">
        <f aca="false">-V56*$C$15+V94</f>
        <v>0</v>
      </c>
      <c r="W103" s="66" t="n">
        <f aca="false">-W56*$C$15+W94</f>
        <v>0</v>
      </c>
      <c r="X103" s="66" t="n">
        <f aca="false">-X56*$C$15+X94</f>
        <v>0</v>
      </c>
      <c r="Y103" s="66" t="n">
        <f aca="false">-Y56*$C$15+Y94</f>
        <v>0</v>
      </c>
      <c r="Z103" s="66" t="n">
        <f aca="false">-Z56*$C$15+Z94</f>
        <v>0</v>
      </c>
      <c r="AA103" s="66" t="n">
        <f aca="false">-AA56*$C$15+AA94</f>
        <v>0</v>
      </c>
      <c r="AB103" s="66" t="n">
        <f aca="false">-AB56*$C$15+AB94</f>
        <v>0</v>
      </c>
      <c r="AC103" s="66" t="n">
        <f aca="false">-AC56*$C$15+AC94</f>
        <v>0</v>
      </c>
      <c r="AD103" s="66" t="n">
        <f aca="false">-AD56*$C$15+AD94</f>
        <v>0</v>
      </c>
      <c r="AE103" s="66" t="n">
        <f aca="false">-AE56*$C$15+AE94</f>
        <v>0</v>
      </c>
      <c r="AF103" s="66" t="n">
        <f aca="false">-AF56*$C$15+AF94</f>
        <v>0</v>
      </c>
      <c r="AG103" s="66" t="n">
        <f aca="false">-AG56*$C$15+AG94</f>
        <v>0</v>
      </c>
      <c r="AH103" s="66" t="n">
        <f aca="false">-AH56*$C$15+AH94</f>
        <v>0</v>
      </c>
      <c r="AI103" s="66" t="n">
        <f aca="false">-AI56*$C$15+AI94</f>
        <v>0</v>
      </c>
      <c r="AJ103" s="66" t="n">
        <f aca="false">-AJ56*$C$15+AJ94</f>
        <v>0</v>
      </c>
      <c r="AK103" s="66" t="n">
        <f aca="false">-AK56*$C$15+AK94</f>
        <v>0</v>
      </c>
      <c r="AL103" s="66" t="n">
        <f aca="false">-AL56*$C$15+AL94</f>
        <v>0</v>
      </c>
      <c r="AM103" s="66" t="n">
        <f aca="false">-AM56*$C$15+AM94</f>
        <v>0</v>
      </c>
      <c r="AN103" s="66" t="n">
        <f aca="false">-AN56*$C$15+AN94</f>
        <v>0</v>
      </c>
      <c r="AO103" s="66" t="n">
        <f aca="false">-AO56*$C$15+AO94</f>
        <v>0</v>
      </c>
      <c r="AP103" s="66" t="n">
        <f aca="false">-AP56*$C$15+AP94</f>
        <v>0</v>
      </c>
      <c r="AQ103" s="66" t="n">
        <f aca="false">-AQ56*$C$15+AQ94</f>
        <v>0</v>
      </c>
      <c r="AR103" s="66" t="n">
        <f aca="false">-AR56*$C$15+AR94</f>
        <v>0</v>
      </c>
      <c r="AS103" s="66" t="n">
        <f aca="false">-AS56*$C$15+AS94</f>
        <v>0</v>
      </c>
      <c r="AT103" s="66" t="n">
        <f aca="false">-AT56*$C$15+AT94</f>
        <v>0</v>
      </c>
      <c r="AU103" s="66" t="n">
        <f aca="false">-AU56*$C$15+AU94</f>
        <v>0</v>
      </c>
      <c r="AV103" s="66" t="n">
        <f aca="false">-AV56*$C$15+AV94</f>
        <v>0</v>
      </c>
      <c r="AW103" s="66" t="n">
        <f aca="false">-AW56*$C$15+AW94</f>
        <v>0</v>
      </c>
      <c r="AX103" s="66" t="n">
        <f aca="false">-AX56*$C$15+AX94</f>
        <v>0</v>
      </c>
      <c r="AY103" s="66" t="n">
        <f aca="false">-AY56*$C$15+AY94</f>
        <v>0</v>
      </c>
      <c r="AZ103" s="66" t="n">
        <f aca="false">-AZ56*$C$15+AZ94</f>
        <v>0</v>
      </c>
      <c r="BA103" s="66" t="n">
        <f aca="false">-BA56*$C$15+BA94</f>
        <v>0</v>
      </c>
      <c r="BB103" s="66" t="n">
        <f aca="false">-BB56*$C$15+BB94</f>
        <v>0</v>
      </c>
    </row>
    <row r="104" customFormat="false" ht="15" hidden="false" customHeight="true" outlineLevel="0" collapsed="false">
      <c r="B104" s="20" t="s">
        <v>503</v>
      </c>
      <c r="C104" s="59" t="s">
        <v>268</v>
      </c>
      <c r="E104" s="67" t="n">
        <f aca="false">IFERROR(IRR(E103:BB103),"-")</f>
        <v>0.252243665655288</v>
      </c>
    </row>
    <row r="106" customFormat="false" ht="15" hidden="false" customHeight="true" outlineLevel="0" collapsed="false">
      <c r="A106" s="58" t="s">
        <v>504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customFormat="false" ht="15" hidden="false" customHeight="true" outlineLevel="0" collapsed="false">
      <c r="B107" s="59" t="s">
        <v>505</v>
      </c>
      <c r="C107" s="71" t="n">
        <f aca="false">IFERROR(IRR(E52:BB52),"-")</f>
        <v>0.177999791260126</v>
      </c>
    </row>
    <row r="108" customFormat="false" ht="15" hidden="false" customHeight="true" outlineLevel="0" collapsed="false">
      <c r="B108" s="59" t="s">
        <v>501</v>
      </c>
      <c r="C108" s="71" t="n">
        <f aca="false">E101</f>
        <v>0.331762868418731</v>
      </c>
    </row>
    <row r="109" customFormat="false" ht="15" hidden="false" customHeight="true" outlineLevel="0" collapsed="false">
      <c r="B109" s="59" t="s">
        <v>503</v>
      </c>
      <c r="C109" s="71" t="n">
        <f aca="false">E104</f>
        <v>0.252243665655288</v>
      </c>
    </row>
    <row r="110" customFormat="false" ht="15" hidden="false" customHeight="true" outlineLevel="0" collapsed="false">
      <c r="B110" s="59" t="s">
        <v>399</v>
      </c>
      <c r="C110" s="72" t="n">
        <f aca="false">IFERROR(D93/(D56*$C$16),"-")</f>
        <v>3.14446017161954</v>
      </c>
    </row>
    <row r="111" customFormat="false" ht="15" hidden="false" customHeight="true" outlineLevel="0" collapsed="false">
      <c r="B111" s="59" t="s">
        <v>400</v>
      </c>
      <c r="C111" s="72" t="n">
        <f aca="false">IFERROR(D94/(D56*$C$15),"-")</f>
        <v>2.44145126471611</v>
      </c>
    </row>
    <row r="113" customFormat="false" ht="15" hidden="false" customHeight="true" outlineLevel="0" collapsed="false">
      <c r="B113" s="59" t="s">
        <v>421</v>
      </c>
      <c r="C113" s="63" t="n">
        <f aca="false">$C$14</f>
        <v>146509895.828937</v>
      </c>
    </row>
    <row r="114" customFormat="false" ht="15" hidden="false" customHeight="true" outlineLevel="0" collapsed="false">
      <c r="B114" s="59" t="s">
        <v>506</v>
      </c>
      <c r="C114" s="63" t="n">
        <f aca="false">D57</f>
        <v>341856423.600852</v>
      </c>
    </row>
    <row r="115" customFormat="false" ht="15" hidden="false" customHeight="true" outlineLevel="0" collapsed="false">
      <c r="B115" s="59" t="s">
        <v>507</v>
      </c>
      <c r="C115" s="63" t="n">
        <f aca="false">D69</f>
        <v>71016092.1432042</v>
      </c>
    </row>
    <row r="116" customFormat="false" ht="15" hidden="false" customHeight="true" outlineLevel="0" collapsed="false">
      <c r="B116" s="59" t="s">
        <v>508</v>
      </c>
      <c r="C116" s="63" t="n">
        <f aca="false">D51</f>
        <v>600540572.416561</v>
      </c>
    </row>
    <row r="118" customFormat="false" ht="15" hidden="false" customHeight="true" outlineLevel="0" collapsed="false">
      <c r="A118" s="58" t="s">
        <v>509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customFormat="false" ht="15" hidden="false" customHeight="true" outlineLevel="0" collapsed="false">
      <c r="B119" s="59" t="s">
        <v>510</v>
      </c>
      <c r="C119" s="59" t="str">
        <f aca="false">IF(ABS(D50-(D47+D48+D49))&lt;1,"✓","✗")</f>
        <v>✓</v>
      </c>
    </row>
    <row r="120" customFormat="false" ht="15" hidden="false" customHeight="true" outlineLevel="0" collapsed="false">
      <c r="B120" s="59" t="s">
        <v>511</v>
      </c>
      <c r="C120" s="59" t="str">
        <f aca="false">IF(ABS(D56-($C$14+D70))&lt;MAX(1,$C$14*0.05),"✓","✗")</f>
        <v>✓</v>
      </c>
    </row>
    <row r="121" customFormat="false" ht="15" hidden="false" customHeight="true" outlineLevel="0" collapsed="false">
      <c r="B121" s="59" t="s">
        <v>512</v>
      </c>
      <c r="C121" s="59" t="str">
        <f aca="false">IF(D95&lt;=D75+1,"✓","✗")</f>
        <v>✓</v>
      </c>
    </row>
    <row r="122" customFormat="false" ht="15" hidden="false" customHeight="true" outlineLevel="0" collapsed="false">
      <c r="B122" s="59" t="s">
        <v>513</v>
      </c>
      <c r="C122" s="59" t="str">
        <f aca="false">IF(MIN(E60:BB60)&gt;=0,"✓","✗")</f>
        <v>✓</v>
      </c>
    </row>
    <row r="123" customFormat="false" ht="15" hidden="false" customHeight="true" outlineLevel="0" collapsed="false">
      <c r="B123" s="59" t="s">
        <v>514</v>
      </c>
      <c r="C123" s="59" t="str">
        <f aca="false">IF(ABS(D95-(D93+D94))&lt;1,"✓","✗")</f>
        <v>✓</v>
      </c>
    </row>
    <row r="124" customFormat="false" ht="15" hidden="false" customHeight="true" outlineLevel="0" collapsed="false">
      <c r="B124" s="59" t="s">
        <v>515</v>
      </c>
      <c r="C124" s="59" t="str">
        <f aca="false">IF(IFERROR(VLOOKUP($C$9+$C$24,E46:BB60,MATCH($C$9+$C$24,E46:BB46,0),FALSE()),0)&lt;=1,"✓","✗")</f>
        <v>✓</v>
      </c>
    </row>
    <row r="125" customFormat="false" ht="15" hidden="false" customHeight="true" outlineLevel="0" collapsed="false">
      <c r="A125" s="58" t="s">
        <v>516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7" customFormat="false" ht="15" hidden="false" customHeight="true" outlineLevel="0" collapsed="false">
      <c r="B127" s="59" t="s">
        <v>517</v>
      </c>
      <c r="C127" s="59" t="s">
        <v>518</v>
      </c>
      <c r="D127" s="66" t="n">
        <f aca="false">IFERROR(E52+NPV(0.1,F52:BB52),"-")</f>
        <v>86200697.754009</v>
      </c>
    </row>
    <row r="128" customFormat="false" ht="15" hidden="false" customHeight="true" outlineLevel="0" collapsed="false">
      <c r="B128" s="59" t="s">
        <v>519</v>
      </c>
      <c r="C128" s="59" t="s">
        <v>518</v>
      </c>
      <c r="D128" s="66" t="n">
        <f aca="false">IFERROR(E99+NPV(0.1,F99:BB99),"-")</f>
        <v>56470639.5563797</v>
      </c>
    </row>
    <row r="129" customFormat="false" ht="15" hidden="false" customHeight="true" outlineLevel="0" collapsed="false">
      <c r="B129" s="59" t="s">
        <v>520</v>
      </c>
      <c r="C129" s="59" t="s">
        <v>518</v>
      </c>
      <c r="D129" s="66" t="n">
        <f aca="false">IFERROR(E103+NPV(0.1,F103:BB103),"-")</f>
        <v>75725894.2862673</v>
      </c>
    </row>
    <row r="131" customFormat="false" ht="15" hidden="false" customHeight="true" outlineLevel="0" collapsed="false">
      <c r="B131" s="59" t="s">
        <v>517</v>
      </c>
      <c r="C131" s="59" t="s">
        <v>521</v>
      </c>
      <c r="D131" s="66" t="n">
        <f aca="false">IFERROR(E52+NPV(0.12,F52:BB52),"-")</f>
        <v>58092722.599281</v>
      </c>
    </row>
    <row r="132" customFormat="false" ht="15" hidden="false" customHeight="true" outlineLevel="0" collapsed="false">
      <c r="B132" s="59" t="s">
        <v>519</v>
      </c>
      <c r="C132" s="59" t="s">
        <v>521</v>
      </c>
      <c r="D132" s="66" t="n">
        <f aca="false">IFERROR(E99+NPV(0.12,F99:BB99),"-")</f>
        <v>46625352.8324396</v>
      </c>
    </row>
    <row r="133" customFormat="false" ht="15" hidden="false" customHeight="true" outlineLevel="0" collapsed="false">
      <c r="B133" s="59" t="s">
        <v>520</v>
      </c>
      <c r="C133" s="59" t="s">
        <v>521</v>
      </c>
      <c r="D133" s="66" t="n">
        <f aca="false">IFERROR(E103+NPV(0.12,F103:BB103),"-")</f>
        <v>59522881.2327009</v>
      </c>
    </row>
    <row r="135" customFormat="false" ht="15" hidden="false" customHeight="true" outlineLevel="0" collapsed="false">
      <c r="B135" s="59" t="s">
        <v>517</v>
      </c>
      <c r="C135" s="59" t="s">
        <v>522</v>
      </c>
      <c r="D135" s="66" t="n">
        <f aca="false">IFERROR(E52+NPV(0.14,F52:BB52),"-")</f>
        <v>34571937.3567768</v>
      </c>
    </row>
    <row r="136" customFormat="false" ht="15" hidden="false" customHeight="true" outlineLevel="0" collapsed="false">
      <c r="B136" s="59" t="s">
        <v>519</v>
      </c>
      <c r="C136" s="59" t="s">
        <v>522</v>
      </c>
      <c r="D136" s="66" t="n">
        <f aca="false">IFERROR(E99+NPV(0.14,F99:BB99),"-")</f>
        <v>38241162.5919363</v>
      </c>
    </row>
    <row r="137" customFormat="false" ht="15" hidden="false" customHeight="true" outlineLevel="0" collapsed="false">
      <c r="B137" s="59" t="s">
        <v>520</v>
      </c>
      <c r="C137" s="59" t="s">
        <v>522</v>
      </c>
      <c r="D137" s="66" t="n">
        <f aca="false">IFERROR(E103+NPV(0.14,F103:BB103),"-")</f>
        <v>45821594.2280006</v>
      </c>
    </row>
    <row r="140" customFormat="false" ht="15" hidden="false" customHeight="true" outlineLevel="0" collapsed="false">
      <c r="A140" s="58" t="s">
        <v>238</v>
      </c>
      <c r="B140" s="58"/>
      <c r="C140" s="58"/>
      <c r="D140" s="58"/>
    </row>
    <row r="141" customFormat="false" ht="15" hidden="true" customHeight="true" outlineLevel="1" collapsed="false">
      <c r="B141" s="59" t="s">
        <v>523</v>
      </c>
      <c r="C141" s="61" t="n">
        <f aca="false">C17</f>
        <v>386354389.52184</v>
      </c>
    </row>
    <row r="142" customFormat="false" ht="15" hidden="true" customHeight="true" outlineLevel="1" collapsed="false">
      <c r="B142" s="59" t="s">
        <v>524</v>
      </c>
      <c r="C142" s="61" t="n">
        <f aca="false">C12</f>
        <v>102011929.907948</v>
      </c>
    </row>
    <row r="143" customFormat="false" ht="15" hidden="true" customHeight="true" outlineLevel="1" collapsed="false">
      <c r="B143" s="59" t="s">
        <v>427</v>
      </c>
      <c r="C143" s="61" t="n">
        <f aca="false">C19</f>
        <v>341856423.600852</v>
      </c>
    </row>
    <row r="144" customFormat="false" ht="15" hidden="true" customHeight="true" outlineLevel="1" collapsed="false">
      <c r="B144" s="59" t="s">
        <v>421</v>
      </c>
      <c r="C144" s="61" t="n">
        <f aca="false">C14</f>
        <v>146509895.828937</v>
      </c>
    </row>
  </sheetData>
  <sheetProtection sheet="true" password="ce4b"/>
  <dataValidations count="1">
    <dataValidation allowBlank="false" errorStyle="stop" operator="between" showDropDown="false" showErrorMessage="false" showInputMessage="false" sqref="C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525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402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403</v>
      </c>
      <c r="C4" s="24" t="s">
        <v>404</v>
      </c>
      <c r="D4" s="30" t="s">
        <v>405</v>
      </c>
    </row>
    <row r="5" customFormat="false" ht="15" hidden="false" customHeight="true" outlineLevel="0" collapsed="false">
      <c r="B5" s="59" t="s">
        <v>406</v>
      </c>
      <c r="C5" s="59" t="s">
        <v>46</v>
      </c>
      <c r="D5" s="30" t="s">
        <v>407</v>
      </c>
    </row>
    <row r="6" customFormat="false" ht="15" hidden="false" customHeight="true" outlineLevel="0" collapsed="false">
      <c r="B6" s="59" t="s">
        <v>408</v>
      </c>
      <c r="C6" s="24" t="s">
        <v>87</v>
      </c>
      <c r="D6" s="30" t="s">
        <v>409</v>
      </c>
    </row>
    <row r="7" customFormat="false" ht="15" hidden="false" customHeight="true" outlineLevel="0" collapsed="false">
      <c r="B7" s="59" t="s">
        <v>410</v>
      </c>
      <c r="C7" s="24" t="s">
        <v>411</v>
      </c>
      <c r="D7" s="30" t="s">
        <v>412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  <c r="D8" s="30" t="s">
        <v>413</v>
      </c>
    </row>
    <row r="9" customFormat="false" ht="15" hidden="false" customHeight="true" outlineLevel="0" collapsed="false">
      <c r="B9" s="59" t="s">
        <v>414</v>
      </c>
      <c r="C9" s="65" t="n">
        <f aca="false">Inputs!C7+Inputs!C46-1</f>
        <v>2028</v>
      </c>
      <c r="D9" s="30" t="s">
        <v>415</v>
      </c>
    </row>
    <row r="11" customFormat="false" ht="15" hidden="false" customHeight="true" outlineLevel="0" collapsed="false">
      <c r="A11" s="58" t="s">
        <v>416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customFormat="false" ht="15" hidden="false" customHeight="true" outlineLevel="0" collapsed="false">
      <c r="B12" s="59" t="s">
        <v>417</v>
      </c>
      <c r="C12" s="61" t="n">
        <f aca="false">Inputs!E68</f>
        <v>116504793.48063</v>
      </c>
      <c r="D12" s="30" t="s">
        <v>418</v>
      </c>
    </row>
    <row r="13" customFormat="false" ht="15" hidden="false" customHeight="true" outlineLevel="0" collapsed="false">
      <c r="B13" s="59" t="s">
        <v>419</v>
      </c>
      <c r="C13" s="66" t="n">
        <f aca="false">C14-C12</f>
        <v>67247984.5840783</v>
      </c>
      <c r="D13" s="30" t="s">
        <v>420</v>
      </c>
    </row>
    <row r="14" customFormat="false" ht="15" hidden="false" customHeight="true" outlineLevel="0" collapsed="false">
      <c r="B14" s="59" t="s">
        <v>421</v>
      </c>
      <c r="C14" s="63" t="n">
        <f aca="false">C18-C19</f>
        <v>183752778.064708</v>
      </c>
      <c r="D14" s="30" t="s">
        <v>422</v>
      </c>
    </row>
    <row r="15" customFormat="false" ht="15" hidden="false" customHeight="true" outlineLevel="0" collapsed="false">
      <c r="B15" s="59" t="s">
        <v>423</v>
      </c>
      <c r="C15" s="67" t="n">
        <f aca="false">IF(C14=0,0,C12/C14)</f>
        <v>0.634030106688253</v>
      </c>
    </row>
    <row r="16" customFormat="false" ht="15" hidden="false" customHeight="true" outlineLevel="0" collapsed="false">
      <c r="B16" s="59" t="s">
        <v>398</v>
      </c>
      <c r="C16" s="67" t="n">
        <f aca="false">IF(C14=0,0,C13/C14)</f>
        <v>0.365969893311747</v>
      </c>
    </row>
    <row r="17" customFormat="false" ht="15" hidden="false" customHeight="true" outlineLevel="0" collapsed="false">
      <c r="B17" s="59" t="s">
        <v>424</v>
      </c>
      <c r="C17" s="61" t="n">
        <f aca="false">CAPEX!D37</f>
        <v>496004466.735064</v>
      </c>
    </row>
    <row r="18" customFormat="false" ht="15" hidden="false" customHeight="true" outlineLevel="0" collapsed="false">
      <c r="B18" s="59" t="s">
        <v>425</v>
      </c>
      <c r="C18" s="63" t="n">
        <f aca="false">C17+C12</f>
        <v>612509260.215694</v>
      </c>
      <c r="D18" s="30" t="s">
        <v>426</v>
      </c>
    </row>
    <row r="19" customFormat="false" ht="15" hidden="false" customHeight="true" outlineLevel="0" collapsed="false">
      <c r="B19" s="59" t="s">
        <v>427</v>
      </c>
      <c r="C19" s="61" t="n">
        <f aca="false">IF($C$22="Y",C18*Inputs!$C$85,0)</f>
        <v>428756482.150985</v>
      </c>
      <c r="D19" s="30" t="s">
        <v>428</v>
      </c>
    </row>
    <row r="21" customFormat="false" ht="15" hidden="false" customHeight="true" outlineLevel="0" collapsed="false">
      <c r="A21" s="58" t="s">
        <v>429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customFormat="false" ht="15" hidden="false" customHeight="true" outlineLevel="0" collapsed="false">
      <c r="B22" s="59" t="s">
        <v>430</v>
      </c>
      <c r="C22" s="24" t="s">
        <v>122</v>
      </c>
      <c r="D22" s="30" t="s">
        <v>431</v>
      </c>
    </row>
    <row r="23" customFormat="false" ht="15" hidden="false" customHeight="true" outlineLevel="0" collapsed="false">
      <c r="B23" s="59" t="s">
        <v>432</v>
      </c>
      <c r="C23" s="62" t="n">
        <f aca="false">Inputs!D$126</f>
        <v>0.065</v>
      </c>
      <c r="D23" s="30" t="s">
        <v>433</v>
      </c>
    </row>
    <row r="24" customFormat="false" ht="15" hidden="false" customHeight="true" outlineLevel="0" collapsed="false">
      <c r="B24" s="59" t="s">
        <v>434</v>
      </c>
      <c r="C24" s="65" t="n">
        <f aca="false">Inputs!D$127</f>
        <v>7</v>
      </c>
      <c r="D24" s="30" t="s">
        <v>435</v>
      </c>
    </row>
    <row r="25" customFormat="false" ht="15" hidden="false" customHeight="true" outlineLevel="0" collapsed="false">
      <c r="B25" s="59" t="s">
        <v>114</v>
      </c>
      <c r="C25" s="62" t="n">
        <f aca="false">Inputs!D$129</f>
        <v>0.005</v>
      </c>
      <c r="D25" s="30" t="s">
        <v>436</v>
      </c>
    </row>
    <row r="26" customFormat="false" ht="15" hidden="false" customHeight="true" outlineLevel="0" collapsed="false">
      <c r="B26" s="59" t="s">
        <v>21</v>
      </c>
      <c r="C26" s="65" t="n">
        <f aca="false">Inputs!D$128</f>
        <v>3</v>
      </c>
      <c r="D26" s="30" t="s">
        <v>437</v>
      </c>
    </row>
    <row r="28" customFormat="false" ht="15" hidden="false" customHeight="tru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customFormat="false" ht="15" hidden="false" customHeight="true" outlineLevel="0" collapsed="false">
      <c r="B29" s="59" t="s">
        <v>439</v>
      </c>
      <c r="C29" s="62" t="n">
        <f aca="false">Inputs!D$130</f>
        <v>0.02</v>
      </c>
      <c r="D29" s="30" t="s">
        <v>440</v>
      </c>
    </row>
    <row r="30" customFormat="false" ht="15" hidden="false" customHeight="true" outlineLevel="0" collapsed="false">
      <c r="B30" s="59" t="s">
        <v>441</v>
      </c>
      <c r="C30" s="62" t="n">
        <f aca="false">Inputs!D$131</f>
        <v>0.009</v>
      </c>
      <c r="D30" s="30" t="s">
        <v>442</v>
      </c>
    </row>
    <row r="31" customFormat="false" ht="15" hidden="false" customHeight="true" outlineLevel="0" collapsed="false">
      <c r="B31" s="59" t="s">
        <v>443</v>
      </c>
      <c r="C31" s="61" t="n">
        <f aca="false">Inputs!D$132</f>
        <v>130000</v>
      </c>
      <c r="D31" s="30" t="s">
        <v>444</v>
      </c>
    </row>
    <row r="32" customFormat="false" ht="15" hidden="false" customHeight="true" outlineLevel="0" collapsed="false">
      <c r="B32" s="59" t="s">
        <v>445</v>
      </c>
      <c r="C32" s="62" t="n">
        <f aca="false">Inputs!D$133</f>
        <v>0.12</v>
      </c>
      <c r="D32" s="30" t="s">
        <v>446</v>
      </c>
    </row>
    <row r="33" customFormat="false" ht="15" hidden="false" customHeight="true" outlineLevel="0" collapsed="false">
      <c r="B33" s="59" t="s">
        <v>447</v>
      </c>
      <c r="C33" s="62" t="n">
        <f aca="false">Inputs!D$134</f>
        <v>0.01</v>
      </c>
      <c r="D33" s="30" t="s">
        <v>448</v>
      </c>
    </row>
    <row r="35" customFormat="false" ht="15" hidden="false" customHeight="true" outlineLevel="0" collapsed="false">
      <c r="A35" s="58" t="s">
        <v>449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customFormat="false" ht="15" hidden="false" customHeight="true" outlineLevel="0" collapsed="false">
      <c r="B36" s="59" t="s">
        <v>120</v>
      </c>
      <c r="C36" s="62" t="n">
        <f aca="false">Inputs!D$135</f>
        <v>0.15</v>
      </c>
      <c r="D36" s="30" t="s">
        <v>450</v>
      </c>
    </row>
    <row r="37" customFormat="false" ht="15" hidden="false" customHeight="true" outlineLevel="0" collapsed="false">
      <c r="B37" s="59" t="s">
        <v>451</v>
      </c>
      <c r="C37" s="22" t="str">
        <f aca="false">Inputs!D$136</f>
        <v>Y</v>
      </c>
      <c r="D37" s="30" t="s">
        <v>452</v>
      </c>
    </row>
    <row r="38" customFormat="false" ht="15" hidden="false" customHeight="true" outlineLevel="0" collapsed="false">
      <c r="B38" s="59" t="s">
        <v>123</v>
      </c>
      <c r="C38" s="62" t="n">
        <f aca="false">Inputs!D$137</f>
        <v>0.3</v>
      </c>
      <c r="D38" s="30" t="s">
        <v>453</v>
      </c>
    </row>
    <row r="40" customFormat="false" ht="15" hidden="false" customHeight="true" outlineLevel="0" collapsed="false">
      <c r="A40" s="58" t="s">
        <v>454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customFormat="false" ht="15" hidden="false" customHeight="true" outlineLevel="0" collapsed="false">
      <c r="B41" s="59" t="s">
        <v>100</v>
      </c>
      <c r="C41" s="65" t="n">
        <f aca="false">Inputs!D$138</f>
        <v>2034</v>
      </c>
      <c r="D41" s="30" t="s">
        <v>455</v>
      </c>
    </row>
    <row r="42" customFormat="false" ht="15" hidden="false" customHeight="true" outlineLevel="0" collapsed="false">
      <c r="B42" s="59" t="s">
        <v>101</v>
      </c>
      <c r="C42" s="68" t="n">
        <f aca="false">Inputs!D$139</f>
        <v>10</v>
      </c>
      <c r="D42" s="30" t="s">
        <v>456</v>
      </c>
    </row>
    <row r="43" customFormat="false" ht="15" hidden="false" customHeight="true" outlineLevel="0" collapsed="false">
      <c r="B43" s="59" t="s">
        <v>102</v>
      </c>
      <c r="C43" s="62" t="n">
        <f aca="false">Inputs!D$140</f>
        <v>0.02</v>
      </c>
      <c r="D43" s="30" t="s">
        <v>457</v>
      </c>
    </row>
    <row r="45" customFormat="false" ht="15" hidden="false" customHeight="true" outlineLevel="0" collapsed="false">
      <c r="A45" s="58" t="s">
        <v>458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customFormat="false" ht="15" hidden="false" customHeight="true" outlineLevel="0" collapsed="false">
      <c r="C46" s="69" t="s">
        <v>262</v>
      </c>
      <c r="D46" s="69" t="s">
        <v>60</v>
      </c>
      <c r="E46" s="70" t="n">
        <f aca="false">Inputs!$C$7+0</f>
        <v>2026</v>
      </c>
      <c r="F46" s="70" t="n">
        <f aca="false">Inputs!$C$7+1</f>
        <v>2027</v>
      </c>
      <c r="G46" s="70" t="n">
        <f aca="false">Inputs!$C$7+2</f>
        <v>2028</v>
      </c>
      <c r="H46" s="70" t="n">
        <f aca="false">Inputs!$C$7+3</f>
        <v>2029</v>
      </c>
      <c r="I46" s="70" t="n">
        <f aca="false">Inputs!$C$7+4</f>
        <v>2030</v>
      </c>
      <c r="J46" s="70" t="n">
        <f aca="false">Inputs!$C$7+5</f>
        <v>2031</v>
      </c>
      <c r="K46" s="70" t="n">
        <f aca="false">Inputs!$C$7+6</f>
        <v>2032</v>
      </c>
      <c r="L46" s="70" t="n">
        <f aca="false">Inputs!$C$7+7</f>
        <v>2033</v>
      </c>
      <c r="M46" s="70" t="n">
        <f aca="false">Inputs!$C$7+8</f>
        <v>2034</v>
      </c>
      <c r="N46" s="70" t="n">
        <f aca="false">Inputs!$C$7+9</f>
        <v>2035</v>
      </c>
      <c r="O46" s="70" t="n">
        <f aca="false">Inputs!$C$7+10</f>
        <v>2036</v>
      </c>
      <c r="P46" s="70" t="n">
        <f aca="false">Inputs!$C$7+11</f>
        <v>2037</v>
      </c>
      <c r="Q46" s="70" t="n">
        <f aca="false">Inputs!$C$7+12</f>
        <v>2038</v>
      </c>
      <c r="R46" s="70" t="n">
        <f aca="false">Inputs!$C$7+13</f>
        <v>2039</v>
      </c>
      <c r="S46" s="70" t="n">
        <f aca="false">Inputs!$C$7+14</f>
        <v>2040</v>
      </c>
      <c r="T46" s="70" t="n">
        <f aca="false">Inputs!$C$7+15</f>
        <v>2041</v>
      </c>
      <c r="U46" s="70" t="n">
        <f aca="false">Inputs!$C$7+16</f>
        <v>2042</v>
      </c>
      <c r="V46" s="70" t="n">
        <f aca="false">Inputs!$C$7+17</f>
        <v>2043</v>
      </c>
      <c r="W46" s="70" t="n">
        <f aca="false">Inputs!$C$7+18</f>
        <v>2044</v>
      </c>
      <c r="X46" s="70" t="n">
        <f aca="false">Inputs!$C$7+19</f>
        <v>2045</v>
      </c>
      <c r="Y46" s="70" t="n">
        <f aca="false">Inputs!$C$7+20</f>
        <v>2046</v>
      </c>
      <c r="Z46" s="70" t="n">
        <f aca="false">Inputs!$C$7+21</f>
        <v>2047</v>
      </c>
      <c r="AA46" s="70" t="n">
        <f aca="false">Inputs!$C$7+22</f>
        <v>2048</v>
      </c>
      <c r="AB46" s="70" t="n">
        <f aca="false">Inputs!$C$7+23</f>
        <v>2049</v>
      </c>
      <c r="AC46" s="70" t="n">
        <f aca="false">Inputs!$C$7+24</f>
        <v>2050</v>
      </c>
      <c r="AD46" s="70" t="n">
        <f aca="false">Inputs!$C$7+25</f>
        <v>2051</v>
      </c>
      <c r="AE46" s="70" t="n">
        <f aca="false">Inputs!$C$7+26</f>
        <v>2052</v>
      </c>
      <c r="AF46" s="70" t="n">
        <f aca="false">Inputs!$C$7+27</f>
        <v>2053</v>
      </c>
      <c r="AG46" s="70" t="n">
        <f aca="false">Inputs!$C$7+28</f>
        <v>2054</v>
      </c>
      <c r="AH46" s="70" t="n">
        <f aca="false">Inputs!$C$7+29</f>
        <v>2055</v>
      </c>
      <c r="AI46" s="70" t="n">
        <f aca="false">Inputs!$C$7+30</f>
        <v>2056</v>
      </c>
      <c r="AJ46" s="70" t="n">
        <f aca="false">Inputs!$C$7+31</f>
        <v>2057</v>
      </c>
      <c r="AK46" s="70" t="n">
        <f aca="false">Inputs!$C$7+32</f>
        <v>2058</v>
      </c>
      <c r="AL46" s="70" t="n">
        <f aca="false">Inputs!$C$7+33</f>
        <v>2059</v>
      </c>
      <c r="AM46" s="70" t="n">
        <f aca="false">Inputs!$C$7+34</f>
        <v>2060</v>
      </c>
      <c r="AN46" s="70" t="n">
        <f aca="false">Inputs!$C$7+35</f>
        <v>2061</v>
      </c>
      <c r="AO46" s="70" t="n">
        <f aca="false">Inputs!$C$7+36</f>
        <v>2062</v>
      </c>
      <c r="AP46" s="70" t="n">
        <f aca="false">Inputs!$C$7+37</f>
        <v>2063</v>
      </c>
      <c r="AQ46" s="70" t="n">
        <f aca="false">Inputs!$C$7+38</f>
        <v>2064</v>
      </c>
      <c r="AR46" s="70" t="n">
        <f aca="false">Inputs!$C$7+39</f>
        <v>2065</v>
      </c>
      <c r="AS46" s="70" t="n">
        <f aca="false">Inputs!$C$7+40</f>
        <v>2066</v>
      </c>
      <c r="AT46" s="70" t="n">
        <f aca="false">Inputs!$C$7+41</f>
        <v>2067</v>
      </c>
      <c r="AU46" s="70" t="n">
        <f aca="false">Inputs!$C$7+42</f>
        <v>2068</v>
      </c>
      <c r="AV46" s="70" t="n">
        <f aca="false">Inputs!$C$7+43</f>
        <v>2069</v>
      </c>
      <c r="AW46" s="70" t="n">
        <f aca="false">Inputs!$C$7+44</f>
        <v>2070</v>
      </c>
      <c r="AX46" s="70" t="n">
        <f aca="false">Inputs!$C$7+45</f>
        <v>2071</v>
      </c>
      <c r="AY46" s="70" t="n">
        <f aca="false">Inputs!$C$7+46</f>
        <v>2072</v>
      </c>
      <c r="AZ46" s="70" t="n">
        <f aca="false">Inputs!$C$7+47</f>
        <v>2073</v>
      </c>
      <c r="BA46" s="70" t="n">
        <f aca="false">Inputs!$C$7+48</f>
        <v>2074</v>
      </c>
      <c r="BB46" s="70" t="n">
        <f aca="false">Inputs!$C$7+49</f>
        <v>2075</v>
      </c>
    </row>
    <row r="47" customFormat="false" ht="15" hidden="false" customHeight="true" outlineLevel="0" collapsed="false">
      <c r="B47" s="59" t="s">
        <v>459</v>
      </c>
      <c r="C47" s="59" t="s">
        <v>11</v>
      </c>
      <c r="D47" s="63" t="n">
        <f aca="false">SUM(E47:BB47)</f>
        <v>4387775166.38575</v>
      </c>
      <c r="E47" s="61" t="n">
        <f aca="false">CashFlow!D12</f>
        <v>0</v>
      </c>
      <c r="F47" s="61" t="n">
        <f aca="false">CashFlow!E12</f>
        <v>0</v>
      </c>
      <c r="G47" s="61" t="n">
        <f aca="false">CashFlow!F12</f>
        <v>0</v>
      </c>
      <c r="H47" s="61" t="n">
        <f aca="false">CashFlow!G12</f>
        <v>0</v>
      </c>
      <c r="I47" s="61" t="n">
        <f aca="false">CashFlow!H12</f>
        <v>0</v>
      </c>
      <c r="J47" s="61" t="n">
        <f aca="false">CashFlow!I12</f>
        <v>10496250</v>
      </c>
      <c r="K47" s="61" t="n">
        <f aca="false">CashFlow!J12</f>
        <v>34783830</v>
      </c>
      <c r="L47" s="61" t="n">
        <f aca="false">CashFlow!K12</f>
        <v>58518611.5209688</v>
      </c>
      <c r="M47" s="61" t="n">
        <f aca="false">CashFlow!L12</f>
        <v>77682569.7899327</v>
      </c>
      <c r="N47" s="61" t="n">
        <f aca="false">CashFlow!M12</f>
        <v>83187740.6003075</v>
      </c>
      <c r="O47" s="61" t="n">
        <f aca="false">CashFlow!N12</f>
        <v>88771119.3282873</v>
      </c>
      <c r="P47" s="61" t="n">
        <f aca="false">CashFlow!O12</f>
        <v>89436902.7232495</v>
      </c>
      <c r="Q47" s="61" t="n">
        <f aca="false">CashFlow!P12</f>
        <v>90107679.4936739</v>
      </c>
      <c r="R47" s="61" t="n">
        <f aca="false">CashFlow!Q12</f>
        <v>90783487.0898764</v>
      </c>
      <c r="S47" s="61" t="n">
        <f aca="false">CashFlow!R12</f>
        <v>91464363.2430505</v>
      </c>
      <c r="T47" s="61" t="n">
        <f aca="false">CashFlow!S12</f>
        <v>92150345.9673734</v>
      </c>
      <c r="U47" s="61" t="n">
        <f aca="false">CashFlow!T12</f>
        <v>92841473.5621287</v>
      </c>
      <c r="V47" s="61" t="n">
        <f aca="false">CashFlow!U12</f>
        <v>93537784.6138447</v>
      </c>
      <c r="W47" s="61" t="n">
        <f aca="false">CashFlow!V12</f>
        <v>94239317.9984485</v>
      </c>
      <c r="X47" s="61" t="n">
        <f aca="false">CashFlow!W12</f>
        <v>94946112.8834369</v>
      </c>
      <c r="Y47" s="61" t="n">
        <f aca="false">CashFlow!X12</f>
        <v>95658208.7300627</v>
      </c>
      <c r="Z47" s="61" t="n">
        <f aca="false">CashFlow!Y12</f>
        <v>96375645.2955381</v>
      </c>
      <c r="AA47" s="61" t="n">
        <f aca="false">CashFlow!Z12</f>
        <v>97098462.6352547</v>
      </c>
      <c r="AB47" s="61" t="n">
        <f aca="false">CashFlow!AA12</f>
        <v>97826701.1050191</v>
      </c>
      <c r="AC47" s="61" t="n">
        <f aca="false">CashFlow!AB12</f>
        <v>98560401.3633068</v>
      </c>
      <c r="AD47" s="61" t="n">
        <f aca="false">CashFlow!AC12</f>
        <v>99299604.3735316</v>
      </c>
      <c r="AE47" s="61" t="n">
        <f aca="false">CashFlow!AD12</f>
        <v>100044351.406333</v>
      </c>
      <c r="AF47" s="61" t="n">
        <f aca="false">CashFlow!AE12</f>
        <v>100794684.041881</v>
      </c>
      <c r="AG47" s="61" t="n">
        <f aca="false">CashFlow!AF12</f>
        <v>101550644.172195</v>
      </c>
      <c r="AH47" s="61" t="n">
        <f aca="false">CashFlow!AG12</f>
        <v>102312274.003486</v>
      </c>
      <c r="AI47" s="61" t="n">
        <f aca="false">CashFlow!AH12</f>
        <v>103079616.058512</v>
      </c>
      <c r="AJ47" s="61" t="n">
        <f aca="false">CashFlow!AI12</f>
        <v>103852713.178951</v>
      </c>
      <c r="AK47" s="61" t="n">
        <f aca="false">CashFlow!AJ12</f>
        <v>104631608.527793</v>
      </c>
      <c r="AL47" s="61" t="n">
        <f aca="false">CashFlow!AK12</f>
        <v>105416345.591752</v>
      </c>
      <c r="AM47" s="61" t="n">
        <f aca="false">CashFlow!AL12</f>
        <v>106206968.18369</v>
      </c>
      <c r="AN47" s="61" t="n">
        <f aca="false">CashFlow!AM12</f>
        <v>107003520.445068</v>
      </c>
      <c r="AO47" s="61" t="n">
        <f aca="false">CashFlow!AN12</f>
        <v>107806046.848406</v>
      </c>
      <c r="AP47" s="61" t="n">
        <f aca="false">CashFlow!AO12</f>
        <v>108614592.199769</v>
      </c>
      <c r="AQ47" s="61" t="n">
        <f aca="false">CashFlow!AP12</f>
        <v>109429201.641267</v>
      </c>
      <c r="AR47" s="61" t="n">
        <f aca="false">CashFlow!AQ12</f>
        <v>110249920.653576</v>
      </c>
      <c r="AS47" s="61" t="n">
        <f aca="false">CashFlow!AR12</f>
        <v>111076795.058478</v>
      </c>
      <c r="AT47" s="61" t="n">
        <f aca="false">CashFlow!AS12</f>
        <v>111909871.021417</v>
      </c>
      <c r="AU47" s="61" t="n">
        <f aca="false">CashFlow!AT12</f>
        <v>112749195.054077</v>
      </c>
      <c r="AV47" s="61" t="n">
        <f aca="false">CashFlow!AU12</f>
        <v>113594814.016983</v>
      </c>
      <c r="AW47" s="61" t="n">
        <f aca="false">CashFlow!AV12</f>
        <v>114446775.12211</v>
      </c>
      <c r="AX47" s="61" t="n">
        <f aca="false">CashFlow!AW12</f>
        <v>115305125.935526</v>
      </c>
      <c r="AY47" s="61" t="n">
        <f aca="false">CashFlow!AX12</f>
        <v>116169914.380043</v>
      </c>
      <c r="AZ47" s="61" t="n">
        <f aca="false">CashFlow!AY12</f>
        <v>117041188.737893</v>
      </c>
      <c r="BA47" s="61" t="n">
        <f aca="false">CashFlow!AZ12</f>
        <v>117918997.653427</v>
      </c>
      <c r="BB47" s="61" t="n">
        <f aca="false">CashFlow!BA12</f>
        <v>118803390.135828</v>
      </c>
    </row>
    <row r="48" customFormat="false" ht="15" hidden="false" customHeight="true" outlineLevel="0" collapsed="false">
      <c r="B48" s="59" t="s">
        <v>460</v>
      </c>
      <c r="C48" s="59" t="s">
        <v>11</v>
      </c>
      <c r="D48" s="63" t="n">
        <f aca="false">SUM(E48:BB48)</f>
        <v>-127414440.183331</v>
      </c>
      <c r="E48" s="61" t="n">
        <f aca="false">CashFlow!D13</f>
        <v>-0</v>
      </c>
      <c r="F48" s="61" t="n">
        <f aca="false">CashFlow!E13</f>
        <v>-0</v>
      </c>
      <c r="G48" s="61" t="n">
        <f aca="false">CashFlow!F13</f>
        <v>-0</v>
      </c>
      <c r="H48" s="61" t="n">
        <f aca="false">CashFlow!G13</f>
        <v>-0</v>
      </c>
      <c r="I48" s="61" t="n">
        <f aca="false">CashFlow!H13</f>
        <v>-0</v>
      </c>
      <c r="J48" s="61" t="n">
        <f aca="false">CashFlow!I13</f>
        <v>-2311045.1540593</v>
      </c>
      <c r="K48" s="61" t="n">
        <f aca="false">CashFlow!J13</f>
        <v>-2311045.1540593</v>
      </c>
      <c r="L48" s="61" t="n">
        <f aca="false">CashFlow!K13</f>
        <v>-2311045.1540593</v>
      </c>
      <c r="M48" s="61" t="n">
        <f aca="false">CashFlow!L13</f>
        <v>-2311045.1540593</v>
      </c>
      <c r="N48" s="61" t="n">
        <f aca="false">CashFlow!M13</f>
        <v>-2311045.1540593</v>
      </c>
      <c r="O48" s="61" t="n">
        <f aca="false">CashFlow!N13</f>
        <v>-2426597.41176226</v>
      </c>
      <c r="P48" s="61" t="n">
        <f aca="false">CashFlow!O13</f>
        <v>-2426597.41176226</v>
      </c>
      <c r="Q48" s="61" t="n">
        <f aca="false">CashFlow!P13</f>
        <v>-2426597.41176226</v>
      </c>
      <c r="R48" s="61" t="n">
        <f aca="false">CashFlow!Q13</f>
        <v>-2426597.41176226</v>
      </c>
      <c r="S48" s="61" t="n">
        <f aca="false">CashFlow!R13</f>
        <v>-2426597.41176226</v>
      </c>
      <c r="T48" s="61" t="n">
        <f aca="false">CashFlow!S13</f>
        <v>-2547927.28235038</v>
      </c>
      <c r="U48" s="61" t="n">
        <f aca="false">CashFlow!T13</f>
        <v>-2547927.28235038</v>
      </c>
      <c r="V48" s="61" t="n">
        <f aca="false">CashFlow!U13</f>
        <v>-2547927.28235038</v>
      </c>
      <c r="W48" s="61" t="n">
        <f aca="false">CashFlow!V13</f>
        <v>-2547927.28235038</v>
      </c>
      <c r="X48" s="61" t="n">
        <f aca="false">CashFlow!W13</f>
        <v>-2547927.28235038</v>
      </c>
      <c r="Y48" s="61" t="n">
        <f aca="false">CashFlow!X13</f>
        <v>-2675323.6464679</v>
      </c>
      <c r="Z48" s="61" t="n">
        <f aca="false">CashFlow!Y13</f>
        <v>-2675323.6464679</v>
      </c>
      <c r="AA48" s="61" t="n">
        <f aca="false">CashFlow!Z13</f>
        <v>-2675323.6464679</v>
      </c>
      <c r="AB48" s="61" t="n">
        <f aca="false">CashFlow!AA13</f>
        <v>-2675323.6464679</v>
      </c>
      <c r="AC48" s="61" t="n">
        <f aca="false">CashFlow!AB13</f>
        <v>-2675323.6464679</v>
      </c>
      <c r="AD48" s="61" t="n">
        <f aca="false">CashFlow!AC13</f>
        <v>-2809089.82879129</v>
      </c>
      <c r="AE48" s="61" t="n">
        <f aca="false">CashFlow!AD13</f>
        <v>-2809089.82879129</v>
      </c>
      <c r="AF48" s="61" t="n">
        <f aca="false">CashFlow!AE13</f>
        <v>-2809089.82879129</v>
      </c>
      <c r="AG48" s="61" t="n">
        <f aca="false">CashFlow!AF13</f>
        <v>-2809089.82879129</v>
      </c>
      <c r="AH48" s="61" t="n">
        <f aca="false">CashFlow!AG13</f>
        <v>-2809089.82879129</v>
      </c>
      <c r="AI48" s="61" t="n">
        <f aca="false">CashFlow!AH13</f>
        <v>-2949544.32023086</v>
      </c>
      <c r="AJ48" s="61" t="n">
        <f aca="false">CashFlow!AI13</f>
        <v>-2949544.32023086</v>
      </c>
      <c r="AK48" s="61" t="n">
        <f aca="false">CashFlow!AJ13</f>
        <v>-2949544.32023086</v>
      </c>
      <c r="AL48" s="61" t="n">
        <f aca="false">CashFlow!AK13</f>
        <v>-2949544.32023086</v>
      </c>
      <c r="AM48" s="61" t="n">
        <f aca="false">CashFlow!AL13</f>
        <v>-2949544.32023086</v>
      </c>
      <c r="AN48" s="61" t="n">
        <f aca="false">CashFlow!AM13</f>
        <v>-3097021.5362424</v>
      </c>
      <c r="AO48" s="61" t="n">
        <f aca="false">CashFlow!AN13</f>
        <v>-3097021.5362424</v>
      </c>
      <c r="AP48" s="61" t="n">
        <f aca="false">CashFlow!AO13</f>
        <v>-3097021.5362424</v>
      </c>
      <c r="AQ48" s="61" t="n">
        <f aca="false">CashFlow!AP13</f>
        <v>-3097021.5362424</v>
      </c>
      <c r="AR48" s="61" t="n">
        <f aca="false">CashFlow!AQ13</f>
        <v>-3097021.5362424</v>
      </c>
      <c r="AS48" s="61" t="n">
        <f aca="false">CashFlow!AR13</f>
        <v>-3251872.61305452</v>
      </c>
      <c r="AT48" s="61" t="n">
        <f aca="false">CashFlow!AS13</f>
        <v>-3251872.61305452</v>
      </c>
      <c r="AU48" s="61" t="n">
        <f aca="false">CashFlow!AT13</f>
        <v>-3251872.61305452</v>
      </c>
      <c r="AV48" s="61" t="n">
        <f aca="false">CashFlow!AU13</f>
        <v>-3251872.61305452</v>
      </c>
      <c r="AW48" s="61" t="n">
        <f aca="false">CashFlow!AV13</f>
        <v>-3251872.61305452</v>
      </c>
      <c r="AX48" s="61" t="n">
        <f aca="false">CashFlow!AW13</f>
        <v>-3414466.24370725</v>
      </c>
      <c r="AY48" s="61" t="n">
        <f aca="false">CashFlow!AX13</f>
        <v>-3414466.24370725</v>
      </c>
      <c r="AZ48" s="61" t="n">
        <f aca="false">CashFlow!AY13</f>
        <v>-3414466.24370725</v>
      </c>
      <c r="BA48" s="61" t="n">
        <f aca="false">CashFlow!AZ13</f>
        <v>-3414466.24370725</v>
      </c>
      <c r="BB48" s="61" t="n">
        <f aca="false">CashFlow!BA13</f>
        <v>-3414466.24370725</v>
      </c>
    </row>
    <row r="49" customFormat="false" ht="15" hidden="false" customHeight="true" outlineLevel="0" collapsed="false">
      <c r="B49" s="59" t="s">
        <v>461</v>
      </c>
      <c r="C49" s="59" t="s">
        <v>11</v>
      </c>
      <c r="D49" s="63" t="n">
        <f aca="false">SUM(E49:BB49)</f>
        <v>-496004466.735064</v>
      </c>
      <c r="E49" s="61" t="n">
        <f aca="false">CashFlow!D14</f>
        <v>-0</v>
      </c>
      <c r="F49" s="61" t="n">
        <f aca="false">CashFlow!E14</f>
        <v>-0</v>
      </c>
      <c r="G49" s="61" t="n">
        <f aca="false">CashFlow!F14</f>
        <v>-0</v>
      </c>
      <c r="H49" s="61" t="n">
        <f aca="false">CashFlow!G14</f>
        <v>-169571301.9</v>
      </c>
      <c r="I49" s="61" t="n">
        <f aca="false">CashFlow!H14</f>
        <v>-206151187.635064</v>
      </c>
      <c r="J49" s="61" t="n">
        <f aca="false">CashFlow!I14</f>
        <v>-93393577.2</v>
      </c>
      <c r="K49" s="61" t="n">
        <f aca="false">CashFlow!J14</f>
        <v>-26888400</v>
      </c>
      <c r="L49" s="61" t="n">
        <f aca="false">CashFlow!K14</f>
        <v>-0</v>
      </c>
      <c r="M49" s="61" t="n">
        <f aca="false">CashFlow!L14</f>
        <v>-0</v>
      </c>
      <c r="N49" s="61" t="n">
        <f aca="false">CashFlow!M14</f>
        <v>-0</v>
      </c>
      <c r="O49" s="61" t="n">
        <f aca="false">CashFlow!N14</f>
        <v>-0</v>
      </c>
      <c r="P49" s="61" t="n">
        <f aca="false">CashFlow!O14</f>
        <v>-0</v>
      </c>
      <c r="Q49" s="61" t="n">
        <f aca="false">CashFlow!P14</f>
        <v>-0</v>
      </c>
      <c r="R49" s="61" t="n">
        <f aca="false">CashFlow!Q14</f>
        <v>-0</v>
      </c>
      <c r="S49" s="61" t="n">
        <f aca="false">CashFlow!R14</f>
        <v>-0</v>
      </c>
      <c r="T49" s="61" t="n">
        <f aca="false">CashFlow!S14</f>
        <v>-0</v>
      </c>
      <c r="U49" s="61" t="n">
        <f aca="false">CashFlow!T14</f>
        <v>-0</v>
      </c>
      <c r="V49" s="61" t="n">
        <f aca="false">CashFlow!U14</f>
        <v>-0</v>
      </c>
      <c r="W49" s="61" t="n">
        <f aca="false">CashFlow!V14</f>
        <v>-0</v>
      </c>
      <c r="X49" s="61" t="n">
        <f aca="false">CashFlow!W14</f>
        <v>-0</v>
      </c>
      <c r="Y49" s="61" t="n">
        <f aca="false">CashFlow!X14</f>
        <v>-0</v>
      </c>
      <c r="Z49" s="61" t="n">
        <f aca="false">CashFlow!Y14</f>
        <v>-0</v>
      </c>
      <c r="AA49" s="61" t="n">
        <f aca="false">CashFlow!Z14</f>
        <v>-0</v>
      </c>
      <c r="AB49" s="61" t="n">
        <f aca="false">CashFlow!AA14</f>
        <v>-0</v>
      </c>
      <c r="AC49" s="61" t="n">
        <f aca="false">CashFlow!AB14</f>
        <v>-0</v>
      </c>
      <c r="AD49" s="61" t="n">
        <f aca="false">CashFlow!AC14</f>
        <v>-0</v>
      </c>
      <c r="AE49" s="61" t="n">
        <f aca="false">CashFlow!AD14</f>
        <v>-0</v>
      </c>
      <c r="AF49" s="61" t="n">
        <f aca="false">CashFlow!AE14</f>
        <v>-0</v>
      </c>
      <c r="AG49" s="61" t="n">
        <f aca="false">CashFlow!AF14</f>
        <v>-0</v>
      </c>
      <c r="AH49" s="61" t="n">
        <f aca="false">CashFlow!AG14</f>
        <v>-0</v>
      </c>
      <c r="AI49" s="61" t="n">
        <f aca="false">CashFlow!AH14</f>
        <v>-0</v>
      </c>
      <c r="AJ49" s="61" t="n">
        <f aca="false">CashFlow!AI14</f>
        <v>-0</v>
      </c>
      <c r="AK49" s="61" t="n">
        <f aca="false">CashFlow!AJ14</f>
        <v>-0</v>
      </c>
      <c r="AL49" s="61" t="n">
        <f aca="false">CashFlow!AK14</f>
        <v>-0</v>
      </c>
      <c r="AM49" s="61" t="n">
        <f aca="false">CashFlow!AL14</f>
        <v>-0</v>
      </c>
      <c r="AN49" s="61" t="n">
        <f aca="false">CashFlow!AM14</f>
        <v>-0</v>
      </c>
      <c r="AO49" s="61" t="n">
        <f aca="false">CashFlow!AN14</f>
        <v>-0</v>
      </c>
      <c r="AP49" s="61" t="n">
        <f aca="false">CashFlow!AO14</f>
        <v>-0</v>
      </c>
      <c r="AQ49" s="61" t="n">
        <f aca="false">CashFlow!AP14</f>
        <v>-0</v>
      </c>
      <c r="AR49" s="61" t="n">
        <f aca="false">CashFlow!AQ14</f>
        <v>-0</v>
      </c>
      <c r="AS49" s="61" t="n">
        <f aca="false">CashFlow!AR14</f>
        <v>-0</v>
      </c>
      <c r="AT49" s="61" t="n">
        <f aca="false">CashFlow!AS14</f>
        <v>-0</v>
      </c>
      <c r="AU49" s="61" t="n">
        <f aca="false">CashFlow!AT14</f>
        <v>-0</v>
      </c>
      <c r="AV49" s="61" t="n">
        <f aca="false">CashFlow!AU14</f>
        <v>-0</v>
      </c>
      <c r="AW49" s="61" t="n">
        <f aca="false">CashFlow!AV14</f>
        <v>-0</v>
      </c>
      <c r="AX49" s="61" t="n">
        <f aca="false">CashFlow!AW14</f>
        <v>-0</v>
      </c>
      <c r="AY49" s="61" t="n">
        <f aca="false">CashFlow!AX14</f>
        <v>-0</v>
      </c>
      <c r="AZ49" s="61" t="n">
        <f aca="false">CashFlow!AY14</f>
        <v>-0</v>
      </c>
      <c r="BA49" s="61" t="n">
        <f aca="false">CashFlow!AZ14</f>
        <v>-0</v>
      </c>
      <c r="BB49" s="61" t="n">
        <f aca="false">CashFlow!BA14</f>
        <v>-0</v>
      </c>
    </row>
    <row r="50" customFormat="false" ht="15" hidden="false" customHeight="true" outlineLevel="0" collapsed="false">
      <c r="B50" s="20" t="s">
        <v>462</v>
      </c>
      <c r="C50" s="59" t="s">
        <v>11</v>
      </c>
      <c r="D50" s="63" t="n">
        <f aca="false">SUM(E50:BB50)</f>
        <v>3764356259.46736</v>
      </c>
      <c r="E50" s="63" t="n">
        <f aca="false">E47+E48+E49</f>
        <v>0</v>
      </c>
      <c r="F50" s="63" t="n">
        <f aca="false">F47+F48+F49</f>
        <v>0</v>
      </c>
      <c r="G50" s="63" t="n">
        <f aca="false">G47+G48+G49</f>
        <v>0</v>
      </c>
      <c r="H50" s="63" t="n">
        <f aca="false">H47+H48+H49</f>
        <v>-169571301.9</v>
      </c>
      <c r="I50" s="63" t="n">
        <f aca="false">I47+I48+I49</f>
        <v>-206151187.635064</v>
      </c>
      <c r="J50" s="63" t="n">
        <f aca="false">J47+J48+J49</f>
        <v>-85208372.3540593</v>
      </c>
      <c r="K50" s="63" t="n">
        <f aca="false">K47+K48+K49</f>
        <v>5584384.8459407</v>
      </c>
      <c r="L50" s="63" t="n">
        <f aca="false">L47+L48+L49</f>
        <v>56207566.3669095</v>
      </c>
      <c r="M50" s="63" t="n">
        <f aca="false">M47+M48+M49</f>
        <v>75371524.6358734</v>
      </c>
      <c r="N50" s="63" t="n">
        <f aca="false">N47+N48+N49</f>
        <v>80876695.4462482</v>
      </c>
      <c r="O50" s="63" t="n">
        <f aca="false">O47+O48+O49</f>
        <v>86344521.9165251</v>
      </c>
      <c r="P50" s="63" t="n">
        <f aca="false">P47+P48+P49</f>
        <v>87010305.3114872</v>
      </c>
      <c r="Q50" s="63" t="n">
        <f aca="false">Q47+Q48+Q49</f>
        <v>87681082.0819116</v>
      </c>
      <c r="R50" s="63" t="n">
        <f aca="false">R47+R48+R49</f>
        <v>88356889.6781142</v>
      </c>
      <c r="S50" s="63" t="n">
        <f aca="false">S47+S48+S49</f>
        <v>89037765.8312883</v>
      </c>
      <c r="T50" s="63" t="n">
        <f aca="false">T47+T48+T49</f>
        <v>89602418.685023</v>
      </c>
      <c r="U50" s="63" t="n">
        <f aca="false">U47+U48+U49</f>
        <v>90293546.2797783</v>
      </c>
      <c r="V50" s="63" t="n">
        <f aca="false">V47+V48+V49</f>
        <v>90989857.3314943</v>
      </c>
      <c r="W50" s="63" t="n">
        <f aca="false">W47+W48+W49</f>
        <v>91691390.7160981</v>
      </c>
      <c r="X50" s="63" t="n">
        <f aca="false">X47+X48+X49</f>
        <v>92398185.6010865</v>
      </c>
      <c r="Y50" s="63" t="n">
        <f aca="false">Y47+Y48+Y49</f>
        <v>92982885.0835948</v>
      </c>
      <c r="Z50" s="63" t="n">
        <f aca="false">Z47+Z48+Z49</f>
        <v>93700321.6490703</v>
      </c>
      <c r="AA50" s="63" t="n">
        <f aca="false">AA47+AA48+AA49</f>
        <v>94423138.9887868</v>
      </c>
      <c r="AB50" s="63" t="n">
        <f aca="false">AB47+AB48+AB49</f>
        <v>95151377.4585512</v>
      </c>
      <c r="AC50" s="63" t="n">
        <f aca="false">AC47+AC48+AC49</f>
        <v>95885077.7168389</v>
      </c>
      <c r="AD50" s="63" t="n">
        <f aca="false">AD47+AD48+AD49</f>
        <v>96490514.5447403</v>
      </c>
      <c r="AE50" s="63" t="n">
        <f aca="false">AE47+AE48+AE49</f>
        <v>97235261.5775418</v>
      </c>
      <c r="AF50" s="63" t="n">
        <f aca="false">AF47+AF48+AF49</f>
        <v>97985594.2130893</v>
      </c>
      <c r="AG50" s="63" t="n">
        <f aca="false">AG47+AG48+AG49</f>
        <v>98741554.3434034</v>
      </c>
      <c r="AH50" s="63" t="n">
        <f aca="false">AH47+AH48+AH49</f>
        <v>99503184.1746948</v>
      </c>
      <c r="AI50" s="63" t="n">
        <f aca="false">AI47+AI48+AI49</f>
        <v>100130071.738281</v>
      </c>
      <c r="AJ50" s="63" t="n">
        <f aca="false">AJ47+AJ48+AJ49</f>
        <v>100903168.85872</v>
      </c>
      <c r="AK50" s="63" t="n">
        <f aca="false">AK47+AK48+AK49</f>
        <v>101682064.207562</v>
      </c>
      <c r="AL50" s="63" t="n">
        <f aca="false">AL47+AL48+AL49</f>
        <v>102466801.271521</v>
      </c>
      <c r="AM50" s="63" t="n">
        <f aca="false">AM47+AM48+AM49</f>
        <v>103257423.863459</v>
      </c>
      <c r="AN50" s="63" t="n">
        <f aca="false">AN47+AN48+AN49</f>
        <v>103906498.908825</v>
      </c>
      <c r="AO50" s="63" t="n">
        <f aca="false">AO47+AO48+AO49</f>
        <v>104709025.312163</v>
      </c>
      <c r="AP50" s="63" t="n">
        <f aca="false">AP47+AP48+AP49</f>
        <v>105517570.663526</v>
      </c>
      <c r="AQ50" s="63" t="n">
        <f aca="false">AQ47+AQ48+AQ49</f>
        <v>106332180.105024</v>
      </c>
      <c r="AR50" s="63" t="n">
        <f aca="false">AR47+AR48+AR49</f>
        <v>107152899.117334</v>
      </c>
      <c r="AS50" s="63" t="n">
        <f aca="false">AS47+AS48+AS49</f>
        <v>107824922.445424</v>
      </c>
      <c r="AT50" s="63" t="n">
        <f aca="false">AT47+AT48+AT49</f>
        <v>108657998.408362</v>
      </c>
      <c r="AU50" s="63" t="n">
        <f aca="false">AU47+AU48+AU49</f>
        <v>109497322.441023</v>
      </c>
      <c r="AV50" s="63" t="n">
        <f aca="false">AV47+AV48+AV49</f>
        <v>110342941.403929</v>
      </c>
      <c r="AW50" s="63" t="n">
        <f aca="false">AW47+AW48+AW49</f>
        <v>111194902.509056</v>
      </c>
      <c r="AX50" s="63" t="n">
        <f aca="false">AX47+AX48+AX49</f>
        <v>111890659.691819</v>
      </c>
      <c r="AY50" s="63" t="n">
        <f aca="false">AY47+AY48+AY49</f>
        <v>112755448.136335</v>
      </c>
      <c r="AZ50" s="63" t="n">
        <f aca="false">AZ47+AZ48+AZ49</f>
        <v>113626722.494186</v>
      </c>
      <c r="BA50" s="63" t="n">
        <f aca="false">BA47+BA48+BA49</f>
        <v>114504531.40972</v>
      </c>
      <c r="BB50" s="63" t="n">
        <f aca="false">BB47+BB48+BB49</f>
        <v>115388923.892121</v>
      </c>
    </row>
    <row r="51" customFormat="false" ht="15" hidden="false" customHeight="true" outlineLevel="0" collapsed="false">
      <c r="B51" s="59" t="s">
        <v>463</v>
      </c>
      <c r="C51" s="59" t="s">
        <v>11</v>
      </c>
      <c r="D51" s="63" t="n">
        <f aca="false">SUM(E51:BB51)</f>
        <v>761289183.94134</v>
      </c>
      <c r="E51" s="66" t="n">
        <f aca="false">IF(E$46=$C$41,E47*$C$42*(1-$C$43),0)</f>
        <v>0</v>
      </c>
      <c r="F51" s="66" t="n">
        <f aca="false">IF(F$46=$C$41,F47*$C$42*(1-$C$43),0)</f>
        <v>0</v>
      </c>
      <c r="G51" s="66" t="n">
        <f aca="false">IF(G$46=$C$41,G47*$C$42*(1-$C$43),0)</f>
        <v>0</v>
      </c>
      <c r="H51" s="66" t="n">
        <f aca="false">IF(H$46=$C$41,H47*$C$42*(1-$C$43),0)</f>
        <v>0</v>
      </c>
      <c r="I51" s="66" t="n">
        <f aca="false">IF(I$46=$C$41,I47*$C$42*(1-$C$43),0)</f>
        <v>0</v>
      </c>
      <c r="J51" s="66" t="n">
        <f aca="false">IF(J$46=$C$41,J47*$C$42*(1-$C$43),0)</f>
        <v>0</v>
      </c>
      <c r="K51" s="66" t="n">
        <f aca="false">IF(K$46=$C$41,K47*$C$42*(1-$C$43),0)</f>
        <v>0</v>
      </c>
      <c r="L51" s="66" t="n">
        <f aca="false">IF(L$46=$C$41,L47*$C$42*(1-$C$43),0)</f>
        <v>0</v>
      </c>
      <c r="M51" s="66" t="n">
        <f aca="false">IF(M$46=$C$41,M47*$C$42*(1-$C$43),0)</f>
        <v>761289183.94134</v>
      </c>
      <c r="N51" s="66" t="n">
        <f aca="false">IF(N$46=$C$41,N47*$C$42*(1-$C$43),0)</f>
        <v>0</v>
      </c>
      <c r="O51" s="66" t="n">
        <f aca="false">IF(O$46=$C$41,O47*$C$42*(1-$C$43),0)</f>
        <v>0</v>
      </c>
      <c r="P51" s="66" t="n">
        <f aca="false">IF(P$46=$C$41,P47*$C$42*(1-$C$43),0)</f>
        <v>0</v>
      </c>
      <c r="Q51" s="66" t="n">
        <f aca="false">IF(Q$46=$C$41,Q47*$C$42*(1-$C$43),0)</f>
        <v>0</v>
      </c>
      <c r="R51" s="66" t="n">
        <f aca="false">IF(R$46=$C$41,R47*$C$42*(1-$C$43),0)</f>
        <v>0</v>
      </c>
      <c r="S51" s="66" t="n">
        <f aca="false">IF(S$46=$C$41,S47*$C$42*(1-$C$43),0)</f>
        <v>0</v>
      </c>
      <c r="T51" s="66" t="n">
        <f aca="false">IF(T$46=$C$41,T47*$C$42*(1-$C$43),0)</f>
        <v>0</v>
      </c>
      <c r="U51" s="66" t="n">
        <f aca="false">IF(U$46=$C$41,U47*$C$42*(1-$C$43),0)</f>
        <v>0</v>
      </c>
      <c r="V51" s="66" t="n">
        <f aca="false">IF(V$46=$C$41,V47*$C$42*(1-$C$43),0)</f>
        <v>0</v>
      </c>
      <c r="W51" s="66" t="n">
        <f aca="false">IF(W$46=$C$41,W47*$C$42*(1-$C$43),0)</f>
        <v>0</v>
      </c>
      <c r="X51" s="66" t="n">
        <f aca="false">IF(X$46=$C$41,X47*$C$42*(1-$C$43),0)</f>
        <v>0</v>
      </c>
      <c r="Y51" s="66" t="n">
        <f aca="false">IF(Y$46=$C$41,Y47*$C$42*(1-$C$43),0)</f>
        <v>0</v>
      </c>
      <c r="Z51" s="66" t="n">
        <f aca="false">IF(Z$46=$C$41,Z47*$C$42*(1-$C$43),0)</f>
        <v>0</v>
      </c>
      <c r="AA51" s="66" t="n">
        <f aca="false">IF(AA$46=$C$41,AA47*$C$42*(1-$C$43),0)</f>
        <v>0</v>
      </c>
      <c r="AB51" s="66" t="n">
        <f aca="false">IF(AB$46=$C$41,AB47*$C$42*(1-$C$43),0)</f>
        <v>0</v>
      </c>
      <c r="AC51" s="66" t="n">
        <f aca="false">IF(AC$46=$C$41,AC47*$C$42*(1-$C$43),0)</f>
        <v>0</v>
      </c>
      <c r="AD51" s="66" t="n">
        <f aca="false">IF(AD$46=$C$41,AD47*$C$42*(1-$C$43),0)</f>
        <v>0</v>
      </c>
      <c r="AE51" s="66" t="n">
        <f aca="false">IF(AE$46=$C$41,AE47*$C$42*(1-$C$43),0)</f>
        <v>0</v>
      </c>
      <c r="AF51" s="66" t="n">
        <f aca="false">IF(AF$46=$C$41,AF47*$C$42*(1-$C$43),0)</f>
        <v>0</v>
      </c>
      <c r="AG51" s="66" t="n">
        <f aca="false">IF(AG$46=$C$41,AG47*$C$42*(1-$C$43),0)</f>
        <v>0</v>
      </c>
      <c r="AH51" s="66" t="n">
        <f aca="false">IF(AH$46=$C$41,AH47*$C$42*(1-$C$43),0)</f>
        <v>0</v>
      </c>
      <c r="AI51" s="66" t="n">
        <f aca="false">IF(AI$46=$C$41,AI47*$C$42*(1-$C$43),0)</f>
        <v>0</v>
      </c>
      <c r="AJ51" s="66" t="n">
        <f aca="false">IF(AJ$46=$C$41,AJ47*$C$42*(1-$C$43),0)</f>
        <v>0</v>
      </c>
      <c r="AK51" s="66" t="n">
        <f aca="false">IF(AK$46=$C$41,AK47*$C$42*(1-$C$43),0)</f>
        <v>0</v>
      </c>
      <c r="AL51" s="66" t="n">
        <f aca="false">IF(AL$46=$C$41,AL47*$C$42*(1-$C$43),0)</f>
        <v>0</v>
      </c>
      <c r="AM51" s="66" t="n">
        <f aca="false">IF(AM$46=$C$41,AM47*$C$42*(1-$C$43),0)</f>
        <v>0</v>
      </c>
      <c r="AN51" s="66" t="n">
        <f aca="false">IF(AN$46=$C$41,AN47*$C$42*(1-$C$43),0)</f>
        <v>0</v>
      </c>
      <c r="AO51" s="66" t="n">
        <f aca="false">IF(AO$46=$C$41,AO47*$C$42*(1-$C$43),0)</f>
        <v>0</v>
      </c>
      <c r="AP51" s="66" t="n">
        <f aca="false">IF(AP$46=$C$41,AP47*$C$42*(1-$C$43),0)</f>
        <v>0</v>
      </c>
      <c r="AQ51" s="66" t="n">
        <f aca="false">IF(AQ$46=$C$41,AQ47*$C$42*(1-$C$43),0)</f>
        <v>0</v>
      </c>
      <c r="AR51" s="66" t="n">
        <f aca="false">IF(AR$46=$C$41,AR47*$C$42*(1-$C$43),0)</f>
        <v>0</v>
      </c>
      <c r="AS51" s="66" t="n">
        <f aca="false">IF(AS$46=$C$41,AS47*$C$42*(1-$C$43),0)</f>
        <v>0</v>
      </c>
      <c r="AT51" s="66" t="n">
        <f aca="false">IF(AT$46=$C$41,AT47*$C$42*(1-$C$43),0)</f>
        <v>0</v>
      </c>
      <c r="AU51" s="66" t="n">
        <f aca="false">IF(AU$46=$C$41,AU47*$C$42*(1-$C$43),0)</f>
        <v>0</v>
      </c>
      <c r="AV51" s="66" t="n">
        <f aca="false">IF(AV$46=$C$41,AV47*$C$42*(1-$C$43),0)</f>
        <v>0</v>
      </c>
      <c r="AW51" s="66" t="n">
        <f aca="false">IF(AW$46=$C$41,AW47*$C$42*(1-$C$43),0)</f>
        <v>0</v>
      </c>
      <c r="AX51" s="66" t="n">
        <f aca="false">IF(AX$46=$C$41,AX47*$C$42*(1-$C$43),0)</f>
        <v>0</v>
      </c>
      <c r="AY51" s="66" t="n">
        <f aca="false">IF(AY$46=$C$41,AY47*$C$42*(1-$C$43),0)</f>
        <v>0</v>
      </c>
      <c r="AZ51" s="66" t="n">
        <f aca="false">IF(AZ$46=$C$41,AZ47*$C$42*(1-$C$43),0)</f>
        <v>0</v>
      </c>
      <c r="BA51" s="66" t="n">
        <f aca="false">IF(BA$46=$C$41,BA47*$C$42*(1-$C$43),0)</f>
        <v>0</v>
      </c>
      <c r="BB51" s="66" t="n">
        <f aca="false">IF(BB$46=$C$41,BB47*$C$42*(1-$C$43),0)</f>
        <v>0</v>
      </c>
    </row>
    <row r="52" customFormat="false" ht="15" hidden="false" customHeight="true" outlineLevel="0" collapsed="false">
      <c r="B52" s="59" t="s">
        <v>464</v>
      </c>
      <c r="C52" s="59" t="s">
        <v>11</v>
      </c>
      <c r="D52" s="63" t="n">
        <f aca="false">SUM(E52:BB52)</f>
        <v>437521797.900941</v>
      </c>
      <c r="E52" s="66" t="n">
        <f aca="false">IF(AND(E$46&gt;=$C$9,E$46&lt;=$C$41),E50+E51,0)</f>
        <v>0</v>
      </c>
      <c r="F52" s="66" t="n">
        <f aca="false">IF(AND(F$46&gt;=$C$9,F$46&lt;=$C$41),F50+F51,0)</f>
        <v>0</v>
      </c>
      <c r="G52" s="66" t="n">
        <f aca="false">IF(AND(G$46&gt;=$C$9,G$46&lt;=$C$41),G50+G51,0)</f>
        <v>0</v>
      </c>
      <c r="H52" s="66" t="n">
        <f aca="false">IF(AND(H$46&gt;=$C$9,H$46&lt;=$C$41),H50+H51,0)</f>
        <v>-169571301.9</v>
      </c>
      <c r="I52" s="66" t="n">
        <f aca="false">IF(AND(I$46&gt;=$C$9,I$46&lt;=$C$41),I50+I51,0)</f>
        <v>-206151187.635064</v>
      </c>
      <c r="J52" s="66" t="n">
        <f aca="false">IF(AND(J$46&gt;=$C$9,J$46&lt;=$C$41),J50+J51,0)</f>
        <v>-85208372.3540593</v>
      </c>
      <c r="K52" s="66" t="n">
        <f aca="false">IF(AND(K$46&gt;=$C$9,K$46&lt;=$C$41),K50+K51,0)</f>
        <v>5584384.8459407</v>
      </c>
      <c r="L52" s="66" t="n">
        <f aca="false">IF(AND(L$46&gt;=$C$9,L$46&lt;=$C$41),L50+L51,0)</f>
        <v>56207566.3669095</v>
      </c>
      <c r="M52" s="66" t="n">
        <f aca="false">IF(AND(M$46&gt;=$C$9,M$46&lt;=$C$41),M50+M51,0)</f>
        <v>836660708.577213</v>
      </c>
      <c r="N52" s="66" t="n">
        <f aca="false">IF(AND(N$46&gt;=$C$9,N$46&lt;=$C$41),N50+N51,0)</f>
        <v>0</v>
      </c>
      <c r="O52" s="66" t="n">
        <f aca="false">IF(AND(O$46&gt;=$C$9,O$46&lt;=$C$41),O50+O51,0)</f>
        <v>0</v>
      </c>
      <c r="P52" s="66" t="n">
        <f aca="false">IF(AND(P$46&gt;=$C$9,P$46&lt;=$C$41),P50+P51,0)</f>
        <v>0</v>
      </c>
      <c r="Q52" s="66" t="n">
        <f aca="false">IF(AND(Q$46&gt;=$C$9,Q$46&lt;=$C$41),Q50+Q51,0)</f>
        <v>0</v>
      </c>
      <c r="R52" s="66" t="n">
        <f aca="false">IF(AND(R$46&gt;=$C$9,R$46&lt;=$C$41),R50+R51,0)</f>
        <v>0</v>
      </c>
      <c r="S52" s="66" t="n">
        <f aca="false">IF(AND(S$46&gt;=$C$9,S$46&lt;=$C$41),S50+S51,0)</f>
        <v>0</v>
      </c>
      <c r="T52" s="66" t="n">
        <f aca="false">IF(AND(T$46&gt;=$C$9,T$46&lt;=$C$41),T50+T51,0)</f>
        <v>0</v>
      </c>
      <c r="U52" s="66" t="n">
        <f aca="false">IF(AND(U$46&gt;=$C$9,U$46&lt;=$C$41),U50+U51,0)</f>
        <v>0</v>
      </c>
      <c r="V52" s="66" t="n">
        <f aca="false">IF(AND(V$46&gt;=$C$9,V$46&lt;=$C$41),V50+V51,0)</f>
        <v>0</v>
      </c>
      <c r="W52" s="66" t="n">
        <f aca="false">IF(AND(W$46&gt;=$C$9,W$46&lt;=$C$41),W50+W51,0)</f>
        <v>0</v>
      </c>
      <c r="X52" s="66" t="n">
        <f aca="false">IF(AND(X$46&gt;=$C$9,X$46&lt;=$C$41),X50+X51,0)</f>
        <v>0</v>
      </c>
      <c r="Y52" s="66" t="n">
        <f aca="false">IF(AND(Y$46&gt;=$C$9,Y$46&lt;=$C$41),Y50+Y51,0)</f>
        <v>0</v>
      </c>
      <c r="Z52" s="66" t="n">
        <f aca="false">IF(AND(Z$46&gt;=$C$9,Z$46&lt;=$C$41),Z50+Z51,0)</f>
        <v>0</v>
      </c>
      <c r="AA52" s="66" t="n">
        <f aca="false">IF(AND(AA$46&gt;=$C$9,AA$46&lt;=$C$41),AA50+AA51,0)</f>
        <v>0</v>
      </c>
      <c r="AB52" s="66" t="n">
        <f aca="false">IF(AND(AB$46&gt;=$C$9,AB$46&lt;=$C$41),AB50+AB51,0)</f>
        <v>0</v>
      </c>
      <c r="AC52" s="66" t="n">
        <f aca="false">IF(AND(AC$46&gt;=$C$9,AC$46&lt;=$C$41),AC50+AC51,0)</f>
        <v>0</v>
      </c>
      <c r="AD52" s="66" t="n">
        <f aca="false">IF(AND(AD$46&gt;=$C$9,AD$46&lt;=$C$41),AD50+AD51,0)</f>
        <v>0</v>
      </c>
      <c r="AE52" s="66" t="n">
        <f aca="false">IF(AND(AE$46&gt;=$C$9,AE$46&lt;=$C$41),AE50+AE51,0)</f>
        <v>0</v>
      </c>
      <c r="AF52" s="66" t="n">
        <f aca="false">IF(AND(AF$46&gt;=$C$9,AF$46&lt;=$C$41),AF50+AF51,0)</f>
        <v>0</v>
      </c>
      <c r="AG52" s="66" t="n">
        <f aca="false">IF(AND(AG$46&gt;=$C$9,AG$46&lt;=$C$41),AG50+AG51,0)</f>
        <v>0</v>
      </c>
      <c r="AH52" s="66" t="n">
        <f aca="false">IF(AND(AH$46&gt;=$C$9,AH$46&lt;=$C$41),AH50+AH51,0)</f>
        <v>0</v>
      </c>
      <c r="AI52" s="66" t="n">
        <f aca="false">IF(AND(AI$46&gt;=$C$9,AI$46&lt;=$C$41),AI50+AI51,0)</f>
        <v>0</v>
      </c>
      <c r="AJ52" s="66" t="n">
        <f aca="false">IF(AND(AJ$46&gt;=$C$9,AJ$46&lt;=$C$41),AJ50+AJ51,0)</f>
        <v>0</v>
      </c>
      <c r="AK52" s="66" t="n">
        <f aca="false">IF(AND(AK$46&gt;=$C$9,AK$46&lt;=$C$41),AK50+AK51,0)</f>
        <v>0</v>
      </c>
      <c r="AL52" s="66" t="n">
        <f aca="false">IF(AND(AL$46&gt;=$C$9,AL$46&lt;=$C$41),AL50+AL51,0)</f>
        <v>0</v>
      </c>
      <c r="AM52" s="66" t="n">
        <f aca="false">IF(AND(AM$46&gt;=$C$9,AM$46&lt;=$C$41),AM50+AM51,0)</f>
        <v>0</v>
      </c>
      <c r="AN52" s="66" t="n">
        <f aca="false">IF(AND(AN$46&gt;=$C$9,AN$46&lt;=$C$41),AN50+AN51,0)</f>
        <v>0</v>
      </c>
      <c r="AO52" s="66" t="n">
        <f aca="false">IF(AND(AO$46&gt;=$C$9,AO$46&lt;=$C$41),AO50+AO51,0)</f>
        <v>0</v>
      </c>
      <c r="AP52" s="66" t="n">
        <f aca="false">IF(AND(AP$46&gt;=$C$9,AP$46&lt;=$C$41),AP50+AP51,0)</f>
        <v>0</v>
      </c>
      <c r="AQ52" s="66" t="n">
        <f aca="false">IF(AND(AQ$46&gt;=$C$9,AQ$46&lt;=$C$41),AQ50+AQ51,0)</f>
        <v>0</v>
      </c>
      <c r="AR52" s="66" t="n">
        <f aca="false">IF(AND(AR$46&gt;=$C$9,AR$46&lt;=$C$41),AR50+AR51,0)</f>
        <v>0</v>
      </c>
      <c r="AS52" s="66" t="n">
        <f aca="false">IF(AND(AS$46&gt;=$C$9,AS$46&lt;=$C$41),AS50+AS51,0)</f>
        <v>0</v>
      </c>
      <c r="AT52" s="66" t="n">
        <f aca="false">IF(AND(AT$46&gt;=$C$9,AT$46&lt;=$C$41),AT50+AT51,0)</f>
        <v>0</v>
      </c>
      <c r="AU52" s="66" t="n">
        <f aca="false">IF(AND(AU$46&gt;=$C$9,AU$46&lt;=$C$41),AU50+AU51,0)</f>
        <v>0</v>
      </c>
      <c r="AV52" s="66" t="n">
        <f aca="false">IF(AND(AV$46&gt;=$C$9,AV$46&lt;=$C$41),AV50+AV51,0)</f>
        <v>0</v>
      </c>
      <c r="AW52" s="66" t="n">
        <f aca="false">IF(AND(AW$46&gt;=$C$9,AW$46&lt;=$C$41),AW50+AW51,0)</f>
        <v>0</v>
      </c>
      <c r="AX52" s="66" t="n">
        <f aca="false">IF(AND(AX$46&gt;=$C$9,AX$46&lt;=$C$41),AX50+AX51,0)</f>
        <v>0</v>
      </c>
      <c r="AY52" s="66" t="n">
        <f aca="false">IF(AND(AY$46&gt;=$C$9,AY$46&lt;=$C$41),AY50+AY51,0)</f>
        <v>0</v>
      </c>
      <c r="AZ52" s="66" t="n">
        <f aca="false">IF(AND(AZ$46&gt;=$C$9,AZ$46&lt;=$C$41),AZ50+AZ51,0)</f>
        <v>0</v>
      </c>
      <c r="BA52" s="66" t="n">
        <f aca="false">IF(AND(BA$46&gt;=$C$9,BA$46&lt;=$C$41),BA50+BA51,0)</f>
        <v>0</v>
      </c>
      <c r="BB52" s="66" t="n">
        <f aca="false">IF(AND(BB$46&gt;=$C$9,BB$46&lt;=$C$41),BB50+BB51,0)</f>
        <v>0</v>
      </c>
    </row>
    <row r="54" customFormat="false" ht="15" hidden="false" customHeight="true" outlineLevel="0" collapsed="false">
      <c r="A54" s="58" t="s">
        <v>465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customFormat="false" ht="15" hidden="false" customHeight="true" outlineLevel="0" collapsed="false">
      <c r="C55" s="69" t="s">
        <v>262</v>
      </c>
      <c r="D55" s="69" t="s">
        <v>60</v>
      </c>
      <c r="E55" s="70" t="n">
        <f aca="false">E$46</f>
        <v>2026</v>
      </c>
      <c r="F55" s="70" t="n">
        <f aca="false">F$46</f>
        <v>2027</v>
      </c>
      <c r="G55" s="70" t="n">
        <f aca="false">G$46</f>
        <v>2028</v>
      </c>
      <c r="H55" s="70" t="n">
        <f aca="false">H$46</f>
        <v>2029</v>
      </c>
      <c r="I55" s="70" t="n">
        <f aca="false">I$46</f>
        <v>2030</v>
      </c>
      <c r="J55" s="70" t="n">
        <f aca="false">J$46</f>
        <v>2031</v>
      </c>
      <c r="K55" s="70" t="n">
        <f aca="false">K$46</f>
        <v>2032</v>
      </c>
      <c r="L55" s="70" t="n">
        <f aca="false">L$46</f>
        <v>2033</v>
      </c>
      <c r="M55" s="70" t="n">
        <f aca="false">M$46</f>
        <v>2034</v>
      </c>
      <c r="N55" s="70" t="n">
        <f aca="false">N$46</f>
        <v>2035</v>
      </c>
      <c r="O55" s="70" t="n">
        <f aca="false">O$46</f>
        <v>2036</v>
      </c>
      <c r="P55" s="70" t="n">
        <f aca="false">P$46</f>
        <v>2037</v>
      </c>
      <c r="Q55" s="70" t="n">
        <f aca="false">Q$46</f>
        <v>2038</v>
      </c>
      <c r="R55" s="70" t="n">
        <f aca="false">R$46</f>
        <v>2039</v>
      </c>
      <c r="S55" s="70" t="n">
        <f aca="false">S$46</f>
        <v>2040</v>
      </c>
      <c r="T55" s="70" t="n">
        <f aca="false">T$46</f>
        <v>2041</v>
      </c>
      <c r="U55" s="70" t="n">
        <f aca="false">U$46</f>
        <v>2042</v>
      </c>
      <c r="V55" s="70" t="n">
        <f aca="false">V$46</f>
        <v>2043</v>
      </c>
      <c r="W55" s="70" t="n">
        <f aca="false">W$46</f>
        <v>2044</v>
      </c>
      <c r="X55" s="70" t="n">
        <f aca="false">X$46</f>
        <v>2045</v>
      </c>
      <c r="Y55" s="70" t="n">
        <f aca="false">Y$46</f>
        <v>2046</v>
      </c>
      <c r="Z55" s="70" t="n">
        <f aca="false">Z$46</f>
        <v>2047</v>
      </c>
      <c r="AA55" s="70" t="n">
        <f aca="false">AA$46</f>
        <v>2048</v>
      </c>
      <c r="AB55" s="70" t="n">
        <f aca="false">AB$46</f>
        <v>2049</v>
      </c>
      <c r="AC55" s="70" t="n">
        <f aca="false">AC$46</f>
        <v>2050</v>
      </c>
      <c r="AD55" s="70" t="n">
        <f aca="false">AD$46</f>
        <v>2051</v>
      </c>
      <c r="AE55" s="70" t="n">
        <f aca="false">AE$46</f>
        <v>2052</v>
      </c>
      <c r="AF55" s="70" t="n">
        <f aca="false">AF$46</f>
        <v>2053</v>
      </c>
      <c r="AG55" s="70" t="n">
        <f aca="false">AG$46</f>
        <v>2054</v>
      </c>
      <c r="AH55" s="70" t="n">
        <f aca="false">AH$46</f>
        <v>2055</v>
      </c>
      <c r="AI55" s="70" t="n">
        <f aca="false">AI$46</f>
        <v>2056</v>
      </c>
      <c r="AJ55" s="70" t="n">
        <f aca="false">AJ$46</f>
        <v>2057</v>
      </c>
      <c r="AK55" s="70" t="n">
        <f aca="false">AK$46</f>
        <v>2058</v>
      </c>
      <c r="AL55" s="70" t="n">
        <f aca="false">AL$46</f>
        <v>2059</v>
      </c>
      <c r="AM55" s="70" t="n">
        <f aca="false">AM$46</f>
        <v>2060</v>
      </c>
      <c r="AN55" s="70" t="n">
        <f aca="false">AN$46</f>
        <v>2061</v>
      </c>
      <c r="AO55" s="70" t="n">
        <f aca="false">AO$46</f>
        <v>2062</v>
      </c>
      <c r="AP55" s="70" t="n">
        <f aca="false">AP$46</f>
        <v>2063</v>
      </c>
      <c r="AQ55" s="70" t="n">
        <f aca="false">AQ$46</f>
        <v>2064</v>
      </c>
      <c r="AR55" s="70" t="n">
        <f aca="false">AR$46</f>
        <v>2065</v>
      </c>
      <c r="AS55" s="70" t="n">
        <f aca="false">AS$46</f>
        <v>2066</v>
      </c>
      <c r="AT55" s="70" t="n">
        <f aca="false">AT$46</f>
        <v>2067</v>
      </c>
      <c r="AU55" s="70" t="n">
        <f aca="false">AU$46</f>
        <v>2068</v>
      </c>
      <c r="AV55" s="70" t="n">
        <f aca="false">AV$46</f>
        <v>2069</v>
      </c>
      <c r="AW55" s="70" t="n">
        <f aca="false">AW$46</f>
        <v>2070</v>
      </c>
      <c r="AX55" s="70" t="n">
        <f aca="false">AX$46</f>
        <v>2071</v>
      </c>
      <c r="AY55" s="70" t="n">
        <f aca="false">AY$46</f>
        <v>2072</v>
      </c>
      <c r="AZ55" s="70" t="n">
        <f aca="false">AZ$46</f>
        <v>2073</v>
      </c>
      <c r="BA55" s="70" t="n">
        <f aca="false">BA$46</f>
        <v>2074</v>
      </c>
      <c r="BB55" s="70" t="n">
        <f aca="false">BB$46</f>
        <v>2075</v>
      </c>
    </row>
    <row r="56" customFormat="false" ht="15" hidden="false" customHeight="true" outlineLevel="0" collapsed="false">
      <c r="B56" s="59" t="s">
        <v>466</v>
      </c>
      <c r="C56" s="59" t="s">
        <v>11</v>
      </c>
      <c r="D56" s="63" t="n">
        <f aca="false">SUM(E56:BB56)</f>
        <v>270746183.426323</v>
      </c>
      <c r="E56" s="66" t="n">
        <f aca="false">IF(AND(E49&lt;0,E$46&gt;=$C$9,E$46&lt;=$C$41),ABS(E49/$D$49)*$C$14,0)+E70</f>
        <v>0</v>
      </c>
      <c r="F56" s="66" t="n">
        <f aca="false">IF(AND(F49&lt;0,F$46&gt;=$C$9,F$46&lt;=$C$41),ABS(F49/$D$49)*$C$14,0)+F70</f>
        <v>0</v>
      </c>
      <c r="G56" s="66" t="n">
        <f aca="false">IF(AND(G49&lt;0,G$46&gt;=$C$9,G$46&lt;=$C$41),ABS(G49/$D$49)*$C$14,0)+G70</f>
        <v>8765100.2286448</v>
      </c>
      <c r="H56" s="66" t="n">
        <f aca="false">IF(AND(H49&lt;0,H$46&gt;=$C$9,H$46&lt;=$C$41),ABS(H49/$D$49)*$C$14,0)+H70</f>
        <v>84825095.5299825</v>
      </c>
      <c r="I56" s="66" t="n">
        <f aca="false">IF(AND(I49&lt;0,I$46&gt;=$C$9,I$46&lt;=$C$41),ABS(I49/$D$49)*$C$14,0)+I70</f>
        <v>104621645.518372</v>
      </c>
      <c r="J56" s="66" t="n">
        <f aca="false">IF(AND(J49&lt;0,J$46&gt;=$C$9,J$46&lt;=$C$41),ABS(J49/$D$49)*$C$14,0)+J70</f>
        <v>50158416.4426346</v>
      </c>
      <c r="K56" s="66" t="n">
        <f aca="false">IF(AND(K49&lt;0,K$46&gt;=$C$9,K$46&lt;=$C$41),ABS(K49/$D$49)*$C$14,0)+K70</f>
        <v>17781885.5060735</v>
      </c>
      <c r="L56" s="66" t="n">
        <f aca="false">IF(AND(L49&lt;0,L$46&gt;=$C$9,L$46&lt;=$C$41),ABS(L49/$D$49)*$C$14,0)+L70</f>
        <v>4594040.20061557</v>
      </c>
      <c r="M56" s="66" t="n">
        <f aca="false">IF(AND(M49&lt;0,M$46&gt;=$C$9,M$46&lt;=$C$41),ABS(M49/$D$49)*$C$14,0)+M70</f>
        <v>0</v>
      </c>
      <c r="N56" s="66" t="n">
        <f aca="false">IF(AND(N49&lt;0,N$46&gt;=$C$9,N$46&lt;=$C$41),ABS(N49/$D$49)*$C$14,0)+N70</f>
        <v>0</v>
      </c>
      <c r="O56" s="66" t="n">
        <f aca="false">IF(AND(O49&lt;0,O$46&gt;=$C$9,O$46&lt;=$C$41),ABS(O49/$D$49)*$C$14,0)+O70</f>
        <v>0</v>
      </c>
      <c r="P56" s="66" t="n">
        <f aca="false">IF(AND(P49&lt;0,P$46&gt;=$C$9,P$46&lt;=$C$41),ABS(P49/$D$49)*$C$14,0)+P70</f>
        <v>0</v>
      </c>
      <c r="Q56" s="66" t="n">
        <f aca="false">IF(AND(Q49&lt;0,Q$46&gt;=$C$9,Q$46&lt;=$C$41),ABS(Q49/$D$49)*$C$14,0)+Q70</f>
        <v>0</v>
      </c>
      <c r="R56" s="66" t="n">
        <f aca="false">IF(AND(R49&lt;0,R$46&gt;=$C$9,R$46&lt;=$C$41),ABS(R49/$D$49)*$C$14,0)+R70</f>
        <v>0</v>
      </c>
      <c r="S56" s="66" t="n">
        <f aca="false">IF(AND(S49&lt;0,S$46&gt;=$C$9,S$46&lt;=$C$41),ABS(S49/$D$49)*$C$14,0)+S70</f>
        <v>0</v>
      </c>
      <c r="T56" s="66" t="n">
        <f aca="false">IF(AND(T49&lt;0,T$46&gt;=$C$9,T$46&lt;=$C$41),ABS(T49/$D$49)*$C$14,0)+T70</f>
        <v>0</v>
      </c>
      <c r="U56" s="66" t="n">
        <f aca="false">IF(AND(U49&lt;0,U$46&gt;=$C$9,U$46&lt;=$C$41),ABS(U49/$D$49)*$C$14,0)+U70</f>
        <v>0</v>
      </c>
      <c r="V56" s="66" t="n">
        <f aca="false">IF(AND(V49&lt;0,V$46&gt;=$C$9,V$46&lt;=$C$41),ABS(V49/$D$49)*$C$14,0)+V70</f>
        <v>0</v>
      </c>
      <c r="W56" s="66" t="n">
        <f aca="false">IF(AND(W49&lt;0,W$46&gt;=$C$9,W$46&lt;=$C$41),ABS(W49/$D$49)*$C$14,0)+W70</f>
        <v>0</v>
      </c>
      <c r="X56" s="66" t="n">
        <f aca="false">IF(AND(X49&lt;0,X$46&gt;=$C$9,X$46&lt;=$C$41),ABS(X49/$D$49)*$C$14,0)+X70</f>
        <v>0</v>
      </c>
      <c r="Y56" s="66" t="n">
        <f aca="false">IF(AND(Y49&lt;0,Y$46&gt;=$C$9,Y$46&lt;=$C$41),ABS(Y49/$D$49)*$C$14,0)+Y70</f>
        <v>0</v>
      </c>
      <c r="Z56" s="66" t="n">
        <f aca="false">IF(AND(Z49&lt;0,Z$46&gt;=$C$9,Z$46&lt;=$C$41),ABS(Z49/$D$49)*$C$14,0)+Z70</f>
        <v>0</v>
      </c>
      <c r="AA56" s="66" t="n">
        <f aca="false">IF(AND(AA49&lt;0,AA$46&gt;=$C$9,AA$46&lt;=$C$41),ABS(AA49/$D$49)*$C$14,0)+AA70</f>
        <v>0</v>
      </c>
      <c r="AB56" s="66" t="n">
        <f aca="false">IF(AND(AB49&lt;0,AB$46&gt;=$C$9,AB$46&lt;=$C$41),ABS(AB49/$D$49)*$C$14,0)+AB70</f>
        <v>0</v>
      </c>
      <c r="AC56" s="66" t="n">
        <f aca="false">IF(AND(AC49&lt;0,AC$46&gt;=$C$9,AC$46&lt;=$C$41),ABS(AC49/$D$49)*$C$14,0)+AC70</f>
        <v>0</v>
      </c>
      <c r="AD56" s="66" t="n">
        <f aca="false">IF(AND(AD49&lt;0,AD$46&gt;=$C$9,AD$46&lt;=$C$41),ABS(AD49/$D$49)*$C$14,0)+AD70</f>
        <v>0</v>
      </c>
      <c r="AE56" s="66" t="n">
        <f aca="false">IF(AND(AE49&lt;0,AE$46&gt;=$C$9,AE$46&lt;=$C$41),ABS(AE49/$D$49)*$C$14,0)+AE70</f>
        <v>0</v>
      </c>
      <c r="AF56" s="66" t="n">
        <f aca="false">IF(AND(AF49&lt;0,AF$46&gt;=$C$9,AF$46&lt;=$C$41),ABS(AF49/$D$49)*$C$14,0)+AF70</f>
        <v>0</v>
      </c>
      <c r="AG56" s="66" t="n">
        <f aca="false">IF(AND(AG49&lt;0,AG$46&gt;=$C$9,AG$46&lt;=$C$41),ABS(AG49/$D$49)*$C$14,0)+AG70</f>
        <v>0</v>
      </c>
      <c r="AH56" s="66" t="n">
        <f aca="false">IF(AND(AH49&lt;0,AH$46&gt;=$C$9,AH$46&lt;=$C$41),ABS(AH49/$D$49)*$C$14,0)+AH70</f>
        <v>0</v>
      </c>
      <c r="AI56" s="66" t="n">
        <f aca="false">IF(AND(AI49&lt;0,AI$46&gt;=$C$9,AI$46&lt;=$C$41),ABS(AI49/$D$49)*$C$14,0)+AI70</f>
        <v>0</v>
      </c>
      <c r="AJ56" s="66" t="n">
        <f aca="false">IF(AND(AJ49&lt;0,AJ$46&gt;=$C$9,AJ$46&lt;=$C$41),ABS(AJ49/$D$49)*$C$14,0)+AJ70</f>
        <v>0</v>
      </c>
      <c r="AK56" s="66" t="n">
        <f aca="false">IF(AND(AK49&lt;0,AK$46&gt;=$C$9,AK$46&lt;=$C$41),ABS(AK49/$D$49)*$C$14,0)+AK70</f>
        <v>0</v>
      </c>
      <c r="AL56" s="66" t="n">
        <f aca="false">IF(AND(AL49&lt;0,AL$46&gt;=$C$9,AL$46&lt;=$C$41),ABS(AL49/$D$49)*$C$14,0)+AL70</f>
        <v>0</v>
      </c>
      <c r="AM56" s="66" t="n">
        <f aca="false">IF(AND(AM49&lt;0,AM$46&gt;=$C$9,AM$46&lt;=$C$41),ABS(AM49/$D$49)*$C$14,0)+AM70</f>
        <v>0</v>
      </c>
      <c r="AN56" s="66" t="n">
        <f aca="false">IF(AND(AN49&lt;0,AN$46&gt;=$C$9,AN$46&lt;=$C$41),ABS(AN49/$D$49)*$C$14,0)+AN70</f>
        <v>0</v>
      </c>
      <c r="AO56" s="66" t="n">
        <f aca="false">IF(AND(AO49&lt;0,AO$46&gt;=$C$9,AO$46&lt;=$C$41),ABS(AO49/$D$49)*$C$14,0)+AO70</f>
        <v>0</v>
      </c>
      <c r="AP56" s="66" t="n">
        <f aca="false">IF(AND(AP49&lt;0,AP$46&gt;=$C$9,AP$46&lt;=$C$41),ABS(AP49/$D$49)*$C$14,0)+AP70</f>
        <v>0</v>
      </c>
      <c r="AQ56" s="66" t="n">
        <f aca="false">IF(AND(AQ49&lt;0,AQ$46&gt;=$C$9,AQ$46&lt;=$C$41),ABS(AQ49/$D$49)*$C$14,0)+AQ70</f>
        <v>0</v>
      </c>
      <c r="AR56" s="66" t="n">
        <f aca="false">IF(AND(AR49&lt;0,AR$46&gt;=$C$9,AR$46&lt;=$C$41),ABS(AR49/$D$49)*$C$14,0)+AR70</f>
        <v>0</v>
      </c>
      <c r="AS56" s="66" t="n">
        <f aca="false">IF(AND(AS49&lt;0,AS$46&gt;=$C$9,AS$46&lt;=$C$41),ABS(AS49/$D$49)*$C$14,0)+AS70</f>
        <v>0</v>
      </c>
      <c r="AT56" s="66" t="n">
        <f aca="false">IF(AND(AT49&lt;0,AT$46&gt;=$C$9,AT$46&lt;=$C$41),ABS(AT49/$D$49)*$C$14,0)+AT70</f>
        <v>0</v>
      </c>
      <c r="AU56" s="66" t="n">
        <f aca="false">IF(AND(AU49&lt;0,AU$46&gt;=$C$9,AU$46&lt;=$C$41),ABS(AU49/$D$49)*$C$14,0)+AU70</f>
        <v>0</v>
      </c>
      <c r="AV56" s="66" t="n">
        <f aca="false">IF(AND(AV49&lt;0,AV$46&gt;=$C$9,AV$46&lt;=$C$41),ABS(AV49/$D$49)*$C$14,0)+AV70</f>
        <v>0</v>
      </c>
      <c r="AW56" s="66" t="n">
        <f aca="false">IF(AND(AW49&lt;0,AW$46&gt;=$C$9,AW$46&lt;=$C$41),ABS(AW49/$D$49)*$C$14,0)+AW70</f>
        <v>0</v>
      </c>
      <c r="AX56" s="66" t="n">
        <f aca="false">IF(AND(AX49&lt;0,AX$46&gt;=$C$9,AX$46&lt;=$C$41),ABS(AX49/$D$49)*$C$14,0)+AX70</f>
        <v>0</v>
      </c>
      <c r="AY56" s="66" t="n">
        <f aca="false">IF(AND(AY49&lt;0,AY$46&gt;=$C$9,AY$46&lt;=$C$41),ABS(AY49/$D$49)*$C$14,0)+AY70</f>
        <v>0</v>
      </c>
      <c r="AZ56" s="66" t="n">
        <f aca="false">IF(AND(AZ49&lt;0,AZ$46&gt;=$C$9,AZ$46&lt;=$C$41),ABS(AZ49/$D$49)*$C$14,0)+AZ70</f>
        <v>0</v>
      </c>
      <c r="BA56" s="66" t="n">
        <f aca="false">IF(AND(BA49&lt;0,BA$46&gt;=$C$9,BA$46&lt;=$C$41),ABS(BA49/$D$49)*$C$14,0)+BA70</f>
        <v>0</v>
      </c>
      <c r="BB56" s="66" t="n">
        <f aca="false">IF(AND(BB49&lt;0,BB$46&gt;=$C$9,BB$46&lt;=$C$41),ABS(BB49/$D$49)*$C$14,0)+BB70</f>
        <v>0</v>
      </c>
    </row>
    <row r="57" customFormat="false" ht="15" hidden="false" customHeight="true" outlineLevel="0" collapsed="false">
      <c r="B57" s="59" t="s">
        <v>467</v>
      </c>
      <c r="C57" s="59" t="s">
        <v>11</v>
      </c>
      <c r="D57" s="63" t="n">
        <f aca="false">SUM(E57:BB57)</f>
        <v>428756482.150985</v>
      </c>
      <c r="E57" s="66" t="n">
        <f aca="false">IF(AND($C$22="Y",E49&lt;0,E$46&gt;=$C$9,E$46&lt;=$C$41),MIN(ABS(E49/$D$49)*$C$19,MAX(0,$C$19-0)),0)</f>
        <v>0</v>
      </c>
      <c r="F57" s="66" t="n">
        <f aca="false">IF(AND($C$22="Y",F49&lt;0,F$46&gt;=$C$9,F$46&lt;=$C$41),MIN(ABS(F49/$D$49)*$C$19,MAX(0,$C$19-E60)),0)</f>
        <v>0</v>
      </c>
      <c r="G57" s="66" t="n">
        <f aca="false">IF(AND($C$22="Y",G49&lt;0,G$46&gt;=$C$9,G$46&lt;=$C$41),MIN(ABS(G49/$D$49)*$C$19,MAX(0,$C$19-F60)),0)</f>
        <v>0</v>
      </c>
      <c r="H57" s="66" t="n">
        <f aca="false">IF(AND($C$22="Y",H49&lt;0,H$46&gt;=$C$9,H$46&lt;=$C$41),MIN(ABS(H49/$D$49)*$C$19,MAX(0,$C$19-G60)),0)</f>
        <v>146580927.698059</v>
      </c>
      <c r="I57" s="66" t="n">
        <f aca="false">IF(AND($C$22="Y",I49&lt;0,I$46&gt;=$C$9,I$46&lt;=$C$41),MIN(ABS(I49/$D$49)*$C$19,MAX(0,$C$19-H60)),0)</f>
        <v>178201334.724813</v>
      </c>
      <c r="J57" s="66" t="n">
        <f aca="false">IF(AND($C$22="Y",J49&lt;0,J$46&gt;=$C$9,J$46&lt;=$C$41),MIN(ABS(J49/$D$49)*$C$19,MAX(0,$C$19-I60)),0)</f>
        <v>80731332.6820445</v>
      </c>
      <c r="K57" s="66" t="n">
        <f aca="false">IF(AND($C$22="Y",K49&lt;0,K$46&gt;=$C$9,K$46&lt;=$C$41),MIN(ABS(K49/$D$49)*$C$19,MAX(0,$C$19-J60)),0)</f>
        <v>23242887.0460686</v>
      </c>
      <c r="L57" s="66" t="n">
        <f aca="false">IF(AND($C$22="Y",L49&lt;0,L$46&gt;=$C$9,L$46&lt;=$C$41),MIN(ABS(L49/$D$49)*$C$19,MAX(0,$C$19-K60)),0)</f>
        <v>0</v>
      </c>
      <c r="M57" s="66" t="n">
        <f aca="false">IF(AND($C$22="Y",M49&lt;0,M$46&gt;=$C$9,M$46&lt;=$C$41),MIN(ABS(M49/$D$49)*$C$19,MAX(0,$C$19-L60)),0)</f>
        <v>0</v>
      </c>
      <c r="N57" s="66" t="n">
        <f aca="false">IF(AND($C$22="Y",N49&lt;0,N$46&gt;=$C$9,N$46&lt;=$C$41),MIN(ABS(N49/$D$49)*$C$19,MAX(0,$C$19-M60)),0)</f>
        <v>0</v>
      </c>
      <c r="O57" s="66" t="n">
        <f aca="false">IF(AND($C$22="Y",O49&lt;0,O$46&gt;=$C$9,O$46&lt;=$C$41),MIN(ABS(O49/$D$49)*$C$19,MAX(0,$C$19-N60)),0)</f>
        <v>0</v>
      </c>
      <c r="P57" s="66" t="n">
        <f aca="false">IF(AND($C$22="Y",P49&lt;0,P$46&gt;=$C$9,P$46&lt;=$C$41),MIN(ABS(P49/$D$49)*$C$19,MAX(0,$C$19-O60)),0)</f>
        <v>0</v>
      </c>
      <c r="Q57" s="66" t="n">
        <f aca="false">IF(AND($C$22="Y",Q49&lt;0,Q$46&gt;=$C$9,Q$46&lt;=$C$41),MIN(ABS(Q49/$D$49)*$C$19,MAX(0,$C$19-P60)),0)</f>
        <v>0</v>
      </c>
      <c r="R57" s="66" t="n">
        <f aca="false">IF(AND($C$22="Y",R49&lt;0,R$46&gt;=$C$9,R$46&lt;=$C$41),MIN(ABS(R49/$D$49)*$C$19,MAX(0,$C$19-Q60)),0)</f>
        <v>0</v>
      </c>
      <c r="S57" s="66" t="n">
        <f aca="false">IF(AND($C$22="Y",S49&lt;0,S$46&gt;=$C$9,S$46&lt;=$C$41),MIN(ABS(S49/$D$49)*$C$19,MAX(0,$C$19-R60)),0)</f>
        <v>0</v>
      </c>
      <c r="T57" s="66" t="n">
        <f aca="false">IF(AND($C$22="Y",T49&lt;0,T$46&gt;=$C$9,T$46&lt;=$C$41),MIN(ABS(T49/$D$49)*$C$19,MAX(0,$C$19-S60)),0)</f>
        <v>0</v>
      </c>
      <c r="U57" s="66" t="n">
        <f aca="false">IF(AND($C$22="Y",U49&lt;0,U$46&gt;=$C$9,U$46&lt;=$C$41),MIN(ABS(U49/$D$49)*$C$19,MAX(0,$C$19-T60)),0)</f>
        <v>0</v>
      </c>
      <c r="V57" s="66" t="n">
        <f aca="false">IF(AND($C$22="Y",V49&lt;0,V$46&gt;=$C$9,V$46&lt;=$C$41),MIN(ABS(V49/$D$49)*$C$19,MAX(0,$C$19-U60)),0)</f>
        <v>0</v>
      </c>
      <c r="W57" s="66" t="n">
        <f aca="false">IF(AND($C$22="Y",W49&lt;0,W$46&gt;=$C$9,W$46&lt;=$C$41),MIN(ABS(W49/$D$49)*$C$19,MAX(0,$C$19-V60)),0)</f>
        <v>0</v>
      </c>
      <c r="X57" s="66" t="n">
        <f aca="false">IF(AND($C$22="Y",X49&lt;0,X$46&gt;=$C$9,X$46&lt;=$C$41),MIN(ABS(X49/$D$49)*$C$19,MAX(0,$C$19-W60)),0)</f>
        <v>0</v>
      </c>
      <c r="Y57" s="66" t="n">
        <f aca="false">IF(AND($C$22="Y",Y49&lt;0,Y$46&gt;=$C$9,Y$46&lt;=$C$41),MIN(ABS(Y49/$D$49)*$C$19,MAX(0,$C$19-X60)),0)</f>
        <v>0</v>
      </c>
      <c r="Z57" s="66" t="n">
        <f aca="false">IF(AND($C$22="Y",Z49&lt;0,Z$46&gt;=$C$9,Z$46&lt;=$C$41),MIN(ABS(Z49/$D$49)*$C$19,MAX(0,$C$19-Y60)),0)</f>
        <v>0</v>
      </c>
      <c r="AA57" s="66" t="n">
        <f aca="false">IF(AND($C$22="Y",AA49&lt;0,AA$46&gt;=$C$9,AA$46&lt;=$C$41),MIN(ABS(AA49/$D$49)*$C$19,MAX(0,$C$19-Z60)),0)</f>
        <v>0</v>
      </c>
      <c r="AB57" s="66" t="n">
        <f aca="false">IF(AND($C$22="Y",AB49&lt;0,AB$46&gt;=$C$9,AB$46&lt;=$C$41),MIN(ABS(AB49/$D$49)*$C$19,MAX(0,$C$19-AA60)),0)</f>
        <v>0</v>
      </c>
      <c r="AC57" s="66" t="n">
        <f aca="false">IF(AND($C$22="Y",AC49&lt;0,AC$46&gt;=$C$9,AC$46&lt;=$C$41),MIN(ABS(AC49/$D$49)*$C$19,MAX(0,$C$19-AB60)),0)</f>
        <v>0</v>
      </c>
      <c r="AD57" s="66" t="n">
        <f aca="false">IF(AND($C$22="Y",AD49&lt;0,AD$46&gt;=$C$9,AD$46&lt;=$C$41),MIN(ABS(AD49/$D$49)*$C$19,MAX(0,$C$19-AC60)),0)</f>
        <v>0</v>
      </c>
      <c r="AE57" s="66" t="n">
        <f aca="false">IF(AND($C$22="Y",AE49&lt;0,AE$46&gt;=$C$9,AE$46&lt;=$C$41),MIN(ABS(AE49/$D$49)*$C$19,MAX(0,$C$19-AD60)),0)</f>
        <v>0</v>
      </c>
      <c r="AF57" s="66" t="n">
        <f aca="false">IF(AND($C$22="Y",AF49&lt;0,AF$46&gt;=$C$9,AF$46&lt;=$C$41),MIN(ABS(AF49/$D$49)*$C$19,MAX(0,$C$19-AE60)),0)</f>
        <v>0</v>
      </c>
      <c r="AG57" s="66" t="n">
        <f aca="false">IF(AND($C$22="Y",AG49&lt;0,AG$46&gt;=$C$9,AG$46&lt;=$C$41),MIN(ABS(AG49/$D$49)*$C$19,MAX(0,$C$19-AF60)),0)</f>
        <v>0</v>
      </c>
      <c r="AH57" s="66" t="n">
        <f aca="false">IF(AND($C$22="Y",AH49&lt;0,AH$46&gt;=$C$9,AH$46&lt;=$C$41),MIN(ABS(AH49/$D$49)*$C$19,MAX(0,$C$19-AG60)),0)</f>
        <v>0</v>
      </c>
      <c r="AI57" s="66" t="n">
        <f aca="false">IF(AND($C$22="Y",AI49&lt;0,AI$46&gt;=$C$9,AI$46&lt;=$C$41),MIN(ABS(AI49/$D$49)*$C$19,MAX(0,$C$19-AH60)),0)</f>
        <v>0</v>
      </c>
      <c r="AJ57" s="66" t="n">
        <f aca="false">IF(AND($C$22="Y",AJ49&lt;0,AJ$46&gt;=$C$9,AJ$46&lt;=$C$41),MIN(ABS(AJ49/$D$49)*$C$19,MAX(0,$C$19-AI60)),0)</f>
        <v>0</v>
      </c>
      <c r="AK57" s="66" t="n">
        <f aca="false">IF(AND($C$22="Y",AK49&lt;0,AK$46&gt;=$C$9,AK$46&lt;=$C$41),MIN(ABS(AK49/$D$49)*$C$19,MAX(0,$C$19-AJ60)),0)</f>
        <v>0</v>
      </c>
      <c r="AL57" s="66" t="n">
        <f aca="false">IF(AND($C$22="Y",AL49&lt;0,AL$46&gt;=$C$9,AL$46&lt;=$C$41),MIN(ABS(AL49/$D$49)*$C$19,MAX(0,$C$19-AK60)),0)</f>
        <v>0</v>
      </c>
      <c r="AM57" s="66" t="n">
        <f aca="false">IF(AND($C$22="Y",AM49&lt;0,AM$46&gt;=$C$9,AM$46&lt;=$C$41),MIN(ABS(AM49/$D$49)*$C$19,MAX(0,$C$19-AL60)),0)</f>
        <v>0</v>
      </c>
      <c r="AN57" s="66" t="n">
        <f aca="false">IF(AND($C$22="Y",AN49&lt;0,AN$46&gt;=$C$9,AN$46&lt;=$C$41),MIN(ABS(AN49/$D$49)*$C$19,MAX(0,$C$19-AM60)),0)</f>
        <v>0</v>
      </c>
      <c r="AO57" s="66" t="n">
        <f aca="false">IF(AND($C$22="Y",AO49&lt;0,AO$46&gt;=$C$9,AO$46&lt;=$C$41),MIN(ABS(AO49/$D$49)*$C$19,MAX(0,$C$19-AN60)),0)</f>
        <v>0</v>
      </c>
      <c r="AP57" s="66" t="n">
        <f aca="false">IF(AND($C$22="Y",AP49&lt;0,AP$46&gt;=$C$9,AP$46&lt;=$C$41),MIN(ABS(AP49/$D$49)*$C$19,MAX(0,$C$19-AO60)),0)</f>
        <v>0</v>
      </c>
      <c r="AQ57" s="66" t="n">
        <f aca="false">IF(AND($C$22="Y",AQ49&lt;0,AQ$46&gt;=$C$9,AQ$46&lt;=$C$41),MIN(ABS(AQ49/$D$49)*$C$19,MAX(0,$C$19-AP60)),0)</f>
        <v>0</v>
      </c>
      <c r="AR57" s="66" t="n">
        <f aca="false">IF(AND($C$22="Y",AR49&lt;0,AR$46&gt;=$C$9,AR$46&lt;=$C$41),MIN(ABS(AR49/$D$49)*$C$19,MAX(0,$C$19-AQ60)),0)</f>
        <v>0</v>
      </c>
      <c r="AS57" s="66" t="n">
        <f aca="false">IF(AND($C$22="Y",AS49&lt;0,AS$46&gt;=$C$9,AS$46&lt;=$C$41),MIN(ABS(AS49/$D$49)*$C$19,MAX(0,$C$19-AR60)),0)</f>
        <v>0</v>
      </c>
      <c r="AT57" s="66" t="n">
        <f aca="false">IF(AND($C$22="Y",AT49&lt;0,AT$46&gt;=$C$9,AT$46&lt;=$C$41),MIN(ABS(AT49/$D$49)*$C$19,MAX(0,$C$19-AS60)),0)</f>
        <v>0</v>
      </c>
      <c r="AU57" s="66" t="n">
        <f aca="false">IF(AND($C$22="Y",AU49&lt;0,AU$46&gt;=$C$9,AU$46&lt;=$C$41),MIN(ABS(AU49/$D$49)*$C$19,MAX(0,$C$19-AT60)),0)</f>
        <v>0</v>
      </c>
      <c r="AV57" s="66" t="n">
        <f aca="false">IF(AND($C$22="Y",AV49&lt;0,AV$46&gt;=$C$9,AV$46&lt;=$C$41),MIN(ABS(AV49/$D$49)*$C$19,MAX(0,$C$19-AU60)),0)</f>
        <v>0</v>
      </c>
      <c r="AW57" s="66" t="n">
        <f aca="false">IF(AND($C$22="Y",AW49&lt;0,AW$46&gt;=$C$9,AW$46&lt;=$C$41),MIN(ABS(AW49/$D$49)*$C$19,MAX(0,$C$19-AV60)),0)</f>
        <v>0</v>
      </c>
      <c r="AX57" s="66" t="n">
        <f aca="false">IF(AND($C$22="Y",AX49&lt;0,AX$46&gt;=$C$9,AX$46&lt;=$C$41),MIN(ABS(AX49/$D$49)*$C$19,MAX(0,$C$19-AW60)),0)</f>
        <v>0</v>
      </c>
      <c r="AY57" s="66" t="n">
        <f aca="false">IF(AND($C$22="Y",AY49&lt;0,AY$46&gt;=$C$9,AY$46&lt;=$C$41),MIN(ABS(AY49/$D$49)*$C$19,MAX(0,$C$19-AX60)),0)</f>
        <v>0</v>
      </c>
      <c r="AZ57" s="66" t="n">
        <f aca="false">IF(AND($C$22="Y",AZ49&lt;0,AZ$46&gt;=$C$9,AZ$46&lt;=$C$41),MIN(ABS(AZ49/$D$49)*$C$19,MAX(0,$C$19-AY60)),0)</f>
        <v>0</v>
      </c>
      <c r="BA57" s="66" t="n">
        <f aca="false">IF(AND($C$22="Y",BA49&lt;0,BA$46&gt;=$C$9,BA$46&lt;=$C$41),MIN(ABS(BA49/$D$49)*$C$19,MAX(0,$C$19-AZ60)),0)</f>
        <v>0</v>
      </c>
      <c r="BB57" s="66" t="n">
        <f aca="false">IF(AND($C$22="Y",BB49&lt;0,BB$46&gt;=$C$9,BB$46&lt;=$C$41),MIN(ABS(BB49/$D$49)*$C$19,MAX(0,$C$19-BA60)),0)</f>
        <v>0</v>
      </c>
    </row>
    <row r="58" customFormat="false" ht="15" hidden="false" customHeight="true" outlineLevel="0" collapsed="false">
      <c r="B58" s="59" t="s">
        <v>468</v>
      </c>
      <c r="C58" s="59" t="s">
        <v>11</v>
      </c>
      <c r="D58" s="66" t="n">
        <f aca="false">SUM(E58:BB58)</f>
        <v>1091255026.30134</v>
      </c>
      <c r="E58" s="66" t="n">
        <f aca="false">0</f>
        <v>0</v>
      </c>
      <c r="F58" s="66" t="n">
        <f aca="false">E60</f>
        <v>0</v>
      </c>
      <c r="G58" s="66" t="n">
        <f aca="false">F60</f>
        <v>0</v>
      </c>
      <c r="H58" s="66" t="n">
        <f aca="false">G60</f>
        <v>0</v>
      </c>
      <c r="I58" s="66" t="n">
        <f aca="false">H60</f>
        <v>146580927.698059</v>
      </c>
      <c r="J58" s="66" t="n">
        <f aca="false">I60</f>
        <v>324782262.422872</v>
      </c>
      <c r="K58" s="66" t="n">
        <f aca="false">J60</f>
        <v>298324474.567171</v>
      </c>
      <c r="L58" s="66" t="n">
        <f aca="false">K60</f>
        <v>214378241.075493</v>
      </c>
      <c r="M58" s="66" t="n">
        <f aca="false">L60</f>
        <v>107189120.537746</v>
      </c>
      <c r="N58" s="66" t="n">
        <f aca="false">M60</f>
        <v>0</v>
      </c>
      <c r="O58" s="66" t="n">
        <f aca="false">N60</f>
        <v>0</v>
      </c>
      <c r="P58" s="66" t="n">
        <f aca="false">O60</f>
        <v>0</v>
      </c>
      <c r="Q58" s="66" t="n">
        <f aca="false">P60</f>
        <v>0</v>
      </c>
      <c r="R58" s="66" t="n">
        <f aca="false">Q60</f>
        <v>0</v>
      </c>
      <c r="S58" s="66" t="n">
        <f aca="false">R60</f>
        <v>0</v>
      </c>
      <c r="T58" s="66" t="n">
        <f aca="false">S60</f>
        <v>0</v>
      </c>
      <c r="U58" s="66" t="n">
        <f aca="false">T60</f>
        <v>0</v>
      </c>
      <c r="V58" s="66" t="n">
        <f aca="false">U60</f>
        <v>0</v>
      </c>
      <c r="W58" s="66" t="n">
        <f aca="false">V60</f>
        <v>0</v>
      </c>
      <c r="X58" s="66" t="n">
        <f aca="false">W60</f>
        <v>0</v>
      </c>
      <c r="Y58" s="66" t="n">
        <f aca="false">X60</f>
        <v>0</v>
      </c>
      <c r="Z58" s="66" t="n">
        <f aca="false">Y60</f>
        <v>0</v>
      </c>
      <c r="AA58" s="66" t="n">
        <f aca="false">Z60</f>
        <v>0</v>
      </c>
      <c r="AB58" s="66" t="n">
        <f aca="false">AA60</f>
        <v>0</v>
      </c>
      <c r="AC58" s="66" t="n">
        <f aca="false">AB60</f>
        <v>0</v>
      </c>
      <c r="AD58" s="66" t="n">
        <f aca="false">AC60</f>
        <v>0</v>
      </c>
      <c r="AE58" s="66" t="n">
        <f aca="false">AD60</f>
        <v>0</v>
      </c>
      <c r="AF58" s="66" t="n">
        <f aca="false">AE60</f>
        <v>0</v>
      </c>
      <c r="AG58" s="66" t="n">
        <f aca="false">AF60</f>
        <v>0</v>
      </c>
      <c r="AH58" s="66" t="n">
        <f aca="false">AG60</f>
        <v>0</v>
      </c>
      <c r="AI58" s="66" t="n">
        <f aca="false">AH60</f>
        <v>0</v>
      </c>
      <c r="AJ58" s="66" t="n">
        <f aca="false">AI60</f>
        <v>0</v>
      </c>
      <c r="AK58" s="66" t="n">
        <f aca="false">AJ60</f>
        <v>0</v>
      </c>
      <c r="AL58" s="66" t="n">
        <f aca="false">AK60</f>
        <v>0</v>
      </c>
      <c r="AM58" s="66" t="n">
        <f aca="false">AL60</f>
        <v>0</v>
      </c>
      <c r="AN58" s="66" t="n">
        <f aca="false">AM60</f>
        <v>0</v>
      </c>
      <c r="AO58" s="66" t="n">
        <f aca="false">AN60</f>
        <v>0</v>
      </c>
      <c r="AP58" s="66" t="n">
        <f aca="false">AO60</f>
        <v>0</v>
      </c>
      <c r="AQ58" s="66" t="n">
        <f aca="false">AP60</f>
        <v>0</v>
      </c>
      <c r="AR58" s="66" t="n">
        <f aca="false">AQ60</f>
        <v>0</v>
      </c>
      <c r="AS58" s="66" t="n">
        <f aca="false">AR60</f>
        <v>0</v>
      </c>
      <c r="AT58" s="66" t="n">
        <f aca="false">AS60</f>
        <v>0</v>
      </c>
      <c r="AU58" s="66" t="n">
        <f aca="false">AT60</f>
        <v>0</v>
      </c>
      <c r="AV58" s="66" t="n">
        <f aca="false">AU60</f>
        <v>0</v>
      </c>
      <c r="AW58" s="66" t="n">
        <f aca="false">AV60</f>
        <v>0</v>
      </c>
      <c r="AX58" s="66" t="n">
        <f aca="false">AW60</f>
        <v>0</v>
      </c>
      <c r="AY58" s="66" t="n">
        <f aca="false">AX60</f>
        <v>0</v>
      </c>
      <c r="AZ58" s="66" t="n">
        <f aca="false">AY60</f>
        <v>0</v>
      </c>
      <c r="BA58" s="66" t="n">
        <f aca="false">AZ60</f>
        <v>0</v>
      </c>
      <c r="BB58" s="66" t="n">
        <f aca="false">BA60</f>
        <v>0</v>
      </c>
    </row>
    <row r="59" customFormat="false" ht="15" hidden="false" customHeight="true" outlineLevel="0" collapsed="false">
      <c r="B59" s="59" t="s">
        <v>469</v>
      </c>
      <c r="C59" s="59" t="s">
        <v>11</v>
      </c>
      <c r="D59" s="63" t="n">
        <f aca="false">SUM(E59:BB59)</f>
        <v>-428756482.150985</v>
      </c>
      <c r="E59" s="66" t="n">
        <f aca="false">IF(AND($C$22="Y",(E$46-$C$9+1)&gt;$C$26,E58&gt;0),-MIN(E58,$C$19/MAX(1,$C$24-$C$26)),0)</f>
        <v>0</v>
      </c>
      <c r="F59" s="66" t="n">
        <f aca="false">IF(AND($C$22="Y",(F$46-$C$9+1)&gt;$C$26,F58&gt;0),-MIN(F58,$C$19/MAX(1,$C$24-$C$26)),0)</f>
        <v>0</v>
      </c>
      <c r="G59" s="66" t="n">
        <f aca="false">IF(AND($C$22="Y",(G$46-$C$9+1)&gt;$C$26,G58&gt;0),-MIN(G58,$C$19/MAX(1,$C$24-$C$26)),0)</f>
        <v>0</v>
      </c>
      <c r="H59" s="66" t="n">
        <f aca="false">IF(AND($C$22="Y",(H$46-$C$9+1)&gt;$C$26,H58&gt;0),-MIN(H58,$C$19/MAX(1,$C$24-$C$26)),0)</f>
        <v>0</v>
      </c>
      <c r="I59" s="66" t="n">
        <f aca="false">IF(AND($C$22="Y",(I$46-$C$9+1)&gt;$C$26,I58&gt;0),-MIN(I58,$C$19/MAX(1,$C$24-$C$26)),0)</f>
        <v>0</v>
      </c>
      <c r="J59" s="66" t="n">
        <f aca="false">IF(AND($C$22="Y",(J$46-$C$9+1)&gt;$C$26,J58&gt;0),-MIN(J58,$C$19/MAX(1,$C$24-$C$26)),0)</f>
        <v>-107189120.537746</v>
      </c>
      <c r="K59" s="66" t="n">
        <f aca="false">IF(AND($C$22="Y",(K$46-$C$9+1)&gt;$C$26,K58&gt;0),-MIN(K58,$C$19/MAX(1,$C$24-$C$26)),0)</f>
        <v>-107189120.537746</v>
      </c>
      <c r="L59" s="66" t="n">
        <f aca="false">IF(AND($C$22="Y",(L$46-$C$9+1)&gt;$C$26,L58&gt;0),-MIN(L58,$C$19/MAX(1,$C$24-$C$26)),0)</f>
        <v>-107189120.537746</v>
      </c>
      <c r="M59" s="66" t="n">
        <f aca="false">IF(AND($C$22="Y",(M$46-$C$9+1)&gt;$C$26,M58&gt;0),-MIN(M58,$C$19/MAX(1,$C$24-$C$26)),0)</f>
        <v>-107189120.537746</v>
      </c>
      <c r="N59" s="66" t="n">
        <f aca="false">IF(AND($C$22="Y",(N$46-$C$9+1)&gt;$C$26,N58&gt;0),-MIN(N58,$C$19/MAX(1,$C$24-$C$26)),0)</f>
        <v>0</v>
      </c>
      <c r="O59" s="66" t="n">
        <f aca="false">IF(AND($C$22="Y",(O$46-$C$9+1)&gt;$C$26,O58&gt;0),-MIN(O58,$C$19/MAX(1,$C$24-$C$26)),0)</f>
        <v>0</v>
      </c>
      <c r="P59" s="66" t="n">
        <f aca="false">IF(AND($C$22="Y",(P$46-$C$9+1)&gt;$C$26,P58&gt;0),-MIN(P58,$C$19/MAX(1,$C$24-$C$26)),0)</f>
        <v>0</v>
      </c>
      <c r="Q59" s="66" t="n">
        <f aca="false">IF(AND($C$22="Y",(Q$46-$C$9+1)&gt;$C$26,Q58&gt;0),-MIN(Q58,$C$19/MAX(1,$C$24-$C$26)),0)</f>
        <v>0</v>
      </c>
      <c r="R59" s="66" t="n">
        <f aca="false">IF(AND($C$22="Y",(R$46-$C$9+1)&gt;$C$26,R58&gt;0),-MIN(R58,$C$19/MAX(1,$C$24-$C$26)),0)</f>
        <v>0</v>
      </c>
      <c r="S59" s="66" t="n">
        <f aca="false">IF(AND($C$22="Y",(S$46-$C$9+1)&gt;$C$26,S58&gt;0),-MIN(S58,$C$19/MAX(1,$C$24-$C$26)),0)</f>
        <v>0</v>
      </c>
      <c r="T59" s="66" t="n">
        <f aca="false">IF(AND($C$22="Y",(T$46-$C$9+1)&gt;$C$26,T58&gt;0),-MIN(T58,$C$19/MAX(1,$C$24-$C$26)),0)</f>
        <v>0</v>
      </c>
      <c r="U59" s="66" t="n">
        <f aca="false">IF(AND($C$22="Y",(U$46-$C$9+1)&gt;$C$26,U58&gt;0),-MIN(U58,$C$19/MAX(1,$C$24-$C$26)),0)</f>
        <v>0</v>
      </c>
      <c r="V59" s="66" t="n">
        <f aca="false">IF(AND($C$22="Y",(V$46-$C$9+1)&gt;$C$26,V58&gt;0),-MIN(V58,$C$19/MAX(1,$C$24-$C$26)),0)</f>
        <v>0</v>
      </c>
      <c r="W59" s="66" t="n">
        <f aca="false">IF(AND($C$22="Y",(W$46-$C$9+1)&gt;$C$26,W58&gt;0),-MIN(W58,$C$19/MAX(1,$C$24-$C$26)),0)</f>
        <v>0</v>
      </c>
      <c r="X59" s="66" t="n">
        <f aca="false">IF(AND($C$22="Y",(X$46-$C$9+1)&gt;$C$26,X58&gt;0),-MIN(X58,$C$19/MAX(1,$C$24-$C$26)),0)</f>
        <v>0</v>
      </c>
      <c r="Y59" s="66" t="n">
        <f aca="false">IF(AND($C$22="Y",(Y$46-$C$9+1)&gt;$C$26,Y58&gt;0),-MIN(Y58,$C$19/MAX(1,$C$24-$C$26)),0)</f>
        <v>0</v>
      </c>
      <c r="Z59" s="66" t="n">
        <f aca="false">IF(AND($C$22="Y",(Z$46-$C$9+1)&gt;$C$26,Z58&gt;0),-MIN(Z58,$C$19/MAX(1,$C$24-$C$26)),0)</f>
        <v>0</v>
      </c>
      <c r="AA59" s="66" t="n">
        <f aca="false">IF(AND($C$22="Y",(AA$46-$C$9+1)&gt;$C$26,AA58&gt;0),-MIN(AA58,$C$19/MAX(1,$C$24-$C$26)),0)</f>
        <v>0</v>
      </c>
      <c r="AB59" s="66" t="n">
        <f aca="false">IF(AND($C$22="Y",(AB$46-$C$9+1)&gt;$C$26,AB58&gt;0),-MIN(AB58,$C$19/MAX(1,$C$24-$C$26)),0)</f>
        <v>0</v>
      </c>
      <c r="AC59" s="66" t="n">
        <f aca="false">IF(AND($C$22="Y",(AC$46-$C$9+1)&gt;$C$26,AC58&gt;0),-MIN(AC58,$C$19/MAX(1,$C$24-$C$26)),0)</f>
        <v>0</v>
      </c>
      <c r="AD59" s="66" t="n">
        <f aca="false">IF(AND($C$22="Y",(AD$46-$C$9+1)&gt;$C$26,AD58&gt;0),-MIN(AD58,$C$19/MAX(1,$C$24-$C$26)),0)</f>
        <v>0</v>
      </c>
      <c r="AE59" s="66" t="n">
        <f aca="false">IF(AND($C$22="Y",(AE$46-$C$9+1)&gt;$C$26,AE58&gt;0),-MIN(AE58,$C$19/MAX(1,$C$24-$C$26)),0)</f>
        <v>0</v>
      </c>
      <c r="AF59" s="66" t="n">
        <f aca="false">IF(AND($C$22="Y",(AF$46-$C$9+1)&gt;$C$26,AF58&gt;0),-MIN(AF58,$C$19/MAX(1,$C$24-$C$26)),0)</f>
        <v>0</v>
      </c>
      <c r="AG59" s="66" t="n">
        <f aca="false">IF(AND($C$22="Y",(AG$46-$C$9+1)&gt;$C$26,AG58&gt;0),-MIN(AG58,$C$19/MAX(1,$C$24-$C$26)),0)</f>
        <v>0</v>
      </c>
      <c r="AH59" s="66" t="n">
        <f aca="false">IF(AND($C$22="Y",(AH$46-$C$9+1)&gt;$C$26,AH58&gt;0),-MIN(AH58,$C$19/MAX(1,$C$24-$C$26)),0)</f>
        <v>0</v>
      </c>
      <c r="AI59" s="66" t="n">
        <f aca="false">IF(AND($C$22="Y",(AI$46-$C$9+1)&gt;$C$26,AI58&gt;0),-MIN(AI58,$C$19/MAX(1,$C$24-$C$26)),0)</f>
        <v>0</v>
      </c>
      <c r="AJ59" s="66" t="n">
        <f aca="false">IF(AND($C$22="Y",(AJ$46-$C$9+1)&gt;$C$26,AJ58&gt;0),-MIN(AJ58,$C$19/MAX(1,$C$24-$C$26)),0)</f>
        <v>0</v>
      </c>
      <c r="AK59" s="66" t="n">
        <f aca="false">IF(AND($C$22="Y",(AK$46-$C$9+1)&gt;$C$26,AK58&gt;0),-MIN(AK58,$C$19/MAX(1,$C$24-$C$26)),0)</f>
        <v>0</v>
      </c>
      <c r="AL59" s="66" t="n">
        <f aca="false">IF(AND($C$22="Y",(AL$46-$C$9+1)&gt;$C$26,AL58&gt;0),-MIN(AL58,$C$19/MAX(1,$C$24-$C$26)),0)</f>
        <v>0</v>
      </c>
      <c r="AM59" s="66" t="n">
        <f aca="false">IF(AND($C$22="Y",(AM$46-$C$9+1)&gt;$C$26,AM58&gt;0),-MIN(AM58,$C$19/MAX(1,$C$24-$C$26)),0)</f>
        <v>0</v>
      </c>
      <c r="AN59" s="66" t="n">
        <f aca="false">IF(AND($C$22="Y",(AN$46-$C$9+1)&gt;$C$26,AN58&gt;0),-MIN(AN58,$C$19/MAX(1,$C$24-$C$26)),0)</f>
        <v>0</v>
      </c>
      <c r="AO59" s="66" t="n">
        <f aca="false">IF(AND($C$22="Y",(AO$46-$C$9+1)&gt;$C$26,AO58&gt;0),-MIN(AO58,$C$19/MAX(1,$C$24-$C$26)),0)</f>
        <v>0</v>
      </c>
      <c r="AP59" s="66" t="n">
        <f aca="false">IF(AND($C$22="Y",(AP$46-$C$9+1)&gt;$C$26,AP58&gt;0),-MIN(AP58,$C$19/MAX(1,$C$24-$C$26)),0)</f>
        <v>0</v>
      </c>
      <c r="AQ59" s="66" t="n">
        <f aca="false">IF(AND($C$22="Y",(AQ$46-$C$9+1)&gt;$C$26,AQ58&gt;0),-MIN(AQ58,$C$19/MAX(1,$C$24-$C$26)),0)</f>
        <v>0</v>
      </c>
      <c r="AR59" s="66" t="n">
        <f aca="false">IF(AND($C$22="Y",(AR$46-$C$9+1)&gt;$C$26,AR58&gt;0),-MIN(AR58,$C$19/MAX(1,$C$24-$C$26)),0)</f>
        <v>0</v>
      </c>
      <c r="AS59" s="66" t="n">
        <f aca="false">IF(AND($C$22="Y",(AS$46-$C$9+1)&gt;$C$26,AS58&gt;0),-MIN(AS58,$C$19/MAX(1,$C$24-$C$26)),0)</f>
        <v>0</v>
      </c>
      <c r="AT59" s="66" t="n">
        <f aca="false">IF(AND($C$22="Y",(AT$46-$C$9+1)&gt;$C$26,AT58&gt;0),-MIN(AT58,$C$19/MAX(1,$C$24-$C$26)),0)</f>
        <v>0</v>
      </c>
      <c r="AU59" s="66" t="n">
        <f aca="false">IF(AND($C$22="Y",(AU$46-$C$9+1)&gt;$C$26,AU58&gt;0),-MIN(AU58,$C$19/MAX(1,$C$24-$C$26)),0)</f>
        <v>0</v>
      </c>
      <c r="AV59" s="66" t="n">
        <f aca="false">IF(AND($C$22="Y",(AV$46-$C$9+1)&gt;$C$26,AV58&gt;0),-MIN(AV58,$C$19/MAX(1,$C$24-$C$26)),0)</f>
        <v>0</v>
      </c>
      <c r="AW59" s="66" t="n">
        <f aca="false">IF(AND($C$22="Y",(AW$46-$C$9+1)&gt;$C$26,AW58&gt;0),-MIN(AW58,$C$19/MAX(1,$C$24-$C$26)),0)</f>
        <v>0</v>
      </c>
      <c r="AX59" s="66" t="n">
        <f aca="false">IF(AND($C$22="Y",(AX$46-$C$9+1)&gt;$C$26,AX58&gt;0),-MIN(AX58,$C$19/MAX(1,$C$24-$C$26)),0)</f>
        <v>0</v>
      </c>
      <c r="AY59" s="66" t="n">
        <f aca="false">IF(AND($C$22="Y",(AY$46-$C$9+1)&gt;$C$26,AY58&gt;0),-MIN(AY58,$C$19/MAX(1,$C$24-$C$26)),0)</f>
        <v>0</v>
      </c>
      <c r="AZ59" s="66" t="n">
        <f aca="false">IF(AND($C$22="Y",(AZ$46-$C$9+1)&gt;$C$26,AZ58&gt;0),-MIN(AZ58,$C$19/MAX(1,$C$24-$C$26)),0)</f>
        <v>0</v>
      </c>
      <c r="BA59" s="66" t="n">
        <f aca="false">IF(AND($C$22="Y",(BA$46-$C$9+1)&gt;$C$26,BA58&gt;0),-MIN(BA58,$C$19/MAX(1,$C$24-$C$26)),0)</f>
        <v>0</v>
      </c>
      <c r="BB59" s="66" t="n">
        <f aca="false">IF(AND($C$22="Y",(BB$46-$C$9+1)&gt;$C$26,BB58&gt;0),-MIN(BB58,$C$19/MAX(1,$C$24-$C$26)),0)</f>
        <v>0</v>
      </c>
    </row>
    <row r="60" customFormat="false" ht="15" hidden="false" customHeight="true" outlineLevel="0" collapsed="false">
      <c r="B60" s="59" t="s">
        <v>470</v>
      </c>
      <c r="C60" s="59" t="s">
        <v>11</v>
      </c>
      <c r="D60" s="66" t="n">
        <f aca="false">SUM(E60:BB60)</f>
        <v>1091255026.30134</v>
      </c>
      <c r="E60" s="66" t="n">
        <f aca="false">MAX(0,E58+E57+E59)</f>
        <v>0</v>
      </c>
      <c r="F60" s="66" t="n">
        <f aca="false">MAX(0,F58+F57+F59)</f>
        <v>0</v>
      </c>
      <c r="G60" s="66" t="n">
        <f aca="false">MAX(0,G58+G57+G59)</f>
        <v>0</v>
      </c>
      <c r="H60" s="66" t="n">
        <f aca="false">MAX(0,H58+H57+H59)</f>
        <v>146580927.698059</v>
      </c>
      <c r="I60" s="66" t="n">
        <f aca="false">MAX(0,I58+I57+I59)</f>
        <v>324782262.422872</v>
      </c>
      <c r="J60" s="66" t="n">
        <f aca="false">MAX(0,J58+J57+J59)</f>
        <v>298324474.567171</v>
      </c>
      <c r="K60" s="66" t="n">
        <f aca="false">MAX(0,K58+K57+K59)</f>
        <v>214378241.075493</v>
      </c>
      <c r="L60" s="66" t="n">
        <f aca="false">MAX(0,L58+L57+L59)</f>
        <v>107189120.537746</v>
      </c>
      <c r="M60" s="66" t="n">
        <f aca="false">MAX(0,M58+M57+M59)</f>
        <v>0</v>
      </c>
      <c r="N60" s="66" t="n">
        <f aca="false">MAX(0,N58+N57+N59)</f>
        <v>0</v>
      </c>
      <c r="O60" s="66" t="n">
        <f aca="false">MAX(0,O58+O57+O59)</f>
        <v>0</v>
      </c>
      <c r="P60" s="66" t="n">
        <f aca="false">MAX(0,P58+P57+P59)</f>
        <v>0</v>
      </c>
      <c r="Q60" s="66" t="n">
        <f aca="false">MAX(0,Q58+Q57+Q59)</f>
        <v>0</v>
      </c>
      <c r="R60" s="66" t="n">
        <f aca="false">MAX(0,R58+R57+R59)</f>
        <v>0</v>
      </c>
      <c r="S60" s="66" t="n">
        <f aca="false">MAX(0,S58+S57+S59)</f>
        <v>0</v>
      </c>
      <c r="T60" s="66" t="n">
        <f aca="false">MAX(0,T58+T57+T59)</f>
        <v>0</v>
      </c>
      <c r="U60" s="66" t="n">
        <f aca="false">MAX(0,U58+U57+U59)</f>
        <v>0</v>
      </c>
      <c r="V60" s="66" t="n">
        <f aca="false">MAX(0,V58+V57+V59)</f>
        <v>0</v>
      </c>
      <c r="W60" s="66" t="n">
        <f aca="false">MAX(0,W58+W57+W59)</f>
        <v>0</v>
      </c>
      <c r="X60" s="66" t="n">
        <f aca="false">MAX(0,X58+X57+X59)</f>
        <v>0</v>
      </c>
      <c r="Y60" s="66" t="n">
        <f aca="false">MAX(0,Y58+Y57+Y59)</f>
        <v>0</v>
      </c>
      <c r="Z60" s="66" t="n">
        <f aca="false">MAX(0,Z58+Z57+Z59)</f>
        <v>0</v>
      </c>
      <c r="AA60" s="66" t="n">
        <f aca="false">MAX(0,AA58+AA57+AA59)</f>
        <v>0</v>
      </c>
      <c r="AB60" s="66" t="n">
        <f aca="false">MAX(0,AB58+AB57+AB59)</f>
        <v>0</v>
      </c>
      <c r="AC60" s="66" t="n">
        <f aca="false">MAX(0,AC58+AC57+AC59)</f>
        <v>0</v>
      </c>
      <c r="AD60" s="66" t="n">
        <f aca="false">MAX(0,AD58+AD57+AD59)</f>
        <v>0</v>
      </c>
      <c r="AE60" s="66" t="n">
        <f aca="false">MAX(0,AE58+AE57+AE59)</f>
        <v>0</v>
      </c>
      <c r="AF60" s="66" t="n">
        <f aca="false">MAX(0,AF58+AF57+AF59)</f>
        <v>0</v>
      </c>
      <c r="AG60" s="66" t="n">
        <f aca="false">MAX(0,AG58+AG57+AG59)</f>
        <v>0</v>
      </c>
      <c r="AH60" s="66" t="n">
        <f aca="false">MAX(0,AH58+AH57+AH59)</f>
        <v>0</v>
      </c>
      <c r="AI60" s="66" t="n">
        <f aca="false">MAX(0,AI58+AI57+AI59)</f>
        <v>0</v>
      </c>
      <c r="AJ60" s="66" t="n">
        <f aca="false">MAX(0,AJ58+AJ57+AJ59)</f>
        <v>0</v>
      </c>
      <c r="AK60" s="66" t="n">
        <f aca="false">MAX(0,AK58+AK57+AK59)</f>
        <v>0</v>
      </c>
      <c r="AL60" s="66" t="n">
        <f aca="false">MAX(0,AL58+AL57+AL59)</f>
        <v>0</v>
      </c>
      <c r="AM60" s="66" t="n">
        <f aca="false">MAX(0,AM58+AM57+AM59)</f>
        <v>0</v>
      </c>
      <c r="AN60" s="66" t="n">
        <f aca="false">MAX(0,AN58+AN57+AN59)</f>
        <v>0</v>
      </c>
      <c r="AO60" s="66" t="n">
        <f aca="false">MAX(0,AO58+AO57+AO59)</f>
        <v>0</v>
      </c>
      <c r="AP60" s="66" t="n">
        <f aca="false">MAX(0,AP58+AP57+AP59)</f>
        <v>0</v>
      </c>
      <c r="AQ60" s="66" t="n">
        <f aca="false">MAX(0,AQ58+AQ57+AQ59)</f>
        <v>0</v>
      </c>
      <c r="AR60" s="66" t="n">
        <f aca="false">MAX(0,AR58+AR57+AR59)</f>
        <v>0</v>
      </c>
      <c r="AS60" s="66" t="n">
        <f aca="false">MAX(0,AS58+AS57+AS59)</f>
        <v>0</v>
      </c>
      <c r="AT60" s="66" t="n">
        <f aca="false">MAX(0,AT58+AT57+AT59)</f>
        <v>0</v>
      </c>
      <c r="AU60" s="66" t="n">
        <f aca="false">MAX(0,AU58+AU57+AU59)</f>
        <v>0</v>
      </c>
      <c r="AV60" s="66" t="n">
        <f aca="false">MAX(0,AV58+AV57+AV59)</f>
        <v>0</v>
      </c>
      <c r="AW60" s="66" t="n">
        <f aca="false">MAX(0,AW58+AW57+AW59)</f>
        <v>0</v>
      </c>
      <c r="AX60" s="66" t="n">
        <f aca="false">MAX(0,AX58+AX57+AX59)</f>
        <v>0</v>
      </c>
      <c r="AY60" s="66" t="n">
        <f aca="false">MAX(0,AY58+AY57+AY59)</f>
        <v>0</v>
      </c>
      <c r="AZ60" s="66" t="n">
        <f aca="false">MAX(0,AZ58+AZ57+AZ59)</f>
        <v>0</v>
      </c>
      <c r="BA60" s="66" t="n">
        <f aca="false">MAX(0,BA58+BA57+BA59)</f>
        <v>0</v>
      </c>
      <c r="BB60" s="66" t="n">
        <f aca="false">MAX(0,BB58+BB57+BB59)</f>
        <v>0</v>
      </c>
    </row>
    <row r="61" customFormat="false" ht="15" hidden="false" customHeight="true" outlineLevel="0" collapsed="false">
      <c r="B61" s="59" t="s">
        <v>471</v>
      </c>
      <c r="C61" s="59" t="s">
        <v>11</v>
      </c>
      <c r="D61" s="63" t="n">
        <f aca="false">SUM(E61:BB61)</f>
        <v>-73075359.1203421</v>
      </c>
      <c r="E61" s="66" t="n">
        <f aca="false">IF(AND($C$22="Y",E58+E60&gt;0),-(E58+E60)/2*$C$23,0)-ABS(E57)*$C$25</f>
        <v>0</v>
      </c>
      <c r="F61" s="66" t="n">
        <f aca="false">IF(AND($C$22="Y",F58+F60&gt;0),-(F58+F60)/2*$C$23,0)-ABS(F57)*$C$25</f>
        <v>0</v>
      </c>
      <c r="G61" s="66" t="n">
        <f aca="false">IF(AND($C$22="Y",G58+G60&gt;0),-(G58+G60)/2*$C$23,0)-ABS(G57)*$C$25</f>
        <v>0</v>
      </c>
      <c r="H61" s="66" t="n">
        <f aca="false">IF(AND($C$22="Y",H58+H60&gt;0),-(H58+H60)/2*$C$23,0)-ABS(H57)*$C$25</f>
        <v>-5496784.78867722</v>
      </c>
      <c r="I61" s="66" t="n">
        <f aca="false">IF(AND($C$22="Y",I58+I60&gt;0),-(I58+I60)/2*$C$23,0)-ABS(I57)*$C$25</f>
        <v>-16210310.3525543</v>
      </c>
      <c r="J61" s="66" t="n">
        <f aca="false">IF(AND($C$22="Y",J58+J60&gt;0),-(J58+J60)/2*$C$23,0)-ABS(J57)*$C$25</f>
        <v>-20654625.6155866</v>
      </c>
      <c r="K61" s="66" t="n">
        <f aca="false">IF(AND($C$22="Y",K58+K60&gt;0),-(K58+K60)/2*$C$23,0)-ABS(K57)*$C$25</f>
        <v>-16779052.6936169</v>
      </c>
      <c r="L61" s="66" t="n">
        <f aca="false">IF(AND($C$22="Y",L58+L60&gt;0),-(L58+L60)/2*$C$23,0)-ABS(L57)*$C$25</f>
        <v>-10450939.2524303</v>
      </c>
      <c r="M61" s="66" t="n">
        <f aca="false">IF(AND($C$22="Y",M58+M60&gt;0),-(M58+M60)/2*$C$23,0)-ABS(M57)*$C$25</f>
        <v>-3483646.41747676</v>
      </c>
      <c r="N61" s="66" t="n">
        <f aca="false">IF(AND($C$22="Y",N58+N60&gt;0),-(N58+N60)/2*$C$23,0)-ABS(N57)*$C$25</f>
        <v>0</v>
      </c>
      <c r="O61" s="66" t="n">
        <f aca="false">IF(AND($C$22="Y",O58+O60&gt;0),-(O58+O60)/2*$C$23,0)-ABS(O57)*$C$25</f>
        <v>0</v>
      </c>
      <c r="P61" s="66" t="n">
        <f aca="false">IF(AND($C$22="Y",P58+P60&gt;0),-(P58+P60)/2*$C$23,0)-ABS(P57)*$C$25</f>
        <v>0</v>
      </c>
      <c r="Q61" s="66" t="n">
        <f aca="false">IF(AND($C$22="Y",Q58+Q60&gt;0),-(Q58+Q60)/2*$C$23,0)-ABS(Q57)*$C$25</f>
        <v>0</v>
      </c>
      <c r="R61" s="66" t="n">
        <f aca="false">IF(AND($C$22="Y",R58+R60&gt;0),-(R58+R60)/2*$C$23,0)-ABS(R57)*$C$25</f>
        <v>0</v>
      </c>
      <c r="S61" s="66" t="n">
        <f aca="false">IF(AND($C$22="Y",S58+S60&gt;0),-(S58+S60)/2*$C$23,0)-ABS(S57)*$C$25</f>
        <v>0</v>
      </c>
      <c r="T61" s="66" t="n">
        <f aca="false">IF(AND($C$22="Y",T58+T60&gt;0),-(T58+T60)/2*$C$23,0)-ABS(T57)*$C$25</f>
        <v>0</v>
      </c>
      <c r="U61" s="66" t="n">
        <f aca="false">IF(AND($C$22="Y",U58+U60&gt;0),-(U58+U60)/2*$C$23,0)-ABS(U57)*$C$25</f>
        <v>0</v>
      </c>
      <c r="V61" s="66" t="n">
        <f aca="false">IF(AND($C$22="Y",V58+V60&gt;0),-(V58+V60)/2*$C$23,0)-ABS(V57)*$C$25</f>
        <v>0</v>
      </c>
      <c r="W61" s="66" t="n">
        <f aca="false">IF(AND($C$22="Y",W58+W60&gt;0),-(W58+W60)/2*$C$23,0)-ABS(W57)*$C$25</f>
        <v>0</v>
      </c>
      <c r="X61" s="66" t="n">
        <f aca="false">IF(AND($C$22="Y",X58+X60&gt;0),-(X58+X60)/2*$C$23,0)-ABS(X57)*$C$25</f>
        <v>0</v>
      </c>
      <c r="Y61" s="66" t="n">
        <f aca="false">IF(AND($C$22="Y",Y58+Y60&gt;0),-(Y58+Y60)/2*$C$23,0)-ABS(Y57)*$C$25</f>
        <v>0</v>
      </c>
      <c r="Z61" s="66" t="n">
        <f aca="false">IF(AND($C$22="Y",Z58+Z60&gt;0),-(Z58+Z60)/2*$C$23,0)-ABS(Z57)*$C$25</f>
        <v>0</v>
      </c>
      <c r="AA61" s="66" t="n">
        <f aca="false">IF(AND($C$22="Y",AA58+AA60&gt;0),-(AA58+AA60)/2*$C$23,0)-ABS(AA57)*$C$25</f>
        <v>0</v>
      </c>
      <c r="AB61" s="66" t="n">
        <f aca="false">IF(AND($C$22="Y",AB58+AB60&gt;0),-(AB58+AB60)/2*$C$23,0)-ABS(AB57)*$C$25</f>
        <v>0</v>
      </c>
      <c r="AC61" s="66" t="n">
        <f aca="false">IF(AND($C$22="Y",AC58+AC60&gt;0),-(AC58+AC60)/2*$C$23,0)-ABS(AC57)*$C$25</f>
        <v>0</v>
      </c>
      <c r="AD61" s="66" t="n">
        <f aca="false">IF(AND($C$22="Y",AD58+AD60&gt;0),-(AD58+AD60)/2*$C$23,0)-ABS(AD57)*$C$25</f>
        <v>0</v>
      </c>
      <c r="AE61" s="66" t="n">
        <f aca="false">IF(AND($C$22="Y",AE58+AE60&gt;0),-(AE58+AE60)/2*$C$23,0)-ABS(AE57)*$C$25</f>
        <v>0</v>
      </c>
      <c r="AF61" s="66" t="n">
        <f aca="false">IF(AND($C$22="Y",AF58+AF60&gt;0),-(AF58+AF60)/2*$C$23,0)-ABS(AF57)*$C$25</f>
        <v>0</v>
      </c>
      <c r="AG61" s="66" t="n">
        <f aca="false">IF(AND($C$22="Y",AG58+AG60&gt;0),-(AG58+AG60)/2*$C$23,0)-ABS(AG57)*$C$25</f>
        <v>0</v>
      </c>
      <c r="AH61" s="66" t="n">
        <f aca="false">IF(AND($C$22="Y",AH58+AH60&gt;0),-(AH58+AH60)/2*$C$23,0)-ABS(AH57)*$C$25</f>
        <v>0</v>
      </c>
      <c r="AI61" s="66" t="n">
        <f aca="false">IF(AND($C$22="Y",AI58+AI60&gt;0),-(AI58+AI60)/2*$C$23,0)-ABS(AI57)*$C$25</f>
        <v>0</v>
      </c>
      <c r="AJ61" s="66" t="n">
        <f aca="false">IF(AND($C$22="Y",AJ58+AJ60&gt;0),-(AJ58+AJ60)/2*$C$23,0)-ABS(AJ57)*$C$25</f>
        <v>0</v>
      </c>
      <c r="AK61" s="66" t="n">
        <f aca="false">IF(AND($C$22="Y",AK58+AK60&gt;0),-(AK58+AK60)/2*$C$23,0)-ABS(AK57)*$C$25</f>
        <v>0</v>
      </c>
      <c r="AL61" s="66" t="n">
        <f aca="false">IF(AND($C$22="Y",AL58+AL60&gt;0),-(AL58+AL60)/2*$C$23,0)-ABS(AL57)*$C$25</f>
        <v>0</v>
      </c>
      <c r="AM61" s="66" t="n">
        <f aca="false">IF(AND($C$22="Y",AM58+AM60&gt;0),-(AM58+AM60)/2*$C$23,0)-ABS(AM57)*$C$25</f>
        <v>0</v>
      </c>
      <c r="AN61" s="66" t="n">
        <f aca="false">IF(AND($C$22="Y",AN58+AN60&gt;0),-(AN58+AN60)/2*$C$23,0)-ABS(AN57)*$C$25</f>
        <v>0</v>
      </c>
      <c r="AO61" s="66" t="n">
        <f aca="false">IF(AND($C$22="Y",AO58+AO60&gt;0),-(AO58+AO60)/2*$C$23,0)-ABS(AO57)*$C$25</f>
        <v>0</v>
      </c>
      <c r="AP61" s="66" t="n">
        <f aca="false">IF(AND($C$22="Y",AP58+AP60&gt;0),-(AP58+AP60)/2*$C$23,0)-ABS(AP57)*$C$25</f>
        <v>0</v>
      </c>
      <c r="AQ61" s="66" t="n">
        <f aca="false">IF(AND($C$22="Y",AQ58+AQ60&gt;0),-(AQ58+AQ60)/2*$C$23,0)-ABS(AQ57)*$C$25</f>
        <v>0</v>
      </c>
      <c r="AR61" s="66" t="n">
        <f aca="false">IF(AND($C$22="Y",AR58+AR60&gt;0),-(AR58+AR60)/2*$C$23,0)-ABS(AR57)*$C$25</f>
        <v>0</v>
      </c>
      <c r="AS61" s="66" t="n">
        <f aca="false">IF(AND($C$22="Y",AS58+AS60&gt;0),-(AS58+AS60)/2*$C$23,0)-ABS(AS57)*$C$25</f>
        <v>0</v>
      </c>
      <c r="AT61" s="66" t="n">
        <f aca="false">IF(AND($C$22="Y",AT58+AT60&gt;0),-(AT58+AT60)/2*$C$23,0)-ABS(AT57)*$C$25</f>
        <v>0</v>
      </c>
      <c r="AU61" s="66" t="n">
        <f aca="false">IF(AND($C$22="Y",AU58+AU60&gt;0),-(AU58+AU60)/2*$C$23,0)-ABS(AU57)*$C$25</f>
        <v>0</v>
      </c>
      <c r="AV61" s="66" t="n">
        <f aca="false">IF(AND($C$22="Y",AV58+AV60&gt;0),-(AV58+AV60)/2*$C$23,0)-ABS(AV57)*$C$25</f>
        <v>0</v>
      </c>
      <c r="AW61" s="66" t="n">
        <f aca="false">IF(AND($C$22="Y",AW58+AW60&gt;0),-(AW58+AW60)/2*$C$23,0)-ABS(AW57)*$C$25</f>
        <v>0</v>
      </c>
      <c r="AX61" s="66" t="n">
        <f aca="false">IF(AND($C$22="Y",AX58+AX60&gt;0),-(AX58+AX60)/2*$C$23,0)-ABS(AX57)*$C$25</f>
        <v>0</v>
      </c>
      <c r="AY61" s="66" t="n">
        <f aca="false">IF(AND($C$22="Y",AY58+AY60&gt;0),-(AY58+AY60)/2*$C$23,0)-ABS(AY57)*$C$25</f>
        <v>0</v>
      </c>
      <c r="AZ61" s="66" t="n">
        <f aca="false">IF(AND($C$22="Y",AZ58+AZ60&gt;0),-(AZ58+AZ60)/2*$C$23,0)-ABS(AZ57)*$C$25</f>
        <v>0</v>
      </c>
      <c r="BA61" s="66" t="n">
        <f aca="false">IF(AND($C$22="Y",BA58+BA60&gt;0),-(BA58+BA60)/2*$C$23,0)-ABS(BA57)*$C$25</f>
        <v>0</v>
      </c>
      <c r="BB61" s="66" t="n">
        <f aca="false">IF(AND($C$22="Y",BB58+BB60&gt;0),-(BB58+BB60)/2*$C$23,0)-ABS(BB57)*$C$25</f>
        <v>0</v>
      </c>
    </row>
    <row r="62" customFormat="false" ht="15" hidden="false" customHeight="true" outlineLevel="0" collapsed="false">
      <c r="B62" s="20" t="s">
        <v>472</v>
      </c>
      <c r="C62" s="59" t="s">
        <v>11</v>
      </c>
      <c r="D62" s="63" t="n">
        <f aca="false">SUM(E62:BB62)</f>
        <v>-501831841.271328</v>
      </c>
      <c r="E62" s="63" t="n">
        <f aca="false">E59+E61</f>
        <v>0</v>
      </c>
      <c r="F62" s="63" t="n">
        <f aca="false">F59+F61</f>
        <v>0</v>
      </c>
      <c r="G62" s="63" t="n">
        <f aca="false">G59+G61</f>
        <v>0</v>
      </c>
      <c r="H62" s="63" t="n">
        <f aca="false">H59+H61</f>
        <v>-5496784.78867722</v>
      </c>
      <c r="I62" s="63" t="n">
        <f aca="false">I59+I61</f>
        <v>-16210310.3525543</v>
      </c>
      <c r="J62" s="63" t="n">
        <f aca="false">J59+J61</f>
        <v>-127843746.153333</v>
      </c>
      <c r="K62" s="63" t="n">
        <f aca="false">K59+K61</f>
        <v>-123968173.231363</v>
      </c>
      <c r="L62" s="63" t="n">
        <f aca="false">L59+L61</f>
        <v>-117640059.790177</v>
      </c>
      <c r="M62" s="63" t="n">
        <f aca="false">M59+M61</f>
        <v>-110672766.955223</v>
      </c>
      <c r="N62" s="63" t="n">
        <f aca="false">N59+N61</f>
        <v>0</v>
      </c>
      <c r="O62" s="63" t="n">
        <f aca="false">O59+O61</f>
        <v>0</v>
      </c>
      <c r="P62" s="63" t="n">
        <f aca="false">P59+P61</f>
        <v>0</v>
      </c>
      <c r="Q62" s="63" t="n">
        <f aca="false">Q59+Q61</f>
        <v>0</v>
      </c>
      <c r="R62" s="63" t="n">
        <f aca="false">R59+R61</f>
        <v>0</v>
      </c>
      <c r="S62" s="63" t="n">
        <f aca="false">S59+S61</f>
        <v>0</v>
      </c>
      <c r="T62" s="63" t="n">
        <f aca="false">T59+T61</f>
        <v>0</v>
      </c>
      <c r="U62" s="63" t="n">
        <f aca="false">U59+U61</f>
        <v>0</v>
      </c>
      <c r="V62" s="63" t="n">
        <f aca="false">V59+V61</f>
        <v>0</v>
      </c>
      <c r="W62" s="63" t="n">
        <f aca="false">W59+W61</f>
        <v>0</v>
      </c>
      <c r="X62" s="63" t="n">
        <f aca="false">X59+X61</f>
        <v>0</v>
      </c>
      <c r="Y62" s="63" t="n">
        <f aca="false">Y59+Y61</f>
        <v>0</v>
      </c>
      <c r="Z62" s="63" t="n">
        <f aca="false">Z59+Z61</f>
        <v>0</v>
      </c>
      <c r="AA62" s="63" t="n">
        <f aca="false">AA59+AA61</f>
        <v>0</v>
      </c>
      <c r="AB62" s="63" t="n">
        <f aca="false">AB59+AB61</f>
        <v>0</v>
      </c>
      <c r="AC62" s="63" t="n">
        <f aca="false">AC59+AC61</f>
        <v>0</v>
      </c>
      <c r="AD62" s="63" t="n">
        <f aca="false">AD59+AD61</f>
        <v>0</v>
      </c>
      <c r="AE62" s="63" t="n">
        <f aca="false">AE59+AE61</f>
        <v>0</v>
      </c>
      <c r="AF62" s="63" t="n">
        <f aca="false">AF59+AF61</f>
        <v>0</v>
      </c>
      <c r="AG62" s="63" t="n">
        <f aca="false">AG59+AG61</f>
        <v>0</v>
      </c>
      <c r="AH62" s="63" t="n">
        <f aca="false">AH59+AH61</f>
        <v>0</v>
      </c>
      <c r="AI62" s="63" t="n">
        <f aca="false">AI59+AI61</f>
        <v>0</v>
      </c>
      <c r="AJ62" s="63" t="n">
        <f aca="false">AJ59+AJ61</f>
        <v>0</v>
      </c>
      <c r="AK62" s="63" t="n">
        <f aca="false">AK59+AK61</f>
        <v>0</v>
      </c>
      <c r="AL62" s="63" t="n">
        <f aca="false">AL59+AL61</f>
        <v>0</v>
      </c>
      <c r="AM62" s="63" t="n">
        <f aca="false">AM59+AM61</f>
        <v>0</v>
      </c>
      <c r="AN62" s="63" t="n">
        <f aca="false">AN59+AN61</f>
        <v>0</v>
      </c>
      <c r="AO62" s="63" t="n">
        <f aca="false">AO59+AO61</f>
        <v>0</v>
      </c>
      <c r="AP62" s="63" t="n">
        <f aca="false">AP59+AP61</f>
        <v>0</v>
      </c>
      <c r="AQ62" s="63" t="n">
        <f aca="false">AQ59+AQ61</f>
        <v>0</v>
      </c>
      <c r="AR62" s="63" t="n">
        <f aca="false">AR59+AR61</f>
        <v>0</v>
      </c>
      <c r="AS62" s="63" t="n">
        <f aca="false">AS59+AS61</f>
        <v>0</v>
      </c>
      <c r="AT62" s="63" t="n">
        <f aca="false">AT59+AT61</f>
        <v>0</v>
      </c>
      <c r="AU62" s="63" t="n">
        <f aca="false">AU59+AU61</f>
        <v>0</v>
      </c>
      <c r="AV62" s="63" t="n">
        <f aca="false">AV59+AV61</f>
        <v>0</v>
      </c>
      <c r="AW62" s="63" t="n">
        <f aca="false">AW59+AW61</f>
        <v>0</v>
      </c>
      <c r="AX62" s="63" t="n">
        <f aca="false">AX59+AX61</f>
        <v>0</v>
      </c>
      <c r="AY62" s="63" t="n">
        <f aca="false">AY59+AY61</f>
        <v>0</v>
      </c>
      <c r="AZ62" s="63" t="n">
        <f aca="false">AZ59+AZ61</f>
        <v>0</v>
      </c>
      <c r="BA62" s="63" t="n">
        <f aca="false">BA59+BA61</f>
        <v>0</v>
      </c>
      <c r="BB62" s="63" t="n">
        <f aca="false">BB59+BB61</f>
        <v>0</v>
      </c>
    </row>
    <row r="64" customFormat="false" ht="15" hidden="false" customHeight="true" outlineLevel="0" collapsed="false">
      <c r="B64" s="59" t="s">
        <v>473</v>
      </c>
      <c r="C64" s="59" t="s">
        <v>11</v>
      </c>
      <c r="D64" s="66" t="n">
        <f aca="false">SUM(E64:BB64)</f>
        <v>3675055.56129416</v>
      </c>
      <c r="E64" s="66" t="n">
        <f aca="false">IF(E$46=$C$9,$C$14*$C$29,0)</f>
        <v>0</v>
      </c>
      <c r="F64" s="66" t="n">
        <f aca="false">IF(F$46=$C$9,$C$14*$C$29,0)</f>
        <v>0</v>
      </c>
      <c r="G64" s="66" t="n">
        <f aca="false">IF(G$46=$C$9,$C$14*$C$29,0)</f>
        <v>3675055.56129416</v>
      </c>
      <c r="H64" s="66" t="n">
        <f aca="false">IF(H$46=$C$9,$C$14*$C$29,0)</f>
        <v>0</v>
      </c>
      <c r="I64" s="66" t="n">
        <f aca="false">IF(I$46=$C$9,$C$14*$C$29,0)</f>
        <v>0</v>
      </c>
      <c r="J64" s="66" t="n">
        <f aca="false">IF(J$46=$C$9,$C$14*$C$29,0)</f>
        <v>0</v>
      </c>
      <c r="K64" s="66" t="n">
        <f aca="false">IF(K$46=$C$9,$C$14*$C$29,0)</f>
        <v>0</v>
      </c>
      <c r="L64" s="66" t="n">
        <f aca="false">IF(L$46=$C$9,$C$14*$C$29,0)</f>
        <v>0</v>
      </c>
      <c r="M64" s="66" t="n">
        <f aca="false">IF(M$46=$C$9,$C$14*$C$29,0)</f>
        <v>0</v>
      </c>
      <c r="N64" s="66" t="n">
        <f aca="false">IF(N$46=$C$9,$C$14*$C$29,0)</f>
        <v>0</v>
      </c>
      <c r="O64" s="66" t="n">
        <f aca="false">IF(O$46=$C$9,$C$14*$C$29,0)</f>
        <v>0</v>
      </c>
      <c r="P64" s="66" t="n">
        <f aca="false">IF(P$46=$C$9,$C$14*$C$29,0)</f>
        <v>0</v>
      </c>
      <c r="Q64" s="66" t="n">
        <f aca="false">IF(Q$46=$C$9,$C$14*$C$29,0)</f>
        <v>0</v>
      </c>
      <c r="R64" s="66" t="n">
        <f aca="false">IF(R$46=$C$9,$C$14*$C$29,0)</f>
        <v>0</v>
      </c>
      <c r="S64" s="66" t="n">
        <f aca="false">IF(S$46=$C$9,$C$14*$C$29,0)</f>
        <v>0</v>
      </c>
      <c r="T64" s="66" t="n">
        <f aca="false">IF(T$46=$C$9,$C$14*$C$29,0)</f>
        <v>0</v>
      </c>
      <c r="U64" s="66" t="n">
        <f aca="false">IF(U$46=$C$9,$C$14*$C$29,0)</f>
        <v>0</v>
      </c>
      <c r="V64" s="66" t="n">
        <f aca="false">IF(V$46=$C$9,$C$14*$C$29,0)</f>
        <v>0</v>
      </c>
      <c r="W64" s="66" t="n">
        <f aca="false">IF(W$46=$C$9,$C$14*$C$29,0)</f>
        <v>0</v>
      </c>
      <c r="X64" s="66" t="n">
        <f aca="false">IF(X$46=$C$9,$C$14*$C$29,0)</f>
        <v>0</v>
      </c>
      <c r="Y64" s="66" t="n">
        <f aca="false">IF(Y$46=$C$9,$C$14*$C$29,0)</f>
        <v>0</v>
      </c>
      <c r="Z64" s="66" t="n">
        <f aca="false">IF(Z$46=$C$9,$C$14*$C$29,0)</f>
        <v>0</v>
      </c>
      <c r="AA64" s="66" t="n">
        <f aca="false">IF(AA$46=$C$9,$C$14*$C$29,0)</f>
        <v>0</v>
      </c>
      <c r="AB64" s="66" t="n">
        <f aca="false">IF(AB$46=$C$9,$C$14*$C$29,0)</f>
        <v>0</v>
      </c>
      <c r="AC64" s="66" t="n">
        <f aca="false">IF(AC$46=$C$9,$C$14*$C$29,0)</f>
        <v>0</v>
      </c>
      <c r="AD64" s="66" t="n">
        <f aca="false">IF(AD$46=$C$9,$C$14*$C$29,0)</f>
        <v>0</v>
      </c>
      <c r="AE64" s="66" t="n">
        <f aca="false">IF(AE$46=$C$9,$C$14*$C$29,0)</f>
        <v>0</v>
      </c>
      <c r="AF64" s="66" t="n">
        <f aca="false">IF(AF$46=$C$9,$C$14*$C$29,0)</f>
        <v>0</v>
      </c>
      <c r="AG64" s="66" t="n">
        <f aca="false">IF(AG$46=$C$9,$C$14*$C$29,0)</f>
        <v>0</v>
      </c>
      <c r="AH64" s="66" t="n">
        <f aca="false">IF(AH$46=$C$9,$C$14*$C$29,0)</f>
        <v>0</v>
      </c>
      <c r="AI64" s="66" t="n">
        <f aca="false">IF(AI$46=$C$9,$C$14*$C$29,0)</f>
        <v>0</v>
      </c>
      <c r="AJ64" s="66" t="n">
        <f aca="false">IF(AJ$46=$C$9,$C$14*$C$29,0)</f>
        <v>0</v>
      </c>
      <c r="AK64" s="66" t="n">
        <f aca="false">IF(AK$46=$C$9,$C$14*$C$29,0)</f>
        <v>0</v>
      </c>
      <c r="AL64" s="66" t="n">
        <f aca="false">IF(AL$46=$C$9,$C$14*$C$29,0)</f>
        <v>0</v>
      </c>
      <c r="AM64" s="66" t="n">
        <f aca="false">IF(AM$46=$C$9,$C$14*$C$29,0)</f>
        <v>0</v>
      </c>
      <c r="AN64" s="66" t="n">
        <f aca="false">IF(AN$46=$C$9,$C$14*$C$29,0)</f>
        <v>0</v>
      </c>
      <c r="AO64" s="66" t="n">
        <f aca="false">IF(AO$46=$C$9,$C$14*$C$29,0)</f>
        <v>0</v>
      </c>
      <c r="AP64" s="66" t="n">
        <f aca="false">IF(AP$46=$C$9,$C$14*$C$29,0)</f>
        <v>0</v>
      </c>
      <c r="AQ64" s="66" t="n">
        <f aca="false">IF(AQ$46=$C$9,$C$14*$C$29,0)</f>
        <v>0</v>
      </c>
      <c r="AR64" s="66" t="n">
        <f aca="false">IF(AR$46=$C$9,$C$14*$C$29,0)</f>
        <v>0</v>
      </c>
      <c r="AS64" s="66" t="n">
        <f aca="false">IF(AS$46=$C$9,$C$14*$C$29,0)</f>
        <v>0</v>
      </c>
      <c r="AT64" s="66" t="n">
        <f aca="false">IF(AT$46=$C$9,$C$14*$C$29,0)</f>
        <v>0</v>
      </c>
      <c r="AU64" s="66" t="n">
        <f aca="false">IF(AU$46=$C$9,$C$14*$C$29,0)</f>
        <v>0</v>
      </c>
      <c r="AV64" s="66" t="n">
        <f aca="false">IF(AV$46=$C$9,$C$14*$C$29,0)</f>
        <v>0</v>
      </c>
      <c r="AW64" s="66" t="n">
        <f aca="false">IF(AW$46=$C$9,$C$14*$C$29,0)</f>
        <v>0</v>
      </c>
      <c r="AX64" s="66" t="n">
        <f aca="false">IF(AX$46=$C$9,$C$14*$C$29,0)</f>
        <v>0</v>
      </c>
      <c r="AY64" s="66" t="n">
        <f aca="false">IF(AY$46=$C$9,$C$14*$C$29,0)</f>
        <v>0</v>
      </c>
      <c r="AZ64" s="66" t="n">
        <f aca="false">IF(AZ$46=$C$9,$C$14*$C$29,0)</f>
        <v>0</v>
      </c>
      <c r="BA64" s="66" t="n">
        <f aca="false">IF(BA$46=$C$9,$C$14*$C$29,0)</f>
        <v>0</v>
      </c>
      <c r="BB64" s="66" t="n">
        <f aca="false">IF(BB$46=$C$9,$C$14*$C$29,0)</f>
        <v>0</v>
      </c>
    </row>
    <row r="65" customFormat="false" ht="15" hidden="false" customHeight="true" outlineLevel="0" collapsed="false">
      <c r="B65" s="59" t="s">
        <v>474</v>
      </c>
      <c r="C65" s="59" t="s">
        <v>11</v>
      </c>
      <c r="D65" s="66" t="n">
        <f aca="false">SUM(E65:BB65)</f>
        <v>22521809.3253779</v>
      </c>
      <c r="E65" s="66" t="n">
        <f aca="false">IF(AND(E$46&gt;=$C$9,E$46&lt;=$C$41),ABS(SUM($E$49:E49))*$C$30,0)</f>
        <v>0</v>
      </c>
      <c r="F65" s="66" t="n">
        <f aca="false">IF(AND(F$46&gt;=$C$9,F$46&lt;=$C$41),ABS(SUM($E$49:F49))*$C$30,0)</f>
        <v>0</v>
      </c>
      <c r="G65" s="66" t="n">
        <f aca="false">IF(AND(G$46&gt;=$C$9,G$46&lt;=$C$41),ABS(SUM($E$49:G49))*$C$30,0)</f>
        <v>0</v>
      </c>
      <c r="H65" s="66" t="n">
        <f aca="false">IF(AND(H$46&gt;=$C$9,H$46&lt;=$C$41),ABS(SUM($E$49:H49))*$C$30,0)</f>
        <v>1526141.7171</v>
      </c>
      <c r="I65" s="66" t="n">
        <f aca="false">IF(AND(I$46&gt;=$C$9,I$46&lt;=$C$41),ABS(SUM($E$49:I49))*$C$30,0)</f>
        <v>3381502.40581557</v>
      </c>
      <c r="J65" s="66" t="n">
        <f aca="false">IF(AND(J$46&gt;=$C$9,J$46&lt;=$C$41),ABS(SUM($E$49:J49))*$C$30,0)</f>
        <v>4222044.60061557</v>
      </c>
      <c r="K65" s="66" t="n">
        <f aca="false">IF(AND(K$46&gt;=$C$9,K$46&lt;=$C$41),ABS(SUM($E$49:K49))*$C$30,0)</f>
        <v>4464040.20061557</v>
      </c>
      <c r="L65" s="66" t="n">
        <f aca="false">IF(AND(L$46&gt;=$C$9,L$46&lt;=$C$41),ABS(SUM($E$49:L49))*$C$30,0)</f>
        <v>4464040.20061557</v>
      </c>
      <c r="M65" s="66" t="n">
        <f aca="false">IF(AND(M$46&gt;=$C$9,M$46&lt;=$C$41),ABS(SUM($E$49:M49))*$C$30,0)</f>
        <v>4464040.20061557</v>
      </c>
      <c r="N65" s="66" t="n">
        <f aca="false">IF(AND(N$46&gt;=$C$9,N$46&lt;=$C$41),ABS(SUM($E$49:N49))*$C$30,0)</f>
        <v>0</v>
      </c>
      <c r="O65" s="66" t="n">
        <f aca="false">IF(AND(O$46&gt;=$C$9,O$46&lt;=$C$41),ABS(SUM($E$49:O49))*$C$30,0)</f>
        <v>0</v>
      </c>
      <c r="P65" s="66" t="n">
        <f aca="false">IF(AND(P$46&gt;=$C$9,P$46&lt;=$C$41),ABS(SUM($E$49:P49))*$C$30,0)</f>
        <v>0</v>
      </c>
      <c r="Q65" s="66" t="n">
        <f aca="false">IF(AND(Q$46&gt;=$C$9,Q$46&lt;=$C$41),ABS(SUM($E$49:Q49))*$C$30,0)</f>
        <v>0</v>
      </c>
      <c r="R65" s="66" t="n">
        <f aca="false">IF(AND(R$46&gt;=$C$9,R$46&lt;=$C$41),ABS(SUM($E$49:R49))*$C$30,0)</f>
        <v>0</v>
      </c>
      <c r="S65" s="66" t="n">
        <f aca="false">IF(AND(S$46&gt;=$C$9,S$46&lt;=$C$41),ABS(SUM($E$49:S49))*$C$30,0)</f>
        <v>0</v>
      </c>
      <c r="T65" s="66" t="n">
        <f aca="false">IF(AND(T$46&gt;=$C$9,T$46&lt;=$C$41),ABS(SUM($E$49:T49))*$C$30,0)</f>
        <v>0</v>
      </c>
      <c r="U65" s="66" t="n">
        <f aca="false">IF(AND(U$46&gt;=$C$9,U$46&lt;=$C$41),ABS(SUM($E$49:U49))*$C$30,0)</f>
        <v>0</v>
      </c>
      <c r="V65" s="66" t="n">
        <f aca="false">IF(AND(V$46&gt;=$C$9,V$46&lt;=$C$41),ABS(SUM($E$49:V49))*$C$30,0)</f>
        <v>0</v>
      </c>
      <c r="W65" s="66" t="n">
        <f aca="false">IF(AND(W$46&gt;=$C$9,W$46&lt;=$C$41),ABS(SUM($E$49:W49))*$C$30,0)</f>
        <v>0</v>
      </c>
      <c r="X65" s="66" t="n">
        <f aca="false">IF(AND(X$46&gt;=$C$9,X$46&lt;=$C$41),ABS(SUM($E$49:X49))*$C$30,0)</f>
        <v>0</v>
      </c>
      <c r="Y65" s="66" t="n">
        <f aca="false">IF(AND(Y$46&gt;=$C$9,Y$46&lt;=$C$41),ABS(SUM($E$49:Y49))*$C$30,0)</f>
        <v>0</v>
      </c>
      <c r="Z65" s="66" t="n">
        <f aca="false">IF(AND(Z$46&gt;=$C$9,Z$46&lt;=$C$41),ABS(SUM($E$49:Z49))*$C$30,0)</f>
        <v>0</v>
      </c>
      <c r="AA65" s="66" t="n">
        <f aca="false">IF(AND(AA$46&gt;=$C$9,AA$46&lt;=$C$41),ABS(SUM($E$49:AA49))*$C$30,0)</f>
        <v>0</v>
      </c>
      <c r="AB65" s="66" t="n">
        <f aca="false">IF(AND(AB$46&gt;=$C$9,AB$46&lt;=$C$41),ABS(SUM($E$49:AB49))*$C$30,0)</f>
        <v>0</v>
      </c>
      <c r="AC65" s="66" t="n">
        <f aca="false">IF(AND(AC$46&gt;=$C$9,AC$46&lt;=$C$41),ABS(SUM($E$49:AC49))*$C$30,0)</f>
        <v>0</v>
      </c>
      <c r="AD65" s="66" t="n">
        <f aca="false">IF(AND(AD$46&gt;=$C$9,AD$46&lt;=$C$41),ABS(SUM($E$49:AD49))*$C$30,0)</f>
        <v>0</v>
      </c>
      <c r="AE65" s="66" t="n">
        <f aca="false">IF(AND(AE$46&gt;=$C$9,AE$46&lt;=$C$41),ABS(SUM($E$49:AE49))*$C$30,0)</f>
        <v>0</v>
      </c>
      <c r="AF65" s="66" t="n">
        <f aca="false">IF(AND(AF$46&gt;=$C$9,AF$46&lt;=$C$41),ABS(SUM($E$49:AF49))*$C$30,0)</f>
        <v>0</v>
      </c>
      <c r="AG65" s="66" t="n">
        <f aca="false">IF(AND(AG$46&gt;=$C$9,AG$46&lt;=$C$41),ABS(SUM($E$49:AG49))*$C$30,0)</f>
        <v>0</v>
      </c>
      <c r="AH65" s="66" t="n">
        <f aca="false">IF(AND(AH$46&gt;=$C$9,AH$46&lt;=$C$41),ABS(SUM($E$49:AH49))*$C$30,0)</f>
        <v>0</v>
      </c>
      <c r="AI65" s="66" t="n">
        <f aca="false">IF(AND(AI$46&gt;=$C$9,AI$46&lt;=$C$41),ABS(SUM($E$49:AI49))*$C$30,0)</f>
        <v>0</v>
      </c>
      <c r="AJ65" s="66" t="n">
        <f aca="false">IF(AND(AJ$46&gt;=$C$9,AJ$46&lt;=$C$41),ABS(SUM($E$49:AJ49))*$C$30,0)</f>
        <v>0</v>
      </c>
      <c r="AK65" s="66" t="n">
        <f aca="false">IF(AND(AK$46&gt;=$C$9,AK$46&lt;=$C$41),ABS(SUM($E$49:AK49))*$C$30,0)</f>
        <v>0</v>
      </c>
      <c r="AL65" s="66" t="n">
        <f aca="false">IF(AND(AL$46&gt;=$C$9,AL$46&lt;=$C$41),ABS(SUM($E$49:AL49))*$C$30,0)</f>
        <v>0</v>
      </c>
      <c r="AM65" s="66" t="n">
        <f aca="false">IF(AND(AM$46&gt;=$C$9,AM$46&lt;=$C$41),ABS(SUM($E$49:AM49))*$C$30,0)</f>
        <v>0</v>
      </c>
      <c r="AN65" s="66" t="n">
        <f aca="false">IF(AND(AN$46&gt;=$C$9,AN$46&lt;=$C$41),ABS(SUM($E$49:AN49))*$C$30,0)</f>
        <v>0</v>
      </c>
      <c r="AO65" s="66" t="n">
        <f aca="false">IF(AND(AO$46&gt;=$C$9,AO$46&lt;=$C$41),ABS(SUM($E$49:AO49))*$C$30,0)</f>
        <v>0</v>
      </c>
      <c r="AP65" s="66" t="n">
        <f aca="false">IF(AND(AP$46&gt;=$C$9,AP$46&lt;=$C$41),ABS(SUM($E$49:AP49))*$C$30,0)</f>
        <v>0</v>
      </c>
      <c r="AQ65" s="66" t="n">
        <f aca="false">IF(AND(AQ$46&gt;=$C$9,AQ$46&lt;=$C$41),ABS(SUM($E$49:AQ49))*$C$30,0)</f>
        <v>0</v>
      </c>
      <c r="AR65" s="66" t="n">
        <f aca="false">IF(AND(AR$46&gt;=$C$9,AR$46&lt;=$C$41),ABS(SUM($E$49:AR49))*$C$30,0)</f>
        <v>0</v>
      </c>
      <c r="AS65" s="66" t="n">
        <f aca="false">IF(AND(AS$46&gt;=$C$9,AS$46&lt;=$C$41),ABS(SUM($E$49:AS49))*$C$30,0)</f>
        <v>0</v>
      </c>
      <c r="AT65" s="66" t="n">
        <f aca="false">IF(AND(AT$46&gt;=$C$9,AT$46&lt;=$C$41),ABS(SUM($E$49:AT49))*$C$30,0)</f>
        <v>0</v>
      </c>
      <c r="AU65" s="66" t="n">
        <f aca="false">IF(AND(AU$46&gt;=$C$9,AU$46&lt;=$C$41),ABS(SUM($E$49:AU49))*$C$30,0)</f>
        <v>0</v>
      </c>
      <c r="AV65" s="66" t="n">
        <f aca="false">IF(AND(AV$46&gt;=$C$9,AV$46&lt;=$C$41),ABS(SUM($E$49:AV49))*$C$30,0)</f>
        <v>0</v>
      </c>
      <c r="AW65" s="66" t="n">
        <f aca="false">IF(AND(AW$46&gt;=$C$9,AW$46&lt;=$C$41),ABS(SUM($E$49:AW49))*$C$30,0)</f>
        <v>0</v>
      </c>
      <c r="AX65" s="66" t="n">
        <f aca="false">IF(AND(AX$46&gt;=$C$9,AX$46&lt;=$C$41),ABS(SUM($E$49:AX49))*$C$30,0)</f>
        <v>0</v>
      </c>
      <c r="AY65" s="66" t="n">
        <f aca="false">IF(AND(AY$46&gt;=$C$9,AY$46&lt;=$C$41),ABS(SUM($E$49:AY49))*$C$30,0)</f>
        <v>0</v>
      </c>
      <c r="AZ65" s="66" t="n">
        <f aca="false">IF(AND(AZ$46&gt;=$C$9,AZ$46&lt;=$C$41),ABS(SUM($E$49:AZ49))*$C$30,0)</f>
        <v>0</v>
      </c>
      <c r="BA65" s="66" t="n">
        <f aca="false">IF(AND(BA$46&gt;=$C$9,BA$46&lt;=$C$41),ABS(SUM($E$49:BA49))*$C$30,0)</f>
        <v>0</v>
      </c>
      <c r="BB65" s="66" t="n">
        <f aca="false">IF(AND(BB$46&gt;=$C$9,BB$46&lt;=$C$41),ABS(SUM($E$49:BB49))*$C$30,0)</f>
        <v>0</v>
      </c>
    </row>
    <row r="66" customFormat="false" ht="15" hidden="false" customHeight="true" outlineLevel="0" collapsed="false">
      <c r="B66" s="59" t="s">
        <v>475</v>
      </c>
      <c r="C66" s="59" t="s">
        <v>11</v>
      </c>
      <c r="D66" s="66" t="n">
        <f aca="false">SUM(E66:BB66)</f>
        <v>910000</v>
      </c>
      <c r="E66" s="66" t="n">
        <f aca="false">IF(AND($C$17&gt;0,E$46&gt;=$C$9,E$46&lt;=$C$41),$C$31,0)</f>
        <v>0</v>
      </c>
      <c r="F66" s="66" t="n">
        <f aca="false">IF(AND($C$17&gt;0,F$46&gt;=$C$9,F$46&lt;=$C$41),$C$31,0)</f>
        <v>0</v>
      </c>
      <c r="G66" s="66" t="n">
        <f aca="false">IF(AND($C$17&gt;0,G$46&gt;=$C$9,G$46&lt;=$C$41),$C$31,0)</f>
        <v>130000</v>
      </c>
      <c r="H66" s="66" t="n">
        <f aca="false">IF(AND($C$17&gt;0,H$46&gt;=$C$9,H$46&lt;=$C$41),$C$31,0)</f>
        <v>130000</v>
      </c>
      <c r="I66" s="66" t="n">
        <f aca="false">IF(AND($C$17&gt;0,I$46&gt;=$C$9,I$46&lt;=$C$41),$C$31,0)</f>
        <v>130000</v>
      </c>
      <c r="J66" s="66" t="n">
        <f aca="false">IF(AND($C$17&gt;0,J$46&gt;=$C$9,J$46&lt;=$C$41),$C$31,0)</f>
        <v>130000</v>
      </c>
      <c r="K66" s="66" t="n">
        <f aca="false">IF(AND($C$17&gt;0,K$46&gt;=$C$9,K$46&lt;=$C$41),$C$31,0)</f>
        <v>130000</v>
      </c>
      <c r="L66" s="66" t="n">
        <f aca="false">IF(AND($C$17&gt;0,L$46&gt;=$C$9,L$46&lt;=$C$41),$C$31,0)</f>
        <v>130000</v>
      </c>
      <c r="M66" s="66" t="n">
        <f aca="false">IF(AND($C$17&gt;0,M$46&gt;=$C$9,M$46&lt;=$C$41),$C$31,0)</f>
        <v>130000</v>
      </c>
      <c r="N66" s="66" t="n">
        <f aca="false">IF(AND($C$17&gt;0,N$46&gt;=$C$9,N$46&lt;=$C$41),$C$31,0)</f>
        <v>0</v>
      </c>
      <c r="O66" s="66" t="n">
        <f aca="false">IF(AND($C$17&gt;0,O$46&gt;=$C$9,O$46&lt;=$C$41),$C$31,0)</f>
        <v>0</v>
      </c>
      <c r="P66" s="66" t="n">
        <f aca="false">IF(AND($C$17&gt;0,P$46&gt;=$C$9,P$46&lt;=$C$41),$C$31,0)</f>
        <v>0</v>
      </c>
      <c r="Q66" s="66" t="n">
        <f aca="false">IF(AND($C$17&gt;0,Q$46&gt;=$C$9,Q$46&lt;=$C$41),$C$31,0)</f>
        <v>0</v>
      </c>
      <c r="R66" s="66" t="n">
        <f aca="false">IF(AND($C$17&gt;0,R$46&gt;=$C$9,R$46&lt;=$C$41),$C$31,0)</f>
        <v>0</v>
      </c>
      <c r="S66" s="66" t="n">
        <f aca="false">IF(AND($C$17&gt;0,S$46&gt;=$C$9,S$46&lt;=$C$41),$C$31,0)</f>
        <v>0</v>
      </c>
      <c r="T66" s="66" t="n">
        <f aca="false">IF(AND($C$17&gt;0,T$46&gt;=$C$9,T$46&lt;=$C$41),$C$31,0)</f>
        <v>0</v>
      </c>
      <c r="U66" s="66" t="n">
        <f aca="false">IF(AND($C$17&gt;0,U$46&gt;=$C$9,U$46&lt;=$C$41),$C$31,0)</f>
        <v>0</v>
      </c>
      <c r="V66" s="66" t="n">
        <f aca="false">IF(AND($C$17&gt;0,V$46&gt;=$C$9,V$46&lt;=$C$41),$C$31,0)</f>
        <v>0</v>
      </c>
      <c r="W66" s="66" t="n">
        <f aca="false">IF(AND($C$17&gt;0,W$46&gt;=$C$9,W$46&lt;=$C$41),$C$31,0)</f>
        <v>0</v>
      </c>
      <c r="X66" s="66" t="n">
        <f aca="false">IF(AND($C$17&gt;0,X$46&gt;=$C$9,X$46&lt;=$C$41),$C$31,0)</f>
        <v>0</v>
      </c>
      <c r="Y66" s="66" t="n">
        <f aca="false">IF(AND($C$17&gt;0,Y$46&gt;=$C$9,Y$46&lt;=$C$41),$C$31,0)</f>
        <v>0</v>
      </c>
      <c r="Z66" s="66" t="n">
        <f aca="false">IF(AND($C$17&gt;0,Z$46&gt;=$C$9,Z$46&lt;=$C$41),$C$31,0)</f>
        <v>0</v>
      </c>
      <c r="AA66" s="66" t="n">
        <f aca="false">IF(AND($C$17&gt;0,AA$46&gt;=$C$9,AA$46&lt;=$C$41),$C$31,0)</f>
        <v>0</v>
      </c>
      <c r="AB66" s="66" t="n">
        <f aca="false">IF(AND($C$17&gt;0,AB$46&gt;=$C$9,AB$46&lt;=$C$41),$C$31,0)</f>
        <v>0</v>
      </c>
      <c r="AC66" s="66" t="n">
        <f aca="false">IF(AND($C$17&gt;0,AC$46&gt;=$C$9,AC$46&lt;=$C$41),$C$31,0)</f>
        <v>0</v>
      </c>
      <c r="AD66" s="66" t="n">
        <f aca="false">IF(AND($C$17&gt;0,AD$46&gt;=$C$9,AD$46&lt;=$C$41),$C$31,0)</f>
        <v>0</v>
      </c>
      <c r="AE66" s="66" t="n">
        <f aca="false">IF(AND($C$17&gt;0,AE$46&gt;=$C$9,AE$46&lt;=$C$41),$C$31,0)</f>
        <v>0</v>
      </c>
      <c r="AF66" s="66" t="n">
        <f aca="false">IF(AND($C$17&gt;0,AF$46&gt;=$C$9,AF$46&lt;=$C$41),$C$31,0)</f>
        <v>0</v>
      </c>
      <c r="AG66" s="66" t="n">
        <f aca="false">IF(AND($C$17&gt;0,AG$46&gt;=$C$9,AG$46&lt;=$C$41),$C$31,0)</f>
        <v>0</v>
      </c>
      <c r="AH66" s="66" t="n">
        <f aca="false">IF(AND($C$17&gt;0,AH$46&gt;=$C$9,AH$46&lt;=$C$41),$C$31,0)</f>
        <v>0</v>
      </c>
      <c r="AI66" s="66" t="n">
        <f aca="false">IF(AND($C$17&gt;0,AI$46&gt;=$C$9,AI$46&lt;=$C$41),$C$31,0)</f>
        <v>0</v>
      </c>
      <c r="AJ66" s="66" t="n">
        <f aca="false">IF(AND($C$17&gt;0,AJ$46&gt;=$C$9,AJ$46&lt;=$C$41),$C$31,0)</f>
        <v>0</v>
      </c>
      <c r="AK66" s="66" t="n">
        <f aca="false">IF(AND($C$17&gt;0,AK$46&gt;=$C$9,AK$46&lt;=$C$41),$C$31,0)</f>
        <v>0</v>
      </c>
      <c r="AL66" s="66" t="n">
        <f aca="false">IF(AND($C$17&gt;0,AL$46&gt;=$C$9,AL$46&lt;=$C$41),$C$31,0)</f>
        <v>0</v>
      </c>
      <c r="AM66" s="66" t="n">
        <f aca="false">IF(AND($C$17&gt;0,AM$46&gt;=$C$9,AM$46&lt;=$C$41),$C$31,0)</f>
        <v>0</v>
      </c>
      <c r="AN66" s="66" t="n">
        <f aca="false">IF(AND($C$17&gt;0,AN$46&gt;=$C$9,AN$46&lt;=$C$41),$C$31,0)</f>
        <v>0</v>
      </c>
      <c r="AO66" s="66" t="n">
        <f aca="false">IF(AND($C$17&gt;0,AO$46&gt;=$C$9,AO$46&lt;=$C$41),$C$31,0)</f>
        <v>0</v>
      </c>
      <c r="AP66" s="66" t="n">
        <f aca="false">IF(AND($C$17&gt;0,AP$46&gt;=$C$9,AP$46&lt;=$C$41),$C$31,0)</f>
        <v>0</v>
      </c>
      <c r="AQ66" s="66" t="n">
        <f aca="false">IF(AND($C$17&gt;0,AQ$46&gt;=$C$9,AQ$46&lt;=$C$41),$C$31,0)</f>
        <v>0</v>
      </c>
      <c r="AR66" s="66" t="n">
        <f aca="false">IF(AND($C$17&gt;0,AR$46&gt;=$C$9,AR$46&lt;=$C$41),$C$31,0)</f>
        <v>0</v>
      </c>
      <c r="AS66" s="66" t="n">
        <f aca="false">IF(AND($C$17&gt;0,AS$46&gt;=$C$9,AS$46&lt;=$C$41),$C$31,0)</f>
        <v>0</v>
      </c>
      <c r="AT66" s="66" t="n">
        <f aca="false">IF(AND($C$17&gt;0,AT$46&gt;=$C$9,AT$46&lt;=$C$41),$C$31,0)</f>
        <v>0</v>
      </c>
      <c r="AU66" s="66" t="n">
        <f aca="false">IF(AND($C$17&gt;0,AU$46&gt;=$C$9,AU$46&lt;=$C$41),$C$31,0)</f>
        <v>0</v>
      </c>
      <c r="AV66" s="66" t="n">
        <f aca="false">IF(AND($C$17&gt;0,AV$46&gt;=$C$9,AV$46&lt;=$C$41),$C$31,0)</f>
        <v>0</v>
      </c>
      <c r="AW66" s="66" t="n">
        <f aca="false">IF(AND($C$17&gt;0,AW$46&gt;=$C$9,AW$46&lt;=$C$41),$C$31,0)</f>
        <v>0</v>
      </c>
      <c r="AX66" s="66" t="n">
        <f aca="false">IF(AND($C$17&gt;0,AX$46&gt;=$C$9,AX$46&lt;=$C$41),$C$31,0)</f>
        <v>0</v>
      </c>
      <c r="AY66" s="66" t="n">
        <f aca="false">IF(AND($C$17&gt;0,AY$46&gt;=$C$9,AY$46&lt;=$C$41),$C$31,0)</f>
        <v>0</v>
      </c>
      <c r="AZ66" s="66" t="n">
        <f aca="false">IF(AND($C$17&gt;0,AZ$46&gt;=$C$9,AZ$46&lt;=$C$41),$C$31,0)</f>
        <v>0</v>
      </c>
      <c r="BA66" s="66" t="n">
        <f aca="false">IF(AND($C$17&gt;0,BA$46&gt;=$C$9,BA$46&lt;=$C$41),$C$31,0)</f>
        <v>0</v>
      </c>
      <c r="BB66" s="66" t="n">
        <f aca="false">IF(AND($C$17&gt;0,BB$46&gt;=$C$9,BB$46&lt;=$C$41),$C$31,0)</f>
        <v>0</v>
      </c>
    </row>
    <row r="67" customFormat="false" ht="15" hidden="false" customHeight="true" outlineLevel="0" collapsed="false">
      <c r="B67" s="59" t="s">
        <v>476</v>
      </c>
      <c r="C67" s="59" t="s">
        <v>11</v>
      </c>
      <c r="D67" s="66" t="n">
        <f aca="false">SUM(E67:BB67)</f>
        <v>59520536.0082076</v>
      </c>
      <c r="E67" s="66" t="n">
        <f aca="false">IF(AND(E49&lt;0,E$46&gt;=$C$9,E$46&lt;=$C$41),ABS(E49)*$C$32,0)</f>
        <v>0</v>
      </c>
      <c r="F67" s="66" t="n">
        <f aca="false">IF(AND(F49&lt;0,F$46&gt;=$C$9,F$46&lt;=$C$41),ABS(F49)*$C$32,0)</f>
        <v>0</v>
      </c>
      <c r="G67" s="66" t="n">
        <f aca="false">IF(AND(G49&lt;0,G$46&gt;=$C$9,G$46&lt;=$C$41),ABS(G49)*$C$32,0)</f>
        <v>0</v>
      </c>
      <c r="H67" s="66" t="n">
        <f aca="false">IF(AND(H49&lt;0,H$46&gt;=$C$9,H$46&lt;=$C$41),ABS(H49)*$C$32,0)</f>
        <v>20348556.228</v>
      </c>
      <c r="I67" s="66" t="n">
        <f aca="false">IF(AND(I49&lt;0,I$46&gt;=$C$9,I$46&lt;=$C$41),ABS(I49)*$C$32,0)</f>
        <v>24738142.5162076</v>
      </c>
      <c r="J67" s="66" t="n">
        <f aca="false">IF(AND(J49&lt;0,J$46&gt;=$C$9,J$46&lt;=$C$41),ABS(J49)*$C$32,0)</f>
        <v>11207229.264</v>
      </c>
      <c r="K67" s="66" t="n">
        <f aca="false">IF(AND(K49&lt;0,K$46&gt;=$C$9,K$46&lt;=$C$41),ABS(K49)*$C$32,0)</f>
        <v>3226608</v>
      </c>
      <c r="L67" s="66" t="n">
        <f aca="false">IF(AND(L49&lt;0,L$46&gt;=$C$9,L$46&lt;=$C$41),ABS(L49)*$C$32,0)</f>
        <v>0</v>
      </c>
      <c r="M67" s="66" t="n">
        <f aca="false">IF(AND(M49&lt;0,M$46&gt;=$C$9,M$46&lt;=$C$41),ABS(M49)*$C$32,0)</f>
        <v>0</v>
      </c>
      <c r="N67" s="66" t="n">
        <f aca="false">IF(AND(N49&lt;0,N$46&gt;=$C$9,N$46&lt;=$C$41),ABS(N49)*$C$32,0)</f>
        <v>0</v>
      </c>
      <c r="O67" s="66" t="n">
        <f aca="false">IF(AND(O49&lt;0,O$46&gt;=$C$9,O$46&lt;=$C$41),ABS(O49)*$C$32,0)</f>
        <v>0</v>
      </c>
      <c r="P67" s="66" t="n">
        <f aca="false">IF(AND(P49&lt;0,P$46&gt;=$C$9,P$46&lt;=$C$41),ABS(P49)*$C$32,0)</f>
        <v>0</v>
      </c>
      <c r="Q67" s="66" t="n">
        <f aca="false">IF(AND(Q49&lt;0,Q$46&gt;=$C$9,Q$46&lt;=$C$41),ABS(Q49)*$C$32,0)</f>
        <v>0</v>
      </c>
      <c r="R67" s="66" t="n">
        <f aca="false">IF(AND(R49&lt;0,R$46&gt;=$C$9,R$46&lt;=$C$41),ABS(R49)*$C$32,0)</f>
        <v>0</v>
      </c>
      <c r="S67" s="66" t="n">
        <f aca="false">IF(AND(S49&lt;0,S$46&gt;=$C$9,S$46&lt;=$C$41),ABS(S49)*$C$32,0)</f>
        <v>0</v>
      </c>
      <c r="T67" s="66" t="n">
        <f aca="false">IF(AND(T49&lt;0,T$46&gt;=$C$9,T$46&lt;=$C$41),ABS(T49)*$C$32,0)</f>
        <v>0</v>
      </c>
      <c r="U67" s="66" t="n">
        <f aca="false">IF(AND(U49&lt;0,U$46&gt;=$C$9,U$46&lt;=$C$41),ABS(U49)*$C$32,0)</f>
        <v>0</v>
      </c>
      <c r="V67" s="66" t="n">
        <f aca="false">IF(AND(V49&lt;0,V$46&gt;=$C$9,V$46&lt;=$C$41),ABS(V49)*$C$32,0)</f>
        <v>0</v>
      </c>
      <c r="W67" s="66" t="n">
        <f aca="false">IF(AND(W49&lt;0,W$46&gt;=$C$9,W$46&lt;=$C$41),ABS(W49)*$C$32,0)</f>
        <v>0</v>
      </c>
      <c r="X67" s="66" t="n">
        <f aca="false">IF(AND(X49&lt;0,X$46&gt;=$C$9,X$46&lt;=$C$41),ABS(X49)*$C$32,0)</f>
        <v>0</v>
      </c>
      <c r="Y67" s="66" t="n">
        <f aca="false">IF(AND(Y49&lt;0,Y$46&gt;=$C$9,Y$46&lt;=$C$41),ABS(Y49)*$C$32,0)</f>
        <v>0</v>
      </c>
      <c r="Z67" s="66" t="n">
        <f aca="false">IF(AND(Z49&lt;0,Z$46&gt;=$C$9,Z$46&lt;=$C$41),ABS(Z49)*$C$32,0)</f>
        <v>0</v>
      </c>
      <c r="AA67" s="66" t="n">
        <f aca="false">IF(AND(AA49&lt;0,AA$46&gt;=$C$9,AA$46&lt;=$C$41),ABS(AA49)*$C$32,0)</f>
        <v>0</v>
      </c>
      <c r="AB67" s="66" t="n">
        <f aca="false">IF(AND(AB49&lt;0,AB$46&gt;=$C$9,AB$46&lt;=$C$41),ABS(AB49)*$C$32,0)</f>
        <v>0</v>
      </c>
      <c r="AC67" s="66" t="n">
        <f aca="false">IF(AND(AC49&lt;0,AC$46&gt;=$C$9,AC$46&lt;=$C$41),ABS(AC49)*$C$32,0)</f>
        <v>0</v>
      </c>
      <c r="AD67" s="66" t="n">
        <f aca="false">IF(AND(AD49&lt;0,AD$46&gt;=$C$9,AD$46&lt;=$C$41),ABS(AD49)*$C$32,0)</f>
        <v>0</v>
      </c>
      <c r="AE67" s="66" t="n">
        <f aca="false">IF(AND(AE49&lt;0,AE$46&gt;=$C$9,AE$46&lt;=$C$41),ABS(AE49)*$C$32,0)</f>
        <v>0</v>
      </c>
      <c r="AF67" s="66" t="n">
        <f aca="false">IF(AND(AF49&lt;0,AF$46&gt;=$C$9,AF$46&lt;=$C$41),ABS(AF49)*$C$32,0)</f>
        <v>0</v>
      </c>
      <c r="AG67" s="66" t="n">
        <f aca="false">IF(AND(AG49&lt;0,AG$46&gt;=$C$9,AG$46&lt;=$C$41),ABS(AG49)*$C$32,0)</f>
        <v>0</v>
      </c>
      <c r="AH67" s="66" t="n">
        <f aca="false">IF(AND(AH49&lt;0,AH$46&gt;=$C$9,AH$46&lt;=$C$41),ABS(AH49)*$C$32,0)</f>
        <v>0</v>
      </c>
      <c r="AI67" s="66" t="n">
        <f aca="false">IF(AND(AI49&lt;0,AI$46&gt;=$C$9,AI$46&lt;=$C$41),ABS(AI49)*$C$32,0)</f>
        <v>0</v>
      </c>
      <c r="AJ67" s="66" t="n">
        <f aca="false">IF(AND(AJ49&lt;0,AJ$46&gt;=$C$9,AJ$46&lt;=$C$41),ABS(AJ49)*$C$32,0)</f>
        <v>0</v>
      </c>
      <c r="AK67" s="66" t="n">
        <f aca="false">IF(AND(AK49&lt;0,AK$46&gt;=$C$9,AK$46&lt;=$C$41),ABS(AK49)*$C$32,0)</f>
        <v>0</v>
      </c>
      <c r="AL67" s="66" t="n">
        <f aca="false">IF(AND(AL49&lt;0,AL$46&gt;=$C$9,AL$46&lt;=$C$41),ABS(AL49)*$C$32,0)</f>
        <v>0</v>
      </c>
      <c r="AM67" s="66" t="n">
        <f aca="false">IF(AND(AM49&lt;0,AM$46&gt;=$C$9,AM$46&lt;=$C$41),ABS(AM49)*$C$32,0)</f>
        <v>0</v>
      </c>
      <c r="AN67" s="66" t="n">
        <f aca="false">IF(AND(AN49&lt;0,AN$46&gt;=$C$9,AN$46&lt;=$C$41),ABS(AN49)*$C$32,0)</f>
        <v>0</v>
      </c>
      <c r="AO67" s="66" t="n">
        <f aca="false">IF(AND(AO49&lt;0,AO$46&gt;=$C$9,AO$46&lt;=$C$41),ABS(AO49)*$C$32,0)</f>
        <v>0</v>
      </c>
      <c r="AP67" s="66" t="n">
        <f aca="false">IF(AND(AP49&lt;0,AP$46&gt;=$C$9,AP$46&lt;=$C$41),ABS(AP49)*$C$32,0)</f>
        <v>0</v>
      </c>
      <c r="AQ67" s="66" t="n">
        <f aca="false">IF(AND(AQ49&lt;0,AQ$46&gt;=$C$9,AQ$46&lt;=$C$41),ABS(AQ49)*$C$32,0)</f>
        <v>0</v>
      </c>
      <c r="AR67" s="66" t="n">
        <f aca="false">IF(AND(AR49&lt;0,AR$46&gt;=$C$9,AR$46&lt;=$C$41),ABS(AR49)*$C$32,0)</f>
        <v>0</v>
      </c>
      <c r="AS67" s="66" t="n">
        <f aca="false">IF(AND(AS49&lt;0,AS$46&gt;=$C$9,AS$46&lt;=$C$41),ABS(AS49)*$C$32,0)</f>
        <v>0</v>
      </c>
      <c r="AT67" s="66" t="n">
        <f aca="false">IF(AND(AT49&lt;0,AT$46&gt;=$C$9,AT$46&lt;=$C$41),ABS(AT49)*$C$32,0)</f>
        <v>0</v>
      </c>
      <c r="AU67" s="66" t="n">
        <f aca="false">IF(AND(AU49&lt;0,AU$46&gt;=$C$9,AU$46&lt;=$C$41),ABS(AU49)*$C$32,0)</f>
        <v>0</v>
      </c>
      <c r="AV67" s="66" t="n">
        <f aca="false">IF(AND(AV49&lt;0,AV$46&gt;=$C$9,AV$46&lt;=$C$41),ABS(AV49)*$C$32,0)</f>
        <v>0</v>
      </c>
      <c r="AW67" s="66" t="n">
        <f aca="false">IF(AND(AW49&lt;0,AW$46&gt;=$C$9,AW$46&lt;=$C$41),ABS(AW49)*$C$32,0)</f>
        <v>0</v>
      </c>
      <c r="AX67" s="66" t="n">
        <f aca="false">IF(AND(AX49&lt;0,AX$46&gt;=$C$9,AX$46&lt;=$C$41),ABS(AX49)*$C$32,0)</f>
        <v>0</v>
      </c>
      <c r="AY67" s="66" t="n">
        <f aca="false">IF(AND(AY49&lt;0,AY$46&gt;=$C$9,AY$46&lt;=$C$41),ABS(AY49)*$C$32,0)</f>
        <v>0</v>
      </c>
      <c r="AZ67" s="66" t="n">
        <f aca="false">IF(AND(AZ49&lt;0,AZ$46&gt;=$C$9,AZ$46&lt;=$C$41),ABS(AZ49)*$C$32,0)</f>
        <v>0</v>
      </c>
      <c r="BA67" s="66" t="n">
        <f aca="false">IF(AND(BA49&lt;0,BA$46&gt;=$C$9,BA$46&lt;=$C$41),ABS(BA49)*$C$32,0)</f>
        <v>0</v>
      </c>
      <c r="BB67" s="66" t="n">
        <f aca="false">IF(AND(BB49&lt;0,BB$46&gt;=$C$9,BB$46&lt;=$C$41),ABS(BB49)*$C$32,0)</f>
        <v>0</v>
      </c>
    </row>
    <row r="68" customFormat="false" ht="15" hidden="false" customHeight="true" outlineLevel="0" collapsed="false">
      <c r="B68" s="59" t="s">
        <v>477</v>
      </c>
      <c r="C68" s="59" t="s">
        <v>11</v>
      </c>
      <c r="D68" s="66" t="n">
        <f aca="false">SUM(E68:BB68)</f>
        <v>4960044.66735064</v>
      </c>
      <c r="E68" s="66" t="n">
        <f aca="false">IF(E$46=$C$9,ABS($D$49)*$C$33,0)</f>
        <v>0</v>
      </c>
      <c r="F68" s="66" t="n">
        <f aca="false">IF(F$46=$C$9,ABS($D$49)*$C$33,0)</f>
        <v>0</v>
      </c>
      <c r="G68" s="66" t="n">
        <f aca="false">IF(G$46=$C$9,ABS($D$49)*$C$33,0)</f>
        <v>4960044.66735064</v>
      </c>
      <c r="H68" s="66" t="n">
        <f aca="false">IF(H$46=$C$9,ABS($D$49)*$C$33,0)</f>
        <v>0</v>
      </c>
      <c r="I68" s="66" t="n">
        <f aca="false">IF(I$46=$C$9,ABS($D$49)*$C$33,0)</f>
        <v>0</v>
      </c>
      <c r="J68" s="66" t="n">
        <f aca="false">IF(J$46=$C$9,ABS($D$49)*$C$33,0)</f>
        <v>0</v>
      </c>
      <c r="K68" s="66" t="n">
        <f aca="false">IF(K$46=$C$9,ABS($D$49)*$C$33,0)</f>
        <v>0</v>
      </c>
      <c r="L68" s="66" t="n">
        <f aca="false">IF(L$46=$C$9,ABS($D$49)*$C$33,0)</f>
        <v>0</v>
      </c>
      <c r="M68" s="66" t="n">
        <f aca="false">IF(M$46=$C$9,ABS($D$49)*$C$33,0)</f>
        <v>0</v>
      </c>
      <c r="N68" s="66" t="n">
        <f aca="false">IF(N$46=$C$9,ABS($D$49)*$C$33,0)</f>
        <v>0</v>
      </c>
      <c r="O68" s="66" t="n">
        <f aca="false">IF(O$46=$C$9,ABS($D$49)*$C$33,0)</f>
        <v>0</v>
      </c>
      <c r="P68" s="66" t="n">
        <f aca="false">IF(P$46=$C$9,ABS($D$49)*$C$33,0)</f>
        <v>0</v>
      </c>
      <c r="Q68" s="66" t="n">
        <f aca="false">IF(Q$46=$C$9,ABS($D$49)*$C$33,0)</f>
        <v>0</v>
      </c>
      <c r="R68" s="66" t="n">
        <f aca="false">IF(R$46=$C$9,ABS($D$49)*$C$33,0)</f>
        <v>0</v>
      </c>
      <c r="S68" s="66" t="n">
        <f aca="false">IF(S$46=$C$9,ABS($D$49)*$C$33,0)</f>
        <v>0</v>
      </c>
      <c r="T68" s="66" t="n">
        <f aca="false">IF(T$46=$C$9,ABS($D$49)*$C$33,0)</f>
        <v>0</v>
      </c>
      <c r="U68" s="66" t="n">
        <f aca="false">IF(U$46=$C$9,ABS($D$49)*$C$33,0)</f>
        <v>0</v>
      </c>
      <c r="V68" s="66" t="n">
        <f aca="false">IF(V$46=$C$9,ABS($D$49)*$C$33,0)</f>
        <v>0</v>
      </c>
      <c r="W68" s="66" t="n">
        <f aca="false">IF(W$46=$C$9,ABS($D$49)*$C$33,0)</f>
        <v>0</v>
      </c>
      <c r="X68" s="66" t="n">
        <f aca="false">IF(X$46=$C$9,ABS($D$49)*$C$33,0)</f>
        <v>0</v>
      </c>
      <c r="Y68" s="66" t="n">
        <f aca="false">IF(Y$46=$C$9,ABS($D$49)*$C$33,0)</f>
        <v>0</v>
      </c>
      <c r="Z68" s="66" t="n">
        <f aca="false">IF(Z$46=$C$9,ABS($D$49)*$C$33,0)</f>
        <v>0</v>
      </c>
      <c r="AA68" s="66" t="n">
        <f aca="false">IF(AA$46=$C$9,ABS($D$49)*$C$33,0)</f>
        <v>0</v>
      </c>
      <c r="AB68" s="66" t="n">
        <f aca="false">IF(AB$46=$C$9,ABS($D$49)*$C$33,0)</f>
        <v>0</v>
      </c>
      <c r="AC68" s="66" t="n">
        <f aca="false">IF(AC$46=$C$9,ABS($D$49)*$C$33,0)</f>
        <v>0</v>
      </c>
      <c r="AD68" s="66" t="n">
        <f aca="false">IF(AD$46=$C$9,ABS($D$49)*$C$33,0)</f>
        <v>0</v>
      </c>
      <c r="AE68" s="66" t="n">
        <f aca="false">IF(AE$46=$C$9,ABS($D$49)*$C$33,0)</f>
        <v>0</v>
      </c>
      <c r="AF68" s="66" t="n">
        <f aca="false">IF(AF$46=$C$9,ABS($D$49)*$C$33,0)</f>
        <v>0</v>
      </c>
      <c r="AG68" s="66" t="n">
        <f aca="false">IF(AG$46=$C$9,ABS($D$49)*$C$33,0)</f>
        <v>0</v>
      </c>
      <c r="AH68" s="66" t="n">
        <f aca="false">IF(AH$46=$C$9,ABS($D$49)*$C$33,0)</f>
        <v>0</v>
      </c>
      <c r="AI68" s="66" t="n">
        <f aca="false">IF(AI$46=$C$9,ABS($D$49)*$C$33,0)</f>
        <v>0</v>
      </c>
      <c r="AJ68" s="66" t="n">
        <f aca="false">IF(AJ$46=$C$9,ABS($D$49)*$C$33,0)</f>
        <v>0</v>
      </c>
      <c r="AK68" s="66" t="n">
        <f aca="false">IF(AK$46=$C$9,ABS($D$49)*$C$33,0)</f>
        <v>0</v>
      </c>
      <c r="AL68" s="66" t="n">
        <f aca="false">IF(AL$46=$C$9,ABS($D$49)*$C$33,0)</f>
        <v>0</v>
      </c>
      <c r="AM68" s="66" t="n">
        <f aca="false">IF(AM$46=$C$9,ABS($D$49)*$C$33,0)</f>
        <v>0</v>
      </c>
      <c r="AN68" s="66" t="n">
        <f aca="false">IF(AN$46=$C$9,ABS($D$49)*$C$33,0)</f>
        <v>0</v>
      </c>
      <c r="AO68" s="66" t="n">
        <f aca="false">IF(AO$46=$C$9,ABS($D$49)*$C$33,0)</f>
        <v>0</v>
      </c>
      <c r="AP68" s="66" t="n">
        <f aca="false">IF(AP$46=$C$9,ABS($D$49)*$C$33,0)</f>
        <v>0</v>
      </c>
      <c r="AQ68" s="66" t="n">
        <f aca="false">IF(AQ$46=$C$9,ABS($D$49)*$C$33,0)</f>
        <v>0</v>
      </c>
      <c r="AR68" s="66" t="n">
        <f aca="false">IF(AR$46=$C$9,ABS($D$49)*$C$33,0)</f>
        <v>0</v>
      </c>
      <c r="AS68" s="66" t="n">
        <f aca="false">IF(AS$46=$C$9,ABS($D$49)*$C$33,0)</f>
        <v>0</v>
      </c>
      <c r="AT68" s="66" t="n">
        <f aca="false">IF(AT$46=$C$9,ABS($D$49)*$C$33,0)</f>
        <v>0</v>
      </c>
      <c r="AU68" s="66" t="n">
        <f aca="false">IF(AU$46=$C$9,ABS($D$49)*$C$33,0)</f>
        <v>0</v>
      </c>
      <c r="AV68" s="66" t="n">
        <f aca="false">IF(AV$46=$C$9,ABS($D$49)*$C$33,0)</f>
        <v>0</v>
      </c>
      <c r="AW68" s="66" t="n">
        <f aca="false">IF(AW$46=$C$9,ABS($D$49)*$C$33,0)</f>
        <v>0</v>
      </c>
      <c r="AX68" s="66" t="n">
        <f aca="false">IF(AX$46=$C$9,ABS($D$49)*$C$33,0)</f>
        <v>0</v>
      </c>
      <c r="AY68" s="66" t="n">
        <f aca="false">IF(AY$46=$C$9,ABS($D$49)*$C$33,0)</f>
        <v>0</v>
      </c>
      <c r="AZ68" s="66" t="n">
        <f aca="false">IF(AZ$46=$C$9,ABS($D$49)*$C$33,0)</f>
        <v>0</v>
      </c>
      <c r="BA68" s="66" t="n">
        <f aca="false">IF(BA$46=$C$9,ABS($D$49)*$C$33,0)</f>
        <v>0</v>
      </c>
      <c r="BB68" s="66" t="n">
        <f aca="false">IF(BB$46=$C$9,ABS($D$49)*$C$33,0)</f>
        <v>0</v>
      </c>
    </row>
    <row r="69" customFormat="false" ht="15" hidden="false" customHeight="true" outlineLevel="0" collapsed="false">
      <c r="B69" s="20" t="s">
        <v>478</v>
      </c>
      <c r="C69" s="59" t="s">
        <v>11</v>
      </c>
      <c r="D69" s="63" t="n">
        <f aca="false">SUM(E69:BB69)</f>
        <v>91587445.5622303</v>
      </c>
      <c r="E69" s="63" t="n">
        <f aca="false">E64+E65+E66+E67+E68</f>
        <v>0</v>
      </c>
      <c r="F69" s="63" t="n">
        <f aca="false">F64+F65+F66+F67+F68</f>
        <v>0</v>
      </c>
      <c r="G69" s="63" t="n">
        <f aca="false">G64+G65+G66+G67+G68</f>
        <v>8765100.2286448</v>
      </c>
      <c r="H69" s="63" t="n">
        <f aca="false">H64+H65+H66+H67+H68</f>
        <v>22004697.9451</v>
      </c>
      <c r="I69" s="63" t="n">
        <f aca="false">I64+I65+I66+I67+I68</f>
        <v>28249644.9220232</v>
      </c>
      <c r="J69" s="63" t="n">
        <f aca="false">J64+J65+J66+J67+J68</f>
        <v>15559273.8646156</v>
      </c>
      <c r="K69" s="63" t="n">
        <f aca="false">K64+K65+K66+K67+K68</f>
        <v>7820648.20061557</v>
      </c>
      <c r="L69" s="63" t="n">
        <f aca="false">L64+L65+L66+L67+L68</f>
        <v>4594040.20061557</v>
      </c>
      <c r="M69" s="63" t="n">
        <f aca="false">M64+M65+M66+M67+M68</f>
        <v>4594040.20061557</v>
      </c>
      <c r="N69" s="63" t="n">
        <f aca="false">N64+N65+N66+N67+N68</f>
        <v>0</v>
      </c>
      <c r="O69" s="63" t="n">
        <f aca="false">O64+O65+O66+O67+O68</f>
        <v>0</v>
      </c>
      <c r="P69" s="63" t="n">
        <f aca="false">P64+P65+P66+P67+P68</f>
        <v>0</v>
      </c>
      <c r="Q69" s="63" t="n">
        <f aca="false">Q64+Q65+Q66+Q67+Q68</f>
        <v>0</v>
      </c>
      <c r="R69" s="63" t="n">
        <f aca="false">R64+R65+R66+R67+R68</f>
        <v>0</v>
      </c>
      <c r="S69" s="63" t="n">
        <f aca="false">S64+S65+S66+S67+S68</f>
        <v>0</v>
      </c>
      <c r="T69" s="63" t="n">
        <f aca="false">T64+T65+T66+T67+T68</f>
        <v>0</v>
      </c>
      <c r="U69" s="63" t="n">
        <f aca="false">U64+U65+U66+U67+U68</f>
        <v>0</v>
      </c>
      <c r="V69" s="63" t="n">
        <f aca="false">V64+V65+V66+V67+V68</f>
        <v>0</v>
      </c>
      <c r="W69" s="63" t="n">
        <f aca="false">W64+W65+W66+W67+W68</f>
        <v>0</v>
      </c>
      <c r="X69" s="63" t="n">
        <f aca="false">X64+X65+X66+X67+X68</f>
        <v>0</v>
      </c>
      <c r="Y69" s="63" t="n">
        <f aca="false">Y64+Y65+Y66+Y67+Y68</f>
        <v>0</v>
      </c>
      <c r="Z69" s="63" t="n">
        <f aca="false">Z64+Z65+Z66+Z67+Z68</f>
        <v>0</v>
      </c>
      <c r="AA69" s="63" t="n">
        <f aca="false">AA64+AA65+AA66+AA67+AA68</f>
        <v>0</v>
      </c>
      <c r="AB69" s="63" t="n">
        <f aca="false">AB64+AB65+AB66+AB67+AB68</f>
        <v>0</v>
      </c>
      <c r="AC69" s="63" t="n">
        <f aca="false">AC64+AC65+AC66+AC67+AC68</f>
        <v>0</v>
      </c>
      <c r="AD69" s="63" t="n">
        <f aca="false">AD64+AD65+AD66+AD67+AD68</f>
        <v>0</v>
      </c>
      <c r="AE69" s="63" t="n">
        <f aca="false">AE64+AE65+AE66+AE67+AE68</f>
        <v>0</v>
      </c>
      <c r="AF69" s="63" t="n">
        <f aca="false">AF64+AF65+AF66+AF67+AF68</f>
        <v>0</v>
      </c>
      <c r="AG69" s="63" t="n">
        <f aca="false">AG64+AG65+AG66+AG67+AG68</f>
        <v>0</v>
      </c>
      <c r="AH69" s="63" t="n">
        <f aca="false">AH64+AH65+AH66+AH67+AH68</f>
        <v>0</v>
      </c>
      <c r="AI69" s="63" t="n">
        <f aca="false">AI64+AI65+AI66+AI67+AI68</f>
        <v>0</v>
      </c>
      <c r="AJ69" s="63" t="n">
        <f aca="false">AJ64+AJ65+AJ66+AJ67+AJ68</f>
        <v>0</v>
      </c>
      <c r="AK69" s="63" t="n">
        <f aca="false">AK64+AK65+AK66+AK67+AK68</f>
        <v>0</v>
      </c>
      <c r="AL69" s="63" t="n">
        <f aca="false">AL64+AL65+AL66+AL67+AL68</f>
        <v>0</v>
      </c>
      <c r="AM69" s="63" t="n">
        <f aca="false">AM64+AM65+AM66+AM67+AM68</f>
        <v>0</v>
      </c>
      <c r="AN69" s="63" t="n">
        <f aca="false">AN64+AN65+AN66+AN67+AN68</f>
        <v>0</v>
      </c>
      <c r="AO69" s="63" t="n">
        <f aca="false">AO64+AO65+AO66+AO67+AO68</f>
        <v>0</v>
      </c>
      <c r="AP69" s="63" t="n">
        <f aca="false">AP64+AP65+AP66+AP67+AP68</f>
        <v>0</v>
      </c>
      <c r="AQ69" s="63" t="n">
        <f aca="false">AQ64+AQ65+AQ66+AQ67+AQ68</f>
        <v>0</v>
      </c>
      <c r="AR69" s="63" t="n">
        <f aca="false">AR64+AR65+AR66+AR67+AR68</f>
        <v>0</v>
      </c>
      <c r="AS69" s="63" t="n">
        <f aca="false">AS64+AS65+AS66+AS67+AS68</f>
        <v>0</v>
      </c>
      <c r="AT69" s="63" t="n">
        <f aca="false">AT64+AT65+AT66+AT67+AT68</f>
        <v>0</v>
      </c>
      <c r="AU69" s="63" t="n">
        <f aca="false">AU64+AU65+AU66+AU67+AU68</f>
        <v>0</v>
      </c>
      <c r="AV69" s="63" t="n">
        <f aca="false">AV64+AV65+AV66+AV67+AV68</f>
        <v>0</v>
      </c>
      <c r="AW69" s="63" t="n">
        <f aca="false">AW64+AW65+AW66+AW67+AW68</f>
        <v>0</v>
      </c>
      <c r="AX69" s="63" t="n">
        <f aca="false">AX64+AX65+AX66+AX67+AX68</f>
        <v>0</v>
      </c>
      <c r="AY69" s="63" t="n">
        <f aca="false">AY64+AY65+AY66+AY67+AY68</f>
        <v>0</v>
      </c>
      <c r="AZ69" s="63" t="n">
        <f aca="false">AZ64+AZ65+AZ66+AZ67+AZ68</f>
        <v>0</v>
      </c>
      <c r="BA69" s="63" t="n">
        <f aca="false">BA64+BA65+BA66+BA67+BA68</f>
        <v>0</v>
      </c>
      <c r="BB69" s="63" t="n">
        <f aca="false">BB64+BB65+BB66+BB67+BB68</f>
        <v>0</v>
      </c>
    </row>
    <row r="70" customFormat="false" ht="15" hidden="false" customHeight="true" outlineLevel="0" collapsed="false">
      <c r="B70" s="59" t="s">
        <v>479</v>
      </c>
      <c r="C70" s="59" t="s">
        <v>11</v>
      </c>
      <c r="D70" s="66" t="n">
        <f aca="false">SUM(E70:BB70)</f>
        <v>86993405.3616147</v>
      </c>
      <c r="E70" s="66" t="n">
        <f aca="false">MAX(0,E69-MAX(0,IF(E$46&lt;=$C$41,E50,0)+E62+E51))</f>
        <v>0</v>
      </c>
      <c r="F70" s="66" t="n">
        <f aca="false">MAX(0,F69-MAX(0,IF(F$46&lt;=$C$41,F50,0)+F62+F51))</f>
        <v>0</v>
      </c>
      <c r="G70" s="66" t="n">
        <f aca="false">MAX(0,G69-MAX(0,IF(G$46&lt;=$C$41,G50,0)+G62+G51))</f>
        <v>8765100.2286448</v>
      </c>
      <c r="H70" s="66" t="n">
        <f aca="false">MAX(0,H69-MAX(0,IF(H$46&lt;=$C$41,H50,0)+H62+H51))</f>
        <v>22004697.9451</v>
      </c>
      <c r="I70" s="66" t="n">
        <f aca="false">MAX(0,I69-MAX(0,IF(I$46&lt;=$C$41,I50,0)+I62+I51))</f>
        <v>28249644.9220232</v>
      </c>
      <c r="J70" s="66" t="n">
        <f aca="false">MAX(0,J69-MAX(0,IF(J$46&lt;=$C$41,J50,0)+J62+J51))</f>
        <v>15559273.8646156</v>
      </c>
      <c r="K70" s="66" t="n">
        <f aca="false">MAX(0,K69-MAX(0,IF(K$46&lt;=$C$41,K50,0)+K62+K51))</f>
        <v>7820648.20061557</v>
      </c>
      <c r="L70" s="66" t="n">
        <f aca="false">MAX(0,L69-MAX(0,IF(L$46&lt;=$C$41,L50,0)+L62+L51))</f>
        <v>4594040.20061557</v>
      </c>
      <c r="M70" s="66" t="n">
        <f aca="false">MAX(0,M69-MAX(0,IF(M$46&lt;=$C$41,M50,0)+M62+M51))</f>
        <v>0</v>
      </c>
      <c r="N70" s="66" t="n">
        <f aca="false">MAX(0,N69-MAX(0,IF(N$46&lt;=$C$41,N50,0)+N62+N51))</f>
        <v>0</v>
      </c>
      <c r="O70" s="66" t="n">
        <f aca="false">MAX(0,O69-MAX(0,IF(O$46&lt;=$C$41,O50,0)+O62+O51))</f>
        <v>0</v>
      </c>
      <c r="P70" s="66" t="n">
        <f aca="false">MAX(0,P69-MAX(0,IF(P$46&lt;=$C$41,P50,0)+P62+P51))</f>
        <v>0</v>
      </c>
      <c r="Q70" s="66" t="n">
        <f aca="false">MAX(0,Q69-MAX(0,IF(Q$46&lt;=$C$41,Q50,0)+Q62+Q51))</f>
        <v>0</v>
      </c>
      <c r="R70" s="66" t="n">
        <f aca="false">MAX(0,R69-MAX(0,IF(R$46&lt;=$C$41,R50,0)+R62+R51))</f>
        <v>0</v>
      </c>
      <c r="S70" s="66" t="n">
        <f aca="false">MAX(0,S69-MAX(0,IF(S$46&lt;=$C$41,S50,0)+S62+S51))</f>
        <v>0</v>
      </c>
      <c r="T70" s="66" t="n">
        <f aca="false">MAX(0,T69-MAX(0,IF(T$46&lt;=$C$41,T50,0)+T62+T51))</f>
        <v>0</v>
      </c>
      <c r="U70" s="66" t="n">
        <f aca="false">MAX(0,U69-MAX(0,IF(U$46&lt;=$C$41,U50,0)+U62+U51))</f>
        <v>0</v>
      </c>
      <c r="V70" s="66" t="n">
        <f aca="false">MAX(0,V69-MAX(0,IF(V$46&lt;=$C$41,V50,0)+V62+V51))</f>
        <v>0</v>
      </c>
      <c r="W70" s="66" t="n">
        <f aca="false">MAX(0,W69-MAX(0,IF(W$46&lt;=$C$41,W50,0)+W62+W51))</f>
        <v>0</v>
      </c>
      <c r="X70" s="66" t="n">
        <f aca="false">MAX(0,X69-MAX(0,IF(X$46&lt;=$C$41,X50,0)+X62+X51))</f>
        <v>0</v>
      </c>
      <c r="Y70" s="66" t="n">
        <f aca="false">MAX(0,Y69-MAX(0,IF(Y$46&lt;=$C$41,Y50,0)+Y62+Y51))</f>
        <v>0</v>
      </c>
      <c r="Z70" s="66" t="n">
        <f aca="false">MAX(0,Z69-MAX(0,IF(Z$46&lt;=$C$41,Z50,0)+Z62+Z51))</f>
        <v>0</v>
      </c>
      <c r="AA70" s="66" t="n">
        <f aca="false">MAX(0,AA69-MAX(0,IF(AA$46&lt;=$C$41,AA50,0)+AA62+AA51))</f>
        <v>0</v>
      </c>
      <c r="AB70" s="66" t="n">
        <f aca="false">MAX(0,AB69-MAX(0,IF(AB$46&lt;=$C$41,AB50,0)+AB62+AB51))</f>
        <v>0</v>
      </c>
      <c r="AC70" s="66" t="n">
        <f aca="false">MAX(0,AC69-MAX(0,IF(AC$46&lt;=$C$41,AC50,0)+AC62+AC51))</f>
        <v>0</v>
      </c>
      <c r="AD70" s="66" t="n">
        <f aca="false">MAX(0,AD69-MAX(0,IF(AD$46&lt;=$C$41,AD50,0)+AD62+AD51))</f>
        <v>0</v>
      </c>
      <c r="AE70" s="66" t="n">
        <f aca="false">MAX(0,AE69-MAX(0,IF(AE$46&lt;=$C$41,AE50,0)+AE62+AE51))</f>
        <v>0</v>
      </c>
      <c r="AF70" s="66" t="n">
        <f aca="false">MAX(0,AF69-MAX(0,IF(AF$46&lt;=$C$41,AF50,0)+AF62+AF51))</f>
        <v>0</v>
      </c>
      <c r="AG70" s="66" t="n">
        <f aca="false">MAX(0,AG69-MAX(0,IF(AG$46&lt;=$C$41,AG50,0)+AG62+AG51))</f>
        <v>0</v>
      </c>
      <c r="AH70" s="66" t="n">
        <f aca="false">MAX(0,AH69-MAX(0,IF(AH$46&lt;=$C$41,AH50,0)+AH62+AH51))</f>
        <v>0</v>
      </c>
      <c r="AI70" s="66" t="n">
        <f aca="false">MAX(0,AI69-MAX(0,IF(AI$46&lt;=$C$41,AI50,0)+AI62+AI51))</f>
        <v>0</v>
      </c>
      <c r="AJ70" s="66" t="n">
        <f aca="false">MAX(0,AJ69-MAX(0,IF(AJ$46&lt;=$C$41,AJ50,0)+AJ62+AJ51))</f>
        <v>0</v>
      </c>
      <c r="AK70" s="66" t="n">
        <f aca="false">MAX(0,AK69-MAX(0,IF(AK$46&lt;=$C$41,AK50,0)+AK62+AK51))</f>
        <v>0</v>
      </c>
      <c r="AL70" s="66" t="n">
        <f aca="false">MAX(0,AL69-MAX(0,IF(AL$46&lt;=$C$41,AL50,0)+AL62+AL51))</f>
        <v>0</v>
      </c>
      <c r="AM70" s="66" t="n">
        <f aca="false">MAX(0,AM69-MAX(0,IF(AM$46&lt;=$C$41,AM50,0)+AM62+AM51))</f>
        <v>0</v>
      </c>
      <c r="AN70" s="66" t="n">
        <f aca="false">MAX(0,AN69-MAX(0,IF(AN$46&lt;=$C$41,AN50,0)+AN62+AN51))</f>
        <v>0</v>
      </c>
      <c r="AO70" s="66" t="n">
        <f aca="false">MAX(0,AO69-MAX(0,IF(AO$46&lt;=$C$41,AO50,0)+AO62+AO51))</f>
        <v>0</v>
      </c>
      <c r="AP70" s="66" t="n">
        <f aca="false">MAX(0,AP69-MAX(0,IF(AP$46&lt;=$C$41,AP50,0)+AP62+AP51))</f>
        <v>0</v>
      </c>
      <c r="AQ70" s="66" t="n">
        <f aca="false">MAX(0,AQ69-MAX(0,IF(AQ$46&lt;=$C$41,AQ50,0)+AQ62+AQ51))</f>
        <v>0</v>
      </c>
      <c r="AR70" s="66" t="n">
        <f aca="false">MAX(0,AR69-MAX(0,IF(AR$46&lt;=$C$41,AR50,0)+AR62+AR51))</f>
        <v>0</v>
      </c>
      <c r="AS70" s="66" t="n">
        <f aca="false">MAX(0,AS69-MAX(0,IF(AS$46&lt;=$C$41,AS50,0)+AS62+AS51))</f>
        <v>0</v>
      </c>
      <c r="AT70" s="66" t="n">
        <f aca="false">MAX(0,AT69-MAX(0,IF(AT$46&lt;=$C$41,AT50,0)+AT62+AT51))</f>
        <v>0</v>
      </c>
      <c r="AU70" s="66" t="n">
        <f aca="false">MAX(0,AU69-MAX(0,IF(AU$46&lt;=$C$41,AU50,0)+AU62+AU51))</f>
        <v>0</v>
      </c>
      <c r="AV70" s="66" t="n">
        <f aca="false">MAX(0,AV69-MAX(0,IF(AV$46&lt;=$C$41,AV50,0)+AV62+AV51))</f>
        <v>0</v>
      </c>
      <c r="AW70" s="66" t="n">
        <f aca="false">MAX(0,AW69-MAX(0,IF(AW$46&lt;=$C$41,AW50,0)+AW62+AW51))</f>
        <v>0</v>
      </c>
      <c r="AX70" s="66" t="n">
        <f aca="false">MAX(0,AX69-MAX(0,IF(AX$46&lt;=$C$41,AX50,0)+AX62+AX51))</f>
        <v>0</v>
      </c>
      <c r="AY70" s="66" t="n">
        <f aca="false">MAX(0,AY69-MAX(0,IF(AY$46&lt;=$C$41,AY50,0)+AY62+AY51))</f>
        <v>0</v>
      </c>
      <c r="AZ70" s="66" t="n">
        <f aca="false">MAX(0,AZ69-MAX(0,IF(AZ$46&lt;=$C$41,AZ50,0)+AZ62+AZ51))</f>
        <v>0</v>
      </c>
      <c r="BA70" s="66" t="n">
        <f aca="false">MAX(0,BA69-MAX(0,IF(BA$46&lt;=$C$41,BA50,0)+BA62+BA51))</f>
        <v>0</v>
      </c>
      <c r="BB70" s="66" t="n">
        <f aca="false">MAX(0,BB69-MAX(0,IF(BB$46&lt;=$C$41,BB50,0)+BB62+BB51))</f>
        <v>0</v>
      </c>
    </row>
    <row r="71" customFormat="false" ht="15" hidden="false" customHeight="true" outlineLevel="0" collapsed="false">
      <c r="B71" s="59" t="s">
        <v>463</v>
      </c>
      <c r="C71" s="59" t="s">
        <v>11</v>
      </c>
      <c r="D71" s="63" t="n">
        <f aca="false">SUM(E71:BB71)</f>
        <v>761289183.94134</v>
      </c>
      <c r="E71" s="66" t="n">
        <f aca="false">E51</f>
        <v>0</v>
      </c>
      <c r="F71" s="66" t="n">
        <f aca="false">F51</f>
        <v>0</v>
      </c>
      <c r="G71" s="66" t="n">
        <f aca="false">G51</f>
        <v>0</v>
      </c>
      <c r="H71" s="66" t="n">
        <f aca="false">H51</f>
        <v>0</v>
      </c>
      <c r="I71" s="66" t="n">
        <f aca="false">I51</f>
        <v>0</v>
      </c>
      <c r="J71" s="66" t="n">
        <f aca="false">J51</f>
        <v>0</v>
      </c>
      <c r="K71" s="66" t="n">
        <f aca="false">K51</f>
        <v>0</v>
      </c>
      <c r="L71" s="66" t="n">
        <f aca="false">L51</f>
        <v>0</v>
      </c>
      <c r="M71" s="66" t="n">
        <f aca="false">M51</f>
        <v>761289183.94134</v>
      </c>
      <c r="N71" s="66" t="n">
        <f aca="false">N51</f>
        <v>0</v>
      </c>
      <c r="O71" s="66" t="n">
        <f aca="false">O51</f>
        <v>0</v>
      </c>
      <c r="P71" s="66" t="n">
        <f aca="false">P51</f>
        <v>0</v>
      </c>
      <c r="Q71" s="66" t="n">
        <f aca="false">Q51</f>
        <v>0</v>
      </c>
      <c r="R71" s="66" t="n">
        <f aca="false">R51</f>
        <v>0</v>
      </c>
      <c r="S71" s="66" t="n">
        <f aca="false">S51</f>
        <v>0</v>
      </c>
      <c r="T71" s="66" t="n">
        <f aca="false">T51</f>
        <v>0</v>
      </c>
      <c r="U71" s="66" t="n">
        <f aca="false">U51</f>
        <v>0</v>
      </c>
      <c r="V71" s="66" t="n">
        <f aca="false">V51</f>
        <v>0</v>
      </c>
      <c r="W71" s="66" t="n">
        <f aca="false">W51</f>
        <v>0</v>
      </c>
      <c r="X71" s="66" t="n">
        <f aca="false">X51</f>
        <v>0</v>
      </c>
      <c r="Y71" s="66" t="n">
        <f aca="false">Y51</f>
        <v>0</v>
      </c>
      <c r="Z71" s="66" t="n">
        <f aca="false">Z51</f>
        <v>0</v>
      </c>
      <c r="AA71" s="66" t="n">
        <f aca="false">AA51</f>
        <v>0</v>
      </c>
      <c r="AB71" s="66" t="n">
        <f aca="false">AB51</f>
        <v>0</v>
      </c>
      <c r="AC71" s="66" t="n">
        <f aca="false">AC51</f>
        <v>0</v>
      </c>
      <c r="AD71" s="66" t="n">
        <f aca="false">AD51</f>
        <v>0</v>
      </c>
      <c r="AE71" s="66" t="n">
        <f aca="false">AE51</f>
        <v>0</v>
      </c>
      <c r="AF71" s="66" t="n">
        <f aca="false">AF51</f>
        <v>0</v>
      </c>
      <c r="AG71" s="66" t="n">
        <f aca="false">AG51</f>
        <v>0</v>
      </c>
      <c r="AH71" s="66" t="n">
        <f aca="false">AH51</f>
        <v>0</v>
      </c>
      <c r="AI71" s="66" t="n">
        <f aca="false">AI51</f>
        <v>0</v>
      </c>
      <c r="AJ71" s="66" t="n">
        <f aca="false">AJ51</f>
        <v>0</v>
      </c>
      <c r="AK71" s="66" t="n">
        <f aca="false">AK51</f>
        <v>0</v>
      </c>
      <c r="AL71" s="66" t="n">
        <f aca="false">AL51</f>
        <v>0</v>
      </c>
      <c r="AM71" s="66" t="n">
        <f aca="false">AM51</f>
        <v>0</v>
      </c>
      <c r="AN71" s="66" t="n">
        <f aca="false">AN51</f>
        <v>0</v>
      </c>
      <c r="AO71" s="66" t="n">
        <f aca="false">AO51</f>
        <v>0</v>
      </c>
      <c r="AP71" s="66" t="n">
        <f aca="false">AP51</f>
        <v>0</v>
      </c>
      <c r="AQ71" s="66" t="n">
        <f aca="false">AQ51</f>
        <v>0</v>
      </c>
      <c r="AR71" s="66" t="n">
        <f aca="false">AR51</f>
        <v>0</v>
      </c>
      <c r="AS71" s="66" t="n">
        <f aca="false">AS51</f>
        <v>0</v>
      </c>
      <c r="AT71" s="66" t="n">
        <f aca="false">AT51</f>
        <v>0</v>
      </c>
      <c r="AU71" s="66" t="n">
        <f aca="false">AU51</f>
        <v>0</v>
      </c>
      <c r="AV71" s="66" t="n">
        <f aca="false">AV51</f>
        <v>0</v>
      </c>
      <c r="AW71" s="66" t="n">
        <f aca="false">AW51</f>
        <v>0</v>
      </c>
      <c r="AX71" s="66" t="n">
        <f aca="false">AX51</f>
        <v>0</v>
      </c>
      <c r="AY71" s="66" t="n">
        <f aca="false">AY51</f>
        <v>0</v>
      </c>
      <c r="AZ71" s="66" t="n">
        <f aca="false">AZ51</f>
        <v>0</v>
      </c>
      <c r="BA71" s="66" t="n">
        <f aca="false">BA51</f>
        <v>0</v>
      </c>
      <c r="BB71" s="66" t="n">
        <f aca="false">BB51</f>
        <v>0</v>
      </c>
    </row>
    <row r="73" customFormat="false" ht="15" hidden="false" customHeight="true" outlineLevel="0" collapsed="false">
      <c r="A73" s="58" t="s">
        <v>480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customFormat="false" ht="15" hidden="false" customHeight="true" outlineLevel="0" collapsed="false">
      <c r="C74" s="69" t="s">
        <v>262</v>
      </c>
      <c r="D74" s="69" t="s">
        <v>60</v>
      </c>
      <c r="E74" s="70" t="n">
        <f aca="false">E$46</f>
        <v>2026</v>
      </c>
      <c r="F74" s="70" t="n">
        <f aca="false">F$46</f>
        <v>2027</v>
      </c>
      <c r="G74" s="70" t="n">
        <f aca="false">G$46</f>
        <v>2028</v>
      </c>
      <c r="H74" s="70" t="n">
        <f aca="false">H$46</f>
        <v>2029</v>
      </c>
      <c r="I74" s="70" t="n">
        <f aca="false">I$46</f>
        <v>2030</v>
      </c>
      <c r="J74" s="70" t="n">
        <f aca="false">J$46</f>
        <v>2031</v>
      </c>
      <c r="K74" s="70" t="n">
        <f aca="false">K$46</f>
        <v>2032</v>
      </c>
      <c r="L74" s="70" t="n">
        <f aca="false">L$46</f>
        <v>2033</v>
      </c>
      <c r="M74" s="70" t="n">
        <f aca="false">M$46</f>
        <v>2034</v>
      </c>
      <c r="N74" s="70" t="n">
        <f aca="false">N$46</f>
        <v>2035</v>
      </c>
      <c r="O74" s="70" t="n">
        <f aca="false">O$46</f>
        <v>2036</v>
      </c>
      <c r="P74" s="70" t="n">
        <f aca="false">P$46</f>
        <v>2037</v>
      </c>
      <c r="Q74" s="70" t="n">
        <f aca="false">Q$46</f>
        <v>2038</v>
      </c>
      <c r="R74" s="70" t="n">
        <f aca="false">R$46</f>
        <v>2039</v>
      </c>
      <c r="S74" s="70" t="n">
        <f aca="false">S$46</f>
        <v>2040</v>
      </c>
      <c r="T74" s="70" t="n">
        <f aca="false">T$46</f>
        <v>2041</v>
      </c>
      <c r="U74" s="70" t="n">
        <f aca="false">U$46</f>
        <v>2042</v>
      </c>
      <c r="V74" s="70" t="n">
        <f aca="false">V$46</f>
        <v>2043</v>
      </c>
      <c r="W74" s="70" t="n">
        <f aca="false">W$46</f>
        <v>2044</v>
      </c>
      <c r="X74" s="70" t="n">
        <f aca="false">X$46</f>
        <v>2045</v>
      </c>
      <c r="Y74" s="70" t="n">
        <f aca="false">Y$46</f>
        <v>2046</v>
      </c>
      <c r="Z74" s="70" t="n">
        <f aca="false">Z$46</f>
        <v>2047</v>
      </c>
      <c r="AA74" s="70" t="n">
        <f aca="false">AA$46</f>
        <v>2048</v>
      </c>
      <c r="AB74" s="70" t="n">
        <f aca="false">AB$46</f>
        <v>2049</v>
      </c>
      <c r="AC74" s="70" t="n">
        <f aca="false">AC$46</f>
        <v>2050</v>
      </c>
      <c r="AD74" s="70" t="n">
        <f aca="false">AD$46</f>
        <v>2051</v>
      </c>
      <c r="AE74" s="70" t="n">
        <f aca="false">AE$46</f>
        <v>2052</v>
      </c>
      <c r="AF74" s="70" t="n">
        <f aca="false">AF$46</f>
        <v>2053</v>
      </c>
      <c r="AG74" s="70" t="n">
        <f aca="false">AG$46</f>
        <v>2054</v>
      </c>
      <c r="AH74" s="70" t="n">
        <f aca="false">AH$46</f>
        <v>2055</v>
      </c>
      <c r="AI74" s="70" t="n">
        <f aca="false">AI$46</f>
        <v>2056</v>
      </c>
      <c r="AJ74" s="70" t="n">
        <f aca="false">AJ$46</f>
        <v>2057</v>
      </c>
      <c r="AK74" s="70" t="n">
        <f aca="false">AK$46</f>
        <v>2058</v>
      </c>
      <c r="AL74" s="70" t="n">
        <f aca="false">AL$46</f>
        <v>2059</v>
      </c>
      <c r="AM74" s="70" t="n">
        <f aca="false">AM$46</f>
        <v>2060</v>
      </c>
      <c r="AN74" s="70" t="n">
        <f aca="false">AN$46</f>
        <v>2061</v>
      </c>
      <c r="AO74" s="70" t="n">
        <f aca="false">AO$46</f>
        <v>2062</v>
      </c>
      <c r="AP74" s="70" t="n">
        <f aca="false">AP$46</f>
        <v>2063</v>
      </c>
      <c r="AQ74" s="70" t="n">
        <f aca="false">AQ$46</f>
        <v>2064</v>
      </c>
      <c r="AR74" s="70" t="n">
        <f aca="false">AR$46</f>
        <v>2065</v>
      </c>
      <c r="AS74" s="70" t="n">
        <f aca="false">AS$46</f>
        <v>2066</v>
      </c>
      <c r="AT74" s="70" t="n">
        <f aca="false">AT$46</f>
        <v>2067</v>
      </c>
      <c r="AU74" s="70" t="n">
        <f aca="false">AU$46</f>
        <v>2068</v>
      </c>
      <c r="AV74" s="70" t="n">
        <f aca="false">AV$46</f>
        <v>2069</v>
      </c>
      <c r="AW74" s="70" t="n">
        <f aca="false">AW$46</f>
        <v>2070</v>
      </c>
      <c r="AX74" s="70" t="n">
        <f aca="false">AX$46</f>
        <v>2071</v>
      </c>
      <c r="AY74" s="70" t="n">
        <f aca="false">AY$46</f>
        <v>2072</v>
      </c>
      <c r="AZ74" s="70" t="n">
        <f aca="false">AZ$46</f>
        <v>2073</v>
      </c>
      <c r="BA74" s="70" t="n">
        <f aca="false">BA$46</f>
        <v>2074</v>
      </c>
      <c r="BB74" s="70" t="n">
        <f aca="false">BB$46</f>
        <v>2075</v>
      </c>
    </row>
    <row r="75" customFormat="false" ht="15" hidden="false" customHeight="true" outlineLevel="0" collapsed="false">
      <c r="B75" s="59" t="s">
        <v>481</v>
      </c>
      <c r="C75" s="59" t="s">
        <v>11</v>
      </c>
      <c r="D75" s="63" t="n">
        <f aca="false">SUM(E75:BB75)</f>
        <v>721393901.421375</v>
      </c>
      <c r="E75" s="66" t="n">
        <f aca="false">MAX(0,IF(AND(E$46&gt;=$C$9,E$46&lt;=$C$41),E50,0)+E62-E69+E70+E51)</f>
        <v>0</v>
      </c>
      <c r="F75" s="66" t="n">
        <f aca="false">MAX(0,IF(AND(F$46&gt;=$C$9,F$46&lt;=$C$41),F50,0)+F62-F69+F70+F51)</f>
        <v>0</v>
      </c>
      <c r="G75" s="66" t="n">
        <f aca="false">MAX(0,IF(AND(G$46&gt;=$C$9,G$46&lt;=$C$41),G50,0)+G62-G69+G70+G51)</f>
        <v>0</v>
      </c>
      <c r="H75" s="66" t="n">
        <f aca="false">MAX(0,IF(AND(H$46&gt;=$C$9,H$46&lt;=$C$41),H50,0)+H62-H69+H70+H51)</f>
        <v>0</v>
      </c>
      <c r="I75" s="66" t="n">
        <f aca="false">MAX(0,IF(AND(I$46&gt;=$C$9,I$46&lt;=$C$41),I50,0)+I62-I69+I70+I51)</f>
        <v>0</v>
      </c>
      <c r="J75" s="66" t="n">
        <f aca="false">MAX(0,IF(AND(J$46&gt;=$C$9,J$46&lt;=$C$41),J50,0)+J62-J69+J70+J51)</f>
        <v>0</v>
      </c>
      <c r="K75" s="66" t="n">
        <f aca="false">MAX(0,IF(AND(K$46&gt;=$C$9,K$46&lt;=$C$41),K50,0)+K62-K69+K70+K51)</f>
        <v>0</v>
      </c>
      <c r="L75" s="66" t="n">
        <f aca="false">MAX(0,IF(AND(L$46&gt;=$C$9,L$46&lt;=$C$41),L50,0)+L62-L69+L70+L51)</f>
        <v>0</v>
      </c>
      <c r="M75" s="66" t="n">
        <f aca="false">MAX(0,IF(AND(M$46&gt;=$C$9,M$46&lt;=$C$41),M50,0)+M62-M69+M70+M51)</f>
        <v>721393901.421375</v>
      </c>
      <c r="N75" s="66" t="n">
        <f aca="false">MAX(0,IF(AND(N$46&gt;=$C$9,N$46&lt;=$C$41),N50,0)+N62-N69+N70+N51)</f>
        <v>0</v>
      </c>
      <c r="O75" s="66" t="n">
        <f aca="false">MAX(0,IF(AND(O$46&gt;=$C$9,O$46&lt;=$C$41),O50,0)+O62-O69+O70+O51)</f>
        <v>0</v>
      </c>
      <c r="P75" s="66" t="n">
        <f aca="false">MAX(0,IF(AND(P$46&gt;=$C$9,P$46&lt;=$C$41),P50,0)+P62-P69+P70+P51)</f>
        <v>0</v>
      </c>
      <c r="Q75" s="66" t="n">
        <f aca="false">MAX(0,IF(AND(Q$46&gt;=$C$9,Q$46&lt;=$C$41),Q50,0)+Q62-Q69+Q70+Q51)</f>
        <v>0</v>
      </c>
      <c r="R75" s="66" t="n">
        <f aca="false">MAX(0,IF(AND(R$46&gt;=$C$9,R$46&lt;=$C$41),R50,0)+R62-R69+R70+R51)</f>
        <v>0</v>
      </c>
      <c r="S75" s="66" t="n">
        <f aca="false">MAX(0,IF(AND(S$46&gt;=$C$9,S$46&lt;=$C$41),S50,0)+S62-S69+S70+S51)</f>
        <v>0</v>
      </c>
      <c r="T75" s="66" t="n">
        <f aca="false">MAX(0,IF(AND(T$46&gt;=$C$9,T$46&lt;=$C$41),T50,0)+T62-T69+T70+T51)</f>
        <v>0</v>
      </c>
      <c r="U75" s="66" t="n">
        <f aca="false">MAX(0,IF(AND(U$46&gt;=$C$9,U$46&lt;=$C$41),U50,0)+U62-U69+U70+U51)</f>
        <v>0</v>
      </c>
      <c r="V75" s="66" t="n">
        <f aca="false">MAX(0,IF(AND(V$46&gt;=$C$9,V$46&lt;=$C$41),V50,0)+V62-V69+V70+V51)</f>
        <v>0</v>
      </c>
      <c r="W75" s="66" t="n">
        <f aca="false">MAX(0,IF(AND(W$46&gt;=$C$9,W$46&lt;=$C$41),W50,0)+W62-W69+W70+W51)</f>
        <v>0</v>
      </c>
      <c r="X75" s="66" t="n">
        <f aca="false">MAX(0,IF(AND(X$46&gt;=$C$9,X$46&lt;=$C$41),X50,0)+X62-X69+X70+X51)</f>
        <v>0</v>
      </c>
      <c r="Y75" s="66" t="n">
        <f aca="false">MAX(0,IF(AND(Y$46&gt;=$C$9,Y$46&lt;=$C$41),Y50,0)+Y62-Y69+Y70+Y51)</f>
        <v>0</v>
      </c>
      <c r="Z75" s="66" t="n">
        <f aca="false">MAX(0,IF(AND(Z$46&gt;=$C$9,Z$46&lt;=$C$41),Z50,0)+Z62-Z69+Z70+Z51)</f>
        <v>0</v>
      </c>
      <c r="AA75" s="66" t="n">
        <f aca="false">MAX(0,IF(AND(AA$46&gt;=$C$9,AA$46&lt;=$C$41),AA50,0)+AA62-AA69+AA70+AA51)</f>
        <v>0</v>
      </c>
      <c r="AB75" s="66" t="n">
        <f aca="false">MAX(0,IF(AND(AB$46&gt;=$C$9,AB$46&lt;=$C$41),AB50,0)+AB62-AB69+AB70+AB51)</f>
        <v>0</v>
      </c>
      <c r="AC75" s="66" t="n">
        <f aca="false">MAX(0,IF(AND(AC$46&gt;=$C$9,AC$46&lt;=$C$41),AC50,0)+AC62-AC69+AC70+AC51)</f>
        <v>0</v>
      </c>
      <c r="AD75" s="66" t="n">
        <f aca="false">MAX(0,IF(AND(AD$46&gt;=$C$9,AD$46&lt;=$C$41),AD50,0)+AD62-AD69+AD70+AD51)</f>
        <v>0</v>
      </c>
      <c r="AE75" s="66" t="n">
        <f aca="false">MAX(0,IF(AND(AE$46&gt;=$C$9,AE$46&lt;=$C$41),AE50,0)+AE62-AE69+AE70+AE51)</f>
        <v>0</v>
      </c>
      <c r="AF75" s="66" t="n">
        <f aca="false">MAX(0,IF(AND(AF$46&gt;=$C$9,AF$46&lt;=$C$41),AF50,0)+AF62-AF69+AF70+AF51)</f>
        <v>0</v>
      </c>
      <c r="AG75" s="66" t="n">
        <f aca="false">MAX(0,IF(AND(AG$46&gt;=$C$9,AG$46&lt;=$C$41),AG50,0)+AG62-AG69+AG70+AG51)</f>
        <v>0</v>
      </c>
      <c r="AH75" s="66" t="n">
        <f aca="false">MAX(0,IF(AND(AH$46&gt;=$C$9,AH$46&lt;=$C$41),AH50,0)+AH62-AH69+AH70+AH51)</f>
        <v>0</v>
      </c>
      <c r="AI75" s="66" t="n">
        <f aca="false">MAX(0,IF(AND(AI$46&gt;=$C$9,AI$46&lt;=$C$41),AI50,0)+AI62-AI69+AI70+AI51)</f>
        <v>0</v>
      </c>
      <c r="AJ75" s="66" t="n">
        <f aca="false">MAX(0,IF(AND(AJ$46&gt;=$C$9,AJ$46&lt;=$C$41),AJ50,0)+AJ62-AJ69+AJ70+AJ51)</f>
        <v>0</v>
      </c>
      <c r="AK75" s="66" t="n">
        <f aca="false">MAX(0,IF(AND(AK$46&gt;=$C$9,AK$46&lt;=$C$41),AK50,0)+AK62-AK69+AK70+AK51)</f>
        <v>0</v>
      </c>
      <c r="AL75" s="66" t="n">
        <f aca="false">MAX(0,IF(AND(AL$46&gt;=$C$9,AL$46&lt;=$C$41),AL50,0)+AL62-AL69+AL70+AL51)</f>
        <v>0</v>
      </c>
      <c r="AM75" s="66" t="n">
        <f aca="false">MAX(0,IF(AND(AM$46&gt;=$C$9,AM$46&lt;=$C$41),AM50,0)+AM62-AM69+AM70+AM51)</f>
        <v>0</v>
      </c>
      <c r="AN75" s="66" t="n">
        <f aca="false">MAX(0,IF(AND(AN$46&gt;=$C$9,AN$46&lt;=$C$41),AN50,0)+AN62-AN69+AN70+AN51)</f>
        <v>0</v>
      </c>
      <c r="AO75" s="66" t="n">
        <f aca="false">MAX(0,IF(AND(AO$46&gt;=$C$9,AO$46&lt;=$C$41),AO50,0)+AO62-AO69+AO70+AO51)</f>
        <v>0</v>
      </c>
      <c r="AP75" s="66" t="n">
        <f aca="false">MAX(0,IF(AND(AP$46&gt;=$C$9,AP$46&lt;=$C$41),AP50,0)+AP62-AP69+AP70+AP51)</f>
        <v>0</v>
      </c>
      <c r="AQ75" s="66" t="n">
        <f aca="false">MAX(0,IF(AND(AQ$46&gt;=$C$9,AQ$46&lt;=$C$41),AQ50,0)+AQ62-AQ69+AQ70+AQ51)</f>
        <v>0</v>
      </c>
      <c r="AR75" s="66" t="n">
        <f aca="false">MAX(0,IF(AND(AR$46&gt;=$C$9,AR$46&lt;=$C$41),AR50,0)+AR62-AR69+AR70+AR51)</f>
        <v>0</v>
      </c>
      <c r="AS75" s="66" t="n">
        <f aca="false">MAX(0,IF(AND(AS$46&gt;=$C$9,AS$46&lt;=$C$41),AS50,0)+AS62-AS69+AS70+AS51)</f>
        <v>0</v>
      </c>
      <c r="AT75" s="66" t="n">
        <f aca="false">MAX(0,IF(AND(AT$46&gt;=$C$9,AT$46&lt;=$C$41),AT50,0)+AT62-AT69+AT70+AT51)</f>
        <v>0</v>
      </c>
      <c r="AU75" s="66" t="n">
        <f aca="false">MAX(0,IF(AND(AU$46&gt;=$C$9,AU$46&lt;=$C$41),AU50,0)+AU62-AU69+AU70+AU51)</f>
        <v>0</v>
      </c>
      <c r="AV75" s="66" t="n">
        <f aca="false">MAX(0,IF(AND(AV$46&gt;=$C$9,AV$46&lt;=$C$41),AV50,0)+AV62-AV69+AV70+AV51)</f>
        <v>0</v>
      </c>
      <c r="AW75" s="66" t="n">
        <f aca="false">MAX(0,IF(AND(AW$46&gt;=$C$9,AW$46&lt;=$C$41),AW50,0)+AW62-AW69+AW70+AW51)</f>
        <v>0</v>
      </c>
      <c r="AX75" s="66" t="n">
        <f aca="false">MAX(0,IF(AND(AX$46&gt;=$C$9,AX$46&lt;=$C$41),AX50,0)+AX62-AX69+AX70+AX51)</f>
        <v>0</v>
      </c>
      <c r="AY75" s="66" t="n">
        <f aca="false">MAX(0,IF(AND(AY$46&gt;=$C$9,AY$46&lt;=$C$41),AY50,0)+AY62-AY69+AY70+AY51)</f>
        <v>0</v>
      </c>
      <c r="AZ75" s="66" t="n">
        <f aca="false">MAX(0,IF(AND(AZ$46&gt;=$C$9,AZ$46&lt;=$C$41),AZ50,0)+AZ62-AZ69+AZ70+AZ51)</f>
        <v>0</v>
      </c>
      <c r="BA75" s="66" t="n">
        <f aca="false">MAX(0,IF(AND(BA$46&gt;=$C$9,BA$46&lt;=$C$41),BA50,0)+BA62-BA69+BA70+BA51)</f>
        <v>0</v>
      </c>
      <c r="BB75" s="66" t="n">
        <f aca="false">MAX(0,IF(AND(BB$46&gt;=$C$9,BB$46&lt;=$C$41),BB50,0)+BB62-BB69+BB70+BB51)</f>
        <v>0</v>
      </c>
    </row>
    <row r="77" customFormat="false" ht="15" hidden="false" customHeight="true" outlineLevel="0" collapsed="false">
      <c r="B77" s="59" t="s">
        <v>482</v>
      </c>
      <c r="C77" s="59" t="s">
        <v>11</v>
      </c>
      <c r="E77" s="66" t="n">
        <f aca="false">E56</f>
        <v>0</v>
      </c>
      <c r="F77" s="66" t="n">
        <f aca="false">E79+F56</f>
        <v>0</v>
      </c>
      <c r="G77" s="66" t="n">
        <f aca="false">F79+G56</f>
        <v>8765100.2286448</v>
      </c>
      <c r="H77" s="66" t="n">
        <f aca="false">G79+H56</f>
        <v>93590195.7586273</v>
      </c>
      <c r="I77" s="66" t="n">
        <f aca="false">H79+I56</f>
        <v>198211841.276999</v>
      </c>
      <c r="J77" s="66" t="n">
        <f aca="false">I79+J56</f>
        <v>248370257.719634</v>
      </c>
      <c r="K77" s="66" t="n">
        <f aca="false">J79+K56</f>
        <v>266152143.225707</v>
      </c>
      <c r="L77" s="66" t="n">
        <f aca="false">K79+L56</f>
        <v>270746183.426323</v>
      </c>
      <c r="M77" s="66" t="n">
        <f aca="false">L79+M56</f>
        <v>270746183.426323</v>
      </c>
      <c r="N77" s="66" t="n">
        <f aca="false">M79+N56</f>
        <v>0</v>
      </c>
      <c r="O77" s="66" t="n">
        <f aca="false">N79+O56</f>
        <v>0</v>
      </c>
      <c r="P77" s="66" t="n">
        <f aca="false">O79+P56</f>
        <v>0</v>
      </c>
      <c r="Q77" s="66" t="n">
        <f aca="false">P79+Q56</f>
        <v>0</v>
      </c>
      <c r="R77" s="66" t="n">
        <f aca="false">Q79+R56</f>
        <v>0</v>
      </c>
      <c r="S77" s="66" t="n">
        <f aca="false">R79+S56</f>
        <v>0</v>
      </c>
      <c r="T77" s="66" t="n">
        <f aca="false">S79+T56</f>
        <v>0</v>
      </c>
      <c r="U77" s="66" t="n">
        <f aca="false">T79+U56</f>
        <v>0</v>
      </c>
      <c r="V77" s="66" t="n">
        <f aca="false">U79+V56</f>
        <v>0</v>
      </c>
      <c r="W77" s="66" t="n">
        <f aca="false">V79+W56</f>
        <v>0</v>
      </c>
      <c r="X77" s="66" t="n">
        <f aca="false">W79+X56</f>
        <v>0</v>
      </c>
      <c r="Y77" s="66" t="n">
        <f aca="false">X79+Y56</f>
        <v>0</v>
      </c>
      <c r="Z77" s="66" t="n">
        <f aca="false">Y79+Z56</f>
        <v>0</v>
      </c>
      <c r="AA77" s="66" t="n">
        <f aca="false">Z79+AA56</f>
        <v>0</v>
      </c>
      <c r="AB77" s="66" t="n">
        <f aca="false">AA79+AB56</f>
        <v>0</v>
      </c>
      <c r="AC77" s="66" t="n">
        <f aca="false">AB79+AC56</f>
        <v>0</v>
      </c>
      <c r="AD77" s="66" t="n">
        <f aca="false">AC79+AD56</f>
        <v>0</v>
      </c>
      <c r="AE77" s="66" t="n">
        <f aca="false">AD79+AE56</f>
        <v>0</v>
      </c>
      <c r="AF77" s="66" t="n">
        <f aca="false">AE79+AF56</f>
        <v>0</v>
      </c>
      <c r="AG77" s="66" t="n">
        <f aca="false">AF79+AG56</f>
        <v>0</v>
      </c>
      <c r="AH77" s="66" t="n">
        <f aca="false">AG79+AH56</f>
        <v>0</v>
      </c>
      <c r="AI77" s="66" t="n">
        <f aca="false">AH79+AI56</f>
        <v>0</v>
      </c>
      <c r="AJ77" s="66" t="n">
        <f aca="false">AI79+AJ56</f>
        <v>0</v>
      </c>
      <c r="AK77" s="66" t="n">
        <f aca="false">AJ79+AK56</f>
        <v>0</v>
      </c>
      <c r="AL77" s="66" t="n">
        <f aca="false">AK79+AL56</f>
        <v>0</v>
      </c>
      <c r="AM77" s="66" t="n">
        <f aca="false">AL79+AM56</f>
        <v>0</v>
      </c>
      <c r="AN77" s="66" t="n">
        <f aca="false">AM79+AN56</f>
        <v>0</v>
      </c>
      <c r="AO77" s="66" t="n">
        <f aca="false">AN79+AO56</f>
        <v>0</v>
      </c>
      <c r="AP77" s="66" t="n">
        <f aca="false">AO79+AP56</f>
        <v>0</v>
      </c>
      <c r="AQ77" s="66" t="n">
        <f aca="false">AP79+AQ56</f>
        <v>0</v>
      </c>
      <c r="AR77" s="66" t="n">
        <f aca="false">AQ79+AR56</f>
        <v>0</v>
      </c>
      <c r="AS77" s="66" t="n">
        <f aca="false">AR79+AS56</f>
        <v>0</v>
      </c>
      <c r="AT77" s="66" t="n">
        <f aca="false">AS79+AT56</f>
        <v>0</v>
      </c>
      <c r="AU77" s="66" t="n">
        <f aca="false">AT79+AU56</f>
        <v>0</v>
      </c>
      <c r="AV77" s="66" t="n">
        <f aca="false">AU79+AV56</f>
        <v>0</v>
      </c>
      <c r="AW77" s="66" t="n">
        <f aca="false">AV79+AW56</f>
        <v>0</v>
      </c>
      <c r="AX77" s="66" t="n">
        <f aca="false">AW79+AX56</f>
        <v>0</v>
      </c>
      <c r="AY77" s="66" t="n">
        <f aca="false">AX79+AY56</f>
        <v>0</v>
      </c>
      <c r="AZ77" s="66" t="n">
        <f aca="false">AY79+AZ56</f>
        <v>0</v>
      </c>
      <c r="BA77" s="66" t="n">
        <f aca="false">AZ79+BA56</f>
        <v>0</v>
      </c>
      <c r="BB77" s="66" t="n">
        <f aca="false">BA79+BB56</f>
        <v>0</v>
      </c>
    </row>
    <row r="78" customFormat="false" ht="15" hidden="false" customHeight="true" outlineLevel="0" collapsed="false">
      <c r="B78" s="59" t="s">
        <v>483</v>
      </c>
      <c r="C78" s="59" t="s">
        <v>11</v>
      </c>
      <c r="D78" s="63" t="n">
        <f aca="false">SUM(E78:BB78)</f>
        <v>270746183.426323</v>
      </c>
      <c r="E78" s="66" t="n">
        <f aca="false">MIN(E75,E77)</f>
        <v>0</v>
      </c>
      <c r="F78" s="66" t="n">
        <f aca="false">MIN(F75,F77)</f>
        <v>0</v>
      </c>
      <c r="G78" s="66" t="n">
        <f aca="false">MIN(G75,G77)</f>
        <v>0</v>
      </c>
      <c r="H78" s="66" t="n">
        <f aca="false">MIN(H75,H77)</f>
        <v>0</v>
      </c>
      <c r="I78" s="66" t="n">
        <f aca="false">MIN(I75,I77)</f>
        <v>0</v>
      </c>
      <c r="J78" s="66" t="n">
        <f aca="false">MIN(J75,J77)</f>
        <v>0</v>
      </c>
      <c r="K78" s="66" t="n">
        <f aca="false">MIN(K75,K77)</f>
        <v>0</v>
      </c>
      <c r="L78" s="66" t="n">
        <f aca="false">MIN(L75,L77)</f>
        <v>0</v>
      </c>
      <c r="M78" s="66" t="n">
        <f aca="false">MIN(M75,M77)</f>
        <v>270746183.426323</v>
      </c>
      <c r="N78" s="66" t="n">
        <f aca="false">MIN(N75,N77)</f>
        <v>0</v>
      </c>
      <c r="O78" s="66" t="n">
        <f aca="false">MIN(O75,O77)</f>
        <v>0</v>
      </c>
      <c r="P78" s="66" t="n">
        <f aca="false">MIN(P75,P77)</f>
        <v>0</v>
      </c>
      <c r="Q78" s="66" t="n">
        <f aca="false">MIN(Q75,Q77)</f>
        <v>0</v>
      </c>
      <c r="R78" s="66" t="n">
        <f aca="false">MIN(R75,R77)</f>
        <v>0</v>
      </c>
      <c r="S78" s="66" t="n">
        <f aca="false">MIN(S75,S77)</f>
        <v>0</v>
      </c>
      <c r="T78" s="66" t="n">
        <f aca="false">MIN(T75,T77)</f>
        <v>0</v>
      </c>
      <c r="U78" s="66" t="n">
        <f aca="false">MIN(U75,U77)</f>
        <v>0</v>
      </c>
      <c r="V78" s="66" t="n">
        <f aca="false">MIN(V75,V77)</f>
        <v>0</v>
      </c>
      <c r="W78" s="66" t="n">
        <f aca="false">MIN(W75,W77)</f>
        <v>0</v>
      </c>
      <c r="X78" s="66" t="n">
        <f aca="false">MIN(X75,X77)</f>
        <v>0</v>
      </c>
      <c r="Y78" s="66" t="n">
        <f aca="false">MIN(Y75,Y77)</f>
        <v>0</v>
      </c>
      <c r="Z78" s="66" t="n">
        <f aca="false">MIN(Z75,Z77)</f>
        <v>0</v>
      </c>
      <c r="AA78" s="66" t="n">
        <f aca="false">MIN(AA75,AA77)</f>
        <v>0</v>
      </c>
      <c r="AB78" s="66" t="n">
        <f aca="false">MIN(AB75,AB77)</f>
        <v>0</v>
      </c>
      <c r="AC78" s="66" t="n">
        <f aca="false">MIN(AC75,AC77)</f>
        <v>0</v>
      </c>
      <c r="AD78" s="66" t="n">
        <f aca="false">MIN(AD75,AD77)</f>
        <v>0</v>
      </c>
      <c r="AE78" s="66" t="n">
        <f aca="false">MIN(AE75,AE77)</f>
        <v>0</v>
      </c>
      <c r="AF78" s="66" t="n">
        <f aca="false">MIN(AF75,AF77)</f>
        <v>0</v>
      </c>
      <c r="AG78" s="66" t="n">
        <f aca="false">MIN(AG75,AG77)</f>
        <v>0</v>
      </c>
      <c r="AH78" s="66" t="n">
        <f aca="false">MIN(AH75,AH77)</f>
        <v>0</v>
      </c>
      <c r="AI78" s="66" t="n">
        <f aca="false">MIN(AI75,AI77)</f>
        <v>0</v>
      </c>
      <c r="AJ78" s="66" t="n">
        <f aca="false">MIN(AJ75,AJ77)</f>
        <v>0</v>
      </c>
      <c r="AK78" s="66" t="n">
        <f aca="false">MIN(AK75,AK77)</f>
        <v>0</v>
      </c>
      <c r="AL78" s="66" t="n">
        <f aca="false">MIN(AL75,AL77)</f>
        <v>0</v>
      </c>
      <c r="AM78" s="66" t="n">
        <f aca="false">MIN(AM75,AM77)</f>
        <v>0</v>
      </c>
      <c r="AN78" s="66" t="n">
        <f aca="false">MIN(AN75,AN77)</f>
        <v>0</v>
      </c>
      <c r="AO78" s="66" t="n">
        <f aca="false">MIN(AO75,AO77)</f>
        <v>0</v>
      </c>
      <c r="AP78" s="66" t="n">
        <f aca="false">MIN(AP75,AP77)</f>
        <v>0</v>
      </c>
      <c r="AQ78" s="66" t="n">
        <f aca="false">MIN(AQ75,AQ77)</f>
        <v>0</v>
      </c>
      <c r="AR78" s="66" t="n">
        <f aca="false">MIN(AR75,AR77)</f>
        <v>0</v>
      </c>
      <c r="AS78" s="66" t="n">
        <f aca="false">MIN(AS75,AS77)</f>
        <v>0</v>
      </c>
      <c r="AT78" s="66" t="n">
        <f aca="false">MIN(AT75,AT77)</f>
        <v>0</v>
      </c>
      <c r="AU78" s="66" t="n">
        <f aca="false">MIN(AU75,AU77)</f>
        <v>0</v>
      </c>
      <c r="AV78" s="66" t="n">
        <f aca="false">MIN(AV75,AV77)</f>
        <v>0</v>
      </c>
      <c r="AW78" s="66" t="n">
        <f aca="false">MIN(AW75,AW77)</f>
        <v>0</v>
      </c>
      <c r="AX78" s="66" t="n">
        <f aca="false">MIN(AX75,AX77)</f>
        <v>0</v>
      </c>
      <c r="AY78" s="66" t="n">
        <f aca="false">MIN(AY75,AY77)</f>
        <v>0</v>
      </c>
      <c r="AZ78" s="66" t="n">
        <f aca="false">MIN(AZ75,AZ77)</f>
        <v>0</v>
      </c>
      <c r="BA78" s="66" t="n">
        <f aca="false">MIN(BA75,BA77)</f>
        <v>0</v>
      </c>
      <c r="BB78" s="66" t="n">
        <f aca="false">MIN(BB75,BB77)</f>
        <v>0</v>
      </c>
    </row>
    <row r="79" customFormat="false" ht="15" hidden="false" customHeight="true" outlineLevel="0" collapsed="false">
      <c r="B79" s="59" t="s">
        <v>484</v>
      </c>
      <c r="C79" s="59" t="s">
        <v>11</v>
      </c>
      <c r="E79" s="66" t="n">
        <f aca="false">E77-E78</f>
        <v>0</v>
      </c>
      <c r="F79" s="66" t="n">
        <f aca="false">F77-F78</f>
        <v>0</v>
      </c>
      <c r="G79" s="66" t="n">
        <f aca="false">G77-G78</f>
        <v>8765100.2286448</v>
      </c>
      <c r="H79" s="66" t="n">
        <f aca="false">H77-H78</f>
        <v>93590195.7586273</v>
      </c>
      <c r="I79" s="66" t="n">
        <f aca="false">I77-I78</f>
        <v>198211841.276999</v>
      </c>
      <c r="J79" s="66" t="n">
        <f aca="false">J77-J78</f>
        <v>248370257.719634</v>
      </c>
      <c r="K79" s="66" t="n">
        <f aca="false">K77-K78</f>
        <v>266152143.225707</v>
      </c>
      <c r="L79" s="66" t="n">
        <f aca="false">L77-L78</f>
        <v>270746183.426323</v>
      </c>
      <c r="M79" s="66" t="n">
        <f aca="false">M77-M78</f>
        <v>0</v>
      </c>
      <c r="N79" s="66" t="n">
        <f aca="false">N77-N78</f>
        <v>0</v>
      </c>
      <c r="O79" s="66" t="n">
        <f aca="false">O77-O78</f>
        <v>0</v>
      </c>
      <c r="P79" s="66" t="n">
        <f aca="false">P77-P78</f>
        <v>0</v>
      </c>
      <c r="Q79" s="66" t="n">
        <f aca="false">Q77-Q78</f>
        <v>0</v>
      </c>
      <c r="R79" s="66" t="n">
        <f aca="false">R77-R78</f>
        <v>0</v>
      </c>
      <c r="S79" s="66" t="n">
        <f aca="false">S77-S78</f>
        <v>0</v>
      </c>
      <c r="T79" s="66" t="n">
        <f aca="false">T77-T78</f>
        <v>0</v>
      </c>
      <c r="U79" s="66" t="n">
        <f aca="false">U77-U78</f>
        <v>0</v>
      </c>
      <c r="V79" s="66" t="n">
        <f aca="false">V77-V78</f>
        <v>0</v>
      </c>
      <c r="W79" s="66" t="n">
        <f aca="false">W77-W78</f>
        <v>0</v>
      </c>
      <c r="X79" s="66" t="n">
        <f aca="false">X77-X78</f>
        <v>0</v>
      </c>
      <c r="Y79" s="66" t="n">
        <f aca="false">Y77-Y78</f>
        <v>0</v>
      </c>
      <c r="Z79" s="66" t="n">
        <f aca="false">Z77-Z78</f>
        <v>0</v>
      </c>
      <c r="AA79" s="66" t="n">
        <f aca="false">AA77-AA78</f>
        <v>0</v>
      </c>
      <c r="AB79" s="66" t="n">
        <f aca="false">AB77-AB78</f>
        <v>0</v>
      </c>
      <c r="AC79" s="66" t="n">
        <f aca="false">AC77-AC78</f>
        <v>0</v>
      </c>
      <c r="AD79" s="66" t="n">
        <f aca="false">AD77-AD78</f>
        <v>0</v>
      </c>
      <c r="AE79" s="66" t="n">
        <f aca="false">AE77-AE78</f>
        <v>0</v>
      </c>
      <c r="AF79" s="66" t="n">
        <f aca="false">AF77-AF78</f>
        <v>0</v>
      </c>
      <c r="AG79" s="66" t="n">
        <f aca="false">AG77-AG78</f>
        <v>0</v>
      </c>
      <c r="AH79" s="66" t="n">
        <f aca="false">AH77-AH78</f>
        <v>0</v>
      </c>
      <c r="AI79" s="66" t="n">
        <f aca="false">AI77-AI78</f>
        <v>0</v>
      </c>
      <c r="AJ79" s="66" t="n">
        <f aca="false">AJ77-AJ78</f>
        <v>0</v>
      </c>
      <c r="AK79" s="66" t="n">
        <f aca="false">AK77-AK78</f>
        <v>0</v>
      </c>
      <c r="AL79" s="66" t="n">
        <f aca="false">AL77-AL78</f>
        <v>0</v>
      </c>
      <c r="AM79" s="66" t="n">
        <f aca="false">AM77-AM78</f>
        <v>0</v>
      </c>
      <c r="AN79" s="66" t="n">
        <f aca="false">AN77-AN78</f>
        <v>0</v>
      </c>
      <c r="AO79" s="66" t="n">
        <f aca="false">AO77-AO78</f>
        <v>0</v>
      </c>
      <c r="AP79" s="66" t="n">
        <f aca="false">AP77-AP78</f>
        <v>0</v>
      </c>
      <c r="AQ79" s="66" t="n">
        <f aca="false">AQ77-AQ78</f>
        <v>0</v>
      </c>
      <c r="AR79" s="66" t="n">
        <f aca="false">AR77-AR78</f>
        <v>0</v>
      </c>
      <c r="AS79" s="66" t="n">
        <f aca="false">AS77-AS78</f>
        <v>0</v>
      </c>
      <c r="AT79" s="66" t="n">
        <f aca="false">AT77-AT78</f>
        <v>0</v>
      </c>
      <c r="AU79" s="66" t="n">
        <f aca="false">AU77-AU78</f>
        <v>0</v>
      </c>
      <c r="AV79" s="66" t="n">
        <f aca="false">AV77-AV78</f>
        <v>0</v>
      </c>
      <c r="AW79" s="66" t="n">
        <f aca="false">AW77-AW78</f>
        <v>0</v>
      </c>
      <c r="AX79" s="66" t="n">
        <f aca="false">AX77-AX78</f>
        <v>0</v>
      </c>
      <c r="AY79" s="66" t="n">
        <f aca="false">AY77-AY78</f>
        <v>0</v>
      </c>
      <c r="AZ79" s="66" t="n">
        <f aca="false">AZ77-AZ78</f>
        <v>0</v>
      </c>
      <c r="BA79" s="66" t="n">
        <f aca="false">BA77-BA78</f>
        <v>0</v>
      </c>
      <c r="BB79" s="66" t="n">
        <f aca="false">BB77-BB78</f>
        <v>0</v>
      </c>
    </row>
    <row r="81" customFormat="false" ht="15" hidden="false" customHeight="true" outlineLevel="0" collapsed="false">
      <c r="B81" s="59" t="s">
        <v>485</v>
      </c>
      <c r="C81" s="59" t="s">
        <v>11</v>
      </c>
      <c r="D81" s="66" t="n">
        <f aca="false">SUM(E81:BB81)</f>
        <v>203487285.759339</v>
      </c>
      <c r="E81" s="66" t="n">
        <f aca="false">E77*$C$36</f>
        <v>0</v>
      </c>
      <c r="F81" s="66" t="n">
        <f aca="false">F77*$C$36</f>
        <v>0</v>
      </c>
      <c r="G81" s="66" t="n">
        <f aca="false">G77*$C$36</f>
        <v>1314765.03429672</v>
      </c>
      <c r="H81" s="66" t="n">
        <f aca="false">H77*$C$36</f>
        <v>14038529.3637941</v>
      </c>
      <c r="I81" s="66" t="n">
        <f aca="false">I77*$C$36</f>
        <v>29731776.1915499</v>
      </c>
      <c r="J81" s="66" t="n">
        <f aca="false">J77*$C$36</f>
        <v>37255538.6579451</v>
      </c>
      <c r="K81" s="66" t="n">
        <f aca="false">K77*$C$36</f>
        <v>39922821.4838561</v>
      </c>
      <c r="L81" s="66" t="n">
        <f aca="false">L77*$C$36</f>
        <v>40611927.5139484</v>
      </c>
      <c r="M81" s="66" t="n">
        <f aca="false">M77*$C$36</f>
        <v>40611927.5139484</v>
      </c>
      <c r="N81" s="66" t="n">
        <f aca="false">N77*$C$36</f>
        <v>0</v>
      </c>
      <c r="O81" s="66" t="n">
        <f aca="false">O77*$C$36</f>
        <v>0</v>
      </c>
      <c r="P81" s="66" t="n">
        <f aca="false">P77*$C$36</f>
        <v>0</v>
      </c>
      <c r="Q81" s="66" t="n">
        <f aca="false">Q77*$C$36</f>
        <v>0</v>
      </c>
      <c r="R81" s="66" t="n">
        <f aca="false">R77*$C$36</f>
        <v>0</v>
      </c>
      <c r="S81" s="66" t="n">
        <f aca="false">S77*$C$36</f>
        <v>0</v>
      </c>
      <c r="T81" s="66" t="n">
        <f aca="false">T77*$C$36</f>
        <v>0</v>
      </c>
      <c r="U81" s="66" t="n">
        <f aca="false">U77*$C$36</f>
        <v>0</v>
      </c>
      <c r="V81" s="66" t="n">
        <f aca="false">V77*$C$36</f>
        <v>0</v>
      </c>
      <c r="W81" s="66" t="n">
        <f aca="false">W77*$C$36</f>
        <v>0</v>
      </c>
      <c r="X81" s="66" t="n">
        <f aca="false">X77*$C$36</f>
        <v>0</v>
      </c>
      <c r="Y81" s="66" t="n">
        <f aca="false">Y77*$C$36</f>
        <v>0</v>
      </c>
      <c r="Z81" s="66" t="n">
        <f aca="false">Z77*$C$36</f>
        <v>0</v>
      </c>
      <c r="AA81" s="66" t="n">
        <f aca="false">AA77*$C$36</f>
        <v>0</v>
      </c>
      <c r="AB81" s="66" t="n">
        <f aca="false">AB77*$C$36</f>
        <v>0</v>
      </c>
      <c r="AC81" s="66" t="n">
        <f aca="false">AC77*$C$36</f>
        <v>0</v>
      </c>
      <c r="AD81" s="66" t="n">
        <f aca="false">AD77*$C$36</f>
        <v>0</v>
      </c>
      <c r="AE81" s="66" t="n">
        <f aca="false">AE77*$C$36</f>
        <v>0</v>
      </c>
      <c r="AF81" s="66" t="n">
        <f aca="false">AF77*$C$36</f>
        <v>0</v>
      </c>
      <c r="AG81" s="66" t="n">
        <f aca="false">AG77*$C$36</f>
        <v>0</v>
      </c>
      <c r="AH81" s="66" t="n">
        <f aca="false">AH77*$C$36</f>
        <v>0</v>
      </c>
      <c r="AI81" s="66" t="n">
        <f aca="false">AI77*$C$36</f>
        <v>0</v>
      </c>
      <c r="AJ81" s="66" t="n">
        <f aca="false">AJ77*$C$36</f>
        <v>0</v>
      </c>
      <c r="AK81" s="66" t="n">
        <f aca="false">AK77*$C$36</f>
        <v>0</v>
      </c>
      <c r="AL81" s="66" t="n">
        <f aca="false">AL77*$C$36</f>
        <v>0</v>
      </c>
      <c r="AM81" s="66" t="n">
        <f aca="false">AM77*$C$36</f>
        <v>0</v>
      </c>
      <c r="AN81" s="66" t="n">
        <f aca="false">AN77*$C$36</f>
        <v>0</v>
      </c>
      <c r="AO81" s="66" t="n">
        <f aca="false">AO77*$C$36</f>
        <v>0</v>
      </c>
      <c r="AP81" s="66" t="n">
        <f aca="false">AP77*$C$36</f>
        <v>0</v>
      </c>
      <c r="AQ81" s="66" t="n">
        <f aca="false">AQ77*$C$36</f>
        <v>0</v>
      </c>
      <c r="AR81" s="66" t="n">
        <f aca="false">AR77*$C$36</f>
        <v>0</v>
      </c>
      <c r="AS81" s="66" t="n">
        <f aca="false">AS77*$C$36</f>
        <v>0</v>
      </c>
      <c r="AT81" s="66" t="n">
        <f aca="false">AT77*$C$36</f>
        <v>0</v>
      </c>
      <c r="AU81" s="66" t="n">
        <f aca="false">AU77*$C$36</f>
        <v>0</v>
      </c>
      <c r="AV81" s="66" t="n">
        <f aca="false">AV77*$C$36</f>
        <v>0</v>
      </c>
      <c r="AW81" s="66" t="n">
        <f aca="false">AW77*$C$36</f>
        <v>0</v>
      </c>
      <c r="AX81" s="66" t="n">
        <f aca="false">AX77*$C$36</f>
        <v>0</v>
      </c>
      <c r="AY81" s="66" t="n">
        <f aca="false">AY77*$C$36</f>
        <v>0</v>
      </c>
      <c r="AZ81" s="66" t="n">
        <f aca="false">AZ77*$C$36</f>
        <v>0</v>
      </c>
      <c r="BA81" s="66" t="n">
        <f aca="false">BA77*$C$36</f>
        <v>0</v>
      </c>
      <c r="BB81" s="66" t="n">
        <f aca="false">BB77*$C$36</f>
        <v>0</v>
      </c>
    </row>
    <row r="82" customFormat="false" ht="15" hidden="false" customHeight="true" outlineLevel="0" collapsed="false">
      <c r="B82" s="59" t="s">
        <v>486</v>
      </c>
      <c r="C82" s="59" t="s">
        <v>11</v>
      </c>
      <c r="E82" s="66" t="n">
        <f aca="false">0</f>
        <v>0</v>
      </c>
      <c r="F82" s="66" t="n">
        <f aca="false">E85</f>
        <v>0</v>
      </c>
      <c r="G82" s="66" t="n">
        <f aca="false">F85</f>
        <v>0</v>
      </c>
      <c r="H82" s="66" t="n">
        <f aca="false">G85</f>
        <v>1314765.03429672</v>
      </c>
      <c r="I82" s="66" t="n">
        <f aca="false">H85</f>
        <v>15353294.3980908</v>
      </c>
      <c r="J82" s="66" t="n">
        <f aca="false">I85</f>
        <v>45085070.5896407</v>
      </c>
      <c r="K82" s="66" t="n">
        <f aca="false">J85</f>
        <v>82340609.2475857</v>
      </c>
      <c r="L82" s="66" t="n">
        <f aca="false">K85</f>
        <v>122263430.731442</v>
      </c>
      <c r="M82" s="66" t="n">
        <f aca="false">L85</f>
        <v>162875358.24539</v>
      </c>
      <c r="N82" s="66" t="n">
        <f aca="false">M85</f>
        <v>0</v>
      </c>
      <c r="O82" s="66" t="n">
        <f aca="false">N85</f>
        <v>0</v>
      </c>
      <c r="P82" s="66" t="n">
        <f aca="false">O85</f>
        <v>0</v>
      </c>
      <c r="Q82" s="66" t="n">
        <f aca="false">P85</f>
        <v>0</v>
      </c>
      <c r="R82" s="66" t="n">
        <f aca="false">Q85</f>
        <v>0</v>
      </c>
      <c r="S82" s="66" t="n">
        <f aca="false">R85</f>
        <v>0</v>
      </c>
      <c r="T82" s="66" t="n">
        <f aca="false">S85</f>
        <v>0</v>
      </c>
      <c r="U82" s="66" t="n">
        <f aca="false">T85</f>
        <v>0</v>
      </c>
      <c r="V82" s="66" t="n">
        <f aca="false">U85</f>
        <v>0</v>
      </c>
      <c r="W82" s="66" t="n">
        <f aca="false">V85</f>
        <v>0</v>
      </c>
      <c r="X82" s="66" t="n">
        <f aca="false">W85</f>
        <v>0</v>
      </c>
      <c r="Y82" s="66" t="n">
        <f aca="false">X85</f>
        <v>0</v>
      </c>
      <c r="Z82" s="66" t="n">
        <f aca="false">Y85</f>
        <v>0</v>
      </c>
      <c r="AA82" s="66" t="n">
        <f aca="false">Z85</f>
        <v>0</v>
      </c>
      <c r="AB82" s="66" t="n">
        <f aca="false">AA85</f>
        <v>0</v>
      </c>
      <c r="AC82" s="66" t="n">
        <f aca="false">AB85</f>
        <v>0</v>
      </c>
      <c r="AD82" s="66" t="n">
        <f aca="false">AC85</f>
        <v>0</v>
      </c>
      <c r="AE82" s="66" t="n">
        <f aca="false">AD85</f>
        <v>0</v>
      </c>
      <c r="AF82" s="66" t="n">
        <f aca="false">AE85</f>
        <v>0</v>
      </c>
      <c r="AG82" s="66" t="n">
        <f aca="false">AF85</f>
        <v>0</v>
      </c>
      <c r="AH82" s="66" t="n">
        <f aca="false">AG85</f>
        <v>0</v>
      </c>
      <c r="AI82" s="66" t="n">
        <f aca="false">AH85</f>
        <v>0</v>
      </c>
      <c r="AJ82" s="66" t="n">
        <f aca="false">AI85</f>
        <v>0</v>
      </c>
      <c r="AK82" s="66" t="n">
        <f aca="false">AJ85</f>
        <v>0</v>
      </c>
      <c r="AL82" s="66" t="n">
        <f aca="false">AK85</f>
        <v>0</v>
      </c>
      <c r="AM82" s="66" t="n">
        <f aca="false">AL85</f>
        <v>0</v>
      </c>
      <c r="AN82" s="66" t="n">
        <f aca="false">AM85</f>
        <v>0</v>
      </c>
      <c r="AO82" s="66" t="n">
        <f aca="false">AN85</f>
        <v>0</v>
      </c>
      <c r="AP82" s="66" t="n">
        <f aca="false">AO85</f>
        <v>0</v>
      </c>
      <c r="AQ82" s="66" t="n">
        <f aca="false">AP85</f>
        <v>0</v>
      </c>
      <c r="AR82" s="66" t="n">
        <f aca="false">AQ85</f>
        <v>0</v>
      </c>
      <c r="AS82" s="66" t="n">
        <f aca="false">AR85</f>
        <v>0</v>
      </c>
      <c r="AT82" s="66" t="n">
        <f aca="false">AS85</f>
        <v>0</v>
      </c>
      <c r="AU82" s="66" t="n">
        <f aca="false">AT85</f>
        <v>0</v>
      </c>
      <c r="AV82" s="66" t="n">
        <f aca="false">AU85</f>
        <v>0</v>
      </c>
      <c r="AW82" s="66" t="n">
        <f aca="false">AV85</f>
        <v>0</v>
      </c>
      <c r="AX82" s="66" t="n">
        <f aca="false">AW85</f>
        <v>0</v>
      </c>
      <c r="AY82" s="66" t="n">
        <f aca="false">AX85</f>
        <v>0</v>
      </c>
      <c r="AZ82" s="66" t="n">
        <f aca="false">AY85</f>
        <v>0</v>
      </c>
      <c r="BA82" s="66" t="n">
        <f aca="false">AZ85</f>
        <v>0</v>
      </c>
      <c r="BB82" s="66" t="n">
        <f aca="false">BA85</f>
        <v>0</v>
      </c>
    </row>
    <row r="83" customFormat="false" ht="15" hidden="false" customHeight="true" outlineLevel="0" collapsed="false">
      <c r="B83" s="59" t="s">
        <v>487</v>
      </c>
      <c r="C83" s="59" t="s">
        <v>11</v>
      </c>
      <c r="E83" s="66" t="n">
        <f aca="false">E81+E82</f>
        <v>0</v>
      </c>
      <c r="F83" s="66" t="n">
        <f aca="false">F81+F82</f>
        <v>0</v>
      </c>
      <c r="G83" s="66" t="n">
        <f aca="false">G81+G82</f>
        <v>1314765.03429672</v>
      </c>
      <c r="H83" s="66" t="n">
        <f aca="false">H81+H82</f>
        <v>15353294.3980908</v>
      </c>
      <c r="I83" s="66" t="n">
        <f aca="false">I81+I82</f>
        <v>45085070.5896407</v>
      </c>
      <c r="J83" s="66" t="n">
        <f aca="false">J81+J82</f>
        <v>82340609.2475857</v>
      </c>
      <c r="K83" s="66" t="n">
        <f aca="false">K81+K82</f>
        <v>122263430.731442</v>
      </c>
      <c r="L83" s="66" t="n">
        <f aca="false">L81+L82</f>
        <v>162875358.24539</v>
      </c>
      <c r="M83" s="66" t="n">
        <f aca="false">M81+M82</f>
        <v>203487285.759339</v>
      </c>
      <c r="N83" s="66" t="n">
        <f aca="false">N81+N82</f>
        <v>0</v>
      </c>
      <c r="O83" s="66" t="n">
        <f aca="false">O81+O82</f>
        <v>0</v>
      </c>
      <c r="P83" s="66" t="n">
        <f aca="false">P81+P82</f>
        <v>0</v>
      </c>
      <c r="Q83" s="66" t="n">
        <f aca="false">Q81+Q82</f>
        <v>0</v>
      </c>
      <c r="R83" s="66" t="n">
        <f aca="false">R81+R82</f>
        <v>0</v>
      </c>
      <c r="S83" s="66" t="n">
        <f aca="false">S81+S82</f>
        <v>0</v>
      </c>
      <c r="T83" s="66" t="n">
        <f aca="false">T81+T82</f>
        <v>0</v>
      </c>
      <c r="U83" s="66" t="n">
        <f aca="false">U81+U82</f>
        <v>0</v>
      </c>
      <c r="V83" s="66" t="n">
        <f aca="false">V81+V82</f>
        <v>0</v>
      </c>
      <c r="W83" s="66" t="n">
        <f aca="false">W81+W82</f>
        <v>0</v>
      </c>
      <c r="X83" s="66" t="n">
        <f aca="false">X81+X82</f>
        <v>0</v>
      </c>
      <c r="Y83" s="66" t="n">
        <f aca="false">Y81+Y82</f>
        <v>0</v>
      </c>
      <c r="Z83" s="66" t="n">
        <f aca="false">Z81+Z82</f>
        <v>0</v>
      </c>
      <c r="AA83" s="66" t="n">
        <f aca="false">AA81+AA82</f>
        <v>0</v>
      </c>
      <c r="AB83" s="66" t="n">
        <f aca="false">AB81+AB82</f>
        <v>0</v>
      </c>
      <c r="AC83" s="66" t="n">
        <f aca="false">AC81+AC82</f>
        <v>0</v>
      </c>
      <c r="AD83" s="66" t="n">
        <f aca="false">AD81+AD82</f>
        <v>0</v>
      </c>
      <c r="AE83" s="66" t="n">
        <f aca="false">AE81+AE82</f>
        <v>0</v>
      </c>
      <c r="AF83" s="66" t="n">
        <f aca="false">AF81+AF82</f>
        <v>0</v>
      </c>
      <c r="AG83" s="66" t="n">
        <f aca="false">AG81+AG82</f>
        <v>0</v>
      </c>
      <c r="AH83" s="66" t="n">
        <f aca="false">AH81+AH82</f>
        <v>0</v>
      </c>
      <c r="AI83" s="66" t="n">
        <f aca="false">AI81+AI82</f>
        <v>0</v>
      </c>
      <c r="AJ83" s="66" t="n">
        <f aca="false">AJ81+AJ82</f>
        <v>0</v>
      </c>
      <c r="AK83" s="66" t="n">
        <f aca="false">AK81+AK82</f>
        <v>0</v>
      </c>
      <c r="AL83" s="66" t="n">
        <f aca="false">AL81+AL82</f>
        <v>0</v>
      </c>
      <c r="AM83" s="66" t="n">
        <f aca="false">AM81+AM82</f>
        <v>0</v>
      </c>
      <c r="AN83" s="66" t="n">
        <f aca="false">AN81+AN82</f>
        <v>0</v>
      </c>
      <c r="AO83" s="66" t="n">
        <f aca="false">AO81+AO82</f>
        <v>0</v>
      </c>
      <c r="AP83" s="66" t="n">
        <f aca="false">AP81+AP82</f>
        <v>0</v>
      </c>
      <c r="AQ83" s="66" t="n">
        <f aca="false">AQ81+AQ82</f>
        <v>0</v>
      </c>
      <c r="AR83" s="66" t="n">
        <f aca="false">AR81+AR82</f>
        <v>0</v>
      </c>
      <c r="AS83" s="66" t="n">
        <f aca="false">AS81+AS82</f>
        <v>0</v>
      </c>
      <c r="AT83" s="66" t="n">
        <f aca="false">AT81+AT82</f>
        <v>0</v>
      </c>
      <c r="AU83" s="66" t="n">
        <f aca="false">AU81+AU82</f>
        <v>0</v>
      </c>
      <c r="AV83" s="66" t="n">
        <f aca="false">AV81+AV82</f>
        <v>0</v>
      </c>
      <c r="AW83" s="66" t="n">
        <f aca="false">AW81+AW82</f>
        <v>0</v>
      </c>
      <c r="AX83" s="66" t="n">
        <f aca="false">AX81+AX82</f>
        <v>0</v>
      </c>
      <c r="AY83" s="66" t="n">
        <f aca="false">AY81+AY82</f>
        <v>0</v>
      </c>
      <c r="AZ83" s="66" t="n">
        <f aca="false">AZ81+AZ82</f>
        <v>0</v>
      </c>
      <c r="BA83" s="66" t="n">
        <f aca="false">BA81+BA82</f>
        <v>0</v>
      </c>
      <c r="BB83" s="66" t="n">
        <f aca="false">BB81+BB82</f>
        <v>0</v>
      </c>
    </row>
    <row r="84" customFormat="false" ht="15" hidden="false" customHeight="true" outlineLevel="0" collapsed="false">
      <c r="B84" s="59" t="s">
        <v>488</v>
      </c>
      <c r="C84" s="59" t="s">
        <v>11</v>
      </c>
      <c r="D84" s="63" t="n">
        <f aca="false">SUM(E84:BB84)</f>
        <v>203487285.759339</v>
      </c>
      <c r="E84" s="66" t="n">
        <f aca="false">MIN(MAX(0,E75-E78),E83)</f>
        <v>0</v>
      </c>
      <c r="F84" s="66" t="n">
        <f aca="false">MIN(MAX(0,F75-F78),F83)</f>
        <v>0</v>
      </c>
      <c r="G84" s="66" t="n">
        <f aca="false">MIN(MAX(0,G75-G78),G83)</f>
        <v>0</v>
      </c>
      <c r="H84" s="66" t="n">
        <f aca="false">MIN(MAX(0,H75-H78),H83)</f>
        <v>0</v>
      </c>
      <c r="I84" s="66" t="n">
        <f aca="false">MIN(MAX(0,I75-I78),I83)</f>
        <v>0</v>
      </c>
      <c r="J84" s="66" t="n">
        <f aca="false">MIN(MAX(0,J75-J78),J83)</f>
        <v>0</v>
      </c>
      <c r="K84" s="66" t="n">
        <f aca="false">MIN(MAX(0,K75-K78),K83)</f>
        <v>0</v>
      </c>
      <c r="L84" s="66" t="n">
        <f aca="false">MIN(MAX(0,L75-L78),L83)</f>
        <v>0</v>
      </c>
      <c r="M84" s="66" t="n">
        <f aca="false">MIN(MAX(0,M75-M78),M83)</f>
        <v>203487285.759339</v>
      </c>
      <c r="N84" s="66" t="n">
        <f aca="false">MIN(MAX(0,N75-N78),N83)</f>
        <v>0</v>
      </c>
      <c r="O84" s="66" t="n">
        <f aca="false">MIN(MAX(0,O75-O78),O83)</f>
        <v>0</v>
      </c>
      <c r="P84" s="66" t="n">
        <f aca="false">MIN(MAX(0,P75-P78),P83)</f>
        <v>0</v>
      </c>
      <c r="Q84" s="66" t="n">
        <f aca="false">MIN(MAX(0,Q75-Q78),Q83)</f>
        <v>0</v>
      </c>
      <c r="R84" s="66" t="n">
        <f aca="false">MIN(MAX(0,R75-R78),R83)</f>
        <v>0</v>
      </c>
      <c r="S84" s="66" t="n">
        <f aca="false">MIN(MAX(0,S75-S78),S83)</f>
        <v>0</v>
      </c>
      <c r="T84" s="66" t="n">
        <f aca="false">MIN(MAX(0,T75-T78),T83)</f>
        <v>0</v>
      </c>
      <c r="U84" s="66" t="n">
        <f aca="false">MIN(MAX(0,U75-U78),U83)</f>
        <v>0</v>
      </c>
      <c r="V84" s="66" t="n">
        <f aca="false">MIN(MAX(0,V75-V78),V83)</f>
        <v>0</v>
      </c>
      <c r="W84" s="66" t="n">
        <f aca="false">MIN(MAX(0,W75-W78),W83)</f>
        <v>0</v>
      </c>
      <c r="X84" s="66" t="n">
        <f aca="false">MIN(MAX(0,X75-X78),X83)</f>
        <v>0</v>
      </c>
      <c r="Y84" s="66" t="n">
        <f aca="false">MIN(MAX(0,Y75-Y78),Y83)</f>
        <v>0</v>
      </c>
      <c r="Z84" s="66" t="n">
        <f aca="false">MIN(MAX(0,Z75-Z78),Z83)</f>
        <v>0</v>
      </c>
      <c r="AA84" s="66" t="n">
        <f aca="false">MIN(MAX(0,AA75-AA78),AA83)</f>
        <v>0</v>
      </c>
      <c r="AB84" s="66" t="n">
        <f aca="false">MIN(MAX(0,AB75-AB78),AB83)</f>
        <v>0</v>
      </c>
      <c r="AC84" s="66" t="n">
        <f aca="false">MIN(MAX(0,AC75-AC78),AC83)</f>
        <v>0</v>
      </c>
      <c r="AD84" s="66" t="n">
        <f aca="false">MIN(MAX(0,AD75-AD78),AD83)</f>
        <v>0</v>
      </c>
      <c r="AE84" s="66" t="n">
        <f aca="false">MIN(MAX(0,AE75-AE78),AE83)</f>
        <v>0</v>
      </c>
      <c r="AF84" s="66" t="n">
        <f aca="false">MIN(MAX(0,AF75-AF78),AF83)</f>
        <v>0</v>
      </c>
      <c r="AG84" s="66" t="n">
        <f aca="false">MIN(MAX(0,AG75-AG78),AG83)</f>
        <v>0</v>
      </c>
      <c r="AH84" s="66" t="n">
        <f aca="false">MIN(MAX(0,AH75-AH78),AH83)</f>
        <v>0</v>
      </c>
      <c r="AI84" s="66" t="n">
        <f aca="false">MIN(MAX(0,AI75-AI78),AI83)</f>
        <v>0</v>
      </c>
      <c r="AJ84" s="66" t="n">
        <f aca="false">MIN(MAX(0,AJ75-AJ78),AJ83)</f>
        <v>0</v>
      </c>
      <c r="AK84" s="66" t="n">
        <f aca="false">MIN(MAX(0,AK75-AK78),AK83)</f>
        <v>0</v>
      </c>
      <c r="AL84" s="66" t="n">
        <f aca="false">MIN(MAX(0,AL75-AL78),AL83)</f>
        <v>0</v>
      </c>
      <c r="AM84" s="66" t="n">
        <f aca="false">MIN(MAX(0,AM75-AM78),AM83)</f>
        <v>0</v>
      </c>
      <c r="AN84" s="66" t="n">
        <f aca="false">MIN(MAX(0,AN75-AN78),AN83)</f>
        <v>0</v>
      </c>
      <c r="AO84" s="66" t="n">
        <f aca="false">MIN(MAX(0,AO75-AO78),AO83)</f>
        <v>0</v>
      </c>
      <c r="AP84" s="66" t="n">
        <f aca="false">MIN(MAX(0,AP75-AP78),AP83)</f>
        <v>0</v>
      </c>
      <c r="AQ84" s="66" t="n">
        <f aca="false">MIN(MAX(0,AQ75-AQ78),AQ83)</f>
        <v>0</v>
      </c>
      <c r="AR84" s="66" t="n">
        <f aca="false">MIN(MAX(0,AR75-AR78),AR83)</f>
        <v>0</v>
      </c>
      <c r="AS84" s="66" t="n">
        <f aca="false">MIN(MAX(0,AS75-AS78),AS83)</f>
        <v>0</v>
      </c>
      <c r="AT84" s="66" t="n">
        <f aca="false">MIN(MAX(0,AT75-AT78),AT83)</f>
        <v>0</v>
      </c>
      <c r="AU84" s="66" t="n">
        <f aca="false">MIN(MAX(0,AU75-AU78),AU83)</f>
        <v>0</v>
      </c>
      <c r="AV84" s="66" t="n">
        <f aca="false">MIN(MAX(0,AV75-AV78),AV83)</f>
        <v>0</v>
      </c>
      <c r="AW84" s="66" t="n">
        <f aca="false">MIN(MAX(0,AW75-AW78),AW83)</f>
        <v>0</v>
      </c>
      <c r="AX84" s="66" t="n">
        <f aca="false">MIN(MAX(0,AX75-AX78),AX83)</f>
        <v>0</v>
      </c>
      <c r="AY84" s="66" t="n">
        <f aca="false">MIN(MAX(0,AY75-AY78),AY83)</f>
        <v>0</v>
      </c>
      <c r="AZ84" s="66" t="n">
        <f aca="false">MIN(MAX(0,AZ75-AZ78),AZ83)</f>
        <v>0</v>
      </c>
      <c r="BA84" s="66" t="n">
        <f aca="false">MIN(MAX(0,BA75-BA78),BA83)</f>
        <v>0</v>
      </c>
      <c r="BB84" s="66" t="n">
        <f aca="false">MIN(MAX(0,BB75-BB78),BB83)</f>
        <v>0</v>
      </c>
    </row>
    <row r="85" customFormat="false" ht="15" hidden="false" customHeight="true" outlineLevel="0" collapsed="false">
      <c r="B85" s="59" t="s">
        <v>489</v>
      </c>
      <c r="C85" s="59" t="s">
        <v>11</v>
      </c>
      <c r="E85" s="66" t="n">
        <f aca="false">E83-E84</f>
        <v>0</v>
      </c>
      <c r="F85" s="66" t="n">
        <f aca="false">F83-F84</f>
        <v>0</v>
      </c>
      <c r="G85" s="66" t="n">
        <f aca="false">G83-G84</f>
        <v>1314765.03429672</v>
      </c>
      <c r="H85" s="66" t="n">
        <f aca="false">H83-H84</f>
        <v>15353294.3980908</v>
      </c>
      <c r="I85" s="66" t="n">
        <f aca="false">I83-I84</f>
        <v>45085070.5896407</v>
      </c>
      <c r="J85" s="66" t="n">
        <f aca="false">J83-J84</f>
        <v>82340609.2475857</v>
      </c>
      <c r="K85" s="66" t="n">
        <f aca="false">K83-K84</f>
        <v>122263430.731442</v>
      </c>
      <c r="L85" s="66" t="n">
        <f aca="false">L83-L84</f>
        <v>162875358.24539</v>
      </c>
      <c r="M85" s="66" t="n">
        <f aca="false">M83-M84</f>
        <v>0</v>
      </c>
      <c r="N85" s="66" t="n">
        <f aca="false">N83-N84</f>
        <v>0</v>
      </c>
      <c r="O85" s="66" t="n">
        <f aca="false">O83-O84</f>
        <v>0</v>
      </c>
      <c r="P85" s="66" t="n">
        <f aca="false">P83-P84</f>
        <v>0</v>
      </c>
      <c r="Q85" s="66" t="n">
        <f aca="false">Q83-Q84</f>
        <v>0</v>
      </c>
      <c r="R85" s="66" t="n">
        <f aca="false">R83-R84</f>
        <v>0</v>
      </c>
      <c r="S85" s="66" t="n">
        <f aca="false">S83-S84</f>
        <v>0</v>
      </c>
      <c r="T85" s="66" t="n">
        <f aca="false">T83-T84</f>
        <v>0</v>
      </c>
      <c r="U85" s="66" t="n">
        <f aca="false">U83-U84</f>
        <v>0</v>
      </c>
      <c r="V85" s="66" t="n">
        <f aca="false">V83-V84</f>
        <v>0</v>
      </c>
      <c r="W85" s="66" t="n">
        <f aca="false">W83-W84</f>
        <v>0</v>
      </c>
      <c r="X85" s="66" t="n">
        <f aca="false">X83-X84</f>
        <v>0</v>
      </c>
      <c r="Y85" s="66" t="n">
        <f aca="false">Y83-Y84</f>
        <v>0</v>
      </c>
      <c r="Z85" s="66" t="n">
        <f aca="false">Z83-Z84</f>
        <v>0</v>
      </c>
      <c r="AA85" s="66" t="n">
        <f aca="false">AA83-AA84</f>
        <v>0</v>
      </c>
      <c r="AB85" s="66" t="n">
        <f aca="false">AB83-AB84</f>
        <v>0</v>
      </c>
      <c r="AC85" s="66" t="n">
        <f aca="false">AC83-AC84</f>
        <v>0</v>
      </c>
      <c r="AD85" s="66" t="n">
        <f aca="false">AD83-AD84</f>
        <v>0</v>
      </c>
      <c r="AE85" s="66" t="n">
        <f aca="false">AE83-AE84</f>
        <v>0</v>
      </c>
      <c r="AF85" s="66" t="n">
        <f aca="false">AF83-AF84</f>
        <v>0</v>
      </c>
      <c r="AG85" s="66" t="n">
        <f aca="false">AG83-AG84</f>
        <v>0</v>
      </c>
      <c r="AH85" s="66" t="n">
        <f aca="false">AH83-AH84</f>
        <v>0</v>
      </c>
      <c r="AI85" s="66" t="n">
        <f aca="false">AI83-AI84</f>
        <v>0</v>
      </c>
      <c r="AJ85" s="66" t="n">
        <f aca="false">AJ83-AJ84</f>
        <v>0</v>
      </c>
      <c r="AK85" s="66" t="n">
        <f aca="false">AK83-AK84</f>
        <v>0</v>
      </c>
      <c r="AL85" s="66" t="n">
        <f aca="false">AL83-AL84</f>
        <v>0</v>
      </c>
      <c r="AM85" s="66" t="n">
        <f aca="false">AM83-AM84</f>
        <v>0</v>
      </c>
      <c r="AN85" s="66" t="n">
        <f aca="false">AN83-AN84</f>
        <v>0</v>
      </c>
      <c r="AO85" s="66" t="n">
        <f aca="false">AO83-AO84</f>
        <v>0</v>
      </c>
      <c r="AP85" s="66" t="n">
        <f aca="false">AP83-AP84</f>
        <v>0</v>
      </c>
      <c r="AQ85" s="66" t="n">
        <f aca="false">AQ83-AQ84</f>
        <v>0</v>
      </c>
      <c r="AR85" s="66" t="n">
        <f aca="false">AR83-AR84</f>
        <v>0</v>
      </c>
      <c r="AS85" s="66" t="n">
        <f aca="false">AS83-AS84</f>
        <v>0</v>
      </c>
      <c r="AT85" s="66" t="n">
        <f aca="false">AT83-AT84</f>
        <v>0</v>
      </c>
      <c r="AU85" s="66" t="n">
        <f aca="false">AU83-AU84</f>
        <v>0</v>
      </c>
      <c r="AV85" s="66" t="n">
        <f aca="false">AV83-AV84</f>
        <v>0</v>
      </c>
      <c r="AW85" s="66" t="n">
        <f aca="false">AW83-AW84</f>
        <v>0</v>
      </c>
      <c r="AX85" s="66" t="n">
        <f aca="false">AX83-AX84</f>
        <v>0</v>
      </c>
      <c r="AY85" s="66" t="n">
        <f aca="false">AY83-AY84</f>
        <v>0</v>
      </c>
      <c r="AZ85" s="66" t="n">
        <f aca="false">AZ83-AZ84</f>
        <v>0</v>
      </c>
      <c r="BA85" s="66" t="n">
        <f aca="false">BA83-BA84</f>
        <v>0</v>
      </c>
      <c r="BB85" s="66" t="n">
        <f aca="false">BB83-BB84</f>
        <v>0</v>
      </c>
    </row>
    <row r="87" customFormat="false" ht="15" hidden="false" customHeight="true" outlineLevel="0" collapsed="false">
      <c r="B87" s="59" t="s">
        <v>490</v>
      </c>
      <c r="C87" s="59" t="s">
        <v>11</v>
      </c>
      <c r="E87" s="66" t="n">
        <f aca="false">MAX(0,E75-E78-E84)</f>
        <v>0</v>
      </c>
      <c r="F87" s="66" t="n">
        <f aca="false">MAX(0,F75-F78-F84)</f>
        <v>0</v>
      </c>
      <c r="G87" s="66" t="n">
        <f aca="false">MAX(0,G75-G78-G84)</f>
        <v>0</v>
      </c>
      <c r="H87" s="66" t="n">
        <f aca="false">MAX(0,H75-H78-H84)</f>
        <v>0</v>
      </c>
      <c r="I87" s="66" t="n">
        <f aca="false">MAX(0,I75-I78-I84)</f>
        <v>0</v>
      </c>
      <c r="J87" s="66" t="n">
        <f aca="false">MAX(0,J75-J78-J84)</f>
        <v>0</v>
      </c>
      <c r="K87" s="66" t="n">
        <f aca="false">MAX(0,K75-K78-K84)</f>
        <v>0</v>
      </c>
      <c r="L87" s="66" t="n">
        <f aca="false">MAX(0,L75-L78-L84)</f>
        <v>0</v>
      </c>
      <c r="M87" s="66" t="n">
        <f aca="false">MAX(0,M75-M78-M84)</f>
        <v>247160432.235713</v>
      </c>
      <c r="N87" s="66" t="n">
        <f aca="false">MAX(0,N75-N78-N84)</f>
        <v>0</v>
      </c>
      <c r="O87" s="66" t="n">
        <f aca="false">MAX(0,O75-O78-O84)</f>
        <v>0</v>
      </c>
      <c r="P87" s="66" t="n">
        <f aca="false">MAX(0,P75-P78-P84)</f>
        <v>0</v>
      </c>
      <c r="Q87" s="66" t="n">
        <f aca="false">MAX(0,Q75-Q78-Q84)</f>
        <v>0</v>
      </c>
      <c r="R87" s="66" t="n">
        <f aca="false">MAX(0,R75-R78-R84)</f>
        <v>0</v>
      </c>
      <c r="S87" s="66" t="n">
        <f aca="false">MAX(0,S75-S78-S84)</f>
        <v>0</v>
      </c>
      <c r="T87" s="66" t="n">
        <f aca="false">MAX(0,T75-T78-T84)</f>
        <v>0</v>
      </c>
      <c r="U87" s="66" t="n">
        <f aca="false">MAX(0,U75-U78-U84)</f>
        <v>0</v>
      </c>
      <c r="V87" s="66" t="n">
        <f aca="false">MAX(0,V75-V78-V84)</f>
        <v>0</v>
      </c>
      <c r="W87" s="66" t="n">
        <f aca="false">MAX(0,W75-W78-W84)</f>
        <v>0</v>
      </c>
      <c r="X87" s="66" t="n">
        <f aca="false">MAX(0,X75-X78-X84)</f>
        <v>0</v>
      </c>
      <c r="Y87" s="66" t="n">
        <f aca="false">MAX(0,Y75-Y78-Y84)</f>
        <v>0</v>
      </c>
      <c r="Z87" s="66" t="n">
        <f aca="false">MAX(0,Z75-Z78-Z84)</f>
        <v>0</v>
      </c>
      <c r="AA87" s="66" t="n">
        <f aca="false">MAX(0,AA75-AA78-AA84)</f>
        <v>0</v>
      </c>
      <c r="AB87" s="66" t="n">
        <f aca="false">MAX(0,AB75-AB78-AB84)</f>
        <v>0</v>
      </c>
      <c r="AC87" s="66" t="n">
        <f aca="false">MAX(0,AC75-AC78-AC84)</f>
        <v>0</v>
      </c>
      <c r="AD87" s="66" t="n">
        <f aca="false">MAX(0,AD75-AD78-AD84)</f>
        <v>0</v>
      </c>
      <c r="AE87" s="66" t="n">
        <f aca="false">MAX(0,AE75-AE78-AE84)</f>
        <v>0</v>
      </c>
      <c r="AF87" s="66" t="n">
        <f aca="false">MAX(0,AF75-AF78-AF84)</f>
        <v>0</v>
      </c>
      <c r="AG87" s="66" t="n">
        <f aca="false">MAX(0,AG75-AG78-AG84)</f>
        <v>0</v>
      </c>
      <c r="AH87" s="66" t="n">
        <f aca="false">MAX(0,AH75-AH78-AH84)</f>
        <v>0</v>
      </c>
      <c r="AI87" s="66" t="n">
        <f aca="false">MAX(0,AI75-AI78-AI84)</f>
        <v>0</v>
      </c>
      <c r="AJ87" s="66" t="n">
        <f aca="false">MAX(0,AJ75-AJ78-AJ84)</f>
        <v>0</v>
      </c>
      <c r="AK87" s="66" t="n">
        <f aca="false">MAX(0,AK75-AK78-AK84)</f>
        <v>0</v>
      </c>
      <c r="AL87" s="66" t="n">
        <f aca="false">MAX(0,AL75-AL78-AL84)</f>
        <v>0</v>
      </c>
      <c r="AM87" s="66" t="n">
        <f aca="false">MAX(0,AM75-AM78-AM84)</f>
        <v>0</v>
      </c>
      <c r="AN87" s="66" t="n">
        <f aca="false">MAX(0,AN75-AN78-AN84)</f>
        <v>0</v>
      </c>
      <c r="AO87" s="66" t="n">
        <f aca="false">MAX(0,AO75-AO78-AO84)</f>
        <v>0</v>
      </c>
      <c r="AP87" s="66" t="n">
        <f aca="false">MAX(0,AP75-AP78-AP84)</f>
        <v>0</v>
      </c>
      <c r="AQ87" s="66" t="n">
        <f aca="false">MAX(0,AQ75-AQ78-AQ84)</f>
        <v>0</v>
      </c>
      <c r="AR87" s="66" t="n">
        <f aca="false">MAX(0,AR75-AR78-AR84)</f>
        <v>0</v>
      </c>
      <c r="AS87" s="66" t="n">
        <f aca="false">MAX(0,AS75-AS78-AS84)</f>
        <v>0</v>
      </c>
      <c r="AT87" s="66" t="n">
        <f aca="false">MAX(0,AT75-AT78-AT84)</f>
        <v>0</v>
      </c>
      <c r="AU87" s="66" t="n">
        <f aca="false">MAX(0,AU75-AU78-AU84)</f>
        <v>0</v>
      </c>
      <c r="AV87" s="66" t="n">
        <f aca="false">MAX(0,AV75-AV78-AV84)</f>
        <v>0</v>
      </c>
      <c r="AW87" s="66" t="n">
        <f aca="false">MAX(0,AW75-AW78-AW84)</f>
        <v>0</v>
      </c>
      <c r="AX87" s="66" t="n">
        <f aca="false">MAX(0,AX75-AX78-AX84)</f>
        <v>0</v>
      </c>
      <c r="AY87" s="66" t="n">
        <f aca="false">MAX(0,AY75-AY78-AY84)</f>
        <v>0</v>
      </c>
      <c r="AZ87" s="66" t="n">
        <f aca="false">MAX(0,AZ75-AZ78-AZ84)</f>
        <v>0</v>
      </c>
      <c r="BA87" s="66" t="n">
        <f aca="false">MAX(0,BA75-BA78-BA84)</f>
        <v>0</v>
      </c>
      <c r="BB87" s="66" t="n">
        <f aca="false">MAX(0,BB75-BB78-BB84)</f>
        <v>0</v>
      </c>
    </row>
    <row r="88" customFormat="false" ht="15" hidden="false" customHeight="true" outlineLevel="0" collapsed="false">
      <c r="B88" s="59" t="s">
        <v>491</v>
      </c>
      <c r="C88" s="59" t="s">
        <v>11</v>
      </c>
      <c r="D88" s="63" t="n">
        <f aca="false">SUM(E88:BB88)</f>
        <v>87208836.7540023</v>
      </c>
      <c r="E88" s="66" t="n">
        <f aca="false">IF($C$37="Y",MIN(E87,E84*$C$38/(1-$C$38)),0)</f>
        <v>0</v>
      </c>
      <c r="F88" s="66" t="n">
        <f aca="false">IF($C$37="Y",MIN(F87,F84*$C$38/(1-$C$38)),0)</f>
        <v>0</v>
      </c>
      <c r="G88" s="66" t="n">
        <f aca="false">IF($C$37="Y",MIN(G87,G84*$C$38/(1-$C$38)),0)</f>
        <v>0</v>
      </c>
      <c r="H88" s="66" t="n">
        <f aca="false">IF($C$37="Y",MIN(H87,H84*$C$38/(1-$C$38)),0)</f>
        <v>0</v>
      </c>
      <c r="I88" s="66" t="n">
        <f aca="false">IF($C$37="Y",MIN(I87,I84*$C$38/(1-$C$38)),0)</f>
        <v>0</v>
      </c>
      <c r="J88" s="66" t="n">
        <f aca="false">IF($C$37="Y",MIN(J87,J84*$C$38/(1-$C$38)),0)</f>
        <v>0</v>
      </c>
      <c r="K88" s="66" t="n">
        <f aca="false">IF($C$37="Y",MIN(K87,K84*$C$38/(1-$C$38)),0)</f>
        <v>0</v>
      </c>
      <c r="L88" s="66" t="n">
        <f aca="false">IF($C$37="Y",MIN(L87,L84*$C$38/(1-$C$38)),0)</f>
        <v>0</v>
      </c>
      <c r="M88" s="66" t="n">
        <f aca="false">IF($C$37="Y",MIN(M87,M84*$C$38/(1-$C$38)),0)</f>
        <v>87208836.7540023</v>
      </c>
      <c r="N88" s="66" t="n">
        <f aca="false">IF($C$37="Y",MIN(N87,N84*$C$38/(1-$C$38)),0)</f>
        <v>0</v>
      </c>
      <c r="O88" s="66" t="n">
        <f aca="false">IF($C$37="Y",MIN(O87,O84*$C$38/(1-$C$38)),0)</f>
        <v>0</v>
      </c>
      <c r="P88" s="66" t="n">
        <f aca="false">IF($C$37="Y",MIN(P87,P84*$C$38/(1-$C$38)),0)</f>
        <v>0</v>
      </c>
      <c r="Q88" s="66" t="n">
        <f aca="false">IF($C$37="Y",MIN(Q87,Q84*$C$38/(1-$C$38)),0)</f>
        <v>0</v>
      </c>
      <c r="R88" s="66" t="n">
        <f aca="false">IF($C$37="Y",MIN(R87,R84*$C$38/(1-$C$38)),0)</f>
        <v>0</v>
      </c>
      <c r="S88" s="66" t="n">
        <f aca="false">IF($C$37="Y",MIN(S87,S84*$C$38/(1-$C$38)),0)</f>
        <v>0</v>
      </c>
      <c r="T88" s="66" t="n">
        <f aca="false">IF($C$37="Y",MIN(T87,T84*$C$38/(1-$C$38)),0)</f>
        <v>0</v>
      </c>
      <c r="U88" s="66" t="n">
        <f aca="false">IF($C$37="Y",MIN(U87,U84*$C$38/(1-$C$38)),0)</f>
        <v>0</v>
      </c>
      <c r="V88" s="66" t="n">
        <f aca="false">IF($C$37="Y",MIN(V87,V84*$C$38/(1-$C$38)),0)</f>
        <v>0</v>
      </c>
      <c r="W88" s="66" t="n">
        <f aca="false">IF($C$37="Y",MIN(W87,W84*$C$38/(1-$C$38)),0)</f>
        <v>0</v>
      </c>
      <c r="X88" s="66" t="n">
        <f aca="false">IF($C$37="Y",MIN(X87,X84*$C$38/(1-$C$38)),0)</f>
        <v>0</v>
      </c>
      <c r="Y88" s="66" t="n">
        <f aca="false">IF($C$37="Y",MIN(Y87,Y84*$C$38/(1-$C$38)),0)</f>
        <v>0</v>
      </c>
      <c r="Z88" s="66" t="n">
        <f aca="false">IF($C$37="Y",MIN(Z87,Z84*$C$38/(1-$C$38)),0)</f>
        <v>0</v>
      </c>
      <c r="AA88" s="66" t="n">
        <f aca="false">IF($C$37="Y",MIN(AA87,AA84*$C$38/(1-$C$38)),0)</f>
        <v>0</v>
      </c>
      <c r="AB88" s="66" t="n">
        <f aca="false">IF($C$37="Y",MIN(AB87,AB84*$C$38/(1-$C$38)),0)</f>
        <v>0</v>
      </c>
      <c r="AC88" s="66" t="n">
        <f aca="false">IF($C$37="Y",MIN(AC87,AC84*$C$38/(1-$C$38)),0)</f>
        <v>0</v>
      </c>
      <c r="AD88" s="66" t="n">
        <f aca="false">IF($C$37="Y",MIN(AD87,AD84*$C$38/(1-$C$38)),0)</f>
        <v>0</v>
      </c>
      <c r="AE88" s="66" t="n">
        <f aca="false">IF($C$37="Y",MIN(AE87,AE84*$C$38/(1-$C$38)),0)</f>
        <v>0</v>
      </c>
      <c r="AF88" s="66" t="n">
        <f aca="false">IF($C$37="Y",MIN(AF87,AF84*$C$38/(1-$C$38)),0)</f>
        <v>0</v>
      </c>
      <c r="AG88" s="66" t="n">
        <f aca="false">IF($C$37="Y",MIN(AG87,AG84*$C$38/(1-$C$38)),0)</f>
        <v>0</v>
      </c>
      <c r="AH88" s="66" t="n">
        <f aca="false">IF($C$37="Y",MIN(AH87,AH84*$C$38/(1-$C$38)),0)</f>
        <v>0</v>
      </c>
      <c r="AI88" s="66" t="n">
        <f aca="false">IF($C$37="Y",MIN(AI87,AI84*$C$38/(1-$C$38)),0)</f>
        <v>0</v>
      </c>
      <c r="AJ88" s="66" t="n">
        <f aca="false">IF($C$37="Y",MIN(AJ87,AJ84*$C$38/(1-$C$38)),0)</f>
        <v>0</v>
      </c>
      <c r="AK88" s="66" t="n">
        <f aca="false">IF($C$37="Y",MIN(AK87,AK84*$C$38/(1-$C$38)),0)</f>
        <v>0</v>
      </c>
      <c r="AL88" s="66" t="n">
        <f aca="false">IF($C$37="Y",MIN(AL87,AL84*$C$38/(1-$C$38)),0)</f>
        <v>0</v>
      </c>
      <c r="AM88" s="66" t="n">
        <f aca="false">IF($C$37="Y",MIN(AM87,AM84*$C$38/(1-$C$38)),0)</f>
        <v>0</v>
      </c>
      <c r="AN88" s="66" t="n">
        <f aca="false">IF($C$37="Y",MIN(AN87,AN84*$C$38/(1-$C$38)),0)</f>
        <v>0</v>
      </c>
      <c r="AO88" s="66" t="n">
        <f aca="false">IF($C$37="Y",MIN(AO87,AO84*$C$38/(1-$C$38)),0)</f>
        <v>0</v>
      </c>
      <c r="AP88" s="66" t="n">
        <f aca="false">IF($C$37="Y",MIN(AP87,AP84*$C$38/(1-$C$38)),0)</f>
        <v>0</v>
      </c>
      <c r="AQ88" s="66" t="n">
        <f aca="false">IF($C$37="Y",MIN(AQ87,AQ84*$C$38/(1-$C$38)),0)</f>
        <v>0</v>
      </c>
      <c r="AR88" s="66" t="n">
        <f aca="false">IF($C$37="Y",MIN(AR87,AR84*$C$38/(1-$C$38)),0)</f>
        <v>0</v>
      </c>
      <c r="AS88" s="66" t="n">
        <f aca="false">IF($C$37="Y",MIN(AS87,AS84*$C$38/(1-$C$38)),0)</f>
        <v>0</v>
      </c>
      <c r="AT88" s="66" t="n">
        <f aca="false">IF($C$37="Y",MIN(AT87,AT84*$C$38/(1-$C$38)),0)</f>
        <v>0</v>
      </c>
      <c r="AU88" s="66" t="n">
        <f aca="false">IF($C$37="Y",MIN(AU87,AU84*$C$38/(1-$C$38)),0)</f>
        <v>0</v>
      </c>
      <c r="AV88" s="66" t="n">
        <f aca="false">IF($C$37="Y",MIN(AV87,AV84*$C$38/(1-$C$38)),0)</f>
        <v>0</v>
      </c>
      <c r="AW88" s="66" t="n">
        <f aca="false">IF($C$37="Y",MIN(AW87,AW84*$C$38/(1-$C$38)),0)</f>
        <v>0</v>
      </c>
      <c r="AX88" s="66" t="n">
        <f aca="false">IF($C$37="Y",MIN(AX87,AX84*$C$38/(1-$C$38)),0)</f>
        <v>0</v>
      </c>
      <c r="AY88" s="66" t="n">
        <f aca="false">IF($C$37="Y",MIN(AY87,AY84*$C$38/(1-$C$38)),0)</f>
        <v>0</v>
      </c>
      <c r="AZ88" s="66" t="n">
        <f aca="false">IF($C$37="Y",MIN(AZ87,AZ84*$C$38/(1-$C$38)),0)</f>
        <v>0</v>
      </c>
      <c r="BA88" s="66" t="n">
        <f aca="false">IF($C$37="Y",MIN(BA87,BA84*$C$38/(1-$C$38)),0)</f>
        <v>0</v>
      </c>
      <c r="BB88" s="66" t="n">
        <f aca="false">IF($C$37="Y",MIN(BB87,BB84*$C$38/(1-$C$38)),0)</f>
        <v>0</v>
      </c>
    </row>
    <row r="89" customFormat="false" ht="15" hidden="false" customHeight="true" outlineLevel="0" collapsed="false">
      <c r="B89" s="59" t="s">
        <v>492</v>
      </c>
      <c r="C89" s="59" t="s">
        <v>11</v>
      </c>
      <c r="D89" s="63" t="n">
        <f aca="false">SUM(E89:BB89)</f>
        <v>159951595.481711</v>
      </c>
      <c r="E89" s="66" t="n">
        <f aca="false">MAX(0,E87-E88)</f>
        <v>0</v>
      </c>
      <c r="F89" s="66" t="n">
        <f aca="false">MAX(0,F87-F88)</f>
        <v>0</v>
      </c>
      <c r="G89" s="66" t="n">
        <f aca="false">MAX(0,G87-G88)</f>
        <v>0</v>
      </c>
      <c r="H89" s="66" t="n">
        <f aca="false">MAX(0,H87-H88)</f>
        <v>0</v>
      </c>
      <c r="I89" s="66" t="n">
        <f aca="false">MAX(0,I87-I88)</f>
        <v>0</v>
      </c>
      <c r="J89" s="66" t="n">
        <f aca="false">MAX(0,J87-J88)</f>
        <v>0</v>
      </c>
      <c r="K89" s="66" t="n">
        <f aca="false">MAX(0,K87-K88)</f>
        <v>0</v>
      </c>
      <c r="L89" s="66" t="n">
        <f aca="false">MAX(0,L87-L88)</f>
        <v>0</v>
      </c>
      <c r="M89" s="66" t="n">
        <f aca="false">MAX(0,M87-M88)</f>
        <v>159951595.481711</v>
      </c>
      <c r="N89" s="66" t="n">
        <f aca="false">MAX(0,N87-N88)</f>
        <v>0</v>
      </c>
      <c r="O89" s="66" t="n">
        <f aca="false">MAX(0,O87-O88)</f>
        <v>0</v>
      </c>
      <c r="P89" s="66" t="n">
        <f aca="false">MAX(0,P87-P88)</f>
        <v>0</v>
      </c>
      <c r="Q89" s="66" t="n">
        <f aca="false">MAX(0,Q87-Q88)</f>
        <v>0</v>
      </c>
      <c r="R89" s="66" t="n">
        <f aca="false">MAX(0,R87-R88)</f>
        <v>0</v>
      </c>
      <c r="S89" s="66" t="n">
        <f aca="false">MAX(0,S87-S88)</f>
        <v>0</v>
      </c>
      <c r="T89" s="66" t="n">
        <f aca="false">MAX(0,T87-T88)</f>
        <v>0</v>
      </c>
      <c r="U89" s="66" t="n">
        <f aca="false">MAX(0,U87-U88)</f>
        <v>0</v>
      </c>
      <c r="V89" s="66" t="n">
        <f aca="false">MAX(0,V87-V88)</f>
        <v>0</v>
      </c>
      <c r="W89" s="66" t="n">
        <f aca="false">MAX(0,W87-W88)</f>
        <v>0</v>
      </c>
      <c r="X89" s="66" t="n">
        <f aca="false">MAX(0,X87-X88)</f>
        <v>0</v>
      </c>
      <c r="Y89" s="66" t="n">
        <f aca="false">MAX(0,Y87-Y88)</f>
        <v>0</v>
      </c>
      <c r="Z89" s="66" t="n">
        <f aca="false">MAX(0,Z87-Z88)</f>
        <v>0</v>
      </c>
      <c r="AA89" s="66" t="n">
        <f aca="false">MAX(0,AA87-AA88)</f>
        <v>0</v>
      </c>
      <c r="AB89" s="66" t="n">
        <f aca="false">MAX(0,AB87-AB88)</f>
        <v>0</v>
      </c>
      <c r="AC89" s="66" t="n">
        <f aca="false">MAX(0,AC87-AC88)</f>
        <v>0</v>
      </c>
      <c r="AD89" s="66" t="n">
        <f aca="false">MAX(0,AD87-AD88)</f>
        <v>0</v>
      </c>
      <c r="AE89" s="66" t="n">
        <f aca="false">MAX(0,AE87-AE88)</f>
        <v>0</v>
      </c>
      <c r="AF89" s="66" t="n">
        <f aca="false">MAX(0,AF87-AF88)</f>
        <v>0</v>
      </c>
      <c r="AG89" s="66" t="n">
        <f aca="false">MAX(0,AG87-AG88)</f>
        <v>0</v>
      </c>
      <c r="AH89" s="66" t="n">
        <f aca="false">MAX(0,AH87-AH88)</f>
        <v>0</v>
      </c>
      <c r="AI89" s="66" t="n">
        <f aca="false">MAX(0,AI87-AI88)</f>
        <v>0</v>
      </c>
      <c r="AJ89" s="66" t="n">
        <f aca="false">MAX(0,AJ87-AJ88)</f>
        <v>0</v>
      </c>
      <c r="AK89" s="66" t="n">
        <f aca="false">MAX(0,AK87-AK88)</f>
        <v>0</v>
      </c>
      <c r="AL89" s="66" t="n">
        <f aca="false">MAX(0,AL87-AL88)</f>
        <v>0</v>
      </c>
      <c r="AM89" s="66" t="n">
        <f aca="false">MAX(0,AM87-AM88)</f>
        <v>0</v>
      </c>
      <c r="AN89" s="66" t="n">
        <f aca="false">MAX(0,AN87-AN88)</f>
        <v>0</v>
      </c>
      <c r="AO89" s="66" t="n">
        <f aca="false">MAX(0,AO87-AO88)</f>
        <v>0</v>
      </c>
      <c r="AP89" s="66" t="n">
        <f aca="false">MAX(0,AP87-AP88)</f>
        <v>0</v>
      </c>
      <c r="AQ89" s="66" t="n">
        <f aca="false">MAX(0,AQ87-AQ88)</f>
        <v>0</v>
      </c>
      <c r="AR89" s="66" t="n">
        <f aca="false">MAX(0,AR87-AR88)</f>
        <v>0</v>
      </c>
      <c r="AS89" s="66" t="n">
        <f aca="false">MAX(0,AS87-AS88)</f>
        <v>0</v>
      </c>
      <c r="AT89" s="66" t="n">
        <f aca="false">MAX(0,AT87-AT88)</f>
        <v>0</v>
      </c>
      <c r="AU89" s="66" t="n">
        <f aca="false">MAX(0,AU87-AU88)</f>
        <v>0</v>
      </c>
      <c r="AV89" s="66" t="n">
        <f aca="false">MAX(0,AV87-AV88)</f>
        <v>0</v>
      </c>
      <c r="AW89" s="66" t="n">
        <f aca="false">MAX(0,AW87-AW88)</f>
        <v>0</v>
      </c>
      <c r="AX89" s="66" t="n">
        <f aca="false">MAX(0,AX87-AX88)</f>
        <v>0</v>
      </c>
      <c r="AY89" s="66" t="n">
        <f aca="false">MAX(0,AY87-AY88)</f>
        <v>0</v>
      </c>
      <c r="AZ89" s="66" t="n">
        <f aca="false">MAX(0,AZ87-AZ88)</f>
        <v>0</v>
      </c>
      <c r="BA89" s="66" t="n">
        <f aca="false">MAX(0,BA87-BA88)</f>
        <v>0</v>
      </c>
      <c r="BB89" s="66" t="n">
        <f aca="false">MAX(0,BB87-BB88)</f>
        <v>0</v>
      </c>
    </row>
    <row r="90" customFormat="false" ht="15" hidden="false" customHeight="true" outlineLevel="0" collapsed="false">
      <c r="B90" s="59" t="s">
        <v>493</v>
      </c>
      <c r="C90" s="59" t="s">
        <v>11</v>
      </c>
      <c r="D90" s="66" t="n">
        <f aca="false">SUM(E90:BB90)</f>
        <v>111966116.837198</v>
      </c>
      <c r="E90" s="66" t="n">
        <f aca="false">E89*(1-$C$38)</f>
        <v>0</v>
      </c>
      <c r="F90" s="66" t="n">
        <f aca="false">F89*(1-$C$38)</f>
        <v>0</v>
      </c>
      <c r="G90" s="66" t="n">
        <f aca="false">G89*(1-$C$38)</f>
        <v>0</v>
      </c>
      <c r="H90" s="66" t="n">
        <f aca="false">H89*(1-$C$38)</f>
        <v>0</v>
      </c>
      <c r="I90" s="66" t="n">
        <f aca="false">I89*(1-$C$38)</f>
        <v>0</v>
      </c>
      <c r="J90" s="66" t="n">
        <f aca="false">J89*(1-$C$38)</f>
        <v>0</v>
      </c>
      <c r="K90" s="66" t="n">
        <f aca="false">K89*(1-$C$38)</f>
        <v>0</v>
      </c>
      <c r="L90" s="66" t="n">
        <f aca="false">L89*(1-$C$38)</f>
        <v>0</v>
      </c>
      <c r="M90" s="66" t="n">
        <f aca="false">M89*(1-$C$38)</f>
        <v>111966116.837198</v>
      </c>
      <c r="N90" s="66" t="n">
        <f aca="false">N89*(1-$C$38)</f>
        <v>0</v>
      </c>
      <c r="O90" s="66" t="n">
        <f aca="false">O89*(1-$C$38)</f>
        <v>0</v>
      </c>
      <c r="P90" s="66" t="n">
        <f aca="false">P89*(1-$C$38)</f>
        <v>0</v>
      </c>
      <c r="Q90" s="66" t="n">
        <f aca="false">Q89*(1-$C$38)</f>
        <v>0</v>
      </c>
      <c r="R90" s="66" t="n">
        <f aca="false">R89*(1-$C$38)</f>
        <v>0</v>
      </c>
      <c r="S90" s="66" t="n">
        <f aca="false">S89*(1-$C$38)</f>
        <v>0</v>
      </c>
      <c r="T90" s="66" t="n">
        <f aca="false">T89*(1-$C$38)</f>
        <v>0</v>
      </c>
      <c r="U90" s="66" t="n">
        <f aca="false">U89*(1-$C$38)</f>
        <v>0</v>
      </c>
      <c r="V90" s="66" t="n">
        <f aca="false">V89*(1-$C$38)</f>
        <v>0</v>
      </c>
      <c r="W90" s="66" t="n">
        <f aca="false">W89*(1-$C$38)</f>
        <v>0</v>
      </c>
      <c r="X90" s="66" t="n">
        <f aca="false">X89*(1-$C$38)</f>
        <v>0</v>
      </c>
      <c r="Y90" s="66" t="n">
        <f aca="false">Y89*(1-$C$38)</f>
        <v>0</v>
      </c>
      <c r="Z90" s="66" t="n">
        <f aca="false">Z89*(1-$C$38)</f>
        <v>0</v>
      </c>
      <c r="AA90" s="66" t="n">
        <f aca="false">AA89*(1-$C$38)</f>
        <v>0</v>
      </c>
      <c r="AB90" s="66" t="n">
        <f aca="false">AB89*(1-$C$38)</f>
        <v>0</v>
      </c>
      <c r="AC90" s="66" t="n">
        <f aca="false">AC89*(1-$C$38)</f>
        <v>0</v>
      </c>
      <c r="AD90" s="66" t="n">
        <f aca="false">AD89*(1-$C$38)</f>
        <v>0</v>
      </c>
      <c r="AE90" s="66" t="n">
        <f aca="false">AE89*(1-$C$38)</f>
        <v>0</v>
      </c>
      <c r="AF90" s="66" t="n">
        <f aca="false">AF89*(1-$C$38)</f>
        <v>0</v>
      </c>
      <c r="AG90" s="66" t="n">
        <f aca="false">AG89*(1-$C$38)</f>
        <v>0</v>
      </c>
      <c r="AH90" s="66" t="n">
        <f aca="false">AH89*(1-$C$38)</f>
        <v>0</v>
      </c>
      <c r="AI90" s="66" t="n">
        <f aca="false">AI89*(1-$C$38)</f>
        <v>0</v>
      </c>
      <c r="AJ90" s="66" t="n">
        <f aca="false">AJ89*(1-$C$38)</f>
        <v>0</v>
      </c>
      <c r="AK90" s="66" t="n">
        <f aca="false">AK89*(1-$C$38)</f>
        <v>0</v>
      </c>
      <c r="AL90" s="66" t="n">
        <f aca="false">AL89*(1-$C$38)</f>
        <v>0</v>
      </c>
      <c r="AM90" s="66" t="n">
        <f aca="false">AM89*(1-$C$38)</f>
        <v>0</v>
      </c>
      <c r="AN90" s="66" t="n">
        <f aca="false">AN89*(1-$C$38)</f>
        <v>0</v>
      </c>
      <c r="AO90" s="66" t="n">
        <f aca="false">AO89*(1-$C$38)</f>
        <v>0</v>
      </c>
      <c r="AP90" s="66" t="n">
        <f aca="false">AP89*(1-$C$38)</f>
        <v>0</v>
      </c>
      <c r="AQ90" s="66" t="n">
        <f aca="false">AQ89*(1-$C$38)</f>
        <v>0</v>
      </c>
      <c r="AR90" s="66" t="n">
        <f aca="false">AR89*(1-$C$38)</f>
        <v>0</v>
      </c>
      <c r="AS90" s="66" t="n">
        <f aca="false">AS89*(1-$C$38)</f>
        <v>0</v>
      </c>
      <c r="AT90" s="66" t="n">
        <f aca="false">AT89*(1-$C$38)</f>
        <v>0</v>
      </c>
      <c r="AU90" s="66" t="n">
        <f aca="false">AU89*(1-$C$38)</f>
        <v>0</v>
      </c>
      <c r="AV90" s="66" t="n">
        <f aca="false">AV89*(1-$C$38)</f>
        <v>0</v>
      </c>
      <c r="AW90" s="66" t="n">
        <f aca="false">AW89*(1-$C$38)</f>
        <v>0</v>
      </c>
      <c r="AX90" s="66" t="n">
        <f aca="false">AX89*(1-$C$38)</f>
        <v>0</v>
      </c>
      <c r="AY90" s="66" t="n">
        <f aca="false">AY89*(1-$C$38)</f>
        <v>0</v>
      </c>
      <c r="AZ90" s="66" t="n">
        <f aca="false">AZ89*(1-$C$38)</f>
        <v>0</v>
      </c>
      <c r="BA90" s="66" t="n">
        <f aca="false">BA89*(1-$C$38)</f>
        <v>0</v>
      </c>
      <c r="BB90" s="66" t="n">
        <f aca="false">BB89*(1-$C$38)</f>
        <v>0</v>
      </c>
    </row>
    <row r="91" customFormat="false" ht="15" hidden="false" customHeight="true" outlineLevel="0" collapsed="false">
      <c r="B91" s="59" t="s">
        <v>494</v>
      </c>
      <c r="C91" s="59" t="s">
        <v>11</v>
      </c>
      <c r="D91" s="66" t="n">
        <f aca="false">SUM(E91:BB91)</f>
        <v>47985478.6445133</v>
      </c>
      <c r="E91" s="66" t="n">
        <f aca="false">E89*$C$38</f>
        <v>0</v>
      </c>
      <c r="F91" s="66" t="n">
        <f aca="false">F89*$C$38</f>
        <v>0</v>
      </c>
      <c r="G91" s="66" t="n">
        <f aca="false">G89*$C$38</f>
        <v>0</v>
      </c>
      <c r="H91" s="66" t="n">
        <f aca="false">H89*$C$38</f>
        <v>0</v>
      </c>
      <c r="I91" s="66" t="n">
        <f aca="false">I89*$C$38</f>
        <v>0</v>
      </c>
      <c r="J91" s="66" t="n">
        <f aca="false">J89*$C$38</f>
        <v>0</v>
      </c>
      <c r="K91" s="66" t="n">
        <f aca="false">K89*$C$38</f>
        <v>0</v>
      </c>
      <c r="L91" s="66" t="n">
        <f aca="false">L89*$C$38</f>
        <v>0</v>
      </c>
      <c r="M91" s="66" t="n">
        <f aca="false">M89*$C$38</f>
        <v>47985478.6445133</v>
      </c>
      <c r="N91" s="66" t="n">
        <f aca="false">N89*$C$38</f>
        <v>0</v>
      </c>
      <c r="O91" s="66" t="n">
        <f aca="false">O89*$C$38</f>
        <v>0</v>
      </c>
      <c r="P91" s="66" t="n">
        <f aca="false">P89*$C$38</f>
        <v>0</v>
      </c>
      <c r="Q91" s="66" t="n">
        <f aca="false">Q89*$C$38</f>
        <v>0</v>
      </c>
      <c r="R91" s="66" t="n">
        <f aca="false">R89*$C$38</f>
        <v>0</v>
      </c>
      <c r="S91" s="66" t="n">
        <f aca="false">S89*$C$38</f>
        <v>0</v>
      </c>
      <c r="T91" s="66" t="n">
        <f aca="false">T89*$C$38</f>
        <v>0</v>
      </c>
      <c r="U91" s="66" t="n">
        <f aca="false">U89*$C$38</f>
        <v>0</v>
      </c>
      <c r="V91" s="66" t="n">
        <f aca="false">V89*$C$38</f>
        <v>0</v>
      </c>
      <c r="W91" s="66" t="n">
        <f aca="false">W89*$C$38</f>
        <v>0</v>
      </c>
      <c r="X91" s="66" t="n">
        <f aca="false">X89*$C$38</f>
        <v>0</v>
      </c>
      <c r="Y91" s="66" t="n">
        <f aca="false">Y89*$C$38</f>
        <v>0</v>
      </c>
      <c r="Z91" s="66" t="n">
        <f aca="false">Z89*$C$38</f>
        <v>0</v>
      </c>
      <c r="AA91" s="66" t="n">
        <f aca="false">AA89*$C$38</f>
        <v>0</v>
      </c>
      <c r="AB91" s="66" t="n">
        <f aca="false">AB89*$C$38</f>
        <v>0</v>
      </c>
      <c r="AC91" s="66" t="n">
        <f aca="false">AC89*$C$38</f>
        <v>0</v>
      </c>
      <c r="AD91" s="66" t="n">
        <f aca="false">AD89*$C$38</f>
        <v>0</v>
      </c>
      <c r="AE91" s="66" t="n">
        <f aca="false">AE89*$C$38</f>
        <v>0</v>
      </c>
      <c r="AF91" s="66" t="n">
        <f aca="false">AF89*$C$38</f>
        <v>0</v>
      </c>
      <c r="AG91" s="66" t="n">
        <f aca="false">AG89*$C$38</f>
        <v>0</v>
      </c>
      <c r="AH91" s="66" t="n">
        <f aca="false">AH89*$C$38</f>
        <v>0</v>
      </c>
      <c r="AI91" s="66" t="n">
        <f aca="false">AI89*$C$38</f>
        <v>0</v>
      </c>
      <c r="AJ91" s="66" t="n">
        <f aca="false">AJ89*$C$38</f>
        <v>0</v>
      </c>
      <c r="AK91" s="66" t="n">
        <f aca="false">AK89*$C$38</f>
        <v>0</v>
      </c>
      <c r="AL91" s="66" t="n">
        <f aca="false">AL89*$C$38</f>
        <v>0</v>
      </c>
      <c r="AM91" s="66" t="n">
        <f aca="false">AM89*$C$38</f>
        <v>0</v>
      </c>
      <c r="AN91" s="66" t="n">
        <f aca="false">AN89*$C$38</f>
        <v>0</v>
      </c>
      <c r="AO91" s="66" t="n">
        <f aca="false">AO89*$C$38</f>
        <v>0</v>
      </c>
      <c r="AP91" s="66" t="n">
        <f aca="false">AP89*$C$38</f>
        <v>0</v>
      </c>
      <c r="AQ91" s="66" t="n">
        <f aca="false">AQ89*$C$38</f>
        <v>0</v>
      </c>
      <c r="AR91" s="66" t="n">
        <f aca="false">AR89*$C$38</f>
        <v>0</v>
      </c>
      <c r="AS91" s="66" t="n">
        <f aca="false">AS89*$C$38</f>
        <v>0</v>
      </c>
      <c r="AT91" s="66" t="n">
        <f aca="false">AT89*$C$38</f>
        <v>0</v>
      </c>
      <c r="AU91" s="66" t="n">
        <f aca="false">AU89*$C$38</f>
        <v>0</v>
      </c>
      <c r="AV91" s="66" t="n">
        <f aca="false">AV89*$C$38</f>
        <v>0</v>
      </c>
      <c r="AW91" s="66" t="n">
        <f aca="false">AW89*$C$38</f>
        <v>0</v>
      </c>
      <c r="AX91" s="66" t="n">
        <f aca="false">AX89*$C$38</f>
        <v>0</v>
      </c>
      <c r="AY91" s="66" t="n">
        <f aca="false">AY89*$C$38</f>
        <v>0</v>
      </c>
      <c r="AZ91" s="66" t="n">
        <f aca="false">AZ89*$C$38</f>
        <v>0</v>
      </c>
      <c r="BA91" s="66" t="n">
        <f aca="false">BA89*$C$38</f>
        <v>0</v>
      </c>
      <c r="BB91" s="66" t="n">
        <f aca="false">BB89*$C$38</f>
        <v>0</v>
      </c>
    </row>
    <row r="93" customFormat="false" ht="15" hidden="false" customHeight="true" outlineLevel="0" collapsed="false">
      <c r="B93" s="20" t="s">
        <v>495</v>
      </c>
      <c r="C93" s="59" t="s">
        <v>11</v>
      </c>
      <c r="D93" s="63" t="n">
        <f aca="false">SUM(E93:BB93)</f>
        <v>285521288.959934</v>
      </c>
      <c r="E93" s="66" t="n">
        <f aca="false">E78*$C$16+E84*$C$16+E90</f>
        <v>0</v>
      </c>
      <c r="F93" s="66" t="n">
        <f aca="false">F78*$C$16+F84*$C$16+F90</f>
        <v>0</v>
      </c>
      <c r="G93" s="66" t="n">
        <f aca="false">G78*$C$16+G84*$C$16+G90</f>
        <v>0</v>
      </c>
      <c r="H93" s="66" t="n">
        <f aca="false">H78*$C$16+H84*$C$16+H90</f>
        <v>0</v>
      </c>
      <c r="I93" s="66" t="n">
        <f aca="false">I78*$C$16+I84*$C$16+I90</f>
        <v>0</v>
      </c>
      <c r="J93" s="66" t="n">
        <f aca="false">J78*$C$16+J84*$C$16+J90</f>
        <v>0</v>
      </c>
      <c r="K93" s="66" t="n">
        <f aca="false">K78*$C$16+K84*$C$16+K90</f>
        <v>0</v>
      </c>
      <c r="L93" s="66" t="n">
        <f aca="false">L78*$C$16+L84*$C$16+L90</f>
        <v>0</v>
      </c>
      <c r="M93" s="66" t="n">
        <f aca="false">M78*$C$16+M84*$C$16+M90</f>
        <v>285521288.959934</v>
      </c>
      <c r="N93" s="66" t="n">
        <f aca="false">N78*$C$16+N84*$C$16+N90</f>
        <v>0</v>
      </c>
      <c r="O93" s="66" t="n">
        <f aca="false">O78*$C$16+O84*$C$16+O90</f>
        <v>0</v>
      </c>
      <c r="P93" s="66" t="n">
        <f aca="false">P78*$C$16+P84*$C$16+P90</f>
        <v>0</v>
      </c>
      <c r="Q93" s="66" t="n">
        <f aca="false">Q78*$C$16+Q84*$C$16+Q90</f>
        <v>0</v>
      </c>
      <c r="R93" s="66" t="n">
        <f aca="false">R78*$C$16+R84*$C$16+R90</f>
        <v>0</v>
      </c>
      <c r="S93" s="66" t="n">
        <f aca="false">S78*$C$16+S84*$C$16+S90</f>
        <v>0</v>
      </c>
      <c r="T93" s="66" t="n">
        <f aca="false">T78*$C$16+T84*$C$16+T90</f>
        <v>0</v>
      </c>
      <c r="U93" s="66" t="n">
        <f aca="false">U78*$C$16+U84*$C$16+U90</f>
        <v>0</v>
      </c>
      <c r="V93" s="66" t="n">
        <f aca="false">V78*$C$16+V84*$C$16+V90</f>
        <v>0</v>
      </c>
      <c r="W93" s="66" t="n">
        <f aca="false">W78*$C$16+W84*$C$16+W90</f>
        <v>0</v>
      </c>
      <c r="X93" s="66" t="n">
        <f aca="false">X78*$C$16+X84*$C$16+X90</f>
        <v>0</v>
      </c>
      <c r="Y93" s="66" t="n">
        <f aca="false">Y78*$C$16+Y84*$C$16+Y90</f>
        <v>0</v>
      </c>
      <c r="Z93" s="66" t="n">
        <f aca="false">Z78*$C$16+Z84*$C$16+Z90</f>
        <v>0</v>
      </c>
      <c r="AA93" s="66" t="n">
        <f aca="false">AA78*$C$16+AA84*$C$16+AA90</f>
        <v>0</v>
      </c>
      <c r="AB93" s="66" t="n">
        <f aca="false">AB78*$C$16+AB84*$C$16+AB90</f>
        <v>0</v>
      </c>
      <c r="AC93" s="66" t="n">
        <f aca="false">AC78*$C$16+AC84*$C$16+AC90</f>
        <v>0</v>
      </c>
      <c r="AD93" s="66" t="n">
        <f aca="false">AD78*$C$16+AD84*$C$16+AD90</f>
        <v>0</v>
      </c>
      <c r="AE93" s="66" t="n">
        <f aca="false">AE78*$C$16+AE84*$C$16+AE90</f>
        <v>0</v>
      </c>
      <c r="AF93" s="66" t="n">
        <f aca="false">AF78*$C$16+AF84*$C$16+AF90</f>
        <v>0</v>
      </c>
      <c r="AG93" s="66" t="n">
        <f aca="false">AG78*$C$16+AG84*$C$16+AG90</f>
        <v>0</v>
      </c>
      <c r="AH93" s="66" t="n">
        <f aca="false">AH78*$C$16+AH84*$C$16+AH90</f>
        <v>0</v>
      </c>
      <c r="AI93" s="66" t="n">
        <f aca="false">AI78*$C$16+AI84*$C$16+AI90</f>
        <v>0</v>
      </c>
      <c r="AJ93" s="66" t="n">
        <f aca="false">AJ78*$C$16+AJ84*$C$16+AJ90</f>
        <v>0</v>
      </c>
      <c r="AK93" s="66" t="n">
        <f aca="false">AK78*$C$16+AK84*$C$16+AK90</f>
        <v>0</v>
      </c>
      <c r="AL93" s="66" t="n">
        <f aca="false">AL78*$C$16+AL84*$C$16+AL90</f>
        <v>0</v>
      </c>
      <c r="AM93" s="66" t="n">
        <f aca="false">AM78*$C$16+AM84*$C$16+AM90</f>
        <v>0</v>
      </c>
      <c r="AN93" s="66" t="n">
        <f aca="false">AN78*$C$16+AN84*$C$16+AN90</f>
        <v>0</v>
      </c>
      <c r="AO93" s="66" t="n">
        <f aca="false">AO78*$C$16+AO84*$C$16+AO90</f>
        <v>0</v>
      </c>
      <c r="AP93" s="66" t="n">
        <f aca="false">AP78*$C$16+AP84*$C$16+AP90</f>
        <v>0</v>
      </c>
      <c r="AQ93" s="66" t="n">
        <f aca="false">AQ78*$C$16+AQ84*$C$16+AQ90</f>
        <v>0</v>
      </c>
      <c r="AR93" s="66" t="n">
        <f aca="false">AR78*$C$16+AR84*$C$16+AR90</f>
        <v>0</v>
      </c>
      <c r="AS93" s="66" t="n">
        <f aca="false">AS78*$C$16+AS84*$C$16+AS90</f>
        <v>0</v>
      </c>
      <c r="AT93" s="66" t="n">
        <f aca="false">AT78*$C$16+AT84*$C$16+AT90</f>
        <v>0</v>
      </c>
      <c r="AU93" s="66" t="n">
        <f aca="false">AU78*$C$16+AU84*$C$16+AU90</f>
        <v>0</v>
      </c>
      <c r="AV93" s="66" t="n">
        <f aca="false">AV78*$C$16+AV84*$C$16+AV90</f>
        <v>0</v>
      </c>
      <c r="AW93" s="66" t="n">
        <f aca="false">AW78*$C$16+AW84*$C$16+AW90</f>
        <v>0</v>
      </c>
      <c r="AX93" s="66" t="n">
        <f aca="false">AX78*$C$16+AX84*$C$16+AX90</f>
        <v>0</v>
      </c>
      <c r="AY93" s="66" t="n">
        <f aca="false">AY78*$C$16+AY84*$C$16+AY90</f>
        <v>0</v>
      </c>
      <c r="AZ93" s="66" t="n">
        <f aca="false">AZ78*$C$16+AZ84*$C$16+AZ90</f>
        <v>0</v>
      </c>
      <c r="BA93" s="66" t="n">
        <f aca="false">BA78*$C$16+BA84*$C$16+BA90</f>
        <v>0</v>
      </c>
      <c r="BB93" s="66" t="n">
        <f aca="false">BB78*$C$16+BB84*$C$16+BB90</f>
        <v>0</v>
      </c>
    </row>
    <row r="94" customFormat="false" ht="15" hidden="false" customHeight="true" outlineLevel="0" collapsed="false">
      <c r="B94" s="20" t="s">
        <v>496</v>
      </c>
      <c r="C94" s="59" t="s">
        <v>11</v>
      </c>
      <c r="D94" s="63" t="n">
        <f aca="false">SUM(E94:BB94)</f>
        <v>435872612.461441</v>
      </c>
      <c r="E94" s="66" t="n">
        <f aca="false">E78*$C$15+E84*$C$15+E88+E91</f>
        <v>0</v>
      </c>
      <c r="F94" s="66" t="n">
        <f aca="false">F78*$C$15+F84*$C$15+F88+F91</f>
        <v>0</v>
      </c>
      <c r="G94" s="66" t="n">
        <f aca="false">G78*$C$15+G84*$C$15+G88+G91</f>
        <v>0</v>
      </c>
      <c r="H94" s="66" t="n">
        <f aca="false">H78*$C$15+H84*$C$15+H88+H91</f>
        <v>0</v>
      </c>
      <c r="I94" s="66" t="n">
        <f aca="false">I78*$C$15+I84*$C$15+I88+I91</f>
        <v>0</v>
      </c>
      <c r="J94" s="66" t="n">
        <f aca="false">J78*$C$15+J84*$C$15+J88+J91</f>
        <v>0</v>
      </c>
      <c r="K94" s="66" t="n">
        <f aca="false">K78*$C$15+K84*$C$15+K88+K91</f>
        <v>0</v>
      </c>
      <c r="L94" s="66" t="n">
        <f aca="false">L78*$C$15+L84*$C$15+L88+L91</f>
        <v>0</v>
      </c>
      <c r="M94" s="66" t="n">
        <f aca="false">M78*$C$15+M84*$C$15+M88+M91</f>
        <v>435872612.461441</v>
      </c>
      <c r="N94" s="66" t="n">
        <f aca="false">N78*$C$15+N84*$C$15+N88+N91</f>
        <v>0</v>
      </c>
      <c r="O94" s="66" t="n">
        <f aca="false">O78*$C$15+O84*$C$15+O88+O91</f>
        <v>0</v>
      </c>
      <c r="P94" s="66" t="n">
        <f aca="false">P78*$C$15+P84*$C$15+P88+P91</f>
        <v>0</v>
      </c>
      <c r="Q94" s="66" t="n">
        <f aca="false">Q78*$C$15+Q84*$C$15+Q88+Q91</f>
        <v>0</v>
      </c>
      <c r="R94" s="66" t="n">
        <f aca="false">R78*$C$15+R84*$C$15+R88+R91</f>
        <v>0</v>
      </c>
      <c r="S94" s="66" t="n">
        <f aca="false">S78*$C$15+S84*$C$15+S88+S91</f>
        <v>0</v>
      </c>
      <c r="T94" s="66" t="n">
        <f aca="false">T78*$C$15+T84*$C$15+T88+T91</f>
        <v>0</v>
      </c>
      <c r="U94" s="66" t="n">
        <f aca="false">U78*$C$15+U84*$C$15+U88+U91</f>
        <v>0</v>
      </c>
      <c r="V94" s="66" t="n">
        <f aca="false">V78*$C$15+V84*$C$15+V88+V91</f>
        <v>0</v>
      </c>
      <c r="W94" s="66" t="n">
        <f aca="false">W78*$C$15+W84*$C$15+W88+W91</f>
        <v>0</v>
      </c>
      <c r="X94" s="66" t="n">
        <f aca="false">X78*$C$15+X84*$C$15+X88+X91</f>
        <v>0</v>
      </c>
      <c r="Y94" s="66" t="n">
        <f aca="false">Y78*$C$15+Y84*$C$15+Y88+Y91</f>
        <v>0</v>
      </c>
      <c r="Z94" s="66" t="n">
        <f aca="false">Z78*$C$15+Z84*$C$15+Z88+Z91</f>
        <v>0</v>
      </c>
      <c r="AA94" s="66" t="n">
        <f aca="false">AA78*$C$15+AA84*$C$15+AA88+AA91</f>
        <v>0</v>
      </c>
      <c r="AB94" s="66" t="n">
        <f aca="false">AB78*$C$15+AB84*$C$15+AB88+AB91</f>
        <v>0</v>
      </c>
      <c r="AC94" s="66" t="n">
        <f aca="false">AC78*$C$15+AC84*$C$15+AC88+AC91</f>
        <v>0</v>
      </c>
      <c r="AD94" s="66" t="n">
        <f aca="false">AD78*$C$15+AD84*$C$15+AD88+AD91</f>
        <v>0</v>
      </c>
      <c r="AE94" s="66" t="n">
        <f aca="false">AE78*$C$15+AE84*$C$15+AE88+AE91</f>
        <v>0</v>
      </c>
      <c r="AF94" s="66" t="n">
        <f aca="false">AF78*$C$15+AF84*$C$15+AF88+AF91</f>
        <v>0</v>
      </c>
      <c r="AG94" s="66" t="n">
        <f aca="false">AG78*$C$15+AG84*$C$15+AG88+AG91</f>
        <v>0</v>
      </c>
      <c r="AH94" s="66" t="n">
        <f aca="false">AH78*$C$15+AH84*$C$15+AH88+AH91</f>
        <v>0</v>
      </c>
      <c r="AI94" s="66" t="n">
        <f aca="false">AI78*$C$15+AI84*$C$15+AI88+AI91</f>
        <v>0</v>
      </c>
      <c r="AJ94" s="66" t="n">
        <f aca="false">AJ78*$C$15+AJ84*$C$15+AJ88+AJ91</f>
        <v>0</v>
      </c>
      <c r="AK94" s="66" t="n">
        <f aca="false">AK78*$C$15+AK84*$C$15+AK88+AK91</f>
        <v>0</v>
      </c>
      <c r="AL94" s="66" t="n">
        <f aca="false">AL78*$C$15+AL84*$C$15+AL88+AL91</f>
        <v>0</v>
      </c>
      <c r="AM94" s="66" t="n">
        <f aca="false">AM78*$C$15+AM84*$C$15+AM88+AM91</f>
        <v>0</v>
      </c>
      <c r="AN94" s="66" t="n">
        <f aca="false">AN78*$C$15+AN84*$C$15+AN88+AN91</f>
        <v>0</v>
      </c>
      <c r="AO94" s="66" t="n">
        <f aca="false">AO78*$C$15+AO84*$C$15+AO88+AO91</f>
        <v>0</v>
      </c>
      <c r="AP94" s="66" t="n">
        <f aca="false">AP78*$C$15+AP84*$C$15+AP88+AP91</f>
        <v>0</v>
      </c>
      <c r="AQ94" s="66" t="n">
        <f aca="false">AQ78*$C$15+AQ84*$C$15+AQ88+AQ91</f>
        <v>0</v>
      </c>
      <c r="AR94" s="66" t="n">
        <f aca="false">AR78*$C$15+AR84*$C$15+AR88+AR91</f>
        <v>0</v>
      </c>
      <c r="AS94" s="66" t="n">
        <f aca="false">AS78*$C$15+AS84*$C$15+AS88+AS91</f>
        <v>0</v>
      </c>
      <c r="AT94" s="66" t="n">
        <f aca="false">AT78*$C$15+AT84*$C$15+AT88+AT91</f>
        <v>0</v>
      </c>
      <c r="AU94" s="66" t="n">
        <f aca="false">AU78*$C$15+AU84*$C$15+AU88+AU91</f>
        <v>0</v>
      </c>
      <c r="AV94" s="66" t="n">
        <f aca="false">AV78*$C$15+AV84*$C$15+AV88+AV91</f>
        <v>0</v>
      </c>
      <c r="AW94" s="66" t="n">
        <f aca="false">AW78*$C$15+AW84*$C$15+AW88+AW91</f>
        <v>0</v>
      </c>
      <c r="AX94" s="66" t="n">
        <f aca="false">AX78*$C$15+AX84*$C$15+AX88+AX91</f>
        <v>0</v>
      </c>
      <c r="AY94" s="66" t="n">
        <f aca="false">AY78*$C$15+AY84*$C$15+AY88+AY91</f>
        <v>0</v>
      </c>
      <c r="AZ94" s="66" t="n">
        <f aca="false">AZ78*$C$15+AZ84*$C$15+AZ88+AZ91</f>
        <v>0</v>
      </c>
      <c r="BA94" s="66" t="n">
        <f aca="false">BA78*$C$15+BA84*$C$15+BA88+BA91</f>
        <v>0</v>
      </c>
      <c r="BB94" s="66" t="n">
        <f aca="false">BB78*$C$15+BB84*$C$15+BB88+BB91</f>
        <v>0</v>
      </c>
    </row>
    <row r="95" customFormat="false" ht="15" hidden="false" customHeight="true" outlineLevel="0" collapsed="false">
      <c r="B95" s="20" t="s">
        <v>497</v>
      </c>
      <c r="C95" s="59" t="s">
        <v>11</v>
      </c>
      <c r="D95" s="63" t="n">
        <f aca="false">SUM(E95:BB95)</f>
        <v>721393901.421375</v>
      </c>
      <c r="E95" s="63" t="n">
        <f aca="false">E93+E94</f>
        <v>0</v>
      </c>
      <c r="F95" s="63" t="n">
        <f aca="false">F93+F94</f>
        <v>0</v>
      </c>
      <c r="G95" s="63" t="n">
        <f aca="false">G93+G94</f>
        <v>0</v>
      </c>
      <c r="H95" s="63" t="n">
        <f aca="false">H93+H94</f>
        <v>0</v>
      </c>
      <c r="I95" s="63" t="n">
        <f aca="false">I93+I94</f>
        <v>0</v>
      </c>
      <c r="J95" s="63" t="n">
        <f aca="false">J93+J94</f>
        <v>0</v>
      </c>
      <c r="K95" s="63" t="n">
        <f aca="false">K93+K94</f>
        <v>0</v>
      </c>
      <c r="L95" s="63" t="n">
        <f aca="false">L93+L94</f>
        <v>0</v>
      </c>
      <c r="M95" s="63" t="n">
        <f aca="false">M93+M94</f>
        <v>721393901.421375</v>
      </c>
      <c r="N95" s="63" t="n">
        <f aca="false">N93+N94</f>
        <v>0</v>
      </c>
      <c r="O95" s="63" t="n">
        <f aca="false">O93+O94</f>
        <v>0</v>
      </c>
      <c r="P95" s="63" t="n">
        <f aca="false">P93+P94</f>
        <v>0</v>
      </c>
      <c r="Q95" s="63" t="n">
        <f aca="false">Q93+Q94</f>
        <v>0</v>
      </c>
      <c r="R95" s="63" t="n">
        <f aca="false">R93+R94</f>
        <v>0</v>
      </c>
      <c r="S95" s="63" t="n">
        <f aca="false">S93+S94</f>
        <v>0</v>
      </c>
      <c r="T95" s="63" t="n">
        <f aca="false">T93+T94</f>
        <v>0</v>
      </c>
      <c r="U95" s="63" t="n">
        <f aca="false">U93+U94</f>
        <v>0</v>
      </c>
      <c r="V95" s="63" t="n">
        <f aca="false">V93+V94</f>
        <v>0</v>
      </c>
      <c r="W95" s="63" t="n">
        <f aca="false">W93+W94</f>
        <v>0</v>
      </c>
      <c r="X95" s="63" t="n">
        <f aca="false">X93+X94</f>
        <v>0</v>
      </c>
      <c r="Y95" s="63" t="n">
        <f aca="false">Y93+Y94</f>
        <v>0</v>
      </c>
      <c r="Z95" s="63" t="n">
        <f aca="false">Z93+Z94</f>
        <v>0</v>
      </c>
      <c r="AA95" s="63" t="n">
        <f aca="false">AA93+AA94</f>
        <v>0</v>
      </c>
      <c r="AB95" s="63" t="n">
        <f aca="false">AB93+AB94</f>
        <v>0</v>
      </c>
      <c r="AC95" s="63" t="n">
        <f aca="false">AC93+AC94</f>
        <v>0</v>
      </c>
      <c r="AD95" s="63" t="n">
        <f aca="false">AD93+AD94</f>
        <v>0</v>
      </c>
      <c r="AE95" s="63" t="n">
        <f aca="false">AE93+AE94</f>
        <v>0</v>
      </c>
      <c r="AF95" s="63" t="n">
        <f aca="false">AF93+AF94</f>
        <v>0</v>
      </c>
      <c r="AG95" s="63" t="n">
        <f aca="false">AG93+AG94</f>
        <v>0</v>
      </c>
      <c r="AH95" s="63" t="n">
        <f aca="false">AH93+AH94</f>
        <v>0</v>
      </c>
      <c r="AI95" s="63" t="n">
        <f aca="false">AI93+AI94</f>
        <v>0</v>
      </c>
      <c r="AJ95" s="63" t="n">
        <f aca="false">AJ93+AJ94</f>
        <v>0</v>
      </c>
      <c r="AK95" s="63" t="n">
        <f aca="false">AK93+AK94</f>
        <v>0</v>
      </c>
      <c r="AL95" s="63" t="n">
        <f aca="false">AL93+AL94</f>
        <v>0</v>
      </c>
      <c r="AM95" s="63" t="n">
        <f aca="false">AM93+AM94</f>
        <v>0</v>
      </c>
      <c r="AN95" s="63" t="n">
        <f aca="false">AN93+AN94</f>
        <v>0</v>
      </c>
      <c r="AO95" s="63" t="n">
        <f aca="false">AO93+AO94</f>
        <v>0</v>
      </c>
      <c r="AP95" s="63" t="n">
        <f aca="false">AP93+AP94</f>
        <v>0</v>
      </c>
      <c r="AQ95" s="63" t="n">
        <f aca="false">AQ93+AQ94</f>
        <v>0</v>
      </c>
      <c r="AR95" s="63" t="n">
        <f aca="false">AR93+AR94</f>
        <v>0</v>
      </c>
      <c r="AS95" s="63" t="n">
        <f aca="false">AS93+AS94</f>
        <v>0</v>
      </c>
      <c r="AT95" s="63" t="n">
        <f aca="false">AT93+AT94</f>
        <v>0</v>
      </c>
      <c r="AU95" s="63" t="n">
        <f aca="false">AU93+AU94</f>
        <v>0</v>
      </c>
      <c r="AV95" s="63" t="n">
        <f aca="false">AV93+AV94</f>
        <v>0</v>
      </c>
      <c r="AW95" s="63" t="n">
        <f aca="false">AW93+AW94</f>
        <v>0</v>
      </c>
      <c r="AX95" s="63" t="n">
        <f aca="false">AX93+AX94</f>
        <v>0</v>
      </c>
      <c r="AY95" s="63" t="n">
        <f aca="false">AY93+AY94</f>
        <v>0</v>
      </c>
      <c r="AZ95" s="63" t="n">
        <f aca="false">AZ93+AZ94</f>
        <v>0</v>
      </c>
      <c r="BA95" s="63" t="n">
        <f aca="false">BA93+BA94</f>
        <v>0</v>
      </c>
      <c r="BB95" s="63" t="n">
        <f aca="false">BB93+BB94</f>
        <v>0</v>
      </c>
    </row>
    <row r="97" customFormat="false" ht="15" hidden="false" customHeight="true" outlineLevel="0" collapsed="false">
      <c r="A97" s="58" t="s">
        <v>498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customFormat="false" ht="15" hidden="false" customHeight="true" outlineLevel="0" collapsed="false">
      <c r="C98" s="69" t="s">
        <v>262</v>
      </c>
      <c r="D98" s="69" t="s">
        <v>60</v>
      </c>
      <c r="E98" s="70" t="n">
        <f aca="false">E$46</f>
        <v>2026</v>
      </c>
      <c r="F98" s="70" t="n">
        <f aca="false">F$46</f>
        <v>2027</v>
      </c>
      <c r="G98" s="70" t="n">
        <f aca="false">G$46</f>
        <v>2028</v>
      </c>
      <c r="H98" s="70" t="n">
        <f aca="false">H$46</f>
        <v>2029</v>
      </c>
      <c r="I98" s="70" t="n">
        <f aca="false">I$46</f>
        <v>2030</v>
      </c>
      <c r="J98" s="70" t="n">
        <f aca="false">J$46</f>
        <v>2031</v>
      </c>
      <c r="K98" s="70" t="n">
        <f aca="false">K$46</f>
        <v>2032</v>
      </c>
      <c r="L98" s="70" t="n">
        <f aca="false">L$46</f>
        <v>2033</v>
      </c>
      <c r="M98" s="70" t="n">
        <f aca="false">M$46</f>
        <v>2034</v>
      </c>
      <c r="N98" s="70" t="n">
        <f aca="false">N$46</f>
        <v>2035</v>
      </c>
      <c r="O98" s="70" t="n">
        <f aca="false">O$46</f>
        <v>2036</v>
      </c>
      <c r="P98" s="70" t="n">
        <f aca="false">P$46</f>
        <v>2037</v>
      </c>
      <c r="Q98" s="70" t="n">
        <f aca="false">Q$46</f>
        <v>2038</v>
      </c>
      <c r="R98" s="70" t="n">
        <f aca="false">R$46</f>
        <v>2039</v>
      </c>
      <c r="S98" s="70" t="n">
        <f aca="false">S$46</f>
        <v>2040</v>
      </c>
      <c r="T98" s="70" t="n">
        <f aca="false">T$46</f>
        <v>2041</v>
      </c>
      <c r="U98" s="70" t="n">
        <f aca="false">U$46</f>
        <v>2042</v>
      </c>
      <c r="V98" s="70" t="n">
        <f aca="false">V$46</f>
        <v>2043</v>
      </c>
      <c r="W98" s="70" t="n">
        <f aca="false">W$46</f>
        <v>2044</v>
      </c>
      <c r="X98" s="70" t="n">
        <f aca="false">X$46</f>
        <v>2045</v>
      </c>
      <c r="Y98" s="70" t="n">
        <f aca="false">Y$46</f>
        <v>2046</v>
      </c>
      <c r="Z98" s="70" t="n">
        <f aca="false">Z$46</f>
        <v>2047</v>
      </c>
      <c r="AA98" s="70" t="n">
        <f aca="false">AA$46</f>
        <v>2048</v>
      </c>
      <c r="AB98" s="70" t="n">
        <f aca="false">AB$46</f>
        <v>2049</v>
      </c>
      <c r="AC98" s="70" t="n">
        <f aca="false">AC$46</f>
        <v>2050</v>
      </c>
      <c r="AD98" s="70" t="n">
        <f aca="false">AD$46</f>
        <v>2051</v>
      </c>
      <c r="AE98" s="70" t="n">
        <f aca="false">AE$46</f>
        <v>2052</v>
      </c>
      <c r="AF98" s="70" t="n">
        <f aca="false">AF$46</f>
        <v>2053</v>
      </c>
      <c r="AG98" s="70" t="n">
        <f aca="false">AG$46</f>
        <v>2054</v>
      </c>
      <c r="AH98" s="70" t="n">
        <f aca="false">AH$46</f>
        <v>2055</v>
      </c>
      <c r="AI98" s="70" t="n">
        <f aca="false">AI$46</f>
        <v>2056</v>
      </c>
      <c r="AJ98" s="70" t="n">
        <f aca="false">AJ$46</f>
        <v>2057</v>
      </c>
      <c r="AK98" s="70" t="n">
        <f aca="false">AK$46</f>
        <v>2058</v>
      </c>
      <c r="AL98" s="70" t="n">
        <f aca="false">AL$46</f>
        <v>2059</v>
      </c>
      <c r="AM98" s="70" t="n">
        <f aca="false">AM$46</f>
        <v>2060</v>
      </c>
      <c r="AN98" s="70" t="n">
        <f aca="false">AN$46</f>
        <v>2061</v>
      </c>
      <c r="AO98" s="70" t="n">
        <f aca="false">AO$46</f>
        <v>2062</v>
      </c>
      <c r="AP98" s="70" t="n">
        <f aca="false">AP$46</f>
        <v>2063</v>
      </c>
      <c r="AQ98" s="70" t="n">
        <f aca="false">AQ$46</f>
        <v>2064</v>
      </c>
      <c r="AR98" s="70" t="n">
        <f aca="false">AR$46</f>
        <v>2065</v>
      </c>
      <c r="AS98" s="70" t="n">
        <f aca="false">AS$46</f>
        <v>2066</v>
      </c>
      <c r="AT98" s="70" t="n">
        <f aca="false">AT$46</f>
        <v>2067</v>
      </c>
      <c r="AU98" s="70" t="n">
        <f aca="false">AU$46</f>
        <v>2068</v>
      </c>
      <c r="AV98" s="70" t="n">
        <f aca="false">AV$46</f>
        <v>2069</v>
      </c>
      <c r="AW98" s="70" t="n">
        <f aca="false">AW$46</f>
        <v>2070</v>
      </c>
      <c r="AX98" s="70" t="n">
        <f aca="false">AX$46</f>
        <v>2071</v>
      </c>
      <c r="AY98" s="70" t="n">
        <f aca="false">AY$46</f>
        <v>2072</v>
      </c>
      <c r="AZ98" s="70" t="n">
        <f aca="false">AZ$46</f>
        <v>2073</v>
      </c>
      <c r="BA98" s="70" t="n">
        <f aca="false">BA$46</f>
        <v>2074</v>
      </c>
      <c r="BB98" s="70" t="n">
        <f aca="false">BB$46</f>
        <v>2075</v>
      </c>
    </row>
    <row r="99" customFormat="false" ht="15" hidden="false" customHeight="true" outlineLevel="0" collapsed="false">
      <c r="B99" s="59" t="s">
        <v>499</v>
      </c>
      <c r="C99" s="59" t="s">
        <v>11</v>
      </c>
      <c r="D99" s="63" t="n">
        <f aca="false">SUM(E99:BB99)</f>
        <v>186436337.09684</v>
      </c>
      <c r="E99" s="66" t="n">
        <f aca="false">-E56*$C$16+E93</f>
        <v>0</v>
      </c>
      <c r="F99" s="66" t="n">
        <f aca="false">-F56*$C$16+F93</f>
        <v>0</v>
      </c>
      <c r="G99" s="66" t="n">
        <f aca="false">-G56*$C$16+G93</f>
        <v>-3207762.79554391</v>
      </c>
      <c r="H99" s="66" t="n">
        <f aca="false">-H56*$C$16+H93</f>
        <v>-31043431.1612664</v>
      </c>
      <c r="I99" s="66" t="n">
        <f aca="false">-I56*$C$16+I93</f>
        <v>-38288372.4484579</v>
      </c>
      <c r="J99" s="66" t="n">
        <f aca="false">-J56*$C$16+J93</f>
        <v>-18356470.3141972</v>
      </c>
      <c r="K99" s="66" t="n">
        <f aca="false">-K56*$C$16+K93</f>
        <v>-6507634.74153943</v>
      </c>
      <c r="L99" s="66" t="n">
        <f aca="false">-L56*$C$16+L93</f>
        <v>-1681280.40208916</v>
      </c>
      <c r="M99" s="66" t="n">
        <f aca="false">-M56*$C$16+M93</f>
        <v>285521288.959934</v>
      </c>
      <c r="N99" s="66" t="n">
        <f aca="false">-N56*$C$16+N93</f>
        <v>0</v>
      </c>
      <c r="O99" s="66" t="n">
        <f aca="false">-O56*$C$16+O93</f>
        <v>0</v>
      </c>
      <c r="P99" s="66" t="n">
        <f aca="false">-P56*$C$16+P93</f>
        <v>0</v>
      </c>
      <c r="Q99" s="66" t="n">
        <f aca="false">-Q56*$C$16+Q93</f>
        <v>0</v>
      </c>
      <c r="R99" s="66" t="n">
        <f aca="false">-R56*$C$16+R93</f>
        <v>0</v>
      </c>
      <c r="S99" s="66" t="n">
        <f aca="false">-S56*$C$16+S93</f>
        <v>0</v>
      </c>
      <c r="T99" s="66" t="n">
        <f aca="false">-T56*$C$16+T93</f>
        <v>0</v>
      </c>
      <c r="U99" s="66" t="n">
        <f aca="false">-U56*$C$16+U93</f>
        <v>0</v>
      </c>
      <c r="V99" s="66" t="n">
        <f aca="false">-V56*$C$16+V93</f>
        <v>0</v>
      </c>
      <c r="W99" s="66" t="n">
        <f aca="false">-W56*$C$16+W93</f>
        <v>0</v>
      </c>
      <c r="X99" s="66" t="n">
        <f aca="false">-X56*$C$16+X93</f>
        <v>0</v>
      </c>
      <c r="Y99" s="66" t="n">
        <f aca="false">-Y56*$C$16+Y93</f>
        <v>0</v>
      </c>
      <c r="Z99" s="66" t="n">
        <f aca="false">-Z56*$C$16+Z93</f>
        <v>0</v>
      </c>
      <c r="AA99" s="66" t="n">
        <f aca="false">-AA56*$C$16+AA93</f>
        <v>0</v>
      </c>
      <c r="AB99" s="66" t="n">
        <f aca="false">-AB56*$C$16+AB93</f>
        <v>0</v>
      </c>
      <c r="AC99" s="66" t="n">
        <f aca="false">-AC56*$C$16+AC93</f>
        <v>0</v>
      </c>
      <c r="AD99" s="66" t="n">
        <f aca="false">-AD56*$C$16+AD93</f>
        <v>0</v>
      </c>
      <c r="AE99" s="66" t="n">
        <f aca="false">-AE56*$C$16+AE93</f>
        <v>0</v>
      </c>
      <c r="AF99" s="66" t="n">
        <f aca="false">-AF56*$C$16+AF93</f>
        <v>0</v>
      </c>
      <c r="AG99" s="66" t="n">
        <f aca="false">-AG56*$C$16+AG93</f>
        <v>0</v>
      </c>
      <c r="AH99" s="66" t="n">
        <f aca="false">-AH56*$C$16+AH93</f>
        <v>0</v>
      </c>
      <c r="AI99" s="66" t="n">
        <f aca="false">-AI56*$C$16+AI93</f>
        <v>0</v>
      </c>
      <c r="AJ99" s="66" t="n">
        <f aca="false">-AJ56*$C$16+AJ93</f>
        <v>0</v>
      </c>
      <c r="AK99" s="66" t="n">
        <f aca="false">-AK56*$C$16+AK93</f>
        <v>0</v>
      </c>
      <c r="AL99" s="66" t="n">
        <f aca="false">-AL56*$C$16+AL93</f>
        <v>0</v>
      </c>
      <c r="AM99" s="66" t="n">
        <f aca="false">-AM56*$C$16+AM93</f>
        <v>0</v>
      </c>
      <c r="AN99" s="66" t="n">
        <f aca="false">-AN56*$C$16+AN93</f>
        <v>0</v>
      </c>
      <c r="AO99" s="66" t="n">
        <f aca="false">-AO56*$C$16+AO93</f>
        <v>0</v>
      </c>
      <c r="AP99" s="66" t="n">
        <f aca="false">-AP56*$C$16+AP93</f>
        <v>0</v>
      </c>
      <c r="AQ99" s="66" t="n">
        <f aca="false">-AQ56*$C$16+AQ93</f>
        <v>0</v>
      </c>
      <c r="AR99" s="66" t="n">
        <f aca="false">-AR56*$C$16+AR93</f>
        <v>0</v>
      </c>
      <c r="AS99" s="66" t="n">
        <f aca="false">-AS56*$C$16+AS93</f>
        <v>0</v>
      </c>
      <c r="AT99" s="66" t="n">
        <f aca="false">-AT56*$C$16+AT93</f>
        <v>0</v>
      </c>
      <c r="AU99" s="66" t="n">
        <f aca="false">-AU56*$C$16+AU93</f>
        <v>0</v>
      </c>
      <c r="AV99" s="66" t="n">
        <f aca="false">-AV56*$C$16+AV93</f>
        <v>0</v>
      </c>
      <c r="AW99" s="66" t="n">
        <f aca="false">-AW56*$C$16+AW93</f>
        <v>0</v>
      </c>
      <c r="AX99" s="66" t="n">
        <f aca="false">-AX56*$C$16+AX93</f>
        <v>0</v>
      </c>
      <c r="AY99" s="66" t="n">
        <f aca="false">-AY56*$C$16+AY93</f>
        <v>0</v>
      </c>
      <c r="AZ99" s="66" t="n">
        <f aca="false">-AZ56*$C$16+AZ93</f>
        <v>0</v>
      </c>
      <c r="BA99" s="66" t="n">
        <f aca="false">-BA56*$C$16+BA93</f>
        <v>0</v>
      </c>
      <c r="BB99" s="66" t="n">
        <f aca="false">-BB56*$C$16+BB93</f>
        <v>0</v>
      </c>
    </row>
    <row r="100" customFormat="false" ht="15" hidden="false" customHeight="true" outlineLevel="0" collapsed="false">
      <c r="B100" s="59" t="s">
        <v>500</v>
      </c>
      <c r="C100" s="59" t="s">
        <v>11</v>
      </c>
      <c r="E100" s="66" t="n">
        <f aca="false">E99</f>
        <v>0</v>
      </c>
      <c r="F100" s="66" t="n">
        <f aca="false">E100+F99</f>
        <v>0</v>
      </c>
      <c r="G100" s="66" t="n">
        <f aca="false">F100+G99</f>
        <v>-3207762.79554391</v>
      </c>
      <c r="H100" s="66" t="n">
        <f aca="false">G100+H99</f>
        <v>-34251193.9568103</v>
      </c>
      <c r="I100" s="66" t="n">
        <f aca="false">H100+I99</f>
        <v>-72539566.4052683</v>
      </c>
      <c r="J100" s="66" t="n">
        <f aca="false">I100+J99</f>
        <v>-90896036.7194654</v>
      </c>
      <c r="K100" s="66" t="n">
        <f aca="false">J100+K99</f>
        <v>-97403671.4610049</v>
      </c>
      <c r="L100" s="66" t="n">
        <f aca="false">K100+L99</f>
        <v>-99084951.863094</v>
      </c>
      <c r="M100" s="66" t="n">
        <f aca="false">L100+M99</f>
        <v>186436337.09684</v>
      </c>
      <c r="N100" s="66" t="n">
        <f aca="false">M100+N99</f>
        <v>186436337.09684</v>
      </c>
      <c r="O100" s="66" t="n">
        <f aca="false">N100+O99</f>
        <v>186436337.09684</v>
      </c>
      <c r="P100" s="66" t="n">
        <f aca="false">O100+P99</f>
        <v>186436337.09684</v>
      </c>
      <c r="Q100" s="66" t="n">
        <f aca="false">P100+Q99</f>
        <v>186436337.09684</v>
      </c>
      <c r="R100" s="66" t="n">
        <f aca="false">Q100+R99</f>
        <v>186436337.09684</v>
      </c>
      <c r="S100" s="66" t="n">
        <f aca="false">R100+S99</f>
        <v>186436337.09684</v>
      </c>
      <c r="T100" s="66" t="n">
        <f aca="false">S100+T99</f>
        <v>186436337.09684</v>
      </c>
      <c r="U100" s="66" t="n">
        <f aca="false">T100+U99</f>
        <v>186436337.09684</v>
      </c>
      <c r="V100" s="66" t="n">
        <f aca="false">U100+V99</f>
        <v>186436337.09684</v>
      </c>
      <c r="W100" s="66" t="n">
        <f aca="false">V100+W99</f>
        <v>186436337.09684</v>
      </c>
      <c r="X100" s="66" t="n">
        <f aca="false">W100+X99</f>
        <v>186436337.09684</v>
      </c>
      <c r="Y100" s="66" t="n">
        <f aca="false">X100+Y99</f>
        <v>186436337.09684</v>
      </c>
      <c r="Z100" s="66" t="n">
        <f aca="false">Y100+Z99</f>
        <v>186436337.09684</v>
      </c>
      <c r="AA100" s="66" t="n">
        <f aca="false">Z100+AA99</f>
        <v>186436337.09684</v>
      </c>
      <c r="AB100" s="66" t="n">
        <f aca="false">AA100+AB99</f>
        <v>186436337.09684</v>
      </c>
      <c r="AC100" s="66" t="n">
        <f aca="false">AB100+AC99</f>
        <v>186436337.09684</v>
      </c>
      <c r="AD100" s="66" t="n">
        <f aca="false">AC100+AD99</f>
        <v>186436337.09684</v>
      </c>
      <c r="AE100" s="66" t="n">
        <f aca="false">AD100+AE99</f>
        <v>186436337.09684</v>
      </c>
      <c r="AF100" s="66" t="n">
        <f aca="false">AE100+AF99</f>
        <v>186436337.09684</v>
      </c>
      <c r="AG100" s="66" t="n">
        <f aca="false">AF100+AG99</f>
        <v>186436337.09684</v>
      </c>
      <c r="AH100" s="66" t="n">
        <f aca="false">AG100+AH99</f>
        <v>186436337.09684</v>
      </c>
      <c r="AI100" s="66" t="n">
        <f aca="false">AH100+AI99</f>
        <v>186436337.09684</v>
      </c>
      <c r="AJ100" s="66" t="n">
        <f aca="false">AI100+AJ99</f>
        <v>186436337.09684</v>
      </c>
      <c r="AK100" s="66" t="n">
        <f aca="false">AJ100+AK99</f>
        <v>186436337.09684</v>
      </c>
      <c r="AL100" s="66" t="n">
        <f aca="false">AK100+AL99</f>
        <v>186436337.09684</v>
      </c>
      <c r="AM100" s="66" t="n">
        <f aca="false">AL100+AM99</f>
        <v>186436337.09684</v>
      </c>
      <c r="AN100" s="66" t="n">
        <f aca="false">AM100+AN99</f>
        <v>186436337.09684</v>
      </c>
      <c r="AO100" s="66" t="n">
        <f aca="false">AN100+AO99</f>
        <v>186436337.09684</v>
      </c>
      <c r="AP100" s="66" t="n">
        <f aca="false">AO100+AP99</f>
        <v>186436337.09684</v>
      </c>
      <c r="AQ100" s="66" t="n">
        <f aca="false">AP100+AQ99</f>
        <v>186436337.09684</v>
      </c>
      <c r="AR100" s="66" t="n">
        <f aca="false">AQ100+AR99</f>
        <v>186436337.09684</v>
      </c>
      <c r="AS100" s="66" t="n">
        <f aca="false">AR100+AS99</f>
        <v>186436337.09684</v>
      </c>
      <c r="AT100" s="66" t="n">
        <f aca="false">AS100+AT99</f>
        <v>186436337.09684</v>
      </c>
      <c r="AU100" s="66" t="n">
        <f aca="false">AT100+AU99</f>
        <v>186436337.09684</v>
      </c>
      <c r="AV100" s="66" t="n">
        <f aca="false">AU100+AV99</f>
        <v>186436337.09684</v>
      </c>
      <c r="AW100" s="66" t="n">
        <f aca="false">AV100+AW99</f>
        <v>186436337.09684</v>
      </c>
      <c r="AX100" s="66" t="n">
        <f aca="false">AW100+AX99</f>
        <v>186436337.09684</v>
      </c>
      <c r="AY100" s="66" t="n">
        <f aca="false">AX100+AY99</f>
        <v>186436337.09684</v>
      </c>
      <c r="AZ100" s="66" t="n">
        <f aca="false">AY100+AZ99</f>
        <v>186436337.09684</v>
      </c>
      <c r="BA100" s="66" t="n">
        <f aca="false">AZ100+BA99</f>
        <v>186436337.09684</v>
      </c>
      <c r="BB100" s="66" t="n">
        <f aca="false">BA100+BB99</f>
        <v>186436337.09684</v>
      </c>
    </row>
    <row r="101" customFormat="false" ht="15" hidden="false" customHeight="true" outlineLevel="0" collapsed="false">
      <c r="B101" s="20" t="s">
        <v>501</v>
      </c>
      <c r="C101" s="59" t="s">
        <v>268</v>
      </c>
      <c r="E101" s="67" t="n">
        <f aca="false">IFERROR(IRR(E99:BB99),"-")</f>
        <v>0.291500300845587</v>
      </c>
    </row>
    <row r="103" customFormat="false" ht="15" hidden="false" customHeight="true" outlineLevel="0" collapsed="false">
      <c r="B103" s="59" t="s">
        <v>502</v>
      </c>
      <c r="C103" s="59" t="s">
        <v>11</v>
      </c>
      <c r="D103" s="63" t="n">
        <f aca="false">SUM(E103:BB103)</f>
        <v>264211380.898212</v>
      </c>
      <c r="E103" s="66" t="n">
        <f aca="false">-E56*$C$15+E94</f>
        <v>0</v>
      </c>
      <c r="F103" s="66" t="n">
        <f aca="false">-F56*$C$15+F94</f>
        <v>0</v>
      </c>
      <c r="G103" s="66" t="n">
        <f aca="false">-G56*$C$15+G94</f>
        <v>-5557337.43310089</v>
      </c>
      <c r="H103" s="66" t="n">
        <f aca="false">-H56*$C$15+H94</f>
        <v>-53781664.3687161</v>
      </c>
      <c r="I103" s="66" t="n">
        <f aca="false">-I56*$C$15+I94</f>
        <v>-66333273.0699139</v>
      </c>
      <c r="J103" s="66" t="n">
        <f aca="false">-J56*$C$15+J94</f>
        <v>-31801946.1284375</v>
      </c>
      <c r="K103" s="66" t="n">
        <f aca="false">-K56*$C$15+K94</f>
        <v>-11274250.7645341</v>
      </c>
      <c r="L103" s="66" t="n">
        <f aca="false">-L56*$C$15+L94</f>
        <v>-2912759.79852642</v>
      </c>
      <c r="M103" s="66" t="n">
        <f aca="false">-M56*$C$15+M94</f>
        <v>435872612.461441</v>
      </c>
      <c r="N103" s="66" t="n">
        <f aca="false">-N56*$C$15+N94</f>
        <v>0</v>
      </c>
      <c r="O103" s="66" t="n">
        <f aca="false">-O56*$C$15+O94</f>
        <v>0</v>
      </c>
      <c r="P103" s="66" t="n">
        <f aca="false">-P56*$C$15+P94</f>
        <v>0</v>
      </c>
      <c r="Q103" s="66" t="n">
        <f aca="false">-Q56*$C$15+Q94</f>
        <v>0</v>
      </c>
      <c r="R103" s="66" t="n">
        <f aca="false">-R56*$C$15+R94</f>
        <v>0</v>
      </c>
      <c r="S103" s="66" t="n">
        <f aca="false">-S56*$C$15+S94</f>
        <v>0</v>
      </c>
      <c r="T103" s="66" t="n">
        <f aca="false">-T56*$C$15+T94</f>
        <v>0</v>
      </c>
      <c r="U103" s="66" t="n">
        <f aca="false">-U56*$C$15+U94</f>
        <v>0</v>
      </c>
      <c r="V103" s="66" t="n">
        <f aca="false">-V56*$C$15+V94</f>
        <v>0</v>
      </c>
      <c r="W103" s="66" t="n">
        <f aca="false">-W56*$C$15+W94</f>
        <v>0</v>
      </c>
      <c r="X103" s="66" t="n">
        <f aca="false">-X56*$C$15+X94</f>
        <v>0</v>
      </c>
      <c r="Y103" s="66" t="n">
        <f aca="false">-Y56*$C$15+Y94</f>
        <v>0</v>
      </c>
      <c r="Z103" s="66" t="n">
        <f aca="false">-Z56*$C$15+Z94</f>
        <v>0</v>
      </c>
      <c r="AA103" s="66" t="n">
        <f aca="false">-AA56*$C$15+AA94</f>
        <v>0</v>
      </c>
      <c r="AB103" s="66" t="n">
        <f aca="false">-AB56*$C$15+AB94</f>
        <v>0</v>
      </c>
      <c r="AC103" s="66" t="n">
        <f aca="false">-AC56*$C$15+AC94</f>
        <v>0</v>
      </c>
      <c r="AD103" s="66" t="n">
        <f aca="false">-AD56*$C$15+AD94</f>
        <v>0</v>
      </c>
      <c r="AE103" s="66" t="n">
        <f aca="false">-AE56*$C$15+AE94</f>
        <v>0</v>
      </c>
      <c r="AF103" s="66" t="n">
        <f aca="false">-AF56*$C$15+AF94</f>
        <v>0</v>
      </c>
      <c r="AG103" s="66" t="n">
        <f aca="false">-AG56*$C$15+AG94</f>
        <v>0</v>
      </c>
      <c r="AH103" s="66" t="n">
        <f aca="false">-AH56*$C$15+AH94</f>
        <v>0</v>
      </c>
      <c r="AI103" s="66" t="n">
        <f aca="false">-AI56*$C$15+AI94</f>
        <v>0</v>
      </c>
      <c r="AJ103" s="66" t="n">
        <f aca="false">-AJ56*$C$15+AJ94</f>
        <v>0</v>
      </c>
      <c r="AK103" s="66" t="n">
        <f aca="false">-AK56*$C$15+AK94</f>
        <v>0</v>
      </c>
      <c r="AL103" s="66" t="n">
        <f aca="false">-AL56*$C$15+AL94</f>
        <v>0</v>
      </c>
      <c r="AM103" s="66" t="n">
        <f aca="false">-AM56*$C$15+AM94</f>
        <v>0</v>
      </c>
      <c r="AN103" s="66" t="n">
        <f aca="false">-AN56*$C$15+AN94</f>
        <v>0</v>
      </c>
      <c r="AO103" s="66" t="n">
        <f aca="false">-AO56*$C$15+AO94</f>
        <v>0</v>
      </c>
      <c r="AP103" s="66" t="n">
        <f aca="false">-AP56*$C$15+AP94</f>
        <v>0</v>
      </c>
      <c r="AQ103" s="66" t="n">
        <f aca="false">-AQ56*$C$15+AQ94</f>
        <v>0</v>
      </c>
      <c r="AR103" s="66" t="n">
        <f aca="false">-AR56*$C$15+AR94</f>
        <v>0</v>
      </c>
      <c r="AS103" s="66" t="n">
        <f aca="false">-AS56*$C$15+AS94</f>
        <v>0</v>
      </c>
      <c r="AT103" s="66" t="n">
        <f aca="false">-AT56*$C$15+AT94</f>
        <v>0</v>
      </c>
      <c r="AU103" s="66" t="n">
        <f aca="false">-AU56*$C$15+AU94</f>
        <v>0</v>
      </c>
      <c r="AV103" s="66" t="n">
        <f aca="false">-AV56*$C$15+AV94</f>
        <v>0</v>
      </c>
      <c r="AW103" s="66" t="n">
        <f aca="false">-AW56*$C$15+AW94</f>
        <v>0</v>
      </c>
      <c r="AX103" s="66" t="n">
        <f aca="false">-AX56*$C$15+AX94</f>
        <v>0</v>
      </c>
      <c r="AY103" s="66" t="n">
        <f aca="false">-AY56*$C$15+AY94</f>
        <v>0</v>
      </c>
      <c r="AZ103" s="66" t="n">
        <f aca="false">-AZ56*$C$15+AZ94</f>
        <v>0</v>
      </c>
      <c r="BA103" s="66" t="n">
        <f aca="false">-BA56*$C$15+BA94</f>
        <v>0</v>
      </c>
      <c r="BB103" s="66" t="n">
        <f aca="false">-BB56*$C$15+BB94</f>
        <v>0</v>
      </c>
    </row>
    <row r="104" customFormat="false" ht="15" hidden="false" customHeight="true" outlineLevel="0" collapsed="false">
      <c r="B104" s="20" t="s">
        <v>503</v>
      </c>
      <c r="C104" s="59" t="s">
        <v>268</v>
      </c>
      <c r="E104" s="67" t="n">
        <f aca="false">IFERROR(IRR(E103:BB103),"-")</f>
        <v>0.253571275982684</v>
      </c>
    </row>
    <row r="106" customFormat="false" ht="15" hidden="false" customHeight="true" outlineLevel="0" collapsed="false">
      <c r="A106" s="58" t="s">
        <v>504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customFormat="false" ht="15" hidden="false" customHeight="true" outlineLevel="0" collapsed="false">
      <c r="B107" s="59" t="s">
        <v>505</v>
      </c>
      <c r="C107" s="71" t="n">
        <f aca="false">IFERROR(IRR(E52:BB52),"-")</f>
        <v>0.174829507691599</v>
      </c>
    </row>
    <row r="108" customFormat="false" ht="15" hidden="false" customHeight="true" outlineLevel="0" collapsed="false">
      <c r="B108" s="59" t="s">
        <v>501</v>
      </c>
      <c r="C108" s="71" t="n">
        <f aca="false">E101</f>
        <v>0.291500300845587</v>
      </c>
    </row>
    <row r="109" customFormat="false" ht="15" hidden="false" customHeight="true" outlineLevel="0" collapsed="false">
      <c r="B109" s="59" t="s">
        <v>503</v>
      </c>
      <c r="C109" s="71" t="n">
        <f aca="false">E104</f>
        <v>0.253571275982684</v>
      </c>
    </row>
    <row r="110" customFormat="false" ht="15" hidden="false" customHeight="true" outlineLevel="0" collapsed="false">
      <c r="B110" s="59" t="s">
        <v>399</v>
      </c>
      <c r="C110" s="72" t="n">
        <f aca="false">IFERROR(D93/(D56*$C$16),"-")</f>
        <v>2.88158074047853</v>
      </c>
    </row>
    <row r="111" customFormat="false" ht="15" hidden="false" customHeight="true" outlineLevel="0" collapsed="false">
      <c r="B111" s="59" t="s">
        <v>400</v>
      </c>
      <c r="C111" s="72" t="n">
        <f aca="false">IFERROR(D94/(D56*$C$15),"-")</f>
        <v>2.5391441532382</v>
      </c>
    </row>
    <row r="113" customFormat="false" ht="15" hidden="false" customHeight="true" outlineLevel="0" collapsed="false">
      <c r="B113" s="59" t="s">
        <v>421</v>
      </c>
      <c r="C113" s="63" t="n">
        <f aca="false">$C$14</f>
        <v>183752778.064708</v>
      </c>
    </row>
    <row r="114" customFormat="false" ht="15" hidden="false" customHeight="true" outlineLevel="0" collapsed="false">
      <c r="B114" s="59" t="s">
        <v>506</v>
      </c>
      <c r="C114" s="63" t="n">
        <f aca="false">D57</f>
        <v>428756482.150985</v>
      </c>
    </row>
    <row r="115" customFormat="false" ht="15" hidden="false" customHeight="true" outlineLevel="0" collapsed="false">
      <c r="B115" s="59" t="s">
        <v>507</v>
      </c>
      <c r="C115" s="63" t="n">
        <f aca="false">D69</f>
        <v>91587445.5622303</v>
      </c>
    </row>
    <row r="116" customFormat="false" ht="15" hidden="false" customHeight="true" outlineLevel="0" collapsed="false">
      <c r="B116" s="59" t="s">
        <v>508</v>
      </c>
      <c r="C116" s="63" t="n">
        <f aca="false">D51</f>
        <v>761289183.94134</v>
      </c>
    </row>
    <row r="118" customFormat="false" ht="15" hidden="false" customHeight="true" outlineLevel="0" collapsed="false">
      <c r="A118" s="58" t="s">
        <v>509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customFormat="false" ht="15" hidden="false" customHeight="true" outlineLevel="0" collapsed="false">
      <c r="B119" s="59" t="s">
        <v>510</v>
      </c>
      <c r="C119" s="59" t="str">
        <f aca="false">IF(ABS(D50-(D47+D48+D49))&lt;1,"✓","✗")</f>
        <v>✓</v>
      </c>
    </row>
    <row r="120" customFormat="false" ht="15" hidden="false" customHeight="true" outlineLevel="0" collapsed="false">
      <c r="B120" s="59" t="s">
        <v>511</v>
      </c>
      <c r="C120" s="59" t="str">
        <f aca="false">IF(ABS(D56-($C$14+D70))&lt;MAX(1,$C$14*0.05),"✓","✗")</f>
        <v>✓</v>
      </c>
    </row>
    <row r="121" customFormat="false" ht="15" hidden="false" customHeight="true" outlineLevel="0" collapsed="false">
      <c r="B121" s="59" t="s">
        <v>512</v>
      </c>
      <c r="C121" s="59" t="str">
        <f aca="false">IF(D95&lt;=D75+1,"✓","✗")</f>
        <v>✓</v>
      </c>
    </row>
    <row r="122" customFormat="false" ht="15" hidden="false" customHeight="true" outlineLevel="0" collapsed="false">
      <c r="B122" s="59" t="s">
        <v>513</v>
      </c>
      <c r="C122" s="59" t="str">
        <f aca="false">IF(MIN(E60:BB60)&gt;=0,"✓","✗")</f>
        <v>✓</v>
      </c>
    </row>
    <row r="123" customFormat="false" ht="15" hidden="false" customHeight="true" outlineLevel="0" collapsed="false">
      <c r="B123" s="59" t="s">
        <v>514</v>
      </c>
      <c r="C123" s="59" t="str">
        <f aca="false">IF(ABS(D95-(D93+D94))&lt;1,"✓","✗")</f>
        <v>✓</v>
      </c>
    </row>
    <row r="124" customFormat="false" ht="15" hidden="false" customHeight="true" outlineLevel="0" collapsed="false">
      <c r="B124" s="59" t="s">
        <v>515</v>
      </c>
      <c r="C124" s="59" t="str">
        <f aca="false">IF(IFERROR(VLOOKUP($C$9+$C$24,E46:BB60,MATCH($C$9+$C$24,E46:BB46,0),FALSE()),0)&lt;=1,"✓","✗")</f>
        <v>✓</v>
      </c>
    </row>
    <row r="125" customFormat="false" ht="15" hidden="false" customHeight="true" outlineLevel="0" collapsed="false">
      <c r="A125" s="58" t="s">
        <v>516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7" customFormat="false" ht="15" hidden="false" customHeight="true" outlineLevel="0" collapsed="false">
      <c r="B127" s="59" t="s">
        <v>517</v>
      </c>
      <c r="C127" s="59" t="s">
        <v>518</v>
      </c>
      <c r="D127" s="66" t="n">
        <f aca="false">IFERROR(E52+NPV(0.1,F52:BB52),"-")</f>
        <v>101190844.713209</v>
      </c>
    </row>
    <row r="128" customFormat="false" ht="15" hidden="false" customHeight="true" outlineLevel="0" collapsed="false">
      <c r="B128" s="59" t="s">
        <v>519</v>
      </c>
      <c r="C128" s="59" t="s">
        <v>518</v>
      </c>
      <c r="D128" s="66" t="n">
        <f aca="false">IFERROR(E99+NPV(0.1,F99:BB99),"-")</f>
        <v>65137805.3261164</v>
      </c>
    </row>
    <row r="129" customFormat="false" ht="15" hidden="false" customHeight="true" outlineLevel="0" collapsed="false">
      <c r="B129" s="59" t="s">
        <v>520</v>
      </c>
      <c r="C129" s="59" t="s">
        <v>518</v>
      </c>
      <c r="D129" s="66" t="n">
        <f aca="false">IFERROR(E103+NPV(0.1,F103:BB103),"-")</f>
        <v>85426237.747799</v>
      </c>
    </row>
    <row r="131" customFormat="false" ht="15" hidden="false" customHeight="true" outlineLevel="0" collapsed="false">
      <c r="B131" s="59" t="s">
        <v>517</v>
      </c>
      <c r="C131" s="59" t="s">
        <v>521</v>
      </c>
      <c r="D131" s="66" t="n">
        <f aca="false">IFERROR(E52+NPV(0.12,F52:BB52),"-")</f>
        <v>66108070.6804259</v>
      </c>
    </row>
    <row r="132" customFormat="false" ht="15" hidden="false" customHeight="true" outlineLevel="0" collapsed="false">
      <c r="B132" s="59" t="s">
        <v>519</v>
      </c>
      <c r="C132" s="59" t="s">
        <v>521</v>
      </c>
      <c r="D132" s="66" t="n">
        <f aca="false">IFERROR(E99+NPV(0.12,F99:BB99),"-")</f>
        <v>51857546.5836459</v>
      </c>
    </row>
    <row r="133" customFormat="false" ht="15" hidden="false" customHeight="true" outlineLevel="0" collapsed="false">
      <c r="B133" s="59" t="s">
        <v>520</v>
      </c>
      <c r="C133" s="59" t="s">
        <v>521</v>
      </c>
      <c r="D133" s="66" t="n">
        <f aca="false">IFERROR(E103+NPV(0.12,F103:BB103),"-")</f>
        <v>66099892.4917072</v>
      </c>
    </row>
    <row r="135" customFormat="false" ht="15" hidden="false" customHeight="true" outlineLevel="0" collapsed="false">
      <c r="B135" s="59" t="s">
        <v>517</v>
      </c>
      <c r="C135" s="59" t="s">
        <v>522</v>
      </c>
      <c r="D135" s="66" t="n">
        <f aca="false">IFERROR(E52+NPV(0.14,F52:BB52),"-")</f>
        <v>37537389.5265314</v>
      </c>
    </row>
    <row r="136" customFormat="false" ht="15" hidden="false" customHeight="true" outlineLevel="0" collapsed="false">
      <c r="B136" s="59" t="s">
        <v>519</v>
      </c>
      <c r="C136" s="59" t="s">
        <v>522</v>
      </c>
      <c r="D136" s="66" t="n">
        <f aca="false">IFERROR(E99+NPV(0.14,F99:BB99),"-")</f>
        <v>40830113.1957454</v>
      </c>
    </row>
    <row r="137" customFormat="false" ht="15" hidden="false" customHeight="true" outlineLevel="0" collapsed="false">
      <c r="B137" s="59" t="s">
        <v>520</v>
      </c>
      <c r="C137" s="59" t="s">
        <v>522</v>
      </c>
      <c r="D137" s="66" t="n">
        <f aca="false">IFERROR(E103+NPV(0.14,F103:BB103),"-")</f>
        <v>50129807.3040001</v>
      </c>
    </row>
    <row r="140" customFormat="false" ht="15" hidden="false" customHeight="true" outlineLevel="0" collapsed="false">
      <c r="A140" s="58" t="s">
        <v>238</v>
      </c>
      <c r="B140" s="58"/>
      <c r="C140" s="58"/>
      <c r="D140" s="58"/>
    </row>
    <row r="141" customFormat="false" ht="15" hidden="true" customHeight="true" outlineLevel="1" collapsed="false">
      <c r="B141" s="59" t="s">
        <v>523</v>
      </c>
      <c r="C141" s="61" t="n">
        <f aca="false">C17</f>
        <v>496004466.735064</v>
      </c>
    </row>
    <row r="142" customFormat="false" ht="15" hidden="true" customHeight="true" outlineLevel="1" collapsed="false">
      <c r="B142" s="59" t="s">
        <v>524</v>
      </c>
      <c r="C142" s="61" t="n">
        <f aca="false">C12</f>
        <v>116504793.48063</v>
      </c>
    </row>
    <row r="143" customFormat="false" ht="15" hidden="true" customHeight="true" outlineLevel="1" collapsed="false">
      <c r="B143" s="59" t="s">
        <v>427</v>
      </c>
      <c r="C143" s="61" t="n">
        <f aca="false">C19</f>
        <v>428756482.150985</v>
      </c>
    </row>
    <row r="144" customFormat="false" ht="15" hidden="true" customHeight="true" outlineLevel="1" collapsed="false">
      <c r="B144" s="59" t="s">
        <v>421</v>
      </c>
      <c r="C144" s="61" t="n">
        <f aca="false">C14</f>
        <v>183752778.064708</v>
      </c>
    </row>
  </sheetData>
  <sheetProtection sheet="true" password="ce4b"/>
  <dataValidations count="1">
    <dataValidation allowBlank="false" errorStyle="stop" operator="between" showDropDown="false" showErrorMessage="false" showInputMessage="false" sqref="C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526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402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403</v>
      </c>
      <c r="C4" s="24" t="s">
        <v>404</v>
      </c>
      <c r="D4" s="30" t="s">
        <v>405</v>
      </c>
    </row>
    <row r="5" customFormat="false" ht="15" hidden="false" customHeight="true" outlineLevel="0" collapsed="false">
      <c r="B5" s="59" t="s">
        <v>406</v>
      </c>
      <c r="C5" s="59" t="s">
        <v>47</v>
      </c>
      <c r="D5" s="30" t="s">
        <v>407</v>
      </c>
    </row>
    <row r="6" customFormat="false" ht="15" hidden="false" customHeight="true" outlineLevel="0" collapsed="false">
      <c r="B6" s="59" t="s">
        <v>408</v>
      </c>
      <c r="C6" s="24" t="s">
        <v>87</v>
      </c>
      <c r="D6" s="30" t="s">
        <v>409</v>
      </c>
    </row>
    <row r="7" customFormat="false" ht="15" hidden="false" customHeight="true" outlineLevel="0" collapsed="false">
      <c r="B7" s="59" t="s">
        <v>410</v>
      </c>
      <c r="C7" s="24" t="s">
        <v>411</v>
      </c>
      <c r="D7" s="30" t="s">
        <v>412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  <c r="D8" s="30" t="s">
        <v>413</v>
      </c>
    </row>
    <row r="9" customFormat="false" ht="15" hidden="false" customHeight="true" outlineLevel="0" collapsed="false">
      <c r="B9" s="59" t="s">
        <v>414</v>
      </c>
      <c r="C9" s="65" t="n">
        <f aca="false">Inputs!C7+Inputs!C47-1</f>
        <v>2029</v>
      </c>
      <c r="D9" s="30" t="s">
        <v>415</v>
      </c>
    </row>
    <row r="11" customFormat="false" ht="15" hidden="false" customHeight="true" outlineLevel="0" collapsed="false">
      <c r="A11" s="58" t="s">
        <v>416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customFormat="false" ht="15" hidden="false" customHeight="true" outlineLevel="0" collapsed="false">
      <c r="B12" s="59" t="s">
        <v>417</v>
      </c>
      <c r="C12" s="61" t="n">
        <f aca="false">Inputs!E69</f>
        <v>83956276.6114219</v>
      </c>
      <c r="D12" s="30" t="s">
        <v>418</v>
      </c>
    </row>
    <row r="13" customFormat="false" ht="15" hidden="false" customHeight="true" outlineLevel="0" collapsed="false">
      <c r="B13" s="59" t="s">
        <v>419</v>
      </c>
      <c r="C13" s="66" t="n">
        <f aca="false">C14-C12</f>
        <v>80969076.2334336</v>
      </c>
      <c r="D13" s="30" t="s">
        <v>420</v>
      </c>
    </row>
    <row r="14" customFormat="false" ht="15" hidden="false" customHeight="true" outlineLevel="0" collapsed="false">
      <c r="B14" s="59" t="s">
        <v>421</v>
      </c>
      <c r="C14" s="63" t="n">
        <f aca="false">C18-C19</f>
        <v>164925352.844855</v>
      </c>
      <c r="D14" s="30" t="s">
        <v>422</v>
      </c>
    </row>
    <row r="15" customFormat="false" ht="15" hidden="false" customHeight="true" outlineLevel="0" collapsed="false">
      <c r="B15" s="59" t="s">
        <v>423</v>
      </c>
      <c r="C15" s="67" t="n">
        <f aca="false">IF(C14=0,0,C12/C14)</f>
        <v>0.509056219454623</v>
      </c>
    </row>
    <row r="16" customFormat="false" ht="15" hidden="false" customHeight="true" outlineLevel="0" collapsed="false">
      <c r="B16" s="59" t="s">
        <v>398</v>
      </c>
      <c r="C16" s="67" t="n">
        <f aca="false">IF(C14=0,0,C13/C14)</f>
        <v>0.490943780545377</v>
      </c>
    </row>
    <row r="17" customFormat="false" ht="15" hidden="false" customHeight="true" outlineLevel="0" collapsed="false">
      <c r="B17" s="59" t="s">
        <v>424</v>
      </c>
      <c r="C17" s="61" t="n">
        <f aca="false">CAPEX!D38</f>
        <v>465794899.538096</v>
      </c>
    </row>
    <row r="18" customFormat="false" ht="15" hidden="false" customHeight="true" outlineLevel="0" collapsed="false">
      <c r="B18" s="59" t="s">
        <v>425</v>
      </c>
      <c r="C18" s="63" t="n">
        <f aca="false">C17+C12</f>
        <v>549751176.149518</v>
      </c>
      <c r="D18" s="30" t="s">
        <v>426</v>
      </c>
    </row>
    <row r="19" customFormat="false" ht="15" hidden="false" customHeight="true" outlineLevel="0" collapsed="false">
      <c r="B19" s="59" t="s">
        <v>427</v>
      </c>
      <c r="C19" s="61" t="n">
        <f aca="false">IF($C$22="Y",C18*Inputs!$C$85,0)</f>
        <v>384825823.304663</v>
      </c>
      <c r="D19" s="30" t="s">
        <v>428</v>
      </c>
    </row>
    <row r="21" customFormat="false" ht="15" hidden="false" customHeight="true" outlineLevel="0" collapsed="false">
      <c r="A21" s="58" t="s">
        <v>429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customFormat="false" ht="15" hidden="false" customHeight="true" outlineLevel="0" collapsed="false">
      <c r="B22" s="59" t="s">
        <v>430</v>
      </c>
      <c r="C22" s="24" t="s">
        <v>122</v>
      </c>
      <c r="D22" s="30" t="s">
        <v>431</v>
      </c>
    </row>
    <row r="23" customFormat="false" ht="15" hidden="false" customHeight="true" outlineLevel="0" collapsed="false">
      <c r="B23" s="59" t="s">
        <v>432</v>
      </c>
      <c r="C23" s="62" t="n">
        <f aca="false">Inputs!E$126</f>
        <v>0.065</v>
      </c>
      <c r="D23" s="30" t="s">
        <v>433</v>
      </c>
    </row>
    <row r="24" customFormat="false" ht="15" hidden="false" customHeight="true" outlineLevel="0" collapsed="false">
      <c r="B24" s="59" t="s">
        <v>434</v>
      </c>
      <c r="C24" s="65" t="n">
        <f aca="false">Inputs!E$127</f>
        <v>7</v>
      </c>
      <c r="D24" s="30" t="s">
        <v>435</v>
      </c>
    </row>
    <row r="25" customFormat="false" ht="15" hidden="false" customHeight="true" outlineLevel="0" collapsed="false">
      <c r="B25" s="59" t="s">
        <v>114</v>
      </c>
      <c r="C25" s="62" t="n">
        <f aca="false">Inputs!E$129</f>
        <v>0.005</v>
      </c>
      <c r="D25" s="30" t="s">
        <v>436</v>
      </c>
    </row>
    <row r="26" customFormat="false" ht="15" hidden="false" customHeight="true" outlineLevel="0" collapsed="false">
      <c r="B26" s="59" t="s">
        <v>21</v>
      </c>
      <c r="C26" s="65" t="n">
        <f aca="false">Inputs!E$128</f>
        <v>3</v>
      </c>
      <c r="D26" s="30" t="s">
        <v>437</v>
      </c>
    </row>
    <row r="28" customFormat="false" ht="15" hidden="false" customHeight="tru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customFormat="false" ht="15" hidden="false" customHeight="true" outlineLevel="0" collapsed="false">
      <c r="B29" s="59" t="s">
        <v>439</v>
      </c>
      <c r="C29" s="62" t="n">
        <f aca="false">Inputs!E$130</f>
        <v>0.02</v>
      </c>
      <c r="D29" s="30" t="s">
        <v>440</v>
      </c>
    </row>
    <row r="30" customFormat="false" ht="15" hidden="false" customHeight="true" outlineLevel="0" collapsed="false">
      <c r="B30" s="59" t="s">
        <v>441</v>
      </c>
      <c r="C30" s="62" t="n">
        <f aca="false">Inputs!E$131</f>
        <v>0.009</v>
      </c>
      <c r="D30" s="30" t="s">
        <v>442</v>
      </c>
    </row>
    <row r="31" customFormat="false" ht="15" hidden="false" customHeight="true" outlineLevel="0" collapsed="false">
      <c r="B31" s="59" t="s">
        <v>443</v>
      </c>
      <c r="C31" s="61" t="n">
        <f aca="false">Inputs!E$132</f>
        <v>130000</v>
      </c>
      <c r="D31" s="30" t="s">
        <v>444</v>
      </c>
    </row>
    <row r="32" customFormat="false" ht="15" hidden="false" customHeight="true" outlineLevel="0" collapsed="false">
      <c r="B32" s="59" t="s">
        <v>445</v>
      </c>
      <c r="C32" s="62" t="n">
        <f aca="false">Inputs!E$133</f>
        <v>0.12</v>
      </c>
      <c r="D32" s="30" t="s">
        <v>446</v>
      </c>
    </row>
    <row r="33" customFormat="false" ht="15" hidden="false" customHeight="true" outlineLevel="0" collapsed="false">
      <c r="B33" s="59" t="s">
        <v>447</v>
      </c>
      <c r="C33" s="62" t="n">
        <f aca="false">Inputs!E$134</f>
        <v>0.01</v>
      </c>
      <c r="D33" s="30" t="s">
        <v>448</v>
      </c>
    </row>
    <row r="35" customFormat="false" ht="15" hidden="false" customHeight="true" outlineLevel="0" collapsed="false">
      <c r="A35" s="58" t="s">
        <v>449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customFormat="false" ht="15" hidden="false" customHeight="true" outlineLevel="0" collapsed="false">
      <c r="B36" s="59" t="s">
        <v>120</v>
      </c>
      <c r="C36" s="62" t="n">
        <f aca="false">Inputs!E$135</f>
        <v>0.15</v>
      </c>
      <c r="D36" s="30" t="s">
        <v>450</v>
      </c>
    </row>
    <row r="37" customFormat="false" ht="15" hidden="false" customHeight="true" outlineLevel="0" collapsed="false">
      <c r="B37" s="59" t="s">
        <v>451</v>
      </c>
      <c r="C37" s="22" t="str">
        <f aca="false">Inputs!E$136</f>
        <v>Y</v>
      </c>
      <c r="D37" s="30" t="s">
        <v>452</v>
      </c>
    </row>
    <row r="38" customFormat="false" ht="15" hidden="false" customHeight="true" outlineLevel="0" collapsed="false">
      <c r="B38" s="59" t="s">
        <v>123</v>
      </c>
      <c r="C38" s="62" t="n">
        <f aca="false">Inputs!E$137</f>
        <v>0.3</v>
      </c>
      <c r="D38" s="30" t="s">
        <v>453</v>
      </c>
    </row>
    <row r="40" customFormat="false" ht="15" hidden="false" customHeight="true" outlineLevel="0" collapsed="false">
      <c r="A40" s="58" t="s">
        <v>454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customFormat="false" ht="15" hidden="false" customHeight="true" outlineLevel="0" collapsed="false">
      <c r="B41" s="59" t="s">
        <v>100</v>
      </c>
      <c r="C41" s="65" t="n">
        <f aca="false">Inputs!E$138</f>
        <v>2035</v>
      </c>
      <c r="D41" s="30" t="s">
        <v>455</v>
      </c>
    </row>
    <row r="42" customFormat="false" ht="15" hidden="false" customHeight="true" outlineLevel="0" collapsed="false">
      <c r="B42" s="59" t="s">
        <v>101</v>
      </c>
      <c r="C42" s="68" t="n">
        <f aca="false">Inputs!E$139</f>
        <v>10</v>
      </c>
      <c r="D42" s="30" t="s">
        <v>456</v>
      </c>
    </row>
    <row r="43" customFormat="false" ht="15" hidden="false" customHeight="true" outlineLevel="0" collapsed="false">
      <c r="B43" s="59" t="s">
        <v>102</v>
      </c>
      <c r="C43" s="62" t="n">
        <f aca="false">Inputs!E$140</f>
        <v>0.02</v>
      </c>
      <c r="D43" s="30" t="s">
        <v>457</v>
      </c>
    </row>
    <row r="45" customFormat="false" ht="15" hidden="false" customHeight="true" outlineLevel="0" collapsed="false">
      <c r="A45" s="58" t="s">
        <v>458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customFormat="false" ht="15" hidden="false" customHeight="true" outlineLevel="0" collapsed="false">
      <c r="C46" s="69" t="s">
        <v>262</v>
      </c>
      <c r="D46" s="69" t="s">
        <v>60</v>
      </c>
      <c r="E46" s="70" t="n">
        <f aca="false">Inputs!$C$7+0</f>
        <v>2026</v>
      </c>
      <c r="F46" s="70" t="n">
        <f aca="false">Inputs!$C$7+1</f>
        <v>2027</v>
      </c>
      <c r="G46" s="70" t="n">
        <f aca="false">Inputs!$C$7+2</f>
        <v>2028</v>
      </c>
      <c r="H46" s="70" t="n">
        <f aca="false">Inputs!$C$7+3</f>
        <v>2029</v>
      </c>
      <c r="I46" s="70" t="n">
        <f aca="false">Inputs!$C$7+4</f>
        <v>2030</v>
      </c>
      <c r="J46" s="70" t="n">
        <f aca="false">Inputs!$C$7+5</f>
        <v>2031</v>
      </c>
      <c r="K46" s="70" t="n">
        <f aca="false">Inputs!$C$7+6</f>
        <v>2032</v>
      </c>
      <c r="L46" s="70" t="n">
        <f aca="false">Inputs!$C$7+7</f>
        <v>2033</v>
      </c>
      <c r="M46" s="70" t="n">
        <f aca="false">Inputs!$C$7+8</f>
        <v>2034</v>
      </c>
      <c r="N46" s="70" t="n">
        <f aca="false">Inputs!$C$7+9</f>
        <v>2035</v>
      </c>
      <c r="O46" s="70" t="n">
        <f aca="false">Inputs!$C$7+10</f>
        <v>2036</v>
      </c>
      <c r="P46" s="70" t="n">
        <f aca="false">Inputs!$C$7+11</f>
        <v>2037</v>
      </c>
      <c r="Q46" s="70" t="n">
        <f aca="false">Inputs!$C$7+12</f>
        <v>2038</v>
      </c>
      <c r="R46" s="70" t="n">
        <f aca="false">Inputs!$C$7+13</f>
        <v>2039</v>
      </c>
      <c r="S46" s="70" t="n">
        <f aca="false">Inputs!$C$7+14</f>
        <v>2040</v>
      </c>
      <c r="T46" s="70" t="n">
        <f aca="false">Inputs!$C$7+15</f>
        <v>2041</v>
      </c>
      <c r="U46" s="70" t="n">
        <f aca="false">Inputs!$C$7+16</f>
        <v>2042</v>
      </c>
      <c r="V46" s="70" t="n">
        <f aca="false">Inputs!$C$7+17</f>
        <v>2043</v>
      </c>
      <c r="W46" s="70" t="n">
        <f aca="false">Inputs!$C$7+18</f>
        <v>2044</v>
      </c>
      <c r="X46" s="70" t="n">
        <f aca="false">Inputs!$C$7+19</f>
        <v>2045</v>
      </c>
      <c r="Y46" s="70" t="n">
        <f aca="false">Inputs!$C$7+20</f>
        <v>2046</v>
      </c>
      <c r="Z46" s="70" t="n">
        <f aca="false">Inputs!$C$7+21</f>
        <v>2047</v>
      </c>
      <c r="AA46" s="70" t="n">
        <f aca="false">Inputs!$C$7+22</f>
        <v>2048</v>
      </c>
      <c r="AB46" s="70" t="n">
        <f aca="false">Inputs!$C$7+23</f>
        <v>2049</v>
      </c>
      <c r="AC46" s="70" t="n">
        <f aca="false">Inputs!$C$7+24</f>
        <v>2050</v>
      </c>
      <c r="AD46" s="70" t="n">
        <f aca="false">Inputs!$C$7+25</f>
        <v>2051</v>
      </c>
      <c r="AE46" s="70" t="n">
        <f aca="false">Inputs!$C$7+26</f>
        <v>2052</v>
      </c>
      <c r="AF46" s="70" t="n">
        <f aca="false">Inputs!$C$7+27</f>
        <v>2053</v>
      </c>
      <c r="AG46" s="70" t="n">
        <f aca="false">Inputs!$C$7+28</f>
        <v>2054</v>
      </c>
      <c r="AH46" s="70" t="n">
        <f aca="false">Inputs!$C$7+29</f>
        <v>2055</v>
      </c>
      <c r="AI46" s="70" t="n">
        <f aca="false">Inputs!$C$7+30</f>
        <v>2056</v>
      </c>
      <c r="AJ46" s="70" t="n">
        <f aca="false">Inputs!$C$7+31</f>
        <v>2057</v>
      </c>
      <c r="AK46" s="70" t="n">
        <f aca="false">Inputs!$C$7+32</f>
        <v>2058</v>
      </c>
      <c r="AL46" s="70" t="n">
        <f aca="false">Inputs!$C$7+33</f>
        <v>2059</v>
      </c>
      <c r="AM46" s="70" t="n">
        <f aca="false">Inputs!$C$7+34</f>
        <v>2060</v>
      </c>
      <c r="AN46" s="70" t="n">
        <f aca="false">Inputs!$C$7+35</f>
        <v>2061</v>
      </c>
      <c r="AO46" s="70" t="n">
        <f aca="false">Inputs!$C$7+36</f>
        <v>2062</v>
      </c>
      <c r="AP46" s="70" t="n">
        <f aca="false">Inputs!$C$7+37</f>
        <v>2063</v>
      </c>
      <c r="AQ46" s="70" t="n">
        <f aca="false">Inputs!$C$7+38</f>
        <v>2064</v>
      </c>
      <c r="AR46" s="70" t="n">
        <f aca="false">Inputs!$C$7+39</f>
        <v>2065</v>
      </c>
      <c r="AS46" s="70" t="n">
        <f aca="false">Inputs!$C$7+40</f>
        <v>2066</v>
      </c>
      <c r="AT46" s="70" t="n">
        <f aca="false">Inputs!$C$7+41</f>
        <v>2067</v>
      </c>
      <c r="AU46" s="70" t="n">
        <f aca="false">Inputs!$C$7+42</f>
        <v>2068</v>
      </c>
      <c r="AV46" s="70" t="n">
        <f aca="false">Inputs!$C$7+43</f>
        <v>2069</v>
      </c>
      <c r="AW46" s="70" t="n">
        <f aca="false">Inputs!$C$7+44</f>
        <v>2070</v>
      </c>
      <c r="AX46" s="70" t="n">
        <f aca="false">Inputs!$C$7+45</f>
        <v>2071</v>
      </c>
      <c r="AY46" s="70" t="n">
        <f aca="false">Inputs!$C$7+46</f>
        <v>2072</v>
      </c>
      <c r="AZ46" s="70" t="n">
        <f aca="false">Inputs!$C$7+47</f>
        <v>2073</v>
      </c>
      <c r="BA46" s="70" t="n">
        <f aca="false">Inputs!$C$7+48</f>
        <v>2074</v>
      </c>
      <c r="BB46" s="70" t="n">
        <f aca="false">Inputs!$C$7+49</f>
        <v>2075</v>
      </c>
    </row>
    <row r="47" customFormat="false" ht="15" hidden="false" customHeight="true" outlineLevel="0" collapsed="false">
      <c r="B47" s="59" t="s">
        <v>459</v>
      </c>
      <c r="C47" s="59" t="s">
        <v>11</v>
      </c>
      <c r="D47" s="63" t="n">
        <f aca="false">SUM(E47:BB47)</f>
        <v>4324985432.07914</v>
      </c>
      <c r="E47" s="61" t="n">
        <f aca="false">CashFlow!D19</f>
        <v>0</v>
      </c>
      <c r="F47" s="61" t="n">
        <f aca="false">CashFlow!E19</f>
        <v>0</v>
      </c>
      <c r="G47" s="61" t="n">
        <f aca="false">CashFlow!F19</f>
        <v>0</v>
      </c>
      <c r="H47" s="61" t="n">
        <f aca="false">CashFlow!G19</f>
        <v>0</v>
      </c>
      <c r="I47" s="61" t="n">
        <f aca="false">CashFlow!H19</f>
        <v>0</v>
      </c>
      <c r="J47" s="61" t="n">
        <f aca="false">CashFlow!I19</f>
        <v>2496300</v>
      </c>
      <c r="K47" s="61" t="n">
        <f aca="false">CashFlow!J19</f>
        <v>9261728.25</v>
      </c>
      <c r="L47" s="61" t="n">
        <f aca="false">CashFlow!K19</f>
        <v>39382865.506875</v>
      </c>
      <c r="M47" s="61" t="n">
        <f aca="false">CashFlow!L19</f>
        <v>63997176.4871766</v>
      </c>
      <c r="N47" s="61" t="n">
        <f aca="false">CashFlow!M19</f>
        <v>88081646.8890304</v>
      </c>
      <c r="O47" s="61" t="n">
        <f aca="false">CashFlow!N19</f>
        <v>88742259.2406981</v>
      </c>
      <c r="P47" s="61" t="n">
        <f aca="false">CashFlow!O19</f>
        <v>89407826.1850034</v>
      </c>
      <c r="Q47" s="61" t="n">
        <f aca="false">CashFlow!P19</f>
        <v>90078384.8813909</v>
      </c>
      <c r="R47" s="61" t="n">
        <f aca="false">CashFlow!Q19</f>
        <v>90753972.7680013</v>
      </c>
      <c r="S47" s="61" t="n">
        <f aca="false">CashFlow!R19</f>
        <v>91434627.5637614</v>
      </c>
      <c r="T47" s="61" t="n">
        <f aca="false">CashFlow!S19</f>
        <v>92120387.2704896</v>
      </c>
      <c r="U47" s="61" t="n">
        <f aca="false">CashFlow!T19</f>
        <v>92811290.1750182</v>
      </c>
      <c r="V47" s="61" t="n">
        <f aca="false">CashFlow!U19</f>
        <v>93507374.8513309</v>
      </c>
      <c r="W47" s="61" t="n">
        <f aca="false">CashFlow!V19</f>
        <v>94208680.1627159</v>
      </c>
      <c r="X47" s="61" t="n">
        <f aca="false">CashFlow!W19</f>
        <v>94915245.2639363</v>
      </c>
      <c r="Y47" s="61" t="n">
        <f aca="false">CashFlow!X19</f>
        <v>95627109.6034158</v>
      </c>
      <c r="Z47" s="61" t="n">
        <f aca="false">CashFlow!Y19</f>
        <v>96344312.9254414</v>
      </c>
      <c r="AA47" s="61" t="n">
        <f aca="false">CashFlow!Z19</f>
        <v>97066895.2723822</v>
      </c>
      <c r="AB47" s="61" t="n">
        <f aca="false">CashFlow!AA19</f>
        <v>97794896.9869251</v>
      </c>
      <c r="AC47" s="61" t="n">
        <f aca="false">CashFlow!AB19</f>
        <v>98528358.714327</v>
      </c>
      <c r="AD47" s="61" t="n">
        <f aca="false">CashFlow!AC19</f>
        <v>99267321.4046845</v>
      </c>
      <c r="AE47" s="61" t="n">
        <f aca="false">CashFlow!AD19</f>
        <v>100011826.31522</v>
      </c>
      <c r="AF47" s="61" t="n">
        <f aca="false">CashFlow!AE19</f>
        <v>100761915.012584</v>
      </c>
      <c r="AG47" s="61" t="n">
        <f aca="false">CashFlow!AF19</f>
        <v>101517629.375178</v>
      </c>
      <c r="AH47" s="61" t="n">
        <f aca="false">CashFlow!AG19</f>
        <v>102279011.595492</v>
      </c>
      <c r="AI47" s="61" t="n">
        <f aca="false">CashFlow!AH19</f>
        <v>103046104.182458</v>
      </c>
      <c r="AJ47" s="61" t="n">
        <f aca="false">CashFlow!AI19</f>
        <v>103818949.963827</v>
      </c>
      <c r="AK47" s="61" t="n">
        <f aca="false">CashFlow!AJ19</f>
        <v>104597592.088555</v>
      </c>
      <c r="AL47" s="61" t="n">
        <f aca="false">CashFlow!AK19</f>
        <v>105382074.02922</v>
      </c>
      <c r="AM47" s="61" t="n">
        <f aca="false">CashFlow!AL19</f>
        <v>106172439.584439</v>
      </c>
      <c r="AN47" s="61" t="n">
        <f aca="false">CashFlow!AM19</f>
        <v>106968732.881322</v>
      </c>
      <c r="AO47" s="61" t="n">
        <f aca="false">CashFlow!AN19</f>
        <v>107770998.377932</v>
      </c>
      <c r="AP47" s="61" t="n">
        <f aca="false">CashFlow!AO19</f>
        <v>108579280.865766</v>
      </c>
      <c r="AQ47" s="61" t="n">
        <f aca="false">CashFlow!AP19</f>
        <v>109393625.47226</v>
      </c>
      <c r="AR47" s="61" t="n">
        <f aca="false">CashFlow!AQ19</f>
        <v>110214077.663302</v>
      </c>
      <c r="AS47" s="61" t="n">
        <f aca="false">CashFlow!AR19</f>
        <v>111040683.245776</v>
      </c>
      <c r="AT47" s="61" t="n">
        <f aca="false">CashFlow!AS19</f>
        <v>111873488.37012</v>
      </c>
      <c r="AU47" s="61" t="n">
        <f aca="false">CashFlow!AT19</f>
        <v>112712539.532896</v>
      </c>
      <c r="AV47" s="61" t="n">
        <f aca="false">CashFlow!AU19</f>
        <v>113557883.579392</v>
      </c>
      <c r="AW47" s="61" t="n">
        <f aca="false">CashFlow!AV19</f>
        <v>114409567.706238</v>
      </c>
      <c r="AX47" s="61" t="n">
        <f aca="false">CashFlow!AW19</f>
        <v>115267639.464035</v>
      </c>
      <c r="AY47" s="61" t="n">
        <f aca="false">CashFlow!AX19</f>
        <v>116132146.760015</v>
      </c>
      <c r="AZ47" s="61" t="n">
        <f aca="false">CashFlow!AY19</f>
        <v>117003137.860715</v>
      </c>
      <c r="BA47" s="61" t="n">
        <f aca="false">CashFlow!AZ19</f>
        <v>117880661.39467</v>
      </c>
      <c r="BB47" s="61" t="n">
        <f aca="false">CashFlow!BA19</f>
        <v>118764766.35513</v>
      </c>
    </row>
    <row r="48" customFormat="false" ht="15" hidden="false" customHeight="true" outlineLevel="0" collapsed="false">
      <c r="B48" s="59" t="s">
        <v>460</v>
      </c>
      <c r="C48" s="59" t="s">
        <v>11</v>
      </c>
      <c r="D48" s="63" t="n">
        <f aca="false">SUM(E48:BB48)</f>
        <v>-91818041.6851236</v>
      </c>
      <c r="E48" s="61" t="n">
        <f aca="false">CashFlow!D20</f>
        <v>-0</v>
      </c>
      <c r="F48" s="61" t="n">
        <f aca="false">CashFlow!E20</f>
        <v>-0</v>
      </c>
      <c r="G48" s="61" t="n">
        <f aca="false">CashFlow!F20</f>
        <v>-0</v>
      </c>
      <c r="H48" s="61" t="n">
        <f aca="false">CashFlow!G20</f>
        <v>-0</v>
      </c>
      <c r="I48" s="61" t="n">
        <f aca="false">CashFlow!H20</f>
        <v>-0</v>
      </c>
      <c r="J48" s="61" t="n">
        <f aca="false">CashFlow!I20</f>
        <v>-1665397.10872882</v>
      </c>
      <c r="K48" s="61" t="n">
        <f aca="false">CashFlow!J20</f>
        <v>-1665397.10872882</v>
      </c>
      <c r="L48" s="61" t="n">
        <f aca="false">CashFlow!K20</f>
        <v>-1665397.10872882</v>
      </c>
      <c r="M48" s="61" t="n">
        <f aca="false">CashFlow!L20</f>
        <v>-1665397.10872882</v>
      </c>
      <c r="N48" s="61" t="n">
        <f aca="false">CashFlow!M20</f>
        <v>-1665397.10872882</v>
      </c>
      <c r="O48" s="61" t="n">
        <f aca="false">CashFlow!N20</f>
        <v>-1748666.96416526</v>
      </c>
      <c r="P48" s="61" t="n">
        <f aca="false">CashFlow!O20</f>
        <v>-1748666.96416526</v>
      </c>
      <c r="Q48" s="61" t="n">
        <f aca="false">CashFlow!P20</f>
        <v>-1748666.96416526</v>
      </c>
      <c r="R48" s="61" t="n">
        <f aca="false">CashFlow!Q20</f>
        <v>-1748666.96416526</v>
      </c>
      <c r="S48" s="61" t="n">
        <f aca="false">CashFlow!R20</f>
        <v>-1748666.96416526</v>
      </c>
      <c r="T48" s="61" t="n">
        <f aca="false">CashFlow!S20</f>
        <v>-1836100.31237352</v>
      </c>
      <c r="U48" s="61" t="n">
        <f aca="false">CashFlow!T20</f>
        <v>-1836100.31237352</v>
      </c>
      <c r="V48" s="61" t="n">
        <f aca="false">CashFlow!U20</f>
        <v>-1836100.31237352</v>
      </c>
      <c r="W48" s="61" t="n">
        <f aca="false">CashFlow!V20</f>
        <v>-1836100.31237352</v>
      </c>
      <c r="X48" s="61" t="n">
        <f aca="false">CashFlow!W20</f>
        <v>-1836100.31237352</v>
      </c>
      <c r="Y48" s="61" t="n">
        <f aca="false">CashFlow!X20</f>
        <v>-1927905.3279922</v>
      </c>
      <c r="Z48" s="61" t="n">
        <f aca="false">CashFlow!Y20</f>
        <v>-1927905.3279922</v>
      </c>
      <c r="AA48" s="61" t="n">
        <f aca="false">CashFlow!Z20</f>
        <v>-1927905.3279922</v>
      </c>
      <c r="AB48" s="61" t="n">
        <f aca="false">CashFlow!AA20</f>
        <v>-1927905.3279922</v>
      </c>
      <c r="AC48" s="61" t="n">
        <f aca="false">CashFlow!AB20</f>
        <v>-1927905.3279922</v>
      </c>
      <c r="AD48" s="61" t="n">
        <f aca="false">CashFlow!AC20</f>
        <v>-2024300.59439181</v>
      </c>
      <c r="AE48" s="61" t="n">
        <f aca="false">CashFlow!AD20</f>
        <v>-2024300.59439181</v>
      </c>
      <c r="AF48" s="61" t="n">
        <f aca="false">CashFlow!AE20</f>
        <v>-2024300.59439181</v>
      </c>
      <c r="AG48" s="61" t="n">
        <f aca="false">CashFlow!AF20</f>
        <v>-2024300.59439181</v>
      </c>
      <c r="AH48" s="61" t="n">
        <f aca="false">CashFlow!AG20</f>
        <v>-2024300.59439181</v>
      </c>
      <c r="AI48" s="61" t="n">
        <f aca="false">CashFlow!AH20</f>
        <v>-2125515.6241114</v>
      </c>
      <c r="AJ48" s="61" t="n">
        <f aca="false">CashFlow!AI20</f>
        <v>-2125515.6241114</v>
      </c>
      <c r="AK48" s="61" t="n">
        <f aca="false">CashFlow!AJ20</f>
        <v>-2125515.6241114</v>
      </c>
      <c r="AL48" s="61" t="n">
        <f aca="false">CashFlow!AK20</f>
        <v>-2125515.6241114</v>
      </c>
      <c r="AM48" s="61" t="n">
        <f aca="false">CashFlow!AL20</f>
        <v>-2125515.6241114</v>
      </c>
      <c r="AN48" s="61" t="n">
        <f aca="false">CashFlow!AM20</f>
        <v>-2231791.40531697</v>
      </c>
      <c r="AO48" s="61" t="n">
        <f aca="false">CashFlow!AN20</f>
        <v>-2231791.40531697</v>
      </c>
      <c r="AP48" s="61" t="n">
        <f aca="false">CashFlow!AO20</f>
        <v>-2231791.40531697</v>
      </c>
      <c r="AQ48" s="61" t="n">
        <f aca="false">CashFlow!AP20</f>
        <v>-2231791.40531697</v>
      </c>
      <c r="AR48" s="61" t="n">
        <f aca="false">CashFlow!AQ20</f>
        <v>-2231791.40531697</v>
      </c>
      <c r="AS48" s="61" t="n">
        <f aca="false">CashFlow!AR20</f>
        <v>-2343380.97558282</v>
      </c>
      <c r="AT48" s="61" t="n">
        <f aca="false">CashFlow!AS20</f>
        <v>-2343380.97558282</v>
      </c>
      <c r="AU48" s="61" t="n">
        <f aca="false">CashFlow!AT20</f>
        <v>-2343380.97558282</v>
      </c>
      <c r="AV48" s="61" t="n">
        <f aca="false">CashFlow!AU20</f>
        <v>-2343380.97558282</v>
      </c>
      <c r="AW48" s="61" t="n">
        <f aca="false">CashFlow!AV20</f>
        <v>-2343380.97558282</v>
      </c>
      <c r="AX48" s="61" t="n">
        <f aca="false">CashFlow!AW20</f>
        <v>-2460550.02436196</v>
      </c>
      <c r="AY48" s="61" t="n">
        <f aca="false">CashFlow!AX20</f>
        <v>-2460550.02436196</v>
      </c>
      <c r="AZ48" s="61" t="n">
        <f aca="false">CashFlow!AY20</f>
        <v>-2460550.02436196</v>
      </c>
      <c r="BA48" s="61" t="n">
        <f aca="false">CashFlow!AZ20</f>
        <v>-2460550.02436196</v>
      </c>
      <c r="BB48" s="61" t="n">
        <f aca="false">CashFlow!BA20</f>
        <v>-2460550.02436196</v>
      </c>
    </row>
    <row r="49" customFormat="false" ht="15" hidden="false" customHeight="true" outlineLevel="0" collapsed="false">
      <c r="B49" s="59" t="s">
        <v>461</v>
      </c>
      <c r="C49" s="59" t="s">
        <v>11</v>
      </c>
      <c r="D49" s="63" t="n">
        <f aca="false">SUM(E49:BB49)</f>
        <v>-465794899.538096</v>
      </c>
      <c r="E49" s="61" t="n">
        <f aca="false">CashFlow!D21</f>
        <v>-0</v>
      </c>
      <c r="F49" s="61" t="n">
        <f aca="false">CashFlow!E21</f>
        <v>-0</v>
      </c>
      <c r="G49" s="61" t="n">
        <f aca="false">CashFlow!F21</f>
        <v>-0</v>
      </c>
      <c r="H49" s="61" t="n">
        <f aca="false">CashFlow!G21</f>
        <v>-0</v>
      </c>
      <c r="I49" s="61" t="n">
        <f aca="false">CashFlow!H21</f>
        <v>-213888290.738096</v>
      </c>
      <c r="J49" s="61" t="n">
        <f aca="false">CashFlow!I21</f>
        <v>-174660994.2</v>
      </c>
      <c r="K49" s="61" t="n">
        <f aca="false">CashFlow!J21</f>
        <v>-77245614.6</v>
      </c>
      <c r="L49" s="61" t="n">
        <f aca="false">CashFlow!K21</f>
        <v>-0</v>
      </c>
      <c r="M49" s="61" t="n">
        <f aca="false">CashFlow!L21</f>
        <v>-0</v>
      </c>
      <c r="N49" s="61" t="n">
        <f aca="false">CashFlow!M21</f>
        <v>-0</v>
      </c>
      <c r="O49" s="61" t="n">
        <f aca="false">CashFlow!N21</f>
        <v>-0</v>
      </c>
      <c r="P49" s="61" t="n">
        <f aca="false">CashFlow!O21</f>
        <v>-0</v>
      </c>
      <c r="Q49" s="61" t="n">
        <f aca="false">CashFlow!P21</f>
        <v>-0</v>
      </c>
      <c r="R49" s="61" t="n">
        <f aca="false">CashFlow!Q21</f>
        <v>-0</v>
      </c>
      <c r="S49" s="61" t="n">
        <f aca="false">CashFlow!R21</f>
        <v>-0</v>
      </c>
      <c r="T49" s="61" t="n">
        <f aca="false">CashFlow!S21</f>
        <v>-0</v>
      </c>
      <c r="U49" s="61" t="n">
        <f aca="false">CashFlow!T21</f>
        <v>-0</v>
      </c>
      <c r="V49" s="61" t="n">
        <f aca="false">CashFlow!U21</f>
        <v>-0</v>
      </c>
      <c r="W49" s="61" t="n">
        <f aca="false">CashFlow!V21</f>
        <v>-0</v>
      </c>
      <c r="X49" s="61" t="n">
        <f aca="false">CashFlow!W21</f>
        <v>-0</v>
      </c>
      <c r="Y49" s="61" t="n">
        <f aca="false">CashFlow!X21</f>
        <v>-0</v>
      </c>
      <c r="Z49" s="61" t="n">
        <f aca="false">CashFlow!Y21</f>
        <v>-0</v>
      </c>
      <c r="AA49" s="61" t="n">
        <f aca="false">CashFlow!Z21</f>
        <v>-0</v>
      </c>
      <c r="AB49" s="61" t="n">
        <f aca="false">CashFlow!AA21</f>
        <v>-0</v>
      </c>
      <c r="AC49" s="61" t="n">
        <f aca="false">CashFlow!AB21</f>
        <v>-0</v>
      </c>
      <c r="AD49" s="61" t="n">
        <f aca="false">CashFlow!AC21</f>
        <v>-0</v>
      </c>
      <c r="AE49" s="61" t="n">
        <f aca="false">CashFlow!AD21</f>
        <v>-0</v>
      </c>
      <c r="AF49" s="61" t="n">
        <f aca="false">CashFlow!AE21</f>
        <v>-0</v>
      </c>
      <c r="AG49" s="61" t="n">
        <f aca="false">CashFlow!AF21</f>
        <v>-0</v>
      </c>
      <c r="AH49" s="61" t="n">
        <f aca="false">CashFlow!AG21</f>
        <v>-0</v>
      </c>
      <c r="AI49" s="61" t="n">
        <f aca="false">CashFlow!AH21</f>
        <v>-0</v>
      </c>
      <c r="AJ49" s="61" t="n">
        <f aca="false">CashFlow!AI21</f>
        <v>-0</v>
      </c>
      <c r="AK49" s="61" t="n">
        <f aca="false">CashFlow!AJ21</f>
        <v>-0</v>
      </c>
      <c r="AL49" s="61" t="n">
        <f aca="false">CashFlow!AK21</f>
        <v>-0</v>
      </c>
      <c r="AM49" s="61" t="n">
        <f aca="false">CashFlow!AL21</f>
        <v>-0</v>
      </c>
      <c r="AN49" s="61" t="n">
        <f aca="false">CashFlow!AM21</f>
        <v>-0</v>
      </c>
      <c r="AO49" s="61" t="n">
        <f aca="false">CashFlow!AN21</f>
        <v>-0</v>
      </c>
      <c r="AP49" s="61" t="n">
        <f aca="false">CashFlow!AO21</f>
        <v>-0</v>
      </c>
      <c r="AQ49" s="61" t="n">
        <f aca="false">CashFlow!AP21</f>
        <v>-0</v>
      </c>
      <c r="AR49" s="61" t="n">
        <f aca="false">CashFlow!AQ21</f>
        <v>-0</v>
      </c>
      <c r="AS49" s="61" t="n">
        <f aca="false">CashFlow!AR21</f>
        <v>-0</v>
      </c>
      <c r="AT49" s="61" t="n">
        <f aca="false">CashFlow!AS21</f>
        <v>-0</v>
      </c>
      <c r="AU49" s="61" t="n">
        <f aca="false">CashFlow!AT21</f>
        <v>-0</v>
      </c>
      <c r="AV49" s="61" t="n">
        <f aca="false">CashFlow!AU21</f>
        <v>-0</v>
      </c>
      <c r="AW49" s="61" t="n">
        <f aca="false">CashFlow!AV21</f>
        <v>-0</v>
      </c>
      <c r="AX49" s="61" t="n">
        <f aca="false">CashFlow!AW21</f>
        <v>-0</v>
      </c>
      <c r="AY49" s="61" t="n">
        <f aca="false">CashFlow!AX21</f>
        <v>-0</v>
      </c>
      <c r="AZ49" s="61" t="n">
        <f aca="false">CashFlow!AY21</f>
        <v>-0</v>
      </c>
      <c r="BA49" s="61" t="n">
        <f aca="false">CashFlow!AZ21</f>
        <v>-0</v>
      </c>
      <c r="BB49" s="61" t="n">
        <f aca="false">CashFlow!BA21</f>
        <v>-0</v>
      </c>
    </row>
    <row r="50" customFormat="false" ht="15" hidden="false" customHeight="true" outlineLevel="0" collapsed="false">
      <c r="B50" s="20" t="s">
        <v>462</v>
      </c>
      <c r="C50" s="59" t="s">
        <v>11</v>
      </c>
      <c r="D50" s="63" t="n">
        <f aca="false">SUM(E50:BB50)</f>
        <v>3767372490.85592</v>
      </c>
      <c r="E50" s="63" t="n">
        <f aca="false">E47+E48+E49</f>
        <v>0</v>
      </c>
      <c r="F50" s="63" t="n">
        <f aca="false">F47+F48+F49</f>
        <v>0</v>
      </c>
      <c r="G50" s="63" t="n">
        <f aca="false">G47+G48+G49</f>
        <v>0</v>
      </c>
      <c r="H50" s="63" t="n">
        <f aca="false">H47+H48+H49</f>
        <v>0</v>
      </c>
      <c r="I50" s="63" t="n">
        <f aca="false">I47+I48+I49</f>
        <v>-213888290.738096</v>
      </c>
      <c r="J50" s="63" t="n">
        <f aca="false">J47+J48+J49</f>
        <v>-173830091.308729</v>
      </c>
      <c r="K50" s="63" t="n">
        <f aca="false">K47+K48+K49</f>
        <v>-69649283.4587288</v>
      </c>
      <c r="L50" s="63" t="n">
        <f aca="false">L47+L48+L49</f>
        <v>37717468.3981462</v>
      </c>
      <c r="M50" s="63" t="n">
        <f aca="false">M47+M48+M49</f>
        <v>62331779.3784478</v>
      </c>
      <c r="N50" s="63" t="n">
        <f aca="false">N47+N48+N49</f>
        <v>86416249.7803016</v>
      </c>
      <c r="O50" s="63" t="n">
        <f aca="false">O47+O48+O49</f>
        <v>86993592.2765329</v>
      </c>
      <c r="P50" s="63" t="n">
        <f aca="false">P47+P48+P49</f>
        <v>87659159.2208381</v>
      </c>
      <c r="Q50" s="63" t="n">
        <f aca="false">Q47+Q48+Q49</f>
        <v>88329717.9172256</v>
      </c>
      <c r="R50" s="63" t="n">
        <f aca="false">R47+R48+R49</f>
        <v>89005305.8038361</v>
      </c>
      <c r="S50" s="63" t="n">
        <f aca="false">S47+S48+S49</f>
        <v>89685960.5995961</v>
      </c>
      <c r="T50" s="63" t="n">
        <f aca="false">T47+T48+T49</f>
        <v>90284286.9581161</v>
      </c>
      <c r="U50" s="63" t="n">
        <f aca="false">U47+U48+U49</f>
        <v>90975189.8626447</v>
      </c>
      <c r="V50" s="63" t="n">
        <f aca="false">V47+V48+V49</f>
        <v>91671274.5389574</v>
      </c>
      <c r="W50" s="63" t="n">
        <f aca="false">W47+W48+W49</f>
        <v>92372579.8503424</v>
      </c>
      <c r="X50" s="63" t="n">
        <f aca="false">X47+X48+X49</f>
        <v>93079144.9515627</v>
      </c>
      <c r="Y50" s="63" t="n">
        <f aca="false">Y47+Y48+Y49</f>
        <v>93699204.2754236</v>
      </c>
      <c r="Z50" s="63" t="n">
        <f aca="false">Z47+Z48+Z49</f>
        <v>94416407.5974492</v>
      </c>
      <c r="AA50" s="63" t="n">
        <f aca="false">AA47+AA48+AA49</f>
        <v>95138989.94439</v>
      </c>
      <c r="AB50" s="63" t="n">
        <f aca="false">AB47+AB48+AB49</f>
        <v>95866991.6589329</v>
      </c>
      <c r="AC50" s="63" t="n">
        <f aca="false">AC47+AC48+AC49</f>
        <v>96600453.3863348</v>
      </c>
      <c r="AD50" s="63" t="n">
        <f aca="false">AD47+AD48+AD49</f>
        <v>97243020.8102927</v>
      </c>
      <c r="AE50" s="63" t="n">
        <f aca="false">AE47+AE48+AE49</f>
        <v>97987525.7208278</v>
      </c>
      <c r="AF50" s="63" t="n">
        <f aca="false">AF47+AF48+AF49</f>
        <v>98737614.418192</v>
      </c>
      <c r="AG50" s="63" t="n">
        <f aca="false">AG47+AG48+AG49</f>
        <v>99493328.7807864</v>
      </c>
      <c r="AH50" s="63" t="n">
        <f aca="false">AH47+AH48+AH49</f>
        <v>100254711.0011</v>
      </c>
      <c r="AI50" s="63" t="n">
        <f aca="false">AI47+AI48+AI49</f>
        <v>100920588.558347</v>
      </c>
      <c r="AJ50" s="63" t="n">
        <f aca="false">AJ47+AJ48+AJ49</f>
        <v>101693434.339715</v>
      </c>
      <c r="AK50" s="63" t="n">
        <f aca="false">AK47+AK48+AK49</f>
        <v>102472076.464444</v>
      </c>
      <c r="AL50" s="63" t="n">
        <f aca="false">AL47+AL48+AL49</f>
        <v>103256558.405108</v>
      </c>
      <c r="AM50" s="63" t="n">
        <f aca="false">AM47+AM48+AM49</f>
        <v>104046923.960327</v>
      </c>
      <c r="AN50" s="63" t="n">
        <f aca="false">AN47+AN48+AN49</f>
        <v>104736941.476005</v>
      </c>
      <c r="AO50" s="63" t="n">
        <f aca="false">AO47+AO48+AO49</f>
        <v>105539206.972615</v>
      </c>
      <c r="AP50" s="63" t="n">
        <f aca="false">AP47+AP48+AP49</f>
        <v>106347489.460449</v>
      </c>
      <c r="AQ50" s="63" t="n">
        <f aca="false">AQ47+AQ48+AQ49</f>
        <v>107161834.066943</v>
      </c>
      <c r="AR50" s="63" t="n">
        <f aca="false">AR47+AR48+AR49</f>
        <v>107982286.257985</v>
      </c>
      <c r="AS50" s="63" t="n">
        <f aca="false">AS47+AS48+AS49</f>
        <v>108697302.270194</v>
      </c>
      <c r="AT50" s="63" t="n">
        <f aca="false">AT47+AT48+AT49</f>
        <v>109530107.394537</v>
      </c>
      <c r="AU50" s="63" t="n">
        <f aca="false">AU47+AU48+AU49</f>
        <v>110369158.557313</v>
      </c>
      <c r="AV50" s="63" t="n">
        <f aca="false">AV47+AV48+AV49</f>
        <v>111214502.60381</v>
      </c>
      <c r="AW50" s="63" t="n">
        <f aca="false">AW47+AW48+AW49</f>
        <v>112066186.730655</v>
      </c>
      <c r="AX50" s="63" t="n">
        <f aca="false">AX47+AX48+AX49</f>
        <v>112807089.439673</v>
      </c>
      <c r="AY50" s="63" t="n">
        <f aca="false">AY47+AY48+AY49</f>
        <v>113671596.735653</v>
      </c>
      <c r="AZ50" s="63" t="n">
        <f aca="false">AZ47+AZ48+AZ49</f>
        <v>114542587.836353</v>
      </c>
      <c r="BA50" s="63" t="n">
        <f aca="false">BA47+BA48+BA49</f>
        <v>115420111.370308</v>
      </c>
      <c r="BB50" s="63" t="n">
        <f aca="false">BB47+BB48+BB49</f>
        <v>116304216.330768</v>
      </c>
    </row>
    <row r="51" customFormat="false" ht="15" hidden="false" customHeight="true" outlineLevel="0" collapsed="false">
      <c r="B51" s="59" t="s">
        <v>463</v>
      </c>
      <c r="C51" s="59" t="s">
        <v>11</v>
      </c>
      <c r="D51" s="63" t="n">
        <f aca="false">SUM(E51:BB51)</f>
        <v>863200139.512498</v>
      </c>
      <c r="E51" s="66" t="n">
        <f aca="false">IF(E$46=$C$41,E47*$C$42*(1-$C$43),0)</f>
        <v>0</v>
      </c>
      <c r="F51" s="66" t="n">
        <f aca="false">IF(F$46=$C$41,F47*$C$42*(1-$C$43),0)</f>
        <v>0</v>
      </c>
      <c r="G51" s="66" t="n">
        <f aca="false">IF(G$46=$C$41,G47*$C$42*(1-$C$43),0)</f>
        <v>0</v>
      </c>
      <c r="H51" s="66" t="n">
        <f aca="false">IF(H$46=$C$41,H47*$C$42*(1-$C$43),0)</f>
        <v>0</v>
      </c>
      <c r="I51" s="66" t="n">
        <f aca="false">IF(I$46=$C$41,I47*$C$42*(1-$C$43),0)</f>
        <v>0</v>
      </c>
      <c r="J51" s="66" t="n">
        <f aca="false">IF(J$46=$C$41,J47*$C$42*(1-$C$43),0)</f>
        <v>0</v>
      </c>
      <c r="K51" s="66" t="n">
        <f aca="false">IF(K$46=$C$41,K47*$C$42*(1-$C$43),0)</f>
        <v>0</v>
      </c>
      <c r="L51" s="66" t="n">
        <f aca="false">IF(L$46=$C$41,L47*$C$42*(1-$C$43),0)</f>
        <v>0</v>
      </c>
      <c r="M51" s="66" t="n">
        <f aca="false">IF(M$46=$C$41,M47*$C$42*(1-$C$43),0)</f>
        <v>0</v>
      </c>
      <c r="N51" s="66" t="n">
        <f aca="false">IF(N$46=$C$41,N47*$C$42*(1-$C$43),0)</f>
        <v>863200139.512498</v>
      </c>
      <c r="O51" s="66" t="n">
        <f aca="false">IF(O$46=$C$41,O47*$C$42*(1-$C$43),0)</f>
        <v>0</v>
      </c>
      <c r="P51" s="66" t="n">
        <f aca="false">IF(P$46=$C$41,P47*$C$42*(1-$C$43),0)</f>
        <v>0</v>
      </c>
      <c r="Q51" s="66" t="n">
        <f aca="false">IF(Q$46=$C$41,Q47*$C$42*(1-$C$43),0)</f>
        <v>0</v>
      </c>
      <c r="R51" s="66" t="n">
        <f aca="false">IF(R$46=$C$41,R47*$C$42*(1-$C$43),0)</f>
        <v>0</v>
      </c>
      <c r="S51" s="66" t="n">
        <f aca="false">IF(S$46=$C$41,S47*$C$42*(1-$C$43),0)</f>
        <v>0</v>
      </c>
      <c r="T51" s="66" t="n">
        <f aca="false">IF(T$46=$C$41,T47*$C$42*(1-$C$43),0)</f>
        <v>0</v>
      </c>
      <c r="U51" s="66" t="n">
        <f aca="false">IF(U$46=$C$41,U47*$C$42*(1-$C$43),0)</f>
        <v>0</v>
      </c>
      <c r="V51" s="66" t="n">
        <f aca="false">IF(V$46=$C$41,V47*$C$42*(1-$C$43),0)</f>
        <v>0</v>
      </c>
      <c r="W51" s="66" t="n">
        <f aca="false">IF(W$46=$C$41,W47*$C$42*(1-$C$43),0)</f>
        <v>0</v>
      </c>
      <c r="X51" s="66" t="n">
        <f aca="false">IF(X$46=$C$41,X47*$C$42*(1-$C$43),0)</f>
        <v>0</v>
      </c>
      <c r="Y51" s="66" t="n">
        <f aca="false">IF(Y$46=$C$41,Y47*$C$42*(1-$C$43),0)</f>
        <v>0</v>
      </c>
      <c r="Z51" s="66" t="n">
        <f aca="false">IF(Z$46=$C$41,Z47*$C$42*(1-$C$43),0)</f>
        <v>0</v>
      </c>
      <c r="AA51" s="66" t="n">
        <f aca="false">IF(AA$46=$C$41,AA47*$C$42*(1-$C$43),0)</f>
        <v>0</v>
      </c>
      <c r="AB51" s="66" t="n">
        <f aca="false">IF(AB$46=$C$41,AB47*$C$42*(1-$C$43),0)</f>
        <v>0</v>
      </c>
      <c r="AC51" s="66" t="n">
        <f aca="false">IF(AC$46=$C$41,AC47*$C$42*(1-$C$43),0)</f>
        <v>0</v>
      </c>
      <c r="AD51" s="66" t="n">
        <f aca="false">IF(AD$46=$C$41,AD47*$C$42*(1-$C$43),0)</f>
        <v>0</v>
      </c>
      <c r="AE51" s="66" t="n">
        <f aca="false">IF(AE$46=$C$41,AE47*$C$42*(1-$C$43),0)</f>
        <v>0</v>
      </c>
      <c r="AF51" s="66" t="n">
        <f aca="false">IF(AF$46=$C$41,AF47*$C$42*(1-$C$43),0)</f>
        <v>0</v>
      </c>
      <c r="AG51" s="66" t="n">
        <f aca="false">IF(AG$46=$C$41,AG47*$C$42*(1-$C$43),0)</f>
        <v>0</v>
      </c>
      <c r="AH51" s="66" t="n">
        <f aca="false">IF(AH$46=$C$41,AH47*$C$42*(1-$C$43),0)</f>
        <v>0</v>
      </c>
      <c r="AI51" s="66" t="n">
        <f aca="false">IF(AI$46=$C$41,AI47*$C$42*(1-$C$43),0)</f>
        <v>0</v>
      </c>
      <c r="AJ51" s="66" t="n">
        <f aca="false">IF(AJ$46=$C$41,AJ47*$C$42*(1-$C$43),0)</f>
        <v>0</v>
      </c>
      <c r="AK51" s="66" t="n">
        <f aca="false">IF(AK$46=$C$41,AK47*$C$42*(1-$C$43),0)</f>
        <v>0</v>
      </c>
      <c r="AL51" s="66" t="n">
        <f aca="false">IF(AL$46=$C$41,AL47*$C$42*(1-$C$43),0)</f>
        <v>0</v>
      </c>
      <c r="AM51" s="66" t="n">
        <f aca="false">IF(AM$46=$C$41,AM47*$C$42*(1-$C$43),0)</f>
        <v>0</v>
      </c>
      <c r="AN51" s="66" t="n">
        <f aca="false">IF(AN$46=$C$41,AN47*$C$42*(1-$C$43),0)</f>
        <v>0</v>
      </c>
      <c r="AO51" s="66" t="n">
        <f aca="false">IF(AO$46=$C$41,AO47*$C$42*(1-$C$43),0)</f>
        <v>0</v>
      </c>
      <c r="AP51" s="66" t="n">
        <f aca="false">IF(AP$46=$C$41,AP47*$C$42*(1-$C$43),0)</f>
        <v>0</v>
      </c>
      <c r="AQ51" s="66" t="n">
        <f aca="false">IF(AQ$46=$C$41,AQ47*$C$42*(1-$C$43),0)</f>
        <v>0</v>
      </c>
      <c r="AR51" s="66" t="n">
        <f aca="false">IF(AR$46=$C$41,AR47*$C$42*(1-$C$43),0)</f>
        <v>0</v>
      </c>
      <c r="AS51" s="66" t="n">
        <f aca="false">IF(AS$46=$C$41,AS47*$C$42*(1-$C$43),0)</f>
        <v>0</v>
      </c>
      <c r="AT51" s="66" t="n">
        <f aca="false">IF(AT$46=$C$41,AT47*$C$42*(1-$C$43),0)</f>
        <v>0</v>
      </c>
      <c r="AU51" s="66" t="n">
        <f aca="false">IF(AU$46=$C$41,AU47*$C$42*(1-$C$43),0)</f>
        <v>0</v>
      </c>
      <c r="AV51" s="66" t="n">
        <f aca="false">IF(AV$46=$C$41,AV47*$C$42*(1-$C$43),0)</f>
        <v>0</v>
      </c>
      <c r="AW51" s="66" t="n">
        <f aca="false">IF(AW$46=$C$41,AW47*$C$42*(1-$C$43),0)</f>
        <v>0</v>
      </c>
      <c r="AX51" s="66" t="n">
        <f aca="false">IF(AX$46=$C$41,AX47*$C$42*(1-$C$43),0)</f>
        <v>0</v>
      </c>
      <c r="AY51" s="66" t="n">
        <f aca="false">IF(AY$46=$C$41,AY47*$C$42*(1-$C$43),0)</f>
        <v>0</v>
      </c>
      <c r="AZ51" s="66" t="n">
        <f aca="false">IF(AZ$46=$C$41,AZ47*$C$42*(1-$C$43),0)</f>
        <v>0</v>
      </c>
      <c r="BA51" s="66" t="n">
        <f aca="false">IF(BA$46=$C$41,BA47*$C$42*(1-$C$43),0)</f>
        <v>0</v>
      </c>
      <c r="BB51" s="66" t="n">
        <f aca="false">IF(BB$46=$C$41,BB47*$C$42*(1-$C$43),0)</f>
        <v>0</v>
      </c>
    </row>
    <row r="52" customFormat="false" ht="15" hidden="false" customHeight="true" outlineLevel="0" collapsed="false">
      <c r="B52" s="59" t="s">
        <v>464</v>
      </c>
      <c r="C52" s="59" t="s">
        <v>11</v>
      </c>
      <c r="D52" s="63" t="n">
        <f aca="false">SUM(E52:BB52)</f>
        <v>592297971.56384</v>
      </c>
      <c r="E52" s="66" t="n">
        <f aca="false">IF(AND(E$46&gt;=$C$9,E$46&lt;=$C$41),E50+E51,0)</f>
        <v>0</v>
      </c>
      <c r="F52" s="66" t="n">
        <f aca="false">IF(AND(F$46&gt;=$C$9,F$46&lt;=$C$41),F50+F51,0)</f>
        <v>0</v>
      </c>
      <c r="G52" s="66" t="n">
        <f aca="false">IF(AND(G$46&gt;=$C$9,G$46&lt;=$C$41),G50+G51,0)</f>
        <v>0</v>
      </c>
      <c r="H52" s="66" t="n">
        <f aca="false">IF(AND(H$46&gt;=$C$9,H$46&lt;=$C$41),H50+H51,0)</f>
        <v>0</v>
      </c>
      <c r="I52" s="66" t="n">
        <f aca="false">IF(AND(I$46&gt;=$C$9,I$46&lt;=$C$41),I50+I51,0)</f>
        <v>-213888290.738096</v>
      </c>
      <c r="J52" s="66" t="n">
        <f aca="false">IF(AND(J$46&gt;=$C$9,J$46&lt;=$C$41),J50+J51,0)</f>
        <v>-173830091.308729</v>
      </c>
      <c r="K52" s="66" t="n">
        <f aca="false">IF(AND(K$46&gt;=$C$9,K$46&lt;=$C$41),K50+K51,0)</f>
        <v>-69649283.4587288</v>
      </c>
      <c r="L52" s="66" t="n">
        <f aca="false">IF(AND(L$46&gt;=$C$9,L$46&lt;=$C$41),L50+L51,0)</f>
        <v>37717468.3981462</v>
      </c>
      <c r="M52" s="66" t="n">
        <f aca="false">IF(AND(M$46&gt;=$C$9,M$46&lt;=$C$41),M50+M51,0)</f>
        <v>62331779.3784478</v>
      </c>
      <c r="N52" s="66" t="n">
        <f aca="false">IF(AND(N$46&gt;=$C$9,N$46&lt;=$C$41),N50+N51,0)</f>
        <v>949616389.2928</v>
      </c>
      <c r="O52" s="66" t="n">
        <f aca="false">IF(AND(O$46&gt;=$C$9,O$46&lt;=$C$41),O50+O51,0)</f>
        <v>0</v>
      </c>
      <c r="P52" s="66" t="n">
        <f aca="false">IF(AND(P$46&gt;=$C$9,P$46&lt;=$C$41),P50+P51,0)</f>
        <v>0</v>
      </c>
      <c r="Q52" s="66" t="n">
        <f aca="false">IF(AND(Q$46&gt;=$C$9,Q$46&lt;=$C$41),Q50+Q51,0)</f>
        <v>0</v>
      </c>
      <c r="R52" s="66" t="n">
        <f aca="false">IF(AND(R$46&gt;=$C$9,R$46&lt;=$C$41),R50+R51,0)</f>
        <v>0</v>
      </c>
      <c r="S52" s="66" t="n">
        <f aca="false">IF(AND(S$46&gt;=$C$9,S$46&lt;=$C$41),S50+S51,0)</f>
        <v>0</v>
      </c>
      <c r="T52" s="66" t="n">
        <f aca="false">IF(AND(T$46&gt;=$C$9,T$46&lt;=$C$41),T50+T51,0)</f>
        <v>0</v>
      </c>
      <c r="U52" s="66" t="n">
        <f aca="false">IF(AND(U$46&gt;=$C$9,U$46&lt;=$C$41),U50+U51,0)</f>
        <v>0</v>
      </c>
      <c r="V52" s="66" t="n">
        <f aca="false">IF(AND(V$46&gt;=$C$9,V$46&lt;=$C$41),V50+V51,0)</f>
        <v>0</v>
      </c>
      <c r="W52" s="66" t="n">
        <f aca="false">IF(AND(W$46&gt;=$C$9,W$46&lt;=$C$41),W50+W51,0)</f>
        <v>0</v>
      </c>
      <c r="X52" s="66" t="n">
        <f aca="false">IF(AND(X$46&gt;=$C$9,X$46&lt;=$C$41),X50+X51,0)</f>
        <v>0</v>
      </c>
      <c r="Y52" s="66" t="n">
        <f aca="false">IF(AND(Y$46&gt;=$C$9,Y$46&lt;=$C$41),Y50+Y51,0)</f>
        <v>0</v>
      </c>
      <c r="Z52" s="66" t="n">
        <f aca="false">IF(AND(Z$46&gt;=$C$9,Z$46&lt;=$C$41),Z50+Z51,0)</f>
        <v>0</v>
      </c>
      <c r="AA52" s="66" t="n">
        <f aca="false">IF(AND(AA$46&gt;=$C$9,AA$46&lt;=$C$41),AA50+AA51,0)</f>
        <v>0</v>
      </c>
      <c r="AB52" s="66" t="n">
        <f aca="false">IF(AND(AB$46&gt;=$C$9,AB$46&lt;=$C$41),AB50+AB51,0)</f>
        <v>0</v>
      </c>
      <c r="AC52" s="66" t="n">
        <f aca="false">IF(AND(AC$46&gt;=$C$9,AC$46&lt;=$C$41),AC50+AC51,0)</f>
        <v>0</v>
      </c>
      <c r="AD52" s="66" t="n">
        <f aca="false">IF(AND(AD$46&gt;=$C$9,AD$46&lt;=$C$41),AD50+AD51,0)</f>
        <v>0</v>
      </c>
      <c r="AE52" s="66" t="n">
        <f aca="false">IF(AND(AE$46&gt;=$C$9,AE$46&lt;=$C$41),AE50+AE51,0)</f>
        <v>0</v>
      </c>
      <c r="AF52" s="66" t="n">
        <f aca="false">IF(AND(AF$46&gt;=$C$9,AF$46&lt;=$C$41),AF50+AF51,0)</f>
        <v>0</v>
      </c>
      <c r="AG52" s="66" t="n">
        <f aca="false">IF(AND(AG$46&gt;=$C$9,AG$46&lt;=$C$41),AG50+AG51,0)</f>
        <v>0</v>
      </c>
      <c r="AH52" s="66" t="n">
        <f aca="false">IF(AND(AH$46&gt;=$C$9,AH$46&lt;=$C$41),AH50+AH51,0)</f>
        <v>0</v>
      </c>
      <c r="AI52" s="66" t="n">
        <f aca="false">IF(AND(AI$46&gt;=$C$9,AI$46&lt;=$C$41),AI50+AI51,0)</f>
        <v>0</v>
      </c>
      <c r="AJ52" s="66" t="n">
        <f aca="false">IF(AND(AJ$46&gt;=$C$9,AJ$46&lt;=$C$41),AJ50+AJ51,0)</f>
        <v>0</v>
      </c>
      <c r="AK52" s="66" t="n">
        <f aca="false">IF(AND(AK$46&gt;=$C$9,AK$46&lt;=$C$41),AK50+AK51,0)</f>
        <v>0</v>
      </c>
      <c r="AL52" s="66" t="n">
        <f aca="false">IF(AND(AL$46&gt;=$C$9,AL$46&lt;=$C$41),AL50+AL51,0)</f>
        <v>0</v>
      </c>
      <c r="AM52" s="66" t="n">
        <f aca="false">IF(AND(AM$46&gt;=$C$9,AM$46&lt;=$C$41),AM50+AM51,0)</f>
        <v>0</v>
      </c>
      <c r="AN52" s="66" t="n">
        <f aca="false">IF(AND(AN$46&gt;=$C$9,AN$46&lt;=$C$41),AN50+AN51,0)</f>
        <v>0</v>
      </c>
      <c r="AO52" s="66" t="n">
        <f aca="false">IF(AND(AO$46&gt;=$C$9,AO$46&lt;=$C$41),AO50+AO51,0)</f>
        <v>0</v>
      </c>
      <c r="AP52" s="66" t="n">
        <f aca="false">IF(AND(AP$46&gt;=$C$9,AP$46&lt;=$C$41),AP50+AP51,0)</f>
        <v>0</v>
      </c>
      <c r="AQ52" s="66" t="n">
        <f aca="false">IF(AND(AQ$46&gt;=$C$9,AQ$46&lt;=$C$41),AQ50+AQ51,0)</f>
        <v>0</v>
      </c>
      <c r="AR52" s="66" t="n">
        <f aca="false">IF(AND(AR$46&gt;=$C$9,AR$46&lt;=$C$41),AR50+AR51,0)</f>
        <v>0</v>
      </c>
      <c r="AS52" s="66" t="n">
        <f aca="false">IF(AND(AS$46&gt;=$C$9,AS$46&lt;=$C$41),AS50+AS51,0)</f>
        <v>0</v>
      </c>
      <c r="AT52" s="66" t="n">
        <f aca="false">IF(AND(AT$46&gt;=$C$9,AT$46&lt;=$C$41),AT50+AT51,0)</f>
        <v>0</v>
      </c>
      <c r="AU52" s="66" t="n">
        <f aca="false">IF(AND(AU$46&gt;=$C$9,AU$46&lt;=$C$41),AU50+AU51,0)</f>
        <v>0</v>
      </c>
      <c r="AV52" s="66" t="n">
        <f aca="false">IF(AND(AV$46&gt;=$C$9,AV$46&lt;=$C$41),AV50+AV51,0)</f>
        <v>0</v>
      </c>
      <c r="AW52" s="66" t="n">
        <f aca="false">IF(AND(AW$46&gt;=$C$9,AW$46&lt;=$C$41),AW50+AW51,0)</f>
        <v>0</v>
      </c>
      <c r="AX52" s="66" t="n">
        <f aca="false">IF(AND(AX$46&gt;=$C$9,AX$46&lt;=$C$41),AX50+AX51,0)</f>
        <v>0</v>
      </c>
      <c r="AY52" s="66" t="n">
        <f aca="false">IF(AND(AY$46&gt;=$C$9,AY$46&lt;=$C$41),AY50+AY51,0)</f>
        <v>0</v>
      </c>
      <c r="AZ52" s="66" t="n">
        <f aca="false">IF(AND(AZ$46&gt;=$C$9,AZ$46&lt;=$C$41),AZ50+AZ51,0)</f>
        <v>0</v>
      </c>
      <c r="BA52" s="66" t="n">
        <f aca="false">IF(AND(BA$46&gt;=$C$9,BA$46&lt;=$C$41),BA50+BA51,0)</f>
        <v>0</v>
      </c>
      <c r="BB52" s="66" t="n">
        <f aca="false">IF(AND(BB$46&gt;=$C$9,BB$46&lt;=$C$41),BB50+BB51,0)</f>
        <v>0</v>
      </c>
    </row>
    <row r="54" customFormat="false" ht="15" hidden="false" customHeight="true" outlineLevel="0" collapsed="false">
      <c r="A54" s="58" t="s">
        <v>465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customFormat="false" ht="15" hidden="false" customHeight="true" outlineLevel="0" collapsed="false">
      <c r="C55" s="69" t="s">
        <v>262</v>
      </c>
      <c r="D55" s="69" t="s">
        <v>60</v>
      </c>
      <c r="E55" s="70" t="n">
        <f aca="false">E$46</f>
        <v>2026</v>
      </c>
      <c r="F55" s="70" t="n">
        <f aca="false">F$46</f>
        <v>2027</v>
      </c>
      <c r="G55" s="70" t="n">
        <f aca="false">G$46</f>
        <v>2028</v>
      </c>
      <c r="H55" s="70" t="n">
        <f aca="false">H$46</f>
        <v>2029</v>
      </c>
      <c r="I55" s="70" t="n">
        <f aca="false">I$46</f>
        <v>2030</v>
      </c>
      <c r="J55" s="70" t="n">
        <f aca="false">J$46</f>
        <v>2031</v>
      </c>
      <c r="K55" s="70" t="n">
        <f aca="false">K$46</f>
        <v>2032</v>
      </c>
      <c r="L55" s="70" t="n">
        <f aca="false">L$46</f>
        <v>2033</v>
      </c>
      <c r="M55" s="70" t="n">
        <f aca="false">M$46</f>
        <v>2034</v>
      </c>
      <c r="N55" s="70" t="n">
        <f aca="false">N$46</f>
        <v>2035</v>
      </c>
      <c r="O55" s="70" t="n">
        <f aca="false">O$46</f>
        <v>2036</v>
      </c>
      <c r="P55" s="70" t="n">
        <f aca="false">P$46</f>
        <v>2037</v>
      </c>
      <c r="Q55" s="70" t="n">
        <f aca="false">Q$46</f>
        <v>2038</v>
      </c>
      <c r="R55" s="70" t="n">
        <f aca="false">R$46</f>
        <v>2039</v>
      </c>
      <c r="S55" s="70" t="n">
        <f aca="false">S$46</f>
        <v>2040</v>
      </c>
      <c r="T55" s="70" t="n">
        <f aca="false">T$46</f>
        <v>2041</v>
      </c>
      <c r="U55" s="70" t="n">
        <f aca="false">U$46</f>
        <v>2042</v>
      </c>
      <c r="V55" s="70" t="n">
        <f aca="false">V$46</f>
        <v>2043</v>
      </c>
      <c r="W55" s="70" t="n">
        <f aca="false">W$46</f>
        <v>2044</v>
      </c>
      <c r="X55" s="70" t="n">
        <f aca="false">X$46</f>
        <v>2045</v>
      </c>
      <c r="Y55" s="70" t="n">
        <f aca="false">Y$46</f>
        <v>2046</v>
      </c>
      <c r="Z55" s="70" t="n">
        <f aca="false">Z$46</f>
        <v>2047</v>
      </c>
      <c r="AA55" s="70" t="n">
        <f aca="false">AA$46</f>
        <v>2048</v>
      </c>
      <c r="AB55" s="70" t="n">
        <f aca="false">AB$46</f>
        <v>2049</v>
      </c>
      <c r="AC55" s="70" t="n">
        <f aca="false">AC$46</f>
        <v>2050</v>
      </c>
      <c r="AD55" s="70" t="n">
        <f aca="false">AD$46</f>
        <v>2051</v>
      </c>
      <c r="AE55" s="70" t="n">
        <f aca="false">AE$46</f>
        <v>2052</v>
      </c>
      <c r="AF55" s="70" t="n">
        <f aca="false">AF$46</f>
        <v>2053</v>
      </c>
      <c r="AG55" s="70" t="n">
        <f aca="false">AG$46</f>
        <v>2054</v>
      </c>
      <c r="AH55" s="70" t="n">
        <f aca="false">AH$46</f>
        <v>2055</v>
      </c>
      <c r="AI55" s="70" t="n">
        <f aca="false">AI$46</f>
        <v>2056</v>
      </c>
      <c r="AJ55" s="70" t="n">
        <f aca="false">AJ$46</f>
        <v>2057</v>
      </c>
      <c r="AK55" s="70" t="n">
        <f aca="false">AK$46</f>
        <v>2058</v>
      </c>
      <c r="AL55" s="70" t="n">
        <f aca="false">AL$46</f>
        <v>2059</v>
      </c>
      <c r="AM55" s="70" t="n">
        <f aca="false">AM$46</f>
        <v>2060</v>
      </c>
      <c r="AN55" s="70" t="n">
        <f aca="false">AN$46</f>
        <v>2061</v>
      </c>
      <c r="AO55" s="70" t="n">
        <f aca="false">AO$46</f>
        <v>2062</v>
      </c>
      <c r="AP55" s="70" t="n">
        <f aca="false">AP$46</f>
        <v>2063</v>
      </c>
      <c r="AQ55" s="70" t="n">
        <f aca="false">AQ$46</f>
        <v>2064</v>
      </c>
      <c r="AR55" s="70" t="n">
        <f aca="false">AR$46</f>
        <v>2065</v>
      </c>
      <c r="AS55" s="70" t="n">
        <f aca="false">AS$46</f>
        <v>2066</v>
      </c>
      <c r="AT55" s="70" t="n">
        <f aca="false">AT$46</f>
        <v>2067</v>
      </c>
      <c r="AU55" s="70" t="n">
        <f aca="false">AU$46</f>
        <v>2068</v>
      </c>
      <c r="AV55" s="70" t="n">
        <f aca="false">AV$46</f>
        <v>2069</v>
      </c>
      <c r="AW55" s="70" t="n">
        <f aca="false">AW$46</f>
        <v>2070</v>
      </c>
      <c r="AX55" s="70" t="n">
        <f aca="false">AX$46</f>
        <v>2071</v>
      </c>
      <c r="AY55" s="70" t="n">
        <f aca="false">AY$46</f>
        <v>2072</v>
      </c>
      <c r="AZ55" s="70" t="n">
        <f aca="false">AZ$46</f>
        <v>2073</v>
      </c>
      <c r="BA55" s="70" t="n">
        <f aca="false">BA$46</f>
        <v>2074</v>
      </c>
      <c r="BB55" s="70" t="n">
        <f aca="false">BB$46</f>
        <v>2075</v>
      </c>
    </row>
    <row r="56" customFormat="false" ht="15" hidden="false" customHeight="true" outlineLevel="0" collapsed="false">
      <c r="B56" s="59" t="s">
        <v>466</v>
      </c>
      <c r="C56" s="59" t="s">
        <v>11</v>
      </c>
      <c r="D56" s="63" t="n">
        <f aca="false">SUM(E56:BB56)</f>
        <v>247555597.310319</v>
      </c>
      <c r="E56" s="66" t="n">
        <f aca="false">IF(AND(E49&lt;0,E$46&gt;=$C$9,E$46&lt;=$C$41),ABS(E49/$D$49)*$C$14,0)+E70</f>
        <v>0</v>
      </c>
      <c r="F56" s="66" t="n">
        <f aca="false">IF(AND(F49&lt;0,F$46&gt;=$C$9,F$46&lt;=$C$41),ABS(F49/$D$49)*$C$14,0)+F70</f>
        <v>0</v>
      </c>
      <c r="G56" s="66" t="n">
        <f aca="false">IF(AND(G49&lt;0,G$46&gt;=$C$9,G$46&lt;=$C$41),ABS(G49/$D$49)*$C$14,0)+G70</f>
        <v>0</v>
      </c>
      <c r="H56" s="66" t="n">
        <f aca="false">IF(AND(H49&lt;0,H$46&gt;=$C$9,H$46&lt;=$C$41),ABS(H49/$D$49)*$C$14,0)+H70</f>
        <v>8086456.05227807</v>
      </c>
      <c r="I56" s="66" t="n">
        <f aca="false">IF(AND(I49&lt;0,I$46&gt;=$C$9,I$46&lt;=$C$41),ABS(I49/$D$49)*$C$14,0)+I70</f>
        <v>103453637.782996</v>
      </c>
      <c r="J56" s="66" t="n">
        <f aca="false">IF(AND(J49&lt;0,J$46&gt;=$C$9,J$46&lt;=$C$41),ABS(J49/$D$49)*$C$14,0)+J70</f>
        <v>86428988.3367416</v>
      </c>
      <c r="K56" s="66" t="n">
        <f aca="false">IF(AND(K49&lt;0,K$46&gt;=$C$9,K$46&lt;=$C$41),ABS(K49/$D$49)*$C$14,0)+K70</f>
        <v>40942206.946618</v>
      </c>
      <c r="L56" s="66" t="n">
        <f aca="false">IF(AND(L49&lt;0,L$46&gt;=$C$9,L$46&lt;=$C$41),ABS(L49/$D$49)*$C$14,0)+L70</f>
        <v>4322154.09584287</v>
      </c>
      <c r="M56" s="66" t="n">
        <f aca="false">IF(AND(M49&lt;0,M$46&gt;=$C$9,M$46&lt;=$C$41),ABS(M49/$D$49)*$C$14,0)+M70</f>
        <v>4322154.09584287</v>
      </c>
      <c r="N56" s="66" t="n">
        <f aca="false">IF(AND(N49&lt;0,N$46&gt;=$C$9,N$46&lt;=$C$41),ABS(N49/$D$49)*$C$14,0)+N70</f>
        <v>0</v>
      </c>
      <c r="O56" s="66" t="n">
        <f aca="false">IF(AND(O49&lt;0,O$46&gt;=$C$9,O$46&lt;=$C$41),ABS(O49/$D$49)*$C$14,0)+O70</f>
        <v>0</v>
      </c>
      <c r="P56" s="66" t="n">
        <f aca="false">IF(AND(P49&lt;0,P$46&gt;=$C$9,P$46&lt;=$C$41),ABS(P49/$D$49)*$C$14,0)+P70</f>
        <v>0</v>
      </c>
      <c r="Q56" s="66" t="n">
        <f aca="false">IF(AND(Q49&lt;0,Q$46&gt;=$C$9,Q$46&lt;=$C$41),ABS(Q49/$D$49)*$C$14,0)+Q70</f>
        <v>0</v>
      </c>
      <c r="R56" s="66" t="n">
        <f aca="false">IF(AND(R49&lt;0,R$46&gt;=$C$9,R$46&lt;=$C$41),ABS(R49/$D$49)*$C$14,0)+R70</f>
        <v>0</v>
      </c>
      <c r="S56" s="66" t="n">
        <f aca="false">IF(AND(S49&lt;0,S$46&gt;=$C$9,S$46&lt;=$C$41),ABS(S49/$D$49)*$C$14,0)+S70</f>
        <v>0</v>
      </c>
      <c r="T56" s="66" t="n">
        <f aca="false">IF(AND(T49&lt;0,T$46&gt;=$C$9,T$46&lt;=$C$41),ABS(T49/$D$49)*$C$14,0)+T70</f>
        <v>0</v>
      </c>
      <c r="U56" s="66" t="n">
        <f aca="false">IF(AND(U49&lt;0,U$46&gt;=$C$9,U$46&lt;=$C$41),ABS(U49/$D$49)*$C$14,0)+U70</f>
        <v>0</v>
      </c>
      <c r="V56" s="66" t="n">
        <f aca="false">IF(AND(V49&lt;0,V$46&gt;=$C$9,V$46&lt;=$C$41),ABS(V49/$D$49)*$C$14,0)+V70</f>
        <v>0</v>
      </c>
      <c r="W56" s="66" t="n">
        <f aca="false">IF(AND(W49&lt;0,W$46&gt;=$C$9,W$46&lt;=$C$41),ABS(W49/$D$49)*$C$14,0)+W70</f>
        <v>0</v>
      </c>
      <c r="X56" s="66" t="n">
        <f aca="false">IF(AND(X49&lt;0,X$46&gt;=$C$9,X$46&lt;=$C$41),ABS(X49/$D$49)*$C$14,0)+X70</f>
        <v>0</v>
      </c>
      <c r="Y56" s="66" t="n">
        <f aca="false">IF(AND(Y49&lt;0,Y$46&gt;=$C$9,Y$46&lt;=$C$41),ABS(Y49/$D$49)*$C$14,0)+Y70</f>
        <v>0</v>
      </c>
      <c r="Z56" s="66" t="n">
        <f aca="false">IF(AND(Z49&lt;0,Z$46&gt;=$C$9,Z$46&lt;=$C$41),ABS(Z49/$D$49)*$C$14,0)+Z70</f>
        <v>0</v>
      </c>
      <c r="AA56" s="66" t="n">
        <f aca="false">IF(AND(AA49&lt;0,AA$46&gt;=$C$9,AA$46&lt;=$C$41),ABS(AA49/$D$49)*$C$14,0)+AA70</f>
        <v>0</v>
      </c>
      <c r="AB56" s="66" t="n">
        <f aca="false">IF(AND(AB49&lt;0,AB$46&gt;=$C$9,AB$46&lt;=$C$41),ABS(AB49/$D$49)*$C$14,0)+AB70</f>
        <v>0</v>
      </c>
      <c r="AC56" s="66" t="n">
        <f aca="false">IF(AND(AC49&lt;0,AC$46&gt;=$C$9,AC$46&lt;=$C$41),ABS(AC49/$D$49)*$C$14,0)+AC70</f>
        <v>0</v>
      </c>
      <c r="AD56" s="66" t="n">
        <f aca="false">IF(AND(AD49&lt;0,AD$46&gt;=$C$9,AD$46&lt;=$C$41),ABS(AD49/$D$49)*$C$14,0)+AD70</f>
        <v>0</v>
      </c>
      <c r="AE56" s="66" t="n">
        <f aca="false">IF(AND(AE49&lt;0,AE$46&gt;=$C$9,AE$46&lt;=$C$41),ABS(AE49/$D$49)*$C$14,0)+AE70</f>
        <v>0</v>
      </c>
      <c r="AF56" s="66" t="n">
        <f aca="false">IF(AND(AF49&lt;0,AF$46&gt;=$C$9,AF$46&lt;=$C$41),ABS(AF49/$D$49)*$C$14,0)+AF70</f>
        <v>0</v>
      </c>
      <c r="AG56" s="66" t="n">
        <f aca="false">IF(AND(AG49&lt;0,AG$46&gt;=$C$9,AG$46&lt;=$C$41),ABS(AG49/$D$49)*$C$14,0)+AG70</f>
        <v>0</v>
      </c>
      <c r="AH56" s="66" t="n">
        <f aca="false">IF(AND(AH49&lt;0,AH$46&gt;=$C$9,AH$46&lt;=$C$41),ABS(AH49/$D$49)*$C$14,0)+AH70</f>
        <v>0</v>
      </c>
      <c r="AI56" s="66" t="n">
        <f aca="false">IF(AND(AI49&lt;0,AI$46&gt;=$C$9,AI$46&lt;=$C$41),ABS(AI49/$D$49)*$C$14,0)+AI70</f>
        <v>0</v>
      </c>
      <c r="AJ56" s="66" t="n">
        <f aca="false">IF(AND(AJ49&lt;0,AJ$46&gt;=$C$9,AJ$46&lt;=$C$41),ABS(AJ49/$D$49)*$C$14,0)+AJ70</f>
        <v>0</v>
      </c>
      <c r="AK56" s="66" t="n">
        <f aca="false">IF(AND(AK49&lt;0,AK$46&gt;=$C$9,AK$46&lt;=$C$41),ABS(AK49/$D$49)*$C$14,0)+AK70</f>
        <v>0</v>
      </c>
      <c r="AL56" s="66" t="n">
        <f aca="false">IF(AND(AL49&lt;0,AL$46&gt;=$C$9,AL$46&lt;=$C$41),ABS(AL49/$D$49)*$C$14,0)+AL70</f>
        <v>0</v>
      </c>
      <c r="AM56" s="66" t="n">
        <f aca="false">IF(AND(AM49&lt;0,AM$46&gt;=$C$9,AM$46&lt;=$C$41),ABS(AM49/$D$49)*$C$14,0)+AM70</f>
        <v>0</v>
      </c>
      <c r="AN56" s="66" t="n">
        <f aca="false">IF(AND(AN49&lt;0,AN$46&gt;=$C$9,AN$46&lt;=$C$41),ABS(AN49/$D$49)*$C$14,0)+AN70</f>
        <v>0</v>
      </c>
      <c r="AO56" s="66" t="n">
        <f aca="false">IF(AND(AO49&lt;0,AO$46&gt;=$C$9,AO$46&lt;=$C$41),ABS(AO49/$D$49)*$C$14,0)+AO70</f>
        <v>0</v>
      </c>
      <c r="AP56" s="66" t="n">
        <f aca="false">IF(AND(AP49&lt;0,AP$46&gt;=$C$9,AP$46&lt;=$C$41),ABS(AP49/$D$49)*$C$14,0)+AP70</f>
        <v>0</v>
      </c>
      <c r="AQ56" s="66" t="n">
        <f aca="false">IF(AND(AQ49&lt;0,AQ$46&gt;=$C$9,AQ$46&lt;=$C$41),ABS(AQ49/$D$49)*$C$14,0)+AQ70</f>
        <v>0</v>
      </c>
      <c r="AR56" s="66" t="n">
        <f aca="false">IF(AND(AR49&lt;0,AR$46&gt;=$C$9,AR$46&lt;=$C$41),ABS(AR49/$D$49)*$C$14,0)+AR70</f>
        <v>0</v>
      </c>
      <c r="AS56" s="66" t="n">
        <f aca="false">IF(AND(AS49&lt;0,AS$46&gt;=$C$9,AS$46&lt;=$C$41),ABS(AS49/$D$49)*$C$14,0)+AS70</f>
        <v>0</v>
      </c>
      <c r="AT56" s="66" t="n">
        <f aca="false">IF(AND(AT49&lt;0,AT$46&gt;=$C$9,AT$46&lt;=$C$41),ABS(AT49/$D$49)*$C$14,0)+AT70</f>
        <v>0</v>
      </c>
      <c r="AU56" s="66" t="n">
        <f aca="false">IF(AND(AU49&lt;0,AU$46&gt;=$C$9,AU$46&lt;=$C$41),ABS(AU49/$D$49)*$C$14,0)+AU70</f>
        <v>0</v>
      </c>
      <c r="AV56" s="66" t="n">
        <f aca="false">IF(AND(AV49&lt;0,AV$46&gt;=$C$9,AV$46&lt;=$C$41),ABS(AV49/$D$49)*$C$14,0)+AV70</f>
        <v>0</v>
      </c>
      <c r="AW56" s="66" t="n">
        <f aca="false">IF(AND(AW49&lt;0,AW$46&gt;=$C$9,AW$46&lt;=$C$41),ABS(AW49/$D$49)*$C$14,0)+AW70</f>
        <v>0</v>
      </c>
      <c r="AX56" s="66" t="n">
        <f aca="false">IF(AND(AX49&lt;0,AX$46&gt;=$C$9,AX$46&lt;=$C$41),ABS(AX49/$D$49)*$C$14,0)+AX70</f>
        <v>0</v>
      </c>
      <c r="AY56" s="66" t="n">
        <f aca="false">IF(AND(AY49&lt;0,AY$46&gt;=$C$9,AY$46&lt;=$C$41),ABS(AY49/$D$49)*$C$14,0)+AY70</f>
        <v>0</v>
      </c>
      <c r="AZ56" s="66" t="n">
        <f aca="false">IF(AND(AZ49&lt;0,AZ$46&gt;=$C$9,AZ$46&lt;=$C$41),ABS(AZ49/$D$49)*$C$14,0)+AZ70</f>
        <v>0</v>
      </c>
      <c r="BA56" s="66" t="n">
        <f aca="false">IF(AND(BA49&lt;0,BA$46&gt;=$C$9,BA$46&lt;=$C$41),ABS(BA49/$D$49)*$C$14,0)+BA70</f>
        <v>0</v>
      </c>
      <c r="BB56" s="66" t="n">
        <f aca="false">IF(AND(BB49&lt;0,BB$46&gt;=$C$9,BB$46&lt;=$C$41),ABS(BB49/$D$49)*$C$14,0)+BB70</f>
        <v>0</v>
      </c>
    </row>
    <row r="57" customFormat="false" ht="15" hidden="false" customHeight="true" outlineLevel="0" collapsed="false">
      <c r="B57" s="59" t="s">
        <v>467</v>
      </c>
      <c r="C57" s="59" t="s">
        <v>11</v>
      </c>
      <c r="D57" s="63" t="n">
        <f aca="false">SUM(E57:BB57)</f>
        <v>384825823.304663</v>
      </c>
      <c r="E57" s="66" t="n">
        <f aca="false">IF(AND($C$22="Y",E49&lt;0,E$46&gt;=$C$9,E$46&lt;=$C$41),MIN(ABS(E49/$D$49)*$C$19,MAX(0,$C$19-0)),0)</f>
        <v>0</v>
      </c>
      <c r="F57" s="66" t="n">
        <f aca="false">IF(AND($C$22="Y",F49&lt;0,F$46&gt;=$C$9,F$46&lt;=$C$41),MIN(ABS(F49/$D$49)*$C$19,MAX(0,$C$19-E60)),0)</f>
        <v>0</v>
      </c>
      <c r="G57" s="66" t="n">
        <f aca="false">IF(AND($C$22="Y",G49&lt;0,G$46&gt;=$C$9,G$46&lt;=$C$41),MIN(ABS(G49/$D$49)*$C$19,MAX(0,$C$19-F60)),0)</f>
        <v>0</v>
      </c>
      <c r="H57" s="66" t="n">
        <f aca="false">IF(AND($C$22="Y",H49&lt;0,H$46&gt;=$C$9,H$46&lt;=$C$41),MIN(ABS(H49/$D$49)*$C$19,MAX(0,$C$19-G60)),0)</f>
        <v>0</v>
      </c>
      <c r="I57" s="66" t="n">
        <f aca="false">IF(AND($C$22="Y",I49&lt;0,I$46&gt;=$C$9,I$46&lt;=$C$41),MIN(ABS(I49/$D$49)*$C$19,MAX(0,$C$19-H60)),0)</f>
        <v>176708112.648157</v>
      </c>
      <c r="J57" s="66" t="n">
        <f aca="false">IF(AND($C$22="Y",J49&lt;0,J$46&gt;=$C$9,J$46&lt;=$C$41),MIN(ABS(J49/$D$49)*$C$19,MAX(0,$C$19-I60)),0)</f>
        <v>144299692.759364</v>
      </c>
      <c r="K57" s="66" t="n">
        <f aca="false">IF(AND($C$22="Y",K49&lt;0,K$46&gt;=$C$9,K$46&lt;=$C$41),MIN(ABS(K49/$D$49)*$C$19,MAX(0,$C$19-J60)),0)</f>
        <v>63818017.8971419</v>
      </c>
      <c r="L57" s="66" t="n">
        <f aca="false">IF(AND($C$22="Y",L49&lt;0,L$46&gt;=$C$9,L$46&lt;=$C$41),MIN(ABS(L49/$D$49)*$C$19,MAX(0,$C$19-K60)),0)</f>
        <v>0</v>
      </c>
      <c r="M57" s="66" t="n">
        <f aca="false">IF(AND($C$22="Y",M49&lt;0,M$46&gt;=$C$9,M$46&lt;=$C$41),MIN(ABS(M49/$D$49)*$C$19,MAX(0,$C$19-L60)),0)</f>
        <v>0</v>
      </c>
      <c r="N57" s="66" t="n">
        <f aca="false">IF(AND($C$22="Y",N49&lt;0,N$46&gt;=$C$9,N$46&lt;=$C$41),MIN(ABS(N49/$D$49)*$C$19,MAX(0,$C$19-M60)),0)</f>
        <v>0</v>
      </c>
      <c r="O57" s="66" t="n">
        <f aca="false">IF(AND($C$22="Y",O49&lt;0,O$46&gt;=$C$9,O$46&lt;=$C$41),MIN(ABS(O49/$D$49)*$C$19,MAX(0,$C$19-N60)),0)</f>
        <v>0</v>
      </c>
      <c r="P57" s="66" t="n">
        <f aca="false">IF(AND($C$22="Y",P49&lt;0,P$46&gt;=$C$9,P$46&lt;=$C$41),MIN(ABS(P49/$D$49)*$C$19,MAX(0,$C$19-O60)),0)</f>
        <v>0</v>
      </c>
      <c r="Q57" s="66" t="n">
        <f aca="false">IF(AND($C$22="Y",Q49&lt;0,Q$46&gt;=$C$9,Q$46&lt;=$C$41),MIN(ABS(Q49/$D$49)*$C$19,MAX(0,$C$19-P60)),0)</f>
        <v>0</v>
      </c>
      <c r="R57" s="66" t="n">
        <f aca="false">IF(AND($C$22="Y",R49&lt;0,R$46&gt;=$C$9,R$46&lt;=$C$41),MIN(ABS(R49/$D$49)*$C$19,MAX(0,$C$19-Q60)),0)</f>
        <v>0</v>
      </c>
      <c r="S57" s="66" t="n">
        <f aca="false">IF(AND($C$22="Y",S49&lt;0,S$46&gt;=$C$9,S$46&lt;=$C$41),MIN(ABS(S49/$D$49)*$C$19,MAX(0,$C$19-R60)),0)</f>
        <v>0</v>
      </c>
      <c r="T57" s="66" t="n">
        <f aca="false">IF(AND($C$22="Y",T49&lt;0,T$46&gt;=$C$9,T$46&lt;=$C$41),MIN(ABS(T49/$D$49)*$C$19,MAX(0,$C$19-S60)),0)</f>
        <v>0</v>
      </c>
      <c r="U57" s="66" t="n">
        <f aca="false">IF(AND($C$22="Y",U49&lt;0,U$46&gt;=$C$9,U$46&lt;=$C$41),MIN(ABS(U49/$D$49)*$C$19,MAX(0,$C$19-T60)),0)</f>
        <v>0</v>
      </c>
      <c r="V57" s="66" t="n">
        <f aca="false">IF(AND($C$22="Y",V49&lt;0,V$46&gt;=$C$9,V$46&lt;=$C$41),MIN(ABS(V49/$D$49)*$C$19,MAX(0,$C$19-U60)),0)</f>
        <v>0</v>
      </c>
      <c r="W57" s="66" t="n">
        <f aca="false">IF(AND($C$22="Y",W49&lt;0,W$46&gt;=$C$9,W$46&lt;=$C$41),MIN(ABS(W49/$D$49)*$C$19,MAX(0,$C$19-V60)),0)</f>
        <v>0</v>
      </c>
      <c r="X57" s="66" t="n">
        <f aca="false">IF(AND($C$22="Y",X49&lt;0,X$46&gt;=$C$9,X$46&lt;=$C$41),MIN(ABS(X49/$D$49)*$C$19,MAX(0,$C$19-W60)),0)</f>
        <v>0</v>
      </c>
      <c r="Y57" s="66" t="n">
        <f aca="false">IF(AND($C$22="Y",Y49&lt;0,Y$46&gt;=$C$9,Y$46&lt;=$C$41),MIN(ABS(Y49/$D$49)*$C$19,MAX(0,$C$19-X60)),0)</f>
        <v>0</v>
      </c>
      <c r="Z57" s="66" t="n">
        <f aca="false">IF(AND($C$22="Y",Z49&lt;0,Z$46&gt;=$C$9,Z$46&lt;=$C$41),MIN(ABS(Z49/$D$49)*$C$19,MAX(0,$C$19-Y60)),0)</f>
        <v>0</v>
      </c>
      <c r="AA57" s="66" t="n">
        <f aca="false">IF(AND($C$22="Y",AA49&lt;0,AA$46&gt;=$C$9,AA$46&lt;=$C$41),MIN(ABS(AA49/$D$49)*$C$19,MAX(0,$C$19-Z60)),0)</f>
        <v>0</v>
      </c>
      <c r="AB57" s="66" t="n">
        <f aca="false">IF(AND($C$22="Y",AB49&lt;0,AB$46&gt;=$C$9,AB$46&lt;=$C$41),MIN(ABS(AB49/$D$49)*$C$19,MAX(0,$C$19-AA60)),0)</f>
        <v>0</v>
      </c>
      <c r="AC57" s="66" t="n">
        <f aca="false">IF(AND($C$22="Y",AC49&lt;0,AC$46&gt;=$C$9,AC$46&lt;=$C$41),MIN(ABS(AC49/$D$49)*$C$19,MAX(0,$C$19-AB60)),0)</f>
        <v>0</v>
      </c>
      <c r="AD57" s="66" t="n">
        <f aca="false">IF(AND($C$22="Y",AD49&lt;0,AD$46&gt;=$C$9,AD$46&lt;=$C$41),MIN(ABS(AD49/$D$49)*$C$19,MAX(0,$C$19-AC60)),0)</f>
        <v>0</v>
      </c>
      <c r="AE57" s="66" t="n">
        <f aca="false">IF(AND($C$22="Y",AE49&lt;0,AE$46&gt;=$C$9,AE$46&lt;=$C$41),MIN(ABS(AE49/$D$49)*$C$19,MAX(0,$C$19-AD60)),0)</f>
        <v>0</v>
      </c>
      <c r="AF57" s="66" t="n">
        <f aca="false">IF(AND($C$22="Y",AF49&lt;0,AF$46&gt;=$C$9,AF$46&lt;=$C$41),MIN(ABS(AF49/$D$49)*$C$19,MAX(0,$C$19-AE60)),0)</f>
        <v>0</v>
      </c>
      <c r="AG57" s="66" t="n">
        <f aca="false">IF(AND($C$22="Y",AG49&lt;0,AG$46&gt;=$C$9,AG$46&lt;=$C$41),MIN(ABS(AG49/$D$49)*$C$19,MAX(0,$C$19-AF60)),0)</f>
        <v>0</v>
      </c>
      <c r="AH57" s="66" t="n">
        <f aca="false">IF(AND($C$22="Y",AH49&lt;0,AH$46&gt;=$C$9,AH$46&lt;=$C$41),MIN(ABS(AH49/$D$49)*$C$19,MAX(0,$C$19-AG60)),0)</f>
        <v>0</v>
      </c>
      <c r="AI57" s="66" t="n">
        <f aca="false">IF(AND($C$22="Y",AI49&lt;0,AI$46&gt;=$C$9,AI$46&lt;=$C$41),MIN(ABS(AI49/$D$49)*$C$19,MAX(0,$C$19-AH60)),0)</f>
        <v>0</v>
      </c>
      <c r="AJ57" s="66" t="n">
        <f aca="false">IF(AND($C$22="Y",AJ49&lt;0,AJ$46&gt;=$C$9,AJ$46&lt;=$C$41),MIN(ABS(AJ49/$D$49)*$C$19,MAX(0,$C$19-AI60)),0)</f>
        <v>0</v>
      </c>
      <c r="AK57" s="66" t="n">
        <f aca="false">IF(AND($C$22="Y",AK49&lt;0,AK$46&gt;=$C$9,AK$46&lt;=$C$41),MIN(ABS(AK49/$D$49)*$C$19,MAX(0,$C$19-AJ60)),0)</f>
        <v>0</v>
      </c>
      <c r="AL57" s="66" t="n">
        <f aca="false">IF(AND($C$22="Y",AL49&lt;0,AL$46&gt;=$C$9,AL$46&lt;=$C$41),MIN(ABS(AL49/$D$49)*$C$19,MAX(0,$C$19-AK60)),0)</f>
        <v>0</v>
      </c>
      <c r="AM57" s="66" t="n">
        <f aca="false">IF(AND($C$22="Y",AM49&lt;0,AM$46&gt;=$C$9,AM$46&lt;=$C$41),MIN(ABS(AM49/$D$49)*$C$19,MAX(0,$C$19-AL60)),0)</f>
        <v>0</v>
      </c>
      <c r="AN57" s="66" t="n">
        <f aca="false">IF(AND($C$22="Y",AN49&lt;0,AN$46&gt;=$C$9,AN$46&lt;=$C$41),MIN(ABS(AN49/$D$49)*$C$19,MAX(0,$C$19-AM60)),0)</f>
        <v>0</v>
      </c>
      <c r="AO57" s="66" t="n">
        <f aca="false">IF(AND($C$22="Y",AO49&lt;0,AO$46&gt;=$C$9,AO$46&lt;=$C$41),MIN(ABS(AO49/$D$49)*$C$19,MAX(0,$C$19-AN60)),0)</f>
        <v>0</v>
      </c>
      <c r="AP57" s="66" t="n">
        <f aca="false">IF(AND($C$22="Y",AP49&lt;0,AP$46&gt;=$C$9,AP$46&lt;=$C$41),MIN(ABS(AP49/$D$49)*$C$19,MAX(0,$C$19-AO60)),0)</f>
        <v>0</v>
      </c>
      <c r="AQ57" s="66" t="n">
        <f aca="false">IF(AND($C$22="Y",AQ49&lt;0,AQ$46&gt;=$C$9,AQ$46&lt;=$C$41),MIN(ABS(AQ49/$D$49)*$C$19,MAX(0,$C$19-AP60)),0)</f>
        <v>0</v>
      </c>
      <c r="AR57" s="66" t="n">
        <f aca="false">IF(AND($C$22="Y",AR49&lt;0,AR$46&gt;=$C$9,AR$46&lt;=$C$41),MIN(ABS(AR49/$D$49)*$C$19,MAX(0,$C$19-AQ60)),0)</f>
        <v>0</v>
      </c>
      <c r="AS57" s="66" t="n">
        <f aca="false">IF(AND($C$22="Y",AS49&lt;0,AS$46&gt;=$C$9,AS$46&lt;=$C$41),MIN(ABS(AS49/$D$49)*$C$19,MAX(0,$C$19-AR60)),0)</f>
        <v>0</v>
      </c>
      <c r="AT57" s="66" t="n">
        <f aca="false">IF(AND($C$22="Y",AT49&lt;0,AT$46&gt;=$C$9,AT$46&lt;=$C$41),MIN(ABS(AT49/$D$49)*$C$19,MAX(0,$C$19-AS60)),0)</f>
        <v>0</v>
      </c>
      <c r="AU57" s="66" t="n">
        <f aca="false">IF(AND($C$22="Y",AU49&lt;0,AU$46&gt;=$C$9,AU$46&lt;=$C$41),MIN(ABS(AU49/$D$49)*$C$19,MAX(0,$C$19-AT60)),0)</f>
        <v>0</v>
      </c>
      <c r="AV57" s="66" t="n">
        <f aca="false">IF(AND($C$22="Y",AV49&lt;0,AV$46&gt;=$C$9,AV$46&lt;=$C$41),MIN(ABS(AV49/$D$49)*$C$19,MAX(0,$C$19-AU60)),0)</f>
        <v>0</v>
      </c>
      <c r="AW57" s="66" t="n">
        <f aca="false">IF(AND($C$22="Y",AW49&lt;0,AW$46&gt;=$C$9,AW$46&lt;=$C$41),MIN(ABS(AW49/$D$49)*$C$19,MAX(0,$C$19-AV60)),0)</f>
        <v>0</v>
      </c>
      <c r="AX57" s="66" t="n">
        <f aca="false">IF(AND($C$22="Y",AX49&lt;0,AX$46&gt;=$C$9,AX$46&lt;=$C$41),MIN(ABS(AX49/$D$49)*$C$19,MAX(0,$C$19-AW60)),0)</f>
        <v>0</v>
      </c>
      <c r="AY57" s="66" t="n">
        <f aca="false">IF(AND($C$22="Y",AY49&lt;0,AY$46&gt;=$C$9,AY$46&lt;=$C$41),MIN(ABS(AY49/$D$49)*$C$19,MAX(0,$C$19-AX60)),0)</f>
        <v>0</v>
      </c>
      <c r="AZ57" s="66" t="n">
        <f aca="false">IF(AND($C$22="Y",AZ49&lt;0,AZ$46&gt;=$C$9,AZ$46&lt;=$C$41),MIN(ABS(AZ49/$D$49)*$C$19,MAX(0,$C$19-AY60)),0)</f>
        <v>0</v>
      </c>
      <c r="BA57" s="66" t="n">
        <f aca="false">IF(AND($C$22="Y",BA49&lt;0,BA$46&gt;=$C$9,BA$46&lt;=$C$41),MIN(ABS(BA49/$D$49)*$C$19,MAX(0,$C$19-AZ60)),0)</f>
        <v>0</v>
      </c>
      <c r="BB57" s="66" t="n">
        <f aca="false">IF(AND($C$22="Y",BB49&lt;0,BB$46&gt;=$C$9,BB$46&lt;=$C$41),MIN(ABS(BB49/$D$49)*$C$19,MAX(0,$C$19-BA60)),0)</f>
        <v>0</v>
      </c>
    </row>
    <row r="58" customFormat="false" ht="15" hidden="false" customHeight="true" outlineLevel="0" collapsed="false">
      <c r="B58" s="59" t="s">
        <v>468</v>
      </c>
      <c r="C58" s="59" t="s">
        <v>11</v>
      </c>
      <c r="D58" s="66" t="n">
        <f aca="false">SUM(E58:BB58)</f>
        <v>1074954653.01267</v>
      </c>
      <c r="E58" s="66" t="n">
        <f aca="false">0</f>
        <v>0</v>
      </c>
      <c r="F58" s="66" t="n">
        <f aca="false">E60</f>
        <v>0</v>
      </c>
      <c r="G58" s="66" t="n">
        <f aca="false">F60</f>
        <v>0</v>
      </c>
      <c r="H58" s="66" t="n">
        <f aca="false">G60</f>
        <v>0</v>
      </c>
      <c r="I58" s="66" t="n">
        <f aca="false">H60</f>
        <v>0</v>
      </c>
      <c r="J58" s="66" t="n">
        <f aca="false">I60</f>
        <v>176708112.648157</v>
      </c>
      <c r="K58" s="66" t="n">
        <f aca="false">J60</f>
        <v>321007805.407521</v>
      </c>
      <c r="L58" s="66" t="n">
        <f aca="false">K60</f>
        <v>288619367.478497</v>
      </c>
      <c r="M58" s="66" t="n">
        <f aca="false">L60</f>
        <v>192412911.652331</v>
      </c>
      <c r="N58" s="66" t="n">
        <f aca="false">M60</f>
        <v>96206455.8261656</v>
      </c>
      <c r="O58" s="66" t="n">
        <f aca="false">N60</f>
        <v>0</v>
      </c>
      <c r="P58" s="66" t="n">
        <f aca="false">O60</f>
        <v>0</v>
      </c>
      <c r="Q58" s="66" t="n">
        <f aca="false">P60</f>
        <v>0</v>
      </c>
      <c r="R58" s="66" t="n">
        <f aca="false">Q60</f>
        <v>0</v>
      </c>
      <c r="S58" s="66" t="n">
        <f aca="false">R60</f>
        <v>0</v>
      </c>
      <c r="T58" s="66" t="n">
        <f aca="false">S60</f>
        <v>0</v>
      </c>
      <c r="U58" s="66" t="n">
        <f aca="false">T60</f>
        <v>0</v>
      </c>
      <c r="V58" s="66" t="n">
        <f aca="false">U60</f>
        <v>0</v>
      </c>
      <c r="W58" s="66" t="n">
        <f aca="false">V60</f>
        <v>0</v>
      </c>
      <c r="X58" s="66" t="n">
        <f aca="false">W60</f>
        <v>0</v>
      </c>
      <c r="Y58" s="66" t="n">
        <f aca="false">X60</f>
        <v>0</v>
      </c>
      <c r="Z58" s="66" t="n">
        <f aca="false">Y60</f>
        <v>0</v>
      </c>
      <c r="AA58" s="66" t="n">
        <f aca="false">Z60</f>
        <v>0</v>
      </c>
      <c r="AB58" s="66" t="n">
        <f aca="false">AA60</f>
        <v>0</v>
      </c>
      <c r="AC58" s="66" t="n">
        <f aca="false">AB60</f>
        <v>0</v>
      </c>
      <c r="AD58" s="66" t="n">
        <f aca="false">AC60</f>
        <v>0</v>
      </c>
      <c r="AE58" s="66" t="n">
        <f aca="false">AD60</f>
        <v>0</v>
      </c>
      <c r="AF58" s="66" t="n">
        <f aca="false">AE60</f>
        <v>0</v>
      </c>
      <c r="AG58" s="66" t="n">
        <f aca="false">AF60</f>
        <v>0</v>
      </c>
      <c r="AH58" s="66" t="n">
        <f aca="false">AG60</f>
        <v>0</v>
      </c>
      <c r="AI58" s="66" t="n">
        <f aca="false">AH60</f>
        <v>0</v>
      </c>
      <c r="AJ58" s="66" t="n">
        <f aca="false">AI60</f>
        <v>0</v>
      </c>
      <c r="AK58" s="66" t="n">
        <f aca="false">AJ60</f>
        <v>0</v>
      </c>
      <c r="AL58" s="66" t="n">
        <f aca="false">AK60</f>
        <v>0</v>
      </c>
      <c r="AM58" s="66" t="n">
        <f aca="false">AL60</f>
        <v>0</v>
      </c>
      <c r="AN58" s="66" t="n">
        <f aca="false">AM60</f>
        <v>0</v>
      </c>
      <c r="AO58" s="66" t="n">
        <f aca="false">AN60</f>
        <v>0</v>
      </c>
      <c r="AP58" s="66" t="n">
        <f aca="false">AO60</f>
        <v>0</v>
      </c>
      <c r="AQ58" s="66" t="n">
        <f aca="false">AP60</f>
        <v>0</v>
      </c>
      <c r="AR58" s="66" t="n">
        <f aca="false">AQ60</f>
        <v>0</v>
      </c>
      <c r="AS58" s="66" t="n">
        <f aca="false">AR60</f>
        <v>0</v>
      </c>
      <c r="AT58" s="66" t="n">
        <f aca="false">AS60</f>
        <v>0</v>
      </c>
      <c r="AU58" s="66" t="n">
        <f aca="false">AT60</f>
        <v>0</v>
      </c>
      <c r="AV58" s="66" t="n">
        <f aca="false">AU60</f>
        <v>0</v>
      </c>
      <c r="AW58" s="66" t="n">
        <f aca="false">AV60</f>
        <v>0</v>
      </c>
      <c r="AX58" s="66" t="n">
        <f aca="false">AW60</f>
        <v>0</v>
      </c>
      <c r="AY58" s="66" t="n">
        <f aca="false">AX60</f>
        <v>0</v>
      </c>
      <c r="AZ58" s="66" t="n">
        <f aca="false">AY60</f>
        <v>0</v>
      </c>
      <c r="BA58" s="66" t="n">
        <f aca="false">AZ60</f>
        <v>0</v>
      </c>
      <c r="BB58" s="66" t="n">
        <f aca="false">BA60</f>
        <v>0</v>
      </c>
    </row>
    <row r="59" customFormat="false" ht="15" hidden="false" customHeight="true" outlineLevel="0" collapsed="false">
      <c r="B59" s="59" t="s">
        <v>469</v>
      </c>
      <c r="C59" s="59" t="s">
        <v>11</v>
      </c>
      <c r="D59" s="63" t="n">
        <f aca="false">SUM(E59:BB59)</f>
        <v>-384825823.304663</v>
      </c>
      <c r="E59" s="66" t="n">
        <f aca="false">IF(AND($C$22="Y",(E$46-$C$9+1)&gt;$C$26,E58&gt;0),-MIN(E58,$C$19/MAX(1,$C$24-$C$26)),0)</f>
        <v>0</v>
      </c>
      <c r="F59" s="66" t="n">
        <f aca="false">IF(AND($C$22="Y",(F$46-$C$9+1)&gt;$C$26,F58&gt;0),-MIN(F58,$C$19/MAX(1,$C$24-$C$26)),0)</f>
        <v>0</v>
      </c>
      <c r="G59" s="66" t="n">
        <f aca="false">IF(AND($C$22="Y",(G$46-$C$9+1)&gt;$C$26,G58&gt;0),-MIN(G58,$C$19/MAX(1,$C$24-$C$26)),0)</f>
        <v>0</v>
      </c>
      <c r="H59" s="66" t="n">
        <f aca="false">IF(AND($C$22="Y",(H$46-$C$9+1)&gt;$C$26,H58&gt;0),-MIN(H58,$C$19/MAX(1,$C$24-$C$26)),0)</f>
        <v>0</v>
      </c>
      <c r="I59" s="66" t="n">
        <f aca="false">IF(AND($C$22="Y",(I$46-$C$9+1)&gt;$C$26,I58&gt;0),-MIN(I58,$C$19/MAX(1,$C$24-$C$26)),0)</f>
        <v>0</v>
      </c>
      <c r="J59" s="66" t="n">
        <f aca="false">IF(AND($C$22="Y",(J$46-$C$9+1)&gt;$C$26,J58&gt;0),-MIN(J58,$C$19/MAX(1,$C$24-$C$26)),0)</f>
        <v>0</v>
      </c>
      <c r="K59" s="66" t="n">
        <f aca="false">IF(AND($C$22="Y",(K$46-$C$9+1)&gt;$C$26,K58&gt;0),-MIN(K58,$C$19/MAX(1,$C$24-$C$26)),0)</f>
        <v>-96206455.8261657</v>
      </c>
      <c r="L59" s="66" t="n">
        <f aca="false">IF(AND($C$22="Y",(L$46-$C$9+1)&gt;$C$26,L58&gt;0),-MIN(L58,$C$19/MAX(1,$C$24-$C$26)),0)</f>
        <v>-96206455.8261657</v>
      </c>
      <c r="M59" s="66" t="n">
        <f aca="false">IF(AND($C$22="Y",(M$46-$C$9+1)&gt;$C$26,M58&gt;0),-MIN(M58,$C$19/MAX(1,$C$24-$C$26)),0)</f>
        <v>-96206455.8261657</v>
      </c>
      <c r="N59" s="66" t="n">
        <f aca="false">IF(AND($C$22="Y",(N$46-$C$9+1)&gt;$C$26,N58&gt;0),-MIN(N58,$C$19/MAX(1,$C$24-$C$26)),0)</f>
        <v>-96206455.8261656</v>
      </c>
      <c r="O59" s="66" t="n">
        <f aca="false">IF(AND($C$22="Y",(O$46-$C$9+1)&gt;$C$26,O58&gt;0),-MIN(O58,$C$19/MAX(1,$C$24-$C$26)),0)</f>
        <v>0</v>
      </c>
      <c r="P59" s="66" t="n">
        <f aca="false">IF(AND($C$22="Y",(P$46-$C$9+1)&gt;$C$26,P58&gt;0),-MIN(P58,$C$19/MAX(1,$C$24-$C$26)),0)</f>
        <v>0</v>
      </c>
      <c r="Q59" s="66" t="n">
        <f aca="false">IF(AND($C$22="Y",(Q$46-$C$9+1)&gt;$C$26,Q58&gt;0),-MIN(Q58,$C$19/MAX(1,$C$24-$C$26)),0)</f>
        <v>0</v>
      </c>
      <c r="R59" s="66" t="n">
        <f aca="false">IF(AND($C$22="Y",(R$46-$C$9+1)&gt;$C$26,R58&gt;0),-MIN(R58,$C$19/MAX(1,$C$24-$C$26)),0)</f>
        <v>0</v>
      </c>
      <c r="S59" s="66" t="n">
        <f aca="false">IF(AND($C$22="Y",(S$46-$C$9+1)&gt;$C$26,S58&gt;0),-MIN(S58,$C$19/MAX(1,$C$24-$C$26)),0)</f>
        <v>0</v>
      </c>
      <c r="T59" s="66" t="n">
        <f aca="false">IF(AND($C$22="Y",(T$46-$C$9+1)&gt;$C$26,T58&gt;0),-MIN(T58,$C$19/MAX(1,$C$24-$C$26)),0)</f>
        <v>0</v>
      </c>
      <c r="U59" s="66" t="n">
        <f aca="false">IF(AND($C$22="Y",(U$46-$C$9+1)&gt;$C$26,U58&gt;0),-MIN(U58,$C$19/MAX(1,$C$24-$C$26)),0)</f>
        <v>0</v>
      </c>
      <c r="V59" s="66" t="n">
        <f aca="false">IF(AND($C$22="Y",(V$46-$C$9+1)&gt;$C$26,V58&gt;0),-MIN(V58,$C$19/MAX(1,$C$24-$C$26)),0)</f>
        <v>0</v>
      </c>
      <c r="W59" s="66" t="n">
        <f aca="false">IF(AND($C$22="Y",(W$46-$C$9+1)&gt;$C$26,W58&gt;0),-MIN(W58,$C$19/MAX(1,$C$24-$C$26)),0)</f>
        <v>0</v>
      </c>
      <c r="X59" s="66" t="n">
        <f aca="false">IF(AND($C$22="Y",(X$46-$C$9+1)&gt;$C$26,X58&gt;0),-MIN(X58,$C$19/MAX(1,$C$24-$C$26)),0)</f>
        <v>0</v>
      </c>
      <c r="Y59" s="66" t="n">
        <f aca="false">IF(AND($C$22="Y",(Y$46-$C$9+1)&gt;$C$26,Y58&gt;0),-MIN(Y58,$C$19/MAX(1,$C$24-$C$26)),0)</f>
        <v>0</v>
      </c>
      <c r="Z59" s="66" t="n">
        <f aca="false">IF(AND($C$22="Y",(Z$46-$C$9+1)&gt;$C$26,Z58&gt;0),-MIN(Z58,$C$19/MAX(1,$C$24-$C$26)),0)</f>
        <v>0</v>
      </c>
      <c r="AA59" s="66" t="n">
        <f aca="false">IF(AND($C$22="Y",(AA$46-$C$9+1)&gt;$C$26,AA58&gt;0),-MIN(AA58,$C$19/MAX(1,$C$24-$C$26)),0)</f>
        <v>0</v>
      </c>
      <c r="AB59" s="66" t="n">
        <f aca="false">IF(AND($C$22="Y",(AB$46-$C$9+1)&gt;$C$26,AB58&gt;0),-MIN(AB58,$C$19/MAX(1,$C$24-$C$26)),0)</f>
        <v>0</v>
      </c>
      <c r="AC59" s="66" t="n">
        <f aca="false">IF(AND($C$22="Y",(AC$46-$C$9+1)&gt;$C$26,AC58&gt;0),-MIN(AC58,$C$19/MAX(1,$C$24-$C$26)),0)</f>
        <v>0</v>
      </c>
      <c r="AD59" s="66" t="n">
        <f aca="false">IF(AND($C$22="Y",(AD$46-$C$9+1)&gt;$C$26,AD58&gt;0),-MIN(AD58,$C$19/MAX(1,$C$24-$C$26)),0)</f>
        <v>0</v>
      </c>
      <c r="AE59" s="66" t="n">
        <f aca="false">IF(AND($C$22="Y",(AE$46-$C$9+1)&gt;$C$26,AE58&gt;0),-MIN(AE58,$C$19/MAX(1,$C$24-$C$26)),0)</f>
        <v>0</v>
      </c>
      <c r="AF59" s="66" t="n">
        <f aca="false">IF(AND($C$22="Y",(AF$46-$C$9+1)&gt;$C$26,AF58&gt;0),-MIN(AF58,$C$19/MAX(1,$C$24-$C$26)),0)</f>
        <v>0</v>
      </c>
      <c r="AG59" s="66" t="n">
        <f aca="false">IF(AND($C$22="Y",(AG$46-$C$9+1)&gt;$C$26,AG58&gt;0),-MIN(AG58,$C$19/MAX(1,$C$24-$C$26)),0)</f>
        <v>0</v>
      </c>
      <c r="AH59" s="66" t="n">
        <f aca="false">IF(AND($C$22="Y",(AH$46-$C$9+1)&gt;$C$26,AH58&gt;0),-MIN(AH58,$C$19/MAX(1,$C$24-$C$26)),0)</f>
        <v>0</v>
      </c>
      <c r="AI59" s="66" t="n">
        <f aca="false">IF(AND($C$22="Y",(AI$46-$C$9+1)&gt;$C$26,AI58&gt;0),-MIN(AI58,$C$19/MAX(1,$C$24-$C$26)),0)</f>
        <v>0</v>
      </c>
      <c r="AJ59" s="66" t="n">
        <f aca="false">IF(AND($C$22="Y",(AJ$46-$C$9+1)&gt;$C$26,AJ58&gt;0),-MIN(AJ58,$C$19/MAX(1,$C$24-$C$26)),0)</f>
        <v>0</v>
      </c>
      <c r="AK59" s="66" t="n">
        <f aca="false">IF(AND($C$22="Y",(AK$46-$C$9+1)&gt;$C$26,AK58&gt;0),-MIN(AK58,$C$19/MAX(1,$C$24-$C$26)),0)</f>
        <v>0</v>
      </c>
      <c r="AL59" s="66" t="n">
        <f aca="false">IF(AND($C$22="Y",(AL$46-$C$9+1)&gt;$C$26,AL58&gt;0),-MIN(AL58,$C$19/MAX(1,$C$24-$C$26)),0)</f>
        <v>0</v>
      </c>
      <c r="AM59" s="66" t="n">
        <f aca="false">IF(AND($C$22="Y",(AM$46-$C$9+1)&gt;$C$26,AM58&gt;0),-MIN(AM58,$C$19/MAX(1,$C$24-$C$26)),0)</f>
        <v>0</v>
      </c>
      <c r="AN59" s="66" t="n">
        <f aca="false">IF(AND($C$22="Y",(AN$46-$C$9+1)&gt;$C$26,AN58&gt;0),-MIN(AN58,$C$19/MAX(1,$C$24-$C$26)),0)</f>
        <v>0</v>
      </c>
      <c r="AO59" s="66" t="n">
        <f aca="false">IF(AND($C$22="Y",(AO$46-$C$9+1)&gt;$C$26,AO58&gt;0),-MIN(AO58,$C$19/MAX(1,$C$24-$C$26)),0)</f>
        <v>0</v>
      </c>
      <c r="AP59" s="66" t="n">
        <f aca="false">IF(AND($C$22="Y",(AP$46-$C$9+1)&gt;$C$26,AP58&gt;0),-MIN(AP58,$C$19/MAX(1,$C$24-$C$26)),0)</f>
        <v>0</v>
      </c>
      <c r="AQ59" s="66" t="n">
        <f aca="false">IF(AND($C$22="Y",(AQ$46-$C$9+1)&gt;$C$26,AQ58&gt;0),-MIN(AQ58,$C$19/MAX(1,$C$24-$C$26)),0)</f>
        <v>0</v>
      </c>
      <c r="AR59" s="66" t="n">
        <f aca="false">IF(AND($C$22="Y",(AR$46-$C$9+1)&gt;$C$26,AR58&gt;0),-MIN(AR58,$C$19/MAX(1,$C$24-$C$26)),0)</f>
        <v>0</v>
      </c>
      <c r="AS59" s="66" t="n">
        <f aca="false">IF(AND($C$22="Y",(AS$46-$C$9+1)&gt;$C$26,AS58&gt;0),-MIN(AS58,$C$19/MAX(1,$C$24-$C$26)),0)</f>
        <v>0</v>
      </c>
      <c r="AT59" s="66" t="n">
        <f aca="false">IF(AND($C$22="Y",(AT$46-$C$9+1)&gt;$C$26,AT58&gt;0),-MIN(AT58,$C$19/MAX(1,$C$24-$C$26)),0)</f>
        <v>0</v>
      </c>
      <c r="AU59" s="66" t="n">
        <f aca="false">IF(AND($C$22="Y",(AU$46-$C$9+1)&gt;$C$26,AU58&gt;0),-MIN(AU58,$C$19/MAX(1,$C$24-$C$26)),0)</f>
        <v>0</v>
      </c>
      <c r="AV59" s="66" t="n">
        <f aca="false">IF(AND($C$22="Y",(AV$46-$C$9+1)&gt;$C$26,AV58&gt;0),-MIN(AV58,$C$19/MAX(1,$C$24-$C$26)),0)</f>
        <v>0</v>
      </c>
      <c r="AW59" s="66" t="n">
        <f aca="false">IF(AND($C$22="Y",(AW$46-$C$9+1)&gt;$C$26,AW58&gt;0),-MIN(AW58,$C$19/MAX(1,$C$24-$C$26)),0)</f>
        <v>0</v>
      </c>
      <c r="AX59" s="66" t="n">
        <f aca="false">IF(AND($C$22="Y",(AX$46-$C$9+1)&gt;$C$26,AX58&gt;0),-MIN(AX58,$C$19/MAX(1,$C$24-$C$26)),0)</f>
        <v>0</v>
      </c>
      <c r="AY59" s="66" t="n">
        <f aca="false">IF(AND($C$22="Y",(AY$46-$C$9+1)&gt;$C$26,AY58&gt;0),-MIN(AY58,$C$19/MAX(1,$C$24-$C$26)),0)</f>
        <v>0</v>
      </c>
      <c r="AZ59" s="66" t="n">
        <f aca="false">IF(AND($C$22="Y",(AZ$46-$C$9+1)&gt;$C$26,AZ58&gt;0),-MIN(AZ58,$C$19/MAX(1,$C$24-$C$26)),0)</f>
        <v>0</v>
      </c>
      <c r="BA59" s="66" t="n">
        <f aca="false">IF(AND($C$22="Y",(BA$46-$C$9+1)&gt;$C$26,BA58&gt;0),-MIN(BA58,$C$19/MAX(1,$C$24-$C$26)),0)</f>
        <v>0</v>
      </c>
      <c r="BB59" s="66" t="n">
        <f aca="false">IF(AND($C$22="Y",(BB$46-$C$9+1)&gt;$C$26,BB58&gt;0),-MIN(BB58,$C$19/MAX(1,$C$24-$C$26)),0)</f>
        <v>0</v>
      </c>
    </row>
    <row r="60" customFormat="false" ht="15" hidden="false" customHeight="true" outlineLevel="0" collapsed="false">
      <c r="B60" s="59" t="s">
        <v>470</v>
      </c>
      <c r="C60" s="59" t="s">
        <v>11</v>
      </c>
      <c r="D60" s="66" t="n">
        <f aca="false">SUM(E60:BB60)</f>
        <v>1074954653.01267</v>
      </c>
      <c r="E60" s="66" t="n">
        <f aca="false">MAX(0,E58+E57+E59)</f>
        <v>0</v>
      </c>
      <c r="F60" s="66" t="n">
        <f aca="false">MAX(0,F58+F57+F59)</f>
        <v>0</v>
      </c>
      <c r="G60" s="66" t="n">
        <f aca="false">MAX(0,G58+G57+G59)</f>
        <v>0</v>
      </c>
      <c r="H60" s="66" t="n">
        <f aca="false">MAX(0,H58+H57+H59)</f>
        <v>0</v>
      </c>
      <c r="I60" s="66" t="n">
        <f aca="false">MAX(0,I58+I57+I59)</f>
        <v>176708112.648157</v>
      </c>
      <c r="J60" s="66" t="n">
        <f aca="false">MAX(0,J58+J57+J59)</f>
        <v>321007805.407521</v>
      </c>
      <c r="K60" s="66" t="n">
        <f aca="false">MAX(0,K58+K57+K59)</f>
        <v>288619367.478497</v>
      </c>
      <c r="L60" s="66" t="n">
        <f aca="false">MAX(0,L58+L57+L59)</f>
        <v>192412911.652331</v>
      </c>
      <c r="M60" s="66" t="n">
        <f aca="false">MAX(0,M58+M57+M59)</f>
        <v>96206455.8261656</v>
      </c>
      <c r="N60" s="66" t="n">
        <f aca="false">MAX(0,N58+N57+N59)</f>
        <v>0</v>
      </c>
      <c r="O60" s="66" t="n">
        <f aca="false">MAX(0,O58+O57+O59)</f>
        <v>0</v>
      </c>
      <c r="P60" s="66" t="n">
        <f aca="false">MAX(0,P58+P57+P59)</f>
        <v>0</v>
      </c>
      <c r="Q60" s="66" t="n">
        <f aca="false">MAX(0,Q58+Q57+Q59)</f>
        <v>0</v>
      </c>
      <c r="R60" s="66" t="n">
        <f aca="false">MAX(0,R58+R57+R59)</f>
        <v>0</v>
      </c>
      <c r="S60" s="66" t="n">
        <f aca="false">MAX(0,S58+S57+S59)</f>
        <v>0</v>
      </c>
      <c r="T60" s="66" t="n">
        <f aca="false">MAX(0,T58+T57+T59)</f>
        <v>0</v>
      </c>
      <c r="U60" s="66" t="n">
        <f aca="false">MAX(0,U58+U57+U59)</f>
        <v>0</v>
      </c>
      <c r="V60" s="66" t="n">
        <f aca="false">MAX(0,V58+V57+V59)</f>
        <v>0</v>
      </c>
      <c r="W60" s="66" t="n">
        <f aca="false">MAX(0,W58+W57+W59)</f>
        <v>0</v>
      </c>
      <c r="X60" s="66" t="n">
        <f aca="false">MAX(0,X58+X57+X59)</f>
        <v>0</v>
      </c>
      <c r="Y60" s="66" t="n">
        <f aca="false">MAX(0,Y58+Y57+Y59)</f>
        <v>0</v>
      </c>
      <c r="Z60" s="66" t="n">
        <f aca="false">MAX(0,Z58+Z57+Z59)</f>
        <v>0</v>
      </c>
      <c r="AA60" s="66" t="n">
        <f aca="false">MAX(0,AA58+AA57+AA59)</f>
        <v>0</v>
      </c>
      <c r="AB60" s="66" t="n">
        <f aca="false">MAX(0,AB58+AB57+AB59)</f>
        <v>0</v>
      </c>
      <c r="AC60" s="66" t="n">
        <f aca="false">MAX(0,AC58+AC57+AC59)</f>
        <v>0</v>
      </c>
      <c r="AD60" s="66" t="n">
        <f aca="false">MAX(0,AD58+AD57+AD59)</f>
        <v>0</v>
      </c>
      <c r="AE60" s="66" t="n">
        <f aca="false">MAX(0,AE58+AE57+AE59)</f>
        <v>0</v>
      </c>
      <c r="AF60" s="66" t="n">
        <f aca="false">MAX(0,AF58+AF57+AF59)</f>
        <v>0</v>
      </c>
      <c r="AG60" s="66" t="n">
        <f aca="false">MAX(0,AG58+AG57+AG59)</f>
        <v>0</v>
      </c>
      <c r="AH60" s="66" t="n">
        <f aca="false">MAX(0,AH58+AH57+AH59)</f>
        <v>0</v>
      </c>
      <c r="AI60" s="66" t="n">
        <f aca="false">MAX(0,AI58+AI57+AI59)</f>
        <v>0</v>
      </c>
      <c r="AJ60" s="66" t="n">
        <f aca="false">MAX(0,AJ58+AJ57+AJ59)</f>
        <v>0</v>
      </c>
      <c r="AK60" s="66" t="n">
        <f aca="false">MAX(0,AK58+AK57+AK59)</f>
        <v>0</v>
      </c>
      <c r="AL60" s="66" t="n">
        <f aca="false">MAX(0,AL58+AL57+AL59)</f>
        <v>0</v>
      </c>
      <c r="AM60" s="66" t="n">
        <f aca="false">MAX(0,AM58+AM57+AM59)</f>
        <v>0</v>
      </c>
      <c r="AN60" s="66" t="n">
        <f aca="false">MAX(0,AN58+AN57+AN59)</f>
        <v>0</v>
      </c>
      <c r="AO60" s="66" t="n">
        <f aca="false">MAX(0,AO58+AO57+AO59)</f>
        <v>0</v>
      </c>
      <c r="AP60" s="66" t="n">
        <f aca="false">MAX(0,AP58+AP57+AP59)</f>
        <v>0</v>
      </c>
      <c r="AQ60" s="66" t="n">
        <f aca="false">MAX(0,AQ58+AQ57+AQ59)</f>
        <v>0</v>
      </c>
      <c r="AR60" s="66" t="n">
        <f aca="false">MAX(0,AR58+AR57+AR59)</f>
        <v>0</v>
      </c>
      <c r="AS60" s="66" t="n">
        <f aca="false">MAX(0,AS58+AS57+AS59)</f>
        <v>0</v>
      </c>
      <c r="AT60" s="66" t="n">
        <f aca="false">MAX(0,AT58+AT57+AT59)</f>
        <v>0</v>
      </c>
      <c r="AU60" s="66" t="n">
        <f aca="false">MAX(0,AU58+AU57+AU59)</f>
        <v>0</v>
      </c>
      <c r="AV60" s="66" t="n">
        <f aca="false">MAX(0,AV58+AV57+AV59)</f>
        <v>0</v>
      </c>
      <c r="AW60" s="66" t="n">
        <f aca="false">MAX(0,AW58+AW57+AW59)</f>
        <v>0</v>
      </c>
      <c r="AX60" s="66" t="n">
        <f aca="false">MAX(0,AX58+AX57+AX59)</f>
        <v>0</v>
      </c>
      <c r="AY60" s="66" t="n">
        <f aca="false">MAX(0,AY58+AY57+AY59)</f>
        <v>0</v>
      </c>
      <c r="AZ60" s="66" t="n">
        <f aca="false">MAX(0,AZ58+AZ57+AZ59)</f>
        <v>0</v>
      </c>
      <c r="BA60" s="66" t="n">
        <f aca="false">MAX(0,BA58+BA57+BA59)</f>
        <v>0</v>
      </c>
      <c r="BB60" s="66" t="n">
        <f aca="false">MAX(0,BB58+BB57+BB59)</f>
        <v>0</v>
      </c>
    </row>
    <row r="61" customFormat="false" ht="15" hidden="false" customHeight="true" outlineLevel="0" collapsed="false">
      <c r="B61" s="59" t="s">
        <v>471</v>
      </c>
      <c r="C61" s="59" t="s">
        <v>11</v>
      </c>
      <c r="D61" s="63" t="n">
        <f aca="false">SUM(E61:BB61)</f>
        <v>-71796181.562347</v>
      </c>
      <c r="E61" s="66" t="n">
        <f aca="false">IF(AND($C$22="Y",E58+E60&gt;0),-(E58+E60)/2*$C$23,0)-ABS(E57)*$C$25</f>
        <v>0</v>
      </c>
      <c r="F61" s="66" t="n">
        <f aca="false">IF(AND($C$22="Y",F58+F60&gt;0),-(F58+F60)/2*$C$23,0)-ABS(F57)*$C$25</f>
        <v>0</v>
      </c>
      <c r="G61" s="66" t="n">
        <f aca="false">IF(AND($C$22="Y",G58+G60&gt;0),-(G58+G60)/2*$C$23,0)-ABS(G57)*$C$25</f>
        <v>0</v>
      </c>
      <c r="H61" s="66" t="n">
        <f aca="false">IF(AND($C$22="Y",H58+H60&gt;0),-(H58+H60)/2*$C$23,0)-ABS(H57)*$C$25</f>
        <v>0</v>
      </c>
      <c r="I61" s="66" t="n">
        <f aca="false">IF(AND($C$22="Y",I58+I60&gt;0),-(I58+I60)/2*$C$23,0)-ABS(I57)*$C$25</f>
        <v>-6626554.22430589</v>
      </c>
      <c r="J61" s="66" t="n">
        <f aca="false">IF(AND($C$22="Y",J58+J60&gt;0),-(J58+J60)/2*$C$23,0)-ABS(J57)*$C$25</f>
        <v>-16897265.8006063</v>
      </c>
      <c r="K61" s="66" t="n">
        <f aca="false">IF(AND($C$22="Y",K58+K60&gt;0),-(K58+K60)/2*$C$23,0)-ABS(K57)*$C$25</f>
        <v>-20131973.2082813</v>
      </c>
      <c r="L61" s="66" t="n">
        <f aca="false">IF(AND($C$22="Y",L58+L60&gt;0),-(L58+L60)/2*$C$23,0)-ABS(L57)*$C$25</f>
        <v>-15633549.0717519</v>
      </c>
      <c r="M61" s="66" t="n">
        <f aca="false">IF(AND($C$22="Y",M58+M60&gt;0),-(M58+M60)/2*$C$23,0)-ABS(M57)*$C$25</f>
        <v>-9380129.44305115</v>
      </c>
      <c r="N61" s="66" t="n">
        <f aca="false">IF(AND($C$22="Y",N58+N60&gt;0),-(N58+N60)/2*$C$23,0)-ABS(N57)*$C$25</f>
        <v>-3126709.81435038</v>
      </c>
      <c r="O61" s="66" t="n">
        <f aca="false">IF(AND($C$22="Y",O58+O60&gt;0),-(O58+O60)/2*$C$23,0)-ABS(O57)*$C$25</f>
        <v>0</v>
      </c>
      <c r="P61" s="66" t="n">
        <f aca="false">IF(AND($C$22="Y",P58+P60&gt;0),-(P58+P60)/2*$C$23,0)-ABS(P57)*$C$25</f>
        <v>0</v>
      </c>
      <c r="Q61" s="66" t="n">
        <f aca="false">IF(AND($C$22="Y",Q58+Q60&gt;0),-(Q58+Q60)/2*$C$23,0)-ABS(Q57)*$C$25</f>
        <v>0</v>
      </c>
      <c r="R61" s="66" t="n">
        <f aca="false">IF(AND($C$22="Y",R58+R60&gt;0),-(R58+R60)/2*$C$23,0)-ABS(R57)*$C$25</f>
        <v>0</v>
      </c>
      <c r="S61" s="66" t="n">
        <f aca="false">IF(AND($C$22="Y",S58+S60&gt;0),-(S58+S60)/2*$C$23,0)-ABS(S57)*$C$25</f>
        <v>0</v>
      </c>
      <c r="T61" s="66" t="n">
        <f aca="false">IF(AND($C$22="Y",T58+T60&gt;0),-(T58+T60)/2*$C$23,0)-ABS(T57)*$C$25</f>
        <v>0</v>
      </c>
      <c r="U61" s="66" t="n">
        <f aca="false">IF(AND($C$22="Y",U58+U60&gt;0),-(U58+U60)/2*$C$23,0)-ABS(U57)*$C$25</f>
        <v>0</v>
      </c>
      <c r="V61" s="66" t="n">
        <f aca="false">IF(AND($C$22="Y",V58+V60&gt;0),-(V58+V60)/2*$C$23,0)-ABS(V57)*$C$25</f>
        <v>0</v>
      </c>
      <c r="W61" s="66" t="n">
        <f aca="false">IF(AND($C$22="Y",W58+W60&gt;0),-(W58+W60)/2*$C$23,0)-ABS(W57)*$C$25</f>
        <v>0</v>
      </c>
      <c r="X61" s="66" t="n">
        <f aca="false">IF(AND($C$22="Y",X58+X60&gt;0),-(X58+X60)/2*$C$23,0)-ABS(X57)*$C$25</f>
        <v>0</v>
      </c>
      <c r="Y61" s="66" t="n">
        <f aca="false">IF(AND($C$22="Y",Y58+Y60&gt;0),-(Y58+Y60)/2*$C$23,0)-ABS(Y57)*$C$25</f>
        <v>0</v>
      </c>
      <c r="Z61" s="66" t="n">
        <f aca="false">IF(AND($C$22="Y",Z58+Z60&gt;0),-(Z58+Z60)/2*$C$23,0)-ABS(Z57)*$C$25</f>
        <v>0</v>
      </c>
      <c r="AA61" s="66" t="n">
        <f aca="false">IF(AND($C$22="Y",AA58+AA60&gt;0),-(AA58+AA60)/2*$C$23,0)-ABS(AA57)*$C$25</f>
        <v>0</v>
      </c>
      <c r="AB61" s="66" t="n">
        <f aca="false">IF(AND($C$22="Y",AB58+AB60&gt;0),-(AB58+AB60)/2*$C$23,0)-ABS(AB57)*$C$25</f>
        <v>0</v>
      </c>
      <c r="AC61" s="66" t="n">
        <f aca="false">IF(AND($C$22="Y",AC58+AC60&gt;0),-(AC58+AC60)/2*$C$23,0)-ABS(AC57)*$C$25</f>
        <v>0</v>
      </c>
      <c r="AD61" s="66" t="n">
        <f aca="false">IF(AND($C$22="Y",AD58+AD60&gt;0),-(AD58+AD60)/2*$C$23,0)-ABS(AD57)*$C$25</f>
        <v>0</v>
      </c>
      <c r="AE61" s="66" t="n">
        <f aca="false">IF(AND($C$22="Y",AE58+AE60&gt;0),-(AE58+AE60)/2*$C$23,0)-ABS(AE57)*$C$25</f>
        <v>0</v>
      </c>
      <c r="AF61" s="66" t="n">
        <f aca="false">IF(AND($C$22="Y",AF58+AF60&gt;0),-(AF58+AF60)/2*$C$23,0)-ABS(AF57)*$C$25</f>
        <v>0</v>
      </c>
      <c r="AG61" s="66" t="n">
        <f aca="false">IF(AND($C$22="Y",AG58+AG60&gt;0),-(AG58+AG60)/2*$C$23,0)-ABS(AG57)*$C$25</f>
        <v>0</v>
      </c>
      <c r="AH61" s="66" t="n">
        <f aca="false">IF(AND($C$22="Y",AH58+AH60&gt;0),-(AH58+AH60)/2*$C$23,0)-ABS(AH57)*$C$25</f>
        <v>0</v>
      </c>
      <c r="AI61" s="66" t="n">
        <f aca="false">IF(AND($C$22="Y",AI58+AI60&gt;0),-(AI58+AI60)/2*$C$23,0)-ABS(AI57)*$C$25</f>
        <v>0</v>
      </c>
      <c r="AJ61" s="66" t="n">
        <f aca="false">IF(AND($C$22="Y",AJ58+AJ60&gt;0),-(AJ58+AJ60)/2*$C$23,0)-ABS(AJ57)*$C$25</f>
        <v>0</v>
      </c>
      <c r="AK61" s="66" t="n">
        <f aca="false">IF(AND($C$22="Y",AK58+AK60&gt;0),-(AK58+AK60)/2*$C$23,0)-ABS(AK57)*$C$25</f>
        <v>0</v>
      </c>
      <c r="AL61" s="66" t="n">
        <f aca="false">IF(AND($C$22="Y",AL58+AL60&gt;0),-(AL58+AL60)/2*$C$23,0)-ABS(AL57)*$C$25</f>
        <v>0</v>
      </c>
      <c r="AM61" s="66" t="n">
        <f aca="false">IF(AND($C$22="Y",AM58+AM60&gt;0),-(AM58+AM60)/2*$C$23,0)-ABS(AM57)*$C$25</f>
        <v>0</v>
      </c>
      <c r="AN61" s="66" t="n">
        <f aca="false">IF(AND($C$22="Y",AN58+AN60&gt;0),-(AN58+AN60)/2*$C$23,0)-ABS(AN57)*$C$25</f>
        <v>0</v>
      </c>
      <c r="AO61" s="66" t="n">
        <f aca="false">IF(AND($C$22="Y",AO58+AO60&gt;0),-(AO58+AO60)/2*$C$23,0)-ABS(AO57)*$C$25</f>
        <v>0</v>
      </c>
      <c r="AP61" s="66" t="n">
        <f aca="false">IF(AND($C$22="Y",AP58+AP60&gt;0),-(AP58+AP60)/2*$C$23,0)-ABS(AP57)*$C$25</f>
        <v>0</v>
      </c>
      <c r="AQ61" s="66" t="n">
        <f aca="false">IF(AND($C$22="Y",AQ58+AQ60&gt;0),-(AQ58+AQ60)/2*$C$23,0)-ABS(AQ57)*$C$25</f>
        <v>0</v>
      </c>
      <c r="AR61" s="66" t="n">
        <f aca="false">IF(AND($C$22="Y",AR58+AR60&gt;0),-(AR58+AR60)/2*$C$23,0)-ABS(AR57)*$C$25</f>
        <v>0</v>
      </c>
      <c r="AS61" s="66" t="n">
        <f aca="false">IF(AND($C$22="Y",AS58+AS60&gt;0),-(AS58+AS60)/2*$C$23,0)-ABS(AS57)*$C$25</f>
        <v>0</v>
      </c>
      <c r="AT61" s="66" t="n">
        <f aca="false">IF(AND($C$22="Y",AT58+AT60&gt;0),-(AT58+AT60)/2*$C$23,0)-ABS(AT57)*$C$25</f>
        <v>0</v>
      </c>
      <c r="AU61" s="66" t="n">
        <f aca="false">IF(AND($C$22="Y",AU58+AU60&gt;0),-(AU58+AU60)/2*$C$23,0)-ABS(AU57)*$C$25</f>
        <v>0</v>
      </c>
      <c r="AV61" s="66" t="n">
        <f aca="false">IF(AND($C$22="Y",AV58+AV60&gt;0),-(AV58+AV60)/2*$C$23,0)-ABS(AV57)*$C$25</f>
        <v>0</v>
      </c>
      <c r="AW61" s="66" t="n">
        <f aca="false">IF(AND($C$22="Y",AW58+AW60&gt;0),-(AW58+AW60)/2*$C$23,0)-ABS(AW57)*$C$25</f>
        <v>0</v>
      </c>
      <c r="AX61" s="66" t="n">
        <f aca="false">IF(AND($C$22="Y",AX58+AX60&gt;0),-(AX58+AX60)/2*$C$23,0)-ABS(AX57)*$C$25</f>
        <v>0</v>
      </c>
      <c r="AY61" s="66" t="n">
        <f aca="false">IF(AND($C$22="Y",AY58+AY60&gt;0),-(AY58+AY60)/2*$C$23,0)-ABS(AY57)*$C$25</f>
        <v>0</v>
      </c>
      <c r="AZ61" s="66" t="n">
        <f aca="false">IF(AND($C$22="Y",AZ58+AZ60&gt;0),-(AZ58+AZ60)/2*$C$23,0)-ABS(AZ57)*$C$25</f>
        <v>0</v>
      </c>
      <c r="BA61" s="66" t="n">
        <f aca="false">IF(AND($C$22="Y",BA58+BA60&gt;0),-(BA58+BA60)/2*$C$23,0)-ABS(BA57)*$C$25</f>
        <v>0</v>
      </c>
      <c r="BB61" s="66" t="n">
        <f aca="false">IF(AND($C$22="Y",BB58+BB60&gt;0),-(BB58+BB60)/2*$C$23,0)-ABS(BB57)*$C$25</f>
        <v>0</v>
      </c>
    </row>
    <row r="62" customFormat="false" ht="15" hidden="false" customHeight="true" outlineLevel="0" collapsed="false">
      <c r="B62" s="20" t="s">
        <v>472</v>
      </c>
      <c r="C62" s="59" t="s">
        <v>11</v>
      </c>
      <c r="D62" s="63" t="n">
        <f aca="false">SUM(E62:BB62)</f>
        <v>-456622004.86701</v>
      </c>
      <c r="E62" s="63" t="n">
        <f aca="false">E59+E61</f>
        <v>0</v>
      </c>
      <c r="F62" s="63" t="n">
        <f aca="false">F59+F61</f>
        <v>0</v>
      </c>
      <c r="G62" s="63" t="n">
        <f aca="false">G59+G61</f>
        <v>0</v>
      </c>
      <c r="H62" s="63" t="n">
        <f aca="false">H59+H61</f>
        <v>0</v>
      </c>
      <c r="I62" s="63" t="n">
        <f aca="false">I59+I61</f>
        <v>-6626554.22430589</v>
      </c>
      <c r="J62" s="63" t="n">
        <f aca="false">J59+J61</f>
        <v>-16897265.8006063</v>
      </c>
      <c r="K62" s="63" t="n">
        <f aca="false">K59+K61</f>
        <v>-116338429.034447</v>
      </c>
      <c r="L62" s="63" t="n">
        <f aca="false">L59+L61</f>
        <v>-111840004.897918</v>
      </c>
      <c r="M62" s="63" t="n">
        <f aca="false">M59+M61</f>
        <v>-105586585.269217</v>
      </c>
      <c r="N62" s="63" t="n">
        <f aca="false">N59+N61</f>
        <v>-99333165.640516</v>
      </c>
      <c r="O62" s="63" t="n">
        <f aca="false">O59+O61</f>
        <v>0</v>
      </c>
      <c r="P62" s="63" t="n">
        <f aca="false">P59+P61</f>
        <v>0</v>
      </c>
      <c r="Q62" s="63" t="n">
        <f aca="false">Q59+Q61</f>
        <v>0</v>
      </c>
      <c r="R62" s="63" t="n">
        <f aca="false">R59+R61</f>
        <v>0</v>
      </c>
      <c r="S62" s="63" t="n">
        <f aca="false">S59+S61</f>
        <v>0</v>
      </c>
      <c r="T62" s="63" t="n">
        <f aca="false">T59+T61</f>
        <v>0</v>
      </c>
      <c r="U62" s="63" t="n">
        <f aca="false">U59+U61</f>
        <v>0</v>
      </c>
      <c r="V62" s="63" t="n">
        <f aca="false">V59+V61</f>
        <v>0</v>
      </c>
      <c r="W62" s="63" t="n">
        <f aca="false">W59+W61</f>
        <v>0</v>
      </c>
      <c r="X62" s="63" t="n">
        <f aca="false">X59+X61</f>
        <v>0</v>
      </c>
      <c r="Y62" s="63" t="n">
        <f aca="false">Y59+Y61</f>
        <v>0</v>
      </c>
      <c r="Z62" s="63" t="n">
        <f aca="false">Z59+Z61</f>
        <v>0</v>
      </c>
      <c r="AA62" s="63" t="n">
        <f aca="false">AA59+AA61</f>
        <v>0</v>
      </c>
      <c r="AB62" s="63" t="n">
        <f aca="false">AB59+AB61</f>
        <v>0</v>
      </c>
      <c r="AC62" s="63" t="n">
        <f aca="false">AC59+AC61</f>
        <v>0</v>
      </c>
      <c r="AD62" s="63" t="n">
        <f aca="false">AD59+AD61</f>
        <v>0</v>
      </c>
      <c r="AE62" s="63" t="n">
        <f aca="false">AE59+AE61</f>
        <v>0</v>
      </c>
      <c r="AF62" s="63" t="n">
        <f aca="false">AF59+AF61</f>
        <v>0</v>
      </c>
      <c r="AG62" s="63" t="n">
        <f aca="false">AG59+AG61</f>
        <v>0</v>
      </c>
      <c r="AH62" s="63" t="n">
        <f aca="false">AH59+AH61</f>
        <v>0</v>
      </c>
      <c r="AI62" s="63" t="n">
        <f aca="false">AI59+AI61</f>
        <v>0</v>
      </c>
      <c r="AJ62" s="63" t="n">
        <f aca="false">AJ59+AJ61</f>
        <v>0</v>
      </c>
      <c r="AK62" s="63" t="n">
        <f aca="false">AK59+AK61</f>
        <v>0</v>
      </c>
      <c r="AL62" s="63" t="n">
        <f aca="false">AL59+AL61</f>
        <v>0</v>
      </c>
      <c r="AM62" s="63" t="n">
        <f aca="false">AM59+AM61</f>
        <v>0</v>
      </c>
      <c r="AN62" s="63" t="n">
        <f aca="false">AN59+AN61</f>
        <v>0</v>
      </c>
      <c r="AO62" s="63" t="n">
        <f aca="false">AO59+AO61</f>
        <v>0</v>
      </c>
      <c r="AP62" s="63" t="n">
        <f aca="false">AP59+AP61</f>
        <v>0</v>
      </c>
      <c r="AQ62" s="63" t="n">
        <f aca="false">AQ59+AQ61</f>
        <v>0</v>
      </c>
      <c r="AR62" s="63" t="n">
        <f aca="false">AR59+AR61</f>
        <v>0</v>
      </c>
      <c r="AS62" s="63" t="n">
        <f aca="false">AS59+AS61</f>
        <v>0</v>
      </c>
      <c r="AT62" s="63" t="n">
        <f aca="false">AT59+AT61</f>
        <v>0</v>
      </c>
      <c r="AU62" s="63" t="n">
        <f aca="false">AU59+AU61</f>
        <v>0</v>
      </c>
      <c r="AV62" s="63" t="n">
        <f aca="false">AV59+AV61</f>
        <v>0</v>
      </c>
      <c r="AW62" s="63" t="n">
        <f aca="false">AW59+AW61</f>
        <v>0</v>
      </c>
      <c r="AX62" s="63" t="n">
        <f aca="false">AX59+AX61</f>
        <v>0</v>
      </c>
      <c r="AY62" s="63" t="n">
        <f aca="false">AY59+AY61</f>
        <v>0</v>
      </c>
      <c r="AZ62" s="63" t="n">
        <f aca="false">AZ59+AZ61</f>
        <v>0</v>
      </c>
      <c r="BA62" s="63" t="n">
        <f aca="false">BA59+BA61</f>
        <v>0</v>
      </c>
      <c r="BB62" s="63" t="n">
        <f aca="false">BB59+BB61</f>
        <v>0</v>
      </c>
    </row>
    <row r="64" customFormat="false" ht="15" hidden="false" customHeight="true" outlineLevel="0" collapsed="false">
      <c r="B64" s="59" t="s">
        <v>473</v>
      </c>
      <c r="C64" s="59" t="s">
        <v>11</v>
      </c>
      <c r="D64" s="66" t="n">
        <f aca="false">SUM(E64:BB64)</f>
        <v>3298507.05689711</v>
      </c>
      <c r="E64" s="66" t="n">
        <f aca="false">IF(E$46=$C$9,$C$14*$C$29,0)</f>
        <v>0</v>
      </c>
      <c r="F64" s="66" t="n">
        <f aca="false">IF(F$46=$C$9,$C$14*$C$29,0)</f>
        <v>0</v>
      </c>
      <c r="G64" s="66" t="n">
        <f aca="false">IF(G$46=$C$9,$C$14*$C$29,0)</f>
        <v>0</v>
      </c>
      <c r="H64" s="66" t="n">
        <f aca="false">IF(H$46=$C$9,$C$14*$C$29,0)</f>
        <v>3298507.05689711</v>
      </c>
      <c r="I64" s="66" t="n">
        <f aca="false">IF(I$46=$C$9,$C$14*$C$29,0)</f>
        <v>0</v>
      </c>
      <c r="J64" s="66" t="n">
        <f aca="false">IF(J$46=$C$9,$C$14*$C$29,0)</f>
        <v>0</v>
      </c>
      <c r="K64" s="66" t="n">
        <f aca="false">IF(K$46=$C$9,$C$14*$C$29,0)</f>
        <v>0</v>
      </c>
      <c r="L64" s="66" t="n">
        <f aca="false">IF(L$46=$C$9,$C$14*$C$29,0)</f>
        <v>0</v>
      </c>
      <c r="M64" s="66" t="n">
        <f aca="false">IF(M$46=$C$9,$C$14*$C$29,0)</f>
        <v>0</v>
      </c>
      <c r="N64" s="66" t="n">
        <f aca="false">IF(N$46=$C$9,$C$14*$C$29,0)</f>
        <v>0</v>
      </c>
      <c r="O64" s="66" t="n">
        <f aca="false">IF(O$46=$C$9,$C$14*$C$29,0)</f>
        <v>0</v>
      </c>
      <c r="P64" s="66" t="n">
        <f aca="false">IF(P$46=$C$9,$C$14*$C$29,0)</f>
        <v>0</v>
      </c>
      <c r="Q64" s="66" t="n">
        <f aca="false">IF(Q$46=$C$9,$C$14*$C$29,0)</f>
        <v>0</v>
      </c>
      <c r="R64" s="66" t="n">
        <f aca="false">IF(R$46=$C$9,$C$14*$C$29,0)</f>
        <v>0</v>
      </c>
      <c r="S64" s="66" t="n">
        <f aca="false">IF(S$46=$C$9,$C$14*$C$29,0)</f>
        <v>0</v>
      </c>
      <c r="T64" s="66" t="n">
        <f aca="false">IF(T$46=$C$9,$C$14*$C$29,0)</f>
        <v>0</v>
      </c>
      <c r="U64" s="66" t="n">
        <f aca="false">IF(U$46=$C$9,$C$14*$C$29,0)</f>
        <v>0</v>
      </c>
      <c r="V64" s="66" t="n">
        <f aca="false">IF(V$46=$C$9,$C$14*$C$29,0)</f>
        <v>0</v>
      </c>
      <c r="W64" s="66" t="n">
        <f aca="false">IF(W$46=$C$9,$C$14*$C$29,0)</f>
        <v>0</v>
      </c>
      <c r="X64" s="66" t="n">
        <f aca="false">IF(X$46=$C$9,$C$14*$C$29,0)</f>
        <v>0</v>
      </c>
      <c r="Y64" s="66" t="n">
        <f aca="false">IF(Y$46=$C$9,$C$14*$C$29,0)</f>
        <v>0</v>
      </c>
      <c r="Z64" s="66" t="n">
        <f aca="false">IF(Z$46=$C$9,$C$14*$C$29,0)</f>
        <v>0</v>
      </c>
      <c r="AA64" s="66" t="n">
        <f aca="false">IF(AA$46=$C$9,$C$14*$C$29,0)</f>
        <v>0</v>
      </c>
      <c r="AB64" s="66" t="n">
        <f aca="false">IF(AB$46=$C$9,$C$14*$C$29,0)</f>
        <v>0</v>
      </c>
      <c r="AC64" s="66" t="n">
        <f aca="false">IF(AC$46=$C$9,$C$14*$C$29,0)</f>
        <v>0</v>
      </c>
      <c r="AD64" s="66" t="n">
        <f aca="false">IF(AD$46=$C$9,$C$14*$C$29,0)</f>
        <v>0</v>
      </c>
      <c r="AE64" s="66" t="n">
        <f aca="false">IF(AE$46=$C$9,$C$14*$C$29,0)</f>
        <v>0</v>
      </c>
      <c r="AF64" s="66" t="n">
        <f aca="false">IF(AF$46=$C$9,$C$14*$C$29,0)</f>
        <v>0</v>
      </c>
      <c r="AG64" s="66" t="n">
        <f aca="false">IF(AG$46=$C$9,$C$14*$C$29,0)</f>
        <v>0</v>
      </c>
      <c r="AH64" s="66" t="n">
        <f aca="false">IF(AH$46=$C$9,$C$14*$C$29,0)</f>
        <v>0</v>
      </c>
      <c r="AI64" s="66" t="n">
        <f aca="false">IF(AI$46=$C$9,$C$14*$C$29,0)</f>
        <v>0</v>
      </c>
      <c r="AJ64" s="66" t="n">
        <f aca="false">IF(AJ$46=$C$9,$C$14*$C$29,0)</f>
        <v>0</v>
      </c>
      <c r="AK64" s="66" t="n">
        <f aca="false">IF(AK$46=$C$9,$C$14*$C$29,0)</f>
        <v>0</v>
      </c>
      <c r="AL64" s="66" t="n">
        <f aca="false">IF(AL$46=$C$9,$C$14*$C$29,0)</f>
        <v>0</v>
      </c>
      <c r="AM64" s="66" t="n">
        <f aca="false">IF(AM$46=$C$9,$C$14*$C$29,0)</f>
        <v>0</v>
      </c>
      <c r="AN64" s="66" t="n">
        <f aca="false">IF(AN$46=$C$9,$C$14*$C$29,0)</f>
        <v>0</v>
      </c>
      <c r="AO64" s="66" t="n">
        <f aca="false">IF(AO$46=$C$9,$C$14*$C$29,0)</f>
        <v>0</v>
      </c>
      <c r="AP64" s="66" t="n">
        <f aca="false">IF(AP$46=$C$9,$C$14*$C$29,0)</f>
        <v>0</v>
      </c>
      <c r="AQ64" s="66" t="n">
        <f aca="false">IF(AQ$46=$C$9,$C$14*$C$29,0)</f>
        <v>0</v>
      </c>
      <c r="AR64" s="66" t="n">
        <f aca="false">IF(AR$46=$C$9,$C$14*$C$29,0)</f>
        <v>0</v>
      </c>
      <c r="AS64" s="66" t="n">
        <f aca="false">IF(AS$46=$C$9,$C$14*$C$29,0)</f>
        <v>0</v>
      </c>
      <c r="AT64" s="66" t="n">
        <f aca="false">IF(AT$46=$C$9,$C$14*$C$29,0)</f>
        <v>0</v>
      </c>
      <c r="AU64" s="66" t="n">
        <f aca="false">IF(AU$46=$C$9,$C$14*$C$29,0)</f>
        <v>0</v>
      </c>
      <c r="AV64" s="66" t="n">
        <f aca="false">IF(AV$46=$C$9,$C$14*$C$29,0)</f>
        <v>0</v>
      </c>
      <c r="AW64" s="66" t="n">
        <f aca="false">IF(AW$46=$C$9,$C$14*$C$29,0)</f>
        <v>0</v>
      </c>
      <c r="AX64" s="66" t="n">
        <f aca="false">IF(AX$46=$C$9,$C$14*$C$29,0)</f>
        <v>0</v>
      </c>
      <c r="AY64" s="66" t="n">
        <f aca="false">IF(AY$46=$C$9,$C$14*$C$29,0)</f>
        <v>0</v>
      </c>
      <c r="AZ64" s="66" t="n">
        <f aca="false">IF(AZ$46=$C$9,$C$14*$C$29,0)</f>
        <v>0</v>
      </c>
      <c r="BA64" s="66" t="n">
        <f aca="false">IF(BA$46=$C$9,$C$14*$C$29,0)</f>
        <v>0</v>
      </c>
      <c r="BB64" s="66" t="n">
        <f aca="false">IF(BB$46=$C$9,$C$14*$C$29,0)</f>
        <v>0</v>
      </c>
    </row>
    <row r="65" customFormat="false" ht="15" hidden="false" customHeight="true" outlineLevel="0" collapsed="false">
      <c r="B65" s="59" t="s">
        <v>474</v>
      </c>
      <c r="C65" s="59" t="s">
        <v>11</v>
      </c>
      <c r="D65" s="66" t="n">
        <f aca="false">SUM(E65:BB65)</f>
        <v>22190554.5644572</v>
      </c>
      <c r="E65" s="66" t="n">
        <f aca="false">IF(AND(E$46&gt;=$C$9,E$46&lt;=$C$41),ABS(SUM($E$49:E49))*$C$30,0)</f>
        <v>0</v>
      </c>
      <c r="F65" s="66" t="n">
        <f aca="false">IF(AND(F$46&gt;=$C$9,F$46&lt;=$C$41),ABS(SUM($E$49:F49))*$C$30,0)</f>
        <v>0</v>
      </c>
      <c r="G65" s="66" t="n">
        <f aca="false">IF(AND(G$46&gt;=$C$9,G$46&lt;=$C$41),ABS(SUM($E$49:G49))*$C$30,0)</f>
        <v>0</v>
      </c>
      <c r="H65" s="66" t="n">
        <f aca="false">IF(AND(H$46&gt;=$C$9,H$46&lt;=$C$41),ABS(SUM($E$49:H49))*$C$30,0)</f>
        <v>0</v>
      </c>
      <c r="I65" s="66" t="n">
        <f aca="false">IF(AND(I$46&gt;=$C$9,I$46&lt;=$C$41),ABS(SUM($E$49:I49))*$C$30,0)</f>
        <v>1924994.61664287</v>
      </c>
      <c r="J65" s="66" t="n">
        <f aca="false">IF(AND(J$46&gt;=$C$9,J$46&lt;=$C$41),ABS(SUM($E$49:J49))*$C$30,0)</f>
        <v>3496943.56444287</v>
      </c>
      <c r="K65" s="66" t="n">
        <f aca="false">IF(AND(K$46&gt;=$C$9,K$46&lt;=$C$41),ABS(SUM($E$49:K49))*$C$30,0)</f>
        <v>4192154.09584287</v>
      </c>
      <c r="L65" s="66" t="n">
        <f aca="false">IF(AND(L$46&gt;=$C$9,L$46&lt;=$C$41),ABS(SUM($E$49:L49))*$C$30,0)</f>
        <v>4192154.09584287</v>
      </c>
      <c r="M65" s="66" t="n">
        <f aca="false">IF(AND(M$46&gt;=$C$9,M$46&lt;=$C$41),ABS(SUM($E$49:M49))*$C$30,0)</f>
        <v>4192154.09584287</v>
      </c>
      <c r="N65" s="66" t="n">
        <f aca="false">IF(AND(N$46&gt;=$C$9,N$46&lt;=$C$41),ABS(SUM($E$49:N49))*$C$30,0)</f>
        <v>4192154.09584287</v>
      </c>
      <c r="O65" s="66" t="n">
        <f aca="false">IF(AND(O$46&gt;=$C$9,O$46&lt;=$C$41),ABS(SUM($E$49:O49))*$C$30,0)</f>
        <v>0</v>
      </c>
      <c r="P65" s="66" t="n">
        <f aca="false">IF(AND(P$46&gt;=$C$9,P$46&lt;=$C$41),ABS(SUM($E$49:P49))*$C$30,0)</f>
        <v>0</v>
      </c>
      <c r="Q65" s="66" t="n">
        <f aca="false">IF(AND(Q$46&gt;=$C$9,Q$46&lt;=$C$41),ABS(SUM($E$49:Q49))*$C$30,0)</f>
        <v>0</v>
      </c>
      <c r="R65" s="66" t="n">
        <f aca="false">IF(AND(R$46&gt;=$C$9,R$46&lt;=$C$41),ABS(SUM($E$49:R49))*$C$30,0)</f>
        <v>0</v>
      </c>
      <c r="S65" s="66" t="n">
        <f aca="false">IF(AND(S$46&gt;=$C$9,S$46&lt;=$C$41),ABS(SUM($E$49:S49))*$C$30,0)</f>
        <v>0</v>
      </c>
      <c r="T65" s="66" t="n">
        <f aca="false">IF(AND(T$46&gt;=$C$9,T$46&lt;=$C$41),ABS(SUM($E$49:T49))*$C$30,0)</f>
        <v>0</v>
      </c>
      <c r="U65" s="66" t="n">
        <f aca="false">IF(AND(U$46&gt;=$C$9,U$46&lt;=$C$41),ABS(SUM($E$49:U49))*$C$30,0)</f>
        <v>0</v>
      </c>
      <c r="V65" s="66" t="n">
        <f aca="false">IF(AND(V$46&gt;=$C$9,V$46&lt;=$C$41),ABS(SUM($E$49:V49))*$C$30,0)</f>
        <v>0</v>
      </c>
      <c r="W65" s="66" t="n">
        <f aca="false">IF(AND(W$46&gt;=$C$9,W$46&lt;=$C$41),ABS(SUM($E$49:W49))*$C$30,0)</f>
        <v>0</v>
      </c>
      <c r="X65" s="66" t="n">
        <f aca="false">IF(AND(X$46&gt;=$C$9,X$46&lt;=$C$41),ABS(SUM($E$49:X49))*$C$30,0)</f>
        <v>0</v>
      </c>
      <c r="Y65" s="66" t="n">
        <f aca="false">IF(AND(Y$46&gt;=$C$9,Y$46&lt;=$C$41),ABS(SUM($E$49:Y49))*$C$30,0)</f>
        <v>0</v>
      </c>
      <c r="Z65" s="66" t="n">
        <f aca="false">IF(AND(Z$46&gt;=$C$9,Z$46&lt;=$C$41),ABS(SUM($E$49:Z49))*$C$30,0)</f>
        <v>0</v>
      </c>
      <c r="AA65" s="66" t="n">
        <f aca="false">IF(AND(AA$46&gt;=$C$9,AA$46&lt;=$C$41),ABS(SUM($E$49:AA49))*$C$30,0)</f>
        <v>0</v>
      </c>
      <c r="AB65" s="66" t="n">
        <f aca="false">IF(AND(AB$46&gt;=$C$9,AB$46&lt;=$C$41),ABS(SUM($E$49:AB49))*$C$30,0)</f>
        <v>0</v>
      </c>
      <c r="AC65" s="66" t="n">
        <f aca="false">IF(AND(AC$46&gt;=$C$9,AC$46&lt;=$C$41),ABS(SUM($E$49:AC49))*$C$30,0)</f>
        <v>0</v>
      </c>
      <c r="AD65" s="66" t="n">
        <f aca="false">IF(AND(AD$46&gt;=$C$9,AD$46&lt;=$C$41),ABS(SUM($E$49:AD49))*$C$30,0)</f>
        <v>0</v>
      </c>
      <c r="AE65" s="66" t="n">
        <f aca="false">IF(AND(AE$46&gt;=$C$9,AE$46&lt;=$C$41),ABS(SUM($E$49:AE49))*$C$30,0)</f>
        <v>0</v>
      </c>
      <c r="AF65" s="66" t="n">
        <f aca="false">IF(AND(AF$46&gt;=$C$9,AF$46&lt;=$C$41),ABS(SUM($E$49:AF49))*$C$30,0)</f>
        <v>0</v>
      </c>
      <c r="AG65" s="66" t="n">
        <f aca="false">IF(AND(AG$46&gt;=$C$9,AG$46&lt;=$C$41),ABS(SUM($E$49:AG49))*$C$30,0)</f>
        <v>0</v>
      </c>
      <c r="AH65" s="66" t="n">
        <f aca="false">IF(AND(AH$46&gt;=$C$9,AH$46&lt;=$C$41),ABS(SUM($E$49:AH49))*$C$30,0)</f>
        <v>0</v>
      </c>
      <c r="AI65" s="66" t="n">
        <f aca="false">IF(AND(AI$46&gt;=$C$9,AI$46&lt;=$C$41),ABS(SUM($E$49:AI49))*$C$30,0)</f>
        <v>0</v>
      </c>
      <c r="AJ65" s="66" t="n">
        <f aca="false">IF(AND(AJ$46&gt;=$C$9,AJ$46&lt;=$C$41),ABS(SUM($E$49:AJ49))*$C$30,0)</f>
        <v>0</v>
      </c>
      <c r="AK65" s="66" t="n">
        <f aca="false">IF(AND(AK$46&gt;=$C$9,AK$46&lt;=$C$41),ABS(SUM($E$49:AK49))*$C$30,0)</f>
        <v>0</v>
      </c>
      <c r="AL65" s="66" t="n">
        <f aca="false">IF(AND(AL$46&gt;=$C$9,AL$46&lt;=$C$41),ABS(SUM($E$49:AL49))*$C$30,0)</f>
        <v>0</v>
      </c>
      <c r="AM65" s="66" t="n">
        <f aca="false">IF(AND(AM$46&gt;=$C$9,AM$46&lt;=$C$41),ABS(SUM($E$49:AM49))*$C$30,0)</f>
        <v>0</v>
      </c>
      <c r="AN65" s="66" t="n">
        <f aca="false">IF(AND(AN$46&gt;=$C$9,AN$46&lt;=$C$41),ABS(SUM($E$49:AN49))*$C$30,0)</f>
        <v>0</v>
      </c>
      <c r="AO65" s="66" t="n">
        <f aca="false">IF(AND(AO$46&gt;=$C$9,AO$46&lt;=$C$41),ABS(SUM($E$49:AO49))*$C$30,0)</f>
        <v>0</v>
      </c>
      <c r="AP65" s="66" t="n">
        <f aca="false">IF(AND(AP$46&gt;=$C$9,AP$46&lt;=$C$41),ABS(SUM($E$49:AP49))*$C$30,0)</f>
        <v>0</v>
      </c>
      <c r="AQ65" s="66" t="n">
        <f aca="false">IF(AND(AQ$46&gt;=$C$9,AQ$46&lt;=$C$41),ABS(SUM($E$49:AQ49))*$C$30,0)</f>
        <v>0</v>
      </c>
      <c r="AR65" s="66" t="n">
        <f aca="false">IF(AND(AR$46&gt;=$C$9,AR$46&lt;=$C$41),ABS(SUM($E$49:AR49))*$C$30,0)</f>
        <v>0</v>
      </c>
      <c r="AS65" s="66" t="n">
        <f aca="false">IF(AND(AS$46&gt;=$C$9,AS$46&lt;=$C$41),ABS(SUM($E$49:AS49))*$C$30,0)</f>
        <v>0</v>
      </c>
      <c r="AT65" s="66" t="n">
        <f aca="false">IF(AND(AT$46&gt;=$C$9,AT$46&lt;=$C$41),ABS(SUM($E$49:AT49))*$C$30,0)</f>
        <v>0</v>
      </c>
      <c r="AU65" s="66" t="n">
        <f aca="false">IF(AND(AU$46&gt;=$C$9,AU$46&lt;=$C$41),ABS(SUM($E$49:AU49))*$C$30,0)</f>
        <v>0</v>
      </c>
      <c r="AV65" s="66" t="n">
        <f aca="false">IF(AND(AV$46&gt;=$C$9,AV$46&lt;=$C$41),ABS(SUM($E$49:AV49))*$C$30,0)</f>
        <v>0</v>
      </c>
      <c r="AW65" s="66" t="n">
        <f aca="false">IF(AND(AW$46&gt;=$C$9,AW$46&lt;=$C$41),ABS(SUM($E$49:AW49))*$C$30,0)</f>
        <v>0</v>
      </c>
      <c r="AX65" s="66" t="n">
        <f aca="false">IF(AND(AX$46&gt;=$C$9,AX$46&lt;=$C$41),ABS(SUM($E$49:AX49))*$C$30,0)</f>
        <v>0</v>
      </c>
      <c r="AY65" s="66" t="n">
        <f aca="false">IF(AND(AY$46&gt;=$C$9,AY$46&lt;=$C$41),ABS(SUM($E$49:AY49))*$C$30,0)</f>
        <v>0</v>
      </c>
      <c r="AZ65" s="66" t="n">
        <f aca="false">IF(AND(AZ$46&gt;=$C$9,AZ$46&lt;=$C$41),ABS(SUM($E$49:AZ49))*$C$30,0)</f>
        <v>0</v>
      </c>
      <c r="BA65" s="66" t="n">
        <f aca="false">IF(AND(BA$46&gt;=$C$9,BA$46&lt;=$C$41),ABS(SUM($E$49:BA49))*$C$30,0)</f>
        <v>0</v>
      </c>
      <c r="BB65" s="66" t="n">
        <f aca="false">IF(AND(BB$46&gt;=$C$9,BB$46&lt;=$C$41),ABS(SUM($E$49:BB49))*$C$30,0)</f>
        <v>0</v>
      </c>
    </row>
    <row r="66" customFormat="false" ht="15" hidden="false" customHeight="true" outlineLevel="0" collapsed="false">
      <c r="B66" s="59" t="s">
        <v>475</v>
      </c>
      <c r="C66" s="59" t="s">
        <v>11</v>
      </c>
      <c r="D66" s="66" t="n">
        <f aca="false">SUM(E66:BB66)</f>
        <v>910000</v>
      </c>
      <c r="E66" s="66" t="n">
        <f aca="false">IF(AND($C$17&gt;0,E$46&gt;=$C$9,E$46&lt;=$C$41),$C$31,0)</f>
        <v>0</v>
      </c>
      <c r="F66" s="66" t="n">
        <f aca="false">IF(AND($C$17&gt;0,F$46&gt;=$C$9,F$46&lt;=$C$41),$C$31,0)</f>
        <v>0</v>
      </c>
      <c r="G66" s="66" t="n">
        <f aca="false">IF(AND($C$17&gt;0,G$46&gt;=$C$9,G$46&lt;=$C$41),$C$31,0)</f>
        <v>0</v>
      </c>
      <c r="H66" s="66" t="n">
        <f aca="false">IF(AND($C$17&gt;0,H$46&gt;=$C$9,H$46&lt;=$C$41),$C$31,0)</f>
        <v>130000</v>
      </c>
      <c r="I66" s="66" t="n">
        <f aca="false">IF(AND($C$17&gt;0,I$46&gt;=$C$9,I$46&lt;=$C$41),$C$31,0)</f>
        <v>130000</v>
      </c>
      <c r="J66" s="66" t="n">
        <f aca="false">IF(AND($C$17&gt;0,J$46&gt;=$C$9,J$46&lt;=$C$41),$C$31,0)</f>
        <v>130000</v>
      </c>
      <c r="K66" s="66" t="n">
        <f aca="false">IF(AND($C$17&gt;0,K$46&gt;=$C$9,K$46&lt;=$C$41),$C$31,0)</f>
        <v>130000</v>
      </c>
      <c r="L66" s="66" t="n">
        <f aca="false">IF(AND($C$17&gt;0,L$46&gt;=$C$9,L$46&lt;=$C$41),$C$31,0)</f>
        <v>130000</v>
      </c>
      <c r="M66" s="66" t="n">
        <f aca="false">IF(AND($C$17&gt;0,M$46&gt;=$C$9,M$46&lt;=$C$41),$C$31,0)</f>
        <v>130000</v>
      </c>
      <c r="N66" s="66" t="n">
        <f aca="false">IF(AND($C$17&gt;0,N$46&gt;=$C$9,N$46&lt;=$C$41),$C$31,0)</f>
        <v>130000</v>
      </c>
      <c r="O66" s="66" t="n">
        <f aca="false">IF(AND($C$17&gt;0,O$46&gt;=$C$9,O$46&lt;=$C$41),$C$31,0)</f>
        <v>0</v>
      </c>
      <c r="P66" s="66" t="n">
        <f aca="false">IF(AND($C$17&gt;0,P$46&gt;=$C$9,P$46&lt;=$C$41),$C$31,0)</f>
        <v>0</v>
      </c>
      <c r="Q66" s="66" t="n">
        <f aca="false">IF(AND($C$17&gt;0,Q$46&gt;=$C$9,Q$46&lt;=$C$41),$C$31,0)</f>
        <v>0</v>
      </c>
      <c r="R66" s="66" t="n">
        <f aca="false">IF(AND($C$17&gt;0,R$46&gt;=$C$9,R$46&lt;=$C$41),$C$31,0)</f>
        <v>0</v>
      </c>
      <c r="S66" s="66" t="n">
        <f aca="false">IF(AND($C$17&gt;0,S$46&gt;=$C$9,S$46&lt;=$C$41),$C$31,0)</f>
        <v>0</v>
      </c>
      <c r="T66" s="66" t="n">
        <f aca="false">IF(AND($C$17&gt;0,T$46&gt;=$C$9,T$46&lt;=$C$41),$C$31,0)</f>
        <v>0</v>
      </c>
      <c r="U66" s="66" t="n">
        <f aca="false">IF(AND($C$17&gt;0,U$46&gt;=$C$9,U$46&lt;=$C$41),$C$31,0)</f>
        <v>0</v>
      </c>
      <c r="V66" s="66" t="n">
        <f aca="false">IF(AND($C$17&gt;0,V$46&gt;=$C$9,V$46&lt;=$C$41),$C$31,0)</f>
        <v>0</v>
      </c>
      <c r="W66" s="66" t="n">
        <f aca="false">IF(AND($C$17&gt;0,W$46&gt;=$C$9,W$46&lt;=$C$41),$C$31,0)</f>
        <v>0</v>
      </c>
      <c r="X66" s="66" t="n">
        <f aca="false">IF(AND($C$17&gt;0,X$46&gt;=$C$9,X$46&lt;=$C$41),$C$31,0)</f>
        <v>0</v>
      </c>
      <c r="Y66" s="66" t="n">
        <f aca="false">IF(AND($C$17&gt;0,Y$46&gt;=$C$9,Y$46&lt;=$C$41),$C$31,0)</f>
        <v>0</v>
      </c>
      <c r="Z66" s="66" t="n">
        <f aca="false">IF(AND($C$17&gt;0,Z$46&gt;=$C$9,Z$46&lt;=$C$41),$C$31,0)</f>
        <v>0</v>
      </c>
      <c r="AA66" s="66" t="n">
        <f aca="false">IF(AND($C$17&gt;0,AA$46&gt;=$C$9,AA$46&lt;=$C$41),$C$31,0)</f>
        <v>0</v>
      </c>
      <c r="AB66" s="66" t="n">
        <f aca="false">IF(AND($C$17&gt;0,AB$46&gt;=$C$9,AB$46&lt;=$C$41),$C$31,0)</f>
        <v>0</v>
      </c>
      <c r="AC66" s="66" t="n">
        <f aca="false">IF(AND($C$17&gt;0,AC$46&gt;=$C$9,AC$46&lt;=$C$41),$C$31,0)</f>
        <v>0</v>
      </c>
      <c r="AD66" s="66" t="n">
        <f aca="false">IF(AND($C$17&gt;0,AD$46&gt;=$C$9,AD$46&lt;=$C$41),$C$31,0)</f>
        <v>0</v>
      </c>
      <c r="AE66" s="66" t="n">
        <f aca="false">IF(AND($C$17&gt;0,AE$46&gt;=$C$9,AE$46&lt;=$C$41),$C$31,0)</f>
        <v>0</v>
      </c>
      <c r="AF66" s="66" t="n">
        <f aca="false">IF(AND($C$17&gt;0,AF$46&gt;=$C$9,AF$46&lt;=$C$41),$C$31,0)</f>
        <v>0</v>
      </c>
      <c r="AG66" s="66" t="n">
        <f aca="false">IF(AND($C$17&gt;0,AG$46&gt;=$C$9,AG$46&lt;=$C$41),$C$31,0)</f>
        <v>0</v>
      </c>
      <c r="AH66" s="66" t="n">
        <f aca="false">IF(AND($C$17&gt;0,AH$46&gt;=$C$9,AH$46&lt;=$C$41),$C$31,0)</f>
        <v>0</v>
      </c>
      <c r="AI66" s="66" t="n">
        <f aca="false">IF(AND($C$17&gt;0,AI$46&gt;=$C$9,AI$46&lt;=$C$41),$C$31,0)</f>
        <v>0</v>
      </c>
      <c r="AJ66" s="66" t="n">
        <f aca="false">IF(AND($C$17&gt;0,AJ$46&gt;=$C$9,AJ$46&lt;=$C$41),$C$31,0)</f>
        <v>0</v>
      </c>
      <c r="AK66" s="66" t="n">
        <f aca="false">IF(AND($C$17&gt;0,AK$46&gt;=$C$9,AK$46&lt;=$C$41),$C$31,0)</f>
        <v>0</v>
      </c>
      <c r="AL66" s="66" t="n">
        <f aca="false">IF(AND($C$17&gt;0,AL$46&gt;=$C$9,AL$46&lt;=$C$41),$C$31,0)</f>
        <v>0</v>
      </c>
      <c r="AM66" s="66" t="n">
        <f aca="false">IF(AND($C$17&gt;0,AM$46&gt;=$C$9,AM$46&lt;=$C$41),$C$31,0)</f>
        <v>0</v>
      </c>
      <c r="AN66" s="66" t="n">
        <f aca="false">IF(AND($C$17&gt;0,AN$46&gt;=$C$9,AN$46&lt;=$C$41),$C$31,0)</f>
        <v>0</v>
      </c>
      <c r="AO66" s="66" t="n">
        <f aca="false">IF(AND($C$17&gt;0,AO$46&gt;=$C$9,AO$46&lt;=$C$41),$C$31,0)</f>
        <v>0</v>
      </c>
      <c r="AP66" s="66" t="n">
        <f aca="false">IF(AND($C$17&gt;0,AP$46&gt;=$C$9,AP$46&lt;=$C$41),$C$31,0)</f>
        <v>0</v>
      </c>
      <c r="AQ66" s="66" t="n">
        <f aca="false">IF(AND($C$17&gt;0,AQ$46&gt;=$C$9,AQ$46&lt;=$C$41),$C$31,0)</f>
        <v>0</v>
      </c>
      <c r="AR66" s="66" t="n">
        <f aca="false">IF(AND($C$17&gt;0,AR$46&gt;=$C$9,AR$46&lt;=$C$41),$C$31,0)</f>
        <v>0</v>
      </c>
      <c r="AS66" s="66" t="n">
        <f aca="false">IF(AND($C$17&gt;0,AS$46&gt;=$C$9,AS$46&lt;=$C$41),$C$31,0)</f>
        <v>0</v>
      </c>
      <c r="AT66" s="66" t="n">
        <f aca="false">IF(AND($C$17&gt;0,AT$46&gt;=$C$9,AT$46&lt;=$C$41),$C$31,0)</f>
        <v>0</v>
      </c>
      <c r="AU66" s="66" t="n">
        <f aca="false">IF(AND($C$17&gt;0,AU$46&gt;=$C$9,AU$46&lt;=$C$41),$C$31,0)</f>
        <v>0</v>
      </c>
      <c r="AV66" s="66" t="n">
        <f aca="false">IF(AND($C$17&gt;0,AV$46&gt;=$C$9,AV$46&lt;=$C$41),$C$31,0)</f>
        <v>0</v>
      </c>
      <c r="AW66" s="66" t="n">
        <f aca="false">IF(AND($C$17&gt;0,AW$46&gt;=$C$9,AW$46&lt;=$C$41),$C$31,0)</f>
        <v>0</v>
      </c>
      <c r="AX66" s="66" t="n">
        <f aca="false">IF(AND($C$17&gt;0,AX$46&gt;=$C$9,AX$46&lt;=$C$41),$C$31,0)</f>
        <v>0</v>
      </c>
      <c r="AY66" s="66" t="n">
        <f aca="false">IF(AND($C$17&gt;0,AY$46&gt;=$C$9,AY$46&lt;=$C$41),$C$31,0)</f>
        <v>0</v>
      </c>
      <c r="AZ66" s="66" t="n">
        <f aca="false">IF(AND($C$17&gt;0,AZ$46&gt;=$C$9,AZ$46&lt;=$C$41),$C$31,0)</f>
        <v>0</v>
      </c>
      <c r="BA66" s="66" t="n">
        <f aca="false">IF(AND($C$17&gt;0,BA$46&gt;=$C$9,BA$46&lt;=$C$41),$C$31,0)</f>
        <v>0</v>
      </c>
      <c r="BB66" s="66" t="n">
        <f aca="false">IF(AND($C$17&gt;0,BB$46&gt;=$C$9,BB$46&lt;=$C$41),$C$31,0)</f>
        <v>0</v>
      </c>
    </row>
    <row r="67" customFormat="false" ht="15" hidden="false" customHeight="true" outlineLevel="0" collapsed="false">
      <c r="B67" s="59" t="s">
        <v>476</v>
      </c>
      <c r="C67" s="59" t="s">
        <v>11</v>
      </c>
      <c r="D67" s="66" t="n">
        <f aca="false">SUM(E67:BB67)</f>
        <v>55895387.9445715</v>
      </c>
      <c r="E67" s="66" t="n">
        <f aca="false">IF(AND(E49&lt;0,E$46&gt;=$C$9,E$46&lt;=$C$41),ABS(E49)*$C$32,0)</f>
        <v>0</v>
      </c>
      <c r="F67" s="66" t="n">
        <f aca="false">IF(AND(F49&lt;0,F$46&gt;=$C$9,F$46&lt;=$C$41),ABS(F49)*$C$32,0)</f>
        <v>0</v>
      </c>
      <c r="G67" s="66" t="n">
        <f aca="false">IF(AND(G49&lt;0,G$46&gt;=$C$9,G$46&lt;=$C$41),ABS(G49)*$C$32,0)</f>
        <v>0</v>
      </c>
      <c r="H67" s="66" t="n">
        <f aca="false">IF(AND(H49&lt;0,H$46&gt;=$C$9,H$46&lt;=$C$41),ABS(H49)*$C$32,0)</f>
        <v>0</v>
      </c>
      <c r="I67" s="66" t="n">
        <f aca="false">IF(AND(I49&lt;0,I$46&gt;=$C$9,I$46&lt;=$C$41),ABS(I49)*$C$32,0)</f>
        <v>25666594.8885715</v>
      </c>
      <c r="J67" s="66" t="n">
        <f aca="false">IF(AND(J49&lt;0,J$46&gt;=$C$9,J$46&lt;=$C$41),ABS(J49)*$C$32,0)</f>
        <v>20959319.304</v>
      </c>
      <c r="K67" s="66" t="n">
        <f aca="false">IF(AND(K49&lt;0,K$46&gt;=$C$9,K$46&lt;=$C$41),ABS(K49)*$C$32,0)</f>
        <v>9269473.752</v>
      </c>
      <c r="L67" s="66" t="n">
        <f aca="false">IF(AND(L49&lt;0,L$46&gt;=$C$9,L$46&lt;=$C$41),ABS(L49)*$C$32,0)</f>
        <v>0</v>
      </c>
      <c r="M67" s="66" t="n">
        <f aca="false">IF(AND(M49&lt;0,M$46&gt;=$C$9,M$46&lt;=$C$41),ABS(M49)*$C$32,0)</f>
        <v>0</v>
      </c>
      <c r="N67" s="66" t="n">
        <f aca="false">IF(AND(N49&lt;0,N$46&gt;=$C$9,N$46&lt;=$C$41),ABS(N49)*$C$32,0)</f>
        <v>0</v>
      </c>
      <c r="O67" s="66" t="n">
        <f aca="false">IF(AND(O49&lt;0,O$46&gt;=$C$9,O$46&lt;=$C$41),ABS(O49)*$C$32,0)</f>
        <v>0</v>
      </c>
      <c r="P67" s="66" t="n">
        <f aca="false">IF(AND(P49&lt;0,P$46&gt;=$C$9,P$46&lt;=$C$41),ABS(P49)*$C$32,0)</f>
        <v>0</v>
      </c>
      <c r="Q67" s="66" t="n">
        <f aca="false">IF(AND(Q49&lt;0,Q$46&gt;=$C$9,Q$46&lt;=$C$41),ABS(Q49)*$C$32,0)</f>
        <v>0</v>
      </c>
      <c r="R67" s="66" t="n">
        <f aca="false">IF(AND(R49&lt;0,R$46&gt;=$C$9,R$46&lt;=$C$41),ABS(R49)*$C$32,0)</f>
        <v>0</v>
      </c>
      <c r="S67" s="66" t="n">
        <f aca="false">IF(AND(S49&lt;0,S$46&gt;=$C$9,S$46&lt;=$C$41),ABS(S49)*$C$32,0)</f>
        <v>0</v>
      </c>
      <c r="T67" s="66" t="n">
        <f aca="false">IF(AND(T49&lt;0,T$46&gt;=$C$9,T$46&lt;=$C$41),ABS(T49)*$C$32,0)</f>
        <v>0</v>
      </c>
      <c r="U67" s="66" t="n">
        <f aca="false">IF(AND(U49&lt;0,U$46&gt;=$C$9,U$46&lt;=$C$41),ABS(U49)*$C$32,0)</f>
        <v>0</v>
      </c>
      <c r="V67" s="66" t="n">
        <f aca="false">IF(AND(V49&lt;0,V$46&gt;=$C$9,V$46&lt;=$C$41),ABS(V49)*$C$32,0)</f>
        <v>0</v>
      </c>
      <c r="W67" s="66" t="n">
        <f aca="false">IF(AND(W49&lt;0,W$46&gt;=$C$9,W$46&lt;=$C$41),ABS(W49)*$C$32,0)</f>
        <v>0</v>
      </c>
      <c r="X67" s="66" t="n">
        <f aca="false">IF(AND(X49&lt;0,X$46&gt;=$C$9,X$46&lt;=$C$41),ABS(X49)*$C$32,0)</f>
        <v>0</v>
      </c>
      <c r="Y67" s="66" t="n">
        <f aca="false">IF(AND(Y49&lt;0,Y$46&gt;=$C$9,Y$46&lt;=$C$41),ABS(Y49)*$C$32,0)</f>
        <v>0</v>
      </c>
      <c r="Z67" s="66" t="n">
        <f aca="false">IF(AND(Z49&lt;0,Z$46&gt;=$C$9,Z$46&lt;=$C$41),ABS(Z49)*$C$32,0)</f>
        <v>0</v>
      </c>
      <c r="AA67" s="66" t="n">
        <f aca="false">IF(AND(AA49&lt;0,AA$46&gt;=$C$9,AA$46&lt;=$C$41),ABS(AA49)*$C$32,0)</f>
        <v>0</v>
      </c>
      <c r="AB67" s="66" t="n">
        <f aca="false">IF(AND(AB49&lt;0,AB$46&gt;=$C$9,AB$46&lt;=$C$41),ABS(AB49)*$C$32,0)</f>
        <v>0</v>
      </c>
      <c r="AC67" s="66" t="n">
        <f aca="false">IF(AND(AC49&lt;0,AC$46&gt;=$C$9,AC$46&lt;=$C$41),ABS(AC49)*$C$32,0)</f>
        <v>0</v>
      </c>
      <c r="AD67" s="66" t="n">
        <f aca="false">IF(AND(AD49&lt;0,AD$46&gt;=$C$9,AD$46&lt;=$C$41),ABS(AD49)*$C$32,0)</f>
        <v>0</v>
      </c>
      <c r="AE67" s="66" t="n">
        <f aca="false">IF(AND(AE49&lt;0,AE$46&gt;=$C$9,AE$46&lt;=$C$41),ABS(AE49)*$C$32,0)</f>
        <v>0</v>
      </c>
      <c r="AF67" s="66" t="n">
        <f aca="false">IF(AND(AF49&lt;0,AF$46&gt;=$C$9,AF$46&lt;=$C$41),ABS(AF49)*$C$32,0)</f>
        <v>0</v>
      </c>
      <c r="AG67" s="66" t="n">
        <f aca="false">IF(AND(AG49&lt;0,AG$46&gt;=$C$9,AG$46&lt;=$C$41),ABS(AG49)*$C$32,0)</f>
        <v>0</v>
      </c>
      <c r="AH67" s="66" t="n">
        <f aca="false">IF(AND(AH49&lt;0,AH$46&gt;=$C$9,AH$46&lt;=$C$41),ABS(AH49)*$C$32,0)</f>
        <v>0</v>
      </c>
      <c r="AI67" s="66" t="n">
        <f aca="false">IF(AND(AI49&lt;0,AI$46&gt;=$C$9,AI$46&lt;=$C$41),ABS(AI49)*$C$32,0)</f>
        <v>0</v>
      </c>
      <c r="AJ67" s="66" t="n">
        <f aca="false">IF(AND(AJ49&lt;0,AJ$46&gt;=$C$9,AJ$46&lt;=$C$41),ABS(AJ49)*$C$32,0)</f>
        <v>0</v>
      </c>
      <c r="AK67" s="66" t="n">
        <f aca="false">IF(AND(AK49&lt;0,AK$46&gt;=$C$9,AK$46&lt;=$C$41),ABS(AK49)*$C$32,0)</f>
        <v>0</v>
      </c>
      <c r="AL67" s="66" t="n">
        <f aca="false">IF(AND(AL49&lt;0,AL$46&gt;=$C$9,AL$46&lt;=$C$41),ABS(AL49)*$C$32,0)</f>
        <v>0</v>
      </c>
      <c r="AM67" s="66" t="n">
        <f aca="false">IF(AND(AM49&lt;0,AM$46&gt;=$C$9,AM$46&lt;=$C$41),ABS(AM49)*$C$32,0)</f>
        <v>0</v>
      </c>
      <c r="AN67" s="66" t="n">
        <f aca="false">IF(AND(AN49&lt;0,AN$46&gt;=$C$9,AN$46&lt;=$C$41),ABS(AN49)*$C$32,0)</f>
        <v>0</v>
      </c>
      <c r="AO67" s="66" t="n">
        <f aca="false">IF(AND(AO49&lt;0,AO$46&gt;=$C$9,AO$46&lt;=$C$41),ABS(AO49)*$C$32,0)</f>
        <v>0</v>
      </c>
      <c r="AP67" s="66" t="n">
        <f aca="false">IF(AND(AP49&lt;0,AP$46&gt;=$C$9,AP$46&lt;=$C$41),ABS(AP49)*$C$32,0)</f>
        <v>0</v>
      </c>
      <c r="AQ67" s="66" t="n">
        <f aca="false">IF(AND(AQ49&lt;0,AQ$46&gt;=$C$9,AQ$46&lt;=$C$41),ABS(AQ49)*$C$32,0)</f>
        <v>0</v>
      </c>
      <c r="AR67" s="66" t="n">
        <f aca="false">IF(AND(AR49&lt;0,AR$46&gt;=$C$9,AR$46&lt;=$C$41),ABS(AR49)*$C$32,0)</f>
        <v>0</v>
      </c>
      <c r="AS67" s="66" t="n">
        <f aca="false">IF(AND(AS49&lt;0,AS$46&gt;=$C$9,AS$46&lt;=$C$41),ABS(AS49)*$C$32,0)</f>
        <v>0</v>
      </c>
      <c r="AT67" s="66" t="n">
        <f aca="false">IF(AND(AT49&lt;0,AT$46&gt;=$C$9,AT$46&lt;=$C$41),ABS(AT49)*$C$32,0)</f>
        <v>0</v>
      </c>
      <c r="AU67" s="66" t="n">
        <f aca="false">IF(AND(AU49&lt;0,AU$46&gt;=$C$9,AU$46&lt;=$C$41),ABS(AU49)*$C$32,0)</f>
        <v>0</v>
      </c>
      <c r="AV67" s="66" t="n">
        <f aca="false">IF(AND(AV49&lt;0,AV$46&gt;=$C$9,AV$46&lt;=$C$41),ABS(AV49)*$C$32,0)</f>
        <v>0</v>
      </c>
      <c r="AW67" s="66" t="n">
        <f aca="false">IF(AND(AW49&lt;0,AW$46&gt;=$C$9,AW$46&lt;=$C$41),ABS(AW49)*$C$32,0)</f>
        <v>0</v>
      </c>
      <c r="AX67" s="66" t="n">
        <f aca="false">IF(AND(AX49&lt;0,AX$46&gt;=$C$9,AX$46&lt;=$C$41),ABS(AX49)*$C$32,0)</f>
        <v>0</v>
      </c>
      <c r="AY67" s="66" t="n">
        <f aca="false">IF(AND(AY49&lt;0,AY$46&gt;=$C$9,AY$46&lt;=$C$41),ABS(AY49)*$C$32,0)</f>
        <v>0</v>
      </c>
      <c r="AZ67" s="66" t="n">
        <f aca="false">IF(AND(AZ49&lt;0,AZ$46&gt;=$C$9,AZ$46&lt;=$C$41),ABS(AZ49)*$C$32,0)</f>
        <v>0</v>
      </c>
      <c r="BA67" s="66" t="n">
        <f aca="false">IF(AND(BA49&lt;0,BA$46&gt;=$C$9,BA$46&lt;=$C$41),ABS(BA49)*$C$32,0)</f>
        <v>0</v>
      </c>
      <c r="BB67" s="66" t="n">
        <f aca="false">IF(AND(BB49&lt;0,BB$46&gt;=$C$9,BB$46&lt;=$C$41),ABS(BB49)*$C$32,0)</f>
        <v>0</v>
      </c>
    </row>
    <row r="68" customFormat="false" ht="15" hidden="false" customHeight="true" outlineLevel="0" collapsed="false">
      <c r="B68" s="59" t="s">
        <v>477</v>
      </c>
      <c r="C68" s="59" t="s">
        <v>11</v>
      </c>
      <c r="D68" s="66" t="n">
        <f aca="false">SUM(E68:BB68)</f>
        <v>4657948.99538096</v>
      </c>
      <c r="E68" s="66" t="n">
        <f aca="false">IF(E$46=$C$9,ABS($D$49)*$C$33,0)</f>
        <v>0</v>
      </c>
      <c r="F68" s="66" t="n">
        <f aca="false">IF(F$46=$C$9,ABS($D$49)*$C$33,0)</f>
        <v>0</v>
      </c>
      <c r="G68" s="66" t="n">
        <f aca="false">IF(G$46=$C$9,ABS($D$49)*$C$33,0)</f>
        <v>0</v>
      </c>
      <c r="H68" s="66" t="n">
        <f aca="false">IF(H$46=$C$9,ABS($D$49)*$C$33,0)</f>
        <v>4657948.99538096</v>
      </c>
      <c r="I68" s="66" t="n">
        <f aca="false">IF(I$46=$C$9,ABS($D$49)*$C$33,0)</f>
        <v>0</v>
      </c>
      <c r="J68" s="66" t="n">
        <f aca="false">IF(J$46=$C$9,ABS($D$49)*$C$33,0)</f>
        <v>0</v>
      </c>
      <c r="K68" s="66" t="n">
        <f aca="false">IF(K$46=$C$9,ABS($D$49)*$C$33,0)</f>
        <v>0</v>
      </c>
      <c r="L68" s="66" t="n">
        <f aca="false">IF(L$46=$C$9,ABS($D$49)*$C$33,0)</f>
        <v>0</v>
      </c>
      <c r="M68" s="66" t="n">
        <f aca="false">IF(M$46=$C$9,ABS($D$49)*$C$33,0)</f>
        <v>0</v>
      </c>
      <c r="N68" s="66" t="n">
        <f aca="false">IF(N$46=$C$9,ABS($D$49)*$C$33,0)</f>
        <v>0</v>
      </c>
      <c r="O68" s="66" t="n">
        <f aca="false">IF(O$46=$C$9,ABS($D$49)*$C$33,0)</f>
        <v>0</v>
      </c>
      <c r="P68" s="66" t="n">
        <f aca="false">IF(P$46=$C$9,ABS($D$49)*$C$33,0)</f>
        <v>0</v>
      </c>
      <c r="Q68" s="66" t="n">
        <f aca="false">IF(Q$46=$C$9,ABS($D$49)*$C$33,0)</f>
        <v>0</v>
      </c>
      <c r="R68" s="66" t="n">
        <f aca="false">IF(R$46=$C$9,ABS($D$49)*$C$33,0)</f>
        <v>0</v>
      </c>
      <c r="S68" s="66" t="n">
        <f aca="false">IF(S$46=$C$9,ABS($D$49)*$C$33,0)</f>
        <v>0</v>
      </c>
      <c r="T68" s="66" t="n">
        <f aca="false">IF(T$46=$C$9,ABS($D$49)*$C$33,0)</f>
        <v>0</v>
      </c>
      <c r="U68" s="66" t="n">
        <f aca="false">IF(U$46=$C$9,ABS($D$49)*$C$33,0)</f>
        <v>0</v>
      </c>
      <c r="V68" s="66" t="n">
        <f aca="false">IF(V$46=$C$9,ABS($D$49)*$C$33,0)</f>
        <v>0</v>
      </c>
      <c r="W68" s="66" t="n">
        <f aca="false">IF(W$46=$C$9,ABS($D$49)*$C$33,0)</f>
        <v>0</v>
      </c>
      <c r="X68" s="66" t="n">
        <f aca="false">IF(X$46=$C$9,ABS($D$49)*$C$33,0)</f>
        <v>0</v>
      </c>
      <c r="Y68" s="66" t="n">
        <f aca="false">IF(Y$46=$C$9,ABS($D$49)*$C$33,0)</f>
        <v>0</v>
      </c>
      <c r="Z68" s="66" t="n">
        <f aca="false">IF(Z$46=$C$9,ABS($D$49)*$C$33,0)</f>
        <v>0</v>
      </c>
      <c r="AA68" s="66" t="n">
        <f aca="false">IF(AA$46=$C$9,ABS($D$49)*$C$33,0)</f>
        <v>0</v>
      </c>
      <c r="AB68" s="66" t="n">
        <f aca="false">IF(AB$46=$C$9,ABS($D$49)*$C$33,0)</f>
        <v>0</v>
      </c>
      <c r="AC68" s="66" t="n">
        <f aca="false">IF(AC$46=$C$9,ABS($D$49)*$C$33,0)</f>
        <v>0</v>
      </c>
      <c r="AD68" s="66" t="n">
        <f aca="false">IF(AD$46=$C$9,ABS($D$49)*$C$33,0)</f>
        <v>0</v>
      </c>
      <c r="AE68" s="66" t="n">
        <f aca="false">IF(AE$46=$C$9,ABS($D$49)*$C$33,0)</f>
        <v>0</v>
      </c>
      <c r="AF68" s="66" t="n">
        <f aca="false">IF(AF$46=$C$9,ABS($D$49)*$C$33,0)</f>
        <v>0</v>
      </c>
      <c r="AG68" s="66" t="n">
        <f aca="false">IF(AG$46=$C$9,ABS($D$49)*$C$33,0)</f>
        <v>0</v>
      </c>
      <c r="AH68" s="66" t="n">
        <f aca="false">IF(AH$46=$C$9,ABS($D$49)*$C$33,0)</f>
        <v>0</v>
      </c>
      <c r="AI68" s="66" t="n">
        <f aca="false">IF(AI$46=$C$9,ABS($D$49)*$C$33,0)</f>
        <v>0</v>
      </c>
      <c r="AJ68" s="66" t="n">
        <f aca="false">IF(AJ$46=$C$9,ABS($D$49)*$C$33,0)</f>
        <v>0</v>
      </c>
      <c r="AK68" s="66" t="n">
        <f aca="false">IF(AK$46=$C$9,ABS($D$49)*$C$33,0)</f>
        <v>0</v>
      </c>
      <c r="AL68" s="66" t="n">
        <f aca="false">IF(AL$46=$C$9,ABS($D$49)*$C$33,0)</f>
        <v>0</v>
      </c>
      <c r="AM68" s="66" t="n">
        <f aca="false">IF(AM$46=$C$9,ABS($D$49)*$C$33,0)</f>
        <v>0</v>
      </c>
      <c r="AN68" s="66" t="n">
        <f aca="false">IF(AN$46=$C$9,ABS($D$49)*$C$33,0)</f>
        <v>0</v>
      </c>
      <c r="AO68" s="66" t="n">
        <f aca="false">IF(AO$46=$C$9,ABS($D$49)*$C$33,0)</f>
        <v>0</v>
      </c>
      <c r="AP68" s="66" t="n">
        <f aca="false">IF(AP$46=$C$9,ABS($D$49)*$C$33,0)</f>
        <v>0</v>
      </c>
      <c r="AQ68" s="66" t="n">
        <f aca="false">IF(AQ$46=$C$9,ABS($D$49)*$C$33,0)</f>
        <v>0</v>
      </c>
      <c r="AR68" s="66" t="n">
        <f aca="false">IF(AR$46=$C$9,ABS($D$49)*$C$33,0)</f>
        <v>0</v>
      </c>
      <c r="AS68" s="66" t="n">
        <f aca="false">IF(AS$46=$C$9,ABS($D$49)*$C$33,0)</f>
        <v>0</v>
      </c>
      <c r="AT68" s="66" t="n">
        <f aca="false">IF(AT$46=$C$9,ABS($D$49)*$C$33,0)</f>
        <v>0</v>
      </c>
      <c r="AU68" s="66" t="n">
        <f aca="false">IF(AU$46=$C$9,ABS($D$49)*$C$33,0)</f>
        <v>0</v>
      </c>
      <c r="AV68" s="66" t="n">
        <f aca="false">IF(AV$46=$C$9,ABS($D$49)*$C$33,0)</f>
        <v>0</v>
      </c>
      <c r="AW68" s="66" t="n">
        <f aca="false">IF(AW$46=$C$9,ABS($D$49)*$C$33,0)</f>
        <v>0</v>
      </c>
      <c r="AX68" s="66" t="n">
        <f aca="false">IF(AX$46=$C$9,ABS($D$49)*$C$33,0)</f>
        <v>0</v>
      </c>
      <c r="AY68" s="66" t="n">
        <f aca="false">IF(AY$46=$C$9,ABS($D$49)*$C$33,0)</f>
        <v>0</v>
      </c>
      <c r="AZ68" s="66" t="n">
        <f aca="false">IF(AZ$46=$C$9,ABS($D$49)*$C$33,0)</f>
        <v>0</v>
      </c>
      <c r="BA68" s="66" t="n">
        <f aca="false">IF(BA$46=$C$9,ABS($D$49)*$C$33,0)</f>
        <v>0</v>
      </c>
      <c r="BB68" s="66" t="n">
        <f aca="false">IF(BB$46=$C$9,ABS($D$49)*$C$33,0)</f>
        <v>0</v>
      </c>
    </row>
    <row r="69" customFormat="false" ht="15" hidden="false" customHeight="true" outlineLevel="0" collapsed="false">
      <c r="B69" s="20" t="s">
        <v>478</v>
      </c>
      <c r="C69" s="59" t="s">
        <v>11</v>
      </c>
      <c r="D69" s="63" t="n">
        <f aca="false">SUM(E69:BB69)</f>
        <v>86952398.5613068</v>
      </c>
      <c r="E69" s="63" t="n">
        <f aca="false">E64+E65+E66+E67+E68</f>
        <v>0</v>
      </c>
      <c r="F69" s="63" t="n">
        <f aca="false">F64+F65+F66+F67+F68</f>
        <v>0</v>
      </c>
      <c r="G69" s="63" t="n">
        <f aca="false">G64+G65+G66+G67+G68</f>
        <v>0</v>
      </c>
      <c r="H69" s="63" t="n">
        <f aca="false">H64+H65+H66+H67+H68</f>
        <v>8086456.05227807</v>
      </c>
      <c r="I69" s="63" t="n">
        <f aca="false">I64+I65+I66+I67+I68</f>
        <v>27721589.5052144</v>
      </c>
      <c r="J69" s="63" t="n">
        <f aca="false">J64+J65+J66+J67+J68</f>
        <v>24586262.8684429</v>
      </c>
      <c r="K69" s="63" t="n">
        <f aca="false">K64+K65+K66+K67+K68</f>
        <v>13591627.8478429</v>
      </c>
      <c r="L69" s="63" t="n">
        <f aca="false">L64+L65+L66+L67+L68</f>
        <v>4322154.09584287</v>
      </c>
      <c r="M69" s="63" t="n">
        <f aca="false">M64+M65+M66+M67+M68</f>
        <v>4322154.09584287</v>
      </c>
      <c r="N69" s="63" t="n">
        <f aca="false">N64+N65+N66+N67+N68</f>
        <v>4322154.09584287</v>
      </c>
      <c r="O69" s="63" t="n">
        <f aca="false">O64+O65+O66+O67+O68</f>
        <v>0</v>
      </c>
      <c r="P69" s="63" t="n">
        <f aca="false">P64+P65+P66+P67+P68</f>
        <v>0</v>
      </c>
      <c r="Q69" s="63" t="n">
        <f aca="false">Q64+Q65+Q66+Q67+Q68</f>
        <v>0</v>
      </c>
      <c r="R69" s="63" t="n">
        <f aca="false">R64+R65+R66+R67+R68</f>
        <v>0</v>
      </c>
      <c r="S69" s="63" t="n">
        <f aca="false">S64+S65+S66+S67+S68</f>
        <v>0</v>
      </c>
      <c r="T69" s="63" t="n">
        <f aca="false">T64+T65+T66+T67+T68</f>
        <v>0</v>
      </c>
      <c r="U69" s="63" t="n">
        <f aca="false">U64+U65+U66+U67+U68</f>
        <v>0</v>
      </c>
      <c r="V69" s="63" t="n">
        <f aca="false">V64+V65+V66+V67+V68</f>
        <v>0</v>
      </c>
      <c r="W69" s="63" t="n">
        <f aca="false">W64+W65+W66+W67+W68</f>
        <v>0</v>
      </c>
      <c r="X69" s="63" t="n">
        <f aca="false">X64+X65+X66+X67+X68</f>
        <v>0</v>
      </c>
      <c r="Y69" s="63" t="n">
        <f aca="false">Y64+Y65+Y66+Y67+Y68</f>
        <v>0</v>
      </c>
      <c r="Z69" s="63" t="n">
        <f aca="false">Z64+Z65+Z66+Z67+Z68</f>
        <v>0</v>
      </c>
      <c r="AA69" s="63" t="n">
        <f aca="false">AA64+AA65+AA66+AA67+AA68</f>
        <v>0</v>
      </c>
      <c r="AB69" s="63" t="n">
        <f aca="false">AB64+AB65+AB66+AB67+AB68</f>
        <v>0</v>
      </c>
      <c r="AC69" s="63" t="n">
        <f aca="false">AC64+AC65+AC66+AC67+AC68</f>
        <v>0</v>
      </c>
      <c r="AD69" s="63" t="n">
        <f aca="false">AD64+AD65+AD66+AD67+AD68</f>
        <v>0</v>
      </c>
      <c r="AE69" s="63" t="n">
        <f aca="false">AE64+AE65+AE66+AE67+AE68</f>
        <v>0</v>
      </c>
      <c r="AF69" s="63" t="n">
        <f aca="false">AF64+AF65+AF66+AF67+AF68</f>
        <v>0</v>
      </c>
      <c r="AG69" s="63" t="n">
        <f aca="false">AG64+AG65+AG66+AG67+AG68</f>
        <v>0</v>
      </c>
      <c r="AH69" s="63" t="n">
        <f aca="false">AH64+AH65+AH66+AH67+AH68</f>
        <v>0</v>
      </c>
      <c r="AI69" s="63" t="n">
        <f aca="false">AI64+AI65+AI66+AI67+AI68</f>
        <v>0</v>
      </c>
      <c r="AJ69" s="63" t="n">
        <f aca="false">AJ64+AJ65+AJ66+AJ67+AJ68</f>
        <v>0</v>
      </c>
      <c r="AK69" s="63" t="n">
        <f aca="false">AK64+AK65+AK66+AK67+AK68</f>
        <v>0</v>
      </c>
      <c r="AL69" s="63" t="n">
        <f aca="false">AL64+AL65+AL66+AL67+AL68</f>
        <v>0</v>
      </c>
      <c r="AM69" s="63" t="n">
        <f aca="false">AM64+AM65+AM66+AM67+AM68</f>
        <v>0</v>
      </c>
      <c r="AN69" s="63" t="n">
        <f aca="false">AN64+AN65+AN66+AN67+AN68</f>
        <v>0</v>
      </c>
      <c r="AO69" s="63" t="n">
        <f aca="false">AO64+AO65+AO66+AO67+AO68</f>
        <v>0</v>
      </c>
      <c r="AP69" s="63" t="n">
        <f aca="false">AP64+AP65+AP66+AP67+AP68</f>
        <v>0</v>
      </c>
      <c r="AQ69" s="63" t="n">
        <f aca="false">AQ64+AQ65+AQ66+AQ67+AQ68</f>
        <v>0</v>
      </c>
      <c r="AR69" s="63" t="n">
        <f aca="false">AR64+AR65+AR66+AR67+AR68</f>
        <v>0</v>
      </c>
      <c r="AS69" s="63" t="n">
        <f aca="false">AS64+AS65+AS66+AS67+AS68</f>
        <v>0</v>
      </c>
      <c r="AT69" s="63" t="n">
        <f aca="false">AT64+AT65+AT66+AT67+AT68</f>
        <v>0</v>
      </c>
      <c r="AU69" s="63" t="n">
        <f aca="false">AU64+AU65+AU66+AU67+AU68</f>
        <v>0</v>
      </c>
      <c r="AV69" s="63" t="n">
        <f aca="false">AV64+AV65+AV66+AV67+AV68</f>
        <v>0</v>
      </c>
      <c r="AW69" s="63" t="n">
        <f aca="false">AW64+AW65+AW66+AW67+AW68</f>
        <v>0</v>
      </c>
      <c r="AX69" s="63" t="n">
        <f aca="false">AX64+AX65+AX66+AX67+AX68</f>
        <v>0</v>
      </c>
      <c r="AY69" s="63" t="n">
        <f aca="false">AY64+AY65+AY66+AY67+AY68</f>
        <v>0</v>
      </c>
      <c r="AZ69" s="63" t="n">
        <f aca="false">AZ64+AZ65+AZ66+AZ67+AZ68</f>
        <v>0</v>
      </c>
      <c r="BA69" s="63" t="n">
        <f aca="false">BA64+BA65+BA66+BA67+BA68</f>
        <v>0</v>
      </c>
      <c r="BB69" s="63" t="n">
        <f aca="false">BB64+BB65+BB66+BB67+BB68</f>
        <v>0</v>
      </c>
    </row>
    <row r="70" customFormat="false" ht="15" hidden="false" customHeight="true" outlineLevel="0" collapsed="false">
      <c r="B70" s="59" t="s">
        <v>479</v>
      </c>
      <c r="C70" s="59" t="s">
        <v>11</v>
      </c>
      <c r="D70" s="66" t="n">
        <f aca="false">SUM(E70:BB70)</f>
        <v>82630244.4654639</v>
      </c>
      <c r="E70" s="66" t="n">
        <f aca="false">MAX(0,E69-MAX(0,IF(E$46&lt;=$C$41,E50,0)+E62+E51))</f>
        <v>0</v>
      </c>
      <c r="F70" s="66" t="n">
        <f aca="false">MAX(0,F69-MAX(0,IF(F$46&lt;=$C$41,F50,0)+F62+F51))</f>
        <v>0</v>
      </c>
      <c r="G70" s="66" t="n">
        <f aca="false">MAX(0,G69-MAX(0,IF(G$46&lt;=$C$41,G50,0)+G62+G51))</f>
        <v>0</v>
      </c>
      <c r="H70" s="66" t="n">
        <f aca="false">MAX(0,H69-MAX(0,IF(H$46&lt;=$C$41,H50,0)+H62+H51))</f>
        <v>8086456.05227807</v>
      </c>
      <c r="I70" s="66" t="n">
        <f aca="false">MAX(0,I69-MAX(0,IF(I$46&lt;=$C$41,I50,0)+I62+I51))</f>
        <v>27721589.5052144</v>
      </c>
      <c r="J70" s="66" t="n">
        <f aca="false">MAX(0,J69-MAX(0,IF(J$46&lt;=$C$41,J50,0)+J62+J51))</f>
        <v>24586262.8684429</v>
      </c>
      <c r="K70" s="66" t="n">
        <f aca="false">MAX(0,K69-MAX(0,IF(K$46&lt;=$C$41,K50,0)+K62+K51))</f>
        <v>13591627.8478429</v>
      </c>
      <c r="L70" s="66" t="n">
        <f aca="false">MAX(0,L69-MAX(0,IF(L$46&lt;=$C$41,L50,0)+L62+L51))</f>
        <v>4322154.09584287</v>
      </c>
      <c r="M70" s="66" t="n">
        <f aca="false">MAX(0,M69-MAX(0,IF(M$46&lt;=$C$41,M50,0)+M62+M51))</f>
        <v>4322154.09584287</v>
      </c>
      <c r="N70" s="66" t="n">
        <f aca="false">MAX(0,N69-MAX(0,IF(N$46&lt;=$C$41,N50,0)+N62+N51))</f>
        <v>0</v>
      </c>
      <c r="O70" s="66" t="n">
        <f aca="false">MAX(0,O69-MAX(0,IF(O$46&lt;=$C$41,O50,0)+O62+O51))</f>
        <v>0</v>
      </c>
      <c r="P70" s="66" t="n">
        <f aca="false">MAX(0,P69-MAX(0,IF(P$46&lt;=$C$41,P50,0)+P62+P51))</f>
        <v>0</v>
      </c>
      <c r="Q70" s="66" t="n">
        <f aca="false">MAX(0,Q69-MAX(0,IF(Q$46&lt;=$C$41,Q50,0)+Q62+Q51))</f>
        <v>0</v>
      </c>
      <c r="R70" s="66" t="n">
        <f aca="false">MAX(0,R69-MAX(0,IF(R$46&lt;=$C$41,R50,0)+R62+R51))</f>
        <v>0</v>
      </c>
      <c r="S70" s="66" t="n">
        <f aca="false">MAX(0,S69-MAX(0,IF(S$46&lt;=$C$41,S50,0)+S62+S51))</f>
        <v>0</v>
      </c>
      <c r="T70" s="66" t="n">
        <f aca="false">MAX(0,T69-MAX(0,IF(T$46&lt;=$C$41,T50,0)+T62+T51))</f>
        <v>0</v>
      </c>
      <c r="U70" s="66" t="n">
        <f aca="false">MAX(0,U69-MAX(0,IF(U$46&lt;=$C$41,U50,0)+U62+U51))</f>
        <v>0</v>
      </c>
      <c r="V70" s="66" t="n">
        <f aca="false">MAX(0,V69-MAX(0,IF(V$46&lt;=$C$41,V50,0)+V62+V51))</f>
        <v>0</v>
      </c>
      <c r="W70" s="66" t="n">
        <f aca="false">MAX(0,W69-MAX(0,IF(W$46&lt;=$C$41,W50,0)+W62+W51))</f>
        <v>0</v>
      </c>
      <c r="X70" s="66" t="n">
        <f aca="false">MAX(0,X69-MAX(0,IF(X$46&lt;=$C$41,X50,0)+X62+X51))</f>
        <v>0</v>
      </c>
      <c r="Y70" s="66" t="n">
        <f aca="false">MAX(0,Y69-MAX(0,IF(Y$46&lt;=$C$41,Y50,0)+Y62+Y51))</f>
        <v>0</v>
      </c>
      <c r="Z70" s="66" t="n">
        <f aca="false">MAX(0,Z69-MAX(0,IF(Z$46&lt;=$C$41,Z50,0)+Z62+Z51))</f>
        <v>0</v>
      </c>
      <c r="AA70" s="66" t="n">
        <f aca="false">MAX(0,AA69-MAX(0,IF(AA$46&lt;=$C$41,AA50,0)+AA62+AA51))</f>
        <v>0</v>
      </c>
      <c r="AB70" s="66" t="n">
        <f aca="false">MAX(0,AB69-MAX(0,IF(AB$46&lt;=$C$41,AB50,0)+AB62+AB51))</f>
        <v>0</v>
      </c>
      <c r="AC70" s="66" t="n">
        <f aca="false">MAX(0,AC69-MAX(0,IF(AC$46&lt;=$C$41,AC50,0)+AC62+AC51))</f>
        <v>0</v>
      </c>
      <c r="AD70" s="66" t="n">
        <f aca="false">MAX(0,AD69-MAX(0,IF(AD$46&lt;=$C$41,AD50,0)+AD62+AD51))</f>
        <v>0</v>
      </c>
      <c r="AE70" s="66" t="n">
        <f aca="false">MAX(0,AE69-MAX(0,IF(AE$46&lt;=$C$41,AE50,0)+AE62+AE51))</f>
        <v>0</v>
      </c>
      <c r="AF70" s="66" t="n">
        <f aca="false">MAX(0,AF69-MAX(0,IF(AF$46&lt;=$C$41,AF50,0)+AF62+AF51))</f>
        <v>0</v>
      </c>
      <c r="AG70" s="66" t="n">
        <f aca="false">MAX(0,AG69-MAX(0,IF(AG$46&lt;=$C$41,AG50,0)+AG62+AG51))</f>
        <v>0</v>
      </c>
      <c r="AH70" s="66" t="n">
        <f aca="false">MAX(0,AH69-MAX(0,IF(AH$46&lt;=$C$41,AH50,0)+AH62+AH51))</f>
        <v>0</v>
      </c>
      <c r="AI70" s="66" t="n">
        <f aca="false">MAX(0,AI69-MAX(0,IF(AI$46&lt;=$C$41,AI50,0)+AI62+AI51))</f>
        <v>0</v>
      </c>
      <c r="AJ70" s="66" t="n">
        <f aca="false">MAX(0,AJ69-MAX(0,IF(AJ$46&lt;=$C$41,AJ50,0)+AJ62+AJ51))</f>
        <v>0</v>
      </c>
      <c r="AK70" s="66" t="n">
        <f aca="false">MAX(0,AK69-MAX(0,IF(AK$46&lt;=$C$41,AK50,0)+AK62+AK51))</f>
        <v>0</v>
      </c>
      <c r="AL70" s="66" t="n">
        <f aca="false">MAX(0,AL69-MAX(0,IF(AL$46&lt;=$C$41,AL50,0)+AL62+AL51))</f>
        <v>0</v>
      </c>
      <c r="AM70" s="66" t="n">
        <f aca="false">MAX(0,AM69-MAX(0,IF(AM$46&lt;=$C$41,AM50,0)+AM62+AM51))</f>
        <v>0</v>
      </c>
      <c r="AN70" s="66" t="n">
        <f aca="false">MAX(0,AN69-MAX(0,IF(AN$46&lt;=$C$41,AN50,0)+AN62+AN51))</f>
        <v>0</v>
      </c>
      <c r="AO70" s="66" t="n">
        <f aca="false">MAX(0,AO69-MAX(0,IF(AO$46&lt;=$C$41,AO50,0)+AO62+AO51))</f>
        <v>0</v>
      </c>
      <c r="AP70" s="66" t="n">
        <f aca="false">MAX(0,AP69-MAX(0,IF(AP$46&lt;=$C$41,AP50,0)+AP62+AP51))</f>
        <v>0</v>
      </c>
      <c r="AQ70" s="66" t="n">
        <f aca="false">MAX(0,AQ69-MAX(0,IF(AQ$46&lt;=$C$41,AQ50,0)+AQ62+AQ51))</f>
        <v>0</v>
      </c>
      <c r="AR70" s="66" t="n">
        <f aca="false">MAX(0,AR69-MAX(0,IF(AR$46&lt;=$C$41,AR50,0)+AR62+AR51))</f>
        <v>0</v>
      </c>
      <c r="AS70" s="66" t="n">
        <f aca="false">MAX(0,AS69-MAX(0,IF(AS$46&lt;=$C$41,AS50,0)+AS62+AS51))</f>
        <v>0</v>
      </c>
      <c r="AT70" s="66" t="n">
        <f aca="false">MAX(0,AT69-MAX(0,IF(AT$46&lt;=$C$41,AT50,0)+AT62+AT51))</f>
        <v>0</v>
      </c>
      <c r="AU70" s="66" t="n">
        <f aca="false">MAX(0,AU69-MAX(0,IF(AU$46&lt;=$C$41,AU50,0)+AU62+AU51))</f>
        <v>0</v>
      </c>
      <c r="AV70" s="66" t="n">
        <f aca="false">MAX(0,AV69-MAX(0,IF(AV$46&lt;=$C$41,AV50,0)+AV62+AV51))</f>
        <v>0</v>
      </c>
      <c r="AW70" s="66" t="n">
        <f aca="false">MAX(0,AW69-MAX(0,IF(AW$46&lt;=$C$41,AW50,0)+AW62+AW51))</f>
        <v>0</v>
      </c>
      <c r="AX70" s="66" t="n">
        <f aca="false">MAX(0,AX69-MAX(0,IF(AX$46&lt;=$C$41,AX50,0)+AX62+AX51))</f>
        <v>0</v>
      </c>
      <c r="AY70" s="66" t="n">
        <f aca="false">MAX(0,AY69-MAX(0,IF(AY$46&lt;=$C$41,AY50,0)+AY62+AY51))</f>
        <v>0</v>
      </c>
      <c r="AZ70" s="66" t="n">
        <f aca="false">MAX(0,AZ69-MAX(0,IF(AZ$46&lt;=$C$41,AZ50,0)+AZ62+AZ51))</f>
        <v>0</v>
      </c>
      <c r="BA70" s="66" t="n">
        <f aca="false">MAX(0,BA69-MAX(0,IF(BA$46&lt;=$C$41,BA50,0)+BA62+BA51))</f>
        <v>0</v>
      </c>
      <c r="BB70" s="66" t="n">
        <f aca="false">MAX(0,BB69-MAX(0,IF(BB$46&lt;=$C$41,BB50,0)+BB62+BB51))</f>
        <v>0</v>
      </c>
    </row>
    <row r="71" customFormat="false" ht="15" hidden="false" customHeight="true" outlineLevel="0" collapsed="false">
      <c r="B71" s="59" t="s">
        <v>463</v>
      </c>
      <c r="C71" s="59" t="s">
        <v>11</v>
      </c>
      <c r="D71" s="63" t="n">
        <f aca="false">SUM(E71:BB71)</f>
        <v>863200139.512498</v>
      </c>
      <c r="E71" s="66" t="n">
        <f aca="false">E51</f>
        <v>0</v>
      </c>
      <c r="F71" s="66" t="n">
        <f aca="false">F51</f>
        <v>0</v>
      </c>
      <c r="G71" s="66" t="n">
        <f aca="false">G51</f>
        <v>0</v>
      </c>
      <c r="H71" s="66" t="n">
        <f aca="false">H51</f>
        <v>0</v>
      </c>
      <c r="I71" s="66" t="n">
        <f aca="false">I51</f>
        <v>0</v>
      </c>
      <c r="J71" s="66" t="n">
        <f aca="false">J51</f>
        <v>0</v>
      </c>
      <c r="K71" s="66" t="n">
        <f aca="false">K51</f>
        <v>0</v>
      </c>
      <c r="L71" s="66" t="n">
        <f aca="false">L51</f>
        <v>0</v>
      </c>
      <c r="M71" s="66" t="n">
        <f aca="false">M51</f>
        <v>0</v>
      </c>
      <c r="N71" s="66" t="n">
        <f aca="false">N51</f>
        <v>863200139.512498</v>
      </c>
      <c r="O71" s="66" t="n">
        <f aca="false">O51</f>
        <v>0</v>
      </c>
      <c r="P71" s="66" t="n">
        <f aca="false">P51</f>
        <v>0</v>
      </c>
      <c r="Q71" s="66" t="n">
        <f aca="false">Q51</f>
        <v>0</v>
      </c>
      <c r="R71" s="66" t="n">
        <f aca="false">R51</f>
        <v>0</v>
      </c>
      <c r="S71" s="66" t="n">
        <f aca="false">S51</f>
        <v>0</v>
      </c>
      <c r="T71" s="66" t="n">
        <f aca="false">T51</f>
        <v>0</v>
      </c>
      <c r="U71" s="66" t="n">
        <f aca="false">U51</f>
        <v>0</v>
      </c>
      <c r="V71" s="66" t="n">
        <f aca="false">V51</f>
        <v>0</v>
      </c>
      <c r="W71" s="66" t="n">
        <f aca="false">W51</f>
        <v>0</v>
      </c>
      <c r="X71" s="66" t="n">
        <f aca="false">X51</f>
        <v>0</v>
      </c>
      <c r="Y71" s="66" t="n">
        <f aca="false">Y51</f>
        <v>0</v>
      </c>
      <c r="Z71" s="66" t="n">
        <f aca="false">Z51</f>
        <v>0</v>
      </c>
      <c r="AA71" s="66" t="n">
        <f aca="false">AA51</f>
        <v>0</v>
      </c>
      <c r="AB71" s="66" t="n">
        <f aca="false">AB51</f>
        <v>0</v>
      </c>
      <c r="AC71" s="66" t="n">
        <f aca="false">AC51</f>
        <v>0</v>
      </c>
      <c r="AD71" s="66" t="n">
        <f aca="false">AD51</f>
        <v>0</v>
      </c>
      <c r="AE71" s="66" t="n">
        <f aca="false">AE51</f>
        <v>0</v>
      </c>
      <c r="AF71" s="66" t="n">
        <f aca="false">AF51</f>
        <v>0</v>
      </c>
      <c r="AG71" s="66" t="n">
        <f aca="false">AG51</f>
        <v>0</v>
      </c>
      <c r="AH71" s="66" t="n">
        <f aca="false">AH51</f>
        <v>0</v>
      </c>
      <c r="AI71" s="66" t="n">
        <f aca="false">AI51</f>
        <v>0</v>
      </c>
      <c r="AJ71" s="66" t="n">
        <f aca="false">AJ51</f>
        <v>0</v>
      </c>
      <c r="AK71" s="66" t="n">
        <f aca="false">AK51</f>
        <v>0</v>
      </c>
      <c r="AL71" s="66" t="n">
        <f aca="false">AL51</f>
        <v>0</v>
      </c>
      <c r="AM71" s="66" t="n">
        <f aca="false">AM51</f>
        <v>0</v>
      </c>
      <c r="AN71" s="66" t="n">
        <f aca="false">AN51</f>
        <v>0</v>
      </c>
      <c r="AO71" s="66" t="n">
        <f aca="false">AO51</f>
        <v>0</v>
      </c>
      <c r="AP71" s="66" t="n">
        <f aca="false">AP51</f>
        <v>0</v>
      </c>
      <c r="AQ71" s="66" t="n">
        <f aca="false">AQ51</f>
        <v>0</v>
      </c>
      <c r="AR71" s="66" t="n">
        <f aca="false">AR51</f>
        <v>0</v>
      </c>
      <c r="AS71" s="66" t="n">
        <f aca="false">AS51</f>
        <v>0</v>
      </c>
      <c r="AT71" s="66" t="n">
        <f aca="false">AT51</f>
        <v>0</v>
      </c>
      <c r="AU71" s="66" t="n">
        <f aca="false">AU51</f>
        <v>0</v>
      </c>
      <c r="AV71" s="66" t="n">
        <f aca="false">AV51</f>
        <v>0</v>
      </c>
      <c r="AW71" s="66" t="n">
        <f aca="false">AW51</f>
        <v>0</v>
      </c>
      <c r="AX71" s="66" t="n">
        <f aca="false">AX51</f>
        <v>0</v>
      </c>
      <c r="AY71" s="66" t="n">
        <f aca="false">AY51</f>
        <v>0</v>
      </c>
      <c r="AZ71" s="66" t="n">
        <f aca="false">AZ51</f>
        <v>0</v>
      </c>
      <c r="BA71" s="66" t="n">
        <f aca="false">BA51</f>
        <v>0</v>
      </c>
      <c r="BB71" s="66" t="n">
        <f aca="false">BB51</f>
        <v>0</v>
      </c>
    </row>
    <row r="73" customFormat="false" ht="15" hidden="false" customHeight="true" outlineLevel="0" collapsed="false">
      <c r="A73" s="58" t="s">
        <v>480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customFormat="false" ht="15" hidden="false" customHeight="true" outlineLevel="0" collapsed="false">
      <c r="C74" s="69" t="s">
        <v>262</v>
      </c>
      <c r="D74" s="69" t="s">
        <v>60</v>
      </c>
      <c r="E74" s="70" t="n">
        <f aca="false">E$46</f>
        <v>2026</v>
      </c>
      <c r="F74" s="70" t="n">
        <f aca="false">F$46</f>
        <v>2027</v>
      </c>
      <c r="G74" s="70" t="n">
        <f aca="false">G$46</f>
        <v>2028</v>
      </c>
      <c r="H74" s="70" t="n">
        <f aca="false">H$46</f>
        <v>2029</v>
      </c>
      <c r="I74" s="70" t="n">
        <f aca="false">I$46</f>
        <v>2030</v>
      </c>
      <c r="J74" s="70" t="n">
        <f aca="false">J$46</f>
        <v>2031</v>
      </c>
      <c r="K74" s="70" t="n">
        <f aca="false">K$46</f>
        <v>2032</v>
      </c>
      <c r="L74" s="70" t="n">
        <f aca="false">L$46</f>
        <v>2033</v>
      </c>
      <c r="M74" s="70" t="n">
        <f aca="false">M$46</f>
        <v>2034</v>
      </c>
      <c r="N74" s="70" t="n">
        <f aca="false">N$46</f>
        <v>2035</v>
      </c>
      <c r="O74" s="70" t="n">
        <f aca="false">O$46</f>
        <v>2036</v>
      </c>
      <c r="P74" s="70" t="n">
        <f aca="false">P$46</f>
        <v>2037</v>
      </c>
      <c r="Q74" s="70" t="n">
        <f aca="false">Q$46</f>
        <v>2038</v>
      </c>
      <c r="R74" s="70" t="n">
        <f aca="false">R$46</f>
        <v>2039</v>
      </c>
      <c r="S74" s="70" t="n">
        <f aca="false">S$46</f>
        <v>2040</v>
      </c>
      <c r="T74" s="70" t="n">
        <f aca="false">T$46</f>
        <v>2041</v>
      </c>
      <c r="U74" s="70" t="n">
        <f aca="false">U$46</f>
        <v>2042</v>
      </c>
      <c r="V74" s="70" t="n">
        <f aca="false">V$46</f>
        <v>2043</v>
      </c>
      <c r="W74" s="70" t="n">
        <f aca="false">W$46</f>
        <v>2044</v>
      </c>
      <c r="X74" s="70" t="n">
        <f aca="false">X$46</f>
        <v>2045</v>
      </c>
      <c r="Y74" s="70" t="n">
        <f aca="false">Y$46</f>
        <v>2046</v>
      </c>
      <c r="Z74" s="70" t="n">
        <f aca="false">Z$46</f>
        <v>2047</v>
      </c>
      <c r="AA74" s="70" t="n">
        <f aca="false">AA$46</f>
        <v>2048</v>
      </c>
      <c r="AB74" s="70" t="n">
        <f aca="false">AB$46</f>
        <v>2049</v>
      </c>
      <c r="AC74" s="70" t="n">
        <f aca="false">AC$46</f>
        <v>2050</v>
      </c>
      <c r="AD74" s="70" t="n">
        <f aca="false">AD$46</f>
        <v>2051</v>
      </c>
      <c r="AE74" s="70" t="n">
        <f aca="false">AE$46</f>
        <v>2052</v>
      </c>
      <c r="AF74" s="70" t="n">
        <f aca="false">AF$46</f>
        <v>2053</v>
      </c>
      <c r="AG74" s="70" t="n">
        <f aca="false">AG$46</f>
        <v>2054</v>
      </c>
      <c r="AH74" s="70" t="n">
        <f aca="false">AH$46</f>
        <v>2055</v>
      </c>
      <c r="AI74" s="70" t="n">
        <f aca="false">AI$46</f>
        <v>2056</v>
      </c>
      <c r="AJ74" s="70" t="n">
        <f aca="false">AJ$46</f>
        <v>2057</v>
      </c>
      <c r="AK74" s="70" t="n">
        <f aca="false">AK$46</f>
        <v>2058</v>
      </c>
      <c r="AL74" s="70" t="n">
        <f aca="false">AL$46</f>
        <v>2059</v>
      </c>
      <c r="AM74" s="70" t="n">
        <f aca="false">AM$46</f>
        <v>2060</v>
      </c>
      <c r="AN74" s="70" t="n">
        <f aca="false">AN$46</f>
        <v>2061</v>
      </c>
      <c r="AO74" s="70" t="n">
        <f aca="false">AO$46</f>
        <v>2062</v>
      </c>
      <c r="AP74" s="70" t="n">
        <f aca="false">AP$46</f>
        <v>2063</v>
      </c>
      <c r="AQ74" s="70" t="n">
        <f aca="false">AQ$46</f>
        <v>2064</v>
      </c>
      <c r="AR74" s="70" t="n">
        <f aca="false">AR$46</f>
        <v>2065</v>
      </c>
      <c r="AS74" s="70" t="n">
        <f aca="false">AS$46</f>
        <v>2066</v>
      </c>
      <c r="AT74" s="70" t="n">
        <f aca="false">AT$46</f>
        <v>2067</v>
      </c>
      <c r="AU74" s="70" t="n">
        <f aca="false">AU$46</f>
        <v>2068</v>
      </c>
      <c r="AV74" s="70" t="n">
        <f aca="false">AV$46</f>
        <v>2069</v>
      </c>
      <c r="AW74" s="70" t="n">
        <f aca="false">AW$46</f>
        <v>2070</v>
      </c>
      <c r="AX74" s="70" t="n">
        <f aca="false">AX$46</f>
        <v>2071</v>
      </c>
      <c r="AY74" s="70" t="n">
        <f aca="false">AY$46</f>
        <v>2072</v>
      </c>
      <c r="AZ74" s="70" t="n">
        <f aca="false">AZ$46</f>
        <v>2073</v>
      </c>
      <c r="BA74" s="70" t="n">
        <f aca="false">BA$46</f>
        <v>2074</v>
      </c>
      <c r="BB74" s="70" t="n">
        <f aca="false">BB$46</f>
        <v>2075</v>
      </c>
    </row>
    <row r="75" customFormat="false" ht="15" hidden="false" customHeight="true" outlineLevel="0" collapsed="false">
      <c r="B75" s="59" t="s">
        <v>481</v>
      </c>
      <c r="C75" s="59" t="s">
        <v>11</v>
      </c>
      <c r="D75" s="63" t="n">
        <f aca="false">SUM(E75:BB75)</f>
        <v>845961069.556441</v>
      </c>
      <c r="E75" s="66" t="n">
        <f aca="false">MAX(0,IF(AND(E$46&gt;=$C$9,E$46&lt;=$C$41),E50,0)+E62-E69+E70+E51)</f>
        <v>0</v>
      </c>
      <c r="F75" s="66" t="n">
        <f aca="false">MAX(0,IF(AND(F$46&gt;=$C$9,F$46&lt;=$C$41),F50,0)+F62-F69+F70+F51)</f>
        <v>0</v>
      </c>
      <c r="G75" s="66" t="n">
        <f aca="false">MAX(0,IF(AND(G$46&gt;=$C$9,G$46&lt;=$C$41),G50,0)+G62-G69+G70+G51)</f>
        <v>0</v>
      </c>
      <c r="H75" s="66" t="n">
        <f aca="false">MAX(0,IF(AND(H$46&gt;=$C$9,H$46&lt;=$C$41),H50,0)+H62-H69+H70+H51)</f>
        <v>0</v>
      </c>
      <c r="I75" s="66" t="n">
        <f aca="false">MAX(0,IF(AND(I$46&gt;=$C$9,I$46&lt;=$C$41),I50,0)+I62-I69+I70+I51)</f>
        <v>0</v>
      </c>
      <c r="J75" s="66" t="n">
        <f aca="false">MAX(0,IF(AND(J$46&gt;=$C$9,J$46&lt;=$C$41),J50,0)+J62-J69+J70+J51)</f>
        <v>0</v>
      </c>
      <c r="K75" s="66" t="n">
        <f aca="false">MAX(0,IF(AND(K$46&gt;=$C$9,K$46&lt;=$C$41),K50,0)+K62-K69+K70+K51)</f>
        <v>0</v>
      </c>
      <c r="L75" s="66" t="n">
        <f aca="false">MAX(0,IF(AND(L$46&gt;=$C$9,L$46&lt;=$C$41),L50,0)+L62-L69+L70+L51)</f>
        <v>0</v>
      </c>
      <c r="M75" s="66" t="n">
        <f aca="false">MAX(0,IF(AND(M$46&gt;=$C$9,M$46&lt;=$C$41),M50,0)+M62-M69+M70+M51)</f>
        <v>0</v>
      </c>
      <c r="N75" s="66" t="n">
        <f aca="false">MAX(0,IF(AND(N$46&gt;=$C$9,N$46&lt;=$C$41),N50,0)+N62-N69+N70+N51)</f>
        <v>845961069.556441</v>
      </c>
      <c r="O75" s="66" t="n">
        <f aca="false">MAX(0,IF(AND(O$46&gt;=$C$9,O$46&lt;=$C$41),O50,0)+O62-O69+O70+O51)</f>
        <v>0</v>
      </c>
      <c r="P75" s="66" t="n">
        <f aca="false">MAX(0,IF(AND(P$46&gt;=$C$9,P$46&lt;=$C$41),P50,0)+P62-P69+P70+P51)</f>
        <v>0</v>
      </c>
      <c r="Q75" s="66" t="n">
        <f aca="false">MAX(0,IF(AND(Q$46&gt;=$C$9,Q$46&lt;=$C$41),Q50,0)+Q62-Q69+Q70+Q51)</f>
        <v>0</v>
      </c>
      <c r="R75" s="66" t="n">
        <f aca="false">MAX(0,IF(AND(R$46&gt;=$C$9,R$46&lt;=$C$41),R50,0)+R62-R69+R70+R51)</f>
        <v>0</v>
      </c>
      <c r="S75" s="66" t="n">
        <f aca="false">MAX(0,IF(AND(S$46&gt;=$C$9,S$46&lt;=$C$41),S50,0)+S62-S69+S70+S51)</f>
        <v>0</v>
      </c>
      <c r="T75" s="66" t="n">
        <f aca="false">MAX(0,IF(AND(T$46&gt;=$C$9,T$46&lt;=$C$41),T50,0)+T62-T69+T70+T51)</f>
        <v>0</v>
      </c>
      <c r="U75" s="66" t="n">
        <f aca="false">MAX(0,IF(AND(U$46&gt;=$C$9,U$46&lt;=$C$41),U50,0)+U62-U69+U70+U51)</f>
        <v>0</v>
      </c>
      <c r="V75" s="66" t="n">
        <f aca="false">MAX(0,IF(AND(V$46&gt;=$C$9,V$46&lt;=$C$41),V50,0)+V62-V69+V70+V51)</f>
        <v>0</v>
      </c>
      <c r="W75" s="66" t="n">
        <f aca="false">MAX(0,IF(AND(W$46&gt;=$C$9,W$46&lt;=$C$41),W50,0)+W62-W69+W70+W51)</f>
        <v>0</v>
      </c>
      <c r="X75" s="66" t="n">
        <f aca="false">MAX(0,IF(AND(X$46&gt;=$C$9,X$46&lt;=$C$41),X50,0)+X62-X69+X70+X51)</f>
        <v>0</v>
      </c>
      <c r="Y75" s="66" t="n">
        <f aca="false">MAX(0,IF(AND(Y$46&gt;=$C$9,Y$46&lt;=$C$41),Y50,0)+Y62-Y69+Y70+Y51)</f>
        <v>0</v>
      </c>
      <c r="Z75" s="66" t="n">
        <f aca="false">MAX(0,IF(AND(Z$46&gt;=$C$9,Z$46&lt;=$C$41),Z50,0)+Z62-Z69+Z70+Z51)</f>
        <v>0</v>
      </c>
      <c r="AA75" s="66" t="n">
        <f aca="false">MAX(0,IF(AND(AA$46&gt;=$C$9,AA$46&lt;=$C$41),AA50,0)+AA62-AA69+AA70+AA51)</f>
        <v>0</v>
      </c>
      <c r="AB75" s="66" t="n">
        <f aca="false">MAX(0,IF(AND(AB$46&gt;=$C$9,AB$46&lt;=$C$41),AB50,0)+AB62-AB69+AB70+AB51)</f>
        <v>0</v>
      </c>
      <c r="AC75" s="66" t="n">
        <f aca="false">MAX(0,IF(AND(AC$46&gt;=$C$9,AC$46&lt;=$C$41),AC50,0)+AC62-AC69+AC70+AC51)</f>
        <v>0</v>
      </c>
      <c r="AD75" s="66" t="n">
        <f aca="false">MAX(0,IF(AND(AD$46&gt;=$C$9,AD$46&lt;=$C$41),AD50,0)+AD62-AD69+AD70+AD51)</f>
        <v>0</v>
      </c>
      <c r="AE75" s="66" t="n">
        <f aca="false">MAX(0,IF(AND(AE$46&gt;=$C$9,AE$46&lt;=$C$41),AE50,0)+AE62-AE69+AE70+AE51)</f>
        <v>0</v>
      </c>
      <c r="AF75" s="66" t="n">
        <f aca="false">MAX(0,IF(AND(AF$46&gt;=$C$9,AF$46&lt;=$C$41),AF50,0)+AF62-AF69+AF70+AF51)</f>
        <v>0</v>
      </c>
      <c r="AG75" s="66" t="n">
        <f aca="false">MAX(0,IF(AND(AG$46&gt;=$C$9,AG$46&lt;=$C$41),AG50,0)+AG62-AG69+AG70+AG51)</f>
        <v>0</v>
      </c>
      <c r="AH75" s="66" t="n">
        <f aca="false">MAX(0,IF(AND(AH$46&gt;=$C$9,AH$46&lt;=$C$41),AH50,0)+AH62-AH69+AH70+AH51)</f>
        <v>0</v>
      </c>
      <c r="AI75" s="66" t="n">
        <f aca="false">MAX(0,IF(AND(AI$46&gt;=$C$9,AI$46&lt;=$C$41),AI50,0)+AI62-AI69+AI70+AI51)</f>
        <v>0</v>
      </c>
      <c r="AJ75" s="66" t="n">
        <f aca="false">MAX(0,IF(AND(AJ$46&gt;=$C$9,AJ$46&lt;=$C$41),AJ50,0)+AJ62-AJ69+AJ70+AJ51)</f>
        <v>0</v>
      </c>
      <c r="AK75" s="66" t="n">
        <f aca="false">MAX(0,IF(AND(AK$46&gt;=$C$9,AK$46&lt;=$C$41),AK50,0)+AK62-AK69+AK70+AK51)</f>
        <v>0</v>
      </c>
      <c r="AL75" s="66" t="n">
        <f aca="false">MAX(0,IF(AND(AL$46&gt;=$C$9,AL$46&lt;=$C$41),AL50,0)+AL62-AL69+AL70+AL51)</f>
        <v>0</v>
      </c>
      <c r="AM75" s="66" t="n">
        <f aca="false">MAX(0,IF(AND(AM$46&gt;=$C$9,AM$46&lt;=$C$41),AM50,0)+AM62-AM69+AM70+AM51)</f>
        <v>0</v>
      </c>
      <c r="AN75" s="66" t="n">
        <f aca="false">MAX(0,IF(AND(AN$46&gt;=$C$9,AN$46&lt;=$C$41),AN50,0)+AN62-AN69+AN70+AN51)</f>
        <v>0</v>
      </c>
      <c r="AO75" s="66" t="n">
        <f aca="false">MAX(0,IF(AND(AO$46&gt;=$C$9,AO$46&lt;=$C$41),AO50,0)+AO62-AO69+AO70+AO51)</f>
        <v>0</v>
      </c>
      <c r="AP75" s="66" t="n">
        <f aca="false">MAX(0,IF(AND(AP$46&gt;=$C$9,AP$46&lt;=$C$41),AP50,0)+AP62-AP69+AP70+AP51)</f>
        <v>0</v>
      </c>
      <c r="AQ75" s="66" t="n">
        <f aca="false">MAX(0,IF(AND(AQ$46&gt;=$C$9,AQ$46&lt;=$C$41),AQ50,0)+AQ62-AQ69+AQ70+AQ51)</f>
        <v>0</v>
      </c>
      <c r="AR75" s="66" t="n">
        <f aca="false">MAX(0,IF(AND(AR$46&gt;=$C$9,AR$46&lt;=$C$41),AR50,0)+AR62-AR69+AR70+AR51)</f>
        <v>0</v>
      </c>
      <c r="AS75" s="66" t="n">
        <f aca="false">MAX(0,IF(AND(AS$46&gt;=$C$9,AS$46&lt;=$C$41),AS50,0)+AS62-AS69+AS70+AS51)</f>
        <v>0</v>
      </c>
      <c r="AT75" s="66" t="n">
        <f aca="false">MAX(0,IF(AND(AT$46&gt;=$C$9,AT$46&lt;=$C$41),AT50,0)+AT62-AT69+AT70+AT51)</f>
        <v>0</v>
      </c>
      <c r="AU75" s="66" t="n">
        <f aca="false">MAX(0,IF(AND(AU$46&gt;=$C$9,AU$46&lt;=$C$41),AU50,0)+AU62-AU69+AU70+AU51)</f>
        <v>0</v>
      </c>
      <c r="AV75" s="66" t="n">
        <f aca="false">MAX(0,IF(AND(AV$46&gt;=$C$9,AV$46&lt;=$C$41),AV50,0)+AV62-AV69+AV70+AV51)</f>
        <v>0</v>
      </c>
      <c r="AW75" s="66" t="n">
        <f aca="false">MAX(0,IF(AND(AW$46&gt;=$C$9,AW$46&lt;=$C$41),AW50,0)+AW62-AW69+AW70+AW51)</f>
        <v>0</v>
      </c>
      <c r="AX75" s="66" t="n">
        <f aca="false">MAX(0,IF(AND(AX$46&gt;=$C$9,AX$46&lt;=$C$41),AX50,0)+AX62-AX69+AX70+AX51)</f>
        <v>0</v>
      </c>
      <c r="AY75" s="66" t="n">
        <f aca="false">MAX(0,IF(AND(AY$46&gt;=$C$9,AY$46&lt;=$C$41),AY50,0)+AY62-AY69+AY70+AY51)</f>
        <v>0</v>
      </c>
      <c r="AZ75" s="66" t="n">
        <f aca="false">MAX(0,IF(AND(AZ$46&gt;=$C$9,AZ$46&lt;=$C$41),AZ50,0)+AZ62-AZ69+AZ70+AZ51)</f>
        <v>0</v>
      </c>
      <c r="BA75" s="66" t="n">
        <f aca="false">MAX(0,IF(AND(BA$46&gt;=$C$9,BA$46&lt;=$C$41),BA50,0)+BA62-BA69+BA70+BA51)</f>
        <v>0</v>
      </c>
      <c r="BB75" s="66" t="n">
        <f aca="false">MAX(0,IF(AND(BB$46&gt;=$C$9,BB$46&lt;=$C$41),BB50,0)+BB62-BB69+BB70+BB51)</f>
        <v>0</v>
      </c>
    </row>
    <row r="77" customFormat="false" ht="15" hidden="false" customHeight="true" outlineLevel="0" collapsed="false">
      <c r="B77" s="59" t="s">
        <v>482</v>
      </c>
      <c r="C77" s="59" t="s">
        <v>11</v>
      </c>
      <c r="E77" s="66" t="n">
        <f aca="false">E56</f>
        <v>0</v>
      </c>
      <c r="F77" s="66" t="n">
        <f aca="false">E79+F56</f>
        <v>0</v>
      </c>
      <c r="G77" s="66" t="n">
        <f aca="false">F79+G56</f>
        <v>0</v>
      </c>
      <c r="H77" s="66" t="n">
        <f aca="false">G79+H56</f>
        <v>8086456.05227807</v>
      </c>
      <c r="I77" s="66" t="n">
        <f aca="false">H79+I56</f>
        <v>111540093.835274</v>
      </c>
      <c r="J77" s="66" t="n">
        <f aca="false">I79+J56</f>
        <v>197969082.172016</v>
      </c>
      <c r="K77" s="66" t="n">
        <f aca="false">J79+K56</f>
        <v>238911289.118634</v>
      </c>
      <c r="L77" s="66" t="n">
        <f aca="false">K79+L56</f>
        <v>243233443.214477</v>
      </c>
      <c r="M77" s="66" t="n">
        <f aca="false">L79+M56</f>
        <v>247555597.310319</v>
      </c>
      <c r="N77" s="66" t="n">
        <f aca="false">M79+N56</f>
        <v>247555597.310319</v>
      </c>
      <c r="O77" s="66" t="n">
        <f aca="false">N79+O56</f>
        <v>0</v>
      </c>
      <c r="P77" s="66" t="n">
        <f aca="false">O79+P56</f>
        <v>0</v>
      </c>
      <c r="Q77" s="66" t="n">
        <f aca="false">P79+Q56</f>
        <v>0</v>
      </c>
      <c r="R77" s="66" t="n">
        <f aca="false">Q79+R56</f>
        <v>0</v>
      </c>
      <c r="S77" s="66" t="n">
        <f aca="false">R79+S56</f>
        <v>0</v>
      </c>
      <c r="T77" s="66" t="n">
        <f aca="false">S79+T56</f>
        <v>0</v>
      </c>
      <c r="U77" s="66" t="n">
        <f aca="false">T79+U56</f>
        <v>0</v>
      </c>
      <c r="V77" s="66" t="n">
        <f aca="false">U79+V56</f>
        <v>0</v>
      </c>
      <c r="W77" s="66" t="n">
        <f aca="false">V79+W56</f>
        <v>0</v>
      </c>
      <c r="X77" s="66" t="n">
        <f aca="false">W79+X56</f>
        <v>0</v>
      </c>
      <c r="Y77" s="66" t="n">
        <f aca="false">X79+Y56</f>
        <v>0</v>
      </c>
      <c r="Z77" s="66" t="n">
        <f aca="false">Y79+Z56</f>
        <v>0</v>
      </c>
      <c r="AA77" s="66" t="n">
        <f aca="false">Z79+AA56</f>
        <v>0</v>
      </c>
      <c r="AB77" s="66" t="n">
        <f aca="false">AA79+AB56</f>
        <v>0</v>
      </c>
      <c r="AC77" s="66" t="n">
        <f aca="false">AB79+AC56</f>
        <v>0</v>
      </c>
      <c r="AD77" s="66" t="n">
        <f aca="false">AC79+AD56</f>
        <v>0</v>
      </c>
      <c r="AE77" s="66" t="n">
        <f aca="false">AD79+AE56</f>
        <v>0</v>
      </c>
      <c r="AF77" s="66" t="n">
        <f aca="false">AE79+AF56</f>
        <v>0</v>
      </c>
      <c r="AG77" s="66" t="n">
        <f aca="false">AF79+AG56</f>
        <v>0</v>
      </c>
      <c r="AH77" s="66" t="n">
        <f aca="false">AG79+AH56</f>
        <v>0</v>
      </c>
      <c r="AI77" s="66" t="n">
        <f aca="false">AH79+AI56</f>
        <v>0</v>
      </c>
      <c r="AJ77" s="66" t="n">
        <f aca="false">AI79+AJ56</f>
        <v>0</v>
      </c>
      <c r="AK77" s="66" t="n">
        <f aca="false">AJ79+AK56</f>
        <v>0</v>
      </c>
      <c r="AL77" s="66" t="n">
        <f aca="false">AK79+AL56</f>
        <v>0</v>
      </c>
      <c r="AM77" s="66" t="n">
        <f aca="false">AL79+AM56</f>
        <v>0</v>
      </c>
      <c r="AN77" s="66" t="n">
        <f aca="false">AM79+AN56</f>
        <v>0</v>
      </c>
      <c r="AO77" s="66" t="n">
        <f aca="false">AN79+AO56</f>
        <v>0</v>
      </c>
      <c r="AP77" s="66" t="n">
        <f aca="false">AO79+AP56</f>
        <v>0</v>
      </c>
      <c r="AQ77" s="66" t="n">
        <f aca="false">AP79+AQ56</f>
        <v>0</v>
      </c>
      <c r="AR77" s="66" t="n">
        <f aca="false">AQ79+AR56</f>
        <v>0</v>
      </c>
      <c r="AS77" s="66" t="n">
        <f aca="false">AR79+AS56</f>
        <v>0</v>
      </c>
      <c r="AT77" s="66" t="n">
        <f aca="false">AS79+AT56</f>
        <v>0</v>
      </c>
      <c r="AU77" s="66" t="n">
        <f aca="false">AT79+AU56</f>
        <v>0</v>
      </c>
      <c r="AV77" s="66" t="n">
        <f aca="false">AU79+AV56</f>
        <v>0</v>
      </c>
      <c r="AW77" s="66" t="n">
        <f aca="false">AV79+AW56</f>
        <v>0</v>
      </c>
      <c r="AX77" s="66" t="n">
        <f aca="false">AW79+AX56</f>
        <v>0</v>
      </c>
      <c r="AY77" s="66" t="n">
        <f aca="false">AX79+AY56</f>
        <v>0</v>
      </c>
      <c r="AZ77" s="66" t="n">
        <f aca="false">AY79+AZ56</f>
        <v>0</v>
      </c>
      <c r="BA77" s="66" t="n">
        <f aca="false">AZ79+BA56</f>
        <v>0</v>
      </c>
      <c r="BB77" s="66" t="n">
        <f aca="false">BA79+BB56</f>
        <v>0</v>
      </c>
    </row>
    <row r="78" customFormat="false" ht="15" hidden="false" customHeight="true" outlineLevel="0" collapsed="false">
      <c r="B78" s="59" t="s">
        <v>483</v>
      </c>
      <c r="C78" s="59" t="s">
        <v>11</v>
      </c>
      <c r="D78" s="63" t="n">
        <f aca="false">SUM(E78:BB78)</f>
        <v>247555597.310319</v>
      </c>
      <c r="E78" s="66" t="n">
        <f aca="false">MIN(E75,E77)</f>
        <v>0</v>
      </c>
      <c r="F78" s="66" t="n">
        <f aca="false">MIN(F75,F77)</f>
        <v>0</v>
      </c>
      <c r="G78" s="66" t="n">
        <f aca="false">MIN(G75,G77)</f>
        <v>0</v>
      </c>
      <c r="H78" s="66" t="n">
        <f aca="false">MIN(H75,H77)</f>
        <v>0</v>
      </c>
      <c r="I78" s="66" t="n">
        <f aca="false">MIN(I75,I77)</f>
        <v>0</v>
      </c>
      <c r="J78" s="66" t="n">
        <f aca="false">MIN(J75,J77)</f>
        <v>0</v>
      </c>
      <c r="K78" s="66" t="n">
        <f aca="false">MIN(K75,K77)</f>
        <v>0</v>
      </c>
      <c r="L78" s="66" t="n">
        <f aca="false">MIN(L75,L77)</f>
        <v>0</v>
      </c>
      <c r="M78" s="66" t="n">
        <f aca="false">MIN(M75,M77)</f>
        <v>0</v>
      </c>
      <c r="N78" s="66" t="n">
        <f aca="false">MIN(N75,N77)</f>
        <v>247555597.310319</v>
      </c>
      <c r="O78" s="66" t="n">
        <f aca="false">MIN(O75,O77)</f>
        <v>0</v>
      </c>
      <c r="P78" s="66" t="n">
        <f aca="false">MIN(P75,P77)</f>
        <v>0</v>
      </c>
      <c r="Q78" s="66" t="n">
        <f aca="false">MIN(Q75,Q77)</f>
        <v>0</v>
      </c>
      <c r="R78" s="66" t="n">
        <f aca="false">MIN(R75,R77)</f>
        <v>0</v>
      </c>
      <c r="S78" s="66" t="n">
        <f aca="false">MIN(S75,S77)</f>
        <v>0</v>
      </c>
      <c r="T78" s="66" t="n">
        <f aca="false">MIN(T75,T77)</f>
        <v>0</v>
      </c>
      <c r="U78" s="66" t="n">
        <f aca="false">MIN(U75,U77)</f>
        <v>0</v>
      </c>
      <c r="V78" s="66" t="n">
        <f aca="false">MIN(V75,V77)</f>
        <v>0</v>
      </c>
      <c r="W78" s="66" t="n">
        <f aca="false">MIN(W75,W77)</f>
        <v>0</v>
      </c>
      <c r="X78" s="66" t="n">
        <f aca="false">MIN(X75,X77)</f>
        <v>0</v>
      </c>
      <c r="Y78" s="66" t="n">
        <f aca="false">MIN(Y75,Y77)</f>
        <v>0</v>
      </c>
      <c r="Z78" s="66" t="n">
        <f aca="false">MIN(Z75,Z77)</f>
        <v>0</v>
      </c>
      <c r="AA78" s="66" t="n">
        <f aca="false">MIN(AA75,AA77)</f>
        <v>0</v>
      </c>
      <c r="AB78" s="66" t="n">
        <f aca="false">MIN(AB75,AB77)</f>
        <v>0</v>
      </c>
      <c r="AC78" s="66" t="n">
        <f aca="false">MIN(AC75,AC77)</f>
        <v>0</v>
      </c>
      <c r="AD78" s="66" t="n">
        <f aca="false">MIN(AD75,AD77)</f>
        <v>0</v>
      </c>
      <c r="AE78" s="66" t="n">
        <f aca="false">MIN(AE75,AE77)</f>
        <v>0</v>
      </c>
      <c r="AF78" s="66" t="n">
        <f aca="false">MIN(AF75,AF77)</f>
        <v>0</v>
      </c>
      <c r="AG78" s="66" t="n">
        <f aca="false">MIN(AG75,AG77)</f>
        <v>0</v>
      </c>
      <c r="AH78" s="66" t="n">
        <f aca="false">MIN(AH75,AH77)</f>
        <v>0</v>
      </c>
      <c r="AI78" s="66" t="n">
        <f aca="false">MIN(AI75,AI77)</f>
        <v>0</v>
      </c>
      <c r="AJ78" s="66" t="n">
        <f aca="false">MIN(AJ75,AJ77)</f>
        <v>0</v>
      </c>
      <c r="AK78" s="66" t="n">
        <f aca="false">MIN(AK75,AK77)</f>
        <v>0</v>
      </c>
      <c r="AL78" s="66" t="n">
        <f aca="false">MIN(AL75,AL77)</f>
        <v>0</v>
      </c>
      <c r="AM78" s="66" t="n">
        <f aca="false">MIN(AM75,AM77)</f>
        <v>0</v>
      </c>
      <c r="AN78" s="66" t="n">
        <f aca="false">MIN(AN75,AN77)</f>
        <v>0</v>
      </c>
      <c r="AO78" s="66" t="n">
        <f aca="false">MIN(AO75,AO77)</f>
        <v>0</v>
      </c>
      <c r="AP78" s="66" t="n">
        <f aca="false">MIN(AP75,AP77)</f>
        <v>0</v>
      </c>
      <c r="AQ78" s="66" t="n">
        <f aca="false">MIN(AQ75,AQ77)</f>
        <v>0</v>
      </c>
      <c r="AR78" s="66" t="n">
        <f aca="false">MIN(AR75,AR77)</f>
        <v>0</v>
      </c>
      <c r="AS78" s="66" t="n">
        <f aca="false">MIN(AS75,AS77)</f>
        <v>0</v>
      </c>
      <c r="AT78" s="66" t="n">
        <f aca="false">MIN(AT75,AT77)</f>
        <v>0</v>
      </c>
      <c r="AU78" s="66" t="n">
        <f aca="false">MIN(AU75,AU77)</f>
        <v>0</v>
      </c>
      <c r="AV78" s="66" t="n">
        <f aca="false">MIN(AV75,AV77)</f>
        <v>0</v>
      </c>
      <c r="AW78" s="66" t="n">
        <f aca="false">MIN(AW75,AW77)</f>
        <v>0</v>
      </c>
      <c r="AX78" s="66" t="n">
        <f aca="false">MIN(AX75,AX77)</f>
        <v>0</v>
      </c>
      <c r="AY78" s="66" t="n">
        <f aca="false">MIN(AY75,AY77)</f>
        <v>0</v>
      </c>
      <c r="AZ78" s="66" t="n">
        <f aca="false">MIN(AZ75,AZ77)</f>
        <v>0</v>
      </c>
      <c r="BA78" s="66" t="n">
        <f aca="false">MIN(BA75,BA77)</f>
        <v>0</v>
      </c>
      <c r="BB78" s="66" t="n">
        <f aca="false">MIN(BB75,BB77)</f>
        <v>0</v>
      </c>
    </row>
    <row r="79" customFormat="false" ht="15" hidden="false" customHeight="true" outlineLevel="0" collapsed="false">
      <c r="B79" s="59" t="s">
        <v>484</v>
      </c>
      <c r="C79" s="59" t="s">
        <v>11</v>
      </c>
      <c r="E79" s="66" t="n">
        <f aca="false">E77-E78</f>
        <v>0</v>
      </c>
      <c r="F79" s="66" t="n">
        <f aca="false">F77-F78</f>
        <v>0</v>
      </c>
      <c r="G79" s="66" t="n">
        <f aca="false">G77-G78</f>
        <v>0</v>
      </c>
      <c r="H79" s="66" t="n">
        <f aca="false">H77-H78</f>
        <v>8086456.05227807</v>
      </c>
      <c r="I79" s="66" t="n">
        <f aca="false">I77-I78</f>
        <v>111540093.835274</v>
      </c>
      <c r="J79" s="66" t="n">
        <f aca="false">J77-J78</f>
        <v>197969082.172016</v>
      </c>
      <c r="K79" s="66" t="n">
        <f aca="false">K77-K78</f>
        <v>238911289.118634</v>
      </c>
      <c r="L79" s="66" t="n">
        <f aca="false">L77-L78</f>
        <v>243233443.214477</v>
      </c>
      <c r="M79" s="66" t="n">
        <f aca="false">M77-M78</f>
        <v>247555597.310319</v>
      </c>
      <c r="N79" s="66" t="n">
        <f aca="false">N77-N78</f>
        <v>0</v>
      </c>
      <c r="O79" s="66" t="n">
        <f aca="false">O77-O78</f>
        <v>0</v>
      </c>
      <c r="P79" s="66" t="n">
        <f aca="false">P77-P78</f>
        <v>0</v>
      </c>
      <c r="Q79" s="66" t="n">
        <f aca="false">Q77-Q78</f>
        <v>0</v>
      </c>
      <c r="R79" s="66" t="n">
        <f aca="false">R77-R78</f>
        <v>0</v>
      </c>
      <c r="S79" s="66" t="n">
        <f aca="false">S77-S78</f>
        <v>0</v>
      </c>
      <c r="T79" s="66" t="n">
        <f aca="false">T77-T78</f>
        <v>0</v>
      </c>
      <c r="U79" s="66" t="n">
        <f aca="false">U77-U78</f>
        <v>0</v>
      </c>
      <c r="V79" s="66" t="n">
        <f aca="false">V77-V78</f>
        <v>0</v>
      </c>
      <c r="W79" s="66" t="n">
        <f aca="false">W77-W78</f>
        <v>0</v>
      </c>
      <c r="X79" s="66" t="n">
        <f aca="false">X77-X78</f>
        <v>0</v>
      </c>
      <c r="Y79" s="66" t="n">
        <f aca="false">Y77-Y78</f>
        <v>0</v>
      </c>
      <c r="Z79" s="66" t="n">
        <f aca="false">Z77-Z78</f>
        <v>0</v>
      </c>
      <c r="AA79" s="66" t="n">
        <f aca="false">AA77-AA78</f>
        <v>0</v>
      </c>
      <c r="AB79" s="66" t="n">
        <f aca="false">AB77-AB78</f>
        <v>0</v>
      </c>
      <c r="AC79" s="66" t="n">
        <f aca="false">AC77-AC78</f>
        <v>0</v>
      </c>
      <c r="AD79" s="66" t="n">
        <f aca="false">AD77-AD78</f>
        <v>0</v>
      </c>
      <c r="AE79" s="66" t="n">
        <f aca="false">AE77-AE78</f>
        <v>0</v>
      </c>
      <c r="AF79" s="66" t="n">
        <f aca="false">AF77-AF78</f>
        <v>0</v>
      </c>
      <c r="AG79" s="66" t="n">
        <f aca="false">AG77-AG78</f>
        <v>0</v>
      </c>
      <c r="AH79" s="66" t="n">
        <f aca="false">AH77-AH78</f>
        <v>0</v>
      </c>
      <c r="AI79" s="66" t="n">
        <f aca="false">AI77-AI78</f>
        <v>0</v>
      </c>
      <c r="AJ79" s="66" t="n">
        <f aca="false">AJ77-AJ78</f>
        <v>0</v>
      </c>
      <c r="AK79" s="66" t="n">
        <f aca="false">AK77-AK78</f>
        <v>0</v>
      </c>
      <c r="AL79" s="66" t="n">
        <f aca="false">AL77-AL78</f>
        <v>0</v>
      </c>
      <c r="AM79" s="66" t="n">
        <f aca="false">AM77-AM78</f>
        <v>0</v>
      </c>
      <c r="AN79" s="66" t="n">
        <f aca="false">AN77-AN78</f>
        <v>0</v>
      </c>
      <c r="AO79" s="66" t="n">
        <f aca="false">AO77-AO78</f>
        <v>0</v>
      </c>
      <c r="AP79" s="66" t="n">
        <f aca="false">AP77-AP78</f>
        <v>0</v>
      </c>
      <c r="AQ79" s="66" t="n">
        <f aca="false">AQ77-AQ78</f>
        <v>0</v>
      </c>
      <c r="AR79" s="66" t="n">
        <f aca="false">AR77-AR78</f>
        <v>0</v>
      </c>
      <c r="AS79" s="66" t="n">
        <f aca="false">AS77-AS78</f>
        <v>0</v>
      </c>
      <c r="AT79" s="66" t="n">
        <f aca="false">AT77-AT78</f>
        <v>0</v>
      </c>
      <c r="AU79" s="66" t="n">
        <f aca="false">AU77-AU78</f>
        <v>0</v>
      </c>
      <c r="AV79" s="66" t="n">
        <f aca="false">AV77-AV78</f>
        <v>0</v>
      </c>
      <c r="AW79" s="66" t="n">
        <f aca="false">AW77-AW78</f>
        <v>0</v>
      </c>
      <c r="AX79" s="66" t="n">
        <f aca="false">AX77-AX78</f>
        <v>0</v>
      </c>
      <c r="AY79" s="66" t="n">
        <f aca="false">AY77-AY78</f>
        <v>0</v>
      </c>
      <c r="AZ79" s="66" t="n">
        <f aca="false">AZ77-AZ78</f>
        <v>0</v>
      </c>
      <c r="BA79" s="66" t="n">
        <f aca="false">BA77-BA78</f>
        <v>0</v>
      </c>
      <c r="BB79" s="66" t="n">
        <f aca="false">BB77-BB78</f>
        <v>0</v>
      </c>
    </row>
    <row r="81" customFormat="false" ht="15" hidden="false" customHeight="true" outlineLevel="0" collapsed="false">
      <c r="B81" s="59" t="s">
        <v>485</v>
      </c>
      <c r="C81" s="59" t="s">
        <v>11</v>
      </c>
      <c r="D81" s="66" t="n">
        <f aca="false">SUM(E81:BB81)</f>
        <v>194227733.851998</v>
      </c>
      <c r="E81" s="66" t="n">
        <f aca="false">E77*$C$36</f>
        <v>0</v>
      </c>
      <c r="F81" s="66" t="n">
        <f aca="false">F77*$C$36</f>
        <v>0</v>
      </c>
      <c r="G81" s="66" t="n">
        <f aca="false">G77*$C$36</f>
        <v>0</v>
      </c>
      <c r="H81" s="66" t="n">
        <f aca="false">H77*$C$36</f>
        <v>1212968.40784171</v>
      </c>
      <c r="I81" s="66" t="n">
        <f aca="false">I77*$C$36</f>
        <v>16731014.0752911</v>
      </c>
      <c r="J81" s="66" t="n">
        <f aca="false">J77*$C$36</f>
        <v>29695362.3258023</v>
      </c>
      <c r="K81" s="66" t="n">
        <f aca="false">K77*$C$36</f>
        <v>35836693.367795</v>
      </c>
      <c r="L81" s="66" t="n">
        <f aca="false">L77*$C$36</f>
        <v>36485016.4821715</v>
      </c>
      <c r="M81" s="66" t="n">
        <f aca="false">M77*$C$36</f>
        <v>37133339.5965479</v>
      </c>
      <c r="N81" s="66" t="n">
        <f aca="false">N77*$C$36</f>
        <v>37133339.5965479</v>
      </c>
      <c r="O81" s="66" t="n">
        <f aca="false">O77*$C$36</f>
        <v>0</v>
      </c>
      <c r="P81" s="66" t="n">
        <f aca="false">P77*$C$36</f>
        <v>0</v>
      </c>
      <c r="Q81" s="66" t="n">
        <f aca="false">Q77*$C$36</f>
        <v>0</v>
      </c>
      <c r="R81" s="66" t="n">
        <f aca="false">R77*$C$36</f>
        <v>0</v>
      </c>
      <c r="S81" s="66" t="n">
        <f aca="false">S77*$C$36</f>
        <v>0</v>
      </c>
      <c r="T81" s="66" t="n">
        <f aca="false">T77*$C$36</f>
        <v>0</v>
      </c>
      <c r="U81" s="66" t="n">
        <f aca="false">U77*$C$36</f>
        <v>0</v>
      </c>
      <c r="V81" s="66" t="n">
        <f aca="false">V77*$C$36</f>
        <v>0</v>
      </c>
      <c r="W81" s="66" t="n">
        <f aca="false">W77*$C$36</f>
        <v>0</v>
      </c>
      <c r="X81" s="66" t="n">
        <f aca="false">X77*$C$36</f>
        <v>0</v>
      </c>
      <c r="Y81" s="66" t="n">
        <f aca="false">Y77*$C$36</f>
        <v>0</v>
      </c>
      <c r="Z81" s="66" t="n">
        <f aca="false">Z77*$C$36</f>
        <v>0</v>
      </c>
      <c r="AA81" s="66" t="n">
        <f aca="false">AA77*$C$36</f>
        <v>0</v>
      </c>
      <c r="AB81" s="66" t="n">
        <f aca="false">AB77*$C$36</f>
        <v>0</v>
      </c>
      <c r="AC81" s="66" t="n">
        <f aca="false">AC77*$C$36</f>
        <v>0</v>
      </c>
      <c r="AD81" s="66" t="n">
        <f aca="false">AD77*$C$36</f>
        <v>0</v>
      </c>
      <c r="AE81" s="66" t="n">
        <f aca="false">AE77*$C$36</f>
        <v>0</v>
      </c>
      <c r="AF81" s="66" t="n">
        <f aca="false">AF77*$C$36</f>
        <v>0</v>
      </c>
      <c r="AG81" s="66" t="n">
        <f aca="false">AG77*$C$36</f>
        <v>0</v>
      </c>
      <c r="AH81" s="66" t="n">
        <f aca="false">AH77*$C$36</f>
        <v>0</v>
      </c>
      <c r="AI81" s="66" t="n">
        <f aca="false">AI77*$C$36</f>
        <v>0</v>
      </c>
      <c r="AJ81" s="66" t="n">
        <f aca="false">AJ77*$C$36</f>
        <v>0</v>
      </c>
      <c r="AK81" s="66" t="n">
        <f aca="false">AK77*$C$36</f>
        <v>0</v>
      </c>
      <c r="AL81" s="66" t="n">
        <f aca="false">AL77*$C$36</f>
        <v>0</v>
      </c>
      <c r="AM81" s="66" t="n">
        <f aca="false">AM77*$C$36</f>
        <v>0</v>
      </c>
      <c r="AN81" s="66" t="n">
        <f aca="false">AN77*$C$36</f>
        <v>0</v>
      </c>
      <c r="AO81" s="66" t="n">
        <f aca="false">AO77*$C$36</f>
        <v>0</v>
      </c>
      <c r="AP81" s="66" t="n">
        <f aca="false">AP77*$C$36</f>
        <v>0</v>
      </c>
      <c r="AQ81" s="66" t="n">
        <f aca="false">AQ77*$C$36</f>
        <v>0</v>
      </c>
      <c r="AR81" s="66" t="n">
        <f aca="false">AR77*$C$36</f>
        <v>0</v>
      </c>
      <c r="AS81" s="66" t="n">
        <f aca="false">AS77*$C$36</f>
        <v>0</v>
      </c>
      <c r="AT81" s="66" t="n">
        <f aca="false">AT77*$C$36</f>
        <v>0</v>
      </c>
      <c r="AU81" s="66" t="n">
        <f aca="false">AU77*$C$36</f>
        <v>0</v>
      </c>
      <c r="AV81" s="66" t="n">
        <f aca="false">AV77*$C$36</f>
        <v>0</v>
      </c>
      <c r="AW81" s="66" t="n">
        <f aca="false">AW77*$C$36</f>
        <v>0</v>
      </c>
      <c r="AX81" s="66" t="n">
        <f aca="false">AX77*$C$36</f>
        <v>0</v>
      </c>
      <c r="AY81" s="66" t="n">
        <f aca="false">AY77*$C$36</f>
        <v>0</v>
      </c>
      <c r="AZ81" s="66" t="n">
        <f aca="false">AZ77*$C$36</f>
        <v>0</v>
      </c>
      <c r="BA81" s="66" t="n">
        <f aca="false">BA77*$C$36</f>
        <v>0</v>
      </c>
      <c r="BB81" s="66" t="n">
        <f aca="false">BB77*$C$36</f>
        <v>0</v>
      </c>
    </row>
    <row r="82" customFormat="false" ht="15" hidden="false" customHeight="true" outlineLevel="0" collapsed="false">
      <c r="B82" s="59" t="s">
        <v>486</v>
      </c>
      <c r="C82" s="59" t="s">
        <v>11</v>
      </c>
      <c r="E82" s="66" t="n">
        <f aca="false">0</f>
        <v>0</v>
      </c>
      <c r="F82" s="66" t="n">
        <f aca="false">E85</f>
        <v>0</v>
      </c>
      <c r="G82" s="66" t="n">
        <f aca="false">F85</f>
        <v>0</v>
      </c>
      <c r="H82" s="66" t="n">
        <f aca="false">G85</f>
        <v>0</v>
      </c>
      <c r="I82" s="66" t="n">
        <f aca="false">H85</f>
        <v>1212968.40784171</v>
      </c>
      <c r="J82" s="66" t="n">
        <f aca="false">I85</f>
        <v>17943982.4831328</v>
      </c>
      <c r="K82" s="66" t="n">
        <f aca="false">J85</f>
        <v>47639344.8089352</v>
      </c>
      <c r="L82" s="66" t="n">
        <f aca="false">K85</f>
        <v>83476038.1767302</v>
      </c>
      <c r="M82" s="66" t="n">
        <f aca="false">L85</f>
        <v>119961054.658902</v>
      </c>
      <c r="N82" s="66" t="n">
        <f aca="false">M85</f>
        <v>157094394.25545</v>
      </c>
      <c r="O82" s="66" t="n">
        <f aca="false">N85</f>
        <v>0</v>
      </c>
      <c r="P82" s="66" t="n">
        <f aca="false">O85</f>
        <v>0</v>
      </c>
      <c r="Q82" s="66" t="n">
        <f aca="false">P85</f>
        <v>0</v>
      </c>
      <c r="R82" s="66" t="n">
        <f aca="false">Q85</f>
        <v>0</v>
      </c>
      <c r="S82" s="66" t="n">
        <f aca="false">R85</f>
        <v>0</v>
      </c>
      <c r="T82" s="66" t="n">
        <f aca="false">S85</f>
        <v>0</v>
      </c>
      <c r="U82" s="66" t="n">
        <f aca="false">T85</f>
        <v>0</v>
      </c>
      <c r="V82" s="66" t="n">
        <f aca="false">U85</f>
        <v>0</v>
      </c>
      <c r="W82" s="66" t="n">
        <f aca="false">V85</f>
        <v>0</v>
      </c>
      <c r="X82" s="66" t="n">
        <f aca="false">W85</f>
        <v>0</v>
      </c>
      <c r="Y82" s="66" t="n">
        <f aca="false">X85</f>
        <v>0</v>
      </c>
      <c r="Z82" s="66" t="n">
        <f aca="false">Y85</f>
        <v>0</v>
      </c>
      <c r="AA82" s="66" t="n">
        <f aca="false">Z85</f>
        <v>0</v>
      </c>
      <c r="AB82" s="66" t="n">
        <f aca="false">AA85</f>
        <v>0</v>
      </c>
      <c r="AC82" s="66" t="n">
        <f aca="false">AB85</f>
        <v>0</v>
      </c>
      <c r="AD82" s="66" t="n">
        <f aca="false">AC85</f>
        <v>0</v>
      </c>
      <c r="AE82" s="66" t="n">
        <f aca="false">AD85</f>
        <v>0</v>
      </c>
      <c r="AF82" s="66" t="n">
        <f aca="false">AE85</f>
        <v>0</v>
      </c>
      <c r="AG82" s="66" t="n">
        <f aca="false">AF85</f>
        <v>0</v>
      </c>
      <c r="AH82" s="66" t="n">
        <f aca="false">AG85</f>
        <v>0</v>
      </c>
      <c r="AI82" s="66" t="n">
        <f aca="false">AH85</f>
        <v>0</v>
      </c>
      <c r="AJ82" s="66" t="n">
        <f aca="false">AI85</f>
        <v>0</v>
      </c>
      <c r="AK82" s="66" t="n">
        <f aca="false">AJ85</f>
        <v>0</v>
      </c>
      <c r="AL82" s="66" t="n">
        <f aca="false">AK85</f>
        <v>0</v>
      </c>
      <c r="AM82" s="66" t="n">
        <f aca="false">AL85</f>
        <v>0</v>
      </c>
      <c r="AN82" s="66" t="n">
        <f aca="false">AM85</f>
        <v>0</v>
      </c>
      <c r="AO82" s="66" t="n">
        <f aca="false">AN85</f>
        <v>0</v>
      </c>
      <c r="AP82" s="66" t="n">
        <f aca="false">AO85</f>
        <v>0</v>
      </c>
      <c r="AQ82" s="66" t="n">
        <f aca="false">AP85</f>
        <v>0</v>
      </c>
      <c r="AR82" s="66" t="n">
        <f aca="false">AQ85</f>
        <v>0</v>
      </c>
      <c r="AS82" s="66" t="n">
        <f aca="false">AR85</f>
        <v>0</v>
      </c>
      <c r="AT82" s="66" t="n">
        <f aca="false">AS85</f>
        <v>0</v>
      </c>
      <c r="AU82" s="66" t="n">
        <f aca="false">AT85</f>
        <v>0</v>
      </c>
      <c r="AV82" s="66" t="n">
        <f aca="false">AU85</f>
        <v>0</v>
      </c>
      <c r="AW82" s="66" t="n">
        <f aca="false">AV85</f>
        <v>0</v>
      </c>
      <c r="AX82" s="66" t="n">
        <f aca="false">AW85</f>
        <v>0</v>
      </c>
      <c r="AY82" s="66" t="n">
        <f aca="false">AX85</f>
        <v>0</v>
      </c>
      <c r="AZ82" s="66" t="n">
        <f aca="false">AY85</f>
        <v>0</v>
      </c>
      <c r="BA82" s="66" t="n">
        <f aca="false">AZ85</f>
        <v>0</v>
      </c>
      <c r="BB82" s="66" t="n">
        <f aca="false">BA85</f>
        <v>0</v>
      </c>
    </row>
    <row r="83" customFormat="false" ht="15" hidden="false" customHeight="true" outlineLevel="0" collapsed="false">
      <c r="B83" s="59" t="s">
        <v>487</v>
      </c>
      <c r="C83" s="59" t="s">
        <v>11</v>
      </c>
      <c r="E83" s="66" t="n">
        <f aca="false">E81+E82</f>
        <v>0</v>
      </c>
      <c r="F83" s="66" t="n">
        <f aca="false">F81+F82</f>
        <v>0</v>
      </c>
      <c r="G83" s="66" t="n">
        <f aca="false">G81+G82</f>
        <v>0</v>
      </c>
      <c r="H83" s="66" t="n">
        <f aca="false">H81+H82</f>
        <v>1212968.40784171</v>
      </c>
      <c r="I83" s="66" t="n">
        <f aca="false">I81+I82</f>
        <v>17943982.4831328</v>
      </c>
      <c r="J83" s="66" t="n">
        <f aca="false">J81+J82</f>
        <v>47639344.8089352</v>
      </c>
      <c r="K83" s="66" t="n">
        <f aca="false">K81+K82</f>
        <v>83476038.1767302</v>
      </c>
      <c r="L83" s="66" t="n">
        <f aca="false">L81+L82</f>
        <v>119961054.658902</v>
      </c>
      <c r="M83" s="66" t="n">
        <f aca="false">M81+M82</f>
        <v>157094394.25545</v>
      </c>
      <c r="N83" s="66" t="n">
        <f aca="false">N81+N82</f>
        <v>194227733.851998</v>
      </c>
      <c r="O83" s="66" t="n">
        <f aca="false">O81+O82</f>
        <v>0</v>
      </c>
      <c r="P83" s="66" t="n">
        <f aca="false">P81+P82</f>
        <v>0</v>
      </c>
      <c r="Q83" s="66" t="n">
        <f aca="false">Q81+Q82</f>
        <v>0</v>
      </c>
      <c r="R83" s="66" t="n">
        <f aca="false">R81+R82</f>
        <v>0</v>
      </c>
      <c r="S83" s="66" t="n">
        <f aca="false">S81+S82</f>
        <v>0</v>
      </c>
      <c r="T83" s="66" t="n">
        <f aca="false">T81+T82</f>
        <v>0</v>
      </c>
      <c r="U83" s="66" t="n">
        <f aca="false">U81+U82</f>
        <v>0</v>
      </c>
      <c r="V83" s="66" t="n">
        <f aca="false">V81+V82</f>
        <v>0</v>
      </c>
      <c r="W83" s="66" t="n">
        <f aca="false">W81+W82</f>
        <v>0</v>
      </c>
      <c r="X83" s="66" t="n">
        <f aca="false">X81+X82</f>
        <v>0</v>
      </c>
      <c r="Y83" s="66" t="n">
        <f aca="false">Y81+Y82</f>
        <v>0</v>
      </c>
      <c r="Z83" s="66" t="n">
        <f aca="false">Z81+Z82</f>
        <v>0</v>
      </c>
      <c r="AA83" s="66" t="n">
        <f aca="false">AA81+AA82</f>
        <v>0</v>
      </c>
      <c r="AB83" s="66" t="n">
        <f aca="false">AB81+AB82</f>
        <v>0</v>
      </c>
      <c r="AC83" s="66" t="n">
        <f aca="false">AC81+AC82</f>
        <v>0</v>
      </c>
      <c r="AD83" s="66" t="n">
        <f aca="false">AD81+AD82</f>
        <v>0</v>
      </c>
      <c r="AE83" s="66" t="n">
        <f aca="false">AE81+AE82</f>
        <v>0</v>
      </c>
      <c r="AF83" s="66" t="n">
        <f aca="false">AF81+AF82</f>
        <v>0</v>
      </c>
      <c r="AG83" s="66" t="n">
        <f aca="false">AG81+AG82</f>
        <v>0</v>
      </c>
      <c r="AH83" s="66" t="n">
        <f aca="false">AH81+AH82</f>
        <v>0</v>
      </c>
      <c r="AI83" s="66" t="n">
        <f aca="false">AI81+AI82</f>
        <v>0</v>
      </c>
      <c r="AJ83" s="66" t="n">
        <f aca="false">AJ81+AJ82</f>
        <v>0</v>
      </c>
      <c r="AK83" s="66" t="n">
        <f aca="false">AK81+AK82</f>
        <v>0</v>
      </c>
      <c r="AL83" s="66" t="n">
        <f aca="false">AL81+AL82</f>
        <v>0</v>
      </c>
      <c r="AM83" s="66" t="n">
        <f aca="false">AM81+AM82</f>
        <v>0</v>
      </c>
      <c r="AN83" s="66" t="n">
        <f aca="false">AN81+AN82</f>
        <v>0</v>
      </c>
      <c r="AO83" s="66" t="n">
        <f aca="false">AO81+AO82</f>
        <v>0</v>
      </c>
      <c r="AP83" s="66" t="n">
        <f aca="false">AP81+AP82</f>
        <v>0</v>
      </c>
      <c r="AQ83" s="66" t="n">
        <f aca="false">AQ81+AQ82</f>
        <v>0</v>
      </c>
      <c r="AR83" s="66" t="n">
        <f aca="false">AR81+AR82</f>
        <v>0</v>
      </c>
      <c r="AS83" s="66" t="n">
        <f aca="false">AS81+AS82</f>
        <v>0</v>
      </c>
      <c r="AT83" s="66" t="n">
        <f aca="false">AT81+AT82</f>
        <v>0</v>
      </c>
      <c r="AU83" s="66" t="n">
        <f aca="false">AU81+AU82</f>
        <v>0</v>
      </c>
      <c r="AV83" s="66" t="n">
        <f aca="false">AV81+AV82</f>
        <v>0</v>
      </c>
      <c r="AW83" s="66" t="n">
        <f aca="false">AW81+AW82</f>
        <v>0</v>
      </c>
      <c r="AX83" s="66" t="n">
        <f aca="false">AX81+AX82</f>
        <v>0</v>
      </c>
      <c r="AY83" s="66" t="n">
        <f aca="false">AY81+AY82</f>
        <v>0</v>
      </c>
      <c r="AZ83" s="66" t="n">
        <f aca="false">AZ81+AZ82</f>
        <v>0</v>
      </c>
      <c r="BA83" s="66" t="n">
        <f aca="false">BA81+BA82</f>
        <v>0</v>
      </c>
      <c r="BB83" s="66" t="n">
        <f aca="false">BB81+BB82</f>
        <v>0</v>
      </c>
    </row>
    <row r="84" customFormat="false" ht="15" hidden="false" customHeight="true" outlineLevel="0" collapsed="false">
      <c r="B84" s="59" t="s">
        <v>488</v>
      </c>
      <c r="C84" s="59" t="s">
        <v>11</v>
      </c>
      <c r="D84" s="63" t="n">
        <f aca="false">SUM(E84:BB84)</f>
        <v>194227733.851998</v>
      </c>
      <c r="E84" s="66" t="n">
        <f aca="false">MIN(MAX(0,E75-E78),E83)</f>
        <v>0</v>
      </c>
      <c r="F84" s="66" t="n">
        <f aca="false">MIN(MAX(0,F75-F78),F83)</f>
        <v>0</v>
      </c>
      <c r="G84" s="66" t="n">
        <f aca="false">MIN(MAX(0,G75-G78),G83)</f>
        <v>0</v>
      </c>
      <c r="H84" s="66" t="n">
        <f aca="false">MIN(MAX(0,H75-H78),H83)</f>
        <v>0</v>
      </c>
      <c r="I84" s="66" t="n">
        <f aca="false">MIN(MAX(0,I75-I78),I83)</f>
        <v>0</v>
      </c>
      <c r="J84" s="66" t="n">
        <f aca="false">MIN(MAX(0,J75-J78),J83)</f>
        <v>0</v>
      </c>
      <c r="K84" s="66" t="n">
        <f aca="false">MIN(MAX(0,K75-K78),K83)</f>
        <v>0</v>
      </c>
      <c r="L84" s="66" t="n">
        <f aca="false">MIN(MAX(0,L75-L78),L83)</f>
        <v>0</v>
      </c>
      <c r="M84" s="66" t="n">
        <f aca="false">MIN(MAX(0,M75-M78),M83)</f>
        <v>0</v>
      </c>
      <c r="N84" s="66" t="n">
        <f aca="false">MIN(MAX(0,N75-N78),N83)</f>
        <v>194227733.851998</v>
      </c>
      <c r="O84" s="66" t="n">
        <f aca="false">MIN(MAX(0,O75-O78),O83)</f>
        <v>0</v>
      </c>
      <c r="P84" s="66" t="n">
        <f aca="false">MIN(MAX(0,P75-P78),P83)</f>
        <v>0</v>
      </c>
      <c r="Q84" s="66" t="n">
        <f aca="false">MIN(MAX(0,Q75-Q78),Q83)</f>
        <v>0</v>
      </c>
      <c r="R84" s="66" t="n">
        <f aca="false">MIN(MAX(0,R75-R78),R83)</f>
        <v>0</v>
      </c>
      <c r="S84" s="66" t="n">
        <f aca="false">MIN(MAX(0,S75-S78),S83)</f>
        <v>0</v>
      </c>
      <c r="T84" s="66" t="n">
        <f aca="false">MIN(MAX(0,T75-T78),T83)</f>
        <v>0</v>
      </c>
      <c r="U84" s="66" t="n">
        <f aca="false">MIN(MAX(0,U75-U78),U83)</f>
        <v>0</v>
      </c>
      <c r="V84" s="66" t="n">
        <f aca="false">MIN(MAX(0,V75-V78),V83)</f>
        <v>0</v>
      </c>
      <c r="W84" s="66" t="n">
        <f aca="false">MIN(MAX(0,W75-W78),W83)</f>
        <v>0</v>
      </c>
      <c r="X84" s="66" t="n">
        <f aca="false">MIN(MAX(0,X75-X78),X83)</f>
        <v>0</v>
      </c>
      <c r="Y84" s="66" t="n">
        <f aca="false">MIN(MAX(0,Y75-Y78),Y83)</f>
        <v>0</v>
      </c>
      <c r="Z84" s="66" t="n">
        <f aca="false">MIN(MAX(0,Z75-Z78),Z83)</f>
        <v>0</v>
      </c>
      <c r="AA84" s="66" t="n">
        <f aca="false">MIN(MAX(0,AA75-AA78),AA83)</f>
        <v>0</v>
      </c>
      <c r="AB84" s="66" t="n">
        <f aca="false">MIN(MAX(0,AB75-AB78),AB83)</f>
        <v>0</v>
      </c>
      <c r="AC84" s="66" t="n">
        <f aca="false">MIN(MAX(0,AC75-AC78),AC83)</f>
        <v>0</v>
      </c>
      <c r="AD84" s="66" t="n">
        <f aca="false">MIN(MAX(0,AD75-AD78),AD83)</f>
        <v>0</v>
      </c>
      <c r="AE84" s="66" t="n">
        <f aca="false">MIN(MAX(0,AE75-AE78),AE83)</f>
        <v>0</v>
      </c>
      <c r="AF84" s="66" t="n">
        <f aca="false">MIN(MAX(0,AF75-AF78),AF83)</f>
        <v>0</v>
      </c>
      <c r="AG84" s="66" t="n">
        <f aca="false">MIN(MAX(0,AG75-AG78),AG83)</f>
        <v>0</v>
      </c>
      <c r="AH84" s="66" t="n">
        <f aca="false">MIN(MAX(0,AH75-AH78),AH83)</f>
        <v>0</v>
      </c>
      <c r="AI84" s="66" t="n">
        <f aca="false">MIN(MAX(0,AI75-AI78),AI83)</f>
        <v>0</v>
      </c>
      <c r="AJ84" s="66" t="n">
        <f aca="false">MIN(MAX(0,AJ75-AJ78),AJ83)</f>
        <v>0</v>
      </c>
      <c r="AK84" s="66" t="n">
        <f aca="false">MIN(MAX(0,AK75-AK78),AK83)</f>
        <v>0</v>
      </c>
      <c r="AL84" s="66" t="n">
        <f aca="false">MIN(MAX(0,AL75-AL78),AL83)</f>
        <v>0</v>
      </c>
      <c r="AM84" s="66" t="n">
        <f aca="false">MIN(MAX(0,AM75-AM78),AM83)</f>
        <v>0</v>
      </c>
      <c r="AN84" s="66" t="n">
        <f aca="false">MIN(MAX(0,AN75-AN78),AN83)</f>
        <v>0</v>
      </c>
      <c r="AO84" s="66" t="n">
        <f aca="false">MIN(MAX(0,AO75-AO78),AO83)</f>
        <v>0</v>
      </c>
      <c r="AP84" s="66" t="n">
        <f aca="false">MIN(MAX(0,AP75-AP78),AP83)</f>
        <v>0</v>
      </c>
      <c r="AQ84" s="66" t="n">
        <f aca="false">MIN(MAX(0,AQ75-AQ78),AQ83)</f>
        <v>0</v>
      </c>
      <c r="AR84" s="66" t="n">
        <f aca="false">MIN(MAX(0,AR75-AR78),AR83)</f>
        <v>0</v>
      </c>
      <c r="AS84" s="66" t="n">
        <f aca="false">MIN(MAX(0,AS75-AS78),AS83)</f>
        <v>0</v>
      </c>
      <c r="AT84" s="66" t="n">
        <f aca="false">MIN(MAX(0,AT75-AT78),AT83)</f>
        <v>0</v>
      </c>
      <c r="AU84" s="66" t="n">
        <f aca="false">MIN(MAX(0,AU75-AU78),AU83)</f>
        <v>0</v>
      </c>
      <c r="AV84" s="66" t="n">
        <f aca="false">MIN(MAX(0,AV75-AV78),AV83)</f>
        <v>0</v>
      </c>
      <c r="AW84" s="66" t="n">
        <f aca="false">MIN(MAX(0,AW75-AW78),AW83)</f>
        <v>0</v>
      </c>
      <c r="AX84" s="66" t="n">
        <f aca="false">MIN(MAX(0,AX75-AX78),AX83)</f>
        <v>0</v>
      </c>
      <c r="AY84" s="66" t="n">
        <f aca="false">MIN(MAX(0,AY75-AY78),AY83)</f>
        <v>0</v>
      </c>
      <c r="AZ84" s="66" t="n">
        <f aca="false">MIN(MAX(0,AZ75-AZ78),AZ83)</f>
        <v>0</v>
      </c>
      <c r="BA84" s="66" t="n">
        <f aca="false">MIN(MAX(0,BA75-BA78),BA83)</f>
        <v>0</v>
      </c>
      <c r="BB84" s="66" t="n">
        <f aca="false">MIN(MAX(0,BB75-BB78),BB83)</f>
        <v>0</v>
      </c>
    </row>
    <row r="85" customFormat="false" ht="15" hidden="false" customHeight="true" outlineLevel="0" collapsed="false">
      <c r="B85" s="59" t="s">
        <v>489</v>
      </c>
      <c r="C85" s="59" t="s">
        <v>11</v>
      </c>
      <c r="E85" s="66" t="n">
        <f aca="false">E83-E84</f>
        <v>0</v>
      </c>
      <c r="F85" s="66" t="n">
        <f aca="false">F83-F84</f>
        <v>0</v>
      </c>
      <c r="G85" s="66" t="n">
        <f aca="false">G83-G84</f>
        <v>0</v>
      </c>
      <c r="H85" s="66" t="n">
        <f aca="false">H83-H84</f>
        <v>1212968.40784171</v>
      </c>
      <c r="I85" s="66" t="n">
        <f aca="false">I83-I84</f>
        <v>17943982.4831328</v>
      </c>
      <c r="J85" s="66" t="n">
        <f aca="false">J83-J84</f>
        <v>47639344.8089352</v>
      </c>
      <c r="K85" s="66" t="n">
        <f aca="false">K83-K84</f>
        <v>83476038.1767302</v>
      </c>
      <c r="L85" s="66" t="n">
        <f aca="false">L83-L84</f>
        <v>119961054.658902</v>
      </c>
      <c r="M85" s="66" t="n">
        <f aca="false">M83-M84</f>
        <v>157094394.25545</v>
      </c>
      <c r="N85" s="66" t="n">
        <f aca="false">N83-N84</f>
        <v>0</v>
      </c>
      <c r="O85" s="66" t="n">
        <f aca="false">O83-O84</f>
        <v>0</v>
      </c>
      <c r="P85" s="66" t="n">
        <f aca="false">P83-P84</f>
        <v>0</v>
      </c>
      <c r="Q85" s="66" t="n">
        <f aca="false">Q83-Q84</f>
        <v>0</v>
      </c>
      <c r="R85" s="66" t="n">
        <f aca="false">R83-R84</f>
        <v>0</v>
      </c>
      <c r="S85" s="66" t="n">
        <f aca="false">S83-S84</f>
        <v>0</v>
      </c>
      <c r="T85" s="66" t="n">
        <f aca="false">T83-T84</f>
        <v>0</v>
      </c>
      <c r="U85" s="66" t="n">
        <f aca="false">U83-U84</f>
        <v>0</v>
      </c>
      <c r="V85" s="66" t="n">
        <f aca="false">V83-V84</f>
        <v>0</v>
      </c>
      <c r="W85" s="66" t="n">
        <f aca="false">W83-W84</f>
        <v>0</v>
      </c>
      <c r="X85" s="66" t="n">
        <f aca="false">X83-X84</f>
        <v>0</v>
      </c>
      <c r="Y85" s="66" t="n">
        <f aca="false">Y83-Y84</f>
        <v>0</v>
      </c>
      <c r="Z85" s="66" t="n">
        <f aca="false">Z83-Z84</f>
        <v>0</v>
      </c>
      <c r="AA85" s="66" t="n">
        <f aca="false">AA83-AA84</f>
        <v>0</v>
      </c>
      <c r="AB85" s="66" t="n">
        <f aca="false">AB83-AB84</f>
        <v>0</v>
      </c>
      <c r="AC85" s="66" t="n">
        <f aca="false">AC83-AC84</f>
        <v>0</v>
      </c>
      <c r="AD85" s="66" t="n">
        <f aca="false">AD83-AD84</f>
        <v>0</v>
      </c>
      <c r="AE85" s="66" t="n">
        <f aca="false">AE83-AE84</f>
        <v>0</v>
      </c>
      <c r="AF85" s="66" t="n">
        <f aca="false">AF83-AF84</f>
        <v>0</v>
      </c>
      <c r="AG85" s="66" t="n">
        <f aca="false">AG83-AG84</f>
        <v>0</v>
      </c>
      <c r="AH85" s="66" t="n">
        <f aca="false">AH83-AH84</f>
        <v>0</v>
      </c>
      <c r="AI85" s="66" t="n">
        <f aca="false">AI83-AI84</f>
        <v>0</v>
      </c>
      <c r="AJ85" s="66" t="n">
        <f aca="false">AJ83-AJ84</f>
        <v>0</v>
      </c>
      <c r="AK85" s="66" t="n">
        <f aca="false">AK83-AK84</f>
        <v>0</v>
      </c>
      <c r="AL85" s="66" t="n">
        <f aca="false">AL83-AL84</f>
        <v>0</v>
      </c>
      <c r="AM85" s="66" t="n">
        <f aca="false">AM83-AM84</f>
        <v>0</v>
      </c>
      <c r="AN85" s="66" t="n">
        <f aca="false">AN83-AN84</f>
        <v>0</v>
      </c>
      <c r="AO85" s="66" t="n">
        <f aca="false">AO83-AO84</f>
        <v>0</v>
      </c>
      <c r="AP85" s="66" t="n">
        <f aca="false">AP83-AP84</f>
        <v>0</v>
      </c>
      <c r="AQ85" s="66" t="n">
        <f aca="false">AQ83-AQ84</f>
        <v>0</v>
      </c>
      <c r="AR85" s="66" t="n">
        <f aca="false">AR83-AR84</f>
        <v>0</v>
      </c>
      <c r="AS85" s="66" t="n">
        <f aca="false">AS83-AS84</f>
        <v>0</v>
      </c>
      <c r="AT85" s="66" t="n">
        <f aca="false">AT83-AT84</f>
        <v>0</v>
      </c>
      <c r="AU85" s="66" t="n">
        <f aca="false">AU83-AU84</f>
        <v>0</v>
      </c>
      <c r="AV85" s="66" t="n">
        <f aca="false">AV83-AV84</f>
        <v>0</v>
      </c>
      <c r="AW85" s="66" t="n">
        <f aca="false">AW83-AW84</f>
        <v>0</v>
      </c>
      <c r="AX85" s="66" t="n">
        <f aca="false">AX83-AX84</f>
        <v>0</v>
      </c>
      <c r="AY85" s="66" t="n">
        <f aca="false">AY83-AY84</f>
        <v>0</v>
      </c>
      <c r="AZ85" s="66" t="n">
        <f aca="false">AZ83-AZ84</f>
        <v>0</v>
      </c>
      <c r="BA85" s="66" t="n">
        <f aca="false">BA83-BA84</f>
        <v>0</v>
      </c>
      <c r="BB85" s="66" t="n">
        <f aca="false">BB83-BB84</f>
        <v>0</v>
      </c>
    </row>
    <row r="87" customFormat="false" ht="15" hidden="false" customHeight="true" outlineLevel="0" collapsed="false">
      <c r="B87" s="59" t="s">
        <v>490</v>
      </c>
      <c r="C87" s="59" t="s">
        <v>11</v>
      </c>
      <c r="E87" s="66" t="n">
        <f aca="false">MAX(0,E75-E78-E84)</f>
        <v>0</v>
      </c>
      <c r="F87" s="66" t="n">
        <f aca="false">MAX(0,F75-F78-F84)</f>
        <v>0</v>
      </c>
      <c r="G87" s="66" t="n">
        <f aca="false">MAX(0,G75-G78-G84)</f>
        <v>0</v>
      </c>
      <c r="H87" s="66" t="n">
        <f aca="false">MAX(0,H75-H78-H84)</f>
        <v>0</v>
      </c>
      <c r="I87" s="66" t="n">
        <f aca="false">MAX(0,I75-I78-I84)</f>
        <v>0</v>
      </c>
      <c r="J87" s="66" t="n">
        <f aca="false">MAX(0,J75-J78-J84)</f>
        <v>0</v>
      </c>
      <c r="K87" s="66" t="n">
        <f aca="false">MAX(0,K75-K78-K84)</f>
        <v>0</v>
      </c>
      <c r="L87" s="66" t="n">
        <f aca="false">MAX(0,L75-L78-L84)</f>
        <v>0</v>
      </c>
      <c r="M87" s="66" t="n">
        <f aca="false">MAX(0,M75-M78-M84)</f>
        <v>0</v>
      </c>
      <c r="N87" s="66" t="n">
        <f aca="false">MAX(0,N75-N78-N84)</f>
        <v>404177738.394124</v>
      </c>
      <c r="O87" s="66" t="n">
        <f aca="false">MAX(0,O75-O78-O84)</f>
        <v>0</v>
      </c>
      <c r="P87" s="66" t="n">
        <f aca="false">MAX(0,P75-P78-P84)</f>
        <v>0</v>
      </c>
      <c r="Q87" s="66" t="n">
        <f aca="false">MAX(0,Q75-Q78-Q84)</f>
        <v>0</v>
      </c>
      <c r="R87" s="66" t="n">
        <f aca="false">MAX(0,R75-R78-R84)</f>
        <v>0</v>
      </c>
      <c r="S87" s="66" t="n">
        <f aca="false">MAX(0,S75-S78-S84)</f>
        <v>0</v>
      </c>
      <c r="T87" s="66" t="n">
        <f aca="false">MAX(0,T75-T78-T84)</f>
        <v>0</v>
      </c>
      <c r="U87" s="66" t="n">
        <f aca="false">MAX(0,U75-U78-U84)</f>
        <v>0</v>
      </c>
      <c r="V87" s="66" t="n">
        <f aca="false">MAX(0,V75-V78-V84)</f>
        <v>0</v>
      </c>
      <c r="W87" s="66" t="n">
        <f aca="false">MAX(0,W75-W78-W84)</f>
        <v>0</v>
      </c>
      <c r="X87" s="66" t="n">
        <f aca="false">MAX(0,X75-X78-X84)</f>
        <v>0</v>
      </c>
      <c r="Y87" s="66" t="n">
        <f aca="false">MAX(0,Y75-Y78-Y84)</f>
        <v>0</v>
      </c>
      <c r="Z87" s="66" t="n">
        <f aca="false">MAX(0,Z75-Z78-Z84)</f>
        <v>0</v>
      </c>
      <c r="AA87" s="66" t="n">
        <f aca="false">MAX(0,AA75-AA78-AA84)</f>
        <v>0</v>
      </c>
      <c r="AB87" s="66" t="n">
        <f aca="false">MAX(0,AB75-AB78-AB84)</f>
        <v>0</v>
      </c>
      <c r="AC87" s="66" t="n">
        <f aca="false">MAX(0,AC75-AC78-AC84)</f>
        <v>0</v>
      </c>
      <c r="AD87" s="66" t="n">
        <f aca="false">MAX(0,AD75-AD78-AD84)</f>
        <v>0</v>
      </c>
      <c r="AE87" s="66" t="n">
        <f aca="false">MAX(0,AE75-AE78-AE84)</f>
        <v>0</v>
      </c>
      <c r="AF87" s="66" t="n">
        <f aca="false">MAX(0,AF75-AF78-AF84)</f>
        <v>0</v>
      </c>
      <c r="AG87" s="66" t="n">
        <f aca="false">MAX(0,AG75-AG78-AG84)</f>
        <v>0</v>
      </c>
      <c r="AH87" s="66" t="n">
        <f aca="false">MAX(0,AH75-AH78-AH84)</f>
        <v>0</v>
      </c>
      <c r="AI87" s="66" t="n">
        <f aca="false">MAX(0,AI75-AI78-AI84)</f>
        <v>0</v>
      </c>
      <c r="AJ87" s="66" t="n">
        <f aca="false">MAX(0,AJ75-AJ78-AJ84)</f>
        <v>0</v>
      </c>
      <c r="AK87" s="66" t="n">
        <f aca="false">MAX(0,AK75-AK78-AK84)</f>
        <v>0</v>
      </c>
      <c r="AL87" s="66" t="n">
        <f aca="false">MAX(0,AL75-AL78-AL84)</f>
        <v>0</v>
      </c>
      <c r="AM87" s="66" t="n">
        <f aca="false">MAX(0,AM75-AM78-AM84)</f>
        <v>0</v>
      </c>
      <c r="AN87" s="66" t="n">
        <f aca="false">MAX(0,AN75-AN78-AN84)</f>
        <v>0</v>
      </c>
      <c r="AO87" s="66" t="n">
        <f aca="false">MAX(0,AO75-AO78-AO84)</f>
        <v>0</v>
      </c>
      <c r="AP87" s="66" t="n">
        <f aca="false">MAX(0,AP75-AP78-AP84)</f>
        <v>0</v>
      </c>
      <c r="AQ87" s="66" t="n">
        <f aca="false">MAX(0,AQ75-AQ78-AQ84)</f>
        <v>0</v>
      </c>
      <c r="AR87" s="66" t="n">
        <f aca="false">MAX(0,AR75-AR78-AR84)</f>
        <v>0</v>
      </c>
      <c r="AS87" s="66" t="n">
        <f aca="false">MAX(0,AS75-AS78-AS84)</f>
        <v>0</v>
      </c>
      <c r="AT87" s="66" t="n">
        <f aca="false">MAX(0,AT75-AT78-AT84)</f>
        <v>0</v>
      </c>
      <c r="AU87" s="66" t="n">
        <f aca="false">MAX(0,AU75-AU78-AU84)</f>
        <v>0</v>
      </c>
      <c r="AV87" s="66" t="n">
        <f aca="false">MAX(0,AV75-AV78-AV84)</f>
        <v>0</v>
      </c>
      <c r="AW87" s="66" t="n">
        <f aca="false">MAX(0,AW75-AW78-AW84)</f>
        <v>0</v>
      </c>
      <c r="AX87" s="66" t="n">
        <f aca="false">MAX(0,AX75-AX78-AX84)</f>
        <v>0</v>
      </c>
      <c r="AY87" s="66" t="n">
        <f aca="false">MAX(0,AY75-AY78-AY84)</f>
        <v>0</v>
      </c>
      <c r="AZ87" s="66" t="n">
        <f aca="false">MAX(0,AZ75-AZ78-AZ84)</f>
        <v>0</v>
      </c>
      <c r="BA87" s="66" t="n">
        <f aca="false">MAX(0,BA75-BA78-BA84)</f>
        <v>0</v>
      </c>
      <c r="BB87" s="66" t="n">
        <f aca="false">MAX(0,BB75-BB78-BB84)</f>
        <v>0</v>
      </c>
    </row>
    <row r="88" customFormat="false" ht="15" hidden="false" customHeight="true" outlineLevel="0" collapsed="false">
      <c r="B88" s="59" t="s">
        <v>491</v>
      </c>
      <c r="C88" s="59" t="s">
        <v>11</v>
      </c>
      <c r="D88" s="63" t="n">
        <f aca="false">SUM(E88:BB88)</f>
        <v>83240457.3651418</v>
      </c>
      <c r="E88" s="66" t="n">
        <f aca="false">IF($C$37="Y",MIN(E87,E84*$C$38/(1-$C$38)),0)</f>
        <v>0</v>
      </c>
      <c r="F88" s="66" t="n">
        <f aca="false">IF($C$37="Y",MIN(F87,F84*$C$38/(1-$C$38)),0)</f>
        <v>0</v>
      </c>
      <c r="G88" s="66" t="n">
        <f aca="false">IF($C$37="Y",MIN(G87,G84*$C$38/(1-$C$38)),0)</f>
        <v>0</v>
      </c>
      <c r="H88" s="66" t="n">
        <f aca="false">IF($C$37="Y",MIN(H87,H84*$C$38/(1-$C$38)),0)</f>
        <v>0</v>
      </c>
      <c r="I88" s="66" t="n">
        <f aca="false">IF($C$37="Y",MIN(I87,I84*$C$38/(1-$C$38)),0)</f>
        <v>0</v>
      </c>
      <c r="J88" s="66" t="n">
        <f aca="false">IF($C$37="Y",MIN(J87,J84*$C$38/(1-$C$38)),0)</f>
        <v>0</v>
      </c>
      <c r="K88" s="66" t="n">
        <f aca="false">IF($C$37="Y",MIN(K87,K84*$C$38/(1-$C$38)),0)</f>
        <v>0</v>
      </c>
      <c r="L88" s="66" t="n">
        <f aca="false">IF($C$37="Y",MIN(L87,L84*$C$38/(1-$C$38)),0)</f>
        <v>0</v>
      </c>
      <c r="M88" s="66" t="n">
        <f aca="false">IF($C$37="Y",MIN(M87,M84*$C$38/(1-$C$38)),0)</f>
        <v>0</v>
      </c>
      <c r="N88" s="66" t="n">
        <f aca="false">IF($C$37="Y",MIN(N87,N84*$C$38/(1-$C$38)),0)</f>
        <v>83240457.3651418</v>
      </c>
      <c r="O88" s="66" t="n">
        <f aca="false">IF($C$37="Y",MIN(O87,O84*$C$38/(1-$C$38)),0)</f>
        <v>0</v>
      </c>
      <c r="P88" s="66" t="n">
        <f aca="false">IF($C$37="Y",MIN(P87,P84*$C$38/(1-$C$38)),0)</f>
        <v>0</v>
      </c>
      <c r="Q88" s="66" t="n">
        <f aca="false">IF($C$37="Y",MIN(Q87,Q84*$C$38/(1-$C$38)),0)</f>
        <v>0</v>
      </c>
      <c r="R88" s="66" t="n">
        <f aca="false">IF($C$37="Y",MIN(R87,R84*$C$38/(1-$C$38)),0)</f>
        <v>0</v>
      </c>
      <c r="S88" s="66" t="n">
        <f aca="false">IF($C$37="Y",MIN(S87,S84*$C$38/(1-$C$38)),0)</f>
        <v>0</v>
      </c>
      <c r="T88" s="66" t="n">
        <f aca="false">IF($C$37="Y",MIN(T87,T84*$C$38/(1-$C$38)),0)</f>
        <v>0</v>
      </c>
      <c r="U88" s="66" t="n">
        <f aca="false">IF($C$37="Y",MIN(U87,U84*$C$38/(1-$C$38)),0)</f>
        <v>0</v>
      </c>
      <c r="V88" s="66" t="n">
        <f aca="false">IF($C$37="Y",MIN(V87,V84*$C$38/(1-$C$38)),0)</f>
        <v>0</v>
      </c>
      <c r="W88" s="66" t="n">
        <f aca="false">IF($C$37="Y",MIN(W87,W84*$C$38/(1-$C$38)),0)</f>
        <v>0</v>
      </c>
      <c r="X88" s="66" t="n">
        <f aca="false">IF($C$37="Y",MIN(X87,X84*$C$38/(1-$C$38)),0)</f>
        <v>0</v>
      </c>
      <c r="Y88" s="66" t="n">
        <f aca="false">IF($C$37="Y",MIN(Y87,Y84*$C$38/(1-$C$38)),0)</f>
        <v>0</v>
      </c>
      <c r="Z88" s="66" t="n">
        <f aca="false">IF($C$37="Y",MIN(Z87,Z84*$C$38/(1-$C$38)),0)</f>
        <v>0</v>
      </c>
      <c r="AA88" s="66" t="n">
        <f aca="false">IF($C$37="Y",MIN(AA87,AA84*$C$38/(1-$C$38)),0)</f>
        <v>0</v>
      </c>
      <c r="AB88" s="66" t="n">
        <f aca="false">IF($C$37="Y",MIN(AB87,AB84*$C$38/(1-$C$38)),0)</f>
        <v>0</v>
      </c>
      <c r="AC88" s="66" t="n">
        <f aca="false">IF($C$37="Y",MIN(AC87,AC84*$C$38/(1-$C$38)),0)</f>
        <v>0</v>
      </c>
      <c r="AD88" s="66" t="n">
        <f aca="false">IF($C$37="Y",MIN(AD87,AD84*$C$38/(1-$C$38)),0)</f>
        <v>0</v>
      </c>
      <c r="AE88" s="66" t="n">
        <f aca="false">IF($C$37="Y",MIN(AE87,AE84*$C$38/(1-$C$38)),0)</f>
        <v>0</v>
      </c>
      <c r="AF88" s="66" t="n">
        <f aca="false">IF($C$37="Y",MIN(AF87,AF84*$C$38/(1-$C$38)),0)</f>
        <v>0</v>
      </c>
      <c r="AG88" s="66" t="n">
        <f aca="false">IF($C$37="Y",MIN(AG87,AG84*$C$38/(1-$C$38)),0)</f>
        <v>0</v>
      </c>
      <c r="AH88" s="66" t="n">
        <f aca="false">IF($C$37="Y",MIN(AH87,AH84*$C$38/(1-$C$38)),0)</f>
        <v>0</v>
      </c>
      <c r="AI88" s="66" t="n">
        <f aca="false">IF($C$37="Y",MIN(AI87,AI84*$C$38/(1-$C$38)),0)</f>
        <v>0</v>
      </c>
      <c r="AJ88" s="66" t="n">
        <f aca="false">IF($C$37="Y",MIN(AJ87,AJ84*$C$38/(1-$C$38)),0)</f>
        <v>0</v>
      </c>
      <c r="AK88" s="66" t="n">
        <f aca="false">IF($C$37="Y",MIN(AK87,AK84*$C$38/(1-$C$38)),0)</f>
        <v>0</v>
      </c>
      <c r="AL88" s="66" t="n">
        <f aca="false">IF($C$37="Y",MIN(AL87,AL84*$C$38/(1-$C$38)),0)</f>
        <v>0</v>
      </c>
      <c r="AM88" s="66" t="n">
        <f aca="false">IF($C$37="Y",MIN(AM87,AM84*$C$38/(1-$C$38)),0)</f>
        <v>0</v>
      </c>
      <c r="AN88" s="66" t="n">
        <f aca="false">IF($C$37="Y",MIN(AN87,AN84*$C$38/(1-$C$38)),0)</f>
        <v>0</v>
      </c>
      <c r="AO88" s="66" t="n">
        <f aca="false">IF($C$37="Y",MIN(AO87,AO84*$C$38/(1-$C$38)),0)</f>
        <v>0</v>
      </c>
      <c r="AP88" s="66" t="n">
        <f aca="false">IF($C$37="Y",MIN(AP87,AP84*$C$38/(1-$C$38)),0)</f>
        <v>0</v>
      </c>
      <c r="AQ88" s="66" t="n">
        <f aca="false">IF($C$37="Y",MIN(AQ87,AQ84*$C$38/(1-$C$38)),0)</f>
        <v>0</v>
      </c>
      <c r="AR88" s="66" t="n">
        <f aca="false">IF($C$37="Y",MIN(AR87,AR84*$C$38/(1-$C$38)),0)</f>
        <v>0</v>
      </c>
      <c r="AS88" s="66" t="n">
        <f aca="false">IF($C$37="Y",MIN(AS87,AS84*$C$38/(1-$C$38)),0)</f>
        <v>0</v>
      </c>
      <c r="AT88" s="66" t="n">
        <f aca="false">IF($C$37="Y",MIN(AT87,AT84*$C$38/(1-$C$38)),0)</f>
        <v>0</v>
      </c>
      <c r="AU88" s="66" t="n">
        <f aca="false">IF($C$37="Y",MIN(AU87,AU84*$C$38/(1-$C$38)),0)</f>
        <v>0</v>
      </c>
      <c r="AV88" s="66" t="n">
        <f aca="false">IF($C$37="Y",MIN(AV87,AV84*$C$38/(1-$C$38)),0)</f>
        <v>0</v>
      </c>
      <c r="AW88" s="66" t="n">
        <f aca="false">IF($C$37="Y",MIN(AW87,AW84*$C$38/(1-$C$38)),0)</f>
        <v>0</v>
      </c>
      <c r="AX88" s="66" t="n">
        <f aca="false">IF($C$37="Y",MIN(AX87,AX84*$C$38/(1-$C$38)),0)</f>
        <v>0</v>
      </c>
      <c r="AY88" s="66" t="n">
        <f aca="false">IF($C$37="Y",MIN(AY87,AY84*$C$38/(1-$C$38)),0)</f>
        <v>0</v>
      </c>
      <c r="AZ88" s="66" t="n">
        <f aca="false">IF($C$37="Y",MIN(AZ87,AZ84*$C$38/(1-$C$38)),0)</f>
        <v>0</v>
      </c>
      <c r="BA88" s="66" t="n">
        <f aca="false">IF($C$37="Y",MIN(BA87,BA84*$C$38/(1-$C$38)),0)</f>
        <v>0</v>
      </c>
      <c r="BB88" s="66" t="n">
        <f aca="false">IF($C$37="Y",MIN(BB87,BB84*$C$38/(1-$C$38)),0)</f>
        <v>0</v>
      </c>
    </row>
    <row r="89" customFormat="false" ht="15" hidden="false" customHeight="true" outlineLevel="0" collapsed="false">
      <c r="B89" s="59" t="s">
        <v>492</v>
      </c>
      <c r="C89" s="59" t="s">
        <v>11</v>
      </c>
      <c r="D89" s="63" t="n">
        <f aca="false">SUM(E89:BB89)</f>
        <v>320937281.028982</v>
      </c>
      <c r="E89" s="66" t="n">
        <f aca="false">MAX(0,E87-E88)</f>
        <v>0</v>
      </c>
      <c r="F89" s="66" t="n">
        <f aca="false">MAX(0,F87-F88)</f>
        <v>0</v>
      </c>
      <c r="G89" s="66" t="n">
        <f aca="false">MAX(0,G87-G88)</f>
        <v>0</v>
      </c>
      <c r="H89" s="66" t="n">
        <f aca="false">MAX(0,H87-H88)</f>
        <v>0</v>
      </c>
      <c r="I89" s="66" t="n">
        <f aca="false">MAX(0,I87-I88)</f>
        <v>0</v>
      </c>
      <c r="J89" s="66" t="n">
        <f aca="false">MAX(0,J87-J88)</f>
        <v>0</v>
      </c>
      <c r="K89" s="66" t="n">
        <f aca="false">MAX(0,K87-K88)</f>
        <v>0</v>
      </c>
      <c r="L89" s="66" t="n">
        <f aca="false">MAX(0,L87-L88)</f>
        <v>0</v>
      </c>
      <c r="M89" s="66" t="n">
        <f aca="false">MAX(0,M87-M88)</f>
        <v>0</v>
      </c>
      <c r="N89" s="66" t="n">
        <f aca="false">MAX(0,N87-N88)</f>
        <v>320937281.028982</v>
      </c>
      <c r="O89" s="66" t="n">
        <f aca="false">MAX(0,O87-O88)</f>
        <v>0</v>
      </c>
      <c r="P89" s="66" t="n">
        <f aca="false">MAX(0,P87-P88)</f>
        <v>0</v>
      </c>
      <c r="Q89" s="66" t="n">
        <f aca="false">MAX(0,Q87-Q88)</f>
        <v>0</v>
      </c>
      <c r="R89" s="66" t="n">
        <f aca="false">MAX(0,R87-R88)</f>
        <v>0</v>
      </c>
      <c r="S89" s="66" t="n">
        <f aca="false">MAX(0,S87-S88)</f>
        <v>0</v>
      </c>
      <c r="T89" s="66" t="n">
        <f aca="false">MAX(0,T87-T88)</f>
        <v>0</v>
      </c>
      <c r="U89" s="66" t="n">
        <f aca="false">MAX(0,U87-U88)</f>
        <v>0</v>
      </c>
      <c r="V89" s="66" t="n">
        <f aca="false">MAX(0,V87-V88)</f>
        <v>0</v>
      </c>
      <c r="W89" s="66" t="n">
        <f aca="false">MAX(0,W87-W88)</f>
        <v>0</v>
      </c>
      <c r="X89" s="66" t="n">
        <f aca="false">MAX(0,X87-X88)</f>
        <v>0</v>
      </c>
      <c r="Y89" s="66" t="n">
        <f aca="false">MAX(0,Y87-Y88)</f>
        <v>0</v>
      </c>
      <c r="Z89" s="66" t="n">
        <f aca="false">MAX(0,Z87-Z88)</f>
        <v>0</v>
      </c>
      <c r="AA89" s="66" t="n">
        <f aca="false">MAX(0,AA87-AA88)</f>
        <v>0</v>
      </c>
      <c r="AB89" s="66" t="n">
        <f aca="false">MAX(0,AB87-AB88)</f>
        <v>0</v>
      </c>
      <c r="AC89" s="66" t="n">
        <f aca="false">MAX(0,AC87-AC88)</f>
        <v>0</v>
      </c>
      <c r="AD89" s="66" t="n">
        <f aca="false">MAX(0,AD87-AD88)</f>
        <v>0</v>
      </c>
      <c r="AE89" s="66" t="n">
        <f aca="false">MAX(0,AE87-AE88)</f>
        <v>0</v>
      </c>
      <c r="AF89" s="66" t="n">
        <f aca="false">MAX(0,AF87-AF88)</f>
        <v>0</v>
      </c>
      <c r="AG89" s="66" t="n">
        <f aca="false">MAX(0,AG87-AG88)</f>
        <v>0</v>
      </c>
      <c r="AH89" s="66" t="n">
        <f aca="false">MAX(0,AH87-AH88)</f>
        <v>0</v>
      </c>
      <c r="AI89" s="66" t="n">
        <f aca="false">MAX(0,AI87-AI88)</f>
        <v>0</v>
      </c>
      <c r="AJ89" s="66" t="n">
        <f aca="false">MAX(0,AJ87-AJ88)</f>
        <v>0</v>
      </c>
      <c r="AK89" s="66" t="n">
        <f aca="false">MAX(0,AK87-AK88)</f>
        <v>0</v>
      </c>
      <c r="AL89" s="66" t="n">
        <f aca="false">MAX(0,AL87-AL88)</f>
        <v>0</v>
      </c>
      <c r="AM89" s="66" t="n">
        <f aca="false">MAX(0,AM87-AM88)</f>
        <v>0</v>
      </c>
      <c r="AN89" s="66" t="n">
        <f aca="false">MAX(0,AN87-AN88)</f>
        <v>0</v>
      </c>
      <c r="AO89" s="66" t="n">
        <f aca="false">MAX(0,AO87-AO88)</f>
        <v>0</v>
      </c>
      <c r="AP89" s="66" t="n">
        <f aca="false">MAX(0,AP87-AP88)</f>
        <v>0</v>
      </c>
      <c r="AQ89" s="66" t="n">
        <f aca="false">MAX(0,AQ87-AQ88)</f>
        <v>0</v>
      </c>
      <c r="AR89" s="66" t="n">
        <f aca="false">MAX(0,AR87-AR88)</f>
        <v>0</v>
      </c>
      <c r="AS89" s="66" t="n">
        <f aca="false">MAX(0,AS87-AS88)</f>
        <v>0</v>
      </c>
      <c r="AT89" s="66" t="n">
        <f aca="false">MAX(0,AT87-AT88)</f>
        <v>0</v>
      </c>
      <c r="AU89" s="66" t="n">
        <f aca="false">MAX(0,AU87-AU88)</f>
        <v>0</v>
      </c>
      <c r="AV89" s="66" t="n">
        <f aca="false">MAX(0,AV87-AV88)</f>
        <v>0</v>
      </c>
      <c r="AW89" s="66" t="n">
        <f aca="false">MAX(0,AW87-AW88)</f>
        <v>0</v>
      </c>
      <c r="AX89" s="66" t="n">
        <f aca="false">MAX(0,AX87-AX88)</f>
        <v>0</v>
      </c>
      <c r="AY89" s="66" t="n">
        <f aca="false">MAX(0,AY87-AY88)</f>
        <v>0</v>
      </c>
      <c r="AZ89" s="66" t="n">
        <f aca="false">MAX(0,AZ87-AZ88)</f>
        <v>0</v>
      </c>
      <c r="BA89" s="66" t="n">
        <f aca="false">MAX(0,BA87-BA88)</f>
        <v>0</v>
      </c>
      <c r="BB89" s="66" t="n">
        <f aca="false">MAX(0,BB87-BB88)</f>
        <v>0</v>
      </c>
    </row>
    <row r="90" customFormat="false" ht="15" hidden="false" customHeight="true" outlineLevel="0" collapsed="false">
      <c r="B90" s="59" t="s">
        <v>493</v>
      </c>
      <c r="C90" s="59" t="s">
        <v>11</v>
      </c>
      <c r="D90" s="66" t="n">
        <f aca="false">SUM(E90:BB90)</f>
        <v>224656096.720287</v>
      </c>
      <c r="E90" s="66" t="n">
        <f aca="false">E89*(1-$C$38)</f>
        <v>0</v>
      </c>
      <c r="F90" s="66" t="n">
        <f aca="false">F89*(1-$C$38)</f>
        <v>0</v>
      </c>
      <c r="G90" s="66" t="n">
        <f aca="false">G89*(1-$C$38)</f>
        <v>0</v>
      </c>
      <c r="H90" s="66" t="n">
        <f aca="false">H89*(1-$C$38)</f>
        <v>0</v>
      </c>
      <c r="I90" s="66" t="n">
        <f aca="false">I89*(1-$C$38)</f>
        <v>0</v>
      </c>
      <c r="J90" s="66" t="n">
        <f aca="false">J89*(1-$C$38)</f>
        <v>0</v>
      </c>
      <c r="K90" s="66" t="n">
        <f aca="false">K89*(1-$C$38)</f>
        <v>0</v>
      </c>
      <c r="L90" s="66" t="n">
        <f aca="false">L89*(1-$C$38)</f>
        <v>0</v>
      </c>
      <c r="M90" s="66" t="n">
        <f aca="false">M89*(1-$C$38)</f>
        <v>0</v>
      </c>
      <c r="N90" s="66" t="n">
        <f aca="false">N89*(1-$C$38)</f>
        <v>224656096.720287</v>
      </c>
      <c r="O90" s="66" t="n">
        <f aca="false">O89*(1-$C$38)</f>
        <v>0</v>
      </c>
      <c r="P90" s="66" t="n">
        <f aca="false">P89*(1-$C$38)</f>
        <v>0</v>
      </c>
      <c r="Q90" s="66" t="n">
        <f aca="false">Q89*(1-$C$38)</f>
        <v>0</v>
      </c>
      <c r="R90" s="66" t="n">
        <f aca="false">R89*(1-$C$38)</f>
        <v>0</v>
      </c>
      <c r="S90" s="66" t="n">
        <f aca="false">S89*(1-$C$38)</f>
        <v>0</v>
      </c>
      <c r="T90" s="66" t="n">
        <f aca="false">T89*(1-$C$38)</f>
        <v>0</v>
      </c>
      <c r="U90" s="66" t="n">
        <f aca="false">U89*(1-$C$38)</f>
        <v>0</v>
      </c>
      <c r="V90" s="66" t="n">
        <f aca="false">V89*(1-$C$38)</f>
        <v>0</v>
      </c>
      <c r="W90" s="66" t="n">
        <f aca="false">W89*(1-$C$38)</f>
        <v>0</v>
      </c>
      <c r="X90" s="66" t="n">
        <f aca="false">X89*(1-$C$38)</f>
        <v>0</v>
      </c>
      <c r="Y90" s="66" t="n">
        <f aca="false">Y89*(1-$C$38)</f>
        <v>0</v>
      </c>
      <c r="Z90" s="66" t="n">
        <f aca="false">Z89*(1-$C$38)</f>
        <v>0</v>
      </c>
      <c r="AA90" s="66" t="n">
        <f aca="false">AA89*(1-$C$38)</f>
        <v>0</v>
      </c>
      <c r="AB90" s="66" t="n">
        <f aca="false">AB89*(1-$C$38)</f>
        <v>0</v>
      </c>
      <c r="AC90" s="66" t="n">
        <f aca="false">AC89*(1-$C$38)</f>
        <v>0</v>
      </c>
      <c r="AD90" s="66" t="n">
        <f aca="false">AD89*(1-$C$38)</f>
        <v>0</v>
      </c>
      <c r="AE90" s="66" t="n">
        <f aca="false">AE89*(1-$C$38)</f>
        <v>0</v>
      </c>
      <c r="AF90" s="66" t="n">
        <f aca="false">AF89*(1-$C$38)</f>
        <v>0</v>
      </c>
      <c r="AG90" s="66" t="n">
        <f aca="false">AG89*(1-$C$38)</f>
        <v>0</v>
      </c>
      <c r="AH90" s="66" t="n">
        <f aca="false">AH89*(1-$C$38)</f>
        <v>0</v>
      </c>
      <c r="AI90" s="66" t="n">
        <f aca="false">AI89*(1-$C$38)</f>
        <v>0</v>
      </c>
      <c r="AJ90" s="66" t="n">
        <f aca="false">AJ89*(1-$C$38)</f>
        <v>0</v>
      </c>
      <c r="AK90" s="66" t="n">
        <f aca="false">AK89*(1-$C$38)</f>
        <v>0</v>
      </c>
      <c r="AL90" s="66" t="n">
        <f aca="false">AL89*(1-$C$38)</f>
        <v>0</v>
      </c>
      <c r="AM90" s="66" t="n">
        <f aca="false">AM89*(1-$C$38)</f>
        <v>0</v>
      </c>
      <c r="AN90" s="66" t="n">
        <f aca="false">AN89*(1-$C$38)</f>
        <v>0</v>
      </c>
      <c r="AO90" s="66" t="n">
        <f aca="false">AO89*(1-$C$38)</f>
        <v>0</v>
      </c>
      <c r="AP90" s="66" t="n">
        <f aca="false">AP89*(1-$C$38)</f>
        <v>0</v>
      </c>
      <c r="AQ90" s="66" t="n">
        <f aca="false">AQ89*(1-$C$38)</f>
        <v>0</v>
      </c>
      <c r="AR90" s="66" t="n">
        <f aca="false">AR89*(1-$C$38)</f>
        <v>0</v>
      </c>
      <c r="AS90" s="66" t="n">
        <f aca="false">AS89*(1-$C$38)</f>
        <v>0</v>
      </c>
      <c r="AT90" s="66" t="n">
        <f aca="false">AT89*(1-$C$38)</f>
        <v>0</v>
      </c>
      <c r="AU90" s="66" t="n">
        <f aca="false">AU89*(1-$C$38)</f>
        <v>0</v>
      </c>
      <c r="AV90" s="66" t="n">
        <f aca="false">AV89*(1-$C$38)</f>
        <v>0</v>
      </c>
      <c r="AW90" s="66" t="n">
        <f aca="false">AW89*(1-$C$38)</f>
        <v>0</v>
      </c>
      <c r="AX90" s="66" t="n">
        <f aca="false">AX89*(1-$C$38)</f>
        <v>0</v>
      </c>
      <c r="AY90" s="66" t="n">
        <f aca="false">AY89*(1-$C$38)</f>
        <v>0</v>
      </c>
      <c r="AZ90" s="66" t="n">
        <f aca="false">AZ89*(1-$C$38)</f>
        <v>0</v>
      </c>
      <c r="BA90" s="66" t="n">
        <f aca="false">BA89*(1-$C$38)</f>
        <v>0</v>
      </c>
      <c r="BB90" s="66" t="n">
        <f aca="false">BB89*(1-$C$38)</f>
        <v>0</v>
      </c>
    </row>
    <row r="91" customFormat="false" ht="15" hidden="false" customHeight="true" outlineLevel="0" collapsed="false">
      <c r="B91" s="59" t="s">
        <v>494</v>
      </c>
      <c r="C91" s="59" t="s">
        <v>11</v>
      </c>
      <c r="D91" s="66" t="n">
        <f aca="false">SUM(E91:BB91)</f>
        <v>96281184.3086946</v>
      </c>
      <c r="E91" s="66" t="n">
        <f aca="false">E89*$C$38</f>
        <v>0</v>
      </c>
      <c r="F91" s="66" t="n">
        <f aca="false">F89*$C$38</f>
        <v>0</v>
      </c>
      <c r="G91" s="66" t="n">
        <f aca="false">G89*$C$38</f>
        <v>0</v>
      </c>
      <c r="H91" s="66" t="n">
        <f aca="false">H89*$C$38</f>
        <v>0</v>
      </c>
      <c r="I91" s="66" t="n">
        <f aca="false">I89*$C$38</f>
        <v>0</v>
      </c>
      <c r="J91" s="66" t="n">
        <f aca="false">J89*$C$38</f>
        <v>0</v>
      </c>
      <c r="K91" s="66" t="n">
        <f aca="false">K89*$C$38</f>
        <v>0</v>
      </c>
      <c r="L91" s="66" t="n">
        <f aca="false">L89*$C$38</f>
        <v>0</v>
      </c>
      <c r="M91" s="66" t="n">
        <f aca="false">M89*$C$38</f>
        <v>0</v>
      </c>
      <c r="N91" s="66" t="n">
        <f aca="false">N89*$C$38</f>
        <v>96281184.3086946</v>
      </c>
      <c r="O91" s="66" t="n">
        <f aca="false">O89*$C$38</f>
        <v>0</v>
      </c>
      <c r="P91" s="66" t="n">
        <f aca="false">P89*$C$38</f>
        <v>0</v>
      </c>
      <c r="Q91" s="66" t="n">
        <f aca="false">Q89*$C$38</f>
        <v>0</v>
      </c>
      <c r="R91" s="66" t="n">
        <f aca="false">R89*$C$38</f>
        <v>0</v>
      </c>
      <c r="S91" s="66" t="n">
        <f aca="false">S89*$C$38</f>
        <v>0</v>
      </c>
      <c r="T91" s="66" t="n">
        <f aca="false">T89*$C$38</f>
        <v>0</v>
      </c>
      <c r="U91" s="66" t="n">
        <f aca="false">U89*$C$38</f>
        <v>0</v>
      </c>
      <c r="V91" s="66" t="n">
        <f aca="false">V89*$C$38</f>
        <v>0</v>
      </c>
      <c r="W91" s="66" t="n">
        <f aca="false">W89*$C$38</f>
        <v>0</v>
      </c>
      <c r="X91" s="66" t="n">
        <f aca="false">X89*$C$38</f>
        <v>0</v>
      </c>
      <c r="Y91" s="66" t="n">
        <f aca="false">Y89*$C$38</f>
        <v>0</v>
      </c>
      <c r="Z91" s="66" t="n">
        <f aca="false">Z89*$C$38</f>
        <v>0</v>
      </c>
      <c r="AA91" s="66" t="n">
        <f aca="false">AA89*$C$38</f>
        <v>0</v>
      </c>
      <c r="AB91" s="66" t="n">
        <f aca="false">AB89*$C$38</f>
        <v>0</v>
      </c>
      <c r="AC91" s="66" t="n">
        <f aca="false">AC89*$C$38</f>
        <v>0</v>
      </c>
      <c r="AD91" s="66" t="n">
        <f aca="false">AD89*$C$38</f>
        <v>0</v>
      </c>
      <c r="AE91" s="66" t="n">
        <f aca="false">AE89*$C$38</f>
        <v>0</v>
      </c>
      <c r="AF91" s="66" t="n">
        <f aca="false">AF89*$C$38</f>
        <v>0</v>
      </c>
      <c r="AG91" s="66" t="n">
        <f aca="false">AG89*$C$38</f>
        <v>0</v>
      </c>
      <c r="AH91" s="66" t="n">
        <f aca="false">AH89*$C$38</f>
        <v>0</v>
      </c>
      <c r="AI91" s="66" t="n">
        <f aca="false">AI89*$C$38</f>
        <v>0</v>
      </c>
      <c r="AJ91" s="66" t="n">
        <f aca="false">AJ89*$C$38</f>
        <v>0</v>
      </c>
      <c r="AK91" s="66" t="n">
        <f aca="false">AK89*$C$38</f>
        <v>0</v>
      </c>
      <c r="AL91" s="66" t="n">
        <f aca="false">AL89*$C$38</f>
        <v>0</v>
      </c>
      <c r="AM91" s="66" t="n">
        <f aca="false">AM89*$C$38</f>
        <v>0</v>
      </c>
      <c r="AN91" s="66" t="n">
        <f aca="false">AN89*$C$38</f>
        <v>0</v>
      </c>
      <c r="AO91" s="66" t="n">
        <f aca="false">AO89*$C$38</f>
        <v>0</v>
      </c>
      <c r="AP91" s="66" t="n">
        <f aca="false">AP89*$C$38</f>
        <v>0</v>
      </c>
      <c r="AQ91" s="66" t="n">
        <f aca="false">AQ89*$C$38</f>
        <v>0</v>
      </c>
      <c r="AR91" s="66" t="n">
        <f aca="false">AR89*$C$38</f>
        <v>0</v>
      </c>
      <c r="AS91" s="66" t="n">
        <f aca="false">AS89*$C$38</f>
        <v>0</v>
      </c>
      <c r="AT91" s="66" t="n">
        <f aca="false">AT89*$C$38</f>
        <v>0</v>
      </c>
      <c r="AU91" s="66" t="n">
        <f aca="false">AU89*$C$38</f>
        <v>0</v>
      </c>
      <c r="AV91" s="66" t="n">
        <f aca="false">AV89*$C$38</f>
        <v>0</v>
      </c>
      <c r="AW91" s="66" t="n">
        <f aca="false">AW89*$C$38</f>
        <v>0</v>
      </c>
      <c r="AX91" s="66" t="n">
        <f aca="false">AX89*$C$38</f>
        <v>0</v>
      </c>
      <c r="AY91" s="66" t="n">
        <f aca="false">AY89*$C$38</f>
        <v>0</v>
      </c>
      <c r="AZ91" s="66" t="n">
        <f aca="false">AZ89*$C$38</f>
        <v>0</v>
      </c>
      <c r="BA91" s="66" t="n">
        <f aca="false">BA89*$C$38</f>
        <v>0</v>
      </c>
      <c r="BB91" s="66" t="n">
        <f aca="false">BB89*$C$38</f>
        <v>0</v>
      </c>
    </row>
    <row r="93" customFormat="false" ht="15" hidden="false" customHeight="true" outlineLevel="0" collapsed="false">
      <c r="B93" s="20" t="s">
        <v>495</v>
      </c>
      <c r="C93" s="59" t="s">
        <v>11</v>
      </c>
      <c r="D93" s="63" t="n">
        <f aca="false">SUM(E93:BB93)</f>
        <v>441546875.503045</v>
      </c>
      <c r="E93" s="66" t="n">
        <f aca="false">E78*$C$16+E84*$C$16+E90</f>
        <v>0</v>
      </c>
      <c r="F93" s="66" t="n">
        <f aca="false">F78*$C$16+F84*$C$16+F90</f>
        <v>0</v>
      </c>
      <c r="G93" s="66" t="n">
        <f aca="false">G78*$C$16+G84*$C$16+G90</f>
        <v>0</v>
      </c>
      <c r="H93" s="66" t="n">
        <f aca="false">H78*$C$16+H84*$C$16+H90</f>
        <v>0</v>
      </c>
      <c r="I93" s="66" t="n">
        <f aca="false">I78*$C$16+I84*$C$16+I90</f>
        <v>0</v>
      </c>
      <c r="J93" s="66" t="n">
        <f aca="false">J78*$C$16+J84*$C$16+J90</f>
        <v>0</v>
      </c>
      <c r="K93" s="66" t="n">
        <f aca="false">K78*$C$16+K84*$C$16+K90</f>
        <v>0</v>
      </c>
      <c r="L93" s="66" t="n">
        <f aca="false">L78*$C$16+L84*$C$16+L90</f>
        <v>0</v>
      </c>
      <c r="M93" s="66" t="n">
        <f aca="false">M78*$C$16+M84*$C$16+M90</f>
        <v>0</v>
      </c>
      <c r="N93" s="66" t="n">
        <f aca="false">N78*$C$16+N84*$C$16+N90</f>
        <v>441546875.503045</v>
      </c>
      <c r="O93" s="66" t="n">
        <f aca="false">O78*$C$16+O84*$C$16+O90</f>
        <v>0</v>
      </c>
      <c r="P93" s="66" t="n">
        <f aca="false">P78*$C$16+P84*$C$16+P90</f>
        <v>0</v>
      </c>
      <c r="Q93" s="66" t="n">
        <f aca="false">Q78*$C$16+Q84*$C$16+Q90</f>
        <v>0</v>
      </c>
      <c r="R93" s="66" t="n">
        <f aca="false">R78*$C$16+R84*$C$16+R90</f>
        <v>0</v>
      </c>
      <c r="S93" s="66" t="n">
        <f aca="false">S78*$C$16+S84*$C$16+S90</f>
        <v>0</v>
      </c>
      <c r="T93" s="66" t="n">
        <f aca="false">T78*$C$16+T84*$C$16+T90</f>
        <v>0</v>
      </c>
      <c r="U93" s="66" t="n">
        <f aca="false">U78*$C$16+U84*$C$16+U90</f>
        <v>0</v>
      </c>
      <c r="V93" s="66" t="n">
        <f aca="false">V78*$C$16+V84*$C$16+V90</f>
        <v>0</v>
      </c>
      <c r="W93" s="66" t="n">
        <f aca="false">W78*$C$16+W84*$C$16+W90</f>
        <v>0</v>
      </c>
      <c r="X93" s="66" t="n">
        <f aca="false">X78*$C$16+X84*$C$16+X90</f>
        <v>0</v>
      </c>
      <c r="Y93" s="66" t="n">
        <f aca="false">Y78*$C$16+Y84*$C$16+Y90</f>
        <v>0</v>
      </c>
      <c r="Z93" s="66" t="n">
        <f aca="false">Z78*$C$16+Z84*$C$16+Z90</f>
        <v>0</v>
      </c>
      <c r="AA93" s="66" t="n">
        <f aca="false">AA78*$C$16+AA84*$C$16+AA90</f>
        <v>0</v>
      </c>
      <c r="AB93" s="66" t="n">
        <f aca="false">AB78*$C$16+AB84*$C$16+AB90</f>
        <v>0</v>
      </c>
      <c r="AC93" s="66" t="n">
        <f aca="false">AC78*$C$16+AC84*$C$16+AC90</f>
        <v>0</v>
      </c>
      <c r="AD93" s="66" t="n">
        <f aca="false">AD78*$C$16+AD84*$C$16+AD90</f>
        <v>0</v>
      </c>
      <c r="AE93" s="66" t="n">
        <f aca="false">AE78*$C$16+AE84*$C$16+AE90</f>
        <v>0</v>
      </c>
      <c r="AF93" s="66" t="n">
        <f aca="false">AF78*$C$16+AF84*$C$16+AF90</f>
        <v>0</v>
      </c>
      <c r="AG93" s="66" t="n">
        <f aca="false">AG78*$C$16+AG84*$C$16+AG90</f>
        <v>0</v>
      </c>
      <c r="AH93" s="66" t="n">
        <f aca="false">AH78*$C$16+AH84*$C$16+AH90</f>
        <v>0</v>
      </c>
      <c r="AI93" s="66" t="n">
        <f aca="false">AI78*$C$16+AI84*$C$16+AI90</f>
        <v>0</v>
      </c>
      <c r="AJ93" s="66" t="n">
        <f aca="false">AJ78*$C$16+AJ84*$C$16+AJ90</f>
        <v>0</v>
      </c>
      <c r="AK93" s="66" t="n">
        <f aca="false">AK78*$C$16+AK84*$C$16+AK90</f>
        <v>0</v>
      </c>
      <c r="AL93" s="66" t="n">
        <f aca="false">AL78*$C$16+AL84*$C$16+AL90</f>
        <v>0</v>
      </c>
      <c r="AM93" s="66" t="n">
        <f aca="false">AM78*$C$16+AM84*$C$16+AM90</f>
        <v>0</v>
      </c>
      <c r="AN93" s="66" t="n">
        <f aca="false">AN78*$C$16+AN84*$C$16+AN90</f>
        <v>0</v>
      </c>
      <c r="AO93" s="66" t="n">
        <f aca="false">AO78*$C$16+AO84*$C$16+AO90</f>
        <v>0</v>
      </c>
      <c r="AP93" s="66" t="n">
        <f aca="false">AP78*$C$16+AP84*$C$16+AP90</f>
        <v>0</v>
      </c>
      <c r="AQ93" s="66" t="n">
        <f aca="false">AQ78*$C$16+AQ84*$C$16+AQ90</f>
        <v>0</v>
      </c>
      <c r="AR93" s="66" t="n">
        <f aca="false">AR78*$C$16+AR84*$C$16+AR90</f>
        <v>0</v>
      </c>
      <c r="AS93" s="66" t="n">
        <f aca="false">AS78*$C$16+AS84*$C$16+AS90</f>
        <v>0</v>
      </c>
      <c r="AT93" s="66" t="n">
        <f aca="false">AT78*$C$16+AT84*$C$16+AT90</f>
        <v>0</v>
      </c>
      <c r="AU93" s="66" t="n">
        <f aca="false">AU78*$C$16+AU84*$C$16+AU90</f>
        <v>0</v>
      </c>
      <c r="AV93" s="66" t="n">
        <f aca="false">AV78*$C$16+AV84*$C$16+AV90</f>
        <v>0</v>
      </c>
      <c r="AW93" s="66" t="n">
        <f aca="false">AW78*$C$16+AW84*$C$16+AW90</f>
        <v>0</v>
      </c>
      <c r="AX93" s="66" t="n">
        <f aca="false">AX78*$C$16+AX84*$C$16+AX90</f>
        <v>0</v>
      </c>
      <c r="AY93" s="66" t="n">
        <f aca="false">AY78*$C$16+AY84*$C$16+AY90</f>
        <v>0</v>
      </c>
      <c r="AZ93" s="66" t="n">
        <f aca="false">AZ78*$C$16+AZ84*$C$16+AZ90</f>
        <v>0</v>
      </c>
      <c r="BA93" s="66" t="n">
        <f aca="false">BA78*$C$16+BA84*$C$16+BA90</f>
        <v>0</v>
      </c>
      <c r="BB93" s="66" t="n">
        <f aca="false">BB78*$C$16+BB84*$C$16+BB90</f>
        <v>0</v>
      </c>
    </row>
    <row r="94" customFormat="false" ht="15" hidden="false" customHeight="true" outlineLevel="0" collapsed="false">
      <c r="B94" s="20" t="s">
        <v>496</v>
      </c>
      <c r="C94" s="59" t="s">
        <v>11</v>
      </c>
      <c r="D94" s="63" t="n">
        <f aca="false">SUM(E94:BB94)</f>
        <v>404414194.053395</v>
      </c>
      <c r="E94" s="66" t="n">
        <f aca="false">E78*$C$15+E84*$C$15+E88+E91</f>
        <v>0</v>
      </c>
      <c r="F94" s="66" t="n">
        <f aca="false">F78*$C$15+F84*$C$15+F88+F91</f>
        <v>0</v>
      </c>
      <c r="G94" s="66" t="n">
        <f aca="false">G78*$C$15+G84*$C$15+G88+G91</f>
        <v>0</v>
      </c>
      <c r="H94" s="66" t="n">
        <f aca="false">H78*$C$15+H84*$C$15+H88+H91</f>
        <v>0</v>
      </c>
      <c r="I94" s="66" t="n">
        <f aca="false">I78*$C$15+I84*$C$15+I88+I91</f>
        <v>0</v>
      </c>
      <c r="J94" s="66" t="n">
        <f aca="false">J78*$C$15+J84*$C$15+J88+J91</f>
        <v>0</v>
      </c>
      <c r="K94" s="66" t="n">
        <f aca="false">K78*$C$15+K84*$C$15+K88+K91</f>
        <v>0</v>
      </c>
      <c r="L94" s="66" t="n">
        <f aca="false">L78*$C$15+L84*$C$15+L88+L91</f>
        <v>0</v>
      </c>
      <c r="M94" s="66" t="n">
        <f aca="false">M78*$C$15+M84*$C$15+M88+M91</f>
        <v>0</v>
      </c>
      <c r="N94" s="66" t="n">
        <f aca="false">N78*$C$15+N84*$C$15+N88+N91</f>
        <v>404414194.053395</v>
      </c>
      <c r="O94" s="66" t="n">
        <f aca="false">O78*$C$15+O84*$C$15+O88+O91</f>
        <v>0</v>
      </c>
      <c r="P94" s="66" t="n">
        <f aca="false">P78*$C$15+P84*$C$15+P88+P91</f>
        <v>0</v>
      </c>
      <c r="Q94" s="66" t="n">
        <f aca="false">Q78*$C$15+Q84*$C$15+Q88+Q91</f>
        <v>0</v>
      </c>
      <c r="R94" s="66" t="n">
        <f aca="false">R78*$C$15+R84*$C$15+R88+R91</f>
        <v>0</v>
      </c>
      <c r="S94" s="66" t="n">
        <f aca="false">S78*$C$15+S84*$C$15+S88+S91</f>
        <v>0</v>
      </c>
      <c r="T94" s="66" t="n">
        <f aca="false">T78*$C$15+T84*$C$15+T88+T91</f>
        <v>0</v>
      </c>
      <c r="U94" s="66" t="n">
        <f aca="false">U78*$C$15+U84*$C$15+U88+U91</f>
        <v>0</v>
      </c>
      <c r="V94" s="66" t="n">
        <f aca="false">V78*$C$15+V84*$C$15+V88+V91</f>
        <v>0</v>
      </c>
      <c r="W94" s="66" t="n">
        <f aca="false">W78*$C$15+W84*$C$15+W88+W91</f>
        <v>0</v>
      </c>
      <c r="X94" s="66" t="n">
        <f aca="false">X78*$C$15+X84*$C$15+X88+X91</f>
        <v>0</v>
      </c>
      <c r="Y94" s="66" t="n">
        <f aca="false">Y78*$C$15+Y84*$C$15+Y88+Y91</f>
        <v>0</v>
      </c>
      <c r="Z94" s="66" t="n">
        <f aca="false">Z78*$C$15+Z84*$C$15+Z88+Z91</f>
        <v>0</v>
      </c>
      <c r="AA94" s="66" t="n">
        <f aca="false">AA78*$C$15+AA84*$C$15+AA88+AA91</f>
        <v>0</v>
      </c>
      <c r="AB94" s="66" t="n">
        <f aca="false">AB78*$C$15+AB84*$C$15+AB88+AB91</f>
        <v>0</v>
      </c>
      <c r="AC94" s="66" t="n">
        <f aca="false">AC78*$C$15+AC84*$C$15+AC88+AC91</f>
        <v>0</v>
      </c>
      <c r="AD94" s="66" t="n">
        <f aca="false">AD78*$C$15+AD84*$C$15+AD88+AD91</f>
        <v>0</v>
      </c>
      <c r="AE94" s="66" t="n">
        <f aca="false">AE78*$C$15+AE84*$C$15+AE88+AE91</f>
        <v>0</v>
      </c>
      <c r="AF94" s="66" t="n">
        <f aca="false">AF78*$C$15+AF84*$C$15+AF88+AF91</f>
        <v>0</v>
      </c>
      <c r="AG94" s="66" t="n">
        <f aca="false">AG78*$C$15+AG84*$C$15+AG88+AG91</f>
        <v>0</v>
      </c>
      <c r="AH94" s="66" t="n">
        <f aca="false">AH78*$C$15+AH84*$C$15+AH88+AH91</f>
        <v>0</v>
      </c>
      <c r="AI94" s="66" t="n">
        <f aca="false">AI78*$C$15+AI84*$C$15+AI88+AI91</f>
        <v>0</v>
      </c>
      <c r="AJ94" s="66" t="n">
        <f aca="false">AJ78*$C$15+AJ84*$C$15+AJ88+AJ91</f>
        <v>0</v>
      </c>
      <c r="AK94" s="66" t="n">
        <f aca="false">AK78*$C$15+AK84*$C$15+AK88+AK91</f>
        <v>0</v>
      </c>
      <c r="AL94" s="66" t="n">
        <f aca="false">AL78*$C$15+AL84*$C$15+AL88+AL91</f>
        <v>0</v>
      </c>
      <c r="AM94" s="66" t="n">
        <f aca="false">AM78*$C$15+AM84*$C$15+AM88+AM91</f>
        <v>0</v>
      </c>
      <c r="AN94" s="66" t="n">
        <f aca="false">AN78*$C$15+AN84*$C$15+AN88+AN91</f>
        <v>0</v>
      </c>
      <c r="AO94" s="66" t="n">
        <f aca="false">AO78*$C$15+AO84*$C$15+AO88+AO91</f>
        <v>0</v>
      </c>
      <c r="AP94" s="66" t="n">
        <f aca="false">AP78*$C$15+AP84*$C$15+AP88+AP91</f>
        <v>0</v>
      </c>
      <c r="AQ94" s="66" t="n">
        <f aca="false">AQ78*$C$15+AQ84*$C$15+AQ88+AQ91</f>
        <v>0</v>
      </c>
      <c r="AR94" s="66" t="n">
        <f aca="false">AR78*$C$15+AR84*$C$15+AR88+AR91</f>
        <v>0</v>
      </c>
      <c r="AS94" s="66" t="n">
        <f aca="false">AS78*$C$15+AS84*$C$15+AS88+AS91</f>
        <v>0</v>
      </c>
      <c r="AT94" s="66" t="n">
        <f aca="false">AT78*$C$15+AT84*$C$15+AT88+AT91</f>
        <v>0</v>
      </c>
      <c r="AU94" s="66" t="n">
        <f aca="false">AU78*$C$15+AU84*$C$15+AU88+AU91</f>
        <v>0</v>
      </c>
      <c r="AV94" s="66" t="n">
        <f aca="false">AV78*$C$15+AV84*$C$15+AV88+AV91</f>
        <v>0</v>
      </c>
      <c r="AW94" s="66" t="n">
        <f aca="false">AW78*$C$15+AW84*$C$15+AW88+AW91</f>
        <v>0</v>
      </c>
      <c r="AX94" s="66" t="n">
        <f aca="false">AX78*$C$15+AX84*$C$15+AX88+AX91</f>
        <v>0</v>
      </c>
      <c r="AY94" s="66" t="n">
        <f aca="false">AY78*$C$15+AY84*$C$15+AY88+AY91</f>
        <v>0</v>
      </c>
      <c r="AZ94" s="66" t="n">
        <f aca="false">AZ78*$C$15+AZ84*$C$15+AZ88+AZ91</f>
        <v>0</v>
      </c>
      <c r="BA94" s="66" t="n">
        <f aca="false">BA78*$C$15+BA84*$C$15+BA88+BA91</f>
        <v>0</v>
      </c>
      <c r="BB94" s="66" t="n">
        <f aca="false">BB78*$C$15+BB84*$C$15+BB88+BB91</f>
        <v>0</v>
      </c>
    </row>
    <row r="95" customFormat="false" ht="15" hidden="false" customHeight="true" outlineLevel="0" collapsed="false">
      <c r="B95" s="20" t="s">
        <v>497</v>
      </c>
      <c r="C95" s="59" t="s">
        <v>11</v>
      </c>
      <c r="D95" s="63" t="n">
        <f aca="false">SUM(E95:BB95)</f>
        <v>845961069.556441</v>
      </c>
      <c r="E95" s="63" t="n">
        <f aca="false">E93+E94</f>
        <v>0</v>
      </c>
      <c r="F95" s="63" t="n">
        <f aca="false">F93+F94</f>
        <v>0</v>
      </c>
      <c r="G95" s="63" t="n">
        <f aca="false">G93+G94</f>
        <v>0</v>
      </c>
      <c r="H95" s="63" t="n">
        <f aca="false">H93+H94</f>
        <v>0</v>
      </c>
      <c r="I95" s="63" t="n">
        <f aca="false">I93+I94</f>
        <v>0</v>
      </c>
      <c r="J95" s="63" t="n">
        <f aca="false">J93+J94</f>
        <v>0</v>
      </c>
      <c r="K95" s="63" t="n">
        <f aca="false">K93+K94</f>
        <v>0</v>
      </c>
      <c r="L95" s="63" t="n">
        <f aca="false">L93+L94</f>
        <v>0</v>
      </c>
      <c r="M95" s="63" t="n">
        <f aca="false">M93+M94</f>
        <v>0</v>
      </c>
      <c r="N95" s="63" t="n">
        <f aca="false">N93+N94</f>
        <v>845961069.556441</v>
      </c>
      <c r="O95" s="63" t="n">
        <f aca="false">O93+O94</f>
        <v>0</v>
      </c>
      <c r="P95" s="63" t="n">
        <f aca="false">P93+P94</f>
        <v>0</v>
      </c>
      <c r="Q95" s="63" t="n">
        <f aca="false">Q93+Q94</f>
        <v>0</v>
      </c>
      <c r="R95" s="63" t="n">
        <f aca="false">R93+R94</f>
        <v>0</v>
      </c>
      <c r="S95" s="63" t="n">
        <f aca="false">S93+S94</f>
        <v>0</v>
      </c>
      <c r="T95" s="63" t="n">
        <f aca="false">T93+T94</f>
        <v>0</v>
      </c>
      <c r="U95" s="63" t="n">
        <f aca="false">U93+U94</f>
        <v>0</v>
      </c>
      <c r="V95" s="63" t="n">
        <f aca="false">V93+V94</f>
        <v>0</v>
      </c>
      <c r="W95" s="63" t="n">
        <f aca="false">W93+W94</f>
        <v>0</v>
      </c>
      <c r="X95" s="63" t="n">
        <f aca="false">X93+X94</f>
        <v>0</v>
      </c>
      <c r="Y95" s="63" t="n">
        <f aca="false">Y93+Y94</f>
        <v>0</v>
      </c>
      <c r="Z95" s="63" t="n">
        <f aca="false">Z93+Z94</f>
        <v>0</v>
      </c>
      <c r="AA95" s="63" t="n">
        <f aca="false">AA93+AA94</f>
        <v>0</v>
      </c>
      <c r="AB95" s="63" t="n">
        <f aca="false">AB93+AB94</f>
        <v>0</v>
      </c>
      <c r="AC95" s="63" t="n">
        <f aca="false">AC93+AC94</f>
        <v>0</v>
      </c>
      <c r="AD95" s="63" t="n">
        <f aca="false">AD93+AD94</f>
        <v>0</v>
      </c>
      <c r="AE95" s="63" t="n">
        <f aca="false">AE93+AE94</f>
        <v>0</v>
      </c>
      <c r="AF95" s="63" t="n">
        <f aca="false">AF93+AF94</f>
        <v>0</v>
      </c>
      <c r="AG95" s="63" t="n">
        <f aca="false">AG93+AG94</f>
        <v>0</v>
      </c>
      <c r="AH95" s="63" t="n">
        <f aca="false">AH93+AH94</f>
        <v>0</v>
      </c>
      <c r="AI95" s="63" t="n">
        <f aca="false">AI93+AI94</f>
        <v>0</v>
      </c>
      <c r="AJ95" s="63" t="n">
        <f aca="false">AJ93+AJ94</f>
        <v>0</v>
      </c>
      <c r="AK95" s="63" t="n">
        <f aca="false">AK93+AK94</f>
        <v>0</v>
      </c>
      <c r="AL95" s="63" t="n">
        <f aca="false">AL93+AL94</f>
        <v>0</v>
      </c>
      <c r="AM95" s="63" t="n">
        <f aca="false">AM93+AM94</f>
        <v>0</v>
      </c>
      <c r="AN95" s="63" t="n">
        <f aca="false">AN93+AN94</f>
        <v>0</v>
      </c>
      <c r="AO95" s="63" t="n">
        <f aca="false">AO93+AO94</f>
        <v>0</v>
      </c>
      <c r="AP95" s="63" t="n">
        <f aca="false">AP93+AP94</f>
        <v>0</v>
      </c>
      <c r="AQ95" s="63" t="n">
        <f aca="false">AQ93+AQ94</f>
        <v>0</v>
      </c>
      <c r="AR95" s="63" t="n">
        <f aca="false">AR93+AR94</f>
        <v>0</v>
      </c>
      <c r="AS95" s="63" t="n">
        <f aca="false">AS93+AS94</f>
        <v>0</v>
      </c>
      <c r="AT95" s="63" t="n">
        <f aca="false">AT93+AT94</f>
        <v>0</v>
      </c>
      <c r="AU95" s="63" t="n">
        <f aca="false">AU93+AU94</f>
        <v>0</v>
      </c>
      <c r="AV95" s="63" t="n">
        <f aca="false">AV93+AV94</f>
        <v>0</v>
      </c>
      <c r="AW95" s="63" t="n">
        <f aca="false">AW93+AW94</f>
        <v>0</v>
      </c>
      <c r="AX95" s="63" t="n">
        <f aca="false">AX93+AX94</f>
        <v>0</v>
      </c>
      <c r="AY95" s="63" t="n">
        <f aca="false">AY93+AY94</f>
        <v>0</v>
      </c>
      <c r="AZ95" s="63" t="n">
        <f aca="false">AZ93+AZ94</f>
        <v>0</v>
      </c>
      <c r="BA95" s="63" t="n">
        <f aca="false">BA93+BA94</f>
        <v>0</v>
      </c>
      <c r="BB95" s="63" t="n">
        <f aca="false">BB93+BB94</f>
        <v>0</v>
      </c>
    </row>
    <row r="97" customFormat="false" ht="15" hidden="false" customHeight="true" outlineLevel="0" collapsed="false">
      <c r="A97" s="58" t="s">
        <v>498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customFormat="false" ht="15" hidden="false" customHeight="true" outlineLevel="0" collapsed="false">
      <c r="C98" s="69" t="s">
        <v>262</v>
      </c>
      <c r="D98" s="69" t="s">
        <v>60</v>
      </c>
      <c r="E98" s="70" t="n">
        <f aca="false">E$46</f>
        <v>2026</v>
      </c>
      <c r="F98" s="70" t="n">
        <f aca="false">F$46</f>
        <v>2027</v>
      </c>
      <c r="G98" s="70" t="n">
        <f aca="false">G$46</f>
        <v>2028</v>
      </c>
      <c r="H98" s="70" t="n">
        <f aca="false">H$46</f>
        <v>2029</v>
      </c>
      <c r="I98" s="70" t="n">
        <f aca="false">I$46</f>
        <v>2030</v>
      </c>
      <c r="J98" s="70" t="n">
        <f aca="false">J$46</f>
        <v>2031</v>
      </c>
      <c r="K98" s="70" t="n">
        <f aca="false">K$46</f>
        <v>2032</v>
      </c>
      <c r="L98" s="70" t="n">
        <f aca="false">L$46</f>
        <v>2033</v>
      </c>
      <c r="M98" s="70" t="n">
        <f aca="false">M$46</f>
        <v>2034</v>
      </c>
      <c r="N98" s="70" t="n">
        <f aca="false">N$46</f>
        <v>2035</v>
      </c>
      <c r="O98" s="70" t="n">
        <f aca="false">O$46</f>
        <v>2036</v>
      </c>
      <c r="P98" s="70" t="n">
        <f aca="false">P$46</f>
        <v>2037</v>
      </c>
      <c r="Q98" s="70" t="n">
        <f aca="false">Q$46</f>
        <v>2038</v>
      </c>
      <c r="R98" s="70" t="n">
        <f aca="false">R$46</f>
        <v>2039</v>
      </c>
      <c r="S98" s="70" t="n">
        <f aca="false">S$46</f>
        <v>2040</v>
      </c>
      <c r="T98" s="70" t="n">
        <f aca="false">T$46</f>
        <v>2041</v>
      </c>
      <c r="U98" s="70" t="n">
        <f aca="false">U$46</f>
        <v>2042</v>
      </c>
      <c r="V98" s="70" t="n">
        <f aca="false">V$46</f>
        <v>2043</v>
      </c>
      <c r="W98" s="70" t="n">
        <f aca="false">W$46</f>
        <v>2044</v>
      </c>
      <c r="X98" s="70" t="n">
        <f aca="false">X$46</f>
        <v>2045</v>
      </c>
      <c r="Y98" s="70" t="n">
        <f aca="false">Y$46</f>
        <v>2046</v>
      </c>
      <c r="Z98" s="70" t="n">
        <f aca="false">Z$46</f>
        <v>2047</v>
      </c>
      <c r="AA98" s="70" t="n">
        <f aca="false">AA$46</f>
        <v>2048</v>
      </c>
      <c r="AB98" s="70" t="n">
        <f aca="false">AB$46</f>
        <v>2049</v>
      </c>
      <c r="AC98" s="70" t="n">
        <f aca="false">AC$46</f>
        <v>2050</v>
      </c>
      <c r="AD98" s="70" t="n">
        <f aca="false">AD$46</f>
        <v>2051</v>
      </c>
      <c r="AE98" s="70" t="n">
        <f aca="false">AE$46</f>
        <v>2052</v>
      </c>
      <c r="AF98" s="70" t="n">
        <f aca="false">AF$46</f>
        <v>2053</v>
      </c>
      <c r="AG98" s="70" t="n">
        <f aca="false">AG$46</f>
        <v>2054</v>
      </c>
      <c r="AH98" s="70" t="n">
        <f aca="false">AH$46</f>
        <v>2055</v>
      </c>
      <c r="AI98" s="70" t="n">
        <f aca="false">AI$46</f>
        <v>2056</v>
      </c>
      <c r="AJ98" s="70" t="n">
        <f aca="false">AJ$46</f>
        <v>2057</v>
      </c>
      <c r="AK98" s="70" t="n">
        <f aca="false">AK$46</f>
        <v>2058</v>
      </c>
      <c r="AL98" s="70" t="n">
        <f aca="false">AL$46</f>
        <v>2059</v>
      </c>
      <c r="AM98" s="70" t="n">
        <f aca="false">AM$46</f>
        <v>2060</v>
      </c>
      <c r="AN98" s="70" t="n">
        <f aca="false">AN$46</f>
        <v>2061</v>
      </c>
      <c r="AO98" s="70" t="n">
        <f aca="false">AO$46</f>
        <v>2062</v>
      </c>
      <c r="AP98" s="70" t="n">
        <f aca="false">AP$46</f>
        <v>2063</v>
      </c>
      <c r="AQ98" s="70" t="n">
        <f aca="false">AQ$46</f>
        <v>2064</v>
      </c>
      <c r="AR98" s="70" t="n">
        <f aca="false">AR$46</f>
        <v>2065</v>
      </c>
      <c r="AS98" s="70" t="n">
        <f aca="false">AS$46</f>
        <v>2066</v>
      </c>
      <c r="AT98" s="70" t="n">
        <f aca="false">AT$46</f>
        <v>2067</v>
      </c>
      <c r="AU98" s="70" t="n">
        <f aca="false">AU$46</f>
        <v>2068</v>
      </c>
      <c r="AV98" s="70" t="n">
        <f aca="false">AV$46</f>
        <v>2069</v>
      </c>
      <c r="AW98" s="70" t="n">
        <f aca="false">AW$46</f>
        <v>2070</v>
      </c>
      <c r="AX98" s="70" t="n">
        <f aca="false">AX$46</f>
        <v>2071</v>
      </c>
      <c r="AY98" s="70" t="n">
        <f aca="false">AY$46</f>
        <v>2072</v>
      </c>
      <c r="AZ98" s="70" t="n">
        <f aca="false">AZ$46</f>
        <v>2073</v>
      </c>
      <c r="BA98" s="70" t="n">
        <f aca="false">BA$46</f>
        <v>2074</v>
      </c>
      <c r="BB98" s="70" t="n">
        <f aca="false">BB$46</f>
        <v>2075</v>
      </c>
    </row>
    <row r="99" customFormat="false" ht="15" hidden="false" customHeight="true" outlineLevel="0" collapsed="false">
      <c r="B99" s="59" t="s">
        <v>499</v>
      </c>
      <c r="C99" s="59" t="s">
        <v>11</v>
      </c>
      <c r="D99" s="63" t="n">
        <f aca="false">SUM(E99:BB99)</f>
        <v>320010994.664348</v>
      </c>
      <c r="E99" s="66" t="n">
        <f aca="false">-E56*$C$16+E93</f>
        <v>0</v>
      </c>
      <c r="F99" s="66" t="n">
        <f aca="false">-F56*$C$16+F93</f>
        <v>0</v>
      </c>
      <c r="G99" s="66" t="n">
        <f aca="false">-G56*$C$16+G93</f>
        <v>0</v>
      </c>
      <c r="H99" s="66" t="n">
        <f aca="false">-H56*$C$16+H93</f>
        <v>-3969995.30551944</v>
      </c>
      <c r="I99" s="66" t="n">
        <f aca="false">-I56*$C$16+I93</f>
        <v>-50789920.0443561</v>
      </c>
      <c r="J99" s="66" t="n">
        <f aca="false">-J56*$C$16+J93</f>
        <v>-42431774.2827522</v>
      </c>
      <c r="K99" s="66" t="n">
        <f aca="false">-K56*$C$16+K93</f>
        <v>-20100321.8622438</v>
      </c>
      <c r="L99" s="66" t="n">
        <f aca="false">-L56*$C$16+L93</f>
        <v>-2121934.67191278</v>
      </c>
      <c r="M99" s="66" t="n">
        <f aca="false">-M56*$C$16+M93</f>
        <v>-2121934.67191278</v>
      </c>
      <c r="N99" s="66" t="n">
        <f aca="false">-N56*$C$16+N93</f>
        <v>441546875.503045</v>
      </c>
      <c r="O99" s="66" t="n">
        <f aca="false">-O56*$C$16+O93</f>
        <v>0</v>
      </c>
      <c r="P99" s="66" t="n">
        <f aca="false">-P56*$C$16+P93</f>
        <v>0</v>
      </c>
      <c r="Q99" s="66" t="n">
        <f aca="false">-Q56*$C$16+Q93</f>
        <v>0</v>
      </c>
      <c r="R99" s="66" t="n">
        <f aca="false">-R56*$C$16+R93</f>
        <v>0</v>
      </c>
      <c r="S99" s="66" t="n">
        <f aca="false">-S56*$C$16+S93</f>
        <v>0</v>
      </c>
      <c r="T99" s="66" t="n">
        <f aca="false">-T56*$C$16+T93</f>
        <v>0</v>
      </c>
      <c r="U99" s="66" t="n">
        <f aca="false">-U56*$C$16+U93</f>
        <v>0</v>
      </c>
      <c r="V99" s="66" t="n">
        <f aca="false">-V56*$C$16+V93</f>
        <v>0</v>
      </c>
      <c r="W99" s="66" t="n">
        <f aca="false">-W56*$C$16+W93</f>
        <v>0</v>
      </c>
      <c r="X99" s="66" t="n">
        <f aca="false">-X56*$C$16+X93</f>
        <v>0</v>
      </c>
      <c r="Y99" s="66" t="n">
        <f aca="false">-Y56*$C$16+Y93</f>
        <v>0</v>
      </c>
      <c r="Z99" s="66" t="n">
        <f aca="false">-Z56*$C$16+Z93</f>
        <v>0</v>
      </c>
      <c r="AA99" s="66" t="n">
        <f aca="false">-AA56*$C$16+AA93</f>
        <v>0</v>
      </c>
      <c r="AB99" s="66" t="n">
        <f aca="false">-AB56*$C$16+AB93</f>
        <v>0</v>
      </c>
      <c r="AC99" s="66" t="n">
        <f aca="false">-AC56*$C$16+AC93</f>
        <v>0</v>
      </c>
      <c r="AD99" s="66" t="n">
        <f aca="false">-AD56*$C$16+AD93</f>
        <v>0</v>
      </c>
      <c r="AE99" s="66" t="n">
        <f aca="false">-AE56*$C$16+AE93</f>
        <v>0</v>
      </c>
      <c r="AF99" s="66" t="n">
        <f aca="false">-AF56*$C$16+AF93</f>
        <v>0</v>
      </c>
      <c r="AG99" s="66" t="n">
        <f aca="false">-AG56*$C$16+AG93</f>
        <v>0</v>
      </c>
      <c r="AH99" s="66" t="n">
        <f aca="false">-AH56*$C$16+AH93</f>
        <v>0</v>
      </c>
      <c r="AI99" s="66" t="n">
        <f aca="false">-AI56*$C$16+AI93</f>
        <v>0</v>
      </c>
      <c r="AJ99" s="66" t="n">
        <f aca="false">-AJ56*$C$16+AJ93</f>
        <v>0</v>
      </c>
      <c r="AK99" s="66" t="n">
        <f aca="false">-AK56*$C$16+AK93</f>
        <v>0</v>
      </c>
      <c r="AL99" s="66" t="n">
        <f aca="false">-AL56*$C$16+AL93</f>
        <v>0</v>
      </c>
      <c r="AM99" s="66" t="n">
        <f aca="false">-AM56*$C$16+AM93</f>
        <v>0</v>
      </c>
      <c r="AN99" s="66" t="n">
        <f aca="false">-AN56*$C$16+AN93</f>
        <v>0</v>
      </c>
      <c r="AO99" s="66" t="n">
        <f aca="false">-AO56*$C$16+AO93</f>
        <v>0</v>
      </c>
      <c r="AP99" s="66" t="n">
        <f aca="false">-AP56*$C$16+AP93</f>
        <v>0</v>
      </c>
      <c r="AQ99" s="66" t="n">
        <f aca="false">-AQ56*$C$16+AQ93</f>
        <v>0</v>
      </c>
      <c r="AR99" s="66" t="n">
        <f aca="false">-AR56*$C$16+AR93</f>
        <v>0</v>
      </c>
      <c r="AS99" s="66" t="n">
        <f aca="false">-AS56*$C$16+AS93</f>
        <v>0</v>
      </c>
      <c r="AT99" s="66" t="n">
        <f aca="false">-AT56*$C$16+AT93</f>
        <v>0</v>
      </c>
      <c r="AU99" s="66" t="n">
        <f aca="false">-AU56*$C$16+AU93</f>
        <v>0</v>
      </c>
      <c r="AV99" s="66" t="n">
        <f aca="false">-AV56*$C$16+AV93</f>
        <v>0</v>
      </c>
      <c r="AW99" s="66" t="n">
        <f aca="false">-AW56*$C$16+AW93</f>
        <v>0</v>
      </c>
      <c r="AX99" s="66" t="n">
        <f aca="false">-AX56*$C$16+AX93</f>
        <v>0</v>
      </c>
      <c r="AY99" s="66" t="n">
        <f aca="false">-AY56*$C$16+AY93</f>
        <v>0</v>
      </c>
      <c r="AZ99" s="66" t="n">
        <f aca="false">-AZ56*$C$16+AZ93</f>
        <v>0</v>
      </c>
      <c r="BA99" s="66" t="n">
        <f aca="false">-BA56*$C$16+BA93</f>
        <v>0</v>
      </c>
      <c r="BB99" s="66" t="n">
        <f aca="false">-BB56*$C$16+BB93</f>
        <v>0</v>
      </c>
    </row>
    <row r="100" customFormat="false" ht="15" hidden="false" customHeight="true" outlineLevel="0" collapsed="false">
      <c r="B100" s="59" t="s">
        <v>500</v>
      </c>
      <c r="C100" s="59" t="s">
        <v>11</v>
      </c>
      <c r="E100" s="66" t="n">
        <f aca="false">E99</f>
        <v>0</v>
      </c>
      <c r="F100" s="66" t="n">
        <f aca="false">E100+F99</f>
        <v>0</v>
      </c>
      <c r="G100" s="66" t="n">
        <f aca="false">F100+G99</f>
        <v>0</v>
      </c>
      <c r="H100" s="66" t="n">
        <f aca="false">G100+H99</f>
        <v>-3969995.30551944</v>
      </c>
      <c r="I100" s="66" t="n">
        <f aca="false">H100+I99</f>
        <v>-54759915.3498756</v>
      </c>
      <c r="J100" s="66" t="n">
        <f aca="false">I100+J99</f>
        <v>-97191689.6326277</v>
      </c>
      <c r="K100" s="66" t="n">
        <f aca="false">J100+K99</f>
        <v>-117292011.494872</v>
      </c>
      <c r="L100" s="66" t="n">
        <f aca="false">K100+L99</f>
        <v>-119413946.166784</v>
      </c>
      <c r="M100" s="66" t="n">
        <f aca="false">L100+M99</f>
        <v>-121535880.838697</v>
      </c>
      <c r="N100" s="66" t="n">
        <f aca="false">M100+N99</f>
        <v>320010994.664348</v>
      </c>
      <c r="O100" s="66" t="n">
        <f aca="false">N100+O99</f>
        <v>320010994.664348</v>
      </c>
      <c r="P100" s="66" t="n">
        <f aca="false">O100+P99</f>
        <v>320010994.664348</v>
      </c>
      <c r="Q100" s="66" t="n">
        <f aca="false">P100+Q99</f>
        <v>320010994.664348</v>
      </c>
      <c r="R100" s="66" t="n">
        <f aca="false">Q100+R99</f>
        <v>320010994.664348</v>
      </c>
      <c r="S100" s="66" t="n">
        <f aca="false">R100+S99</f>
        <v>320010994.664348</v>
      </c>
      <c r="T100" s="66" t="n">
        <f aca="false">S100+T99</f>
        <v>320010994.664348</v>
      </c>
      <c r="U100" s="66" t="n">
        <f aca="false">T100+U99</f>
        <v>320010994.664348</v>
      </c>
      <c r="V100" s="66" t="n">
        <f aca="false">U100+V99</f>
        <v>320010994.664348</v>
      </c>
      <c r="W100" s="66" t="n">
        <f aca="false">V100+W99</f>
        <v>320010994.664348</v>
      </c>
      <c r="X100" s="66" t="n">
        <f aca="false">W100+X99</f>
        <v>320010994.664348</v>
      </c>
      <c r="Y100" s="66" t="n">
        <f aca="false">X100+Y99</f>
        <v>320010994.664348</v>
      </c>
      <c r="Z100" s="66" t="n">
        <f aca="false">Y100+Z99</f>
        <v>320010994.664348</v>
      </c>
      <c r="AA100" s="66" t="n">
        <f aca="false">Z100+AA99</f>
        <v>320010994.664348</v>
      </c>
      <c r="AB100" s="66" t="n">
        <f aca="false">AA100+AB99</f>
        <v>320010994.664348</v>
      </c>
      <c r="AC100" s="66" t="n">
        <f aca="false">AB100+AC99</f>
        <v>320010994.664348</v>
      </c>
      <c r="AD100" s="66" t="n">
        <f aca="false">AC100+AD99</f>
        <v>320010994.664348</v>
      </c>
      <c r="AE100" s="66" t="n">
        <f aca="false">AD100+AE99</f>
        <v>320010994.664348</v>
      </c>
      <c r="AF100" s="66" t="n">
        <f aca="false">AE100+AF99</f>
        <v>320010994.664348</v>
      </c>
      <c r="AG100" s="66" t="n">
        <f aca="false">AF100+AG99</f>
        <v>320010994.664348</v>
      </c>
      <c r="AH100" s="66" t="n">
        <f aca="false">AG100+AH99</f>
        <v>320010994.664348</v>
      </c>
      <c r="AI100" s="66" t="n">
        <f aca="false">AH100+AI99</f>
        <v>320010994.664348</v>
      </c>
      <c r="AJ100" s="66" t="n">
        <f aca="false">AI100+AJ99</f>
        <v>320010994.664348</v>
      </c>
      <c r="AK100" s="66" t="n">
        <f aca="false">AJ100+AK99</f>
        <v>320010994.664348</v>
      </c>
      <c r="AL100" s="66" t="n">
        <f aca="false">AK100+AL99</f>
        <v>320010994.664348</v>
      </c>
      <c r="AM100" s="66" t="n">
        <f aca="false">AL100+AM99</f>
        <v>320010994.664348</v>
      </c>
      <c r="AN100" s="66" t="n">
        <f aca="false">AM100+AN99</f>
        <v>320010994.664348</v>
      </c>
      <c r="AO100" s="66" t="n">
        <f aca="false">AN100+AO99</f>
        <v>320010994.664348</v>
      </c>
      <c r="AP100" s="66" t="n">
        <f aca="false">AO100+AP99</f>
        <v>320010994.664348</v>
      </c>
      <c r="AQ100" s="66" t="n">
        <f aca="false">AP100+AQ99</f>
        <v>320010994.664348</v>
      </c>
      <c r="AR100" s="66" t="n">
        <f aca="false">AQ100+AR99</f>
        <v>320010994.664348</v>
      </c>
      <c r="AS100" s="66" t="n">
        <f aca="false">AR100+AS99</f>
        <v>320010994.664348</v>
      </c>
      <c r="AT100" s="66" t="n">
        <f aca="false">AS100+AT99</f>
        <v>320010994.664348</v>
      </c>
      <c r="AU100" s="66" t="n">
        <f aca="false">AT100+AU99</f>
        <v>320010994.664348</v>
      </c>
      <c r="AV100" s="66" t="n">
        <f aca="false">AU100+AV99</f>
        <v>320010994.664348</v>
      </c>
      <c r="AW100" s="66" t="n">
        <f aca="false">AV100+AW99</f>
        <v>320010994.664348</v>
      </c>
      <c r="AX100" s="66" t="n">
        <f aca="false">AW100+AX99</f>
        <v>320010994.664348</v>
      </c>
      <c r="AY100" s="66" t="n">
        <f aca="false">AX100+AY99</f>
        <v>320010994.664348</v>
      </c>
      <c r="AZ100" s="66" t="n">
        <f aca="false">AY100+AZ99</f>
        <v>320010994.664348</v>
      </c>
      <c r="BA100" s="66" t="n">
        <f aca="false">AZ100+BA99</f>
        <v>320010994.664348</v>
      </c>
      <c r="BB100" s="66" t="n">
        <f aca="false">BA100+BB99</f>
        <v>320010994.664348</v>
      </c>
    </row>
    <row r="101" customFormat="false" ht="15" hidden="false" customHeight="true" outlineLevel="0" collapsed="false">
      <c r="B101" s="20" t="s">
        <v>501</v>
      </c>
      <c r="C101" s="59" t="s">
        <v>268</v>
      </c>
      <c r="E101" s="67" t="n">
        <f aca="false">IFERROR(IRR(E99:BB99),"-")</f>
        <v>0.345017728732261</v>
      </c>
    </row>
    <row r="103" customFormat="false" ht="15" hidden="false" customHeight="true" outlineLevel="0" collapsed="false">
      <c r="B103" s="59" t="s">
        <v>502</v>
      </c>
      <c r="C103" s="59" t="s">
        <v>11</v>
      </c>
      <c r="D103" s="63" t="n">
        <f aca="false">SUM(E103:BB103)</f>
        <v>278394477.581773</v>
      </c>
      <c r="E103" s="66" t="n">
        <f aca="false">-E56*$C$15+E94</f>
        <v>0</v>
      </c>
      <c r="F103" s="66" t="n">
        <f aca="false">-F56*$C$15+F94</f>
        <v>0</v>
      </c>
      <c r="G103" s="66" t="n">
        <f aca="false">-G56*$C$15+G94</f>
        <v>0</v>
      </c>
      <c r="H103" s="66" t="n">
        <f aca="false">-H56*$C$15+H94</f>
        <v>-4116460.74675863</v>
      </c>
      <c r="I103" s="66" t="n">
        <f aca="false">-I56*$C$15+I94</f>
        <v>-52663717.7386399</v>
      </c>
      <c r="J103" s="66" t="n">
        <f aca="false">-J56*$C$15+J94</f>
        <v>-43997214.0539894</v>
      </c>
      <c r="K103" s="66" t="n">
        <f aca="false">-K56*$C$15+K94</f>
        <v>-20841885.0843742</v>
      </c>
      <c r="L103" s="66" t="n">
        <f aca="false">-L56*$C$15+L94</f>
        <v>-2200219.42393008</v>
      </c>
      <c r="M103" s="66" t="n">
        <f aca="false">-M56*$C$15+M94</f>
        <v>-2200219.42393008</v>
      </c>
      <c r="N103" s="66" t="n">
        <f aca="false">-N56*$C$15+N94</f>
        <v>404414194.053395</v>
      </c>
      <c r="O103" s="66" t="n">
        <f aca="false">-O56*$C$15+O94</f>
        <v>0</v>
      </c>
      <c r="P103" s="66" t="n">
        <f aca="false">-P56*$C$15+P94</f>
        <v>0</v>
      </c>
      <c r="Q103" s="66" t="n">
        <f aca="false">-Q56*$C$15+Q94</f>
        <v>0</v>
      </c>
      <c r="R103" s="66" t="n">
        <f aca="false">-R56*$C$15+R94</f>
        <v>0</v>
      </c>
      <c r="S103" s="66" t="n">
        <f aca="false">-S56*$C$15+S94</f>
        <v>0</v>
      </c>
      <c r="T103" s="66" t="n">
        <f aca="false">-T56*$C$15+T94</f>
        <v>0</v>
      </c>
      <c r="U103" s="66" t="n">
        <f aca="false">-U56*$C$15+U94</f>
        <v>0</v>
      </c>
      <c r="V103" s="66" t="n">
        <f aca="false">-V56*$C$15+V94</f>
        <v>0</v>
      </c>
      <c r="W103" s="66" t="n">
        <f aca="false">-W56*$C$15+W94</f>
        <v>0</v>
      </c>
      <c r="X103" s="66" t="n">
        <f aca="false">-X56*$C$15+X94</f>
        <v>0</v>
      </c>
      <c r="Y103" s="66" t="n">
        <f aca="false">-Y56*$C$15+Y94</f>
        <v>0</v>
      </c>
      <c r="Z103" s="66" t="n">
        <f aca="false">-Z56*$C$15+Z94</f>
        <v>0</v>
      </c>
      <c r="AA103" s="66" t="n">
        <f aca="false">-AA56*$C$15+AA94</f>
        <v>0</v>
      </c>
      <c r="AB103" s="66" t="n">
        <f aca="false">-AB56*$C$15+AB94</f>
        <v>0</v>
      </c>
      <c r="AC103" s="66" t="n">
        <f aca="false">-AC56*$C$15+AC94</f>
        <v>0</v>
      </c>
      <c r="AD103" s="66" t="n">
        <f aca="false">-AD56*$C$15+AD94</f>
        <v>0</v>
      </c>
      <c r="AE103" s="66" t="n">
        <f aca="false">-AE56*$C$15+AE94</f>
        <v>0</v>
      </c>
      <c r="AF103" s="66" t="n">
        <f aca="false">-AF56*$C$15+AF94</f>
        <v>0</v>
      </c>
      <c r="AG103" s="66" t="n">
        <f aca="false">-AG56*$C$15+AG94</f>
        <v>0</v>
      </c>
      <c r="AH103" s="66" t="n">
        <f aca="false">-AH56*$C$15+AH94</f>
        <v>0</v>
      </c>
      <c r="AI103" s="66" t="n">
        <f aca="false">-AI56*$C$15+AI94</f>
        <v>0</v>
      </c>
      <c r="AJ103" s="66" t="n">
        <f aca="false">-AJ56*$C$15+AJ94</f>
        <v>0</v>
      </c>
      <c r="AK103" s="66" t="n">
        <f aca="false">-AK56*$C$15+AK94</f>
        <v>0</v>
      </c>
      <c r="AL103" s="66" t="n">
        <f aca="false">-AL56*$C$15+AL94</f>
        <v>0</v>
      </c>
      <c r="AM103" s="66" t="n">
        <f aca="false">-AM56*$C$15+AM94</f>
        <v>0</v>
      </c>
      <c r="AN103" s="66" t="n">
        <f aca="false">-AN56*$C$15+AN94</f>
        <v>0</v>
      </c>
      <c r="AO103" s="66" t="n">
        <f aca="false">-AO56*$C$15+AO94</f>
        <v>0</v>
      </c>
      <c r="AP103" s="66" t="n">
        <f aca="false">-AP56*$C$15+AP94</f>
        <v>0</v>
      </c>
      <c r="AQ103" s="66" t="n">
        <f aca="false">-AQ56*$C$15+AQ94</f>
        <v>0</v>
      </c>
      <c r="AR103" s="66" t="n">
        <f aca="false">-AR56*$C$15+AR94</f>
        <v>0</v>
      </c>
      <c r="AS103" s="66" t="n">
        <f aca="false">-AS56*$C$15+AS94</f>
        <v>0</v>
      </c>
      <c r="AT103" s="66" t="n">
        <f aca="false">-AT56*$C$15+AT94</f>
        <v>0</v>
      </c>
      <c r="AU103" s="66" t="n">
        <f aca="false">-AU56*$C$15+AU94</f>
        <v>0</v>
      </c>
      <c r="AV103" s="66" t="n">
        <f aca="false">-AV56*$C$15+AV94</f>
        <v>0</v>
      </c>
      <c r="AW103" s="66" t="n">
        <f aca="false">-AW56*$C$15+AW94</f>
        <v>0</v>
      </c>
      <c r="AX103" s="66" t="n">
        <f aca="false">-AX56*$C$15+AX94</f>
        <v>0</v>
      </c>
      <c r="AY103" s="66" t="n">
        <f aca="false">-AY56*$C$15+AY94</f>
        <v>0</v>
      </c>
      <c r="AZ103" s="66" t="n">
        <f aca="false">-AZ56*$C$15+AZ94</f>
        <v>0</v>
      </c>
      <c r="BA103" s="66" t="n">
        <f aca="false">-BA56*$C$15+BA94</f>
        <v>0</v>
      </c>
      <c r="BB103" s="66" t="n">
        <f aca="false">-BB56*$C$15+BB94</f>
        <v>0</v>
      </c>
    </row>
    <row r="104" customFormat="false" ht="15" hidden="false" customHeight="true" outlineLevel="0" collapsed="false">
      <c r="B104" s="20" t="s">
        <v>503</v>
      </c>
      <c r="C104" s="59" t="s">
        <v>268</v>
      </c>
      <c r="E104" s="67" t="n">
        <f aca="false">IFERROR(IRR(E103:BB103),"-")</f>
        <v>0.308078190826386</v>
      </c>
    </row>
    <row r="106" customFormat="false" ht="15" hidden="false" customHeight="true" outlineLevel="0" collapsed="false">
      <c r="A106" s="58" t="s">
        <v>504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customFormat="false" ht="15" hidden="false" customHeight="true" outlineLevel="0" collapsed="false">
      <c r="B107" s="59" t="s">
        <v>505</v>
      </c>
      <c r="C107" s="71" t="n">
        <f aca="false">IFERROR(IRR(E52:BB52),"-")</f>
        <v>0.217923544345674</v>
      </c>
    </row>
    <row r="108" customFormat="false" ht="15" hidden="false" customHeight="true" outlineLevel="0" collapsed="false">
      <c r="B108" s="59" t="s">
        <v>501</v>
      </c>
      <c r="C108" s="71" t="n">
        <f aca="false">E101</f>
        <v>0.345017728732261</v>
      </c>
    </row>
    <row r="109" customFormat="false" ht="15" hidden="false" customHeight="true" outlineLevel="0" collapsed="false">
      <c r="B109" s="59" t="s">
        <v>503</v>
      </c>
      <c r="C109" s="71" t="n">
        <f aca="false">E104</f>
        <v>0.308078190826386</v>
      </c>
    </row>
    <row r="110" customFormat="false" ht="15" hidden="false" customHeight="true" outlineLevel="0" collapsed="false">
      <c r="B110" s="59" t="s">
        <v>399</v>
      </c>
      <c r="C110" s="72" t="n">
        <f aca="false">IFERROR(D93/(D56*$C$16),"-")</f>
        <v>3.63305776414348</v>
      </c>
    </row>
    <row r="111" customFormat="false" ht="15" hidden="false" customHeight="true" outlineLevel="0" collapsed="false">
      <c r="B111" s="59" t="s">
        <v>400</v>
      </c>
      <c r="C111" s="72" t="n">
        <f aca="false">IFERROR(D94/(D56*$C$15),"-")</f>
        <v>3.20913429562003</v>
      </c>
    </row>
    <row r="113" customFormat="false" ht="15" hidden="false" customHeight="true" outlineLevel="0" collapsed="false">
      <c r="B113" s="59" t="s">
        <v>421</v>
      </c>
      <c r="C113" s="63" t="n">
        <f aca="false">$C$14</f>
        <v>164925352.844855</v>
      </c>
    </row>
    <row r="114" customFormat="false" ht="15" hidden="false" customHeight="true" outlineLevel="0" collapsed="false">
      <c r="B114" s="59" t="s">
        <v>506</v>
      </c>
      <c r="C114" s="63" t="n">
        <f aca="false">D57</f>
        <v>384825823.304663</v>
      </c>
    </row>
    <row r="115" customFormat="false" ht="15" hidden="false" customHeight="true" outlineLevel="0" collapsed="false">
      <c r="B115" s="59" t="s">
        <v>507</v>
      </c>
      <c r="C115" s="63" t="n">
        <f aca="false">D69</f>
        <v>86952398.5613068</v>
      </c>
    </row>
    <row r="116" customFormat="false" ht="15" hidden="false" customHeight="true" outlineLevel="0" collapsed="false">
      <c r="B116" s="59" t="s">
        <v>508</v>
      </c>
      <c r="C116" s="63" t="n">
        <f aca="false">D51</f>
        <v>863200139.512498</v>
      </c>
    </row>
    <row r="118" customFormat="false" ht="15" hidden="false" customHeight="true" outlineLevel="0" collapsed="false">
      <c r="A118" s="58" t="s">
        <v>509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customFormat="false" ht="15" hidden="false" customHeight="true" outlineLevel="0" collapsed="false">
      <c r="B119" s="59" t="s">
        <v>510</v>
      </c>
      <c r="C119" s="59" t="str">
        <f aca="false">IF(ABS(D50-(D47+D48+D49))&lt;1,"✓","✗")</f>
        <v>✓</v>
      </c>
    </row>
    <row r="120" customFormat="false" ht="15" hidden="false" customHeight="true" outlineLevel="0" collapsed="false">
      <c r="B120" s="59" t="s">
        <v>511</v>
      </c>
      <c r="C120" s="59" t="str">
        <f aca="false">IF(ABS(D56-($C$14+D70))&lt;MAX(1,$C$14*0.05),"✓","✗")</f>
        <v>✓</v>
      </c>
    </row>
    <row r="121" customFormat="false" ht="15" hidden="false" customHeight="true" outlineLevel="0" collapsed="false">
      <c r="B121" s="59" t="s">
        <v>512</v>
      </c>
      <c r="C121" s="59" t="str">
        <f aca="false">IF(D95&lt;=D75+1,"✓","✗")</f>
        <v>✓</v>
      </c>
    </row>
    <row r="122" customFormat="false" ht="15" hidden="false" customHeight="true" outlineLevel="0" collapsed="false">
      <c r="B122" s="59" t="s">
        <v>513</v>
      </c>
      <c r="C122" s="59" t="str">
        <f aca="false">IF(MIN(E60:BB60)&gt;=0,"✓","✗")</f>
        <v>✓</v>
      </c>
    </row>
    <row r="123" customFormat="false" ht="15" hidden="false" customHeight="true" outlineLevel="0" collapsed="false">
      <c r="B123" s="59" t="s">
        <v>514</v>
      </c>
      <c r="C123" s="59" t="str">
        <f aca="false">IF(ABS(D95-(D93+D94))&lt;1,"✓","✗")</f>
        <v>✓</v>
      </c>
    </row>
    <row r="124" customFormat="false" ht="15" hidden="false" customHeight="true" outlineLevel="0" collapsed="false">
      <c r="B124" s="59" t="s">
        <v>515</v>
      </c>
      <c r="C124" s="59" t="str">
        <f aca="false">IF(IFERROR(VLOOKUP($C$9+$C$24,E46:BB60,MATCH($C$9+$C$24,E46:BB46,0),FALSE()),0)&lt;=1,"✓","✗")</f>
        <v>✓</v>
      </c>
    </row>
    <row r="125" customFormat="false" ht="15" hidden="false" customHeight="true" outlineLevel="0" collapsed="false">
      <c r="A125" s="58" t="s">
        <v>516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7" customFormat="false" ht="15" hidden="false" customHeight="true" outlineLevel="0" collapsed="false">
      <c r="B127" s="59" t="s">
        <v>517</v>
      </c>
      <c r="C127" s="59" t="s">
        <v>518</v>
      </c>
      <c r="D127" s="66" t="n">
        <f aca="false">IFERROR(E52+NPV(0.1,F52:BB52),"-")</f>
        <v>157824713.71438</v>
      </c>
    </row>
    <row r="128" customFormat="false" ht="15" hidden="false" customHeight="true" outlineLevel="0" collapsed="false">
      <c r="B128" s="59" t="s">
        <v>519</v>
      </c>
      <c r="C128" s="59" t="s">
        <v>518</v>
      </c>
      <c r="D128" s="66" t="n">
        <f aca="false">IFERROR(E99+NPV(0.1,F99:BB99),"-")</f>
        <v>109814375.988558</v>
      </c>
    </row>
    <row r="129" customFormat="false" ht="15" hidden="false" customHeight="true" outlineLevel="0" collapsed="false">
      <c r="B129" s="59" t="s">
        <v>520</v>
      </c>
      <c r="C129" s="59" t="s">
        <v>518</v>
      </c>
      <c r="D129" s="66" t="n">
        <f aca="false">IFERROR(E103+NPV(0.1,F103:BB103),"-")</f>
        <v>91209322.6194148</v>
      </c>
    </row>
    <row r="131" customFormat="false" ht="15" hidden="false" customHeight="true" outlineLevel="0" collapsed="false">
      <c r="B131" s="59" t="s">
        <v>517</v>
      </c>
      <c r="C131" s="59" t="s">
        <v>521</v>
      </c>
      <c r="D131" s="66" t="n">
        <f aca="false">IFERROR(E52+NPV(0.12,F52:BB52),"-")</f>
        <v>114825185.129604</v>
      </c>
    </row>
    <row r="132" customFormat="false" ht="15" hidden="false" customHeight="true" outlineLevel="0" collapsed="false">
      <c r="B132" s="59" t="s">
        <v>519</v>
      </c>
      <c r="C132" s="59" t="s">
        <v>521</v>
      </c>
      <c r="D132" s="66" t="n">
        <f aca="false">IFERROR(E99+NPV(0.12,F99:BB99),"-")</f>
        <v>88045307.0007803</v>
      </c>
    </row>
    <row r="133" customFormat="false" ht="15" hidden="false" customHeight="true" outlineLevel="0" collapsed="false">
      <c r="B133" s="59" t="s">
        <v>520</v>
      </c>
      <c r="C133" s="59" t="s">
        <v>521</v>
      </c>
      <c r="D133" s="66" t="n">
        <f aca="false">IFERROR(E103+NPV(0.12,F103:BB103),"-")</f>
        <v>72028804.779181</v>
      </c>
    </row>
    <row r="135" customFormat="false" ht="15" hidden="false" customHeight="true" outlineLevel="0" collapsed="false">
      <c r="B135" s="59" t="s">
        <v>517</v>
      </c>
      <c r="C135" s="59" t="s">
        <v>522</v>
      </c>
      <c r="D135" s="66" t="n">
        <f aca="false">IFERROR(E52+NPV(0.14,F52:BB52),"-")</f>
        <v>80286642.6642179</v>
      </c>
    </row>
    <row r="136" customFormat="false" ht="15" hidden="false" customHeight="true" outlineLevel="0" collapsed="false">
      <c r="B136" s="59" t="s">
        <v>519</v>
      </c>
      <c r="C136" s="59" t="s">
        <v>522</v>
      </c>
      <c r="D136" s="66" t="n">
        <f aca="false">IFERROR(E99+NPV(0.14,F99:BB99),"-")</f>
        <v>70240789.7761996</v>
      </c>
    </row>
    <row r="137" customFormat="false" ht="15" hidden="false" customHeight="true" outlineLevel="0" collapsed="false">
      <c r="B137" s="59" t="s">
        <v>520</v>
      </c>
      <c r="C137" s="59" t="s">
        <v>522</v>
      </c>
      <c r="D137" s="66" t="n">
        <f aca="false">IFERROR(E103+NPV(0.14,F103:BB103),"-")</f>
        <v>56404281.1027938</v>
      </c>
    </row>
    <row r="140" customFormat="false" ht="15" hidden="false" customHeight="true" outlineLevel="0" collapsed="false">
      <c r="A140" s="58" t="s">
        <v>238</v>
      </c>
      <c r="B140" s="58"/>
      <c r="C140" s="58"/>
      <c r="D140" s="58"/>
    </row>
    <row r="141" customFormat="false" ht="15" hidden="true" customHeight="true" outlineLevel="1" collapsed="false">
      <c r="B141" s="59" t="s">
        <v>523</v>
      </c>
      <c r="C141" s="61" t="n">
        <f aca="false">C17</f>
        <v>465794899.538096</v>
      </c>
    </row>
    <row r="142" customFormat="false" ht="15" hidden="true" customHeight="true" outlineLevel="1" collapsed="false">
      <c r="B142" s="59" t="s">
        <v>524</v>
      </c>
      <c r="C142" s="61" t="n">
        <f aca="false">C12</f>
        <v>83956276.6114219</v>
      </c>
    </row>
    <row r="143" customFormat="false" ht="15" hidden="true" customHeight="true" outlineLevel="1" collapsed="false">
      <c r="B143" s="59" t="s">
        <v>427</v>
      </c>
      <c r="C143" s="61" t="n">
        <f aca="false">C19</f>
        <v>384825823.304663</v>
      </c>
    </row>
    <row r="144" customFormat="false" ht="15" hidden="true" customHeight="true" outlineLevel="1" collapsed="false">
      <c r="B144" s="59" t="s">
        <v>421</v>
      </c>
      <c r="C144" s="61" t="n">
        <f aca="false">C14</f>
        <v>164925352.844855</v>
      </c>
    </row>
  </sheetData>
  <sheetProtection sheet="true" password="ce4b"/>
  <dataValidations count="1">
    <dataValidation allowBlank="false" errorStyle="stop" operator="between" showDropDown="false" showErrorMessage="false" showInputMessage="false" sqref="C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527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402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403</v>
      </c>
      <c r="C4" s="24" t="s">
        <v>404</v>
      </c>
      <c r="D4" s="30" t="s">
        <v>405</v>
      </c>
    </row>
    <row r="5" customFormat="false" ht="15" hidden="false" customHeight="true" outlineLevel="0" collapsed="false">
      <c r="B5" s="59" t="s">
        <v>406</v>
      </c>
      <c r="C5" s="59" t="s">
        <v>48</v>
      </c>
      <c r="D5" s="30" t="s">
        <v>407</v>
      </c>
    </row>
    <row r="6" customFormat="false" ht="15" hidden="false" customHeight="true" outlineLevel="0" collapsed="false">
      <c r="B6" s="59" t="s">
        <v>408</v>
      </c>
      <c r="C6" s="24" t="s">
        <v>87</v>
      </c>
      <c r="D6" s="30" t="s">
        <v>409</v>
      </c>
    </row>
    <row r="7" customFormat="false" ht="15" hidden="false" customHeight="true" outlineLevel="0" collapsed="false">
      <c r="B7" s="59" t="s">
        <v>410</v>
      </c>
      <c r="C7" s="24" t="s">
        <v>411</v>
      </c>
      <c r="D7" s="30" t="s">
        <v>412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  <c r="D8" s="30" t="s">
        <v>413</v>
      </c>
    </row>
    <row r="9" customFormat="false" ht="15" hidden="false" customHeight="true" outlineLevel="0" collapsed="false">
      <c r="B9" s="59" t="s">
        <v>414</v>
      </c>
      <c r="C9" s="65" t="n">
        <f aca="false">Inputs!C7+Inputs!C48-1</f>
        <v>2030</v>
      </c>
      <c r="D9" s="30" t="s">
        <v>415</v>
      </c>
    </row>
    <row r="11" customFormat="false" ht="15" hidden="false" customHeight="true" outlineLevel="0" collapsed="false">
      <c r="A11" s="58" t="s">
        <v>416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customFormat="false" ht="15" hidden="false" customHeight="true" outlineLevel="0" collapsed="false">
      <c r="B12" s="59" t="s">
        <v>417</v>
      </c>
      <c r="C12" s="61" t="n">
        <f aca="false">Inputs!E70</f>
        <v>0</v>
      </c>
      <c r="D12" s="30" t="s">
        <v>418</v>
      </c>
    </row>
    <row r="13" customFormat="false" ht="15" hidden="false" customHeight="true" outlineLevel="0" collapsed="false">
      <c r="B13" s="59" t="s">
        <v>419</v>
      </c>
      <c r="C13" s="66" t="n">
        <f aca="false">C14-C12</f>
        <v>0</v>
      </c>
      <c r="D13" s="30" t="s">
        <v>420</v>
      </c>
    </row>
    <row r="14" customFormat="false" ht="15" hidden="false" customHeight="true" outlineLevel="0" collapsed="false">
      <c r="B14" s="59" t="s">
        <v>421</v>
      </c>
      <c r="C14" s="63" t="n">
        <f aca="false">C18-C19</f>
        <v>0</v>
      </c>
      <c r="D14" s="30" t="s">
        <v>422</v>
      </c>
    </row>
    <row r="15" customFormat="false" ht="15" hidden="false" customHeight="true" outlineLevel="0" collapsed="false">
      <c r="B15" s="59" t="s">
        <v>423</v>
      </c>
      <c r="C15" s="67" t="n">
        <f aca="false">IF(C14=0,0,C12/C14)</f>
        <v>0</v>
      </c>
    </row>
    <row r="16" customFormat="false" ht="15" hidden="false" customHeight="true" outlineLevel="0" collapsed="false">
      <c r="B16" s="59" t="s">
        <v>398</v>
      </c>
      <c r="C16" s="67" t="n">
        <f aca="false">IF(C14=0,0,C13/C14)</f>
        <v>0</v>
      </c>
    </row>
    <row r="17" customFormat="false" ht="15" hidden="false" customHeight="true" outlineLevel="0" collapsed="false">
      <c r="B17" s="59" t="s">
        <v>424</v>
      </c>
      <c r="C17" s="61" t="n">
        <f aca="false">CAPEX!D39</f>
        <v>0</v>
      </c>
    </row>
    <row r="18" customFormat="false" ht="15" hidden="false" customHeight="true" outlineLevel="0" collapsed="false">
      <c r="B18" s="59" t="s">
        <v>425</v>
      </c>
      <c r="C18" s="63" t="n">
        <f aca="false">C17+C12</f>
        <v>0</v>
      </c>
      <c r="D18" s="30" t="s">
        <v>426</v>
      </c>
    </row>
    <row r="19" customFormat="false" ht="15" hidden="false" customHeight="true" outlineLevel="0" collapsed="false">
      <c r="B19" s="59" t="s">
        <v>427</v>
      </c>
      <c r="C19" s="61" t="n">
        <f aca="false">IF($C$22="Y",C18*Inputs!$C$85,0)</f>
        <v>0</v>
      </c>
      <c r="D19" s="30" t="s">
        <v>428</v>
      </c>
    </row>
    <row r="21" customFormat="false" ht="15" hidden="false" customHeight="true" outlineLevel="0" collapsed="false">
      <c r="A21" s="58" t="s">
        <v>429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customFormat="false" ht="15" hidden="false" customHeight="true" outlineLevel="0" collapsed="false">
      <c r="B22" s="59" t="s">
        <v>430</v>
      </c>
      <c r="C22" s="24" t="s">
        <v>122</v>
      </c>
      <c r="D22" s="30" t="s">
        <v>431</v>
      </c>
    </row>
    <row r="23" customFormat="false" ht="15" hidden="false" customHeight="true" outlineLevel="0" collapsed="false">
      <c r="B23" s="59" t="s">
        <v>432</v>
      </c>
      <c r="C23" s="62" t="n">
        <f aca="false">Inputs!F$126</f>
        <v>0.065</v>
      </c>
      <c r="D23" s="30" t="s">
        <v>433</v>
      </c>
    </row>
    <row r="24" customFormat="false" ht="15" hidden="false" customHeight="true" outlineLevel="0" collapsed="false">
      <c r="B24" s="59" t="s">
        <v>434</v>
      </c>
      <c r="C24" s="65" t="n">
        <f aca="false">Inputs!F$127</f>
        <v>7</v>
      </c>
      <c r="D24" s="30" t="s">
        <v>435</v>
      </c>
    </row>
    <row r="25" customFormat="false" ht="15" hidden="false" customHeight="true" outlineLevel="0" collapsed="false">
      <c r="B25" s="59" t="s">
        <v>114</v>
      </c>
      <c r="C25" s="62" t="n">
        <f aca="false">Inputs!F$129</f>
        <v>0.005</v>
      </c>
      <c r="D25" s="30" t="s">
        <v>436</v>
      </c>
    </row>
    <row r="26" customFormat="false" ht="15" hidden="false" customHeight="true" outlineLevel="0" collapsed="false">
      <c r="B26" s="59" t="s">
        <v>21</v>
      </c>
      <c r="C26" s="65" t="n">
        <f aca="false">Inputs!F$128</f>
        <v>3</v>
      </c>
      <c r="D26" s="30" t="s">
        <v>437</v>
      </c>
    </row>
    <row r="28" customFormat="false" ht="15" hidden="false" customHeight="tru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customFormat="false" ht="15" hidden="false" customHeight="true" outlineLevel="0" collapsed="false">
      <c r="B29" s="59" t="s">
        <v>439</v>
      </c>
      <c r="C29" s="62" t="n">
        <f aca="false">Inputs!F$130</f>
        <v>0.02</v>
      </c>
      <c r="D29" s="30" t="s">
        <v>440</v>
      </c>
    </row>
    <row r="30" customFormat="false" ht="15" hidden="false" customHeight="true" outlineLevel="0" collapsed="false">
      <c r="B30" s="59" t="s">
        <v>441</v>
      </c>
      <c r="C30" s="62" t="n">
        <f aca="false">Inputs!F$131</f>
        <v>0.009</v>
      </c>
      <c r="D30" s="30" t="s">
        <v>442</v>
      </c>
    </row>
    <row r="31" customFormat="false" ht="15" hidden="false" customHeight="true" outlineLevel="0" collapsed="false">
      <c r="B31" s="59" t="s">
        <v>443</v>
      </c>
      <c r="C31" s="61" t="n">
        <f aca="false">Inputs!F$132</f>
        <v>130000</v>
      </c>
      <c r="D31" s="30" t="s">
        <v>444</v>
      </c>
    </row>
    <row r="32" customFormat="false" ht="15" hidden="false" customHeight="true" outlineLevel="0" collapsed="false">
      <c r="B32" s="59" t="s">
        <v>445</v>
      </c>
      <c r="C32" s="62" t="n">
        <f aca="false">Inputs!F$133</f>
        <v>0.12</v>
      </c>
      <c r="D32" s="30" t="s">
        <v>446</v>
      </c>
    </row>
    <row r="33" customFormat="false" ht="15" hidden="false" customHeight="true" outlineLevel="0" collapsed="false">
      <c r="B33" s="59" t="s">
        <v>447</v>
      </c>
      <c r="C33" s="62" t="n">
        <f aca="false">Inputs!F$134</f>
        <v>0.01</v>
      </c>
      <c r="D33" s="30" t="s">
        <v>448</v>
      </c>
    </row>
    <row r="35" customFormat="false" ht="15" hidden="false" customHeight="true" outlineLevel="0" collapsed="false">
      <c r="A35" s="58" t="s">
        <v>449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customFormat="false" ht="15" hidden="false" customHeight="true" outlineLevel="0" collapsed="false">
      <c r="B36" s="59" t="s">
        <v>120</v>
      </c>
      <c r="C36" s="62" t="n">
        <f aca="false">Inputs!F$135</f>
        <v>0.15</v>
      </c>
      <c r="D36" s="30" t="s">
        <v>450</v>
      </c>
    </row>
    <row r="37" customFormat="false" ht="15" hidden="false" customHeight="true" outlineLevel="0" collapsed="false">
      <c r="B37" s="59" t="s">
        <v>451</v>
      </c>
      <c r="C37" s="22" t="str">
        <f aca="false">Inputs!F$136</f>
        <v>Y</v>
      </c>
      <c r="D37" s="30" t="s">
        <v>452</v>
      </c>
    </row>
    <row r="38" customFormat="false" ht="15" hidden="false" customHeight="true" outlineLevel="0" collapsed="false">
      <c r="B38" s="59" t="s">
        <v>123</v>
      </c>
      <c r="C38" s="62" t="n">
        <f aca="false">Inputs!F$137</f>
        <v>0.3</v>
      </c>
      <c r="D38" s="30" t="s">
        <v>453</v>
      </c>
    </row>
    <row r="40" customFormat="false" ht="15" hidden="false" customHeight="true" outlineLevel="0" collapsed="false">
      <c r="A40" s="58" t="s">
        <v>454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customFormat="false" ht="15" hidden="false" customHeight="true" outlineLevel="0" collapsed="false">
      <c r="B41" s="59" t="s">
        <v>100</v>
      </c>
      <c r="C41" s="65" t="n">
        <f aca="false">Inputs!F$138</f>
        <v>2036</v>
      </c>
      <c r="D41" s="30" t="s">
        <v>455</v>
      </c>
    </row>
    <row r="42" customFormat="false" ht="15" hidden="false" customHeight="true" outlineLevel="0" collapsed="false">
      <c r="B42" s="59" t="s">
        <v>101</v>
      </c>
      <c r="C42" s="68" t="n">
        <f aca="false">Inputs!F$139</f>
        <v>10</v>
      </c>
      <c r="D42" s="30" t="s">
        <v>456</v>
      </c>
    </row>
    <row r="43" customFormat="false" ht="15" hidden="false" customHeight="true" outlineLevel="0" collapsed="false">
      <c r="B43" s="59" t="s">
        <v>102</v>
      </c>
      <c r="C43" s="62" t="n">
        <f aca="false">Inputs!F$140</f>
        <v>0.02</v>
      </c>
      <c r="D43" s="30" t="s">
        <v>457</v>
      </c>
    </row>
    <row r="45" customFormat="false" ht="15" hidden="false" customHeight="true" outlineLevel="0" collapsed="false">
      <c r="A45" s="58" t="s">
        <v>458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customFormat="false" ht="15" hidden="false" customHeight="true" outlineLevel="0" collapsed="false">
      <c r="C46" s="69" t="s">
        <v>262</v>
      </c>
      <c r="D46" s="69" t="s">
        <v>60</v>
      </c>
      <c r="E46" s="70" t="n">
        <f aca="false">Inputs!$C$7+0</f>
        <v>2026</v>
      </c>
      <c r="F46" s="70" t="n">
        <f aca="false">Inputs!$C$7+1</f>
        <v>2027</v>
      </c>
      <c r="G46" s="70" t="n">
        <f aca="false">Inputs!$C$7+2</f>
        <v>2028</v>
      </c>
      <c r="H46" s="70" t="n">
        <f aca="false">Inputs!$C$7+3</f>
        <v>2029</v>
      </c>
      <c r="I46" s="70" t="n">
        <f aca="false">Inputs!$C$7+4</f>
        <v>2030</v>
      </c>
      <c r="J46" s="70" t="n">
        <f aca="false">Inputs!$C$7+5</f>
        <v>2031</v>
      </c>
      <c r="K46" s="70" t="n">
        <f aca="false">Inputs!$C$7+6</f>
        <v>2032</v>
      </c>
      <c r="L46" s="70" t="n">
        <f aca="false">Inputs!$C$7+7</f>
        <v>2033</v>
      </c>
      <c r="M46" s="70" t="n">
        <f aca="false">Inputs!$C$7+8</f>
        <v>2034</v>
      </c>
      <c r="N46" s="70" t="n">
        <f aca="false">Inputs!$C$7+9</f>
        <v>2035</v>
      </c>
      <c r="O46" s="70" t="n">
        <f aca="false">Inputs!$C$7+10</f>
        <v>2036</v>
      </c>
      <c r="P46" s="70" t="n">
        <f aca="false">Inputs!$C$7+11</f>
        <v>2037</v>
      </c>
      <c r="Q46" s="70" t="n">
        <f aca="false">Inputs!$C$7+12</f>
        <v>2038</v>
      </c>
      <c r="R46" s="70" t="n">
        <f aca="false">Inputs!$C$7+13</f>
        <v>2039</v>
      </c>
      <c r="S46" s="70" t="n">
        <f aca="false">Inputs!$C$7+14</f>
        <v>2040</v>
      </c>
      <c r="T46" s="70" t="n">
        <f aca="false">Inputs!$C$7+15</f>
        <v>2041</v>
      </c>
      <c r="U46" s="70" t="n">
        <f aca="false">Inputs!$C$7+16</f>
        <v>2042</v>
      </c>
      <c r="V46" s="70" t="n">
        <f aca="false">Inputs!$C$7+17</f>
        <v>2043</v>
      </c>
      <c r="W46" s="70" t="n">
        <f aca="false">Inputs!$C$7+18</f>
        <v>2044</v>
      </c>
      <c r="X46" s="70" t="n">
        <f aca="false">Inputs!$C$7+19</f>
        <v>2045</v>
      </c>
      <c r="Y46" s="70" t="n">
        <f aca="false">Inputs!$C$7+20</f>
        <v>2046</v>
      </c>
      <c r="Z46" s="70" t="n">
        <f aca="false">Inputs!$C$7+21</f>
        <v>2047</v>
      </c>
      <c r="AA46" s="70" t="n">
        <f aca="false">Inputs!$C$7+22</f>
        <v>2048</v>
      </c>
      <c r="AB46" s="70" t="n">
        <f aca="false">Inputs!$C$7+23</f>
        <v>2049</v>
      </c>
      <c r="AC46" s="70" t="n">
        <f aca="false">Inputs!$C$7+24</f>
        <v>2050</v>
      </c>
      <c r="AD46" s="70" t="n">
        <f aca="false">Inputs!$C$7+25</f>
        <v>2051</v>
      </c>
      <c r="AE46" s="70" t="n">
        <f aca="false">Inputs!$C$7+26</f>
        <v>2052</v>
      </c>
      <c r="AF46" s="70" t="n">
        <f aca="false">Inputs!$C$7+27</f>
        <v>2053</v>
      </c>
      <c r="AG46" s="70" t="n">
        <f aca="false">Inputs!$C$7+28</f>
        <v>2054</v>
      </c>
      <c r="AH46" s="70" t="n">
        <f aca="false">Inputs!$C$7+29</f>
        <v>2055</v>
      </c>
      <c r="AI46" s="70" t="n">
        <f aca="false">Inputs!$C$7+30</f>
        <v>2056</v>
      </c>
      <c r="AJ46" s="70" t="n">
        <f aca="false">Inputs!$C$7+31</f>
        <v>2057</v>
      </c>
      <c r="AK46" s="70" t="n">
        <f aca="false">Inputs!$C$7+32</f>
        <v>2058</v>
      </c>
      <c r="AL46" s="70" t="n">
        <f aca="false">Inputs!$C$7+33</f>
        <v>2059</v>
      </c>
      <c r="AM46" s="70" t="n">
        <f aca="false">Inputs!$C$7+34</f>
        <v>2060</v>
      </c>
      <c r="AN46" s="70" t="n">
        <f aca="false">Inputs!$C$7+35</f>
        <v>2061</v>
      </c>
      <c r="AO46" s="70" t="n">
        <f aca="false">Inputs!$C$7+36</f>
        <v>2062</v>
      </c>
      <c r="AP46" s="70" t="n">
        <f aca="false">Inputs!$C$7+37</f>
        <v>2063</v>
      </c>
      <c r="AQ46" s="70" t="n">
        <f aca="false">Inputs!$C$7+38</f>
        <v>2064</v>
      </c>
      <c r="AR46" s="70" t="n">
        <f aca="false">Inputs!$C$7+39</f>
        <v>2065</v>
      </c>
      <c r="AS46" s="70" t="n">
        <f aca="false">Inputs!$C$7+40</f>
        <v>2066</v>
      </c>
      <c r="AT46" s="70" t="n">
        <f aca="false">Inputs!$C$7+41</f>
        <v>2067</v>
      </c>
      <c r="AU46" s="70" t="n">
        <f aca="false">Inputs!$C$7+42</f>
        <v>2068</v>
      </c>
      <c r="AV46" s="70" t="n">
        <f aca="false">Inputs!$C$7+43</f>
        <v>2069</v>
      </c>
      <c r="AW46" s="70" t="n">
        <f aca="false">Inputs!$C$7+44</f>
        <v>2070</v>
      </c>
      <c r="AX46" s="70" t="n">
        <f aca="false">Inputs!$C$7+45</f>
        <v>2071</v>
      </c>
      <c r="AY46" s="70" t="n">
        <f aca="false">Inputs!$C$7+46</f>
        <v>2072</v>
      </c>
      <c r="AZ46" s="70" t="n">
        <f aca="false">Inputs!$C$7+47</f>
        <v>2073</v>
      </c>
      <c r="BA46" s="70" t="n">
        <f aca="false">Inputs!$C$7+48</f>
        <v>2074</v>
      </c>
      <c r="BB46" s="70" t="n">
        <f aca="false">Inputs!$C$7+49</f>
        <v>2075</v>
      </c>
    </row>
    <row r="47" customFormat="false" ht="15" hidden="false" customHeight="true" outlineLevel="0" collapsed="false">
      <c r="B47" s="59" t="s">
        <v>459</v>
      </c>
      <c r="C47" s="59" t="s">
        <v>11</v>
      </c>
      <c r="D47" s="63" t="n">
        <f aca="false">SUM(E47:BB47)</f>
        <v>0</v>
      </c>
      <c r="E47" s="61" t="n">
        <f aca="false">CashFlow!D26</f>
        <v>0</v>
      </c>
      <c r="F47" s="61" t="n">
        <f aca="false">CashFlow!E26</f>
        <v>0</v>
      </c>
      <c r="G47" s="61" t="n">
        <f aca="false">CashFlow!F26</f>
        <v>0</v>
      </c>
      <c r="H47" s="61" t="n">
        <f aca="false">CashFlow!G26</f>
        <v>0</v>
      </c>
      <c r="I47" s="61" t="n">
        <f aca="false">CashFlow!H26</f>
        <v>0</v>
      </c>
      <c r="J47" s="61" t="n">
        <f aca="false">CashFlow!I26</f>
        <v>0</v>
      </c>
      <c r="K47" s="61" t="n">
        <f aca="false">CashFlow!J26</f>
        <v>0</v>
      </c>
      <c r="L47" s="61" t="n">
        <f aca="false">CashFlow!K26</f>
        <v>0</v>
      </c>
      <c r="M47" s="61" t="n">
        <f aca="false">CashFlow!L26</f>
        <v>0</v>
      </c>
      <c r="N47" s="61" t="n">
        <f aca="false">CashFlow!M26</f>
        <v>0</v>
      </c>
      <c r="O47" s="61" t="n">
        <f aca="false">CashFlow!N26</f>
        <v>0</v>
      </c>
      <c r="P47" s="61" t="n">
        <f aca="false">CashFlow!O26</f>
        <v>0</v>
      </c>
      <c r="Q47" s="61" t="n">
        <f aca="false">CashFlow!P26</f>
        <v>0</v>
      </c>
      <c r="R47" s="61" t="n">
        <f aca="false">CashFlow!Q26</f>
        <v>0</v>
      </c>
      <c r="S47" s="61" t="n">
        <f aca="false">CashFlow!R26</f>
        <v>0</v>
      </c>
      <c r="T47" s="61" t="n">
        <f aca="false">CashFlow!S26</f>
        <v>0</v>
      </c>
      <c r="U47" s="61" t="n">
        <f aca="false">CashFlow!T26</f>
        <v>0</v>
      </c>
      <c r="V47" s="61" t="n">
        <f aca="false">CashFlow!U26</f>
        <v>0</v>
      </c>
      <c r="W47" s="61" t="n">
        <f aca="false">CashFlow!V26</f>
        <v>0</v>
      </c>
      <c r="X47" s="61" t="n">
        <f aca="false">CashFlow!W26</f>
        <v>0</v>
      </c>
      <c r="Y47" s="61" t="n">
        <f aca="false">CashFlow!X26</f>
        <v>0</v>
      </c>
      <c r="Z47" s="61" t="n">
        <f aca="false">CashFlow!Y26</f>
        <v>0</v>
      </c>
      <c r="AA47" s="61" t="n">
        <f aca="false">CashFlow!Z26</f>
        <v>0</v>
      </c>
      <c r="AB47" s="61" t="n">
        <f aca="false">CashFlow!AA26</f>
        <v>0</v>
      </c>
      <c r="AC47" s="61" t="n">
        <f aca="false">CashFlow!AB26</f>
        <v>0</v>
      </c>
      <c r="AD47" s="61" t="n">
        <f aca="false">CashFlow!AC26</f>
        <v>0</v>
      </c>
      <c r="AE47" s="61" t="n">
        <f aca="false">CashFlow!AD26</f>
        <v>0</v>
      </c>
      <c r="AF47" s="61" t="n">
        <f aca="false">CashFlow!AE26</f>
        <v>0</v>
      </c>
      <c r="AG47" s="61" t="n">
        <f aca="false">CashFlow!AF26</f>
        <v>0</v>
      </c>
      <c r="AH47" s="61" t="n">
        <f aca="false">CashFlow!AG26</f>
        <v>0</v>
      </c>
      <c r="AI47" s="61" t="n">
        <f aca="false">CashFlow!AH26</f>
        <v>0</v>
      </c>
      <c r="AJ47" s="61" t="n">
        <f aca="false">CashFlow!AI26</f>
        <v>0</v>
      </c>
      <c r="AK47" s="61" t="n">
        <f aca="false">CashFlow!AJ26</f>
        <v>0</v>
      </c>
      <c r="AL47" s="61" t="n">
        <f aca="false">CashFlow!AK26</f>
        <v>0</v>
      </c>
      <c r="AM47" s="61" t="n">
        <f aca="false">CashFlow!AL26</f>
        <v>0</v>
      </c>
      <c r="AN47" s="61" t="n">
        <f aca="false">CashFlow!AM26</f>
        <v>0</v>
      </c>
      <c r="AO47" s="61" t="n">
        <f aca="false">CashFlow!AN26</f>
        <v>0</v>
      </c>
      <c r="AP47" s="61" t="n">
        <f aca="false">CashFlow!AO26</f>
        <v>0</v>
      </c>
      <c r="AQ47" s="61" t="n">
        <f aca="false">CashFlow!AP26</f>
        <v>0</v>
      </c>
      <c r="AR47" s="61" t="n">
        <f aca="false">CashFlow!AQ26</f>
        <v>0</v>
      </c>
      <c r="AS47" s="61" t="n">
        <f aca="false">CashFlow!AR26</f>
        <v>0</v>
      </c>
      <c r="AT47" s="61" t="n">
        <f aca="false">CashFlow!AS26</f>
        <v>0</v>
      </c>
      <c r="AU47" s="61" t="n">
        <f aca="false">CashFlow!AT26</f>
        <v>0</v>
      </c>
      <c r="AV47" s="61" t="n">
        <f aca="false">CashFlow!AU26</f>
        <v>0</v>
      </c>
      <c r="AW47" s="61" t="n">
        <f aca="false">CashFlow!AV26</f>
        <v>0</v>
      </c>
      <c r="AX47" s="61" t="n">
        <f aca="false">CashFlow!AW26</f>
        <v>0</v>
      </c>
      <c r="AY47" s="61" t="n">
        <f aca="false">CashFlow!AX26</f>
        <v>0</v>
      </c>
      <c r="AZ47" s="61" t="n">
        <f aca="false">CashFlow!AY26</f>
        <v>0</v>
      </c>
      <c r="BA47" s="61" t="n">
        <f aca="false">CashFlow!AZ26</f>
        <v>0</v>
      </c>
      <c r="BB47" s="61" t="n">
        <f aca="false">CashFlow!BA26</f>
        <v>0</v>
      </c>
    </row>
    <row r="48" customFormat="false" ht="15" hidden="false" customHeight="true" outlineLevel="0" collapsed="false">
      <c r="B48" s="59" t="s">
        <v>460</v>
      </c>
      <c r="C48" s="59" t="s">
        <v>11</v>
      </c>
      <c r="D48" s="63" t="n">
        <f aca="false">SUM(E48:BB48)</f>
        <v>0</v>
      </c>
      <c r="E48" s="61" t="n">
        <f aca="false">CashFlow!D27</f>
        <v>0</v>
      </c>
      <c r="F48" s="61" t="n">
        <f aca="false">CashFlow!E27</f>
        <v>0</v>
      </c>
      <c r="G48" s="61" t="n">
        <f aca="false">CashFlow!F27</f>
        <v>0</v>
      </c>
      <c r="H48" s="61" t="n">
        <f aca="false">CashFlow!G27</f>
        <v>0</v>
      </c>
      <c r="I48" s="61" t="n">
        <f aca="false">CashFlow!H27</f>
        <v>0</v>
      </c>
      <c r="J48" s="61" t="n">
        <f aca="false">CashFlow!I27</f>
        <v>0</v>
      </c>
      <c r="K48" s="61" t="n">
        <f aca="false">CashFlow!J27</f>
        <v>0</v>
      </c>
      <c r="L48" s="61" t="n">
        <f aca="false">CashFlow!K27</f>
        <v>0</v>
      </c>
      <c r="M48" s="61" t="n">
        <f aca="false">CashFlow!L27</f>
        <v>0</v>
      </c>
      <c r="N48" s="61" t="n">
        <f aca="false">CashFlow!M27</f>
        <v>0</v>
      </c>
      <c r="O48" s="61" t="n">
        <f aca="false">CashFlow!N27</f>
        <v>0</v>
      </c>
      <c r="P48" s="61" t="n">
        <f aca="false">CashFlow!O27</f>
        <v>0</v>
      </c>
      <c r="Q48" s="61" t="n">
        <f aca="false">CashFlow!P27</f>
        <v>0</v>
      </c>
      <c r="R48" s="61" t="n">
        <f aca="false">CashFlow!Q27</f>
        <v>0</v>
      </c>
      <c r="S48" s="61" t="n">
        <f aca="false">CashFlow!R27</f>
        <v>0</v>
      </c>
      <c r="T48" s="61" t="n">
        <f aca="false">CashFlow!S27</f>
        <v>0</v>
      </c>
      <c r="U48" s="61" t="n">
        <f aca="false">CashFlow!T27</f>
        <v>0</v>
      </c>
      <c r="V48" s="61" t="n">
        <f aca="false">CashFlow!U27</f>
        <v>0</v>
      </c>
      <c r="W48" s="61" t="n">
        <f aca="false">CashFlow!V27</f>
        <v>0</v>
      </c>
      <c r="X48" s="61" t="n">
        <f aca="false">CashFlow!W27</f>
        <v>0</v>
      </c>
      <c r="Y48" s="61" t="n">
        <f aca="false">CashFlow!X27</f>
        <v>0</v>
      </c>
      <c r="Z48" s="61" t="n">
        <f aca="false">CashFlow!Y27</f>
        <v>0</v>
      </c>
      <c r="AA48" s="61" t="n">
        <f aca="false">CashFlow!Z27</f>
        <v>0</v>
      </c>
      <c r="AB48" s="61" t="n">
        <f aca="false">CashFlow!AA27</f>
        <v>0</v>
      </c>
      <c r="AC48" s="61" t="n">
        <f aca="false">CashFlow!AB27</f>
        <v>0</v>
      </c>
      <c r="AD48" s="61" t="n">
        <f aca="false">CashFlow!AC27</f>
        <v>0</v>
      </c>
      <c r="AE48" s="61" t="n">
        <f aca="false">CashFlow!AD27</f>
        <v>0</v>
      </c>
      <c r="AF48" s="61" t="n">
        <f aca="false">CashFlow!AE27</f>
        <v>0</v>
      </c>
      <c r="AG48" s="61" t="n">
        <f aca="false">CashFlow!AF27</f>
        <v>0</v>
      </c>
      <c r="AH48" s="61" t="n">
        <f aca="false">CashFlow!AG27</f>
        <v>0</v>
      </c>
      <c r="AI48" s="61" t="n">
        <f aca="false">CashFlow!AH27</f>
        <v>0</v>
      </c>
      <c r="AJ48" s="61" t="n">
        <f aca="false">CashFlow!AI27</f>
        <v>0</v>
      </c>
      <c r="AK48" s="61" t="n">
        <f aca="false">CashFlow!AJ27</f>
        <v>0</v>
      </c>
      <c r="AL48" s="61" t="n">
        <f aca="false">CashFlow!AK27</f>
        <v>0</v>
      </c>
      <c r="AM48" s="61" t="n">
        <f aca="false">CashFlow!AL27</f>
        <v>0</v>
      </c>
      <c r="AN48" s="61" t="n">
        <f aca="false">CashFlow!AM27</f>
        <v>0</v>
      </c>
      <c r="AO48" s="61" t="n">
        <f aca="false">CashFlow!AN27</f>
        <v>0</v>
      </c>
      <c r="AP48" s="61" t="n">
        <f aca="false">CashFlow!AO27</f>
        <v>0</v>
      </c>
      <c r="AQ48" s="61" t="n">
        <f aca="false">CashFlow!AP27</f>
        <v>0</v>
      </c>
      <c r="AR48" s="61" t="n">
        <f aca="false">CashFlow!AQ27</f>
        <v>0</v>
      </c>
      <c r="AS48" s="61" t="n">
        <f aca="false">CashFlow!AR27</f>
        <v>0</v>
      </c>
      <c r="AT48" s="61" t="n">
        <f aca="false">CashFlow!AS27</f>
        <v>0</v>
      </c>
      <c r="AU48" s="61" t="n">
        <f aca="false">CashFlow!AT27</f>
        <v>0</v>
      </c>
      <c r="AV48" s="61" t="n">
        <f aca="false">CashFlow!AU27</f>
        <v>0</v>
      </c>
      <c r="AW48" s="61" t="n">
        <f aca="false">CashFlow!AV27</f>
        <v>0</v>
      </c>
      <c r="AX48" s="61" t="n">
        <f aca="false">CashFlow!AW27</f>
        <v>0</v>
      </c>
      <c r="AY48" s="61" t="n">
        <f aca="false">CashFlow!AX27</f>
        <v>0</v>
      </c>
      <c r="AZ48" s="61" t="n">
        <f aca="false">CashFlow!AY27</f>
        <v>0</v>
      </c>
      <c r="BA48" s="61" t="n">
        <f aca="false">CashFlow!AZ27</f>
        <v>0</v>
      </c>
      <c r="BB48" s="61" t="n">
        <f aca="false">CashFlow!BA27</f>
        <v>0</v>
      </c>
    </row>
    <row r="49" customFormat="false" ht="15" hidden="false" customHeight="true" outlineLevel="0" collapsed="false">
      <c r="B49" s="59" t="s">
        <v>461</v>
      </c>
      <c r="C49" s="59" t="s">
        <v>11</v>
      </c>
      <c r="D49" s="63" t="n">
        <f aca="false">SUM(E49:BB49)</f>
        <v>0</v>
      </c>
      <c r="E49" s="61" t="n">
        <f aca="false">CashFlow!D28</f>
        <v>-0</v>
      </c>
      <c r="F49" s="61" t="n">
        <f aca="false">CashFlow!E28</f>
        <v>-0</v>
      </c>
      <c r="G49" s="61" t="n">
        <f aca="false">CashFlow!F28</f>
        <v>-0</v>
      </c>
      <c r="H49" s="61" t="n">
        <f aca="false">CashFlow!G28</f>
        <v>-0</v>
      </c>
      <c r="I49" s="61" t="n">
        <f aca="false">CashFlow!H28</f>
        <v>-0</v>
      </c>
      <c r="J49" s="61" t="n">
        <f aca="false">CashFlow!I28</f>
        <v>-0</v>
      </c>
      <c r="K49" s="61" t="n">
        <f aca="false">CashFlow!J28</f>
        <v>-0</v>
      </c>
      <c r="L49" s="61" t="n">
        <f aca="false">CashFlow!K28</f>
        <v>-0</v>
      </c>
      <c r="M49" s="61" t="n">
        <f aca="false">CashFlow!L28</f>
        <v>-0</v>
      </c>
      <c r="N49" s="61" t="n">
        <f aca="false">CashFlow!M28</f>
        <v>-0</v>
      </c>
      <c r="O49" s="61" t="n">
        <f aca="false">CashFlow!N28</f>
        <v>-0</v>
      </c>
      <c r="P49" s="61" t="n">
        <f aca="false">CashFlow!O28</f>
        <v>-0</v>
      </c>
      <c r="Q49" s="61" t="n">
        <f aca="false">CashFlow!P28</f>
        <v>-0</v>
      </c>
      <c r="R49" s="61" t="n">
        <f aca="false">CashFlow!Q28</f>
        <v>-0</v>
      </c>
      <c r="S49" s="61" t="n">
        <f aca="false">CashFlow!R28</f>
        <v>-0</v>
      </c>
      <c r="T49" s="61" t="n">
        <f aca="false">CashFlow!S28</f>
        <v>-0</v>
      </c>
      <c r="U49" s="61" t="n">
        <f aca="false">CashFlow!T28</f>
        <v>-0</v>
      </c>
      <c r="V49" s="61" t="n">
        <f aca="false">CashFlow!U28</f>
        <v>-0</v>
      </c>
      <c r="W49" s="61" t="n">
        <f aca="false">CashFlow!V28</f>
        <v>-0</v>
      </c>
      <c r="X49" s="61" t="n">
        <f aca="false">CashFlow!W28</f>
        <v>-0</v>
      </c>
      <c r="Y49" s="61" t="n">
        <f aca="false">CashFlow!X28</f>
        <v>-0</v>
      </c>
      <c r="Z49" s="61" t="n">
        <f aca="false">CashFlow!Y28</f>
        <v>-0</v>
      </c>
      <c r="AA49" s="61" t="n">
        <f aca="false">CashFlow!Z28</f>
        <v>-0</v>
      </c>
      <c r="AB49" s="61" t="n">
        <f aca="false">CashFlow!AA28</f>
        <v>-0</v>
      </c>
      <c r="AC49" s="61" t="n">
        <f aca="false">CashFlow!AB28</f>
        <v>-0</v>
      </c>
      <c r="AD49" s="61" t="n">
        <f aca="false">CashFlow!AC28</f>
        <v>-0</v>
      </c>
      <c r="AE49" s="61" t="n">
        <f aca="false">CashFlow!AD28</f>
        <v>-0</v>
      </c>
      <c r="AF49" s="61" t="n">
        <f aca="false">CashFlow!AE28</f>
        <v>-0</v>
      </c>
      <c r="AG49" s="61" t="n">
        <f aca="false">CashFlow!AF28</f>
        <v>-0</v>
      </c>
      <c r="AH49" s="61" t="n">
        <f aca="false">CashFlow!AG28</f>
        <v>-0</v>
      </c>
      <c r="AI49" s="61" t="n">
        <f aca="false">CashFlow!AH28</f>
        <v>-0</v>
      </c>
      <c r="AJ49" s="61" t="n">
        <f aca="false">CashFlow!AI28</f>
        <v>-0</v>
      </c>
      <c r="AK49" s="61" t="n">
        <f aca="false">CashFlow!AJ28</f>
        <v>-0</v>
      </c>
      <c r="AL49" s="61" t="n">
        <f aca="false">CashFlow!AK28</f>
        <v>-0</v>
      </c>
      <c r="AM49" s="61" t="n">
        <f aca="false">CashFlow!AL28</f>
        <v>-0</v>
      </c>
      <c r="AN49" s="61" t="n">
        <f aca="false">CashFlow!AM28</f>
        <v>-0</v>
      </c>
      <c r="AO49" s="61" t="n">
        <f aca="false">CashFlow!AN28</f>
        <v>-0</v>
      </c>
      <c r="AP49" s="61" t="n">
        <f aca="false">CashFlow!AO28</f>
        <v>-0</v>
      </c>
      <c r="AQ49" s="61" t="n">
        <f aca="false">CashFlow!AP28</f>
        <v>-0</v>
      </c>
      <c r="AR49" s="61" t="n">
        <f aca="false">CashFlow!AQ28</f>
        <v>-0</v>
      </c>
      <c r="AS49" s="61" t="n">
        <f aca="false">CashFlow!AR28</f>
        <v>-0</v>
      </c>
      <c r="AT49" s="61" t="n">
        <f aca="false">CashFlow!AS28</f>
        <v>-0</v>
      </c>
      <c r="AU49" s="61" t="n">
        <f aca="false">CashFlow!AT28</f>
        <v>-0</v>
      </c>
      <c r="AV49" s="61" t="n">
        <f aca="false">CashFlow!AU28</f>
        <v>-0</v>
      </c>
      <c r="AW49" s="61" t="n">
        <f aca="false">CashFlow!AV28</f>
        <v>-0</v>
      </c>
      <c r="AX49" s="61" t="n">
        <f aca="false">CashFlow!AW28</f>
        <v>-0</v>
      </c>
      <c r="AY49" s="61" t="n">
        <f aca="false">CashFlow!AX28</f>
        <v>-0</v>
      </c>
      <c r="AZ49" s="61" t="n">
        <f aca="false">CashFlow!AY28</f>
        <v>-0</v>
      </c>
      <c r="BA49" s="61" t="n">
        <f aca="false">CashFlow!AZ28</f>
        <v>-0</v>
      </c>
      <c r="BB49" s="61" t="n">
        <f aca="false">CashFlow!BA28</f>
        <v>-0</v>
      </c>
    </row>
    <row r="50" customFormat="false" ht="15" hidden="false" customHeight="true" outlineLevel="0" collapsed="false">
      <c r="B50" s="20" t="s">
        <v>462</v>
      </c>
      <c r="C50" s="59" t="s">
        <v>11</v>
      </c>
      <c r="D50" s="63" t="n">
        <f aca="false">SUM(E50:BB50)</f>
        <v>0</v>
      </c>
      <c r="E50" s="63" t="n">
        <f aca="false">E47+E48+E49</f>
        <v>0</v>
      </c>
      <c r="F50" s="63" t="n">
        <f aca="false">F47+F48+F49</f>
        <v>0</v>
      </c>
      <c r="G50" s="63" t="n">
        <f aca="false">G47+G48+G49</f>
        <v>0</v>
      </c>
      <c r="H50" s="63" t="n">
        <f aca="false">H47+H48+H49</f>
        <v>0</v>
      </c>
      <c r="I50" s="63" t="n">
        <f aca="false">I47+I48+I49</f>
        <v>0</v>
      </c>
      <c r="J50" s="63" t="n">
        <f aca="false">J47+J48+J49</f>
        <v>0</v>
      </c>
      <c r="K50" s="63" t="n">
        <f aca="false">K47+K48+K49</f>
        <v>0</v>
      </c>
      <c r="L50" s="63" t="n">
        <f aca="false">L47+L48+L49</f>
        <v>0</v>
      </c>
      <c r="M50" s="63" t="n">
        <f aca="false">M47+M48+M49</f>
        <v>0</v>
      </c>
      <c r="N50" s="63" t="n">
        <f aca="false">N47+N48+N49</f>
        <v>0</v>
      </c>
      <c r="O50" s="63" t="n">
        <f aca="false">O47+O48+O49</f>
        <v>0</v>
      </c>
      <c r="P50" s="63" t="n">
        <f aca="false">P47+P48+P49</f>
        <v>0</v>
      </c>
      <c r="Q50" s="63" t="n">
        <f aca="false">Q47+Q48+Q49</f>
        <v>0</v>
      </c>
      <c r="R50" s="63" t="n">
        <f aca="false">R47+R48+R49</f>
        <v>0</v>
      </c>
      <c r="S50" s="63" t="n">
        <f aca="false">S47+S48+S49</f>
        <v>0</v>
      </c>
      <c r="T50" s="63" t="n">
        <f aca="false">T47+T48+T49</f>
        <v>0</v>
      </c>
      <c r="U50" s="63" t="n">
        <f aca="false">U47+U48+U49</f>
        <v>0</v>
      </c>
      <c r="V50" s="63" t="n">
        <f aca="false">V47+V48+V49</f>
        <v>0</v>
      </c>
      <c r="W50" s="63" t="n">
        <f aca="false">W47+W48+W49</f>
        <v>0</v>
      </c>
      <c r="X50" s="63" t="n">
        <f aca="false">X47+X48+X49</f>
        <v>0</v>
      </c>
      <c r="Y50" s="63" t="n">
        <f aca="false">Y47+Y48+Y49</f>
        <v>0</v>
      </c>
      <c r="Z50" s="63" t="n">
        <f aca="false">Z47+Z48+Z49</f>
        <v>0</v>
      </c>
      <c r="AA50" s="63" t="n">
        <f aca="false">AA47+AA48+AA49</f>
        <v>0</v>
      </c>
      <c r="AB50" s="63" t="n">
        <f aca="false">AB47+AB48+AB49</f>
        <v>0</v>
      </c>
      <c r="AC50" s="63" t="n">
        <f aca="false">AC47+AC48+AC49</f>
        <v>0</v>
      </c>
      <c r="AD50" s="63" t="n">
        <f aca="false">AD47+AD48+AD49</f>
        <v>0</v>
      </c>
      <c r="AE50" s="63" t="n">
        <f aca="false">AE47+AE48+AE49</f>
        <v>0</v>
      </c>
      <c r="AF50" s="63" t="n">
        <f aca="false">AF47+AF48+AF49</f>
        <v>0</v>
      </c>
      <c r="AG50" s="63" t="n">
        <f aca="false">AG47+AG48+AG49</f>
        <v>0</v>
      </c>
      <c r="AH50" s="63" t="n">
        <f aca="false">AH47+AH48+AH49</f>
        <v>0</v>
      </c>
      <c r="AI50" s="63" t="n">
        <f aca="false">AI47+AI48+AI49</f>
        <v>0</v>
      </c>
      <c r="AJ50" s="63" t="n">
        <f aca="false">AJ47+AJ48+AJ49</f>
        <v>0</v>
      </c>
      <c r="AK50" s="63" t="n">
        <f aca="false">AK47+AK48+AK49</f>
        <v>0</v>
      </c>
      <c r="AL50" s="63" t="n">
        <f aca="false">AL47+AL48+AL49</f>
        <v>0</v>
      </c>
      <c r="AM50" s="63" t="n">
        <f aca="false">AM47+AM48+AM49</f>
        <v>0</v>
      </c>
      <c r="AN50" s="63" t="n">
        <f aca="false">AN47+AN48+AN49</f>
        <v>0</v>
      </c>
      <c r="AO50" s="63" t="n">
        <f aca="false">AO47+AO48+AO49</f>
        <v>0</v>
      </c>
      <c r="AP50" s="63" t="n">
        <f aca="false">AP47+AP48+AP49</f>
        <v>0</v>
      </c>
      <c r="AQ50" s="63" t="n">
        <f aca="false">AQ47+AQ48+AQ49</f>
        <v>0</v>
      </c>
      <c r="AR50" s="63" t="n">
        <f aca="false">AR47+AR48+AR49</f>
        <v>0</v>
      </c>
      <c r="AS50" s="63" t="n">
        <f aca="false">AS47+AS48+AS49</f>
        <v>0</v>
      </c>
      <c r="AT50" s="63" t="n">
        <f aca="false">AT47+AT48+AT49</f>
        <v>0</v>
      </c>
      <c r="AU50" s="63" t="n">
        <f aca="false">AU47+AU48+AU49</f>
        <v>0</v>
      </c>
      <c r="AV50" s="63" t="n">
        <f aca="false">AV47+AV48+AV49</f>
        <v>0</v>
      </c>
      <c r="AW50" s="63" t="n">
        <f aca="false">AW47+AW48+AW49</f>
        <v>0</v>
      </c>
      <c r="AX50" s="63" t="n">
        <f aca="false">AX47+AX48+AX49</f>
        <v>0</v>
      </c>
      <c r="AY50" s="63" t="n">
        <f aca="false">AY47+AY48+AY49</f>
        <v>0</v>
      </c>
      <c r="AZ50" s="63" t="n">
        <f aca="false">AZ47+AZ48+AZ49</f>
        <v>0</v>
      </c>
      <c r="BA50" s="63" t="n">
        <f aca="false">BA47+BA48+BA49</f>
        <v>0</v>
      </c>
      <c r="BB50" s="63" t="n">
        <f aca="false">BB47+BB48+BB49</f>
        <v>0</v>
      </c>
    </row>
    <row r="51" customFormat="false" ht="15" hidden="false" customHeight="true" outlineLevel="0" collapsed="false">
      <c r="B51" s="59" t="s">
        <v>463</v>
      </c>
      <c r="C51" s="59" t="s">
        <v>11</v>
      </c>
      <c r="D51" s="63" t="n">
        <f aca="false">SUM(E51:BB51)</f>
        <v>0</v>
      </c>
      <c r="E51" s="66" t="n">
        <f aca="false">IF(E$46=$C$41,E47*$C$42*(1-$C$43),0)</f>
        <v>0</v>
      </c>
      <c r="F51" s="66" t="n">
        <f aca="false">IF(F$46=$C$41,F47*$C$42*(1-$C$43),0)</f>
        <v>0</v>
      </c>
      <c r="G51" s="66" t="n">
        <f aca="false">IF(G$46=$C$41,G47*$C$42*(1-$C$43),0)</f>
        <v>0</v>
      </c>
      <c r="H51" s="66" t="n">
        <f aca="false">IF(H$46=$C$41,H47*$C$42*(1-$C$43),0)</f>
        <v>0</v>
      </c>
      <c r="I51" s="66" t="n">
        <f aca="false">IF(I$46=$C$41,I47*$C$42*(1-$C$43),0)</f>
        <v>0</v>
      </c>
      <c r="J51" s="66" t="n">
        <f aca="false">IF(J$46=$C$41,J47*$C$42*(1-$C$43),0)</f>
        <v>0</v>
      </c>
      <c r="K51" s="66" t="n">
        <f aca="false">IF(K$46=$C$41,K47*$C$42*(1-$C$43),0)</f>
        <v>0</v>
      </c>
      <c r="L51" s="66" t="n">
        <f aca="false">IF(L$46=$C$41,L47*$C$42*(1-$C$43),0)</f>
        <v>0</v>
      </c>
      <c r="M51" s="66" t="n">
        <f aca="false">IF(M$46=$C$41,M47*$C$42*(1-$C$43),0)</f>
        <v>0</v>
      </c>
      <c r="N51" s="66" t="n">
        <f aca="false">IF(N$46=$C$41,N47*$C$42*(1-$C$43),0)</f>
        <v>0</v>
      </c>
      <c r="O51" s="66" t="n">
        <f aca="false">IF(O$46=$C$41,O47*$C$42*(1-$C$43),0)</f>
        <v>0</v>
      </c>
      <c r="P51" s="66" t="n">
        <f aca="false">IF(P$46=$C$41,P47*$C$42*(1-$C$43),0)</f>
        <v>0</v>
      </c>
      <c r="Q51" s="66" t="n">
        <f aca="false">IF(Q$46=$C$41,Q47*$C$42*(1-$C$43),0)</f>
        <v>0</v>
      </c>
      <c r="R51" s="66" t="n">
        <f aca="false">IF(R$46=$C$41,R47*$C$42*(1-$C$43),0)</f>
        <v>0</v>
      </c>
      <c r="S51" s="66" t="n">
        <f aca="false">IF(S$46=$C$41,S47*$C$42*(1-$C$43),0)</f>
        <v>0</v>
      </c>
      <c r="T51" s="66" t="n">
        <f aca="false">IF(T$46=$C$41,T47*$C$42*(1-$C$43),0)</f>
        <v>0</v>
      </c>
      <c r="U51" s="66" t="n">
        <f aca="false">IF(U$46=$C$41,U47*$C$42*(1-$C$43),0)</f>
        <v>0</v>
      </c>
      <c r="V51" s="66" t="n">
        <f aca="false">IF(V$46=$C$41,V47*$C$42*(1-$C$43),0)</f>
        <v>0</v>
      </c>
      <c r="W51" s="66" t="n">
        <f aca="false">IF(W$46=$C$41,W47*$C$42*(1-$C$43),0)</f>
        <v>0</v>
      </c>
      <c r="X51" s="66" t="n">
        <f aca="false">IF(X$46=$C$41,X47*$C$42*(1-$C$43),0)</f>
        <v>0</v>
      </c>
      <c r="Y51" s="66" t="n">
        <f aca="false">IF(Y$46=$C$41,Y47*$C$42*(1-$C$43),0)</f>
        <v>0</v>
      </c>
      <c r="Z51" s="66" t="n">
        <f aca="false">IF(Z$46=$C$41,Z47*$C$42*(1-$C$43),0)</f>
        <v>0</v>
      </c>
      <c r="AA51" s="66" t="n">
        <f aca="false">IF(AA$46=$C$41,AA47*$C$42*(1-$C$43),0)</f>
        <v>0</v>
      </c>
      <c r="AB51" s="66" t="n">
        <f aca="false">IF(AB$46=$C$41,AB47*$C$42*(1-$C$43),0)</f>
        <v>0</v>
      </c>
      <c r="AC51" s="66" t="n">
        <f aca="false">IF(AC$46=$C$41,AC47*$C$42*(1-$C$43),0)</f>
        <v>0</v>
      </c>
      <c r="AD51" s="66" t="n">
        <f aca="false">IF(AD$46=$C$41,AD47*$C$42*(1-$C$43),0)</f>
        <v>0</v>
      </c>
      <c r="AE51" s="66" t="n">
        <f aca="false">IF(AE$46=$C$41,AE47*$C$42*(1-$C$43),0)</f>
        <v>0</v>
      </c>
      <c r="AF51" s="66" t="n">
        <f aca="false">IF(AF$46=$C$41,AF47*$C$42*(1-$C$43),0)</f>
        <v>0</v>
      </c>
      <c r="AG51" s="66" t="n">
        <f aca="false">IF(AG$46=$C$41,AG47*$C$42*(1-$C$43),0)</f>
        <v>0</v>
      </c>
      <c r="AH51" s="66" t="n">
        <f aca="false">IF(AH$46=$C$41,AH47*$C$42*(1-$C$43),0)</f>
        <v>0</v>
      </c>
      <c r="AI51" s="66" t="n">
        <f aca="false">IF(AI$46=$C$41,AI47*$C$42*(1-$C$43),0)</f>
        <v>0</v>
      </c>
      <c r="AJ51" s="66" t="n">
        <f aca="false">IF(AJ$46=$C$41,AJ47*$C$42*(1-$C$43),0)</f>
        <v>0</v>
      </c>
      <c r="AK51" s="66" t="n">
        <f aca="false">IF(AK$46=$C$41,AK47*$C$42*(1-$C$43),0)</f>
        <v>0</v>
      </c>
      <c r="AL51" s="66" t="n">
        <f aca="false">IF(AL$46=$C$41,AL47*$C$42*(1-$C$43),0)</f>
        <v>0</v>
      </c>
      <c r="AM51" s="66" t="n">
        <f aca="false">IF(AM$46=$C$41,AM47*$C$42*(1-$C$43),0)</f>
        <v>0</v>
      </c>
      <c r="AN51" s="66" t="n">
        <f aca="false">IF(AN$46=$C$41,AN47*$C$42*(1-$C$43),0)</f>
        <v>0</v>
      </c>
      <c r="AO51" s="66" t="n">
        <f aca="false">IF(AO$46=$C$41,AO47*$C$42*(1-$C$43),0)</f>
        <v>0</v>
      </c>
      <c r="AP51" s="66" t="n">
        <f aca="false">IF(AP$46=$C$41,AP47*$C$42*(1-$C$43),0)</f>
        <v>0</v>
      </c>
      <c r="AQ51" s="66" t="n">
        <f aca="false">IF(AQ$46=$C$41,AQ47*$C$42*(1-$C$43),0)</f>
        <v>0</v>
      </c>
      <c r="AR51" s="66" t="n">
        <f aca="false">IF(AR$46=$C$41,AR47*$C$42*(1-$C$43),0)</f>
        <v>0</v>
      </c>
      <c r="AS51" s="66" t="n">
        <f aca="false">IF(AS$46=$C$41,AS47*$C$42*(1-$C$43),0)</f>
        <v>0</v>
      </c>
      <c r="AT51" s="66" t="n">
        <f aca="false">IF(AT$46=$C$41,AT47*$C$42*(1-$C$43),0)</f>
        <v>0</v>
      </c>
      <c r="AU51" s="66" t="n">
        <f aca="false">IF(AU$46=$C$41,AU47*$C$42*(1-$C$43),0)</f>
        <v>0</v>
      </c>
      <c r="AV51" s="66" t="n">
        <f aca="false">IF(AV$46=$C$41,AV47*$C$42*(1-$C$43),0)</f>
        <v>0</v>
      </c>
      <c r="AW51" s="66" t="n">
        <f aca="false">IF(AW$46=$C$41,AW47*$C$42*(1-$C$43),0)</f>
        <v>0</v>
      </c>
      <c r="AX51" s="66" t="n">
        <f aca="false">IF(AX$46=$C$41,AX47*$C$42*(1-$C$43),0)</f>
        <v>0</v>
      </c>
      <c r="AY51" s="66" t="n">
        <f aca="false">IF(AY$46=$C$41,AY47*$C$42*(1-$C$43),0)</f>
        <v>0</v>
      </c>
      <c r="AZ51" s="66" t="n">
        <f aca="false">IF(AZ$46=$C$41,AZ47*$C$42*(1-$C$43),0)</f>
        <v>0</v>
      </c>
      <c r="BA51" s="66" t="n">
        <f aca="false">IF(BA$46=$C$41,BA47*$C$42*(1-$C$43),0)</f>
        <v>0</v>
      </c>
      <c r="BB51" s="66" t="n">
        <f aca="false">IF(BB$46=$C$41,BB47*$C$42*(1-$C$43),0)</f>
        <v>0</v>
      </c>
    </row>
    <row r="52" customFormat="false" ht="15" hidden="false" customHeight="true" outlineLevel="0" collapsed="false">
      <c r="B52" s="59" t="s">
        <v>464</v>
      </c>
      <c r="C52" s="59" t="s">
        <v>11</v>
      </c>
      <c r="D52" s="63" t="n">
        <f aca="false">SUM(E52:BB52)</f>
        <v>0</v>
      </c>
      <c r="E52" s="66" t="n">
        <f aca="false">IF(AND(E$46&gt;=$C$9,E$46&lt;=$C$41),E50+E51,0)</f>
        <v>0</v>
      </c>
      <c r="F52" s="66" t="n">
        <f aca="false">IF(AND(F$46&gt;=$C$9,F$46&lt;=$C$41),F50+F51,0)</f>
        <v>0</v>
      </c>
      <c r="G52" s="66" t="n">
        <f aca="false">IF(AND(G$46&gt;=$C$9,G$46&lt;=$C$41),G50+G51,0)</f>
        <v>0</v>
      </c>
      <c r="H52" s="66" t="n">
        <f aca="false">IF(AND(H$46&gt;=$C$9,H$46&lt;=$C$41),H50+H51,0)</f>
        <v>0</v>
      </c>
      <c r="I52" s="66" t="n">
        <f aca="false">IF(AND(I$46&gt;=$C$9,I$46&lt;=$C$41),I50+I51,0)</f>
        <v>0</v>
      </c>
      <c r="J52" s="66" t="n">
        <f aca="false">IF(AND(J$46&gt;=$C$9,J$46&lt;=$C$41),J50+J51,0)</f>
        <v>0</v>
      </c>
      <c r="K52" s="66" t="n">
        <f aca="false">IF(AND(K$46&gt;=$C$9,K$46&lt;=$C$41),K50+K51,0)</f>
        <v>0</v>
      </c>
      <c r="L52" s="66" t="n">
        <f aca="false">IF(AND(L$46&gt;=$C$9,L$46&lt;=$C$41),L50+L51,0)</f>
        <v>0</v>
      </c>
      <c r="M52" s="66" t="n">
        <f aca="false">IF(AND(M$46&gt;=$C$9,M$46&lt;=$C$41),M50+M51,0)</f>
        <v>0</v>
      </c>
      <c r="N52" s="66" t="n">
        <f aca="false">IF(AND(N$46&gt;=$C$9,N$46&lt;=$C$41),N50+N51,0)</f>
        <v>0</v>
      </c>
      <c r="O52" s="66" t="n">
        <f aca="false">IF(AND(O$46&gt;=$C$9,O$46&lt;=$C$41),O50+O51,0)</f>
        <v>0</v>
      </c>
      <c r="P52" s="66" t="n">
        <f aca="false">IF(AND(P$46&gt;=$C$9,P$46&lt;=$C$41),P50+P51,0)</f>
        <v>0</v>
      </c>
      <c r="Q52" s="66" t="n">
        <f aca="false">IF(AND(Q$46&gt;=$C$9,Q$46&lt;=$C$41),Q50+Q51,0)</f>
        <v>0</v>
      </c>
      <c r="R52" s="66" t="n">
        <f aca="false">IF(AND(R$46&gt;=$C$9,R$46&lt;=$C$41),R50+R51,0)</f>
        <v>0</v>
      </c>
      <c r="S52" s="66" t="n">
        <f aca="false">IF(AND(S$46&gt;=$C$9,S$46&lt;=$C$41),S50+S51,0)</f>
        <v>0</v>
      </c>
      <c r="T52" s="66" t="n">
        <f aca="false">IF(AND(T$46&gt;=$C$9,T$46&lt;=$C$41),T50+T51,0)</f>
        <v>0</v>
      </c>
      <c r="U52" s="66" t="n">
        <f aca="false">IF(AND(U$46&gt;=$C$9,U$46&lt;=$C$41),U50+U51,0)</f>
        <v>0</v>
      </c>
      <c r="V52" s="66" t="n">
        <f aca="false">IF(AND(V$46&gt;=$C$9,V$46&lt;=$C$41),V50+V51,0)</f>
        <v>0</v>
      </c>
      <c r="W52" s="66" t="n">
        <f aca="false">IF(AND(W$46&gt;=$C$9,W$46&lt;=$C$41),W50+W51,0)</f>
        <v>0</v>
      </c>
      <c r="X52" s="66" t="n">
        <f aca="false">IF(AND(X$46&gt;=$C$9,X$46&lt;=$C$41),X50+X51,0)</f>
        <v>0</v>
      </c>
      <c r="Y52" s="66" t="n">
        <f aca="false">IF(AND(Y$46&gt;=$C$9,Y$46&lt;=$C$41),Y50+Y51,0)</f>
        <v>0</v>
      </c>
      <c r="Z52" s="66" t="n">
        <f aca="false">IF(AND(Z$46&gt;=$C$9,Z$46&lt;=$C$41),Z50+Z51,0)</f>
        <v>0</v>
      </c>
      <c r="AA52" s="66" t="n">
        <f aca="false">IF(AND(AA$46&gt;=$C$9,AA$46&lt;=$C$41),AA50+AA51,0)</f>
        <v>0</v>
      </c>
      <c r="AB52" s="66" t="n">
        <f aca="false">IF(AND(AB$46&gt;=$C$9,AB$46&lt;=$C$41),AB50+AB51,0)</f>
        <v>0</v>
      </c>
      <c r="AC52" s="66" t="n">
        <f aca="false">IF(AND(AC$46&gt;=$C$9,AC$46&lt;=$C$41),AC50+AC51,0)</f>
        <v>0</v>
      </c>
      <c r="AD52" s="66" t="n">
        <f aca="false">IF(AND(AD$46&gt;=$C$9,AD$46&lt;=$C$41),AD50+AD51,0)</f>
        <v>0</v>
      </c>
      <c r="AE52" s="66" t="n">
        <f aca="false">IF(AND(AE$46&gt;=$C$9,AE$46&lt;=$C$41),AE50+AE51,0)</f>
        <v>0</v>
      </c>
      <c r="AF52" s="66" t="n">
        <f aca="false">IF(AND(AF$46&gt;=$C$9,AF$46&lt;=$C$41),AF50+AF51,0)</f>
        <v>0</v>
      </c>
      <c r="AG52" s="66" t="n">
        <f aca="false">IF(AND(AG$46&gt;=$C$9,AG$46&lt;=$C$41),AG50+AG51,0)</f>
        <v>0</v>
      </c>
      <c r="AH52" s="66" t="n">
        <f aca="false">IF(AND(AH$46&gt;=$C$9,AH$46&lt;=$C$41),AH50+AH51,0)</f>
        <v>0</v>
      </c>
      <c r="AI52" s="66" t="n">
        <f aca="false">IF(AND(AI$46&gt;=$C$9,AI$46&lt;=$C$41),AI50+AI51,0)</f>
        <v>0</v>
      </c>
      <c r="AJ52" s="66" t="n">
        <f aca="false">IF(AND(AJ$46&gt;=$C$9,AJ$46&lt;=$C$41),AJ50+AJ51,0)</f>
        <v>0</v>
      </c>
      <c r="AK52" s="66" t="n">
        <f aca="false">IF(AND(AK$46&gt;=$C$9,AK$46&lt;=$C$41),AK50+AK51,0)</f>
        <v>0</v>
      </c>
      <c r="AL52" s="66" t="n">
        <f aca="false">IF(AND(AL$46&gt;=$C$9,AL$46&lt;=$C$41),AL50+AL51,0)</f>
        <v>0</v>
      </c>
      <c r="AM52" s="66" t="n">
        <f aca="false">IF(AND(AM$46&gt;=$C$9,AM$46&lt;=$C$41),AM50+AM51,0)</f>
        <v>0</v>
      </c>
      <c r="AN52" s="66" t="n">
        <f aca="false">IF(AND(AN$46&gt;=$C$9,AN$46&lt;=$C$41),AN50+AN51,0)</f>
        <v>0</v>
      </c>
      <c r="AO52" s="66" t="n">
        <f aca="false">IF(AND(AO$46&gt;=$C$9,AO$46&lt;=$C$41),AO50+AO51,0)</f>
        <v>0</v>
      </c>
      <c r="AP52" s="66" t="n">
        <f aca="false">IF(AND(AP$46&gt;=$C$9,AP$46&lt;=$C$41),AP50+AP51,0)</f>
        <v>0</v>
      </c>
      <c r="AQ52" s="66" t="n">
        <f aca="false">IF(AND(AQ$46&gt;=$C$9,AQ$46&lt;=$C$41),AQ50+AQ51,0)</f>
        <v>0</v>
      </c>
      <c r="AR52" s="66" t="n">
        <f aca="false">IF(AND(AR$46&gt;=$C$9,AR$46&lt;=$C$41),AR50+AR51,0)</f>
        <v>0</v>
      </c>
      <c r="AS52" s="66" t="n">
        <f aca="false">IF(AND(AS$46&gt;=$C$9,AS$46&lt;=$C$41),AS50+AS51,0)</f>
        <v>0</v>
      </c>
      <c r="AT52" s="66" t="n">
        <f aca="false">IF(AND(AT$46&gt;=$C$9,AT$46&lt;=$C$41),AT50+AT51,0)</f>
        <v>0</v>
      </c>
      <c r="AU52" s="66" t="n">
        <f aca="false">IF(AND(AU$46&gt;=$C$9,AU$46&lt;=$C$41),AU50+AU51,0)</f>
        <v>0</v>
      </c>
      <c r="AV52" s="66" t="n">
        <f aca="false">IF(AND(AV$46&gt;=$C$9,AV$46&lt;=$C$41),AV50+AV51,0)</f>
        <v>0</v>
      </c>
      <c r="AW52" s="66" t="n">
        <f aca="false">IF(AND(AW$46&gt;=$C$9,AW$46&lt;=$C$41),AW50+AW51,0)</f>
        <v>0</v>
      </c>
      <c r="AX52" s="66" t="n">
        <f aca="false">IF(AND(AX$46&gt;=$C$9,AX$46&lt;=$C$41),AX50+AX51,0)</f>
        <v>0</v>
      </c>
      <c r="AY52" s="66" t="n">
        <f aca="false">IF(AND(AY$46&gt;=$C$9,AY$46&lt;=$C$41),AY50+AY51,0)</f>
        <v>0</v>
      </c>
      <c r="AZ52" s="66" t="n">
        <f aca="false">IF(AND(AZ$46&gt;=$C$9,AZ$46&lt;=$C$41),AZ50+AZ51,0)</f>
        <v>0</v>
      </c>
      <c r="BA52" s="66" t="n">
        <f aca="false">IF(AND(BA$46&gt;=$C$9,BA$46&lt;=$C$41),BA50+BA51,0)</f>
        <v>0</v>
      </c>
      <c r="BB52" s="66" t="n">
        <f aca="false">IF(AND(BB$46&gt;=$C$9,BB$46&lt;=$C$41),BB50+BB51,0)</f>
        <v>0</v>
      </c>
    </row>
    <row r="54" customFormat="false" ht="15" hidden="false" customHeight="true" outlineLevel="0" collapsed="false">
      <c r="A54" s="58" t="s">
        <v>465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customFormat="false" ht="15" hidden="false" customHeight="true" outlineLevel="0" collapsed="false">
      <c r="C55" s="69" t="s">
        <v>262</v>
      </c>
      <c r="D55" s="69" t="s">
        <v>60</v>
      </c>
      <c r="E55" s="70" t="n">
        <f aca="false">E$46</f>
        <v>2026</v>
      </c>
      <c r="F55" s="70" t="n">
        <f aca="false">F$46</f>
        <v>2027</v>
      </c>
      <c r="G55" s="70" t="n">
        <f aca="false">G$46</f>
        <v>2028</v>
      </c>
      <c r="H55" s="70" t="n">
        <f aca="false">H$46</f>
        <v>2029</v>
      </c>
      <c r="I55" s="70" t="n">
        <f aca="false">I$46</f>
        <v>2030</v>
      </c>
      <c r="J55" s="70" t="n">
        <f aca="false">J$46</f>
        <v>2031</v>
      </c>
      <c r="K55" s="70" t="n">
        <f aca="false">K$46</f>
        <v>2032</v>
      </c>
      <c r="L55" s="70" t="n">
        <f aca="false">L$46</f>
        <v>2033</v>
      </c>
      <c r="M55" s="70" t="n">
        <f aca="false">M$46</f>
        <v>2034</v>
      </c>
      <c r="N55" s="70" t="n">
        <f aca="false">N$46</f>
        <v>2035</v>
      </c>
      <c r="O55" s="70" t="n">
        <f aca="false">O$46</f>
        <v>2036</v>
      </c>
      <c r="P55" s="70" t="n">
        <f aca="false">P$46</f>
        <v>2037</v>
      </c>
      <c r="Q55" s="70" t="n">
        <f aca="false">Q$46</f>
        <v>2038</v>
      </c>
      <c r="R55" s="70" t="n">
        <f aca="false">R$46</f>
        <v>2039</v>
      </c>
      <c r="S55" s="70" t="n">
        <f aca="false">S$46</f>
        <v>2040</v>
      </c>
      <c r="T55" s="70" t="n">
        <f aca="false">T$46</f>
        <v>2041</v>
      </c>
      <c r="U55" s="70" t="n">
        <f aca="false">U$46</f>
        <v>2042</v>
      </c>
      <c r="V55" s="70" t="n">
        <f aca="false">V$46</f>
        <v>2043</v>
      </c>
      <c r="W55" s="70" t="n">
        <f aca="false">W$46</f>
        <v>2044</v>
      </c>
      <c r="X55" s="70" t="n">
        <f aca="false">X$46</f>
        <v>2045</v>
      </c>
      <c r="Y55" s="70" t="n">
        <f aca="false">Y$46</f>
        <v>2046</v>
      </c>
      <c r="Z55" s="70" t="n">
        <f aca="false">Z$46</f>
        <v>2047</v>
      </c>
      <c r="AA55" s="70" t="n">
        <f aca="false">AA$46</f>
        <v>2048</v>
      </c>
      <c r="AB55" s="70" t="n">
        <f aca="false">AB$46</f>
        <v>2049</v>
      </c>
      <c r="AC55" s="70" t="n">
        <f aca="false">AC$46</f>
        <v>2050</v>
      </c>
      <c r="AD55" s="70" t="n">
        <f aca="false">AD$46</f>
        <v>2051</v>
      </c>
      <c r="AE55" s="70" t="n">
        <f aca="false">AE$46</f>
        <v>2052</v>
      </c>
      <c r="AF55" s="70" t="n">
        <f aca="false">AF$46</f>
        <v>2053</v>
      </c>
      <c r="AG55" s="70" t="n">
        <f aca="false">AG$46</f>
        <v>2054</v>
      </c>
      <c r="AH55" s="70" t="n">
        <f aca="false">AH$46</f>
        <v>2055</v>
      </c>
      <c r="AI55" s="70" t="n">
        <f aca="false">AI$46</f>
        <v>2056</v>
      </c>
      <c r="AJ55" s="70" t="n">
        <f aca="false">AJ$46</f>
        <v>2057</v>
      </c>
      <c r="AK55" s="70" t="n">
        <f aca="false">AK$46</f>
        <v>2058</v>
      </c>
      <c r="AL55" s="70" t="n">
        <f aca="false">AL$46</f>
        <v>2059</v>
      </c>
      <c r="AM55" s="70" t="n">
        <f aca="false">AM$46</f>
        <v>2060</v>
      </c>
      <c r="AN55" s="70" t="n">
        <f aca="false">AN$46</f>
        <v>2061</v>
      </c>
      <c r="AO55" s="70" t="n">
        <f aca="false">AO$46</f>
        <v>2062</v>
      </c>
      <c r="AP55" s="70" t="n">
        <f aca="false">AP$46</f>
        <v>2063</v>
      </c>
      <c r="AQ55" s="70" t="n">
        <f aca="false">AQ$46</f>
        <v>2064</v>
      </c>
      <c r="AR55" s="70" t="n">
        <f aca="false">AR$46</f>
        <v>2065</v>
      </c>
      <c r="AS55" s="70" t="n">
        <f aca="false">AS$46</f>
        <v>2066</v>
      </c>
      <c r="AT55" s="70" t="n">
        <f aca="false">AT$46</f>
        <v>2067</v>
      </c>
      <c r="AU55" s="70" t="n">
        <f aca="false">AU$46</f>
        <v>2068</v>
      </c>
      <c r="AV55" s="70" t="n">
        <f aca="false">AV$46</f>
        <v>2069</v>
      </c>
      <c r="AW55" s="70" t="n">
        <f aca="false">AW$46</f>
        <v>2070</v>
      </c>
      <c r="AX55" s="70" t="n">
        <f aca="false">AX$46</f>
        <v>2071</v>
      </c>
      <c r="AY55" s="70" t="n">
        <f aca="false">AY$46</f>
        <v>2072</v>
      </c>
      <c r="AZ55" s="70" t="n">
        <f aca="false">AZ$46</f>
        <v>2073</v>
      </c>
      <c r="BA55" s="70" t="n">
        <f aca="false">BA$46</f>
        <v>2074</v>
      </c>
      <c r="BB55" s="70" t="n">
        <f aca="false">BB$46</f>
        <v>2075</v>
      </c>
    </row>
    <row r="56" customFormat="false" ht="15" hidden="false" customHeight="true" outlineLevel="0" collapsed="false">
      <c r="B56" s="59" t="s">
        <v>466</v>
      </c>
      <c r="C56" s="59" t="s">
        <v>11</v>
      </c>
      <c r="D56" s="63" t="n">
        <f aca="false">SUM(E56:BB56)</f>
        <v>0</v>
      </c>
      <c r="E56" s="66" t="n">
        <f aca="false">IF(AND(E49&lt;0,E$46&gt;=$C$9,E$46&lt;=$C$41),ABS(E49/$D$49)*$C$14,0)+E70</f>
        <v>0</v>
      </c>
      <c r="F56" s="66" t="n">
        <f aca="false">IF(AND(F49&lt;0,F$46&gt;=$C$9,F$46&lt;=$C$41),ABS(F49/$D$49)*$C$14,0)+F70</f>
        <v>0</v>
      </c>
      <c r="G56" s="66" t="n">
        <f aca="false">IF(AND(G49&lt;0,G$46&gt;=$C$9,G$46&lt;=$C$41),ABS(G49/$D$49)*$C$14,0)+G70</f>
        <v>0</v>
      </c>
      <c r="H56" s="66" t="n">
        <f aca="false">IF(AND(H49&lt;0,H$46&gt;=$C$9,H$46&lt;=$C$41),ABS(H49/$D$49)*$C$14,0)+H70</f>
        <v>0</v>
      </c>
      <c r="I56" s="66" t="n">
        <f aca="false">IF(AND(I49&lt;0,I$46&gt;=$C$9,I$46&lt;=$C$41),ABS(I49/$D$49)*$C$14,0)+I70</f>
        <v>0</v>
      </c>
      <c r="J56" s="66" t="n">
        <f aca="false">IF(AND(J49&lt;0,J$46&gt;=$C$9,J$46&lt;=$C$41),ABS(J49/$D$49)*$C$14,0)+J70</f>
        <v>0</v>
      </c>
      <c r="K56" s="66" t="n">
        <f aca="false">IF(AND(K49&lt;0,K$46&gt;=$C$9,K$46&lt;=$C$41),ABS(K49/$D$49)*$C$14,0)+K70</f>
        <v>0</v>
      </c>
      <c r="L56" s="66" t="n">
        <f aca="false">IF(AND(L49&lt;0,L$46&gt;=$C$9,L$46&lt;=$C$41),ABS(L49/$D$49)*$C$14,0)+L70</f>
        <v>0</v>
      </c>
      <c r="M56" s="66" t="n">
        <f aca="false">IF(AND(M49&lt;0,M$46&gt;=$C$9,M$46&lt;=$C$41),ABS(M49/$D$49)*$C$14,0)+M70</f>
        <v>0</v>
      </c>
      <c r="N56" s="66" t="n">
        <f aca="false">IF(AND(N49&lt;0,N$46&gt;=$C$9,N$46&lt;=$C$41),ABS(N49/$D$49)*$C$14,0)+N70</f>
        <v>0</v>
      </c>
      <c r="O56" s="66" t="n">
        <f aca="false">IF(AND(O49&lt;0,O$46&gt;=$C$9,O$46&lt;=$C$41),ABS(O49/$D$49)*$C$14,0)+O70</f>
        <v>0</v>
      </c>
      <c r="P56" s="66" t="n">
        <f aca="false">IF(AND(P49&lt;0,P$46&gt;=$C$9,P$46&lt;=$C$41),ABS(P49/$D$49)*$C$14,0)+P70</f>
        <v>0</v>
      </c>
      <c r="Q56" s="66" t="n">
        <f aca="false">IF(AND(Q49&lt;0,Q$46&gt;=$C$9,Q$46&lt;=$C$41),ABS(Q49/$D$49)*$C$14,0)+Q70</f>
        <v>0</v>
      </c>
      <c r="R56" s="66" t="n">
        <f aca="false">IF(AND(R49&lt;0,R$46&gt;=$C$9,R$46&lt;=$C$41),ABS(R49/$D$49)*$C$14,0)+R70</f>
        <v>0</v>
      </c>
      <c r="S56" s="66" t="n">
        <f aca="false">IF(AND(S49&lt;0,S$46&gt;=$C$9,S$46&lt;=$C$41),ABS(S49/$D$49)*$C$14,0)+S70</f>
        <v>0</v>
      </c>
      <c r="T56" s="66" t="n">
        <f aca="false">IF(AND(T49&lt;0,T$46&gt;=$C$9,T$46&lt;=$C$41),ABS(T49/$D$49)*$C$14,0)+T70</f>
        <v>0</v>
      </c>
      <c r="U56" s="66" t="n">
        <f aca="false">IF(AND(U49&lt;0,U$46&gt;=$C$9,U$46&lt;=$C$41),ABS(U49/$D$49)*$C$14,0)+U70</f>
        <v>0</v>
      </c>
      <c r="V56" s="66" t="n">
        <f aca="false">IF(AND(V49&lt;0,V$46&gt;=$C$9,V$46&lt;=$C$41),ABS(V49/$D$49)*$C$14,0)+V70</f>
        <v>0</v>
      </c>
      <c r="W56" s="66" t="n">
        <f aca="false">IF(AND(W49&lt;0,W$46&gt;=$C$9,W$46&lt;=$C$41),ABS(W49/$D$49)*$C$14,0)+W70</f>
        <v>0</v>
      </c>
      <c r="X56" s="66" t="n">
        <f aca="false">IF(AND(X49&lt;0,X$46&gt;=$C$9,X$46&lt;=$C$41),ABS(X49/$D$49)*$C$14,0)+X70</f>
        <v>0</v>
      </c>
      <c r="Y56" s="66" t="n">
        <f aca="false">IF(AND(Y49&lt;0,Y$46&gt;=$C$9,Y$46&lt;=$C$41),ABS(Y49/$D$49)*$C$14,0)+Y70</f>
        <v>0</v>
      </c>
      <c r="Z56" s="66" t="n">
        <f aca="false">IF(AND(Z49&lt;0,Z$46&gt;=$C$9,Z$46&lt;=$C$41),ABS(Z49/$D$49)*$C$14,0)+Z70</f>
        <v>0</v>
      </c>
      <c r="AA56" s="66" t="n">
        <f aca="false">IF(AND(AA49&lt;0,AA$46&gt;=$C$9,AA$46&lt;=$C$41),ABS(AA49/$D$49)*$C$14,0)+AA70</f>
        <v>0</v>
      </c>
      <c r="AB56" s="66" t="n">
        <f aca="false">IF(AND(AB49&lt;0,AB$46&gt;=$C$9,AB$46&lt;=$C$41),ABS(AB49/$D$49)*$C$14,0)+AB70</f>
        <v>0</v>
      </c>
      <c r="AC56" s="66" t="n">
        <f aca="false">IF(AND(AC49&lt;0,AC$46&gt;=$C$9,AC$46&lt;=$C$41),ABS(AC49/$D$49)*$C$14,0)+AC70</f>
        <v>0</v>
      </c>
      <c r="AD56" s="66" t="n">
        <f aca="false">IF(AND(AD49&lt;0,AD$46&gt;=$C$9,AD$46&lt;=$C$41),ABS(AD49/$D$49)*$C$14,0)+AD70</f>
        <v>0</v>
      </c>
      <c r="AE56" s="66" t="n">
        <f aca="false">IF(AND(AE49&lt;0,AE$46&gt;=$C$9,AE$46&lt;=$C$41),ABS(AE49/$D$49)*$C$14,0)+AE70</f>
        <v>0</v>
      </c>
      <c r="AF56" s="66" t="n">
        <f aca="false">IF(AND(AF49&lt;0,AF$46&gt;=$C$9,AF$46&lt;=$C$41),ABS(AF49/$D$49)*$C$14,0)+AF70</f>
        <v>0</v>
      </c>
      <c r="AG56" s="66" t="n">
        <f aca="false">IF(AND(AG49&lt;0,AG$46&gt;=$C$9,AG$46&lt;=$C$41),ABS(AG49/$D$49)*$C$14,0)+AG70</f>
        <v>0</v>
      </c>
      <c r="AH56" s="66" t="n">
        <f aca="false">IF(AND(AH49&lt;0,AH$46&gt;=$C$9,AH$46&lt;=$C$41),ABS(AH49/$D$49)*$C$14,0)+AH70</f>
        <v>0</v>
      </c>
      <c r="AI56" s="66" t="n">
        <f aca="false">IF(AND(AI49&lt;0,AI$46&gt;=$C$9,AI$46&lt;=$C$41),ABS(AI49/$D$49)*$C$14,0)+AI70</f>
        <v>0</v>
      </c>
      <c r="AJ56" s="66" t="n">
        <f aca="false">IF(AND(AJ49&lt;0,AJ$46&gt;=$C$9,AJ$46&lt;=$C$41),ABS(AJ49/$D$49)*$C$14,0)+AJ70</f>
        <v>0</v>
      </c>
      <c r="AK56" s="66" t="n">
        <f aca="false">IF(AND(AK49&lt;0,AK$46&gt;=$C$9,AK$46&lt;=$C$41),ABS(AK49/$D$49)*$C$14,0)+AK70</f>
        <v>0</v>
      </c>
      <c r="AL56" s="66" t="n">
        <f aca="false">IF(AND(AL49&lt;0,AL$46&gt;=$C$9,AL$46&lt;=$C$41),ABS(AL49/$D$49)*$C$14,0)+AL70</f>
        <v>0</v>
      </c>
      <c r="AM56" s="66" t="n">
        <f aca="false">IF(AND(AM49&lt;0,AM$46&gt;=$C$9,AM$46&lt;=$C$41),ABS(AM49/$D$49)*$C$14,0)+AM70</f>
        <v>0</v>
      </c>
      <c r="AN56" s="66" t="n">
        <f aca="false">IF(AND(AN49&lt;0,AN$46&gt;=$C$9,AN$46&lt;=$C$41),ABS(AN49/$D$49)*$C$14,0)+AN70</f>
        <v>0</v>
      </c>
      <c r="AO56" s="66" t="n">
        <f aca="false">IF(AND(AO49&lt;0,AO$46&gt;=$C$9,AO$46&lt;=$C$41),ABS(AO49/$D$49)*$C$14,0)+AO70</f>
        <v>0</v>
      </c>
      <c r="AP56" s="66" t="n">
        <f aca="false">IF(AND(AP49&lt;0,AP$46&gt;=$C$9,AP$46&lt;=$C$41),ABS(AP49/$D$49)*$C$14,0)+AP70</f>
        <v>0</v>
      </c>
      <c r="AQ56" s="66" t="n">
        <f aca="false">IF(AND(AQ49&lt;0,AQ$46&gt;=$C$9,AQ$46&lt;=$C$41),ABS(AQ49/$D$49)*$C$14,0)+AQ70</f>
        <v>0</v>
      </c>
      <c r="AR56" s="66" t="n">
        <f aca="false">IF(AND(AR49&lt;0,AR$46&gt;=$C$9,AR$46&lt;=$C$41),ABS(AR49/$D$49)*$C$14,0)+AR70</f>
        <v>0</v>
      </c>
      <c r="AS56" s="66" t="n">
        <f aca="false">IF(AND(AS49&lt;0,AS$46&gt;=$C$9,AS$46&lt;=$C$41),ABS(AS49/$D$49)*$C$14,0)+AS70</f>
        <v>0</v>
      </c>
      <c r="AT56" s="66" t="n">
        <f aca="false">IF(AND(AT49&lt;0,AT$46&gt;=$C$9,AT$46&lt;=$C$41),ABS(AT49/$D$49)*$C$14,0)+AT70</f>
        <v>0</v>
      </c>
      <c r="AU56" s="66" t="n">
        <f aca="false">IF(AND(AU49&lt;0,AU$46&gt;=$C$9,AU$46&lt;=$C$41),ABS(AU49/$D$49)*$C$14,0)+AU70</f>
        <v>0</v>
      </c>
      <c r="AV56" s="66" t="n">
        <f aca="false">IF(AND(AV49&lt;0,AV$46&gt;=$C$9,AV$46&lt;=$C$41),ABS(AV49/$D$49)*$C$14,0)+AV70</f>
        <v>0</v>
      </c>
      <c r="AW56" s="66" t="n">
        <f aca="false">IF(AND(AW49&lt;0,AW$46&gt;=$C$9,AW$46&lt;=$C$41),ABS(AW49/$D$49)*$C$14,0)+AW70</f>
        <v>0</v>
      </c>
      <c r="AX56" s="66" t="n">
        <f aca="false">IF(AND(AX49&lt;0,AX$46&gt;=$C$9,AX$46&lt;=$C$41),ABS(AX49/$D$49)*$C$14,0)+AX70</f>
        <v>0</v>
      </c>
      <c r="AY56" s="66" t="n">
        <f aca="false">IF(AND(AY49&lt;0,AY$46&gt;=$C$9,AY$46&lt;=$C$41),ABS(AY49/$D$49)*$C$14,0)+AY70</f>
        <v>0</v>
      </c>
      <c r="AZ56" s="66" t="n">
        <f aca="false">IF(AND(AZ49&lt;0,AZ$46&gt;=$C$9,AZ$46&lt;=$C$41),ABS(AZ49/$D$49)*$C$14,0)+AZ70</f>
        <v>0</v>
      </c>
      <c r="BA56" s="66" t="n">
        <f aca="false">IF(AND(BA49&lt;0,BA$46&gt;=$C$9,BA$46&lt;=$C$41),ABS(BA49/$D$49)*$C$14,0)+BA70</f>
        <v>0</v>
      </c>
      <c r="BB56" s="66" t="n">
        <f aca="false">IF(AND(BB49&lt;0,BB$46&gt;=$C$9,BB$46&lt;=$C$41),ABS(BB49/$D$49)*$C$14,0)+BB70</f>
        <v>0</v>
      </c>
    </row>
    <row r="57" customFormat="false" ht="15" hidden="false" customHeight="true" outlineLevel="0" collapsed="false">
      <c r="B57" s="59" t="s">
        <v>467</v>
      </c>
      <c r="C57" s="59" t="s">
        <v>11</v>
      </c>
      <c r="D57" s="63" t="n">
        <f aca="false">SUM(E57:BB57)</f>
        <v>0</v>
      </c>
      <c r="E57" s="66" t="n">
        <f aca="false">IF(AND($C$22="Y",E49&lt;0,E$46&gt;=$C$9,E$46&lt;=$C$41),MIN(ABS(E49/$D$49)*$C$19,MAX(0,$C$19-0)),0)</f>
        <v>0</v>
      </c>
      <c r="F57" s="66" t="n">
        <f aca="false">IF(AND($C$22="Y",F49&lt;0,F$46&gt;=$C$9,F$46&lt;=$C$41),MIN(ABS(F49/$D$49)*$C$19,MAX(0,$C$19-E60)),0)</f>
        <v>0</v>
      </c>
      <c r="G57" s="66" t="n">
        <f aca="false">IF(AND($C$22="Y",G49&lt;0,G$46&gt;=$C$9,G$46&lt;=$C$41),MIN(ABS(G49/$D$49)*$C$19,MAX(0,$C$19-F60)),0)</f>
        <v>0</v>
      </c>
      <c r="H57" s="66" t="n">
        <f aca="false">IF(AND($C$22="Y",H49&lt;0,H$46&gt;=$C$9,H$46&lt;=$C$41),MIN(ABS(H49/$D$49)*$C$19,MAX(0,$C$19-G60)),0)</f>
        <v>0</v>
      </c>
      <c r="I57" s="66" t="n">
        <f aca="false">IF(AND($C$22="Y",I49&lt;0,I$46&gt;=$C$9,I$46&lt;=$C$41),MIN(ABS(I49/$D$49)*$C$19,MAX(0,$C$19-H60)),0)</f>
        <v>0</v>
      </c>
      <c r="J57" s="66" t="n">
        <f aca="false">IF(AND($C$22="Y",J49&lt;0,J$46&gt;=$C$9,J$46&lt;=$C$41),MIN(ABS(J49/$D$49)*$C$19,MAX(0,$C$19-I60)),0)</f>
        <v>0</v>
      </c>
      <c r="K57" s="66" t="n">
        <f aca="false">IF(AND($C$22="Y",K49&lt;0,K$46&gt;=$C$9,K$46&lt;=$C$41),MIN(ABS(K49/$D$49)*$C$19,MAX(0,$C$19-J60)),0)</f>
        <v>0</v>
      </c>
      <c r="L57" s="66" t="n">
        <f aca="false">IF(AND($C$22="Y",L49&lt;0,L$46&gt;=$C$9,L$46&lt;=$C$41),MIN(ABS(L49/$D$49)*$C$19,MAX(0,$C$19-K60)),0)</f>
        <v>0</v>
      </c>
      <c r="M57" s="66" t="n">
        <f aca="false">IF(AND($C$22="Y",M49&lt;0,M$46&gt;=$C$9,M$46&lt;=$C$41),MIN(ABS(M49/$D$49)*$C$19,MAX(0,$C$19-L60)),0)</f>
        <v>0</v>
      </c>
      <c r="N57" s="66" t="n">
        <f aca="false">IF(AND($C$22="Y",N49&lt;0,N$46&gt;=$C$9,N$46&lt;=$C$41),MIN(ABS(N49/$D$49)*$C$19,MAX(0,$C$19-M60)),0)</f>
        <v>0</v>
      </c>
      <c r="O57" s="66" t="n">
        <f aca="false">IF(AND($C$22="Y",O49&lt;0,O$46&gt;=$C$9,O$46&lt;=$C$41),MIN(ABS(O49/$D$49)*$C$19,MAX(0,$C$19-N60)),0)</f>
        <v>0</v>
      </c>
      <c r="P57" s="66" t="n">
        <f aca="false">IF(AND($C$22="Y",P49&lt;0,P$46&gt;=$C$9,P$46&lt;=$C$41),MIN(ABS(P49/$D$49)*$C$19,MAX(0,$C$19-O60)),0)</f>
        <v>0</v>
      </c>
      <c r="Q57" s="66" t="n">
        <f aca="false">IF(AND($C$22="Y",Q49&lt;0,Q$46&gt;=$C$9,Q$46&lt;=$C$41),MIN(ABS(Q49/$D$49)*$C$19,MAX(0,$C$19-P60)),0)</f>
        <v>0</v>
      </c>
      <c r="R57" s="66" t="n">
        <f aca="false">IF(AND($C$22="Y",R49&lt;0,R$46&gt;=$C$9,R$46&lt;=$C$41),MIN(ABS(R49/$D$49)*$C$19,MAX(0,$C$19-Q60)),0)</f>
        <v>0</v>
      </c>
      <c r="S57" s="66" t="n">
        <f aca="false">IF(AND($C$22="Y",S49&lt;0,S$46&gt;=$C$9,S$46&lt;=$C$41),MIN(ABS(S49/$D$49)*$C$19,MAX(0,$C$19-R60)),0)</f>
        <v>0</v>
      </c>
      <c r="T57" s="66" t="n">
        <f aca="false">IF(AND($C$22="Y",T49&lt;0,T$46&gt;=$C$9,T$46&lt;=$C$41),MIN(ABS(T49/$D$49)*$C$19,MAX(0,$C$19-S60)),0)</f>
        <v>0</v>
      </c>
      <c r="U57" s="66" t="n">
        <f aca="false">IF(AND($C$22="Y",U49&lt;0,U$46&gt;=$C$9,U$46&lt;=$C$41),MIN(ABS(U49/$D$49)*$C$19,MAX(0,$C$19-T60)),0)</f>
        <v>0</v>
      </c>
      <c r="V57" s="66" t="n">
        <f aca="false">IF(AND($C$22="Y",V49&lt;0,V$46&gt;=$C$9,V$46&lt;=$C$41),MIN(ABS(V49/$D$49)*$C$19,MAX(0,$C$19-U60)),0)</f>
        <v>0</v>
      </c>
      <c r="W57" s="66" t="n">
        <f aca="false">IF(AND($C$22="Y",W49&lt;0,W$46&gt;=$C$9,W$46&lt;=$C$41),MIN(ABS(W49/$D$49)*$C$19,MAX(0,$C$19-V60)),0)</f>
        <v>0</v>
      </c>
      <c r="X57" s="66" t="n">
        <f aca="false">IF(AND($C$22="Y",X49&lt;0,X$46&gt;=$C$9,X$46&lt;=$C$41),MIN(ABS(X49/$D$49)*$C$19,MAX(0,$C$19-W60)),0)</f>
        <v>0</v>
      </c>
      <c r="Y57" s="66" t="n">
        <f aca="false">IF(AND($C$22="Y",Y49&lt;0,Y$46&gt;=$C$9,Y$46&lt;=$C$41),MIN(ABS(Y49/$D$49)*$C$19,MAX(0,$C$19-X60)),0)</f>
        <v>0</v>
      </c>
      <c r="Z57" s="66" t="n">
        <f aca="false">IF(AND($C$22="Y",Z49&lt;0,Z$46&gt;=$C$9,Z$46&lt;=$C$41),MIN(ABS(Z49/$D$49)*$C$19,MAX(0,$C$19-Y60)),0)</f>
        <v>0</v>
      </c>
      <c r="AA57" s="66" t="n">
        <f aca="false">IF(AND($C$22="Y",AA49&lt;0,AA$46&gt;=$C$9,AA$46&lt;=$C$41),MIN(ABS(AA49/$D$49)*$C$19,MAX(0,$C$19-Z60)),0)</f>
        <v>0</v>
      </c>
      <c r="AB57" s="66" t="n">
        <f aca="false">IF(AND($C$22="Y",AB49&lt;0,AB$46&gt;=$C$9,AB$46&lt;=$C$41),MIN(ABS(AB49/$D$49)*$C$19,MAX(0,$C$19-AA60)),0)</f>
        <v>0</v>
      </c>
      <c r="AC57" s="66" t="n">
        <f aca="false">IF(AND($C$22="Y",AC49&lt;0,AC$46&gt;=$C$9,AC$46&lt;=$C$41),MIN(ABS(AC49/$D$49)*$C$19,MAX(0,$C$19-AB60)),0)</f>
        <v>0</v>
      </c>
      <c r="AD57" s="66" t="n">
        <f aca="false">IF(AND($C$22="Y",AD49&lt;0,AD$46&gt;=$C$9,AD$46&lt;=$C$41),MIN(ABS(AD49/$D$49)*$C$19,MAX(0,$C$19-AC60)),0)</f>
        <v>0</v>
      </c>
      <c r="AE57" s="66" t="n">
        <f aca="false">IF(AND($C$22="Y",AE49&lt;0,AE$46&gt;=$C$9,AE$46&lt;=$C$41),MIN(ABS(AE49/$D$49)*$C$19,MAX(0,$C$19-AD60)),0)</f>
        <v>0</v>
      </c>
      <c r="AF57" s="66" t="n">
        <f aca="false">IF(AND($C$22="Y",AF49&lt;0,AF$46&gt;=$C$9,AF$46&lt;=$C$41),MIN(ABS(AF49/$D$49)*$C$19,MAX(0,$C$19-AE60)),0)</f>
        <v>0</v>
      </c>
      <c r="AG57" s="66" t="n">
        <f aca="false">IF(AND($C$22="Y",AG49&lt;0,AG$46&gt;=$C$9,AG$46&lt;=$C$41),MIN(ABS(AG49/$D$49)*$C$19,MAX(0,$C$19-AF60)),0)</f>
        <v>0</v>
      </c>
      <c r="AH57" s="66" t="n">
        <f aca="false">IF(AND($C$22="Y",AH49&lt;0,AH$46&gt;=$C$9,AH$46&lt;=$C$41),MIN(ABS(AH49/$D$49)*$C$19,MAX(0,$C$19-AG60)),0)</f>
        <v>0</v>
      </c>
      <c r="AI57" s="66" t="n">
        <f aca="false">IF(AND($C$22="Y",AI49&lt;0,AI$46&gt;=$C$9,AI$46&lt;=$C$41),MIN(ABS(AI49/$D$49)*$C$19,MAX(0,$C$19-AH60)),0)</f>
        <v>0</v>
      </c>
      <c r="AJ57" s="66" t="n">
        <f aca="false">IF(AND($C$22="Y",AJ49&lt;0,AJ$46&gt;=$C$9,AJ$46&lt;=$C$41),MIN(ABS(AJ49/$D$49)*$C$19,MAX(0,$C$19-AI60)),0)</f>
        <v>0</v>
      </c>
      <c r="AK57" s="66" t="n">
        <f aca="false">IF(AND($C$22="Y",AK49&lt;0,AK$46&gt;=$C$9,AK$46&lt;=$C$41),MIN(ABS(AK49/$D$49)*$C$19,MAX(0,$C$19-AJ60)),0)</f>
        <v>0</v>
      </c>
      <c r="AL57" s="66" t="n">
        <f aca="false">IF(AND($C$22="Y",AL49&lt;0,AL$46&gt;=$C$9,AL$46&lt;=$C$41),MIN(ABS(AL49/$D$49)*$C$19,MAX(0,$C$19-AK60)),0)</f>
        <v>0</v>
      </c>
      <c r="AM57" s="66" t="n">
        <f aca="false">IF(AND($C$22="Y",AM49&lt;0,AM$46&gt;=$C$9,AM$46&lt;=$C$41),MIN(ABS(AM49/$D$49)*$C$19,MAX(0,$C$19-AL60)),0)</f>
        <v>0</v>
      </c>
      <c r="AN57" s="66" t="n">
        <f aca="false">IF(AND($C$22="Y",AN49&lt;0,AN$46&gt;=$C$9,AN$46&lt;=$C$41),MIN(ABS(AN49/$D$49)*$C$19,MAX(0,$C$19-AM60)),0)</f>
        <v>0</v>
      </c>
      <c r="AO57" s="66" t="n">
        <f aca="false">IF(AND($C$22="Y",AO49&lt;0,AO$46&gt;=$C$9,AO$46&lt;=$C$41),MIN(ABS(AO49/$D$49)*$C$19,MAX(0,$C$19-AN60)),0)</f>
        <v>0</v>
      </c>
      <c r="AP57" s="66" t="n">
        <f aca="false">IF(AND($C$22="Y",AP49&lt;0,AP$46&gt;=$C$9,AP$46&lt;=$C$41),MIN(ABS(AP49/$D$49)*$C$19,MAX(0,$C$19-AO60)),0)</f>
        <v>0</v>
      </c>
      <c r="AQ57" s="66" t="n">
        <f aca="false">IF(AND($C$22="Y",AQ49&lt;0,AQ$46&gt;=$C$9,AQ$46&lt;=$C$41),MIN(ABS(AQ49/$D$49)*$C$19,MAX(0,$C$19-AP60)),0)</f>
        <v>0</v>
      </c>
      <c r="AR57" s="66" t="n">
        <f aca="false">IF(AND($C$22="Y",AR49&lt;0,AR$46&gt;=$C$9,AR$46&lt;=$C$41),MIN(ABS(AR49/$D$49)*$C$19,MAX(0,$C$19-AQ60)),0)</f>
        <v>0</v>
      </c>
      <c r="AS57" s="66" t="n">
        <f aca="false">IF(AND($C$22="Y",AS49&lt;0,AS$46&gt;=$C$9,AS$46&lt;=$C$41),MIN(ABS(AS49/$D$49)*$C$19,MAX(0,$C$19-AR60)),0)</f>
        <v>0</v>
      </c>
      <c r="AT57" s="66" t="n">
        <f aca="false">IF(AND($C$22="Y",AT49&lt;0,AT$46&gt;=$C$9,AT$46&lt;=$C$41),MIN(ABS(AT49/$D$49)*$C$19,MAX(0,$C$19-AS60)),0)</f>
        <v>0</v>
      </c>
      <c r="AU57" s="66" t="n">
        <f aca="false">IF(AND($C$22="Y",AU49&lt;0,AU$46&gt;=$C$9,AU$46&lt;=$C$41),MIN(ABS(AU49/$D$49)*$C$19,MAX(0,$C$19-AT60)),0)</f>
        <v>0</v>
      </c>
      <c r="AV57" s="66" t="n">
        <f aca="false">IF(AND($C$22="Y",AV49&lt;0,AV$46&gt;=$C$9,AV$46&lt;=$C$41),MIN(ABS(AV49/$D$49)*$C$19,MAX(0,$C$19-AU60)),0)</f>
        <v>0</v>
      </c>
      <c r="AW57" s="66" t="n">
        <f aca="false">IF(AND($C$22="Y",AW49&lt;0,AW$46&gt;=$C$9,AW$46&lt;=$C$41),MIN(ABS(AW49/$D$49)*$C$19,MAX(0,$C$19-AV60)),0)</f>
        <v>0</v>
      </c>
      <c r="AX57" s="66" t="n">
        <f aca="false">IF(AND($C$22="Y",AX49&lt;0,AX$46&gt;=$C$9,AX$46&lt;=$C$41),MIN(ABS(AX49/$D$49)*$C$19,MAX(0,$C$19-AW60)),0)</f>
        <v>0</v>
      </c>
      <c r="AY57" s="66" t="n">
        <f aca="false">IF(AND($C$22="Y",AY49&lt;0,AY$46&gt;=$C$9,AY$46&lt;=$C$41),MIN(ABS(AY49/$D$49)*$C$19,MAX(0,$C$19-AX60)),0)</f>
        <v>0</v>
      </c>
      <c r="AZ57" s="66" t="n">
        <f aca="false">IF(AND($C$22="Y",AZ49&lt;0,AZ$46&gt;=$C$9,AZ$46&lt;=$C$41),MIN(ABS(AZ49/$D$49)*$C$19,MAX(0,$C$19-AY60)),0)</f>
        <v>0</v>
      </c>
      <c r="BA57" s="66" t="n">
        <f aca="false">IF(AND($C$22="Y",BA49&lt;0,BA$46&gt;=$C$9,BA$46&lt;=$C$41),MIN(ABS(BA49/$D$49)*$C$19,MAX(0,$C$19-AZ60)),0)</f>
        <v>0</v>
      </c>
      <c r="BB57" s="66" t="n">
        <f aca="false">IF(AND($C$22="Y",BB49&lt;0,BB$46&gt;=$C$9,BB$46&lt;=$C$41),MIN(ABS(BB49/$D$49)*$C$19,MAX(0,$C$19-BA60)),0)</f>
        <v>0</v>
      </c>
    </row>
    <row r="58" customFormat="false" ht="15" hidden="false" customHeight="true" outlineLevel="0" collapsed="false">
      <c r="B58" s="59" t="s">
        <v>468</v>
      </c>
      <c r="C58" s="59" t="s">
        <v>11</v>
      </c>
      <c r="D58" s="66" t="n">
        <f aca="false">SUM(E58:BB58)</f>
        <v>0</v>
      </c>
      <c r="E58" s="66" t="n">
        <f aca="false">0</f>
        <v>0</v>
      </c>
      <c r="F58" s="66" t="n">
        <f aca="false">E60</f>
        <v>0</v>
      </c>
      <c r="G58" s="66" t="n">
        <f aca="false">F60</f>
        <v>0</v>
      </c>
      <c r="H58" s="66" t="n">
        <f aca="false">G60</f>
        <v>0</v>
      </c>
      <c r="I58" s="66" t="n">
        <f aca="false">H60</f>
        <v>0</v>
      </c>
      <c r="J58" s="66" t="n">
        <f aca="false">I60</f>
        <v>0</v>
      </c>
      <c r="K58" s="66" t="n">
        <f aca="false">J60</f>
        <v>0</v>
      </c>
      <c r="L58" s="66" t="n">
        <f aca="false">K60</f>
        <v>0</v>
      </c>
      <c r="M58" s="66" t="n">
        <f aca="false">L60</f>
        <v>0</v>
      </c>
      <c r="N58" s="66" t="n">
        <f aca="false">M60</f>
        <v>0</v>
      </c>
      <c r="O58" s="66" t="n">
        <f aca="false">N60</f>
        <v>0</v>
      </c>
      <c r="P58" s="66" t="n">
        <f aca="false">O60</f>
        <v>0</v>
      </c>
      <c r="Q58" s="66" t="n">
        <f aca="false">P60</f>
        <v>0</v>
      </c>
      <c r="R58" s="66" t="n">
        <f aca="false">Q60</f>
        <v>0</v>
      </c>
      <c r="S58" s="66" t="n">
        <f aca="false">R60</f>
        <v>0</v>
      </c>
      <c r="T58" s="66" t="n">
        <f aca="false">S60</f>
        <v>0</v>
      </c>
      <c r="U58" s="66" t="n">
        <f aca="false">T60</f>
        <v>0</v>
      </c>
      <c r="V58" s="66" t="n">
        <f aca="false">U60</f>
        <v>0</v>
      </c>
      <c r="W58" s="66" t="n">
        <f aca="false">V60</f>
        <v>0</v>
      </c>
      <c r="X58" s="66" t="n">
        <f aca="false">W60</f>
        <v>0</v>
      </c>
      <c r="Y58" s="66" t="n">
        <f aca="false">X60</f>
        <v>0</v>
      </c>
      <c r="Z58" s="66" t="n">
        <f aca="false">Y60</f>
        <v>0</v>
      </c>
      <c r="AA58" s="66" t="n">
        <f aca="false">Z60</f>
        <v>0</v>
      </c>
      <c r="AB58" s="66" t="n">
        <f aca="false">AA60</f>
        <v>0</v>
      </c>
      <c r="AC58" s="66" t="n">
        <f aca="false">AB60</f>
        <v>0</v>
      </c>
      <c r="AD58" s="66" t="n">
        <f aca="false">AC60</f>
        <v>0</v>
      </c>
      <c r="AE58" s="66" t="n">
        <f aca="false">AD60</f>
        <v>0</v>
      </c>
      <c r="AF58" s="66" t="n">
        <f aca="false">AE60</f>
        <v>0</v>
      </c>
      <c r="AG58" s="66" t="n">
        <f aca="false">AF60</f>
        <v>0</v>
      </c>
      <c r="AH58" s="66" t="n">
        <f aca="false">AG60</f>
        <v>0</v>
      </c>
      <c r="AI58" s="66" t="n">
        <f aca="false">AH60</f>
        <v>0</v>
      </c>
      <c r="AJ58" s="66" t="n">
        <f aca="false">AI60</f>
        <v>0</v>
      </c>
      <c r="AK58" s="66" t="n">
        <f aca="false">AJ60</f>
        <v>0</v>
      </c>
      <c r="AL58" s="66" t="n">
        <f aca="false">AK60</f>
        <v>0</v>
      </c>
      <c r="AM58" s="66" t="n">
        <f aca="false">AL60</f>
        <v>0</v>
      </c>
      <c r="AN58" s="66" t="n">
        <f aca="false">AM60</f>
        <v>0</v>
      </c>
      <c r="AO58" s="66" t="n">
        <f aca="false">AN60</f>
        <v>0</v>
      </c>
      <c r="AP58" s="66" t="n">
        <f aca="false">AO60</f>
        <v>0</v>
      </c>
      <c r="AQ58" s="66" t="n">
        <f aca="false">AP60</f>
        <v>0</v>
      </c>
      <c r="AR58" s="66" t="n">
        <f aca="false">AQ60</f>
        <v>0</v>
      </c>
      <c r="AS58" s="66" t="n">
        <f aca="false">AR60</f>
        <v>0</v>
      </c>
      <c r="AT58" s="66" t="n">
        <f aca="false">AS60</f>
        <v>0</v>
      </c>
      <c r="AU58" s="66" t="n">
        <f aca="false">AT60</f>
        <v>0</v>
      </c>
      <c r="AV58" s="66" t="n">
        <f aca="false">AU60</f>
        <v>0</v>
      </c>
      <c r="AW58" s="66" t="n">
        <f aca="false">AV60</f>
        <v>0</v>
      </c>
      <c r="AX58" s="66" t="n">
        <f aca="false">AW60</f>
        <v>0</v>
      </c>
      <c r="AY58" s="66" t="n">
        <f aca="false">AX60</f>
        <v>0</v>
      </c>
      <c r="AZ58" s="66" t="n">
        <f aca="false">AY60</f>
        <v>0</v>
      </c>
      <c r="BA58" s="66" t="n">
        <f aca="false">AZ60</f>
        <v>0</v>
      </c>
      <c r="BB58" s="66" t="n">
        <f aca="false">BA60</f>
        <v>0</v>
      </c>
    </row>
    <row r="59" customFormat="false" ht="15" hidden="false" customHeight="true" outlineLevel="0" collapsed="false">
      <c r="B59" s="59" t="s">
        <v>469</v>
      </c>
      <c r="C59" s="59" t="s">
        <v>11</v>
      </c>
      <c r="D59" s="63" t="n">
        <f aca="false">SUM(E59:BB59)</f>
        <v>0</v>
      </c>
      <c r="E59" s="66" t="n">
        <f aca="false">IF(AND($C$22="Y",(E$46-$C$9+1)&gt;$C$26,E58&gt;0),-MIN(E58,$C$19/MAX(1,$C$24-$C$26)),0)</f>
        <v>0</v>
      </c>
      <c r="F59" s="66" t="n">
        <f aca="false">IF(AND($C$22="Y",(F$46-$C$9+1)&gt;$C$26,F58&gt;0),-MIN(F58,$C$19/MAX(1,$C$24-$C$26)),0)</f>
        <v>0</v>
      </c>
      <c r="G59" s="66" t="n">
        <f aca="false">IF(AND($C$22="Y",(G$46-$C$9+1)&gt;$C$26,G58&gt;0),-MIN(G58,$C$19/MAX(1,$C$24-$C$26)),0)</f>
        <v>0</v>
      </c>
      <c r="H59" s="66" t="n">
        <f aca="false">IF(AND($C$22="Y",(H$46-$C$9+1)&gt;$C$26,H58&gt;0),-MIN(H58,$C$19/MAX(1,$C$24-$C$26)),0)</f>
        <v>0</v>
      </c>
      <c r="I59" s="66" t="n">
        <f aca="false">IF(AND($C$22="Y",(I$46-$C$9+1)&gt;$C$26,I58&gt;0),-MIN(I58,$C$19/MAX(1,$C$24-$C$26)),0)</f>
        <v>0</v>
      </c>
      <c r="J59" s="66" t="n">
        <f aca="false">IF(AND($C$22="Y",(J$46-$C$9+1)&gt;$C$26,J58&gt;0),-MIN(J58,$C$19/MAX(1,$C$24-$C$26)),0)</f>
        <v>0</v>
      </c>
      <c r="K59" s="66" t="n">
        <f aca="false">IF(AND($C$22="Y",(K$46-$C$9+1)&gt;$C$26,K58&gt;0),-MIN(K58,$C$19/MAX(1,$C$24-$C$26)),0)</f>
        <v>0</v>
      </c>
      <c r="L59" s="66" t="n">
        <f aca="false">IF(AND($C$22="Y",(L$46-$C$9+1)&gt;$C$26,L58&gt;0),-MIN(L58,$C$19/MAX(1,$C$24-$C$26)),0)</f>
        <v>0</v>
      </c>
      <c r="M59" s="66" t="n">
        <f aca="false">IF(AND($C$22="Y",(M$46-$C$9+1)&gt;$C$26,M58&gt;0),-MIN(M58,$C$19/MAX(1,$C$24-$C$26)),0)</f>
        <v>0</v>
      </c>
      <c r="N59" s="66" t="n">
        <f aca="false">IF(AND($C$22="Y",(N$46-$C$9+1)&gt;$C$26,N58&gt;0),-MIN(N58,$C$19/MAX(1,$C$24-$C$26)),0)</f>
        <v>0</v>
      </c>
      <c r="O59" s="66" t="n">
        <f aca="false">IF(AND($C$22="Y",(O$46-$C$9+1)&gt;$C$26,O58&gt;0),-MIN(O58,$C$19/MAX(1,$C$24-$C$26)),0)</f>
        <v>0</v>
      </c>
      <c r="P59" s="66" t="n">
        <f aca="false">IF(AND($C$22="Y",(P$46-$C$9+1)&gt;$C$26,P58&gt;0),-MIN(P58,$C$19/MAX(1,$C$24-$C$26)),0)</f>
        <v>0</v>
      </c>
      <c r="Q59" s="66" t="n">
        <f aca="false">IF(AND($C$22="Y",(Q$46-$C$9+1)&gt;$C$26,Q58&gt;0),-MIN(Q58,$C$19/MAX(1,$C$24-$C$26)),0)</f>
        <v>0</v>
      </c>
      <c r="R59" s="66" t="n">
        <f aca="false">IF(AND($C$22="Y",(R$46-$C$9+1)&gt;$C$26,R58&gt;0),-MIN(R58,$C$19/MAX(1,$C$24-$C$26)),0)</f>
        <v>0</v>
      </c>
      <c r="S59" s="66" t="n">
        <f aca="false">IF(AND($C$22="Y",(S$46-$C$9+1)&gt;$C$26,S58&gt;0),-MIN(S58,$C$19/MAX(1,$C$24-$C$26)),0)</f>
        <v>0</v>
      </c>
      <c r="T59" s="66" t="n">
        <f aca="false">IF(AND($C$22="Y",(T$46-$C$9+1)&gt;$C$26,T58&gt;0),-MIN(T58,$C$19/MAX(1,$C$24-$C$26)),0)</f>
        <v>0</v>
      </c>
      <c r="U59" s="66" t="n">
        <f aca="false">IF(AND($C$22="Y",(U$46-$C$9+1)&gt;$C$26,U58&gt;0),-MIN(U58,$C$19/MAX(1,$C$24-$C$26)),0)</f>
        <v>0</v>
      </c>
      <c r="V59" s="66" t="n">
        <f aca="false">IF(AND($C$22="Y",(V$46-$C$9+1)&gt;$C$26,V58&gt;0),-MIN(V58,$C$19/MAX(1,$C$24-$C$26)),0)</f>
        <v>0</v>
      </c>
      <c r="W59" s="66" t="n">
        <f aca="false">IF(AND($C$22="Y",(W$46-$C$9+1)&gt;$C$26,W58&gt;0),-MIN(W58,$C$19/MAX(1,$C$24-$C$26)),0)</f>
        <v>0</v>
      </c>
      <c r="X59" s="66" t="n">
        <f aca="false">IF(AND($C$22="Y",(X$46-$C$9+1)&gt;$C$26,X58&gt;0),-MIN(X58,$C$19/MAX(1,$C$24-$C$26)),0)</f>
        <v>0</v>
      </c>
      <c r="Y59" s="66" t="n">
        <f aca="false">IF(AND($C$22="Y",(Y$46-$C$9+1)&gt;$C$26,Y58&gt;0),-MIN(Y58,$C$19/MAX(1,$C$24-$C$26)),0)</f>
        <v>0</v>
      </c>
      <c r="Z59" s="66" t="n">
        <f aca="false">IF(AND($C$22="Y",(Z$46-$C$9+1)&gt;$C$26,Z58&gt;0),-MIN(Z58,$C$19/MAX(1,$C$24-$C$26)),0)</f>
        <v>0</v>
      </c>
      <c r="AA59" s="66" t="n">
        <f aca="false">IF(AND($C$22="Y",(AA$46-$C$9+1)&gt;$C$26,AA58&gt;0),-MIN(AA58,$C$19/MAX(1,$C$24-$C$26)),0)</f>
        <v>0</v>
      </c>
      <c r="AB59" s="66" t="n">
        <f aca="false">IF(AND($C$22="Y",(AB$46-$C$9+1)&gt;$C$26,AB58&gt;0),-MIN(AB58,$C$19/MAX(1,$C$24-$C$26)),0)</f>
        <v>0</v>
      </c>
      <c r="AC59" s="66" t="n">
        <f aca="false">IF(AND($C$22="Y",(AC$46-$C$9+1)&gt;$C$26,AC58&gt;0),-MIN(AC58,$C$19/MAX(1,$C$24-$C$26)),0)</f>
        <v>0</v>
      </c>
      <c r="AD59" s="66" t="n">
        <f aca="false">IF(AND($C$22="Y",(AD$46-$C$9+1)&gt;$C$26,AD58&gt;0),-MIN(AD58,$C$19/MAX(1,$C$24-$C$26)),0)</f>
        <v>0</v>
      </c>
      <c r="AE59" s="66" t="n">
        <f aca="false">IF(AND($C$22="Y",(AE$46-$C$9+1)&gt;$C$26,AE58&gt;0),-MIN(AE58,$C$19/MAX(1,$C$24-$C$26)),0)</f>
        <v>0</v>
      </c>
      <c r="AF59" s="66" t="n">
        <f aca="false">IF(AND($C$22="Y",(AF$46-$C$9+1)&gt;$C$26,AF58&gt;0),-MIN(AF58,$C$19/MAX(1,$C$24-$C$26)),0)</f>
        <v>0</v>
      </c>
      <c r="AG59" s="66" t="n">
        <f aca="false">IF(AND($C$22="Y",(AG$46-$C$9+1)&gt;$C$26,AG58&gt;0),-MIN(AG58,$C$19/MAX(1,$C$24-$C$26)),0)</f>
        <v>0</v>
      </c>
      <c r="AH59" s="66" t="n">
        <f aca="false">IF(AND($C$22="Y",(AH$46-$C$9+1)&gt;$C$26,AH58&gt;0),-MIN(AH58,$C$19/MAX(1,$C$24-$C$26)),0)</f>
        <v>0</v>
      </c>
      <c r="AI59" s="66" t="n">
        <f aca="false">IF(AND($C$22="Y",(AI$46-$C$9+1)&gt;$C$26,AI58&gt;0),-MIN(AI58,$C$19/MAX(1,$C$24-$C$26)),0)</f>
        <v>0</v>
      </c>
      <c r="AJ59" s="66" t="n">
        <f aca="false">IF(AND($C$22="Y",(AJ$46-$C$9+1)&gt;$C$26,AJ58&gt;0),-MIN(AJ58,$C$19/MAX(1,$C$24-$C$26)),0)</f>
        <v>0</v>
      </c>
      <c r="AK59" s="66" t="n">
        <f aca="false">IF(AND($C$22="Y",(AK$46-$C$9+1)&gt;$C$26,AK58&gt;0),-MIN(AK58,$C$19/MAX(1,$C$24-$C$26)),0)</f>
        <v>0</v>
      </c>
      <c r="AL59" s="66" t="n">
        <f aca="false">IF(AND($C$22="Y",(AL$46-$C$9+1)&gt;$C$26,AL58&gt;0),-MIN(AL58,$C$19/MAX(1,$C$24-$C$26)),0)</f>
        <v>0</v>
      </c>
      <c r="AM59" s="66" t="n">
        <f aca="false">IF(AND($C$22="Y",(AM$46-$C$9+1)&gt;$C$26,AM58&gt;0),-MIN(AM58,$C$19/MAX(1,$C$24-$C$26)),0)</f>
        <v>0</v>
      </c>
      <c r="AN59" s="66" t="n">
        <f aca="false">IF(AND($C$22="Y",(AN$46-$C$9+1)&gt;$C$26,AN58&gt;0),-MIN(AN58,$C$19/MAX(1,$C$24-$C$26)),0)</f>
        <v>0</v>
      </c>
      <c r="AO59" s="66" t="n">
        <f aca="false">IF(AND($C$22="Y",(AO$46-$C$9+1)&gt;$C$26,AO58&gt;0),-MIN(AO58,$C$19/MAX(1,$C$24-$C$26)),0)</f>
        <v>0</v>
      </c>
      <c r="AP59" s="66" t="n">
        <f aca="false">IF(AND($C$22="Y",(AP$46-$C$9+1)&gt;$C$26,AP58&gt;0),-MIN(AP58,$C$19/MAX(1,$C$24-$C$26)),0)</f>
        <v>0</v>
      </c>
      <c r="AQ59" s="66" t="n">
        <f aca="false">IF(AND($C$22="Y",(AQ$46-$C$9+1)&gt;$C$26,AQ58&gt;0),-MIN(AQ58,$C$19/MAX(1,$C$24-$C$26)),0)</f>
        <v>0</v>
      </c>
      <c r="AR59" s="66" t="n">
        <f aca="false">IF(AND($C$22="Y",(AR$46-$C$9+1)&gt;$C$26,AR58&gt;0),-MIN(AR58,$C$19/MAX(1,$C$24-$C$26)),0)</f>
        <v>0</v>
      </c>
      <c r="AS59" s="66" t="n">
        <f aca="false">IF(AND($C$22="Y",(AS$46-$C$9+1)&gt;$C$26,AS58&gt;0),-MIN(AS58,$C$19/MAX(1,$C$24-$C$26)),0)</f>
        <v>0</v>
      </c>
      <c r="AT59" s="66" t="n">
        <f aca="false">IF(AND($C$22="Y",(AT$46-$C$9+1)&gt;$C$26,AT58&gt;0),-MIN(AT58,$C$19/MAX(1,$C$24-$C$26)),0)</f>
        <v>0</v>
      </c>
      <c r="AU59" s="66" t="n">
        <f aca="false">IF(AND($C$22="Y",(AU$46-$C$9+1)&gt;$C$26,AU58&gt;0),-MIN(AU58,$C$19/MAX(1,$C$24-$C$26)),0)</f>
        <v>0</v>
      </c>
      <c r="AV59" s="66" t="n">
        <f aca="false">IF(AND($C$22="Y",(AV$46-$C$9+1)&gt;$C$26,AV58&gt;0),-MIN(AV58,$C$19/MAX(1,$C$24-$C$26)),0)</f>
        <v>0</v>
      </c>
      <c r="AW59" s="66" t="n">
        <f aca="false">IF(AND($C$22="Y",(AW$46-$C$9+1)&gt;$C$26,AW58&gt;0),-MIN(AW58,$C$19/MAX(1,$C$24-$C$26)),0)</f>
        <v>0</v>
      </c>
      <c r="AX59" s="66" t="n">
        <f aca="false">IF(AND($C$22="Y",(AX$46-$C$9+1)&gt;$C$26,AX58&gt;0),-MIN(AX58,$C$19/MAX(1,$C$24-$C$26)),0)</f>
        <v>0</v>
      </c>
      <c r="AY59" s="66" t="n">
        <f aca="false">IF(AND($C$22="Y",(AY$46-$C$9+1)&gt;$C$26,AY58&gt;0),-MIN(AY58,$C$19/MAX(1,$C$24-$C$26)),0)</f>
        <v>0</v>
      </c>
      <c r="AZ59" s="66" t="n">
        <f aca="false">IF(AND($C$22="Y",(AZ$46-$C$9+1)&gt;$C$26,AZ58&gt;0),-MIN(AZ58,$C$19/MAX(1,$C$24-$C$26)),0)</f>
        <v>0</v>
      </c>
      <c r="BA59" s="66" t="n">
        <f aca="false">IF(AND($C$22="Y",(BA$46-$C$9+1)&gt;$C$26,BA58&gt;0),-MIN(BA58,$C$19/MAX(1,$C$24-$C$26)),0)</f>
        <v>0</v>
      </c>
      <c r="BB59" s="66" t="n">
        <f aca="false">IF(AND($C$22="Y",(BB$46-$C$9+1)&gt;$C$26,BB58&gt;0),-MIN(BB58,$C$19/MAX(1,$C$24-$C$26)),0)</f>
        <v>0</v>
      </c>
    </row>
    <row r="60" customFormat="false" ht="15" hidden="false" customHeight="true" outlineLevel="0" collapsed="false">
      <c r="B60" s="59" t="s">
        <v>470</v>
      </c>
      <c r="C60" s="59" t="s">
        <v>11</v>
      </c>
      <c r="D60" s="66" t="n">
        <f aca="false">SUM(E60:BB60)</f>
        <v>0</v>
      </c>
      <c r="E60" s="66" t="n">
        <f aca="false">MAX(0,E58+E57+E59)</f>
        <v>0</v>
      </c>
      <c r="F60" s="66" t="n">
        <f aca="false">MAX(0,F58+F57+F59)</f>
        <v>0</v>
      </c>
      <c r="G60" s="66" t="n">
        <f aca="false">MAX(0,G58+G57+G59)</f>
        <v>0</v>
      </c>
      <c r="H60" s="66" t="n">
        <f aca="false">MAX(0,H58+H57+H59)</f>
        <v>0</v>
      </c>
      <c r="I60" s="66" t="n">
        <f aca="false">MAX(0,I58+I57+I59)</f>
        <v>0</v>
      </c>
      <c r="J60" s="66" t="n">
        <f aca="false">MAX(0,J58+J57+J59)</f>
        <v>0</v>
      </c>
      <c r="K60" s="66" t="n">
        <f aca="false">MAX(0,K58+K57+K59)</f>
        <v>0</v>
      </c>
      <c r="L60" s="66" t="n">
        <f aca="false">MAX(0,L58+L57+L59)</f>
        <v>0</v>
      </c>
      <c r="M60" s="66" t="n">
        <f aca="false">MAX(0,M58+M57+M59)</f>
        <v>0</v>
      </c>
      <c r="N60" s="66" t="n">
        <f aca="false">MAX(0,N58+N57+N59)</f>
        <v>0</v>
      </c>
      <c r="O60" s="66" t="n">
        <f aca="false">MAX(0,O58+O57+O59)</f>
        <v>0</v>
      </c>
      <c r="P60" s="66" t="n">
        <f aca="false">MAX(0,P58+P57+P59)</f>
        <v>0</v>
      </c>
      <c r="Q60" s="66" t="n">
        <f aca="false">MAX(0,Q58+Q57+Q59)</f>
        <v>0</v>
      </c>
      <c r="R60" s="66" t="n">
        <f aca="false">MAX(0,R58+R57+R59)</f>
        <v>0</v>
      </c>
      <c r="S60" s="66" t="n">
        <f aca="false">MAX(0,S58+S57+S59)</f>
        <v>0</v>
      </c>
      <c r="T60" s="66" t="n">
        <f aca="false">MAX(0,T58+T57+T59)</f>
        <v>0</v>
      </c>
      <c r="U60" s="66" t="n">
        <f aca="false">MAX(0,U58+U57+U59)</f>
        <v>0</v>
      </c>
      <c r="V60" s="66" t="n">
        <f aca="false">MAX(0,V58+V57+V59)</f>
        <v>0</v>
      </c>
      <c r="W60" s="66" t="n">
        <f aca="false">MAX(0,W58+W57+W59)</f>
        <v>0</v>
      </c>
      <c r="X60" s="66" t="n">
        <f aca="false">MAX(0,X58+X57+X59)</f>
        <v>0</v>
      </c>
      <c r="Y60" s="66" t="n">
        <f aca="false">MAX(0,Y58+Y57+Y59)</f>
        <v>0</v>
      </c>
      <c r="Z60" s="66" t="n">
        <f aca="false">MAX(0,Z58+Z57+Z59)</f>
        <v>0</v>
      </c>
      <c r="AA60" s="66" t="n">
        <f aca="false">MAX(0,AA58+AA57+AA59)</f>
        <v>0</v>
      </c>
      <c r="AB60" s="66" t="n">
        <f aca="false">MAX(0,AB58+AB57+AB59)</f>
        <v>0</v>
      </c>
      <c r="AC60" s="66" t="n">
        <f aca="false">MAX(0,AC58+AC57+AC59)</f>
        <v>0</v>
      </c>
      <c r="AD60" s="66" t="n">
        <f aca="false">MAX(0,AD58+AD57+AD59)</f>
        <v>0</v>
      </c>
      <c r="AE60" s="66" t="n">
        <f aca="false">MAX(0,AE58+AE57+AE59)</f>
        <v>0</v>
      </c>
      <c r="AF60" s="66" t="n">
        <f aca="false">MAX(0,AF58+AF57+AF59)</f>
        <v>0</v>
      </c>
      <c r="AG60" s="66" t="n">
        <f aca="false">MAX(0,AG58+AG57+AG59)</f>
        <v>0</v>
      </c>
      <c r="AH60" s="66" t="n">
        <f aca="false">MAX(0,AH58+AH57+AH59)</f>
        <v>0</v>
      </c>
      <c r="AI60" s="66" t="n">
        <f aca="false">MAX(0,AI58+AI57+AI59)</f>
        <v>0</v>
      </c>
      <c r="AJ60" s="66" t="n">
        <f aca="false">MAX(0,AJ58+AJ57+AJ59)</f>
        <v>0</v>
      </c>
      <c r="AK60" s="66" t="n">
        <f aca="false">MAX(0,AK58+AK57+AK59)</f>
        <v>0</v>
      </c>
      <c r="AL60" s="66" t="n">
        <f aca="false">MAX(0,AL58+AL57+AL59)</f>
        <v>0</v>
      </c>
      <c r="AM60" s="66" t="n">
        <f aca="false">MAX(0,AM58+AM57+AM59)</f>
        <v>0</v>
      </c>
      <c r="AN60" s="66" t="n">
        <f aca="false">MAX(0,AN58+AN57+AN59)</f>
        <v>0</v>
      </c>
      <c r="AO60" s="66" t="n">
        <f aca="false">MAX(0,AO58+AO57+AO59)</f>
        <v>0</v>
      </c>
      <c r="AP60" s="66" t="n">
        <f aca="false">MAX(0,AP58+AP57+AP59)</f>
        <v>0</v>
      </c>
      <c r="AQ60" s="66" t="n">
        <f aca="false">MAX(0,AQ58+AQ57+AQ59)</f>
        <v>0</v>
      </c>
      <c r="AR60" s="66" t="n">
        <f aca="false">MAX(0,AR58+AR57+AR59)</f>
        <v>0</v>
      </c>
      <c r="AS60" s="66" t="n">
        <f aca="false">MAX(0,AS58+AS57+AS59)</f>
        <v>0</v>
      </c>
      <c r="AT60" s="66" t="n">
        <f aca="false">MAX(0,AT58+AT57+AT59)</f>
        <v>0</v>
      </c>
      <c r="AU60" s="66" t="n">
        <f aca="false">MAX(0,AU58+AU57+AU59)</f>
        <v>0</v>
      </c>
      <c r="AV60" s="66" t="n">
        <f aca="false">MAX(0,AV58+AV57+AV59)</f>
        <v>0</v>
      </c>
      <c r="AW60" s="66" t="n">
        <f aca="false">MAX(0,AW58+AW57+AW59)</f>
        <v>0</v>
      </c>
      <c r="AX60" s="66" t="n">
        <f aca="false">MAX(0,AX58+AX57+AX59)</f>
        <v>0</v>
      </c>
      <c r="AY60" s="66" t="n">
        <f aca="false">MAX(0,AY58+AY57+AY59)</f>
        <v>0</v>
      </c>
      <c r="AZ60" s="66" t="n">
        <f aca="false">MAX(0,AZ58+AZ57+AZ59)</f>
        <v>0</v>
      </c>
      <c r="BA60" s="66" t="n">
        <f aca="false">MAX(0,BA58+BA57+BA59)</f>
        <v>0</v>
      </c>
      <c r="BB60" s="66" t="n">
        <f aca="false">MAX(0,BB58+BB57+BB59)</f>
        <v>0</v>
      </c>
    </row>
    <row r="61" customFormat="false" ht="15" hidden="false" customHeight="true" outlineLevel="0" collapsed="false">
      <c r="B61" s="59" t="s">
        <v>471</v>
      </c>
      <c r="C61" s="59" t="s">
        <v>11</v>
      </c>
      <c r="D61" s="63" t="n">
        <f aca="false">SUM(E61:BB61)</f>
        <v>0</v>
      </c>
      <c r="E61" s="66" t="n">
        <f aca="false">IF(AND($C$22="Y",E58+E60&gt;0),-(E58+E60)/2*$C$23,0)-ABS(E57)*$C$25</f>
        <v>0</v>
      </c>
      <c r="F61" s="66" t="n">
        <f aca="false">IF(AND($C$22="Y",F58+F60&gt;0),-(F58+F60)/2*$C$23,0)-ABS(F57)*$C$25</f>
        <v>0</v>
      </c>
      <c r="G61" s="66" t="n">
        <f aca="false">IF(AND($C$22="Y",G58+G60&gt;0),-(G58+G60)/2*$C$23,0)-ABS(G57)*$C$25</f>
        <v>0</v>
      </c>
      <c r="H61" s="66" t="n">
        <f aca="false">IF(AND($C$22="Y",H58+H60&gt;0),-(H58+H60)/2*$C$23,0)-ABS(H57)*$C$25</f>
        <v>0</v>
      </c>
      <c r="I61" s="66" t="n">
        <f aca="false">IF(AND($C$22="Y",I58+I60&gt;0),-(I58+I60)/2*$C$23,0)-ABS(I57)*$C$25</f>
        <v>0</v>
      </c>
      <c r="J61" s="66" t="n">
        <f aca="false">IF(AND($C$22="Y",J58+J60&gt;0),-(J58+J60)/2*$C$23,0)-ABS(J57)*$C$25</f>
        <v>0</v>
      </c>
      <c r="K61" s="66" t="n">
        <f aca="false">IF(AND($C$22="Y",K58+K60&gt;0),-(K58+K60)/2*$C$23,0)-ABS(K57)*$C$25</f>
        <v>0</v>
      </c>
      <c r="L61" s="66" t="n">
        <f aca="false">IF(AND($C$22="Y",L58+L60&gt;0),-(L58+L60)/2*$C$23,0)-ABS(L57)*$C$25</f>
        <v>0</v>
      </c>
      <c r="M61" s="66" t="n">
        <f aca="false">IF(AND($C$22="Y",M58+M60&gt;0),-(M58+M60)/2*$C$23,0)-ABS(M57)*$C$25</f>
        <v>0</v>
      </c>
      <c r="N61" s="66" t="n">
        <f aca="false">IF(AND($C$22="Y",N58+N60&gt;0),-(N58+N60)/2*$C$23,0)-ABS(N57)*$C$25</f>
        <v>0</v>
      </c>
      <c r="O61" s="66" t="n">
        <f aca="false">IF(AND($C$22="Y",O58+O60&gt;0),-(O58+O60)/2*$C$23,0)-ABS(O57)*$C$25</f>
        <v>0</v>
      </c>
      <c r="P61" s="66" t="n">
        <f aca="false">IF(AND($C$22="Y",P58+P60&gt;0),-(P58+P60)/2*$C$23,0)-ABS(P57)*$C$25</f>
        <v>0</v>
      </c>
      <c r="Q61" s="66" t="n">
        <f aca="false">IF(AND($C$22="Y",Q58+Q60&gt;0),-(Q58+Q60)/2*$C$23,0)-ABS(Q57)*$C$25</f>
        <v>0</v>
      </c>
      <c r="R61" s="66" t="n">
        <f aca="false">IF(AND($C$22="Y",R58+R60&gt;0),-(R58+R60)/2*$C$23,0)-ABS(R57)*$C$25</f>
        <v>0</v>
      </c>
      <c r="S61" s="66" t="n">
        <f aca="false">IF(AND($C$22="Y",S58+S60&gt;0),-(S58+S60)/2*$C$23,0)-ABS(S57)*$C$25</f>
        <v>0</v>
      </c>
      <c r="T61" s="66" t="n">
        <f aca="false">IF(AND($C$22="Y",T58+T60&gt;0),-(T58+T60)/2*$C$23,0)-ABS(T57)*$C$25</f>
        <v>0</v>
      </c>
      <c r="U61" s="66" t="n">
        <f aca="false">IF(AND($C$22="Y",U58+U60&gt;0),-(U58+U60)/2*$C$23,0)-ABS(U57)*$C$25</f>
        <v>0</v>
      </c>
      <c r="V61" s="66" t="n">
        <f aca="false">IF(AND($C$22="Y",V58+V60&gt;0),-(V58+V60)/2*$C$23,0)-ABS(V57)*$C$25</f>
        <v>0</v>
      </c>
      <c r="W61" s="66" t="n">
        <f aca="false">IF(AND($C$22="Y",W58+W60&gt;0),-(W58+W60)/2*$C$23,0)-ABS(W57)*$C$25</f>
        <v>0</v>
      </c>
      <c r="X61" s="66" t="n">
        <f aca="false">IF(AND($C$22="Y",X58+X60&gt;0),-(X58+X60)/2*$C$23,0)-ABS(X57)*$C$25</f>
        <v>0</v>
      </c>
      <c r="Y61" s="66" t="n">
        <f aca="false">IF(AND($C$22="Y",Y58+Y60&gt;0),-(Y58+Y60)/2*$C$23,0)-ABS(Y57)*$C$25</f>
        <v>0</v>
      </c>
      <c r="Z61" s="66" t="n">
        <f aca="false">IF(AND($C$22="Y",Z58+Z60&gt;0),-(Z58+Z60)/2*$C$23,0)-ABS(Z57)*$C$25</f>
        <v>0</v>
      </c>
      <c r="AA61" s="66" t="n">
        <f aca="false">IF(AND($C$22="Y",AA58+AA60&gt;0),-(AA58+AA60)/2*$C$23,0)-ABS(AA57)*$C$25</f>
        <v>0</v>
      </c>
      <c r="AB61" s="66" t="n">
        <f aca="false">IF(AND($C$22="Y",AB58+AB60&gt;0),-(AB58+AB60)/2*$C$23,0)-ABS(AB57)*$C$25</f>
        <v>0</v>
      </c>
      <c r="AC61" s="66" t="n">
        <f aca="false">IF(AND($C$22="Y",AC58+AC60&gt;0),-(AC58+AC60)/2*$C$23,0)-ABS(AC57)*$C$25</f>
        <v>0</v>
      </c>
      <c r="AD61" s="66" t="n">
        <f aca="false">IF(AND($C$22="Y",AD58+AD60&gt;0),-(AD58+AD60)/2*$C$23,0)-ABS(AD57)*$C$25</f>
        <v>0</v>
      </c>
      <c r="AE61" s="66" t="n">
        <f aca="false">IF(AND($C$22="Y",AE58+AE60&gt;0),-(AE58+AE60)/2*$C$23,0)-ABS(AE57)*$C$25</f>
        <v>0</v>
      </c>
      <c r="AF61" s="66" t="n">
        <f aca="false">IF(AND($C$22="Y",AF58+AF60&gt;0),-(AF58+AF60)/2*$C$23,0)-ABS(AF57)*$C$25</f>
        <v>0</v>
      </c>
      <c r="AG61" s="66" t="n">
        <f aca="false">IF(AND($C$22="Y",AG58+AG60&gt;0),-(AG58+AG60)/2*$C$23,0)-ABS(AG57)*$C$25</f>
        <v>0</v>
      </c>
      <c r="AH61" s="66" t="n">
        <f aca="false">IF(AND($C$22="Y",AH58+AH60&gt;0),-(AH58+AH60)/2*$C$23,0)-ABS(AH57)*$C$25</f>
        <v>0</v>
      </c>
      <c r="AI61" s="66" t="n">
        <f aca="false">IF(AND($C$22="Y",AI58+AI60&gt;0),-(AI58+AI60)/2*$C$23,0)-ABS(AI57)*$C$25</f>
        <v>0</v>
      </c>
      <c r="AJ61" s="66" t="n">
        <f aca="false">IF(AND($C$22="Y",AJ58+AJ60&gt;0),-(AJ58+AJ60)/2*$C$23,0)-ABS(AJ57)*$C$25</f>
        <v>0</v>
      </c>
      <c r="AK61" s="66" t="n">
        <f aca="false">IF(AND($C$22="Y",AK58+AK60&gt;0),-(AK58+AK60)/2*$C$23,0)-ABS(AK57)*$C$25</f>
        <v>0</v>
      </c>
      <c r="AL61" s="66" t="n">
        <f aca="false">IF(AND($C$22="Y",AL58+AL60&gt;0),-(AL58+AL60)/2*$C$23,0)-ABS(AL57)*$C$25</f>
        <v>0</v>
      </c>
      <c r="AM61" s="66" t="n">
        <f aca="false">IF(AND($C$22="Y",AM58+AM60&gt;0),-(AM58+AM60)/2*$C$23,0)-ABS(AM57)*$C$25</f>
        <v>0</v>
      </c>
      <c r="AN61" s="66" t="n">
        <f aca="false">IF(AND($C$22="Y",AN58+AN60&gt;0),-(AN58+AN60)/2*$C$23,0)-ABS(AN57)*$C$25</f>
        <v>0</v>
      </c>
      <c r="AO61" s="66" t="n">
        <f aca="false">IF(AND($C$22="Y",AO58+AO60&gt;0),-(AO58+AO60)/2*$C$23,0)-ABS(AO57)*$C$25</f>
        <v>0</v>
      </c>
      <c r="AP61" s="66" t="n">
        <f aca="false">IF(AND($C$22="Y",AP58+AP60&gt;0),-(AP58+AP60)/2*$C$23,0)-ABS(AP57)*$C$25</f>
        <v>0</v>
      </c>
      <c r="AQ61" s="66" t="n">
        <f aca="false">IF(AND($C$22="Y",AQ58+AQ60&gt;0),-(AQ58+AQ60)/2*$C$23,0)-ABS(AQ57)*$C$25</f>
        <v>0</v>
      </c>
      <c r="AR61" s="66" t="n">
        <f aca="false">IF(AND($C$22="Y",AR58+AR60&gt;0),-(AR58+AR60)/2*$C$23,0)-ABS(AR57)*$C$25</f>
        <v>0</v>
      </c>
      <c r="AS61" s="66" t="n">
        <f aca="false">IF(AND($C$22="Y",AS58+AS60&gt;0),-(AS58+AS60)/2*$C$23,0)-ABS(AS57)*$C$25</f>
        <v>0</v>
      </c>
      <c r="AT61" s="66" t="n">
        <f aca="false">IF(AND($C$22="Y",AT58+AT60&gt;0),-(AT58+AT60)/2*$C$23,0)-ABS(AT57)*$C$25</f>
        <v>0</v>
      </c>
      <c r="AU61" s="66" t="n">
        <f aca="false">IF(AND($C$22="Y",AU58+AU60&gt;0),-(AU58+AU60)/2*$C$23,0)-ABS(AU57)*$C$25</f>
        <v>0</v>
      </c>
      <c r="AV61" s="66" t="n">
        <f aca="false">IF(AND($C$22="Y",AV58+AV60&gt;0),-(AV58+AV60)/2*$C$23,0)-ABS(AV57)*$C$25</f>
        <v>0</v>
      </c>
      <c r="AW61" s="66" t="n">
        <f aca="false">IF(AND($C$22="Y",AW58+AW60&gt;0),-(AW58+AW60)/2*$C$23,0)-ABS(AW57)*$C$25</f>
        <v>0</v>
      </c>
      <c r="AX61" s="66" t="n">
        <f aca="false">IF(AND($C$22="Y",AX58+AX60&gt;0),-(AX58+AX60)/2*$C$23,0)-ABS(AX57)*$C$25</f>
        <v>0</v>
      </c>
      <c r="AY61" s="66" t="n">
        <f aca="false">IF(AND($C$22="Y",AY58+AY60&gt;0),-(AY58+AY60)/2*$C$23,0)-ABS(AY57)*$C$25</f>
        <v>0</v>
      </c>
      <c r="AZ61" s="66" t="n">
        <f aca="false">IF(AND($C$22="Y",AZ58+AZ60&gt;0),-(AZ58+AZ60)/2*$C$23,0)-ABS(AZ57)*$C$25</f>
        <v>0</v>
      </c>
      <c r="BA61" s="66" t="n">
        <f aca="false">IF(AND($C$22="Y",BA58+BA60&gt;0),-(BA58+BA60)/2*$C$23,0)-ABS(BA57)*$C$25</f>
        <v>0</v>
      </c>
      <c r="BB61" s="66" t="n">
        <f aca="false">IF(AND($C$22="Y",BB58+BB60&gt;0),-(BB58+BB60)/2*$C$23,0)-ABS(BB57)*$C$25</f>
        <v>0</v>
      </c>
    </row>
    <row r="62" customFormat="false" ht="15" hidden="false" customHeight="true" outlineLevel="0" collapsed="false">
      <c r="B62" s="20" t="s">
        <v>472</v>
      </c>
      <c r="C62" s="59" t="s">
        <v>11</v>
      </c>
      <c r="D62" s="63" t="n">
        <f aca="false">SUM(E62:BB62)</f>
        <v>0</v>
      </c>
      <c r="E62" s="63" t="n">
        <f aca="false">E59+E61</f>
        <v>0</v>
      </c>
      <c r="F62" s="63" t="n">
        <f aca="false">F59+F61</f>
        <v>0</v>
      </c>
      <c r="G62" s="63" t="n">
        <f aca="false">G59+G61</f>
        <v>0</v>
      </c>
      <c r="H62" s="63" t="n">
        <f aca="false">H59+H61</f>
        <v>0</v>
      </c>
      <c r="I62" s="63" t="n">
        <f aca="false">I59+I61</f>
        <v>0</v>
      </c>
      <c r="J62" s="63" t="n">
        <f aca="false">J59+J61</f>
        <v>0</v>
      </c>
      <c r="K62" s="63" t="n">
        <f aca="false">K59+K61</f>
        <v>0</v>
      </c>
      <c r="L62" s="63" t="n">
        <f aca="false">L59+L61</f>
        <v>0</v>
      </c>
      <c r="M62" s="63" t="n">
        <f aca="false">M59+M61</f>
        <v>0</v>
      </c>
      <c r="N62" s="63" t="n">
        <f aca="false">N59+N61</f>
        <v>0</v>
      </c>
      <c r="O62" s="63" t="n">
        <f aca="false">O59+O61</f>
        <v>0</v>
      </c>
      <c r="P62" s="63" t="n">
        <f aca="false">P59+P61</f>
        <v>0</v>
      </c>
      <c r="Q62" s="63" t="n">
        <f aca="false">Q59+Q61</f>
        <v>0</v>
      </c>
      <c r="R62" s="63" t="n">
        <f aca="false">R59+R61</f>
        <v>0</v>
      </c>
      <c r="S62" s="63" t="n">
        <f aca="false">S59+S61</f>
        <v>0</v>
      </c>
      <c r="T62" s="63" t="n">
        <f aca="false">T59+T61</f>
        <v>0</v>
      </c>
      <c r="U62" s="63" t="n">
        <f aca="false">U59+U61</f>
        <v>0</v>
      </c>
      <c r="V62" s="63" t="n">
        <f aca="false">V59+V61</f>
        <v>0</v>
      </c>
      <c r="W62" s="63" t="n">
        <f aca="false">W59+W61</f>
        <v>0</v>
      </c>
      <c r="X62" s="63" t="n">
        <f aca="false">X59+X61</f>
        <v>0</v>
      </c>
      <c r="Y62" s="63" t="n">
        <f aca="false">Y59+Y61</f>
        <v>0</v>
      </c>
      <c r="Z62" s="63" t="n">
        <f aca="false">Z59+Z61</f>
        <v>0</v>
      </c>
      <c r="AA62" s="63" t="n">
        <f aca="false">AA59+AA61</f>
        <v>0</v>
      </c>
      <c r="AB62" s="63" t="n">
        <f aca="false">AB59+AB61</f>
        <v>0</v>
      </c>
      <c r="AC62" s="63" t="n">
        <f aca="false">AC59+AC61</f>
        <v>0</v>
      </c>
      <c r="AD62" s="63" t="n">
        <f aca="false">AD59+AD61</f>
        <v>0</v>
      </c>
      <c r="AE62" s="63" t="n">
        <f aca="false">AE59+AE61</f>
        <v>0</v>
      </c>
      <c r="AF62" s="63" t="n">
        <f aca="false">AF59+AF61</f>
        <v>0</v>
      </c>
      <c r="AG62" s="63" t="n">
        <f aca="false">AG59+AG61</f>
        <v>0</v>
      </c>
      <c r="AH62" s="63" t="n">
        <f aca="false">AH59+AH61</f>
        <v>0</v>
      </c>
      <c r="AI62" s="63" t="n">
        <f aca="false">AI59+AI61</f>
        <v>0</v>
      </c>
      <c r="AJ62" s="63" t="n">
        <f aca="false">AJ59+AJ61</f>
        <v>0</v>
      </c>
      <c r="AK62" s="63" t="n">
        <f aca="false">AK59+AK61</f>
        <v>0</v>
      </c>
      <c r="AL62" s="63" t="n">
        <f aca="false">AL59+AL61</f>
        <v>0</v>
      </c>
      <c r="AM62" s="63" t="n">
        <f aca="false">AM59+AM61</f>
        <v>0</v>
      </c>
      <c r="AN62" s="63" t="n">
        <f aca="false">AN59+AN61</f>
        <v>0</v>
      </c>
      <c r="AO62" s="63" t="n">
        <f aca="false">AO59+AO61</f>
        <v>0</v>
      </c>
      <c r="AP62" s="63" t="n">
        <f aca="false">AP59+AP61</f>
        <v>0</v>
      </c>
      <c r="AQ62" s="63" t="n">
        <f aca="false">AQ59+AQ61</f>
        <v>0</v>
      </c>
      <c r="AR62" s="63" t="n">
        <f aca="false">AR59+AR61</f>
        <v>0</v>
      </c>
      <c r="AS62" s="63" t="n">
        <f aca="false">AS59+AS61</f>
        <v>0</v>
      </c>
      <c r="AT62" s="63" t="n">
        <f aca="false">AT59+AT61</f>
        <v>0</v>
      </c>
      <c r="AU62" s="63" t="n">
        <f aca="false">AU59+AU61</f>
        <v>0</v>
      </c>
      <c r="AV62" s="63" t="n">
        <f aca="false">AV59+AV61</f>
        <v>0</v>
      </c>
      <c r="AW62" s="63" t="n">
        <f aca="false">AW59+AW61</f>
        <v>0</v>
      </c>
      <c r="AX62" s="63" t="n">
        <f aca="false">AX59+AX61</f>
        <v>0</v>
      </c>
      <c r="AY62" s="63" t="n">
        <f aca="false">AY59+AY61</f>
        <v>0</v>
      </c>
      <c r="AZ62" s="63" t="n">
        <f aca="false">AZ59+AZ61</f>
        <v>0</v>
      </c>
      <c r="BA62" s="63" t="n">
        <f aca="false">BA59+BA61</f>
        <v>0</v>
      </c>
      <c r="BB62" s="63" t="n">
        <f aca="false">BB59+BB61</f>
        <v>0</v>
      </c>
    </row>
    <row r="64" customFormat="false" ht="15" hidden="false" customHeight="true" outlineLevel="0" collapsed="false">
      <c r="B64" s="59" t="s">
        <v>473</v>
      </c>
      <c r="C64" s="59" t="s">
        <v>11</v>
      </c>
      <c r="D64" s="66" t="n">
        <f aca="false">SUM(E64:BB64)</f>
        <v>0</v>
      </c>
      <c r="E64" s="66" t="n">
        <f aca="false">IF(E$46=$C$9,$C$14*$C$29,0)</f>
        <v>0</v>
      </c>
      <c r="F64" s="66" t="n">
        <f aca="false">IF(F$46=$C$9,$C$14*$C$29,0)</f>
        <v>0</v>
      </c>
      <c r="G64" s="66" t="n">
        <f aca="false">IF(G$46=$C$9,$C$14*$C$29,0)</f>
        <v>0</v>
      </c>
      <c r="H64" s="66" t="n">
        <f aca="false">IF(H$46=$C$9,$C$14*$C$29,0)</f>
        <v>0</v>
      </c>
      <c r="I64" s="66" t="n">
        <f aca="false">IF(I$46=$C$9,$C$14*$C$29,0)</f>
        <v>0</v>
      </c>
      <c r="J64" s="66" t="n">
        <f aca="false">IF(J$46=$C$9,$C$14*$C$29,0)</f>
        <v>0</v>
      </c>
      <c r="K64" s="66" t="n">
        <f aca="false">IF(K$46=$C$9,$C$14*$C$29,0)</f>
        <v>0</v>
      </c>
      <c r="L64" s="66" t="n">
        <f aca="false">IF(L$46=$C$9,$C$14*$C$29,0)</f>
        <v>0</v>
      </c>
      <c r="M64" s="66" t="n">
        <f aca="false">IF(M$46=$C$9,$C$14*$C$29,0)</f>
        <v>0</v>
      </c>
      <c r="N64" s="66" t="n">
        <f aca="false">IF(N$46=$C$9,$C$14*$C$29,0)</f>
        <v>0</v>
      </c>
      <c r="O64" s="66" t="n">
        <f aca="false">IF(O$46=$C$9,$C$14*$C$29,0)</f>
        <v>0</v>
      </c>
      <c r="P64" s="66" t="n">
        <f aca="false">IF(P$46=$C$9,$C$14*$C$29,0)</f>
        <v>0</v>
      </c>
      <c r="Q64" s="66" t="n">
        <f aca="false">IF(Q$46=$C$9,$C$14*$C$29,0)</f>
        <v>0</v>
      </c>
      <c r="R64" s="66" t="n">
        <f aca="false">IF(R$46=$C$9,$C$14*$C$29,0)</f>
        <v>0</v>
      </c>
      <c r="S64" s="66" t="n">
        <f aca="false">IF(S$46=$C$9,$C$14*$C$29,0)</f>
        <v>0</v>
      </c>
      <c r="T64" s="66" t="n">
        <f aca="false">IF(T$46=$C$9,$C$14*$C$29,0)</f>
        <v>0</v>
      </c>
      <c r="U64" s="66" t="n">
        <f aca="false">IF(U$46=$C$9,$C$14*$C$29,0)</f>
        <v>0</v>
      </c>
      <c r="V64" s="66" t="n">
        <f aca="false">IF(V$46=$C$9,$C$14*$C$29,0)</f>
        <v>0</v>
      </c>
      <c r="W64" s="66" t="n">
        <f aca="false">IF(W$46=$C$9,$C$14*$C$29,0)</f>
        <v>0</v>
      </c>
      <c r="X64" s="66" t="n">
        <f aca="false">IF(X$46=$C$9,$C$14*$C$29,0)</f>
        <v>0</v>
      </c>
      <c r="Y64" s="66" t="n">
        <f aca="false">IF(Y$46=$C$9,$C$14*$C$29,0)</f>
        <v>0</v>
      </c>
      <c r="Z64" s="66" t="n">
        <f aca="false">IF(Z$46=$C$9,$C$14*$C$29,0)</f>
        <v>0</v>
      </c>
      <c r="AA64" s="66" t="n">
        <f aca="false">IF(AA$46=$C$9,$C$14*$C$29,0)</f>
        <v>0</v>
      </c>
      <c r="AB64" s="66" t="n">
        <f aca="false">IF(AB$46=$C$9,$C$14*$C$29,0)</f>
        <v>0</v>
      </c>
      <c r="AC64" s="66" t="n">
        <f aca="false">IF(AC$46=$C$9,$C$14*$C$29,0)</f>
        <v>0</v>
      </c>
      <c r="AD64" s="66" t="n">
        <f aca="false">IF(AD$46=$C$9,$C$14*$C$29,0)</f>
        <v>0</v>
      </c>
      <c r="AE64" s="66" t="n">
        <f aca="false">IF(AE$46=$C$9,$C$14*$C$29,0)</f>
        <v>0</v>
      </c>
      <c r="AF64" s="66" t="n">
        <f aca="false">IF(AF$46=$C$9,$C$14*$C$29,0)</f>
        <v>0</v>
      </c>
      <c r="AG64" s="66" t="n">
        <f aca="false">IF(AG$46=$C$9,$C$14*$C$29,0)</f>
        <v>0</v>
      </c>
      <c r="AH64" s="66" t="n">
        <f aca="false">IF(AH$46=$C$9,$C$14*$C$29,0)</f>
        <v>0</v>
      </c>
      <c r="AI64" s="66" t="n">
        <f aca="false">IF(AI$46=$C$9,$C$14*$C$29,0)</f>
        <v>0</v>
      </c>
      <c r="AJ64" s="66" t="n">
        <f aca="false">IF(AJ$46=$C$9,$C$14*$C$29,0)</f>
        <v>0</v>
      </c>
      <c r="AK64" s="66" t="n">
        <f aca="false">IF(AK$46=$C$9,$C$14*$C$29,0)</f>
        <v>0</v>
      </c>
      <c r="AL64" s="66" t="n">
        <f aca="false">IF(AL$46=$C$9,$C$14*$C$29,0)</f>
        <v>0</v>
      </c>
      <c r="AM64" s="66" t="n">
        <f aca="false">IF(AM$46=$C$9,$C$14*$C$29,0)</f>
        <v>0</v>
      </c>
      <c r="AN64" s="66" t="n">
        <f aca="false">IF(AN$46=$C$9,$C$14*$C$29,0)</f>
        <v>0</v>
      </c>
      <c r="AO64" s="66" t="n">
        <f aca="false">IF(AO$46=$C$9,$C$14*$C$29,0)</f>
        <v>0</v>
      </c>
      <c r="AP64" s="66" t="n">
        <f aca="false">IF(AP$46=$C$9,$C$14*$C$29,0)</f>
        <v>0</v>
      </c>
      <c r="AQ64" s="66" t="n">
        <f aca="false">IF(AQ$46=$C$9,$C$14*$C$29,0)</f>
        <v>0</v>
      </c>
      <c r="AR64" s="66" t="n">
        <f aca="false">IF(AR$46=$C$9,$C$14*$C$29,0)</f>
        <v>0</v>
      </c>
      <c r="AS64" s="66" t="n">
        <f aca="false">IF(AS$46=$C$9,$C$14*$C$29,0)</f>
        <v>0</v>
      </c>
      <c r="AT64" s="66" t="n">
        <f aca="false">IF(AT$46=$C$9,$C$14*$C$29,0)</f>
        <v>0</v>
      </c>
      <c r="AU64" s="66" t="n">
        <f aca="false">IF(AU$46=$C$9,$C$14*$C$29,0)</f>
        <v>0</v>
      </c>
      <c r="AV64" s="66" t="n">
        <f aca="false">IF(AV$46=$C$9,$C$14*$C$29,0)</f>
        <v>0</v>
      </c>
      <c r="AW64" s="66" t="n">
        <f aca="false">IF(AW$46=$C$9,$C$14*$C$29,0)</f>
        <v>0</v>
      </c>
      <c r="AX64" s="66" t="n">
        <f aca="false">IF(AX$46=$C$9,$C$14*$C$29,0)</f>
        <v>0</v>
      </c>
      <c r="AY64" s="66" t="n">
        <f aca="false">IF(AY$46=$C$9,$C$14*$C$29,0)</f>
        <v>0</v>
      </c>
      <c r="AZ64" s="66" t="n">
        <f aca="false">IF(AZ$46=$C$9,$C$14*$C$29,0)</f>
        <v>0</v>
      </c>
      <c r="BA64" s="66" t="n">
        <f aca="false">IF(BA$46=$C$9,$C$14*$C$29,0)</f>
        <v>0</v>
      </c>
      <c r="BB64" s="66" t="n">
        <f aca="false">IF(BB$46=$C$9,$C$14*$C$29,0)</f>
        <v>0</v>
      </c>
    </row>
    <row r="65" customFormat="false" ht="15" hidden="false" customHeight="true" outlineLevel="0" collapsed="false">
      <c r="B65" s="59" t="s">
        <v>474</v>
      </c>
      <c r="C65" s="59" t="s">
        <v>11</v>
      </c>
      <c r="D65" s="66" t="n">
        <f aca="false">SUM(E65:BB65)</f>
        <v>0</v>
      </c>
      <c r="E65" s="66" t="n">
        <f aca="false">IF(AND(E$46&gt;=$C$9,E$46&lt;=$C$41),ABS(SUM($E$49:E49))*$C$30,0)</f>
        <v>0</v>
      </c>
      <c r="F65" s="66" t="n">
        <f aca="false">IF(AND(F$46&gt;=$C$9,F$46&lt;=$C$41),ABS(SUM($E$49:F49))*$C$30,0)</f>
        <v>0</v>
      </c>
      <c r="G65" s="66" t="n">
        <f aca="false">IF(AND(G$46&gt;=$C$9,G$46&lt;=$C$41),ABS(SUM($E$49:G49))*$C$30,0)</f>
        <v>0</v>
      </c>
      <c r="H65" s="66" t="n">
        <f aca="false">IF(AND(H$46&gt;=$C$9,H$46&lt;=$C$41),ABS(SUM($E$49:H49))*$C$30,0)</f>
        <v>0</v>
      </c>
      <c r="I65" s="66" t="n">
        <f aca="false">IF(AND(I$46&gt;=$C$9,I$46&lt;=$C$41),ABS(SUM($E$49:I49))*$C$30,0)</f>
        <v>0</v>
      </c>
      <c r="J65" s="66" t="n">
        <f aca="false">IF(AND(J$46&gt;=$C$9,J$46&lt;=$C$41),ABS(SUM($E$49:J49))*$C$30,0)</f>
        <v>0</v>
      </c>
      <c r="K65" s="66" t="n">
        <f aca="false">IF(AND(K$46&gt;=$C$9,K$46&lt;=$C$41),ABS(SUM($E$49:K49))*$C$30,0)</f>
        <v>0</v>
      </c>
      <c r="L65" s="66" t="n">
        <f aca="false">IF(AND(L$46&gt;=$C$9,L$46&lt;=$C$41),ABS(SUM($E$49:L49))*$C$30,0)</f>
        <v>0</v>
      </c>
      <c r="M65" s="66" t="n">
        <f aca="false">IF(AND(M$46&gt;=$C$9,M$46&lt;=$C$41),ABS(SUM($E$49:M49))*$C$30,0)</f>
        <v>0</v>
      </c>
      <c r="N65" s="66" t="n">
        <f aca="false">IF(AND(N$46&gt;=$C$9,N$46&lt;=$C$41),ABS(SUM($E$49:N49))*$C$30,0)</f>
        <v>0</v>
      </c>
      <c r="O65" s="66" t="n">
        <f aca="false">IF(AND(O$46&gt;=$C$9,O$46&lt;=$C$41),ABS(SUM($E$49:O49))*$C$30,0)</f>
        <v>0</v>
      </c>
      <c r="P65" s="66" t="n">
        <f aca="false">IF(AND(P$46&gt;=$C$9,P$46&lt;=$C$41),ABS(SUM($E$49:P49))*$C$30,0)</f>
        <v>0</v>
      </c>
      <c r="Q65" s="66" t="n">
        <f aca="false">IF(AND(Q$46&gt;=$C$9,Q$46&lt;=$C$41),ABS(SUM($E$49:Q49))*$C$30,0)</f>
        <v>0</v>
      </c>
      <c r="R65" s="66" t="n">
        <f aca="false">IF(AND(R$46&gt;=$C$9,R$46&lt;=$C$41),ABS(SUM($E$49:R49))*$C$30,0)</f>
        <v>0</v>
      </c>
      <c r="S65" s="66" t="n">
        <f aca="false">IF(AND(S$46&gt;=$C$9,S$46&lt;=$C$41),ABS(SUM($E$49:S49))*$C$30,0)</f>
        <v>0</v>
      </c>
      <c r="T65" s="66" t="n">
        <f aca="false">IF(AND(T$46&gt;=$C$9,T$46&lt;=$C$41),ABS(SUM($E$49:T49))*$C$30,0)</f>
        <v>0</v>
      </c>
      <c r="U65" s="66" t="n">
        <f aca="false">IF(AND(U$46&gt;=$C$9,U$46&lt;=$C$41),ABS(SUM($E$49:U49))*$C$30,0)</f>
        <v>0</v>
      </c>
      <c r="V65" s="66" t="n">
        <f aca="false">IF(AND(V$46&gt;=$C$9,V$46&lt;=$C$41),ABS(SUM($E$49:V49))*$C$30,0)</f>
        <v>0</v>
      </c>
      <c r="W65" s="66" t="n">
        <f aca="false">IF(AND(W$46&gt;=$C$9,W$46&lt;=$C$41),ABS(SUM($E$49:W49))*$C$30,0)</f>
        <v>0</v>
      </c>
      <c r="X65" s="66" t="n">
        <f aca="false">IF(AND(X$46&gt;=$C$9,X$46&lt;=$C$41),ABS(SUM($E$49:X49))*$C$30,0)</f>
        <v>0</v>
      </c>
      <c r="Y65" s="66" t="n">
        <f aca="false">IF(AND(Y$46&gt;=$C$9,Y$46&lt;=$C$41),ABS(SUM($E$49:Y49))*$C$30,0)</f>
        <v>0</v>
      </c>
      <c r="Z65" s="66" t="n">
        <f aca="false">IF(AND(Z$46&gt;=$C$9,Z$46&lt;=$C$41),ABS(SUM($E$49:Z49))*$C$30,0)</f>
        <v>0</v>
      </c>
      <c r="AA65" s="66" t="n">
        <f aca="false">IF(AND(AA$46&gt;=$C$9,AA$46&lt;=$C$41),ABS(SUM($E$49:AA49))*$C$30,0)</f>
        <v>0</v>
      </c>
      <c r="AB65" s="66" t="n">
        <f aca="false">IF(AND(AB$46&gt;=$C$9,AB$46&lt;=$C$41),ABS(SUM($E$49:AB49))*$C$30,0)</f>
        <v>0</v>
      </c>
      <c r="AC65" s="66" t="n">
        <f aca="false">IF(AND(AC$46&gt;=$C$9,AC$46&lt;=$C$41),ABS(SUM($E$49:AC49))*$C$30,0)</f>
        <v>0</v>
      </c>
      <c r="AD65" s="66" t="n">
        <f aca="false">IF(AND(AD$46&gt;=$C$9,AD$46&lt;=$C$41),ABS(SUM($E$49:AD49))*$C$30,0)</f>
        <v>0</v>
      </c>
      <c r="AE65" s="66" t="n">
        <f aca="false">IF(AND(AE$46&gt;=$C$9,AE$46&lt;=$C$41),ABS(SUM($E$49:AE49))*$C$30,0)</f>
        <v>0</v>
      </c>
      <c r="AF65" s="66" t="n">
        <f aca="false">IF(AND(AF$46&gt;=$C$9,AF$46&lt;=$C$41),ABS(SUM($E$49:AF49))*$C$30,0)</f>
        <v>0</v>
      </c>
      <c r="AG65" s="66" t="n">
        <f aca="false">IF(AND(AG$46&gt;=$C$9,AG$46&lt;=$C$41),ABS(SUM($E$49:AG49))*$C$30,0)</f>
        <v>0</v>
      </c>
      <c r="AH65" s="66" t="n">
        <f aca="false">IF(AND(AH$46&gt;=$C$9,AH$46&lt;=$C$41),ABS(SUM($E$49:AH49))*$C$30,0)</f>
        <v>0</v>
      </c>
      <c r="AI65" s="66" t="n">
        <f aca="false">IF(AND(AI$46&gt;=$C$9,AI$46&lt;=$C$41),ABS(SUM($E$49:AI49))*$C$30,0)</f>
        <v>0</v>
      </c>
      <c r="AJ65" s="66" t="n">
        <f aca="false">IF(AND(AJ$46&gt;=$C$9,AJ$46&lt;=$C$41),ABS(SUM($E$49:AJ49))*$C$30,0)</f>
        <v>0</v>
      </c>
      <c r="AK65" s="66" t="n">
        <f aca="false">IF(AND(AK$46&gt;=$C$9,AK$46&lt;=$C$41),ABS(SUM($E$49:AK49))*$C$30,0)</f>
        <v>0</v>
      </c>
      <c r="AL65" s="66" t="n">
        <f aca="false">IF(AND(AL$46&gt;=$C$9,AL$46&lt;=$C$41),ABS(SUM($E$49:AL49))*$C$30,0)</f>
        <v>0</v>
      </c>
      <c r="AM65" s="66" t="n">
        <f aca="false">IF(AND(AM$46&gt;=$C$9,AM$46&lt;=$C$41),ABS(SUM($E$49:AM49))*$C$30,0)</f>
        <v>0</v>
      </c>
      <c r="AN65" s="66" t="n">
        <f aca="false">IF(AND(AN$46&gt;=$C$9,AN$46&lt;=$C$41),ABS(SUM($E$49:AN49))*$C$30,0)</f>
        <v>0</v>
      </c>
      <c r="AO65" s="66" t="n">
        <f aca="false">IF(AND(AO$46&gt;=$C$9,AO$46&lt;=$C$41),ABS(SUM($E$49:AO49))*$C$30,0)</f>
        <v>0</v>
      </c>
      <c r="AP65" s="66" t="n">
        <f aca="false">IF(AND(AP$46&gt;=$C$9,AP$46&lt;=$C$41),ABS(SUM($E$49:AP49))*$C$30,0)</f>
        <v>0</v>
      </c>
      <c r="AQ65" s="66" t="n">
        <f aca="false">IF(AND(AQ$46&gt;=$C$9,AQ$46&lt;=$C$41),ABS(SUM($E$49:AQ49))*$C$30,0)</f>
        <v>0</v>
      </c>
      <c r="AR65" s="66" t="n">
        <f aca="false">IF(AND(AR$46&gt;=$C$9,AR$46&lt;=$C$41),ABS(SUM($E$49:AR49))*$C$30,0)</f>
        <v>0</v>
      </c>
      <c r="AS65" s="66" t="n">
        <f aca="false">IF(AND(AS$46&gt;=$C$9,AS$46&lt;=$C$41),ABS(SUM($E$49:AS49))*$C$30,0)</f>
        <v>0</v>
      </c>
      <c r="AT65" s="66" t="n">
        <f aca="false">IF(AND(AT$46&gt;=$C$9,AT$46&lt;=$C$41),ABS(SUM($E$49:AT49))*$C$30,0)</f>
        <v>0</v>
      </c>
      <c r="AU65" s="66" t="n">
        <f aca="false">IF(AND(AU$46&gt;=$C$9,AU$46&lt;=$C$41),ABS(SUM($E$49:AU49))*$C$30,0)</f>
        <v>0</v>
      </c>
      <c r="AV65" s="66" t="n">
        <f aca="false">IF(AND(AV$46&gt;=$C$9,AV$46&lt;=$C$41),ABS(SUM($E$49:AV49))*$C$30,0)</f>
        <v>0</v>
      </c>
      <c r="AW65" s="66" t="n">
        <f aca="false">IF(AND(AW$46&gt;=$C$9,AW$46&lt;=$C$41),ABS(SUM($E$49:AW49))*$C$30,0)</f>
        <v>0</v>
      </c>
      <c r="AX65" s="66" t="n">
        <f aca="false">IF(AND(AX$46&gt;=$C$9,AX$46&lt;=$C$41),ABS(SUM($E$49:AX49))*$C$30,0)</f>
        <v>0</v>
      </c>
      <c r="AY65" s="66" t="n">
        <f aca="false">IF(AND(AY$46&gt;=$C$9,AY$46&lt;=$C$41),ABS(SUM($E$49:AY49))*$C$30,0)</f>
        <v>0</v>
      </c>
      <c r="AZ65" s="66" t="n">
        <f aca="false">IF(AND(AZ$46&gt;=$C$9,AZ$46&lt;=$C$41),ABS(SUM($E$49:AZ49))*$C$30,0)</f>
        <v>0</v>
      </c>
      <c r="BA65" s="66" t="n">
        <f aca="false">IF(AND(BA$46&gt;=$C$9,BA$46&lt;=$C$41),ABS(SUM($E$49:BA49))*$C$30,0)</f>
        <v>0</v>
      </c>
      <c r="BB65" s="66" t="n">
        <f aca="false">IF(AND(BB$46&gt;=$C$9,BB$46&lt;=$C$41),ABS(SUM($E$49:BB49))*$C$30,0)</f>
        <v>0</v>
      </c>
    </row>
    <row r="66" customFormat="false" ht="15" hidden="false" customHeight="true" outlineLevel="0" collapsed="false">
      <c r="B66" s="59" t="s">
        <v>475</v>
      </c>
      <c r="C66" s="59" t="s">
        <v>11</v>
      </c>
      <c r="D66" s="66" t="n">
        <f aca="false">SUM(E66:BB66)</f>
        <v>0</v>
      </c>
      <c r="E66" s="66" t="n">
        <f aca="false">IF(AND($C$17&gt;0,E$46&gt;=$C$9,E$46&lt;=$C$41),$C$31,0)</f>
        <v>0</v>
      </c>
      <c r="F66" s="66" t="n">
        <f aca="false">IF(AND($C$17&gt;0,F$46&gt;=$C$9,F$46&lt;=$C$41),$C$31,0)</f>
        <v>0</v>
      </c>
      <c r="G66" s="66" t="n">
        <f aca="false">IF(AND($C$17&gt;0,G$46&gt;=$C$9,G$46&lt;=$C$41),$C$31,0)</f>
        <v>0</v>
      </c>
      <c r="H66" s="66" t="n">
        <f aca="false">IF(AND($C$17&gt;0,H$46&gt;=$C$9,H$46&lt;=$C$41),$C$31,0)</f>
        <v>0</v>
      </c>
      <c r="I66" s="66" t="n">
        <f aca="false">IF(AND($C$17&gt;0,I$46&gt;=$C$9,I$46&lt;=$C$41),$C$31,0)</f>
        <v>0</v>
      </c>
      <c r="J66" s="66" t="n">
        <f aca="false">IF(AND($C$17&gt;0,J$46&gt;=$C$9,J$46&lt;=$C$41),$C$31,0)</f>
        <v>0</v>
      </c>
      <c r="K66" s="66" t="n">
        <f aca="false">IF(AND($C$17&gt;0,K$46&gt;=$C$9,K$46&lt;=$C$41),$C$31,0)</f>
        <v>0</v>
      </c>
      <c r="L66" s="66" t="n">
        <f aca="false">IF(AND($C$17&gt;0,L$46&gt;=$C$9,L$46&lt;=$C$41),$C$31,0)</f>
        <v>0</v>
      </c>
      <c r="M66" s="66" t="n">
        <f aca="false">IF(AND($C$17&gt;0,M$46&gt;=$C$9,M$46&lt;=$C$41),$C$31,0)</f>
        <v>0</v>
      </c>
      <c r="N66" s="66" t="n">
        <f aca="false">IF(AND($C$17&gt;0,N$46&gt;=$C$9,N$46&lt;=$C$41),$C$31,0)</f>
        <v>0</v>
      </c>
      <c r="O66" s="66" t="n">
        <f aca="false">IF(AND($C$17&gt;0,O$46&gt;=$C$9,O$46&lt;=$C$41),$C$31,0)</f>
        <v>0</v>
      </c>
      <c r="P66" s="66" t="n">
        <f aca="false">IF(AND($C$17&gt;0,P$46&gt;=$C$9,P$46&lt;=$C$41),$C$31,0)</f>
        <v>0</v>
      </c>
      <c r="Q66" s="66" t="n">
        <f aca="false">IF(AND($C$17&gt;0,Q$46&gt;=$C$9,Q$46&lt;=$C$41),$C$31,0)</f>
        <v>0</v>
      </c>
      <c r="R66" s="66" t="n">
        <f aca="false">IF(AND($C$17&gt;0,R$46&gt;=$C$9,R$46&lt;=$C$41),$C$31,0)</f>
        <v>0</v>
      </c>
      <c r="S66" s="66" t="n">
        <f aca="false">IF(AND($C$17&gt;0,S$46&gt;=$C$9,S$46&lt;=$C$41),$C$31,0)</f>
        <v>0</v>
      </c>
      <c r="T66" s="66" t="n">
        <f aca="false">IF(AND($C$17&gt;0,T$46&gt;=$C$9,T$46&lt;=$C$41),$C$31,0)</f>
        <v>0</v>
      </c>
      <c r="U66" s="66" t="n">
        <f aca="false">IF(AND($C$17&gt;0,U$46&gt;=$C$9,U$46&lt;=$C$41),$C$31,0)</f>
        <v>0</v>
      </c>
      <c r="V66" s="66" t="n">
        <f aca="false">IF(AND($C$17&gt;0,V$46&gt;=$C$9,V$46&lt;=$C$41),$C$31,0)</f>
        <v>0</v>
      </c>
      <c r="W66" s="66" t="n">
        <f aca="false">IF(AND($C$17&gt;0,W$46&gt;=$C$9,W$46&lt;=$C$41),$C$31,0)</f>
        <v>0</v>
      </c>
      <c r="X66" s="66" t="n">
        <f aca="false">IF(AND($C$17&gt;0,X$46&gt;=$C$9,X$46&lt;=$C$41),$C$31,0)</f>
        <v>0</v>
      </c>
      <c r="Y66" s="66" t="n">
        <f aca="false">IF(AND($C$17&gt;0,Y$46&gt;=$C$9,Y$46&lt;=$C$41),$C$31,0)</f>
        <v>0</v>
      </c>
      <c r="Z66" s="66" t="n">
        <f aca="false">IF(AND($C$17&gt;0,Z$46&gt;=$C$9,Z$46&lt;=$C$41),$C$31,0)</f>
        <v>0</v>
      </c>
      <c r="AA66" s="66" t="n">
        <f aca="false">IF(AND($C$17&gt;0,AA$46&gt;=$C$9,AA$46&lt;=$C$41),$C$31,0)</f>
        <v>0</v>
      </c>
      <c r="AB66" s="66" t="n">
        <f aca="false">IF(AND($C$17&gt;0,AB$46&gt;=$C$9,AB$46&lt;=$C$41),$C$31,0)</f>
        <v>0</v>
      </c>
      <c r="AC66" s="66" t="n">
        <f aca="false">IF(AND($C$17&gt;0,AC$46&gt;=$C$9,AC$46&lt;=$C$41),$C$31,0)</f>
        <v>0</v>
      </c>
      <c r="AD66" s="66" t="n">
        <f aca="false">IF(AND($C$17&gt;0,AD$46&gt;=$C$9,AD$46&lt;=$C$41),$C$31,0)</f>
        <v>0</v>
      </c>
      <c r="AE66" s="66" t="n">
        <f aca="false">IF(AND($C$17&gt;0,AE$46&gt;=$C$9,AE$46&lt;=$C$41),$C$31,0)</f>
        <v>0</v>
      </c>
      <c r="AF66" s="66" t="n">
        <f aca="false">IF(AND($C$17&gt;0,AF$46&gt;=$C$9,AF$46&lt;=$C$41),$C$31,0)</f>
        <v>0</v>
      </c>
      <c r="AG66" s="66" t="n">
        <f aca="false">IF(AND($C$17&gt;0,AG$46&gt;=$C$9,AG$46&lt;=$C$41),$C$31,0)</f>
        <v>0</v>
      </c>
      <c r="AH66" s="66" t="n">
        <f aca="false">IF(AND($C$17&gt;0,AH$46&gt;=$C$9,AH$46&lt;=$C$41),$C$31,0)</f>
        <v>0</v>
      </c>
      <c r="AI66" s="66" t="n">
        <f aca="false">IF(AND($C$17&gt;0,AI$46&gt;=$C$9,AI$46&lt;=$C$41),$C$31,0)</f>
        <v>0</v>
      </c>
      <c r="AJ66" s="66" t="n">
        <f aca="false">IF(AND($C$17&gt;0,AJ$46&gt;=$C$9,AJ$46&lt;=$C$41),$C$31,0)</f>
        <v>0</v>
      </c>
      <c r="AK66" s="66" t="n">
        <f aca="false">IF(AND($C$17&gt;0,AK$46&gt;=$C$9,AK$46&lt;=$C$41),$C$31,0)</f>
        <v>0</v>
      </c>
      <c r="AL66" s="66" t="n">
        <f aca="false">IF(AND($C$17&gt;0,AL$46&gt;=$C$9,AL$46&lt;=$C$41),$C$31,0)</f>
        <v>0</v>
      </c>
      <c r="AM66" s="66" t="n">
        <f aca="false">IF(AND($C$17&gt;0,AM$46&gt;=$C$9,AM$46&lt;=$C$41),$C$31,0)</f>
        <v>0</v>
      </c>
      <c r="AN66" s="66" t="n">
        <f aca="false">IF(AND($C$17&gt;0,AN$46&gt;=$C$9,AN$46&lt;=$C$41),$C$31,0)</f>
        <v>0</v>
      </c>
      <c r="AO66" s="66" t="n">
        <f aca="false">IF(AND($C$17&gt;0,AO$46&gt;=$C$9,AO$46&lt;=$C$41),$C$31,0)</f>
        <v>0</v>
      </c>
      <c r="AP66" s="66" t="n">
        <f aca="false">IF(AND($C$17&gt;0,AP$46&gt;=$C$9,AP$46&lt;=$C$41),$C$31,0)</f>
        <v>0</v>
      </c>
      <c r="AQ66" s="66" t="n">
        <f aca="false">IF(AND($C$17&gt;0,AQ$46&gt;=$C$9,AQ$46&lt;=$C$41),$C$31,0)</f>
        <v>0</v>
      </c>
      <c r="AR66" s="66" t="n">
        <f aca="false">IF(AND($C$17&gt;0,AR$46&gt;=$C$9,AR$46&lt;=$C$41),$C$31,0)</f>
        <v>0</v>
      </c>
      <c r="AS66" s="66" t="n">
        <f aca="false">IF(AND($C$17&gt;0,AS$46&gt;=$C$9,AS$46&lt;=$C$41),$C$31,0)</f>
        <v>0</v>
      </c>
      <c r="AT66" s="66" t="n">
        <f aca="false">IF(AND($C$17&gt;0,AT$46&gt;=$C$9,AT$46&lt;=$C$41),$C$31,0)</f>
        <v>0</v>
      </c>
      <c r="AU66" s="66" t="n">
        <f aca="false">IF(AND($C$17&gt;0,AU$46&gt;=$C$9,AU$46&lt;=$C$41),$C$31,0)</f>
        <v>0</v>
      </c>
      <c r="AV66" s="66" t="n">
        <f aca="false">IF(AND($C$17&gt;0,AV$46&gt;=$C$9,AV$46&lt;=$C$41),$C$31,0)</f>
        <v>0</v>
      </c>
      <c r="AW66" s="66" t="n">
        <f aca="false">IF(AND($C$17&gt;0,AW$46&gt;=$C$9,AW$46&lt;=$C$41),$C$31,0)</f>
        <v>0</v>
      </c>
      <c r="AX66" s="66" t="n">
        <f aca="false">IF(AND($C$17&gt;0,AX$46&gt;=$C$9,AX$46&lt;=$C$41),$C$31,0)</f>
        <v>0</v>
      </c>
      <c r="AY66" s="66" t="n">
        <f aca="false">IF(AND($C$17&gt;0,AY$46&gt;=$C$9,AY$46&lt;=$C$41),$C$31,0)</f>
        <v>0</v>
      </c>
      <c r="AZ66" s="66" t="n">
        <f aca="false">IF(AND($C$17&gt;0,AZ$46&gt;=$C$9,AZ$46&lt;=$C$41),$C$31,0)</f>
        <v>0</v>
      </c>
      <c r="BA66" s="66" t="n">
        <f aca="false">IF(AND($C$17&gt;0,BA$46&gt;=$C$9,BA$46&lt;=$C$41),$C$31,0)</f>
        <v>0</v>
      </c>
      <c r="BB66" s="66" t="n">
        <f aca="false">IF(AND($C$17&gt;0,BB$46&gt;=$C$9,BB$46&lt;=$C$41),$C$31,0)</f>
        <v>0</v>
      </c>
    </row>
    <row r="67" customFormat="false" ht="15" hidden="false" customHeight="true" outlineLevel="0" collapsed="false">
      <c r="B67" s="59" t="s">
        <v>476</v>
      </c>
      <c r="C67" s="59" t="s">
        <v>11</v>
      </c>
      <c r="D67" s="66" t="n">
        <f aca="false">SUM(E67:BB67)</f>
        <v>0</v>
      </c>
      <c r="E67" s="66" t="n">
        <f aca="false">IF(AND(E49&lt;0,E$46&gt;=$C$9,E$46&lt;=$C$41),ABS(E49)*$C$32,0)</f>
        <v>0</v>
      </c>
      <c r="F67" s="66" t="n">
        <f aca="false">IF(AND(F49&lt;0,F$46&gt;=$C$9,F$46&lt;=$C$41),ABS(F49)*$C$32,0)</f>
        <v>0</v>
      </c>
      <c r="G67" s="66" t="n">
        <f aca="false">IF(AND(G49&lt;0,G$46&gt;=$C$9,G$46&lt;=$C$41),ABS(G49)*$C$32,0)</f>
        <v>0</v>
      </c>
      <c r="H67" s="66" t="n">
        <f aca="false">IF(AND(H49&lt;0,H$46&gt;=$C$9,H$46&lt;=$C$41),ABS(H49)*$C$32,0)</f>
        <v>0</v>
      </c>
      <c r="I67" s="66" t="n">
        <f aca="false">IF(AND(I49&lt;0,I$46&gt;=$C$9,I$46&lt;=$C$41),ABS(I49)*$C$32,0)</f>
        <v>0</v>
      </c>
      <c r="J67" s="66" t="n">
        <f aca="false">IF(AND(J49&lt;0,J$46&gt;=$C$9,J$46&lt;=$C$41),ABS(J49)*$C$32,0)</f>
        <v>0</v>
      </c>
      <c r="K67" s="66" t="n">
        <f aca="false">IF(AND(K49&lt;0,K$46&gt;=$C$9,K$46&lt;=$C$41),ABS(K49)*$C$32,0)</f>
        <v>0</v>
      </c>
      <c r="L67" s="66" t="n">
        <f aca="false">IF(AND(L49&lt;0,L$46&gt;=$C$9,L$46&lt;=$C$41),ABS(L49)*$C$32,0)</f>
        <v>0</v>
      </c>
      <c r="M67" s="66" t="n">
        <f aca="false">IF(AND(M49&lt;0,M$46&gt;=$C$9,M$46&lt;=$C$41),ABS(M49)*$C$32,0)</f>
        <v>0</v>
      </c>
      <c r="N67" s="66" t="n">
        <f aca="false">IF(AND(N49&lt;0,N$46&gt;=$C$9,N$46&lt;=$C$41),ABS(N49)*$C$32,0)</f>
        <v>0</v>
      </c>
      <c r="O67" s="66" t="n">
        <f aca="false">IF(AND(O49&lt;0,O$46&gt;=$C$9,O$46&lt;=$C$41),ABS(O49)*$C$32,0)</f>
        <v>0</v>
      </c>
      <c r="P67" s="66" t="n">
        <f aca="false">IF(AND(P49&lt;0,P$46&gt;=$C$9,P$46&lt;=$C$41),ABS(P49)*$C$32,0)</f>
        <v>0</v>
      </c>
      <c r="Q67" s="66" t="n">
        <f aca="false">IF(AND(Q49&lt;0,Q$46&gt;=$C$9,Q$46&lt;=$C$41),ABS(Q49)*$C$32,0)</f>
        <v>0</v>
      </c>
      <c r="R67" s="66" t="n">
        <f aca="false">IF(AND(R49&lt;0,R$46&gt;=$C$9,R$46&lt;=$C$41),ABS(R49)*$C$32,0)</f>
        <v>0</v>
      </c>
      <c r="S67" s="66" t="n">
        <f aca="false">IF(AND(S49&lt;0,S$46&gt;=$C$9,S$46&lt;=$C$41),ABS(S49)*$C$32,0)</f>
        <v>0</v>
      </c>
      <c r="T67" s="66" t="n">
        <f aca="false">IF(AND(T49&lt;0,T$46&gt;=$C$9,T$46&lt;=$C$41),ABS(T49)*$C$32,0)</f>
        <v>0</v>
      </c>
      <c r="U67" s="66" t="n">
        <f aca="false">IF(AND(U49&lt;0,U$46&gt;=$C$9,U$46&lt;=$C$41),ABS(U49)*$C$32,0)</f>
        <v>0</v>
      </c>
      <c r="V67" s="66" t="n">
        <f aca="false">IF(AND(V49&lt;0,V$46&gt;=$C$9,V$46&lt;=$C$41),ABS(V49)*$C$32,0)</f>
        <v>0</v>
      </c>
      <c r="W67" s="66" t="n">
        <f aca="false">IF(AND(W49&lt;0,W$46&gt;=$C$9,W$46&lt;=$C$41),ABS(W49)*$C$32,0)</f>
        <v>0</v>
      </c>
      <c r="X67" s="66" t="n">
        <f aca="false">IF(AND(X49&lt;0,X$46&gt;=$C$9,X$46&lt;=$C$41),ABS(X49)*$C$32,0)</f>
        <v>0</v>
      </c>
      <c r="Y67" s="66" t="n">
        <f aca="false">IF(AND(Y49&lt;0,Y$46&gt;=$C$9,Y$46&lt;=$C$41),ABS(Y49)*$C$32,0)</f>
        <v>0</v>
      </c>
      <c r="Z67" s="66" t="n">
        <f aca="false">IF(AND(Z49&lt;0,Z$46&gt;=$C$9,Z$46&lt;=$C$41),ABS(Z49)*$C$32,0)</f>
        <v>0</v>
      </c>
      <c r="AA67" s="66" t="n">
        <f aca="false">IF(AND(AA49&lt;0,AA$46&gt;=$C$9,AA$46&lt;=$C$41),ABS(AA49)*$C$32,0)</f>
        <v>0</v>
      </c>
      <c r="AB67" s="66" t="n">
        <f aca="false">IF(AND(AB49&lt;0,AB$46&gt;=$C$9,AB$46&lt;=$C$41),ABS(AB49)*$C$32,0)</f>
        <v>0</v>
      </c>
      <c r="AC67" s="66" t="n">
        <f aca="false">IF(AND(AC49&lt;0,AC$46&gt;=$C$9,AC$46&lt;=$C$41),ABS(AC49)*$C$32,0)</f>
        <v>0</v>
      </c>
      <c r="AD67" s="66" t="n">
        <f aca="false">IF(AND(AD49&lt;0,AD$46&gt;=$C$9,AD$46&lt;=$C$41),ABS(AD49)*$C$32,0)</f>
        <v>0</v>
      </c>
      <c r="AE67" s="66" t="n">
        <f aca="false">IF(AND(AE49&lt;0,AE$46&gt;=$C$9,AE$46&lt;=$C$41),ABS(AE49)*$C$32,0)</f>
        <v>0</v>
      </c>
      <c r="AF67" s="66" t="n">
        <f aca="false">IF(AND(AF49&lt;0,AF$46&gt;=$C$9,AF$46&lt;=$C$41),ABS(AF49)*$C$32,0)</f>
        <v>0</v>
      </c>
      <c r="AG67" s="66" t="n">
        <f aca="false">IF(AND(AG49&lt;0,AG$46&gt;=$C$9,AG$46&lt;=$C$41),ABS(AG49)*$C$32,0)</f>
        <v>0</v>
      </c>
      <c r="AH67" s="66" t="n">
        <f aca="false">IF(AND(AH49&lt;0,AH$46&gt;=$C$9,AH$46&lt;=$C$41),ABS(AH49)*$C$32,0)</f>
        <v>0</v>
      </c>
      <c r="AI67" s="66" t="n">
        <f aca="false">IF(AND(AI49&lt;0,AI$46&gt;=$C$9,AI$46&lt;=$C$41),ABS(AI49)*$C$32,0)</f>
        <v>0</v>
      </c>
      <c r="AJ67" s="66" t="n">
        <f aca="false">IF(AND(AJ49&lt;0,AJ$46&gt;=$C$9,AJ$46&lt;=$C$41),ABS(AJ49)*$C$32,0)</f>
        <v>0</v>
      </c>
      <c r="AK67" s="66" t="n">
        <f aca="false">IF(AND(AK49&lt;0,AK$46&gt;=$C$9,AK$46&lt;=$C$41),ABS(AK49)*$C$32,0)</f>
        <v>0</v>
      </c>
      <c r="AL67" s="66" t="n">
        <f aca="false">IF(AND(AL49&lt;0,AL$46&gt;=$C$9,AL$46&lt;=$C$41),ABS(AL49)*$C$32,0)</f>
        <v>0</v>
      </c>
      <c r="AM67" s="66" t="n">
        <f aca="false">IF(AND(AM49&lt;0,AM$46&gt;=$C$9,AM$46&lt;=$C$41),ABS(AM49)*$C$32,0)</f>
        <v>0</v>
      </c>
      <c r="AN67" s="66" t="n">
        <f aca="false">IF(AND(AN49&lt;0,AN$46&gt;=$C$9,AN$46&lt;=$C$41),ABS(AN49)*$C$32,0)</f>
        <v>0</v>
      </c>
      <c r="AO67" s="66" t="n">
        <f aca="false">IF(AND(AO49&lt;0,AO$46&gt;=$C$9,AO$46&lt;=$C$41),ABS(AO49)*$C$32,0)</f>
        <v>0</v>
      </c>
      <c r="AP67" s="66" t="n">
        <f aca="false">IF(AND(AP49&lt;0,AP$46&gt;=$C$9,AP$46&lt;=$C$41),ABS(AP49)*$C$32,0)</f>
        <v>0</v>
      </c>
      <c r="AQ67" s="66" t="n">
        <f aca="false">IF(AND(AQ49&lt;0,AQ$46&gt;=$C$9,AQ$46&lt;=$C$41),ABS(AQ49)*$C$32,0)</f>
        <v>0</v>
      </c>
      <c r="AR67" s="66" t="n">
        <f aca="false">IF(AND(AR49&lt;0,AR$46&gt;=$C$9,AR$46&lt;=$C$41),ABS(AR49)*$C$32,0)</f>
        <v>0</v>
      </c>
      <c r="AS67" s="66" t="n">
        <f aca="false">IF(AND(AS49&lt;0,AS$46&gt;=$C$9,AS$46&lt;=$C$41),ABS(AS49)*$C$32,0)</f>
        <v>0</v>
      </c>
      <c r="AT67" s="66" t="n">
        <f aca="false">IF(AND(AT49&lt;0,AT$46&gt;=$C$9,AT$46&lt;=$C$41),ABS(AT49)*$C$32,0)</f>
        <v>0</v>
      </c>
      <c r="AU67" s="66" t="n">
        <f aca="false">IF(AND(AU49&lt;0,AU$46&gt;=$C$9,AU$46&lt;=$C$41),ABS(AU49)*$C$32,0)</f>
        <v>0</v>
      </c>
      <c r="AV67" s="66" t="n">
        <f aca="false">IF(AND(AV49&lt;0,AV$46&gt;=$C$9,AV$46&lt;=$C$41),ABS(AV49)*$C$32,0)</f>
        <v>0</v>
      </c>
      <c r="AW67" s="66" t="n">
        <f aca="false">IF(AND(AW49&lt;0,AW$46&gt;=$C$9,AW$46&lt;=$C$41),ABS(AW49)*$C$32,0)</f>
        <v>0</v>
      </c>
      <c r="AX67" s="66" t="n">
        <f aca="false">IF(AND(AX49&lt;0,AX$46&gt;=$C$9,AX$46&lt;=$C$41),ABS(AX49)*$C$32,0)</f>
        <v>0</v>
      </c>
      <c r="AY67" s="66" t="n">
        <f aca="false">IF(AND(AY49&lt;0,AY$46&gt;=$C$9,AY$46&lt;=$C$41),ABS(AY49)*$C$32,0)</f>
        <v>0</v>
      </c>
      <c r="AZ67" s="66" t="n">
        <f aca="false">IF(AND(AZ49&lt;0,AZ$46&gt;=$C$9,AZ$46&lt;=$C$41),ABS(AZ49)*$C$32,0)</f>
        <v>0</v>
      </c>
      <c r="BA67" s="66" t="n">
        <f aca="false">IF(AND(BA49&lt;0,BA$46&gt;=$C$9,BA$46&lt;=$C$41),ABS(BA49)*$C$32,0)</f>
        <v>0</v>
      </c>
      <c r="BB67" s="66" t="n">
        <f aca="false">IF(AND(BB49&lt;0,BB$46&gt;=$C$9,BB$46&lt;=$C$41),ABS(BB49)*$C$32,0)</f>
        <v>0</v>
      </c>
    </row>
    <row r="68" customFormat="false" ht="15" hidden="false" customHeight="true" outlineLevel="0" collapsed="false">
      <c r="B68" s="59" t="s">
        <v>477</v>
      </c>
      <c r="C68" s="59" t="s">
        <v>11</v>
      </c>
      <c r="D68" s="66" t="n">
        <f aca="false">SUM(E68:BB68)</f>
        <v>0</v>
      </c>
      <c r="E68" s="66" t="n">
        <f aca="false">IF(E$46=$C$9,ABS($D$49)*$C$33,0)</f>
        <v>0</v>
      </c>
      <c r="F68" s="66" t="n">
        <f aca="false">IF(F$46=$C$9,ABS($D$49)*$C$33,0)</f>
        <v>0</v>
      </c>
      <c r="G68" s="66" t="n">
        <f aca="false">IF(G$46=$C$9,ABS($D$49)*$C$33,0)</f>
        <v>0</v>
      </c>
      <c r="H68" s="66" t="n">
        <f aca="false">IF(H$46=$C$9,ABS($D$49)*$C$33,0)</f>
        <v>0</v>
      </c>
      <c r="I68" s="66" t="n">
        <f aca="false">IF(I$46=$C$9,ABS($D$49)*$C$33,0)</f>
        <v>0</v>
      </c>
      <c r="J68" s="66" t="n">
        <f aca="false">IF(J$46=$C$9,ABS($D$49)*$C$33,0)</f>
        <v>0</v>
      </c>
      <c r="K68" s="66" t="n">
        <f aca="false">IF(K$46=$C$9,ABS($D$49)*$C$33,0)</f>
        <v>0</v>
      </c>
      <c r="L68" s="66" t="n">
        <f aca="false">IF(L$46=$C$9,ABS($D$49)*$C$33,0)</f>
        <v>0</v>
      </c>
      <c r="M68" s="66" t="n">
        <f aca="false">IF(M$46=$C$9,ABS($D$49)*$C$33,0)</f>
        <v>0</v>
      </c>
      <c r="N68" s="66" t="n">
        <f aca="false">IF(N$46=$C$9,ABS($D$49)*$C$33,0)</f>
        <v>0</v>
      </c>
      <c r="O68" s="66" t="n">
        <f aca="false">IF(O$46=$C$9,ABS($D$49)*$C$33,0)</f>
        <v>0</v>
      </c>
      <c r="P68" s="66" t="n">
        <f aca="false">IF(P$46=$C$9,ABS($D$49)*$C$33,0)</f>
        <v>0</v>
      </c>
      <c r="Q68" s="66" t="n">
        <f aca="false">IF(Q$46=$C$9,ABS($D$49)*$C$33,0)</f>
        <v>0</v>
      </c>
      <c r="R68" s="66" t="n">
        <f aca="false">IF(R$46=$C$9,ABS($D$49)*$C$33,0)</f>
        <v>0</v>
      </c>
      <c r="S68" s="66" t="n">
        <f aca="false">IF(S$46=$C$9,ABS($D$49)*$C$33,0)</f>
        <v>0</v>
      </c>
      <c r="T68" s="66" t="n">
        <f aca="false">IF(T$46=$C$9,ABS($D$49)*$C$33,0)</f>
        <v>0</v>
      </c>
      <c r="U68" s="66" t="n">
        <f aca="false">IF(U$46=$C$9,ABS($D$49)*$C$33,0)</f>
        <v>0</v>
      </c>
      <c r="V68" s="66" t="n">
        <f aca="false">IF(V$46=$C$9,ABS($D$49)*$C$33,0)</f>
        <v>0</v>
      </c>
      <c r="W68" s="66" t="n">
        <f aca="false">IF(W$46=$C$9,ABS($D$49)*$C$33,0)</f>
        <v>0</v>
      </c>
      <c r="X68" s="66" t="n">
        <f aca="false">IF(X$46=$C$9,ABS($D$49)*$C$33,0)</f>
        <v>0</v>
      </c>
      <c r="Y68" s="66" t="n">
        <f aca="false">IF(Y$46=$C$9,ABS($D$49)*$C$33,0)</f>
        <v>0</v>
      </c>
      <c r="Z68" s="66" t="n">
        <f aca="false">IF(Z$46=$C$9,ABS($D$49)*$C$33,0)</f>
        <v>0</v>
      </c>
      <c r="AA68" s="66" t="n">
        <f aca="false">IF(AA$46=$C$9,ABS($D$49)*$C$33,0)</f>
        <v>0</v>
      </c>
      <c r="AB68" s="66" t="n">
        <f aca="false">IF(AB$46=$C$9,ABS($D$49)*$C$33,0)</f>
        <v>0</v>
      </c>
      <c r="AC68" s="66" t="n">
        <f aca="false">IF(AC$46=$C$9,ABS($D$49)*$C$33,0)</f>
        <v>0</v>
      </c>
      <c r="AD68" s="66" t="n">
        <f aca="false">IF(AD$46=$C$9,ABS($D$49)*$C$33,0)</f>
        <v>0</v>
      </c>
      <c r="AE68" s="66" t="n">
        <f aca="false">IF(AE$46=$C$9,ABS($D$49)*$C$33,0)</f>
        <v>0</v>
      </c>
      <c r="AF68" s="66" t="n">
        <f aca="false">IF(AF$46=$C$9,ABS($D$49)*$C$33,0)</f>
        <v>0</v>
      </c>
      <c r="AG68" s="66" t="n">
        <f aca="false">IF(AG$46=$C$9,ABS($D$49)*$C$33,0)</f>
        <v>0</v>
      </c>
      <c r="AH68" s="66" t="n">
        <f aca="false">IF(AH$46=$C$9,ABS($D$49)*$C$33,0)</f>
        <v>0</v>
      </c>
      <c r="AI68" s="66" t="n">
        <f aca="false">IF(AI$46=$C$9,ABS($D$49)*$C$33,0)</f>
        <v>0</v>
      </c>
      <c r="AJ68" s="66" t="n">
        <f aca="false">IF(AJ$46=$C$9,ABS($D$49)*$C$33,0)</f>
        <v>0</v>
      </c>
      <c r="AK68" s="66" t="n">
        <f aca="false">IF(AK$46=$C$9,ABS($D$49)*$C$33,0)</f>
        <v>0</v>
      </c>
      <c r="AL68" s="66" t="n">
        <f aca="false">IF(AL$46=$C$9,ABS($D$49)*$C$33,0)</f>
        <v>0</v>
      </c>
      <c r="AM68" s="66" t="n">
        <f aca="false">IF(AM$46=$C$9,ABS($D$49)*$C$33,0)</f>
        <v>0</v>
      </c>
      <c r="AN68" s="66" t="n">
        <f aca="false">IF(AN$46=$C$9,ABS($D$49)*$C$33,0)</f>
        <v>0</v>
      </c>
      <c r="AO68" s="66" t="n">
        <f aca="false">IF(AO$46=$C$9,ABS($D$49)*$C$33,0)</f>
        <v>0</v>
      </c>
      <c r="AP68" s="66" t="n">
        <f aca="false">IF(AP$46=$C$9,ABS($D$49)*$C$33,0)</f>
        <v>0</v>
      </c>
      <c r="AQ68" s="66" t="n">
        <f aca="false">IF(AQ$46=$C$9,ABS($D$49)*$C$33,0)</f>
        <v>0</v>
      </c>
      <c r="AR68" s="66" t="n">
        <f aca="false">IF(AR$46=$C$9,ABS($D$49)*$C$33,0)</f>
        <v>0</v>
      </c>
      <c r="AS68" s="66" t="n">
        <f aca="false">IF(AS$46=$C$9,ABS($D$49)*$C$33,0)</f>
        <v>0</v>
      </c>
      <c r="AT68" s="66" t="n">
        <f aca="false">IF(AT$46=$C$9,ABS($D$49)*$C$33,0)</f>
        <v>0</v>
      </c>
      <c r="AU68" s="66" t="n">
        <f aca="false">IF(AU$46=$C$9,ABS($D$49)*$C$33,0)</f>
        <v>0</v>
      </c>
      <c r="AV68" s="66" t="n">
        <f aca="false">IF(AV$46=$C$9,ABS($D$49)*$C$33,0)</f>
        <v>0</v>
      </c>
      <c r="AW68" s="66" t="n">
        <f aca="false">IF(AW$46=$C$9,ABS($D$49)*$C$33,0)</f>
        <v>0</v>
      </c>
      <c r="AX68" s="66" t="n">
        <f aca="false">IF(AX$46=$C$9,ABS($D$49)*$C$33,0)</f>
        <v>0</v>
      </c>
      <c r="AY68" s="66" t="n">
        <f aca="false">IF(AY$46=$C$9,ABS($D$49)*$C$33,0)</f>
        <v>0</v>
      </c>
      <c r="AZ68" s="66" t="n">
        <f aca="false">IF(AZ$46=$C$9,ABS($D$49)*$C$33,0)</f>
        <v>0</v>
      </c>
      <c r="BA68" s="66" t="n">
        <f aca="false">IF(BA$46=$C$9,ABS($D$49)*$C$33,0)</f>
        <v>0</v>
      </c>
      <c r="BB68" s="66" t="n">
        <f aca="false">IF(BB$46=$C$9,ABS($D$49)*$C$33,0)</f>
        <v>0</v>
      </c>
    </row>
    <row r="69" customFormat="false" ht="15" hidden="false" customHeight="true" outlineLevel="0" collapsed="false">
      <c r="B69" s="20" t="s">
        <v>478</v>
      </c>
      <c r="C69" s="59" t="s">
        <v>11</v>
      </c>
      <c r="D69" s="63" t="n">
        <f aca="false">SUM(E69:BB69)</f>
        <v>0</v>
      </c>
      <c r="E69" s="63" t="n">
        <f aca="false">E64+E65+E66+E67+E68</f>
        <v>0</v>
      </c>
      <c r="F69" s="63" t="n">
        <f aca="false">F64+F65+F66+F67+F68</f>
        <v>0</v>
      </c>
      <c r="G69" s="63" t="n">
        <f aca="false">G64+G65+G66+G67+G68</f>
        <v>0</v>
      </c>
      <c r="H69" s="63" t="n">
        <f aca="false">H64+H65+H66+H67+H68</f>
        <v>0</v>
      </c>
      <c r="I69" s="63" t="n">
        <f aca="false">I64+I65+I66+I67+I68</f>
        <v>0</v>
      </c>
      <c r="J69" s="63" t="n">
        <f aca="false">J64+J65+J66+J67+J68</f>
        <v>0</v>
      </c>
      <c r="K69" s="63" t="n">
        <f aca="false">K64+K65+K66+K67+K68</f>
        <v>0</v>
      </c>
      <c r="L69" s="63" t="n">
        <f aca="false">L64+L65+L66+L67+L68</f>
        <v>0</v>
      </c>
      <c r="M69" s="63" t="n">
        <f aca="false">M64+M65+M66+M67+M68</f>
        <v>0</v>
      </c>
      <c r="N69" s="63" t="n">
        <f aca="false">N64+N65+N66+N67+N68</f>
        <v>0</v>
      </c>
      <c r="O69" s="63" t="n">
        <f aca="false">O64+O65+O66+O67+O68</f>
        <v>0</v>
      </c>
      <c r="P69" s="63" t="n">
        <f aca="false">P64+P65+P66+P67+P68</f>
        <v>0</v>
      </c>
      <c r="Q69" s="63" t="n">
        <f aca="false">Q64+Q65+Q66+Q67+Q68</f>
        <v>0</v>
      </c>
      <c r="R69" s="63" t="n">
        <f aca="false">R64+R65+R66+R67+R68</f>
        <v>0</v>
      </c>
      <c r="S69" s="63" t="n">
        <f aca="false">S64+S65+S66+S67+S68</f>
        <v>0</v>
      </c>
      <c r="T69" s="63" t="n">
        <f aca="false">T64+T65+T66+T67+T68</f>
        <v>0</v>
      </c>
      <c r="U69" s="63" t="n">
        <f aca="false">U64+U65+U66+U67+U68</f>
        <v>0</v>
      </c>
      <c r="V69" s="63" t="n">
        <f aca="false">V64+V65+V66+V67+V68</f>
        <v>0</v>
      </c>
      <c r="W69" s="63" t="n">
        <f aca="false">W64+W65+W66+W67+W68</f>
        <v>0</v>
      </c>
      <c r="X69" s="63" t="n">
        <f aca="false">X64+X65+X66+X67+X68</f>
        <v>0</v>
      </c>
      <c r="Y69" s="63" t="n">
        <f aca="false">Y64+Y65+Y66+Y67+Y68</f>
        <v>0</v>
      </c>
      <c r="Z69" s="63" t="n">
        <f aca="false">Z64+Z65+Z66+Z67+Z68</f>
        <v>0</v>
      </c>
      <c r="AA69" s="63" t="n">
        <f aca="false">AA64+AA65+AA66+AA67+AA68</f>
        <v>0</v>
      </c>
      <c r="AB69" s="63" t="n">
        <f aca="false">AB64+AB65+AB66+AB67+AB68</f>
        <v>0</v>
      </c>
      <c r="AC69" s="63" t="n">
        <f aca="false">AC64+AC65+AC66+AC67+AC68</f>
        <v>0</v>
      </c>
      <c r="AD69" s="63" t="n">
        <f aca="false">AD64+AD65+AD66+AD67+AD68</f>
        <v>0</v>
      </c>
      <c r="AE69" s="63" t="n">
        <f aca="false">AE64+AE65+AE66+AE67+AE68</f>
        <v>0</v>
      </c>
      <c r="AF69" s="63" t="n">
        <f aca="false">AF64+AF65+AF66+AF67+AF68</f>
        <v>0</v>
      </c>
      <c r="AG69" s="63" t="n">
        <f aca="false">AG64+AG65+AG66+AG67+AG68</f>
        <v>0</v>
      </c>
      <c r="AH69" s="63" t="n">
        <f aca="false">AH64+AH65+AH66+AH67+AH68</f>
        <v>0</v>
      </c>
      <c r="AI69" s="63" t="n">
        <f aca="false">AI64+AI65+AI66+AI67+AI68</f>
        <v>0</v>
      </c>
      <c r="AJ69" s="63" t="n">
        <f aca="false">AJ64+AJ65+AJ66+AJ67+AJ68</f>
        <v>0</v>
      </c>
      <c r="AK69" s="63" t="n">
        <f aca="false">AK64+AK65+AK66+AK67+AK68</f>
        <v>0</v>
      </c>
      <c r="AL69" s="63" t="n">
        <f aca="false">AL64+AL65+AL66+AL67+AL68</f>
        <v>0</v>
      </c>
      <c r="AM69" s="63" t="n">
        <f aca="false">AM64+AM65+AM66+AM67+AM68</f>
        <v>0</v>
      </c>
      <c r="AN69" s="63" t="n">
        <f aca="false">AN64+AN65+AN66+AN67+AN68</f>
        <v>0</v>
      </c>
      <c r="AO69" s="63" t="n">
        <f aca="false">AO64+AO65+AO66+AO67+AO68</f>
        <v>0</v>
      </c>
      <c r="AP69" s="63" t="n">
        <f aca="false">AP64+AP65+AP66+AP67+AP68</f>
        <v>0</v>
      </c>
      <c r="AQ69" s="63" t="n">
        <f aca="false">AQ64+AQ65+AQ66+AQ67+AQ68</f>
        <v>0</v>
      </c>
      <c r="AR69" s="63" t="n">
        <f aca="false">AR64+AR65+AR66+AR67+AR68</f>
        <v>0</v>
      </c>
      <c r="AS69" s="63" t="n">
        <f aca="false">AS64+AS65+AS66+AS67+AS68</f>
        <v>0</v>
      </c>
      <c r="AT69" s="63" t="n">
        <f aca="false">AT64+AT65+AT66+AT67+AT68</f>
        <v>0</v>
      </c>
      <c r="AU69" s="63" t="n">
        <f aca="false">AU64+AU65+AU66+AU67+AU68</f>
        <v>0</v>
      </c>
      <c r="AV69" s="63" t="n">
        <f aca="false">AV64+AV65+AV66+AV67+AV68</f>
        <v>0</v>
      </c>
      <c r="AW69" s="63" t="n">
        <f aca="false">AW64+AW65+AW66+AW67+AW68</f>
        <v>0</v>
      </c>
      <c r="AX69" s="63" t="n">
        <f aca="false">AX64+AX65+AX66+AX67+AX68</f>
        <v>0</v>
      </c>
      <c r="AY69" s="63" t="n">
        <f aca="false">AY64+AY65+AY66+AY67+AY68</f>
        <v>0</v>
      </c>
      <c r="AZ69" s="63" t="n">
        <f aca="false">AZ64+AZ65+AZ66+AZ67+AZ68</f>
        <v>0</v>
      </c>
      <c r="BA69" s="63" t="n">
        <f aca="false">BA64+BA65+BA66+BA67+BA68</f>
        <v>0</v>
      </c>
      <c r="BB69" s="63" t="n">
        <f aca="false">BB64+BB65+BB66+BB67+BB68</f>
        <v>0</v>
      </c>
    </row>
    <row r="70" customFormat="false" ht="15" hidden="false" customHeight="true" outlineLevel="0" collapsed="false">
      <c r="B70" s="59" t="s">
        <v>479</v>
      </c>
      <c r="C70" s="59" t="s">
        <v>11</v>
      </c>
      <c r="D70" s="66" t="n">
        <f aca="false">SUM(E70:BB70)</f>
        <v>0</v>
      </c>
      <c r="E70" s="66" t="n">
        <f aca="false">MAX(0,E69-MAX(0,IF(E$46&lt;=$C$41,E50,0)+E62+E51))</f>
        <v>0</v>
      </c>
      <c r="F70" s="66" t="n">
        <f aca="false">MAX(0,F69-MAX(0,IF(F$46&lt;=$C$41,F50,0)+F62+F51))</f>
        <v>0</v>
      </c>
      <c r="G70" s="66" t="n">
        <f aca="false">MAX(0,G69-MAX(0,IF(G$46&lt;=$C$41,G50,0)+G62+G51))</f>
        <v>0</v>
      </c>
      <c r="H70" s="66" t="n">
        <f aca="false">MAX(0,H69-MAX(0,IF(H$46&lt;=$C$41,H50,0)+H62+H51))</f>
        <v>0</v>
      </c>
      <c r="I70" s="66" t="n">
        <f aca="false">MAX(0,I69-MAX(0,IF(I$46&lt;=$C$41,I50,0)+I62+I51))</f>
        <v>0</v>
      </c>
      <c r="J70" s="66" t="n">
        <f aca="false">MAX(0,J69-MAX(0,IF(J$46&lt;=$C$41,J50,0)+J62+J51))</f>
        <v>0</v>
      </c>
      <c r="K70" s="66" t="n">
        <f aca="false">MAX(0,K69-MAX(0,IF(K$46&lt;=$C$41,K50,0)+K62+K51))</f>
        <v>0</v>
      </c>
      <c r="L70" s="66" t="n">
        <f aca="false">MAX(0,L69-MAX(0,IF(L$46&lt;=$C$41,L50,0)+L62+L51))</f>
        <v>0</v>
      </c>
      <c r="M70" s="66" t="n">
        <f aca="false">MAX(0,M69-MAX(0,IF(M$46&lt;=$C$41,M50,0)+M62+M51))</f>
        <v>0</v>
      </c>
      <c r="N70" s="66" t="n">
        <f aca="false">MAX(0,N69-MAX(0,IF(N$46&lt;=$C$41,N50,0)+N62+N51))</f>
        <v>0</v>
      </c>
      <c r="O70" s="66" t="n">
        <f aca="false">MAX(0,O69-MAX(0,IF(O$46&lt;=$C$41,O50,0)+O62+O51))</f>
        <v>0</v>
      </c>
      <c r="P70" s="66" t="n">
        <f aca="false">MAX(0,P69-MAX(0,IF(P$46&lt;=$C$41,P50,0)+P62+P51))</f>
        <v>0</v>
      </c>
      <c r="Q70" s="66" t="n">
        <f aca="false">MAX(0,Q69-MAX(0,IF(Q$46&lt;=$C$41,Q50,0)+Q62+Q51))</f>
        <v>0</v>
      </c>
      <c r="R70" s="66" t="n">
        <f aca="false">MAX(0,R69-MAX(0,IF(R$46&lt;=$C$41,R50,0)+R62+R51))</f>
        <v>0</v>
      </c>
      <c r="S70" s="66" t="n">
        <f aca="false">MAX(0,S69-MAX(0,IF(S$46&lt;=$C$41,S50,0)+S62+S51))</f>
        <v>0</v>
      </c>
      <c r="T70" s="66" t="n">
        <f aca="false">MAX(0,T69-MAX(0,IF(T$46&lt;=$C$41,T50,0)+T62+T51))</f>
        <v>0</v>
      </c>
      <c r="U70" s="66" t="n">
        <f aca="false">MAX(0,U69-MAX(0,IF(U$46&lt;=$C$41,U50,0)+U62+U51))</f>
        <v>0</v>
      </c>
      <c r="V70" s="66" t="n">
        <f aca="false">MAX(0,V69-MAX(0,IF(V$46&lt;=$C$41,V50,0)+V62+V51))</f>
        <v>0</v>
      </c>
      <c r="W70" s="66" t="n">
        <f aca="false">MAX(0,W69-MAX(0,IF(W$46&lt;=$C$41,W50,0)+W62+W51))</f>
        <v>0</v>
      </c>
      <c r="X70" s="66" t="n">
        <f aca="false">MAX(0,X69-MAX(0,IF(X$46&lt;=$C$41,X50,0)+X62+X51))</f>
        <v>0</v>
      </c>
      <c r="Y70" s="66" t="n">
        <f aca="false">MAX(0,Y69-MAX(0,IF(Y$46&lt;=$C$41,Y50,0)+Y62+Y51))</f>
        <v>0</v>
      </c>
      <c r="Z70" s="66" t="n">
        <f aca="false">MAX(0,Z69-MAX(0,IF(Z$46&lt;=$C$41,Z50,0)+Z62+Z51))</f>
        <v>0</v>
      </c>
      <c r="AA70" s="66" t="n">
        <f aca="false">MAX(0,AA69-MAX(0,IF(AA$46&lt;=$C$41,AA50,0)+AA62+AA51))</f>
        <v>0</v>
      </c>
      <c r="AB70" s="66" t="n">
        <f aca="false">MAX(0,AB69-MAX(0,IF(AB$46&lt;=$C$41,AB50,0)+AB62+AB51))</f>
        <v>0</v>
      </c>
      <c r="AC70" s="66" t="n">
        <f aca="false">MAX(0,AC69-MAX(0,IF(AC$46&lt;=$C$41,AC50,0)+AC62+AC51))</f>
        <v>0</v>
      </c>
      <c r="AD70" s="66" t="n">
        <f aca="false">MAX(0,AD69-MAX(0,IF(AD$46&lt;=$C$41,AD50,0)+AD62+AD51))</f>
        <v>0</v>
      </c>
      <c r="AE70" s="66" t="n">
        <f aca="false">MAX(0,AE69-MAX(0,IF(AE$46&lt;=$C$41,AE50,0)+AE62+AE51))</f>
        <v>0</v>
      </c>
      <c r="AF70" s="66" t="n">
        <f aca="false">MAX(0,AF69-MAX(0,IF(AF$46&lt;=$C$41,AF50,0)+AF62+AF51))</f>
        <v>0</v>
      </c>
      <c r="AG70" s="66" t="n">
        <f aca="false">MAX(0,AG69-MAX(0,IF(AG$46&lt;=$C$41,AG50,0)+AG62+AG51))</f>
        <v>0</v>
      </c>
      <c r="AH70" s="66" t="n">
        <f aca="false">MAX(0,AH69-MAX(0,IF(AH$46&lt;=$C$41,AH50,0)+AH62+AH51))</f>
        <v>0</v>
      </c>
      <c r="AI70" s="66" t="n">
        <f aca="false">MAX(0,AI69-MAX(0,IF(AI$46&lt;=$C$41,AI50,0)+AI62+AI51))</f>
        <v>0</v>
      </c>
      <c r="AJ70" s="66" t="n">
        <f aca="false">MAX(0,AJ69-MAX(0,IF(AJ$46&lt;=$C$41,AJ50,0)+AJ62+AJ51))</f>
        <v>0</v>
      </c>
      <c r="AK70" s="66" t="n">
        <f aca="false">MAX(0,AK69-MAX(0,IF(AK$46&lt;=$C$41,AK50,0)+AK62+AK51))</f>
        <v>0</v>
      </c>
      <c r="AL70" s="66" t="n">
        <f aca="false">MAX(0,AL69-MAX(0,IF(AL$46&lt;=$C$41,AL50,0)+AL62+AL51))</f>
        <v>0</v>
      </c>
      <c r="AM70" s="66" t="n">
        <f aca="false">MAX(0,AM69-MAX(0,IF(AM$46&lt;=$C$41,AM50,0)+AM62+AM51))</f>
        <v>0</v>
      </c>
      <c r="AN70" s="66" t="n">
        <f aca="false">MAX(0,AN69-MAX(0,IF(AN$46&lt;=$C$41,AN50,0)+AN62+AN51))</f>
        <v>0</v>
      </c>
      <c r="AO70" s="66" t="n">
        <f aca="false">MAX(0,AO69-MAX(0,IF(AO$46&lt;=$C$41,AO50,0)+AO62+AO51))</f>
        <v>0</v>
      </c>
      <c r="AP70" s="66" t="n">
        <f aca="false">MAX(0,AP69-MAX(0,IF(AP$46&lt;=$C$41,AP50,0)+AP62+AP51))</f>
        <v>0</v>
      </c>
      <c r="AQ70" s="66" t="n">
        <f aca="false">MAX(0,AQ69-MAX(0,IF(AQ$46&lt;=$C$41,AQ50,0)+AQ62+AQ51))</f>
        <v>0</v>
      </c>
      <c r="AR70" s="66" t="n">
        <f aca="false">MAX(0,AR69-MAX(0,IF(AR$46&lt;=$C$41,AR50,0)+AR62+AR51))</f>
        <v>0</v>
      </c>
      <c r="AS70" s="66" t="n">
        <f aca="false">MAX(0,AS69-MAX(0,IF(AS$46&lt;=$C$41,AS50,0)+AS62+AS51))</f>
        <v>0</v>
      </c>
      <c r="AT70" s="66" t="n">
        <f aca="false">MAX(0,AT69-MAX(0,IF(AT$46&lt;=$C$41,AT50,0)+AT62+AT51))</f>
        <v>0</v>
      </c>
      <c r="AU70" s="66" t="n">
        <f aca="false">MAX(0,AU69-MAX(0,IF(AU$46&lt;=$C$41,AU50,0)+AU62+AU51))</f>
        <v>0</v>
      </c>
      <c r="AV70" s="66" t="n">
        <f aca="false">MAX(0,AV69-MAX(0,IF(AV$46&lt;=$C$41,AV50,0)+AV62+AV51))</f>
        <v>0</v>
      </c>
      <c r="AW70" s="66" t="n">
        <f aca="false">MAX(0,AW69-MAX(0,IF(AW$46&lt;=$C$41,AW50,0)+AW62+AW51))</f>
        <v>0</v>
      </c>
      <c r="AX70" s="66" t="n">
        <f aca="false">MAX(0,AX69-MAX(0,IF(AX$46&lt;=$C$41,AX50,0)+AX62+AX51))</f>
        <v>0</v>
      </c>
      <c r="AY70" s="66" t="n">
        <f aca="false">MAX(0,AY69-MAX(0,IF(AY$46&lt;=$C$41,AY50,0)+AY62+AY51))</f>
        <v>0</v>
      </c>
      <c r="AZ70" s="66" t="n">
        <f aca="false">MAX(0,AZ69-MAX(0,IF(AZ$46&lt;=$C$41,AZ50,0)+AZ62+AZ51))</f>
        <v>0</v>
      </c>
      <c r="BA70" s="66" t="n">
        <f aca="false">MAX(0,BA69-MAX(0,IF(BA$46&lt;=$C$41,BA50,0)+BA62+BA51))</f>
        <v>0</v>
      </c>
      <c r="BB70" s="66" t="n">
        <f aca="false">MAX(0,BB69-MAX(0,IF(BB$46&lt;=$C$41,BB50,0)+BB62+BB51))</f>
        <v>0</v>
      </c>
    </row>
    <row r="71" customFormat="false" ht="15" hidden="false" customHeight="true" outlineLevel="0" collapsed="false">
      <c r="B71" s="59" t="s">
        <v>463</v>
      </c>
      <c r="C71" s="59" t="s">
        <v>11</v>
      </c>
      <c r="D71" s="63" t="n">
        <f aca="false">SUM(E71:BB71)</f>
        <v>0</v>
      </c>
      <c r="E71" s="66" t="n">
        <f aca="false">E51</f>
        <v>0</v>
      </c>
      <c r="F71" s="66" t="n">
        <f aca="false">F51</f>
        <v>0</v>
      </c>
      <c r="G71" s="66" t="n">
        <f aca="false">G51</f>
        <v>0</v>
      </c>
      <c r="H71" s="66" t="n">
        <f aca="false">H51</f>
        <v>0</v>
      </c>
      <c r="I71" s="66" t="n">
        <f aca="false">I51</f>
        <v>0</v>
      </c>
      <c r="J71" s="66" t="n">
        <f aca="false">J51</f>
        <v>0</v>
      </c>
      <c r="K71" s="66" t="n">
        <f aca="false">K51</f>
        <v>0</v>
      </c>
      <c r="L71" s="66" t="n">
        <f aca="false">L51</f>
        <v>0</v>
      </c>
      <c r="M71" s="66" t="n">
        <f aca="false">M51</f>
        <v>0</v>
      </c>
      <c r="N71" s="66" t="n">
        <f aca="false">N51</f>
        <v>0</v>
      </c>
      <c r="O71" s="66" t="n">
        <f aca="false">O51</f>
        <v>0</v>
      </c>
      <c r="P71" s="66" t="n">
        <f aca="false">P51</f>
        <v>0</v>
      </c>
      <c r="Q71" s="66" t="n">
        <f aca="false">Q51</f>
        <v>0</v>
      </c>
      <c r="R71" s="66" t="n">
        <f aca="false">R51</f>
        <v>0</v>
      </c>
      <c r="S71" s="66" t="n">
        <f aca="false">S51</f>
        <v>0</v>
      </c>
      <c r="T71" s="66" t="n">
        <f aca="false">T51</f>
        <v>0</v>
      </c>
      <c r="U71" s="66" t="n">
        <f aca="false">U51</f>
        <v>0</v>
      </c>
      <c r="V71" s="66" t="n">
        <f aca="false">V51</f>
        <v>0</v>
      </c>
      <c r="W71" s="66" t="n">
        <f aca="false">W51</f>
        <v>0</v>
      </c>
      <c r="X71" s="66" t="n">
        <f aca="false">X51</f>
        <v>0</v>
      </c>
      <c r="Y71" s="66" t="n">
        <f aca="false">Y51</f>
        <v>0</v>
      </c>
      <c r="Z71" s="66" t="n">
        <f aca="false">Z51</f>
        <v>0</v>
      </c>
      <c r="AA71" s="66" t="n">
        <f aca="false">AA51</f>
        <v>0</v>
      </c>
      <c r="AB71" s="66" t="n">
        <f aca="false">AB51</f>
        <v>0</v>
      </c>
      <c r="AC71" s="66" t="n">
        <f aca="false">AC51</f>
        <v>0</v>
      </c>
      <c r="AD71" s="66" t="n">
        <f aca="false">AD51</f>
        <v>0</v>
      </c>
      <c r="AE71" s="66" t="n">
        <f aca="false">AE51</f>
        <v>0</v>
      </c>
      <c r="AF71" s="66" t="n">
        <f aca="false">AF51</f>
        <v>0</v>
      </c>
      <c r="AG71" s="66" t="n">
        <f aca="false">AG51</f>
        <v>0</v>
      </c>
      <c r="AH71" s="66" t="n">
        <f aca="false">AH51</f>
        <v>0</v>
      </c>
      <c r="AI71" s="66" t="n">
        <f aca="false">AI51</f>
        <v>0</v>
      </c>
      <c r="AJ71" s="66" t="n">
        <f aca="false">AJ51</f>
        <v>0</v>
      </c>
      <c r="AK71" s="66" t="n">
        <f aca="false">AK51</f>
        <v>0</v>
      </c>
      <c r="AL71" s="66" t="n">
        <f aca="false">AL51</f>
        <v>0</v>
      </c>
      <c r="AM71" s="66" t="n">
        <f aca="false">AM51</f>
        <v>0</v>
      </c>
      <c r="AN71" s="66" t="n">
        <f aca="false">AN51</f>
        <v>0</v>
      </c>
      <c r="AO71" s="66" t="n">
        <f aca="false">AO51</f>
        <v>0</v>
      </c>
      <c r="AP71" s="66" t="n">
        <f aca="false">AP51</f>
        <v>0</v>
      </c>
      <c r="AQ71" s="66" t="n">
        <f aca="false">AQ51</f>
        <v>0</v>
      </c>
      <c r="AR71" s="66" t="n">
        <f aca="false">AR51</f>
        <v>0</v>
      </c>
      <c r="AS71" s="66" t="n">
        <f aca="false">AS51</f>
        <v>0</v>
      </c>
      <c r="AT71" s="66" t="n">
        <f aca="false">AT51</f>
        <v>0</v>
      </c>
      <c r="AU71" s="66" t="n">
        <f aca="false">AU51</f>
        <v>0</v>
      </c>
      <c r="AV71" s="66" t="n">
        <f aca="false">AV51</f>
        <v>0</v>
      </c>
      <c r="AW71" s="66" t="n">
        <f aca="false">AW51</f>
        <v>0</v>
      </c>
      <c r="AX71" s="66" t="n">
        <f aca="false">AX51</f>
        <v>0</v>
      </c>
      <c r="AY71" s="66" t="n">
        <f aca="false">AY51</f>
        <v>0</v>
      </c>
      <c r="AZ71" s="66" t="n">
        <f aca="false">AZ51</f>
        <v>0</v>
      </c>
      <c r="BA71" s="66" t="n">
        <f aca="false">BA51</f>
        <v>0</v>
      </c>
      <c r="BB71" s="66" t="n">
        <f aca="false">BB51</f>
        <v>0</v>
      </c>
    </row>
    <row r="73" customFormat="false" ht="15" hidden="false" customHeight="true" outlineLevel="0" collapsed="false">
      <c r="A73" s="58" t="s">
        <v>480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customFormat="false" ht="15" hidden="false" customHeight="true" outlineLevel="0" collapsed="false">
      <c r="C74" s="69" t="s">
        <v>262</v>
      </c>
      <c r="D74" s="69" t="s">
        <v>60</v>
      </c>
      <c r="E74" s="70" t="n">
        <f aca="false">E$46</f>
        <v>2026</v>
      </c>
      <c r="F74" s="70" t="n">
        <f aca="false">F$46</f>
        <v>2027</v>
      </c>
      <c r="G74" s="70" t="n">
        <f aca="false">G$46</f>
        <v>2028</v>
      </c>
      <c r="H74" s="70" t="n">
        <f aca="false">H$46</f>
        <v>2029</v>
      </c>
      <c r="I74" s="70" t="n">
        <f aca="false">I$46</f>
        <v>2030</v>
      </c>
      <c r="J74" s="70" t="n">
        <f aca="false">J$46</f>
        <v>2031</v>
      </c>
      <c r="K74" s="70" t="n">
        <f aca="false">K$46</f>
        <v>2032</v>
      </c>
      <c r="L74" s="70" t="n">
        <f aca="false">L$46</f>
        <v>2033</v>
      </c>
      <c r="M74" s="70" t="n">
        <f aca="false">M$46</f>
        <v>2034</v>
      </c>
      <c r="N74" s="70" t="n">
        <f aca="false">N$46</f>
        <v>2035</v>
      </c>
      <c r="O74" s="70" t="n">
        <f aca="false">O$46</f>
        <v>2036</v>
      </c>
      <c r="P74" s="70" t="n">
        <f aca="false">P$46</f>
        <v>2037</v>
      </c>
      <c r="Q74" s="70" t="n">
        <f aca="false">Q$46</f>
        <v>2038</v>
      </c>
      <c r="R74" s="70" t="n">
        <f aca="false">R$46</f>
        <v>2039</v>
      </c>
      <c r="S74" s="70" t="n">
        <f aca="false">S$46</f>
        <v>2040</v>
      </c>
      <c r="T74" s="70" t="n">
        <f aca="false">T$46</f>
        <v>2041</v>
      </c>
      <c r="U74" s="70" t="n">
        <f aca="false">U$46</f>
        <v>2042</v>
      </c>
      <c r="V74" s="70" t="n">
        <f aca="false">V$46</f>
        <v>2043</v>
      </c>
      <c r="W74" s="70" t="n">
        <f aca="false">W$46</f>
        <v>2044</v>
      </c>
      <c r="X74" s="70" t="n">
        <f aca="false">X$46</f>
        <v>2045</v>
      </c>
      <c r="Y74" s="70" t="n">
        <f aca="false">Y$46</f>
        <v>2046</v>
      </c>
      <c r="Z74" s="70" t="n">
        <f aca="false">Z$46</f>
        <v>2047</v>
      </c>
      <c r="AA74" s="70" t="n">
        <f aca="false">AA$46</f>
        <v>2048</v>
      </c>
      <c r="AB74" s="70" t="n">
        <f aca="false">AB$46</f>
        <v>2049</v>
      </c>
      <c r="AC74" s="70" t="n">
        <f aca="false">AC$46</f>
        <v>2050</v>
      </c>
      <c r="AD74" s="70" t="n">
        <f aca="false">AD$46</f>
        <v>2051</v>
      </c>
      <c r="AE74" s="70" t="n">
        <f aca="false">AE$46</f>
        <v>2052</v>
      </c>
      <c r="AF74" s="70" t="n">
        <f aca="false">AF$46</f>
        <v>2053</v>
      </c>
      <c r="AG74" s="70" t="n">
        <f aca="false">AG$46</f>
        <v>2054</v>
      </c>
      <c r="AH74" s="70" t="n">
        <f aca="false">AH$46</f>
        <v>2055</v>
      </c>
      <c r="AI74" s="70" t="n">
        <f aca="false">AI$46</f>
        <v>2056</v>
      </c>
      <c r="AJ74" s="70" t="n">
        <f aca="false">AJ$46</f>
        <v>2057</v>
      </c>
      <c r="AK74" s="70" t="n">
        <f aca="false">AK$46</f>
        <v>2058</v>
      </c>
      <c r="AL74" s="70" t="n">
        <f aca="false">AL$46</f>
        <v>2059</v>
      </c>
      <c r="AM74" s="70" t="n">
        <f aca="false">AM$46</f>
        <v>2060</v>
      </c>
      <c r="AN74" s="70" t="n">
        <f aca="false">AN$46</f>
        <v>2061</v>
      </c>
      <c r="AO74" s="70" t="n">
        <f aca="false">AO$46</f>
        <v>2062</v>
      </c>
      <c r="AP74" s="70" t="n">
        <f aca="false">AP$46</f>
        <v>2063</v>
      </c>
      <c r="AQ74" s="70" t="n">
        <f aca="false">AQ$46</f>
        <v>2064</v>
      </c>
      <c r="AR74" s="70" t="n">
        <f aca="false">AR$46</f>
        <v>2065</v>
      </c>
      <c r="AS74" s="70" t="n">
        <f aca="false">AS$46</f>
        <v>2066</v>
      </c>
      <c r="AT74" s="70" t="n">
        <f aca="false">AT$46</f>
        <v>2067</v>
      </c>
      <c r="AU74" s="70" t="n">
        <f aca="false">AU$46</f>
        <v>2068</v>
      </c>
      <c r="AV74" s="70" t="n">
        <f aca="false">AV$46</f>
        <v>2069</v>
      </c>
      <c r="AW74" s="70" t="n">
        <f aca="false">AW$46</f>
        <v>2070</v>
      </c>
      <c r="AX74" s="70" t="n">
        <f aca="false">AX$46</f>
        <v>2071</v>
      </c>
      <c r="AY74" s="70" t="n">
        <f aca="false">AY$46</f>
        <v>2072</v>
      </c>
      <c r="AZ74" s="70" t="n">
        <f aca="false">AZ$46</f>
        <v>2073</v>
      </c>
      <c r="BA74" s="70" t="n">
        <f aca="false">BA$46</f>
        <v>2074</v>
      </c>
      <c r="BB74" s="70" t="n">
        <f aca="false">BB$46</f>
        <v>2075</v>
      </c>
    </row>
    <row r="75" customFormat="false" ht="15" hidden="false" customHeight="true" outlineLevel="0" collapsed="false">
      <c r="B75" s="59" t="s">
        <v>481</v>
      </c>
      <c r="C75" s="59" t="s">
        <v>11</v>
      </c>
      <c r="D75" s="63" t="n">
        <f aca="false">SUM(E75:BB75)</f>
        <v>0</v>
      </c>
      <c r="E75" s="66" t="n">
        <f aca="false">MAX(0,IF(AND(E$46&gt;=$C$9,E$46&lt;=$C$41),E50,0)+E62-E69+E70+E51)</f>
        <v>0</v>
      </c>
      <c r="F75" s="66" t="n">
        <f aca="false">MAX(0,IF(AND(F$46&gt;=$C$9,F$46&lt;=$C$41),F50,0)+F62-F69+F70+F51)</f>
        <v>0</v>
      </c>
      <c r="G75" s="66" t="n">
        <f aca="false">MAX(0,IF(AND(G$46&gt;=$C$9,G$46&lt;=$C$41),G50,0)+G62-G69+G70+G51)</f>
        <v>0</v>
      </c>
      <c r="H75" s="66" t="n">
        <f aca="false">MAX(0,IF(AND(H$46&gt;=$C$9,H$46&lt;=$C$41),H50,0)+H62-H69+H70+H51)</f>
        <v>0</v>
      </c>
      <c r="I75" s="66" t="n">
        <f aca="false">MAX(0,IF(AND(I$46&gt;=$C$9,I$46&lt;=$C$41),I50,0)+I62-I69+I70+I51)</f>
        <v>0</v>
      </c>
      <c r="J75" s="66" t="n">
        <f aca="false">MAX(0,IF(AND(J$46&gt;=$C$9,J$46&lt;=$C$41),J50,0)+J62-J69+J70+J51)</f>
        <v>0</v>
      </c>
      <c r="K75" s="66" t="n">
        <f aca="false">MAX(0,IF(AND(K$46&gt;=$C$9,K$46&lt;=$C$41),K50,0)+K62-K69+K70+K51)</f>
        <v>0</v>
      </c>
      <c r="L75" s="66" t="n">
        <f aca="false">MAX(0,IF(AND(L$46&gt;=$C$9,L$46&lt;=$C$41),L50,0)+L62-L69+L70+L51)</f>
        <v>0</v>
      </c>
      <c r="M75" s="66" t="n">
        <f aca="false">MAX(0,IF(AND(M$46&gt;=$C$9,M$46&lt;=$C$41),M50,0)+M62-M69+M70+M51)</f>
        <v>0</v>
      </c>
      <c r="N75" s="66" t="n">
        <f aca="false">MAX(0,IF(AND(N$46&gt;=$C$9,N$46&lt;=$C$41),N50,0)+N62-N69+N70+N51)</f>
        <v>0</v>
      </c>
      <c r="O75" s="66" t="n">
        <f aca="false">MAX(0,IF(AND(O$46&gt;=$C$9,O$46&lt;=$C$41),O50,0)+O62-O69+O70+O51)</f>
        <v>0</v>
      </c>
      <c r="P75" s="66" t="n">
        <f aca="false">MAX(0,IF(AND(P$46&gt;=$C$9,P$46&lt;=$C$41),P50,0)+P62-P69+P70+P51)</f>
        <v>0</v>
      </c>
      <c r="Q75" s="66" t="n">
        <f aca="false">MAX(0,IF(AND(Q$46&gt;=$C$9,Q$46&lt;=$C$41),Q50,0)+Q62-Q69+Q70+Q51)</f>
        <v>0</v>
      </c>
      <c r="R75" s="66" t="n">
        <f aca="false">MAX(0,IF(AND(R$46&gt;=$C$9,R$46&lt;=$C$41),R50,0)+R62-R69+R70+R51)</f>
        <v>0</v>
      </c>
      <c r="S75" s="66" t="n">
        <f aca="false">MAX(0,IF(AND(S$46&gt;=$C$9,S$46&lt;=$C$41),S50,0)+S62-S69+S70+S51)</f>
        <v>0</v>
      </c>
      <c r="T75" s="66" t="n">
        <f aca="false">MAX(0,IF(AND(T$46&gt;=$C$9,T$46&lt;=$C$41),T50,0)+T62-T69+T70+T51)</f>
        <v>0</v>
      </c>
      <c r="U75" s="66" t="n">
        <f aca="false">MAX(0,IF(AND(U$46&gt;=$C$9,U$46&lt;=$C$41),U50,0)+U62-U69+U70+U51)</f>
        <v>0</v>
      </c>
      <c r="V75" s="66" t="n">
        <f aca="false">MAX(0,IF(AND(V$46&gt;=$C$9,V$46&lt;=$C$41),V50,0)+V62-V69+V70+V51)</f>
        <v>0</v>
      </c>
      <c r="W75" s="66" t="n">
        <f aca="false">MAX(0,IF(AND(W$46&gt;=$C$9,W$46&lt;=$C$41),W50,0)+W62-W69+W70+W51)</f>
        <v>0</v>
      </c>
      <c r="X75" s="66" t="n">
        <f aca="false">MAX(0,IF(AND(X$46&gt;=$C$9,X$46&lt;=$C$41),X50,0)+X62-X69+X70+X51)</f>
        <v>0</v>
      </c>
      <c r="Y75" s="66" t="n">
        <f aca="false">MAX(0,IF(AND(Y$46&gt;=$C$9,Y$46&lt;=$C$41),Y50,0)+Y62-Y69+Y70+Y51)</f>
        <v>0</v>
      </c>
      <c r="Z75" s="66" t="n">
        <f aca="false">MAX(0,IF(AND(Z$46&gt;=$C$9,Z$46&lt;=$C$41),Z50,0)+Z62-Z69+Z70+Z51)</f>
        <v>0</v>
      </c>
      <c r="AA75" s="66" t="n">
        <f aca="false">MAX(0,IF(AND(AA$46&gt;=$C$9,AA$46&lt;=$C$41),AA50,0)+AA62-AA69+AA70+AA51)</f>
        <v>0</v>
      </c>
      <c r="AB75" s="66" t="n">
        <f aca="false">MAX(0,IF(AND(AB$46&gt;=$C$9,AB$46&lt;=$C$41),AB50,0)+AB62-AB69+AB70+AB51)</f>
        <v>0</v>
      </c>
      <c r="AC75" s="66" t="n">
        <f aca="false">MAX(0,IF(AND(AC$46&gt;=$C$9,AC$46&lt;=$C$41),AC50,0)+AC62-AC69+AC70+AC51)</f>
        <v>0</v>
      </c>
      <c r="AD75" s="66" t="n">
        <f aca="false">MAX(0,IF(AND(AD$46&gt;=$C$9,AD$46&lt;=$C$41),AD50,0)+AD62-AD69+AD70+AD51)</f>
        <v>0</v>
      </c>
      <c r="AE75" s="66" t="n">
        <f aca="false">MAX(0,IF(AND(AE$46&gt;=$C$9,AE$46&lt;=$C$41),AE50,0)+AE62-AE69+AE70+AE51)</f>
        <v>0</v>
      </c>
      <c r="AF75" s="66" t="n">
        <f aca="false">MAX(0,IF(AND(AF$46&gt;=$C$9,AF$46&lt;=$C$41),AF50,0)+AF62-AF69+AF70+AF51)</f>
        <v>0</v>
      </c>
      <c r="AG75" s="66" t="n">
        <f aca="false">MAX(0,IF(AND(AG$46&gt;=$C$9,AG$46&lt;=$C$41),AG50,0)+AG62-AG69+AG70+AG51)</f>
        <v>0</v>
      </c>
      <c r="AH75" s="66" t="n">
        <f aca="false">MAX(0,IF(AND(AH$46&gt;=$C$9,AH$46&lt;=$C$41),AH50,0)+AH62-AH69+AH70+AH51)</f>
        <v>0</v>
      </c>
      <c r="AI75" s="66" t="n">
        <f aca="false">MAX(0,IF(AND(AI$46&gt;=$C$9,AI$46&lt;=$C$41),AI50,0)+AI62-AI69+AI70+AI51)</f>
        <v>0</v>
      </c>
      <c r="AJ75" s="66" t="n">
        <f aca="false">MAX(0,IF(AND(AJ$46&gt;=$C$9,AJ$46&lt;=$C$41),AJ50,0)+AJ62-AJ69+AJ70+AJ51)</f>
        <v>0</v>
      </c>
      <c r="AK75" s="66" t="n">
        <f aca="false">MAX(0,IF(AND(AK$46&gt;=$C$9,AK$46&lt;=$C$41),AK50,0)+AK62-AK69+AK70+AK51)</f>
        <v>0</v>
      </c>
      <c r="AL75" s="66" t="n">
        <f aca="false">MAX(0,IF(AND(AL$46&gt;=$C$9,AL$46&lt;=$C$41),AL50,0)+AL62-AL69+AL70+AL51)</f>
        <v>0</v>
      </c>
      <c r="AM75" s="66" t="n">
        <f aca="false">MAX(0,IF(AND(AM$46&gt;=$C$9,AM$46&lt;=$C$41),AM50,0)+AM62-AM69+AM70+AM51)</f>
        <v>0</v>
      </c>
      <c r="AN75" s="66" t="n">
        <f aca="false">MAX(0,IF(AND(AN$46&gt;=$C$9,AN$46&lt;=$C$41),AN50,0)+AN62-AN69+AN70+AN51)</f>
        <v>0</v>
      </c>
      <c r="AO75" s="66" t="n">
        <f aca="false">MAX(0,IF(AND(AO$46&gt;=$C$9,AO$46&lt;=$C$41),AO50,0)+AO62-AO69+AO70+AO51)</f>
        <v>0</v>
      </c>
      <c r="AP75" s="66" t="n">
        <f aca="false">MAX(0,IF(AND(AP$46&gt;=$C$9,AP$46&lt;=$C$41),AP50,0)+AP62-AP69+AP70+AP51)</f>
        <v>0</v>
      </c>
      <c r="AQ75" s="66" t="n">
        <f aca="false">MAX(0,IF(AND(AQ$46&gt;=$C$9,AQ$46&lt;=$C$41),AQ50,0)+AQ62-AQ69+AQ70+AQ51)</f>
        <v>0</v>
      </c>
      <c r="AR75" s="66" t="n">
        <f aca="false">MAX(0,IF(AND(AR$46&gt;=$C$9,AR$46&lt;=$C$41),AR50,0)+AR62-AR69+AR70+AR51)</f>
        <v>0</v>
      </c>
      <c r="AS75" s="66" t="n">
        <f aca="false">MAX(0,IF(AND(AS$46&gt;=$C$9,AS$46&lt;=$C$41),AS50,0)+AS62-AS69+AS70+AS51)</f>
        <v>0</v>
      </c>
      <c r="AT75" s="66" t="n">
        <f aca="false">MAX(0,IF(AND(AT$46&gt;=$C$9,AT$46&lt;=$C$41),AT50,0)+AT62-AT69+AT70+AT51)</f>
        <v>0</v>
      </c>
      <c r="AU75" s="66" t="n">
        <f aca="false">MAX(0,IF(AND(AU$46&gt;=$C$9,AU$46&lt;=$C$41),AU50,0)+AU62-AU69+AU70+AU51)</f>
        <v>0</v>
      </c>
      <c r="AV75" s="66" t="n">
        <f aca="false">MAX(0,IF(AND(AV$46&gt;=$C$9,AV$46&lt;=$C$41),AV50,0)+AV62-AV69+AV70+AV51)</f>
        <v>0</v>
      </c>
      <c r="AW75" s="66" t="n">
        <f aca="false">MAX(0,IF(AND(AW$46&gt;=$C$9,AW$46&lt;=$C$41),AW50,0)+AW62-AW69+AW70+AW51)</f>
        <v>0</v>
      </c>
      <c r="AX75" s="66" t="n">
        <f aca="false">MAX(0,IF(AND(AX$46&gt;=$C$9,AX$46&lt;=$C$41),AX50,0)+AX62-AX69+AX70+AX51)</f>
        <v>0</v>
      </c>
      <c r="AY75" s="66" t="n">
        <f aca="false">MAX(0,IF(AND(AY$46&gt;=$C$9,AY$46&lt;=$C$41),AY50,0)+AY62-AY69+AY70+AY51)</f>
        <v>0</v>
      </c>
      <c r="AZ75" s="66" t="n">
        <f aca="false">MAX(0,IF(AND(AZ$46&gt;=$C$9,AZ$46&lt;=$C$41),AZ50,0)+AZ62-AZ69+AZ70+AZ51)</f>
        <v>0</v>
      </c>
      <c r="BA75" s="66" t="n">
        <f aca="false">MAX(0,IF(AND(BA$46&gt;=$C$9,BA$46&lt;=$C$41),BA50,0)+BA62-BA69+BA70+BA51)</f>
        <v>0</v>
      </c>
      <c r="BB75" s="66" t="n">
        <f aca="false">MAX(0,IF(AND(BB$46&gt;=$C$9,BB$46&lt;=$C$41),BB50,0)+BB62-BB69+BB70+BB51)</f>
        <v>0</v>
      </c>
    </row>
    <row r="77" customFormat="false" ht="15" hidden="false" customHeight="true" outlineLevel="0" collapsed="false">
      <c r="B77" s="59" t="s">
        <v>482</v>
      </c>
      <c r="C77" s="59" t="s">
        <v>11</v>
      </c>
      <c r="E77" s="66" t="n">
        <f aca="false">E56</f>
        <v>0</v>
      </c>
      <c r="F77" s="66" t="n">
        <f aca="false">E79+F56</f>
        <v>0</v>
      </c>
      <c r="G77" s="66" t="n">
        <f aca="false">F79+G56</f>
        <v>0</v>
      </c>
      <c r="H77" s="66" t="n">
        <f aca="false">G79+H56</f>
        <v>0</v>
      </c>
      <c r="I77" s="66" t="n">
        <f aca="false">H79+I56</f>
        <v>0</v>
      </c>
      <c r="J77" s="66" t="n">
        <f aca="false">I79+J56</f>
        <v>0</v>
      </c>
      <c r="K77" s="66" t="n">
        <f aca="false">J79+K56</f>
        <v>0</v>
      </c>
      <c r="L77" s="66" t="n">
        <f aca="false">K79+L56</f>
        <v>0</v>
      </c>
      <c r="M77" s="66" t="n">
        <f aca="false">L79+M56</f>
        <v>0</v>
      </c>
      <c r="N77" s="66" t="n">
        <f aca="false">M79+N56</f>
        <v>0</v>
      </c>
      <c r="O77" s="66" t="n">
        <f aca="false">N79+O56</f>
        <v>0</v>
      </c>
      <c r="P77" s="66" t="n">
        <f aca="false">O79+P56</f>
        <v>0</v>
      </c>
      <c r="Q77" s="66" t="n">
        <f aca="false">P79+Q56</f>
        <v>0</v>
      </c>
      <c r="R77" s="66" t="n">
        <f aca="false">Q79+R56</f>
        <v>0</v>
      </c>
      <c r="S77" s="66" t="n">
        <f aca="false">R79+S56</f>
        <v>0</v>
      </c>
      <c r="T77" s="66" t="n">
        <f aca="false">S79+T56</f>
        <v>0</v>
      </c>
      <c r="U77" s="66" t="n">
        <f aca="false">T79+U56</f>
        <v>0</v>
      </c>
      <c r="V77" s="66" t="n">
        <f aca="false">U79+V56</f>
        <v>0</v>
      </c>
      <c r="W77" s="66" t="n">
        <f aca="false">V79+W56</f>
        <v>0</v>
      </c>
      <c r="X77" s="66" t="n">
        <f aca="false">W79+X56</f>
        <v>0</v>
      </c>
      <c r="Y77" s="66" t="n">
        <f aca="false">X79+Y56</f>
        <v>0</v>
      </c>
      <c r="Z77" s="66" t="n">
        <f aca="false">Y79+Z56</f>
        <v>0</v>
      </c>
      <c r="AA77" s="66" t="n">
        <f aca="false">Z79+AA56</f>
        <v>0</v>
      </c>
      <c r="AB77" s="66" t="n">
        <f aca="false">AA79+AB56</f>
        <v>0</v>
      </c>
      <c r="AC77" s="66" t="n">
        <f aca="false">AB79+AC56</f>
        <v>0</v>
      </c>
      <c r="AD77" s="66" t="n">
        <f aca="false">AC79+AD56</f>
        <v>0</v>
      </c>
      <c r="AE77" s="66" t="n">
        <f aca="false">AD79+AE56</f>
        <v>0</v>
      </c>
      <c r="AF77" s="66" t="n">
        <f aca="false">AE79+AF56</f>
        <v>0</v>
      </c>
      <c r="AG77" s="66" t="n">
        <f aca="false">AF79+AG56</f>
        <v>0</v>
      </c>
      <c r="AH77" s="66" t="n">
        <f aca="false">AG79+AH56</f>
        <v>0</v>
      </c>
      <c r="AI77" s="66" t="n">
        <f aca="false">AH79+AI56</f>
        <v>0</v>
      </c>
      <c r="AJ77" s="66" t="n">
        <f aca="false">AI79+AJ56</f>
        <v>0</v>
      </c>
      <c r="AK77" s="66" t="n">
        <f aca="false">AJ79+AK56</f>
        <v>0</v>
      </c>
      <c r="AL77" s="66" t="n">
        <f aca="false">AK79+AL56</f>
        <v>0</v>
      </c>
      <c r="AM77" s="66" t="n">
        <f aca="false">AL79+AM56</f>
        <v>0</v>
      </c>
      <c r="AN77" s="66" t="n">
        <f aca="false">AM79+AN56</f>
        <v>0</v>
      </c>
      <c r="AO77" s="66" t="n">
        <f aca="false">AN79+AO56</f>
        <v>0</v>
      </c>
      <c r="AP77" s="66" t="n">
        <f aca="false">AO79+AP56</f>
        <v>0</v>
      </c>
      <c r="AQ77" s="66" t="n">
        <f aca="false">AP79+AQ56</f>
        <v>0</v>
      </c>
      <c r="AR77" s="66" t="n">
        <f aca="false">AQ79+AR56</f>
        <v>0</v>
      </c>
      <c r="AS77" s="66" t="n">
        <f aca="false">AR79+AS56</f>
        <v>0</v>
      </c>
      <c r="AT77" s="66" t="n">
        <f aca="false">AS79+AT56</f>
        <v>0</v>
      </c>
      <c r="AU77" s="66" t="n">
        <f aca="false">AT79+AU56</f>
        <v>0</v>
      </c>
      <c r="AV77" s="66" t="n">
        <f aca="false">AU79+AV56</f>
        <v>0</v>
      </c>
      <c r="AW77" s="66" t="n">
        <f aca="false">AV79+AW56</f>
        <v>0</v>
      </c>
      <c r="AX77" s="66" t="n">
        <f aca="false">AW79+AX56</f>
        <v>0</v>
      </c>
      <c r="AY77" s="66" t="n">
        <f aca="false">AX79+AY56</f>
        <v>0</v>
      </c>
      <c r="AZ77" s="66" t="n">
        <f aca="false">AY79+AZ56</f>
        <v>0</v>
      </c>
      <c r="BA77" s="66" t="n">
        <f aca="false">AZ79+BA56</f>
        <v>0</v>
      </c>
      <c r="BB77" s="66" t="n">
        <f aca="false">BA79+BB56</f>
        <v>0</v>
      </c>
    </row>
    <row r="78" customFormat="false" ht="15" hidden="false" customHeight="true" outlineLevel="0" collapsed="false">
      <c r="B78" s="59" t="s">
        <v>483</v>
      </c>
      <c r="C78" s="59" t="s">
        <v>11</v>
      </c>
      <c r="D78" s="63" t="n">
        <f aca="false">SUM(E78:BB78)</f>
        <v>0</v>
      </c>
      <c r="E78" s="66" t="n">
        <f aca="false">MIN(E75,E77)</f>
        <v>0</v>
      </c>
      <c r="F78" s="66" t="n">
        <f aca="false">MIN(F75,F77)</f>
        <v>0</v>
      </c>
      <c r="G78" s="66" t="n">
        <f aca="false">MIN(G75,G77)</f>
        <v>0</v>
      </c>
      <c r="H78" s="66" t="n">
        <f aca="false">MIN(H75,H77)</f>
        <v>0</v>
      </c>
      <c r="I78" s="66" t="n">
        <f aca="false">MIN(I75,I77)</f>
        <v>0</v>
      </c>
      <c r="J78" s="66" t="n">
        <f aca="false">MIN(J75,J77)</f>
        <v>0</v>
      </c>
      <c r="K78" s="66" t="n">
        <f aca="false">MIN(K75,K77)</f>
        <v>0</v>
      </c>
      <c r="L78" s="66" t="n">
        <f aca="false">MIN(L75,L77)</f>
        <v>0</v>
      </c>
      <c r="M78" s="66" t="n">
        <f aca="false">MIN(M75,M77)</f>
        <v>0</v>
      </c>
      <c r="N78" s="66" t="n">
        <f aca="false">MIN(N75,N77)</f>
        <v>0</v>
      </c>
      <c r="O78" s="66" t="n">
        <f aca="false">MIN(O75,O77)</f>
        <v>0</v>
      </c>
      <c r="P78" s="66" t="n">
        <f aca="false">MIN(P75,P77)</f>
        <v>0</v>
      </c>
      <c r="Q78" s="66" t="n">
        <f aca="false">MIN(Q75,Q77)</f>
        <v>0</v>
      </c>
      <c r="R78" s="66" t="n">
        <f aca="false">MIN(R75,R77)</f>
        <v>0</v>
      </c>
      <c r="S78" s="66" t="n">
        <f aca="false">MIN(S75,S77)</f>
        <v>0</v>
      </c>
      <c r="T78" s="66" t="n">
        <f aca="false">MIN(T75,T77)</f>
        <v>0</v>
      </c>
      <c r="U78" s="66" t="n">
        <f aca="false">MIN(U75,U77)</f>
        <v>0</v>
      </c>
      <c r="V78" s="66" t="n">
        <f aca="false">MIN(V75,V77)</f>
        <v>0</v>
      </c>
      <c r="W78" s="66" t="n">
        <f aca="false">MIN(W75,W77)</f>
        <v>0</v>
      </c>
      <c r="X78" s="66" t="n">
        <f aca="false">MIN(X75,X77)</f>
        <v>0</v>
      </c>
      <c r="Y78" s="66" t="n">
        <f aca="false">MIN(Y75,Y77)</f>
        <v>0</v>
      </c>
      <c r="Z78" s="66" t="n">
        <f aca="false">MIN(Z75,Z77)</f>
        <v>0</v>
      </c>
      <c r="AA78" s="66" t="n">
        <f aca="false">MIN(AA75,AA77)</f>
        <v>0</v>
      </c>
      <c r="AB78" s="66" t="n">
        <f aca="false">MIN(AB75,AB77)</f>
        <v>0</v>
      </c>
      <c r="AC78" s="66" t="n">
        <f aca="false">MIN(AC75,AC77)</f>
        <v>0</v>
      </c>
      <c r="AD78" s="66" t="n">
        <f aca="false">MIN(AD75,AD77)</f>
        <v>0</v>
      </c>
      <c r="AE78" s="66" t="n">
        <f aca="false">MIN(AE75,AE77)</f>
        <v>0</v>
      </c>
      <c r="AF78" s="66" t="n">
        <f aca="false">MIN(AF75,AF77)</f>
        <v>0</v>
      </c>
      <c r="AG78" s="66" t="n">
        <f aca="false">MIN(AG75,AG77)</f>
        <v>0</v>
      </c>
      <c r="AH78" s="66" t="n">
        <f aca="false">MIN(AH75,AH77)</f>
        <v>0</v>
      </c>
      <c r="AI78" s="66" t="n">
        <f aca="false">MIN(AI75,AI77)</f>
        <v>0</v>
      </c>
      <c r="AJ78" s="66" t="n">
        <f aca="false">MIN(AJ75,AJ77)</f>
        <v>0</v>
      </c>
      <c r="AK78" s="66" t="n">
        <f aca="false">MIN(AK75,AK77)</f>
        <v>0</v>
      </c>
      <c r="AL78" s="66" t="n">
        <f aca="false">MIN(AL75,AL77)</f>
        <v>0</v>
      </c>
      <c r="AM78" s="66" t="n">
        <f aca="false">MIN(AM75,AM77)</f>
        <v>0</v>
      </c>
      <c r="AN78" s="66" t="n">
        <f aca="false">MIN(AN75,AN77)</f>
        <v>0</v>
      </c>
      <c r="AO78" s="66" t="n">
        <f aca="false">MIN(AO75,AO77)</f>
        <v>0</v>
      </c>
      <c r="AP78" s="66" t="n">
        <f aca="false">MIN(AP75,AP77)</f>
        <v>0</v>
      </c>
      <c r="AQ78" s="66" t="n">
        <f aca="false">MIN(AQ75,AQ77)</f>
        <v>0</v>
      </c>
      <c r="AR78" s="66" t="n">
        <f aca="false">MIN(AR75,AR77)</f>
        <v>0</v>
      </c>
      <c r="AS78" s="66" t="n">
        <f aca="false">MIN(AS75,AS77)</f>
        <v>0</v>
      </c>
      <c r="AT78" s="66" t="n">
        <f aca="false">MIN(AT75,AT77)</f>
        <v>0</v>
      </c>
      <c r="AU78" s="66" t="n">
        <f aca="false">MIN(AU75,AU77)</f>
        <v>0</v>
      </c>
      <c r="AV78" s="66" t="n">
        <f aca="false">MIN(AV75,AV77)</f>
        <v>0</v>
      </c>
      <c r="AW78" s="66" t="n">
        <f aca="false">MIN(AW75,AW77)</f>
        <v>0</v>
      </c>
      <c r="AX78" s="66" t="n">
        <f aca="false">MIN(AX75,AX77)</f>
        <v>0</v>
      </c>
      <c r="AY78" s="66" t="n">
        <f aca="false">MIN(AY75,AY77)</f>
        <v>0</v>
      </c>
      <c r="AZ78" s="66" t="n">
        <f aca="false">MIN(AZ75,AZ77)</f>
        <v>0</v>
      </c>
      <c r="BA78" s="66" t="n">
        <f aca="false">MIN(BA75,BA77)</f>
        <v>0</v>
      </c>
      <c r="BB78" s="66" t="n">
        <f aca="false">MIN(BB75,BB77)</f>
        <v>0</v>
      </c>
    </row>
    <row r="79" customFormat="false" ht="15" hidden="false" customHeight="true" outlineLevel="0" collapsed="false">
      <c r="B79" s="59" t="s">
        <v>484</v>
      </c>
      <c r="C79" s="59" t="s">
        <v>11</v>
      </c>
      <c r="E79" s="66" t="n">
        <f aca="false">E77-E78</f>
        <v>0</v>
      </c>
      <c r="F79" s="66" t="n">
        <f aca="false">F77-F78</f>
        <v>0</v>
      </c>
      <c r="G79" s="66" t="n">
        <f aca="false">G77-G78</f>
        <v>0</v>
      </c>
      <c r="H79" s="66" t="n">
        <f aca="false">H77-H78</f>
        <v>0</v>
      </c>
      <c r="I79" s="66" t="n">
        <f aca="false">I77-I78</f>
        <v>0</v>
      </c>
      <c r="J79" s="66" t="n">
        <f aca="false">J77-J78</f>
        <v>0</v>
      </c>
      <c r="K79" s="66" t="n">
        <f aca="false">K77-K78</f>
        <v>0</v>
      </c>
      <c r="L79" s="66" t="n">
        <f aca="false">L77-L78</f>
        <v>0</v>
      </c>
      <c r="M79" s="66" t="n">
        <f aca="false">M77-M78</f>
        <v>0</v>
      </c>
      <c r="N79" s="66" t="n">
        <f aca="false">N77-N78</f>
        <v>0</v>
      </c>
      <c r="O79" s="66" t="n">
        <f aca="false">O77-O78</f>
        <v>0</v>
      </c>
      <c r="P79" s="66" t="n">
        <f aca="false">P77-P78</f>
        <v>0</v>
      </c>
      <c r="Q79" s="66" t="n">
        <f aca="false">Q77-Q78</f>
        <v>0</v>
      </c>
      <c r="R79" s="66" t="n">
        <f aca="false">R77-R78</f>
        <v>0</v>
      </c>
      <c r="S79" s="66" t="n">
        <f aca="false">S77-S78</f>
        <v>0</v>
      </c>
      <c r="T79" s="66" t="n">
        <f aca="false">T77-T78</f>
        <v>0</v>
      </c>
      <c r="U79" s="66" t="n">
        <f aca="false">U77-U78</f>
        <v>0</v>
      </c>
      <c r="V79" s="66" t="n">
        <f aca="false">V77-V78</f>
        <v>0</v>
      </c>
      <c r="W79" s="66" t="n">
        <f aca="false">W77-W78</f>
        <v>0</v>
      </c>
      <c r="X79" s="66" t="n">
        <f aca="false">X77-X78</f>
        <v>0</v>
      </c>
      <c r="Y79" s="66" t="n">
        <f aca="false">Y77-Y78</f>
        <v>0</v>
      </c>
      <c r="Z79" s="66" t="n">
        <f aca="false">Z77-Z78</f>
        <v>0</v>
      </c>
      <c r="AA79" s="66" t="n">
        <f aca="false">AA77-AA78</f>
        <v>0</v>
      </c>
      <c r="AB79" s="66" t="n">
        <f aca="false">AB77-AB78</f>
        <v>0</v>
      </c>
      <c r="AC79" s="66" t="n">
        <f aca="false">AC77-AC78</f>
        <v>0</v>
      </c>
      <c r="AD79" s="66" t="n">
        <f aca="false">AD77-AD78</f>
        <v>0</v>
      </c>
      <c r="AE79" s="66" t="n">
        <f aca="false">AE77-AE78</f>
        <v>0</v>
      </c>
      <c r="AF79" s="66" t="n">
        <f aca="false">AF77-AF78</f>
        <v>0</v>
      </c>
      <c r="AG79" s="66" t="n">
        <f aca="false">AG77-AG78</f>
        <v>0</v>
      </c>
      <c r="AH79" s="66" t="n">
        <f aca="false">AH77-AH78</f>
        <v>0</v>
      </c>
      <c r="AI79" s="66" t="n">
        <f aca="false">AI77-AI78</f>
        <v>0</v>
      </c>
      <c r="AJ79" s="66" t="n">
        <f aca="false">AJ77-AJ78</f>
        <v>0</v>
      </c>
      <c r="AK79" s="66" t="n">
        <f aca="false">AK77-AK78</f>
        <v>0</v>
      </c>
      <c r="AL79" s="66" t="n">
        <f aca="false">AL77-AL78</f>
        <v>0</v>
      </c>
      <c r="AM79" s="66" t="n">
        <f aca="false">AM77-AM78</f>
        <v>0</v>
      </c>
      <c r="AN79" s="66" t="n">
        <f aca="false">AN77-AN78</f>
        <v>0</v>
      </c>
      <c r="AO79" s="66" t="n">
        <f aca="false">AO77-AO78</f>
        <v>0</v>
      </c>
      <c r="AP79" s="66" t="n">
        <f aca="false">AP77-AP78</f>
        <v>0</v>
      </c>
      <c r="AQ79" s="66" t="n">
        <f aca="false">AQ77-AQ78</f>
        <v>0</v>
      </c>
      <c r="AR79" s="66" t="n">
        <f aca="false">AR77-AR78</f>
        <v>0</v>
      </c>
      <c r="AS79" s="66" t="n">
        <f aca="false">AS77-AS78</f>
        <v>0</v>
      </c>
      <c r="AT79" s="66" t="n">
        <f aca="false">AT77-AT78</f>
        <v>0</v>
      </c>
      <c r="AU79" s="66" t="n">
        <f aca="false">AU77-AU78</f>
        <v>0</v>
      </c>
      <c r="AV79" s="66" t="n">
        <f aca="false">AV77-AV78</f>
        <v>0</v>
      </c>
      <c r="AW79" s="66" t="n">
        <f aca="false">AW77-AW78</f>
        <v>0</v>
      </c>
      <c r="AX79" s="66" t="n">
        <f aca="false">AX77-AX78</f>
        <v>0</v>
      </c>
      <c r="AY79" s="66" t="n">
        <f aca="false">AY77-AY78</f>
        <v>0</v>
      </c>
      <c r="AZ79" s="66" t="n">
        <f aca="false">AZ77-AZ78</f>
        <v>0</v>
      </c>
      <c r="BA79" s="66" t="n">
        <f aca="false">BA77-BA78</f>
        <v>0</v>
      </c>
      <c r="BB79" s="66" t="n">
        <f aca="false">BB77-BB78</f>
        <v>0</v>
      </c>
    </row>
    <row r="81" customFormat="false" ht="15" hidden="false" customHeight="true" outlineLevel="0" collapsed="false">
      <c r="B81" s="59" t="s">
        <v>485</v>
      </c>
      <c r="C81" s="59" t="s">
        <v>11</v>
      </c>
      <c r="D81" s="66" t="n">
        <f aca="false">SUM(E81:BB81)</f>
        <v>0</v>
      </c>
      <c r="E81" s="66" t="n">
        <f aca="false">E77*$C$36</f>
        <v>0</v>
      </c>
      <c r="F81" s="66" t="n">
        <f aca="false">F77*$C$36</f>
        <v>0</v>
      </c>
      <c r="G81" s="66" t="n">
        <f aca="false">G77*$C$36</f>
        <v>0</v>
      </c>
      <c r="H81" s="66" t="n">
        <f aca="false">H77*$C$36</f>
        <v>0</v>
      </c>
      <c r="I81" s="66" t="n">
        <f aca="false">I77*$C$36</f>
        <v>0</v>
      </c>
      <c r="J81" s="66" t="n">
        <f aca="false">J77*$C$36</f>
        <v>0</v>
      </c>
      <c r="K81" s="66" t="n">
        <f aca="false">K77*$C$36</f>
        <v>0</v>
      </c>
      <c r="L81" s="66" t="n">
        <f aca="false">L77*$C$36</f>
        <v>0</v>
      </c>
      <c r="M81" s="66" t="n">
        <f aca="false">M77*$C$36</f>
        <v>0</v>
      </c>
      <c r="N81" s="66" t="n">
        <f aca="false">N77*$C$36</f>
        <v>0</v>
      </c>
      <c r="O81" s="66" t="n">
        <f aca="false">O77*$C$36</f>
        <v>0</v>
      </c>
      <c r="P81" s="66" t="n">
        <f aca="false">P77*$C$36</f>
        <v>0</v>
      </c>
      <c r="Q81" s="66" t="n">
        <f aca="false">Q77*$C$36</f>
        <v>0</v>
      </c>
      <c r="R81" s="66" t="n">
        <f aca="false">R77*$C$36</f>
        <v>0</v>
      </c>
      <c r="S81" s="66" t="n">
        <f aca="false">S77*$C$36</f>
        <v>0</v>
      </c>
      <c r="T81" s="66" t="n">
        <f aca="false">T77*$C$36</f>
        <v>0</v>
      </c>
      <c r="U81" s="66" t="n">
        <f aca="false">U77*$C$36</f>
        <v>0</v>
      </c>
      <c r="V81" s="66" t="n">
        <f aca="false">V77*$C$36</f>
        <v>0</v>
      </c>
      <c r="W81" s="66" t="n">
        <f aca="false">W77*$C$36</f>
        <v>0</v>
      </c>
      <c r="X81" s="66" t="n">
        <f aca="false">X77*$C$36</f>
        <v>0</v>
      </c>
      <c r="Y81" s="66" t="n">
        <f aca="false">Y77*$C$36</f>
        <v>0</v>
      </c>
      <c r="Z81" s="66" t="n">
        <f aca="false">Z77*$C$36</f>
        <v>0</v>
      </c>
      <c r="AA81" s="66" t="n">
        <f aca="false">AA77*$C$36</f>
        <v>0</v>
      </c>
      <c r="AB81" s="66" t="n">
        <f aca="false">AB77*$C$36</f>
        <v>0</v>
      </c>
      <c r="AC81" s="66" t="n">
        <f aca="false">AC77*$C$36</f>
        <v>0</v>
      </c>
      <c r="AD81" s="66" t="n">
        <f aca="false">AD77*$C$36</f>
        <v>0</v>
      </c>
      <c r="AE81" s="66" t="n">
        <f aca="false">AE77*$C$36</f>
        <v>0</v>
      </c>
      <c r="AF81" s="66" t="n">
        <f aca="false">AF77*$C$36</f>
        <v>0</v>
      </c>
      <c r="AG81" s="66" t="n">
        <f aca="false">AG77*$C$36</f>
        <v>0</v>
      </c>
      <c r="AH81" s="66" t="n">
        <f aca="false">AH77*$C$36</f>
        <v>0</v>
      </c>
      <c r="AI81" s="66" t="n">
        <f aca="false">AI77*$C$36</f>
        <v>0</v>
      </c>
      <c r="AJ81" s="66" t="n">
        <f aca="false">AJ77*$C$36</f>
        <v>0</v>
      </c>
      <c r="AK81" s="66" t="n">
        <f aca="false">AK77*$C$36</f>
        <v>0</v>
      </c>
      <c r="AL81" s="66" t="n">
        <f aca="false">AL77*$C$36</f>
        <v>0</v>
      </c>
      <c r="AM81" s="66" t="n">
        <f aca="false">AM77*$C$36</f>
        <v>0</v>
      </c>
      <c r="AN81" s="66" t="n">
        <f aca="false">AN77*$C$36</f>
        <v>0</v>
      </c>
      <c r="AO81" s="66" t="n">
        <f aca="false">AO77*$C$36</f>
        <v>0</v>
      </c>
      <c r="AP81" s="66" t="n">
        <f aca="false">AP77*$C$36</f>
        <v>0</v>
      </c>
      <c r="AQ81" s="66" t="n">
        <f aca="false">AQ77*$C$36</f>
        <v>0</v>
      </c>
      <c r="AR81" s="66" t="n">
        <f aca="false">AR77*$C$36</f>
        <v>0</v>
      </c>
      <c r="AS81" s="66" t="n">
        <f aca="false">AS77*$C$36</f>
        <v>0</v>
      </c>
      <c r="AT81" s="66" t="n">
        <f aca="false">AT77*$C$36</f>
        <v>0</v>
      </c>
      <c r="AU81" s="66" t="n">
        <f aca="false">AU77*$C$36</f>
        <v>0</v>
      </c>
      <c r="AV81" s="66" t="n">
        <f aca="false">AV77*$C$36</f>
        <v>0</v>
      </c>
      <c r="AW81" s="66" t="n">
        <f aca="false">AW77*$C$36</f>
        <v>0</v>
      </c>
      <c r="AX81" s="66" t="n">
        <f aca="false">AX77*$C$36</f>
        <v>0</v>
      </c>
      <c r="AY81" s="66" t="n">
        <f aca="false">AY77*$C$36</f>
        <v>0</v>
      </c>
      <c r="AZ81" s="66" t="n">
        <f aca="false">AZ77*$C$36</f>
        <v>0</v>
      </c>
      <c r="BA81" s="66" t="n">
        <f aca="false">BA77*$C$36</f>
        <v>0</v>
      </c>
      <c r="BB81" s="66" t="n">
        <f aca="false">BB77*$C$36</f>
        <v>0</v>
      </c>
    </row>
    <row r="82" customFormat="false" ht="15" hidden="false" customHeight="true" outlineLevel="0" collapsed="false">
      <c r="B82" s="59" t="s">
        <v>486</v>
      </c>
      <c r="C82" s="59" t="s">
        <v>11</v>
      </c>
      <c r="E82" s="66" t="n">
        <f aca="false">0</f>
        <v>0</v>
      </c>
      <c r="F82" s="66" t="n">
        <f aca="false">E85</f>
        <v>0</v>
      </c>
      <c r="G82" s="66" t="n">
        <f aca="false">F85</f>
        <v>0</v>
      </c>
      <c r="H82" s="66" t="n">
        <f aca="false">G85</f>
        <v>0</v>
      </c>
      <c r="I82" s="66" t="n">
        <f aca="false">H85</f>
        <v>0</v>
      </c>
      <c r="J82" s="66" t="n">
        <f aca="false">I85</f>
        <v>0</v>
      </c>
      <c r="K82" s="66" t="n">
        <f aca="false">J85</f>
        <v>0</v>
      </c>
      <c r="L82" s="66" t="n">
        <f aca="false">K85</f>
        <v>0</v>
      </c>
      <c r="M82" s="66" t="n">
        <f aca="false">L85</f>
        <v>0</v>
      </c>
      <c r="N82" s="66" t="n">
        <f aca="false">M85</f>
        <v>0</v>
      </c>
      <c r="O82" s="66" t="n">
        <f aca="false">N85</f>
        <v>0</v>
      </c>
      <c r="P82" s="66" t="n">
        <f aca="false">O85</f>
        <v>0</v>
      </c>
      <c r="Q82" s="66" t="n">
        <f aca="false">P85</f>
        <v>0</v>
      </c>
      <c r="R82" s="66" t="n">
        <f aca="false">Q85</f>
        <v>0</v>
      </c>
      <c r="S82" s="66" t="n">
        <f aca="false">R85</f>
        <v>0</v>
      </c>
      <c r="T82" s="66" t="n">
        <f aca="false">S85</f>
        <v>0</v>
      </c>
      <c r="U82" s="66" t="n">
        <f aca="false">T85</f>
        <v>0</v>
      </c>
      <c r="V82" s="66" t="n">
        <f aca="false">U85</f>
        <v>0</v>
      </c>
      <c r="W82" s="66" t="n">
        <f aca="false">V85</f>
        <v>0</v>
      </c>
      <c r="X82" s="66" t="n">
        <f aca="false">W85</f>
        <v>0</v>
      </c>
      <c r="Y82" s="66" t="n">
        <f aca="false">X85</f>
        <v>0</v>
      </c>
      <c r="Z82" s="66" t="n">
        <f aca="false">Y85</f>
        <v>0</v>
      </c>
      <c r="AA82" s="66" t="n">
        <f aca="false">Z85</f>
        <v>0</v>
      </c>
      <c r="AB82" s="66" t="n">
        <f aca="false">AA85</f>
        <v>0</v>
      </c>
      <c r="AC82" s="66" t="n">
        <f aca="false">AB85</f>
        <v>0</v>
      </c>
      <c r="AD82" s="66" t="n">
        <f aca="false">AC85</f>
        <v>0</v>
      </c>
      <c r="AE82" s="66" t="n">
        <f aca="false">AD85</f>
        <v>0</v>
      </c>
      <c r="AF82" s="66" t="n">
        <f aca="false">AE85</f>
        <v>0</v>
      </c>
      <c r="AG82" s="66" t="n">
        <f aca="false">AF85</f>
        <v>0</v>
      </c>
      <c r="AH82" s="66" t="n">
        <f aca="false">AG85</f>
        <v>0</v>
      </c>
      <c r="AI82" s="66" t="n">
        <f aca="false">AH85</f>
        <v>0</v>
      </c>
      <c r="AJ82" s="66" t="n">
        <f aca="false">AI85</f>
        <v>0</v>
      </c>
      <c r="AK82" s="66" t="n">
        <f aca="false">AJ85</f>
        <v>0</v>
      </c>
      <c r="AL82" s="66" t="n">
        <f aca="false">AK85</f>
        <v>0</v>
      </c>
      <c r="AM82" s="66" t="n">
        <f aca="false">AL85</f>
        <v>0</v>
      </c>
      <c r="AN82" s="66" t="n">
        <f aca="false">AM85</f>
        <v>0</v>
      </c>
      <c r="AO82" s="66" t="n">
        <f aca="false">AN85</f>
        <v>0</v>
      </c>
      <c r="AP82" s="66" t="n">
        <f aca="false">AO85</f>
        <v>0</v>
      </c>
      <c r="AQ82" s="66" t="n">
        <f aca="false">AP85</f>
        <v>0</v>
      </c>
      <c r="AR82" s="66" t="n">
        <f aca="false">AQ85</f>
        <v>0</v>
      </c>
      <c r="AS82" s="66" t="n">
        <f aca="false">AR85</f>
        <v>0</v>
      </c>
      <c r="AT82" s="66" t="n">
        <f aca="false">AS85</f>
        <v>0</v>
      </c>
      <c r="AU82" s="66" t="n">
        <f aca="false">AT85</f>
        <v>0</v>
      </c>
      <c r="AV82" s="66" t="n">
        <f aca="false">AU85</f>
        <v>0</v>
      </c>
      <c r="AW82" s="66" t="n">
        <f aca="false">AV85</f>
        <v>0</v>
      </c>
      <c r="AX82" s="66" t="n">
        <f aca="false">AW85</f>
        <v>0</v>
      </c>
      <c r="AY82" s="66" t="n">
        <f aca="false">AX85</f>
        <v>0</v>
      </c>
      <c r="AZ82" s="66" t="n">
        <f aca="false">AY85</f>
        <v>0</v>
      </c>
      <c r="BA82" s="66" t="n">
        <f aca="false">AZ85</f>
        <v>0</v>
      </c>
      <c r="BB82" s="66" t="n">
        <f aca="false">BA85</f>
        <v>0</v>
      </c>
    </row>
    <row r="83" customFormat="false" ht="15" hidden="false" customHeight="true" outlineLevel="0" collapsed="false">
      <c r="B83" s="59" t="s">
        <v>487</v>
      </c>
      <c r="C83" s="59" t="s">
        <v>11</v>
      </c>
      <c r="E83" s="66" t="n">
        <f aca="false">E81+E82</f>
        <v>0</v>
      </c>
      <c r="F83" s="66" t="n">
        <f aca="false">F81+F82</f>
        <v>0</v>
      </c>
      <c r="G83" s="66" t="n">
        <f aca="false">G81+G82</f>
        <v>0</v>
      </c>
      <c r="H83" s="66" t="n">
        <f aca="false">H81+H82</f>
        <v>0</v>
      </c>
      <c r="I83" s="66" t="n">
        <f aca="false">I81+I82</f>
        <v>0</v>
      </c>
      <c r="J83" s="66" t="n">
        <f aca="false">J81+J82</f>
        <v>0</v>
      </c>
      <c r="K83" s="66" t="n">
        <f aca="false">K81+K82</f>
        <v>0</v>
      </c>
      <c r="L83" s="66" t="n">
        <f aca="false">L81+L82</f>
        <v>0</v>
      </c>
      <c r="M83" s="66" t="n">
        <f aca="false">M81+M82</f>
        <v>0</v>
      </c>
      <c r="N83" s="66" t="n">
        <f aca="false">N81+N82</f>
        <v>0</v>
      </c>
      <c r="O83" s="66" t="n">
        <f aca="false">O81+O82</f>
        <v>0</v>
      </c>
      <c r="P83" s="66" t="n">
        <f aca="false">P81+P82</f>
        <v>0</v>
      </c>
      <c r="Q83" s="66" t="n">
        <f aca="false">Q81+Q82</f>
        <v>0</v>
      </c>
      <c r="R83" s="66" t="n">
        <f aca="false">R81+R82</f>
        <v>0</v>
      </c>
      <c r="S83" s="66" t="n">
        <f aca="false">S81+S82</f>
        <v>0</v>
      </c>
      <c r="T83" s="66" t="n">
        <f aca="false">T81+T82</f>
        <v>0</v>
      </c>
      <c r="U83" s="66" t="n">
        <f aca="false">U81+U82</f>
        <v>0</v>
      </c>
      <c r="V83" s="66" t="n">
        <f aca="false">V81+V82</f>
        <v>0</v>
      </c>
      <c r="W83" s="66" t="n">
        <f aca="false">W81+W82</f>
        <v>0</v>
      </c>
      <c r="X83" s="66" t="n">
        <f aca="false">X81+X82</f>
        <v>0</v>
      </c>
      <c r="Y83" s="66" t="n">
        <f aca="false">Y81+Y82</f>
        <v>0</v>
      </c>
      <c r="Z83" s="66" t="n">
        <f aca="false">Z81+Z82</f>
        <v>0</v>
      </c>
      <c r="AA83" s="66" t="n">
        <f aca="false">AA81+AA82</f>
        <v>0</v>
      </c>
      <c r="AB83" s="66" t="n">
        <f aca="false">AB81+AB82</f>
        <v>0</v>
      </c>
      <c r="AC83" s="66" t="n">
        <f aca="false">AC81+AC82</f>
        <v>0</v>
      </c>
      <c r="AD83" s="66" t="n">
        <f aca="false">AD81+AD82</f>
        <v>0</v>
      </c>
      <c r="AE83" s="66" t="n">
        <f aca="false">AE81+AE82</f>
        <v>0</v>
      </c>
      <c r="AF83" s="66" t="n">
        <f aca="false">AF81+AF82</f>
        <v>0</v>
      </c>
      <c r="AG83" s="66" t="n">
        <f aca="false">AG81+AG82</f>
        <v>0</v>
      </c>
      <c r="AH83" s="66" t="n">
        <f aca="false">AH81+AH82</f>
        <v>0</v>
      </c>
      <c r="AI83" s="66" t="n">
        <f aca="false">AI81+AI82</f>
        <v>0</v>
      </c>
      <c r="AJ83" s="66" t="n">
        <f aca="false">AJ81+AJ82</f>
        <v>0</v>
      </c>
      <c r="AK83" s="66" t="n">
        <f aca="false">AK81+AK82</f>
        <v>0</v>
      </c>
      <c r="AL83" s="66" t="n">
        <f aca="false">AL81+AL82</f>
        <v>0</v>
      </c>
      <c r="AM83" s="66" t="n">
        <f aca="false">AM81+AM82</f>
        <v>0</v>
      </c>
      <c r="AN83" s="66" t="n">
        <f aca="false">AN81+AN82</f>
        <v>0</v>
      </c>
      <c r="AO83" s="66" t="n">
        <f aca="false">AO81+AO82</f>
        <v>0</v>
      </c>
      <c r="AP83" s="66" t="n">
        <f aca="false">AP81+AP82</f>
        <v>0</v>
      </c>
      <c r="AQ83" s="66" t="n">
        <f aca="false">AQ81+AQ82</f>
        <v>0</v>
      </c>
      <c r="AR83" s="66" t="n">
        <f aca="false">AR81+AR82</f>
        <v>0</v>
      </c>
      <c r="AS83" s="66" t="n">
        <f aca="false">AS81+AS82</f>
        <v>0</v>
      </c>
      <c r="AT83" s="66" t="n">
        <f aca="false">AT81+AT82</f>
        <v>0</v>
      </c>
      <c r="AU83" s="66" t="n">
        <f aca="false">AU81+AU82</f>
        <v>0</v>
      </c>
      <c r="AV83" s="66" t="n">
        <f aca="false">AV81+AV82</f>
        <v>0</v>
      </c>
      <c r="AW83" s="66" t="n">
        <f aca="false">AW81+AW82</f>
        <v>0</v>
      </c>
      <c r="AX83" s="66" t="n">
        <f aca="false">AX81+AX82</f>
        <v>0</v>
      </c>
      <c r="AY83" s="66" t="n">
        <f aca="false">AY81+AY82</f>
        <v>0</v>
      </c>
      <c r="AZ83" s="66" t="n">
        <f aca="false">AZ81+AZ82</f>
        <v>0</v>
      </c>
      <c r="BA83" s="66" t="n">
        <f aca="false">BA81+BA82</f>
        <v>0</v>
      </c>
      <c r="BB83" s="66" t="n">
        <f aca="false">BB81+BB82</f>
        <v>0</v>
      </c>
    </row>
    <row r="84" customFormat="false" ht="15" hidden="false" customHeight="true" outlineLevel="0" collapsed="false">
      <c r="B84" s="59" t="s">
        <v>488</v>
      </c>
      <c r="C84" s="59" t="s">
        <v>11</v>
      </c>
      <c r="D84" s="63" t="n">
        <f aca="false">SUM(E84:BB84)</f>
        <v>0</v>
      </c>
      <c r="E84" s="66" t="n">
        <f aca="false">MIN(MAX(0,E75-E78),E83)</f>
        <v>0</v>
      </c>
      <c r="F84" s="66" t="n">
        <f aca="false">MIN(MAX(0,F75-F78),F83)</f>
        <v>0</v>
      </c>
      <c r="G84" s="66" t="n">
        <f aca="false">MIN(MAX(0,G75-G78),G83)</f>
        <v>0</v>
      </c>
      <c r="H84" s="66" t="n">
        <f aca="false">MIN(MAX(0,H75-H78),H83)</f>
        <v>0</v>
      </c>
      <c r="I84" s="66" t="n">
        <f aca="false">MIN(MAX(0,I75-I78),I83)</f>
        <v>0</v>
      </c>
      <c r="J84" s="66" t="n">
        <f aca="false">MIN(MAX(0,J75-J78),J83)</f>
        <v>0</v>
      </c>
      <c r="K84" s="66" t="n">
        <f aca="false">MIN(MAX(0,K75-K78),K83)</f>
        <v>0</v>
      </c>
      <c r="L84" s="66" t="n">
        <f aca="false">MIN(MAX(0,L75-L78),L83)</f>
        <v>0</v>
      </c>
      <c r="M84" s="66" t="n">
        <f aca="false">MIN(MAX(0,M75-M78),M83)</f>
        <v>0</v>
      </c>
      <c r="N84" s="66" t="n">
        <f aca="false">MIN(MAX(0,N75-N78),N83)</f>
        <v>0</v>
      </c>
      <c r="O84" s="66" t="n">
        <f aca="false">MIN(MAX(0,O75-O78),O83)</f>
        <v>0</v>
      </c>
      <c r="P84" s="66" t="n">
        <f aca="false">MIN(MAX(0,P75-P78),P83)</f>
        <v>0</v>
      </c>
      <c r="Q84" s="66" t="n">
        <f aca="false">MIN(MAX(0,Q75-Q78),Q83)</f>
        <v>0</v>
      </c>
      <c r="R84" s="66" t="n">
        <f aca="false">MIN(MAX(0,R75-R78),R83)</f>
        <v>0</v>
      </c>
      <c r="S84" s="66" t="n">
        <f aca="false">MIN(MAX(0,S75-S78),S83)</f>
        <v>0</v>
      </c>
      <c r="T84" s="66" t="n">
        <f aca="false">MIN(MAX(0,T75-T78),T83)</f>
        <v>0</v>
      </c>
      <c r="U84" s="66" t="n">
        <f aca="false">MIN(MAX(0,U75-U78),U83)</f>
        <v>0</v>
      </c>
      <c r="V84" s="66" t="n">
        <f aca="false">MIN(MAX(0,V75-V78),V83)</f>
        <v>0</v>
      </c>
      <c r="W84" s="66" t="n">
        <f aca="false">MIN(MAX(0,W75-W78),W83)</f>
        <v>0</v>
      </c>
      <c r="X84" s="66" t="n">
        <f aca="false">MIN(MAX(0,X75-X78),X83)</f>
        <v>0</v>
      </c>
      <c r="Y84" s="66" t="n">
        <f aca="false">MIN(MAX(0,Y75-Y78),Y83)</f>
        <v>0</v>
      </c>
      <c r="Z84" s="66" t="n">
        <f aca="false">MIN(MAX(0,Z75-Z78),Z83)</f>
        <v>0</v>
      </c>
      <c r="AA84" s="66" t="n">
        <f aca="false">MIN(MAX(0,AA75-AA78),AA83)</f>
        <v>0</v>
      </c>
      <c r="AB84" s="66" t="n">
        <f aca="false">MIN(MAX(0,AB75-AB78),AB83)</f>
        <v>0</v>
      </c>
      <c r="AC84" s="66" t="n">
        <f aca="false">MIN(MAX(0,AC75-AC78),AC83)</f>
        <v>0</v>
      </c>
      <c r="AD84" s="66" t="n">
        <f aca="false">MIN(MAX(0,AD75-AD78),AD83)</f>
        <v>0</v>
      </c>
      <c r="AE84" s="66" t="n">
        <f aca="false">MIN(MAX(0,AE75-AE78),AE83)</f>
        <v>0</v>
      </c>
      <c r="AF84" s="66" t="n">
        <f aca="false">MIN(MAX(0,AF75-AF78),AF83)</f>
        <v>0</v>
      </c>
      <c r="AG84" s="66" t="n">
        <f aca="false">MIN(MAX(0,AG75-AG78),AG83)</f>
        <v>0</v>
      </c>
      <c r="AH84" s="66" t="n">
        <f aca="false">MIN(MAX(0,AH75-AH78),AH83)</f>
        <v>0</v>
      </c>
      <c r="AI84" s="66" t="n">
        <f aca="false">MIN(MAX(0,AI75-AI78),AI83)</f>
        <v>0</v>
      </c>
      <c r="AJ84" s="66" t="n">
        <f aca="false">MIN(MAX(0,AJ75-AJ78),AJ83)</f>
        <v>0</v>
      </c>
      <c r="AK84" s="66" t="n">
        <f aca="false">MIN(MAX(0,AK75-AK78),AK83)</f>
        <v>0</v>
      </c>
      <c r="AL84" s="66" t="n">
        <f aca="false">MIN(MAX(0,AL75-AL78),AL83)</f>
        <v>0</v>
      </c>
      <c r="AM84" s="66" t="n">
        <f aca="false">MIN(MAX(0,AM75-AM78),AM83)</f>
        <v>0</v>
      </c>
      <c r="AN84" s="66" t="n">
        <f aca="false">MIN(MAX(0,AN75-AN78),AN83)</f>
        <v>0</v>
      </c>
      <c r="AO84" s="66" t="n">
        <f aca="false">MIN(MAX(0,AO75-AO78),AO83)</f>
        <v>0</v>
      </c>
      <c r="AP84" s="66" t="n">
        <f aca="false">MIN(MAX(0,AP75-AP78),AP83)</f>
        <v>0</v>
      </c>
      <c r="AQ84" s="66" t="n">
        <f aca="false">MIN(MAX(0,AQ75-AQ78),AQ83)</f>
        <v>0</v>
      </c>
      <c r="AR84" s="66" t="n">
        <f aca="false">MIN(MAX(0,AR75-AR78),AR83)</f>
        <v>0</v>
      </c>
      <c r="AS84" s="66" t="n">
        <f aca="false">MIN(MAX(0,AS75-AS78),AS83)</f>
        <v>0</v>
      </c>
      <c r="AT84" s="66" t="n">
        <f aca="false">MIN(MAX(0,AT75-AT78),AT83)</f>
        <v>0</v>
      </c>
      <c r="AU84" s="66" t="n">
        <f aca="false">MIN(MAX(0,AU75-AU78),AU83)</f>
        <v>0</v>
      </c>
      <c r="AV84" s="66" t="n">
        <f aca="false">MIN(MAX(0,AV75-AV78),AV83)</f>
        <v>0</v>
      </c>
      <c r="AW84" s="66" t="n">
        <f aca="false">MIN(MAX(0,AW75-AW78),AW83)</f>
        <v>0</v>
      </c>
      <c r="AX84" s="66" t="n">
        <f aca="false">MIN(MAX(0,AX75-AX78),AX83)</f>
        <v>0</v>
      </c>
      <c r="AY84" s="66" t="n">
        <f aca="false">MIN(MAX(0,AY75-AY78),AY83)</f>
        <v>0</v>
      </c>
      <c r="AZ84" s="66" t="n">
        <f aca="false">MIN(MAX(0,AZ75-AZ78),AZ83)</f>
        <v>0</v>
      </c>
      <c r="BA84" s="66" t="n">
        <f aca="false">MIN(MAX(0,BA75-BA78),BA83)</f>
        <v>0</v>
      </c>
      <c r="BB84" s="66" t="n">
        <f aca="false">MIN(MAX(0,BB75-BB78),BB83)</f>
        <v>0</v>
      </c>
    </row>
    <row r="85" customFormat="false" ht="15" hidden="false" customHeight="true" outlineLevel="0" collapsed="false">
      <c r="B85" s="59" t="s">
        <v>489</v>
      </c>
      <c r="C85" s="59" t="s">
        <v>11</v>
      </c>
      <c r="E85" s="66" t="n">
        <f aca="false">E83-E84</f>
        <v>0</v>
      </c>
      <c r="F85" s="66" t="n">
        <f aca="false">F83-F84</f>
        <v>0</v>
      </c>
      <c r="G85" s="66" t="n">
        <f aca="false">G83-G84</f>
        <v>0</v>
      </c>
      <c r="H85" s="66" t="n">
        <f aca="false">H83-H84</f>
        <v>0</v>
      </c>
      <c r="I85" s="66" t="n">
        <f aca="false">I83-I84</f>
        <v>0</v>
      </c>
      <c r="J85" s="66" t="n">
        <f aca="false">J83-J84</f>
        <v>0</v>
      </c>
      <c r="K85" s="66" t="n">
        <f aca="false">K83-K84</f>
        <v>0</v>
      </c>
      <c r="L85" s="66" t="n">
        <f aca="false">L83-L84</f>
        <v>0</v>
      </c>
      <c r="M85" s="66" t="n">
        <f aca="false">M83-M84</f>
        <v>0</v>
      </c>
      <c r="N85" s="66" t="n">
        <f aca="false">N83-N84</f>
        <v>0</v>
      </c>
      <c r="O85" s="66" t="n">
        <f aca="false">O83-O84</f>
        <v>0</v>
      </c>
      <c r="P85" s="66" t="n">
        <f aca="false">P83-P84</f>
        <v>0</v>
      </c>
      <c r="Q85" s="66" t="n">
        <f aca="false">Q83-Q84</f>
        <v>0</v>
      </c>
      <c r="R85" s="66" t="n">
        <f aca="false">R83-R84</f>
        <v>0</v>
      </c>
      <c r="S85" s="66" t="n">
        <f aca="false">S83-S84</f>
        <v>0</v>
      </c>
      <c r="T85" s="66" t="n">
        <f aca="false">T83-T84</f>
        <v>0</v>
      </c>
      <c r="U85" s="66" t="n">
        <f aca="false">U83-U84</f>
        <v>0</v>
      </c>
      <c r="V85" s="66" t="n">
        <f aca="false">V83-V84</f>
        <v>0</v>
      </c>
      <c r="W85" s="66" t="n">
        <f aca="false">W83-W84</f>
        <v>0</v>
      </c>
      <c r="X85" s="66" t="n">
        <f aca="false">X83-X84</f>
        <v>0</v>
      </c>
      <c r="Y85" s="66" t="n">
        <f aca="false">Y83-Y84</f>
        <v>0</v>
      </c>
      <c r="Z85" s="66" t="n">
        <f aca="false">Z83-Z84</f>
        <v>0</v>
      </c>
      <c r="AA85" s="66" t="n">
        <f aca="false">AA83-AA84</f>
        <v>0</v>
      </c>
      <c r="AB85" s="66" t="n">
        <f aca="false">AB83-AB84</f>
        <v>0</v>
      </c>
      <c r="AC85" s="66" t="n">
        <f aca="false">AC83-AC84</f>
        <v>0</v>
      </c>
      <c r="AD85" s="66" t="n">
        <f aca="false">AD83-AD84</f>
        <v>0</v>
      </c>
      <c r="AE85" s="66" t="n">
        <f aca="false">AE83-AE84</f>
        <v>0</v>
      </c>
      <c r="AF85" s="66" t="n">
        <f aca="false">AF83-AF84</f>
        <v>0</v>
      </c>
      <c r="AG85" s="66" t="n">
        <f aca="false">AG83-AG84</f>
        <v>0</v>
      </c>
      <c r="AH85" s="66" t="n">
        <f aca="false">AH83-AH84</f>
        <v>0</v>
      </c>
      <c r="AI85" s="66" t="n">
        <f aca="false">AI83-AI84</f>
        <v>0</v>
      </c>
      <c r="AJ85" s="66" t="n">
        <f aca="false">AJ83-AJ84</f>
        <v>0</v>
      </c>
      <c r="AK85" s="66" t="n">
        <f aca="false">AK83-AK84</f>
        <v>0</v>
      </c>
      <c r="AL85" s="66" t="n">
        <f aca="false">AL83-AL84</f>
        <v>0</v>
      </c>
      <c r="AM85" s="66" t="n">
        <f aca="false">AM83-AM84</f>
        <v>0</v>
      </c>
      <c r="AN85" s="66" t="n">
        <f aca="false">AN83-AN84</f>
        <v>0</v>
      </c>
      <c r="AO85" s="66" t="n">
        <f aca="false">AO83-AO84</f>
        <v>0</v>
      </c>
      <c r="AP85" s="66" t="n">
        <f aca="false">AP83-AP84</f>
        <v>0</v>
      </c>
      <c r="AQ85" s="66" t="n">
        <f aca="false">AQ83-AQ84</f>
        <v>0</v>
      </c>
      <c r="AR85" s="66" t="n">
        <f aca="false">AR83-AR84</f>
        <v>0</v>
      </c>
      <c r="AS85" s="66" t="n">
        <f aca="false">AS83-AS84</f>
        <v>0</v>
      </c>
      <c r="AT85" s="66" t="n">
        <f aca="false">AT83-AT84</f>
        <v>0</v>
      </c>
      <c r="AU85" s="66" t="n">
        <f aca="false">AU83-AU84</f>
        <v>0</v>
      </c>
      <c r="AV85" s="66" t="n">
        <f aca="false">AV83-AV84</f>
        <v>0</v>
      </c>
      <c r="AW85" s="66" t="n">
        <f aca="false">AW83-AW84</f>
        <v>0</v>
      </c>
      <c r="AX85" s="66" t="n">
        <f aca="false">AX83-AX84</f>
        <v>0</v>
      </c>
      <c r="AY85" s="66" t="n">
        <f aca="false">AY83-AY84</f>
        <v>0</v>
      </c>
      <c r="AZ85" s="66" t="n">
        <f aca="false">AZ83-AZ84</f>
        <v>0</v>
      </c>
      <c r="BA85" s="66" t="n">
        <f aca="false">BA83-BA84</f>
        <v>0</v>
      </c>
      <c r="BB85" s="66" t="n">
        <f aca="false">BB83-BB84</f>
        <v>0</v>
      </c>
    </row>
    <row r="87" customFormat="false" ht="15" hidden="false" customHeight="true" outlineLevel="0" collapsed="false">
      <c r="B87" s="59" t="s">
        <v>490</v>
      </c>
      <c r="C87" s="59" t="s">
        <v>11</v>
      </c>
      <c r="E87" s="66" t="n">
        <f aca="false">MAX(0,E75-E78-E84)</f>
        <v>0</v>
      </c>
      <c r="F87" s="66" t="n">
        <f aca="false">MAX(0,F75-F78-F84)</f>
        <v>0</v>
      </c>
      <c r="G87" s="66" t="n">
        <f aca="false">MAX(0,G75-G78-G84)</f>
        <v>0</v>
      </c>
      <c r="H87" s="66" t="n">
        <f aca="false">MAX(0,H75-H78-H84)</f>
        <v>0</v>
      </c>
      <c r="I87" s="66" t="n">
        <f aca="false">MAX(0,I75-I78-I84)</f>
        <v>0</v>
      </c>
      <c r="J87" s="66" t="n">
        <f aca="false">MAX(0,J75-J78-J84)</f>
        <v>0</v>
      </c>
      <c r="K87" s="66" t="n">
        <f aca="false">MAX(0,K75-K78-K84)</f>
        <v>0</v>
      </c>
      <c r="L87" s="66" t="n">
        <f aca="false">MAX(0,L75-L78-L84)</f>
        <v>0</v>
      </c>
      <c r="M87" s="66" t="n">
        <f aca="false">MAX(0,M75-M78-M84)</f>
        <v>0</v>
      </c>
      <c r="N87" s="66" t="n">
        <f aca="false">MAX(0,N75-N78-N84)</f>
        <v>0</v>
      </c>
      <c r="O87" s="66" t="n">
        <f aca="false">MAX(0,O75-O78-O84)</f>
        <v>0</v>
      </c>
      <c r="P87" s="66" t="n">
        <f aca="false">MAX(0,P75-P78-P84)</f>
        <v>0</v>
      </c>
      <c r="Q87" s="66" t="n">
        <f aca="false">MAX(0,Q75-Q78-Q84)</f>
        <v>0</v>
      </c>
      <c r="R87" s="66" t="n">
        <f aca="false">MAX(0,R75-R78-R84)</f>
        <v>0</v>
      </c>
      <c r="S87" s="66" t="n">
        <f aca="false">MAX(0,S75-S78-S84)</f>
        <v>0</v>
      </c>
      <c r="T87" s="66" t="n">
        <f aca="false">MAX(0,T75-T78-T84)</f>
        <v>0</v>
      </c>
      <c r="U87" s="66" t="n">
        <f aca="false">MAX(0,U75-U78-U84)</f>
        <v>0</v>
      </c>
      <c r="V87" s="66" t="n">
        <f aca="false">MAX(0,V75-V78-V84)</f>
        <v>0</v>
      </c>
      <c r="W87" s="66" t="n">
        <f aca="false">MAX(0,W75-W78-W84)</f>
        <v>0</v>
      </c>
      <c r="X87" s="66" t="n">
        <f aca="false">MAX(0,X75-X78-X84)</f>
        <v>0</v>
      </c>
      <c r="Y87" s="66" t="n">
        <f aca="false">MAX(0,Y75-Y78-Y84)</f>
        <v>0</v>
      </c>
      <c r="Z87" s="66" t="n">
        <f aca="false">MAX(0,Z75-Z78-Z84)</f>
        <v>0</v>
      </c>
      <c r="AA87" s="66" t="n">
        <f aca="false">MAX(0,AA75-AA78-AA84)</f>
        <v>0</v>
      </c>
      <c r="AB87" s="66" t="n">
        <f aca="false">MAX(0,AB75-AB78-AB84)</f>
        <v>0</v>
      </c>
      <c r="AC87" s="66" t="n">
        <f aca="false">MAX(0,AC75-AC78-AC84)</f>
        <v>0</v>
      </c>
      <c r="AD87" s="66" t="n">
        <f aca="false">MAX(0,AD75-AD78-AD84)</f>
        <v>0</v>
      </c>
      <c r="AE87" s="66" t="n">
        <f aca="false">MAX(0,AE75-AE78-AE84)</f>
        <v>0</v>
      </c>
      <c r="AF87" s="66" t="n">
        <f aca="false">MAX(0,AF75-AF78-AF84)</f>
        <v>0</v>
      </c>
      <c r="AG87" s="66" t="n">
        <f aca="false">MAX(0,AG75-AG78-AG84)</f>
        <v>0</v>
      </c>
      <c r="AH87" s="66" t="n">
        <f aca="false">MAX(0,AH75-AH78-AH84)</f>
        <v>0</v>
      </c>
      <c r="AI87" s="66" t="n">
        <f aca="false">MAX(0,AI75-AI78-AI84)</f>
        <v>0</v>
      </c>
      <c r="AJ87" s="66" t="n">
        <f aca="false">MAX(0,AJ75-AJ78-AJ84)</f>
        <v>0</v>
      </c>
      <c r="AK87" s="66" t="n">
        <f aca="false">MAX(0,AK75-AK78-AK84)</f>
        <v>0</v>
      </c>
      <c r="AL87" s="66" t="n">
        <f aca="false">MAX(0,AL75-AL78-AL84)</f>
        <v>0</v>
      </c>
      <c r="AM87" s="66" t="n">
        <f aca="false">MAX(0,AM75-AM78-AM84)</f>
        <v>0</v>
      </c>
      <c r="AN87" s="66" t="n">
        <f aca="false">MAX(0,AN75-AN78-AN84)</f>
        <v>0</v>
      </c>
      <c r="AO87" s="66" t="n">
        <f aca="false">MAX(0,AO75-AO78-AO84)</f>
        <v>0</v>
      </c>
      <c r="AP87" s="66" t="n">
        <f aca="false">MAX(0,AP75-AP78-AP84)</f>
        <v>0</v>
      </c>
      <c r="AQ87" s="66" t="n">
        <f aca="false">MAX(0,AQ75-AQ78-AQ84)</f>
        <v>0</v>
      </c>
      <c r="AR87" s="66" t="n">
        <f aca="false">MAX(0,AR75-AR78-AR84)</f>
        <v>0</v>
      </c>
      <c r="AS87" s="66" t="n">
        <f aca="false">MAX(0,AS75-AS78-AS84)</f>
        <v>0</v>
      </c>
      <c r="AT87" s="66" t="n">
        <f aca="false">MAX(0,AT75-AT78-AT84)</f>
        <v>0</v>
      </c>
      <c r="AU87" s="66" t="n">
        <f aca="false">MAX(0,AU75-AU78-AU84)</f>
        <v>0</v>
      </c>
      <c r="AV87" s="66" t="n">
        <f aca="false">MAX(0,AV75-AV78-AV84)</f>
        <v>0</v>
      </c>
      <c r="AW87" s="66" t="n">
        <f aca="false">MAX(0,AW75-AW78-AW84)</f>
        <v>0</v>
      </c>
      <c r="AX87" s="66" t="n">
        <f aca="false">MAX(0,AX75-AX78-AX84)</f>
        <v>0</v>
      </c>
      <c r="AY87" s="66" t="n">
        <f aca="false">MAX(0,AY75-AY78-AY84)</f>
        <v>0</v>
      </c>
      <c r="AZ87" s="66" t="n">
        <f aca="false">MAX(0,AZ75-AZ78-AZ84)</f>
        <v>0</v>
      </c>
      <c r="BA87" s="66" t="n">
        <f aca="false">MAX(0,BA75-BA78-BA84)</f>
        <v>0</v>
      </c>
      <c r="BB87" s="66" t="n">
        <f aca="false">MAX(0,BB75-BB78-BB84)</f>
        <v>0</v>
      </c>
    </row>
    <row r="88" customFormat="false" ht="15" hidden="false" customHeight="true" outlineLevel="0" collapsed="false">
      <c r="B88" s="59" t="s">
        <v>491</v>
      </c>
      <c r="C88" s="59" t="s">
        <v>11</v>
      </c>
      <c r="D88" s="63" t="n">
        <f aca="false">SUM(E88:BB88)</f>
        <v>0</v>
      </c>
      <c r="E88" s="66" t="n">
        <f aca="false">IF($C$37="Y",MIN(E87,E84*$C$38/(1-$C$38)),0)</f>
        <v>0</v>
      </c>
      <c r="F88" s="66" t="n">
        <f aca="false">IF($C$37="Y",MIN(F87,F84*$C$38/(1-$C$38)),0)</f>
        <v>0</v>
      </c>
      <c r="G88" s="66" t="n">
        <f aca="false">IF($C$37="Y",MIN(G87,G84*$C$38/(1-$C$38)),0)</f>
        <v>0</v>
      </c>
      <c r="H88" s="66" t="n">
        <f aca="false">IF($C$37="Y",MIN(H87,H84*$C$38/(1-$C$38)),0)</f>
        <v>0</v>
      </c>
      <c r="I88" s="66" t="n">
        <f aca="false">IF($C$37="Y",MIN(I87,I84*$C$38/(1-$C$38)),0)</f>
        <v>0</v>
      </c>
      <c r="J88" s="66" t="n">
        <f aca="false">IF($C$37="Y",MIN(J87,J84*$C$38/(1-$C$38)),0)</f>
        <v>0</v>
      </c>
      <c r="K88" s="66" t="n">
        <f aca="false">IF($C$37="Y",MIN(K87,K84*$C$38/(1-$C$38)),0)</f>
        <v>0</v>
      </c>
      <c r="L88" s="66" t="n">
        <f aca="false">IF($C$37="Y",MIN(L87,L84*$C$38/(1-$C$38)),0)</f>
        <v>0</v>
      </c>
      <c r="M88" s="66" t="n">
        <f aca="false">IF($C$37="Y",MIN(M87,M84*$C$38/(1-$C$38)),0)</f>
        <v>0</v>
      </c>
      <c r="N88" s="66" t="n">
        <f aca="false">IF($C$37="Y",MIN(N87,N84*$C$38/(1-$C$38)),0)</f>
        <v>0</v>
      </c>
      <c r="O88" s="66" t="n">
        <f aca="false">IF($C$37="Y",MIN(O87,O84*$C$38/(1-$C$38)),0)</f>
        <v>0</v>
      </c>
      <c r="P88" s="66" t="n">
        <f aca="false">IF($C$37="Y",MIN(P87,P84*$C$38/(1-$C$38)),0)</f>
        <v>0</v>
      </c>
      <c r="Q88" s="66" t="n">
        <f aca="false">IF($C$37="Y",MIN(Q87,Q84*$C$38/(1-$C$38)),0)</f>
        <v>0</v>
      </c>
      <c r="R88" s="66" t="n">
        <f aca="false">IF($C$37="Y",MIN(R87,R84*$C$38/(1-$C$38)),0)</f>
        <v>0</v>
      </c>
      <c r="S88" s="66" t="n">
        <f aca="false">IF($C$37="Y",MIN(S87,S84*$C$38/(1-$C$38)),0)</f>
        <v>0</v>
      </c>
      <c r="T88" s="66" t="n">
        <f aca="false">IF($C$37="Y",MIN(T87,T84*$C$38/(1-$C$38)),0)</f>
        <v>0</v>
      </c>
      <c r="U88" s="66" t="n">
        <f aca="false">IF($C$37="Y",MIN(U87,U84*$C$38/(1-$C$38)),0)</f>
        <v>0</v>
      </c>
      <c r="V88" s="66" t="n">
        <f aca="false">IF($C$37="Y",MIN(V87,V84*$C$38/(1-$C$38)),0)</f>
        <v>0</v>
      </c>
      <c r="W88" s="66" t="n">
        <f aca="false">IF($C$37="Y",MIN(W87,W84*$C$38/(1-$C$38)),0)</f>
        <v>0</v>
      </c>
      <c r="X88" s="66" t="n">
        <f aca="false">IF($C$37="Y",MIN(X87,X84*$C$38/(1-$C$38)),0)</f>
        <v>0</v>
      </c>
      <c r="Y88" s="66" t="n">
        <f aca="false">IF($C$37="Y",MIN(Y87,Y84*$C$38/(1-$C$38)),0)</f>
        <v>0</v>
      </c>
      <c r="Z88" s="66" t="n">
        <f aca="false">IF($C$37="Y",MIN(Z87,Z84*$C$38/(1-$C$38)),0)</f>
        <v>0</v>
      </c>
      <c r="AA88" s="66" t="n">
        <f aca="false">IF($C$37="Y",MIN(AA87,AA84*$C$38/(1-$C$38)),0)</f>
        <v>0</v>
      </c>
      <c r="AB88" s="66" t="n">
        <f aca="false">IF($C$37="Y",MIN(AB87,AB84*$C$38/(1-$C$38)),0)</f>
        <v>0</v>
      </c>
      <c r="AC88" s="66" t="n">
        <f aca="false">IF($C$37="Y",MIN(AC87,AC84*$C$38/(1-$C$38)),0)</f>
        <v>0</v>
      </c>
      <c r="AD88" s="66" t="n">
        <f aca="false">IF($C$37="Y",MIN(AD87,AD84*$C$38/(1-$C$38)),0)</f>
        <v>0</v>
      </c>
      <c r="AE88" s="66" t="n">
        <f aca="false">IF($C$37="Y",MIN(AE87,AE84*$C$38/(1-$C$38)),0)</f>
        <v>0</v>
      </c>
      <c r="AF88" s="66" t="n">
        <f aca="false">IF($C$37="Y",MIN(AF87,AF84*$C$38/(1-$C$38)),0)</f>
        <v>0</v>
      </c>
      <c r="AG88" s="66" t="n">
        <f aca="false">IF($C$37="Y",MIN(AG87,AG84*$C$38/(1-$C$38)),0)</f>
        <v>0</v>
      </c>
      <c r="AH88" s="66" t="n">
        <f aca="false">IF($C$37="Y",MIN(AH87,AH84*$C$38/(1-$C$38)),0)</f>
        <v>0</v>
      </c>
      <c r="AI88" s="66" t="n">
        <f aca="false">IF($C$37="Y",MIN(AI87,AI84*$C$38/(1-$C$38)),0)</f>
        <v>0</v>
      </c>
      <c r="AJ88" s="66" t="n">
        <f aca="false">IF($C$37="Y",MIN(AJ87,AJ84*$C$38/(1-$C$38)),0)</f>
        <v>0</v>
      </c>
      <c r="AK88" s="66" t="n">
        <f aca="false">IF($C$37="Y",MIN(AK87,AK84*$C$38/(1-$C$38)),0)</f>
        <v>0</v>
      </c>
      <c r="AL88" s="66" t="n">
        <f aca="false">IF($C$37="Y",MIN(AL87,AL84*$C$38/(1-$C$38)),0)</f>
        <v>0</v>
      </c>
      <c r="AM88" s="66" t="n">
        <f aca="false">IF($C$37="Y",MIN(AM87,AM84*$C$38/(1-$C$38)),0)</f>
        <v>0</v>
      </c>
      <c r="AN88" s="66" t="n">
        <f aca="false">IF($C$37="Y",MIN(AN87,AN84*$C$38/(1-$C$38)),0)</f>
        <v>0</v>
      </c>
      <c r="AO88" s="66" t="n">
        <f aca="false">IF($C$37="Y",MIN(AO87,AO84*$C$38/(1-$C$38)),0)</f>
        <v>0</v>
      </c>
      <c r="AP88" s="66" t="n">
        <f aca="false">IF($C$37="Y",MIN(AP87,AP84*$C$38/(1-$C$38)),0)</f>
        <v>0</v>
      </c>
      <c r="AQ88" s="66" t="n">
        <f aca="false">IF($C$37="Y",MIN(AQ87,AQ84*$C$38/(1-$C$38)),0)</f>
        <v>0</v>
      </c>
      <c r="AR88" s="66" t="n">
        <f aca="false">IF($C$37="Y",MIN(AR87,AR84*$C$38/(1-$C$38)),0)</f>
        <v>0</v>
      </c>
      <c r="AS88" s="66" t="n">
        <f aca="false">IF($C$37="Y",MIN(AS87,AS84*$C$38/(1-$C$38)),0)</f>
        <v>0</v>
      </c>
      <c r="AT88" s="66" t="n">
        <f aca="false">IF($C$37="Y",MIN(AT87,AT84*$C$38/(1-$C$38)),0)</f>
        <v>0</v>
      </c>
      <c r="AU88" s="66" t="n">
        <f aca="false">IF($C$37="Y",MIN(AU87,AU84*$C$38/(1-$C$38)),0)</f>
        <v>0</v>
      </c>
      <c r="AV88" s="66" t="n">
        <f aca="false">IF($C$37="Y",MIN(AV87,AV84*$C$38/(1-$C$38)),0)</f>
        <v>0</v>
      </c>
      <c r="AW88" s="66" t="n">
        <f aca="false">IF($C$37="Y",MIN(AW87,AW84*$C$38/(1-$C$38)),0)</f>
        <v>0</v>
      </c>
      <c r="AX88" s="66" t="n">
        <f aca="false">IF($C$37="Y",MIN(AX87,AX84*$C$38/(1-$C$38)),0)</f>
        <v>0</v>
      </c>
      <c r="AY88" s="66" t="n">
        <f aca="false">IF($C$37="Y",MIN(AY87,AY84*$C$38/(1-$C$38)),0)</f>
        <v>0</v>
      </c>
      <c r="AZ88" s="66" t="n">
        <f aca="false">IF($C$37="Y",MIN(AZ87,AZ84*$C$38/(1-$C$38)),0)</f>
        <v>0</v>
      </c>
      <c r="BA88" s="66" t="n">
        <f aca="false">IF($C$37="Y",MIN(BA87,BA84*$C$38/(1-$C$38)),0)</f>
        <v>0</v>
      </c>
      <c r="BB88" s="66" t="n">
        <f aca="false">IF($C$37="Y",MIN(BB87,BB84*$C$38/(1-$C$38)),0)</f>
        <v>0</v>
      </c>
    </row>
    <row r="89" customFormat="false" ht="15" hidden="false" customHeight="true" outlineLevel="0" collapsed="false">
      <c r="B89" s="59" t="s">
        <v>492</v>
      </c>
      <c r="C89" s="59" t="s">
        <v>11</v>
      </c>
      <c r="D89" s="63" t="n">
        <f aca="false">SUM(E89:BB89)</f>
        <v>0</v>
      </c>
      <c r="E89" s="66" t="n">
        <f aca="false">MAX(0,E87-E88)</f>
        <v>0</v>
      </c>
      <c r="F89" s="66" t="n">
        <f aca="false">MAX(0,F87-F88)</f>
        <v>0</v>
      </c>
      <c r="G89" s="66" t="n">
        <f aca="false">MAX(0,G87-G88)</f>
        <v>0</v>
      </c>
      <c r="H89" s="66" t="n">
        <f aca="false">MAX(0,H87-H88)</f>
        <v>0</v>
      </c>
      <c r="I89" s="66" t="n">
        <f aca="false">MAX(0,I87-I88)</f>
        <v>0</v>
      </c>
      <c r="J89" s="66" t="n">
        <f aca="false">MAX(0,J87-J88)</f>
        <v>0</v>
      </c>
      <c r="K89" s="66" t="n">
        <f aca="false">MAX(0,K87-K88)</f>
        <v>0</v>
      </c>
      <c r="L89" s="66" t="n">
        <f aca="false">MAX(0,L87-L88)</f>
        <v>0</v>
      </c>
      <c r="M89" s="66" t="n">
        <f aca="false">MAX(0,M87-M88)</f>
        <v>0</v>
      </c>
      <c r="N89" s="66" t="n">
        <f aca="false">MAX(0,N87-N88)</f>
        <v>0</v>
      </c>
      <c r="O89" s="66" t="n">
        <f aca="false">MAX(0,O87-O88)</f>
        <v>0</v>
      </c>
      <c r="P89" s="66" t="n">
        <f aca="false">MAX(0,P87-P88)</f>
        <v>0</v>
      </c>
      <c r="Q89" s="66" t="n">
        <f aca="false">MAX(0,Q87-Q88)</f>
        <v>0</v>
      </c>
      <c r="R89" s="66" t="n">
        <f aca="false">MAX(0,R87-R88)</f>
        <v>0</v>
      </c>
      <c r="S89" s="66" t="n">
        <f aca="false">MAX(0,S87-S88)</f>
        <v>0</v>
      </c>
      <c r="T89" s="66" t="n">
        <f aca="false">MAX(0,T87-T88)</f>
        <v>0</v>
      </c>
      <c r="U89" s="66" t="n">
        <f aca="false">MAX(0,U87-U88)</f>
        <v>0</v>
      </c>
      <c r="V89" s="66" t="n">
        <f aca="false">MAX(0,V87-V88)</f>
        <v>0</v>
      </c>
      <c r="W89" s="66" t="n">
        <f aca="false">MAX(0,W87-W88)</f>
        <v>0</v>
      </c>
      <c r="X89" s="66" t="n">
        <f aca="false">MAX(0,X87-X88)</f>
        <v>0</v>
      </c>
      <c r="Y89" s="66" t="n">
        <f aca="false">MAX(0,Y87-Y88)</f>
        <v>0</v>
      </c>
      <c r="Z89" s="66" t="n">
        <f aca="false">MAX(0,Z87-Z88)</f>
        <v>0</v>
      </c>
      <c r="AA89" s="66" t="n">
        <f aca="false">MAX(0,AA87-AA88)</f>
        <v>0</v>
      </c>
      <c r="AB89" s="66" t="n">
        <f aca="false">MAX(0,AB87-AB88)</f>
        <v>0</v>
      </c>
      <c r="AC89" s="66" t="n">
        <f aca="false">MAX(0,AC87-AC88)</f>
        <v>0</v>
      </c>
      <c r="AD89" s="66" t="n">
        <f aca="false">MAX(0,AD87-AD88)</f>
        <v>0</v>
      </c>
      <c r="AE89" s="66" t="n">
        <f aca="false">MAX(0,AE87-AE88)</f>
        <v>0</v>
      </c>
      <c r="AF89" s="66" t="n">
        <f aca="false">MAX(0,AF87-AF88)</f>
        <v>0</v>
      </c>
      <c r="AG89" s="66" t="n">
        <f aca="false">MAX(0,AG87-AG88)</f>
        <v>0</v>
      </c>
      <c r="AH89" s="66" t="n">
        <f aca="false">MAX(0,AH87-AH88)</f>
        <v>0</v>
      </c>
      <c r="AI89" s="66" t="n">
        <f aca="false">MAX(0,AI87-AI88)</f>
        <v>0</v>
      </c>
      <c r="AJ89" s="66" t="n">
        <f aca="false">MAX(0,AJ87-AJ88)</f>
        <v>0</v>
      </c>
      <c r="AK89" s="66" t="n">
        <f aca="false">MAX(0,AK87-AK88)</f>
        <v>0</v>
      </c>
      <c r="AL89" s="66" t="n">
        <f aca="false">MAX(0,AL87-AL88)</f>
        <v>0</v>
      </c>
      <c r="AM89" s="66" t="n">
        <f aca="false">MAX(0,AM87-AM88)</f>
        <v>0</v>
      </c>
      <c r="AN89" s="66" t="n">
        <f aca="false">MAX(0,AN87-AN88)</f>
        <v>0</v>
      </c>
      <c r="AO89" s="66" t="n">
        <f aca="false">MAX(0,AO87-AO88)</f>
        <v>0</v>
      </c>
      <c r="AP89" s="66" t="n">
        <f aca="false">MAX(0,AP87-AP88)</f>
        <v>0</v>
      </c>
      <c r="AQ89" s="66" t="n">
        <f aca="false">MAX(0,AQ87-AQ88)</f>
        <v>0</v>
      </c>
      <c r="AR89" s="66" t="n">
        <f aca="false">MAX(0,AR87-AR88)</f>
        <v>0</v>
      </c>
      <c r="AS89" s="66" t="n">
        <f aca="false">MAX(0,AS87-AS88)</f>
        <v>0</v>
      </c>
      <c r="AT89" s="66" t="n">
        <f aca="false">MAX(0,AT87-AT88)</f>
        <v>0</v>
      </c>
      <c r="AU89" s="66" t="n">
        <f aca="false">MAX(0,AU87-AU88)</f>
        <v>0</v>
      </c>
      <c r="AV89" s="66" t="n">
        <f aca="false">MAX(0,AV87-AV88)</f>
        <v>0</v>
      </c>
      <c r="AW89" s="66" t="n">
        <f aca="false">MAX(0,AW87-AW88)</f>
        <v>0</v>
      </c>
      <c r="AX89" s="66" t="n">
        <f aca="false">MAX(0,AX87-AX88)</f>
        <v>0</v>
      </c>
      <c r="AY89" s="66" t="n">
        <f aca="false">MAX(0,AY87-AY88)</f>
        <v>0</v>
      </c>
      <c r="AZ89" s="66" t="n">
        <f aca="false">MAX(0,AZ87-AZ88)</f>
        <v>0</v>
      </c>
      <c r="BA89" s="66" t="n">
        <f aca="false">MAX(0,BA87-BA88)</f>
        <v>0</v>
      </c>
      <c r="BB89" s="66" t="n">
        <f aca="false">MAX(0,BB87-BB88)</f>
        <v>0</v>
      </c>
    </row>
    <row r="90" customFormat="false" ht="15" hidden="false" customHeight="true" outlineLevel="0" collapsed="false">
      <c r="B90" s="59" t="s">
        <v>493</v>
      </c>
      <c r="C90" s="59" t="s">
        <v>11</v>
      </c>
      <c r="D90" s="66" t="n">
        <f aca="false">SUM(E90:BB90)</f>
        <v>0</v>
      </c>
      <c r="E90" s="66" t="n">
        <f aca="false">E89*(1-$C$38)</f>
        <v>0</v>
      </c>
      <c r="F90" s="66" t="n">
        <f aca="false">F89*(1-$C$38)</f>
        <v>0</v>
      </c>
      <c r="G90" s="66" t="n">
        <f aca="false">G89*(1-$C$38)</f>
        <v>0</v>
      </c>
      <c r="H90" s="66" t="n">
        <f aca="false">H89*(1-$C$38)</f>
        <v>0</v>
      </c>
      <c r="I90" s="66" t="n">
        <f aca="false">I89*(1-$C$38)</f>
        <v>0</v>
      </c>
      <c r="J90" s="66" t="n">
        <f aca="false">J89*(1-$C$38)</f>
        <v>0</v>
      </c>
      <c r="K90" s="66" t="n">
        <f aca="false">K89*(1-$C$38)</f>
        <v>0</v>
      </c>
      <c r="L90" s="66" t="n">
        <f aca="false">L89*(1-$C$38)</f>
        <v>0</v>
      </c>
      <c r="M90" s="66" t="n">
        <f aca="false">M89*(1-$C$38)</f>
        <v>0</v>
      </c>
      <c r="N90" s="66" t="n">
        <f aca="false">N89*(1-$C$38)</f>
        <v>0</v>
      </c>
      <c r="O90" s="66" t="n">
        <f aca="false">O89*(1-$C$38)</f>
        <v>0</v>
      </c>
      <c r="P90" s="66" t="n">
        <f aca="false">P89*(1-$C$38)</f>
        <v>0</v>
      </c>
      <c r="Q90" s="66" t="n">
        <f aca="false">Q89*(1-$C$38)</f>
        <v>0</v>
      </c>
      <c r="R90" s="66" t="n">
        <f aca="false">R89*(1-$C$38)</f>
        <v>0</v>
      </c>
      <c r="S90" s="66" t="n">
        <f aca="false">S89*(1-$C$38)</f>
        <v>0</v>
      </c>
      <c r="T90" s="66" t="n">
        <f aca="false">T89*(1-$C$38)</f>
        <v>0</v>
      </c>
      <c r="U90" s="66" t="n">
        <f aca="false">U89*(1-$C$38)</f>
        <v>0</v>
      </c>
      <c r="V90" s="66" t="n">
        <f aca="false">V89*(1-$C$38)</f>
        <v>0</v>
      </c>
      <c r="W90" s="66" t="n">
        <f aca="false">W89*(1-$C$38)</f>
        <v>0</v>
      </c>
      <c r="X90" s="66" t="n">
        <f aca="false">X89*(1-$C$38)</f>
        <v>0</v>
      </c>
      <c r="Y90" s="66" t="n">
        <f aca="false">Y89*(1-$C$38)</f>
        <v>0</v>
      </c>
      <c r="Z90" s="66" t="n">
        <f aca="false">Z89*(1-$C$38)</f>
        <v>0</v>
      </c>
      <c r="AA90" s="66" t="n">
        <f aca="false">AA89*(1-$C$38)</f>
        <v>0</v>
      </c>
      <c r="AB90" s="66" t="n">
        <f aca="false">AB89*(1-$C$38)</f>
        <v>0</v>
      </c>
      <c r="AC90" s="66" t="n">
        <f aca="false">AC89*(1-$C$38)</f>
        <v>0</v>
      </c>
      <c r="AD90" s="66" t="n">
        <f aca="false">AD89*(1-$C$38)</f>
        <v>0</v>
      </c>
      <c r="AE90" s="66" t="n">
        <f aca="false">AE89*(1-$C$38)</f>
        <v>0</v>
      </c>
      <c r="AF90" s="66" t="n">
        <f aca="false">AF89*(1-$C$38)</f>
        <v>0</v>
      </c>
      <c r="AG90" s="66" t="n">
        <f aca="false">AG89*(1-$C$38)</f>
        <v>0</v>
      </c>
      <c r="AH90" s="66" t="n">
        <f aca="false">AH89*(1-$C$38)</f>
        <v>0</v>
      </c>
      <c r="AI90" s="66" t="n">
        <f aca="false">AI89*(1-$C$38)</f>
        <v>0</v>
      </c>
      <c r="AJ90" s="66" t="n">
        <f aca="false">AJ89*(1-$C$38)</f>
        <v>0</v>
      </c>
      <c r="AK90" s="66" t="n">
        <f aca="false">AK89*(1-$C$38)</f>
        <v>0</v>
      </c>
      <c r="AL90" s="66" t="n">
        <f aca="false">AL89*(1-$C$38)</f>
        <v>0</v>
      </c>
      <c r="AM90" s="66" t="n">
        <f aca="false">AM89*(1-$C$38)</f>
        <v>0</v>
      </c>
      <c r="AN90" s="66" t="n">
        <f aca="false">AN89*(1-$C$38)</f>
        <v>0</v>
      </c>
      <c r="AO90" s="66" t="n">
        <f aca="false">AO89*(1-$C$38)</f>
        <v>0</v>
      </c>
      <c r="AP90" s="66" t="n">
        <f aca="false">AP89*(1-$C$38)</f>
        <v>0</v>
      </c>
      <c r="AQ90" s="66" t="n">
        <f aca="false">AQ89*(1-$C$38)</f>
        <v>0</v>
      </c>
      <c r="AR90" s="66" t="n">
        <f aca="false">AR89*(1-$C$38)</f>
        <v>0</v>
      </c>
      <c r="AS90" s="66" t="n">
        <f aca="false">AS89*(1-$C$38)</f>
        <v>0</v>
      </c>
      <c r="AT90" s="66" t="n">
        <f aca="false">AT89*(1-$C$38)</f>
        <v>0</v>
      </c>
      <c r="AU90" s="66" t="n">
        <f aca="false">AU89*(1-$C$38)</f>
        <v>0</v>
      </c>
      <c r="AV90" s="66" t="n">
        <f aca="false">AV89*(1-$C$38)</f>
        <v>0</v>
      </c>
      <c r="AW90" s="66" t="n">
        <f aca="false">AW89*(1-$C$38)</f>
        <v>0</v>
      </c>
      <c r="AX90" s="66" t="n">
        <f aca="false">AX89*(1-$C$38)</f>
        <v>0</v>
      </c>
      <c r="AY90" s="66" t="n">
        <f aca="false">AY89*(1-$C$38)</f>
        <v>0</v>
      </c>
      <c r="AZ90" s="66" t="n">
        <f aca="false">AZ89*(1-$C$38)</f>
        <v>0</v>
      </c>
      <c r="BA90" s="66" t="n">
        <f aca="false">BA89*(1-$C$38)</f>
        <v>0</v>
      </c>
      <c r="BB90" s="66" t="n">
        <f aca="false">BB89*(1-$C$38)</f>
        <v>0</v>
      </c>
    </row>
    <row r="91" customFormat="false" ht="15" hidden="false" customHeight="true" outlineLevel="0" collapsed="false">
      <c r="B91" s="59" t="s">
        <v>494</v>
      </c>
      <c r="C91" s="59" t="s">
        <v>11</v>
      </c>
      <c r="D91" s="66" t="n">
        <f aca="false">SUM(E91:BB91)</f>
        <v>0</v>
      </c>
      <c r="E91" s="66" t="n">
        <f aca="false">E89*$C$38</f>
        <v>0</v>
      </c>
      <c r="F91" s="66" t="n">
        <f aca="false">F89*$C$38</f>
        <v>0</v>
      </c>
      <c r="G91" s="66" t="n">
        <f aca="false">G89*$C$38</f>
        <v>0</v>
      </c>
      <c r="H91" s="66" t="n">
        <f aca="false">H89*$C$38</f>
        <v>0</v>
      </c>
      <c r="I91" s="66" t="n">
        <f aca="false">I89*$C$38</f>
        <v>0</v>
      </c>
      <c r="J91" s="66" t="n">
        <f aca="false">J89*$C$38</f>
        <v>0</v>
      </c>
      <c r="K91" s="66" t="n">
        <f aca="false">K89*$C$38</f>
        <v>0</v>
      </c>
      <c r="L91" s="66" t="n">
        <f aca="false">L89*$C$38</f>
        <v>0</v>
      </c>
      <c r="M91" s="66" t="n">
        <f aca="false">M89*$C$38</f>
        <v>0</v>
      </c>
      <c r="N91" s="66" t="n">
        <f aca="false">N89*$C$38</f>
        <v>0</v>
      </c>
      <c r="O91" s="66" t="n">
        <f aca="false">O89*$C$38</f>
        <v>0</v>
      </c>
      <c r="P91" s="66" t="n">
        <f aca="false">P89*$C$38</f>
        <v>0</v>
      </c>
      <c r="Q91" s="66" t="n">
        <f aca="false">Q89*$C$38</f>
        <v>0</v>
      </c>
      <c r="R91" s="66" t="n">
        <f aca="false">R89*$C$38</f>
        <v>0</v>
      </c>
      <c r="S91" s="66" t="n">
        <f aca="false">S89*$C$38</f>
        <v>0</v>
      </c>
      <c r="T91" s="66" t="n">
        <f aca="false">T89*$C$38</f>
        <v>0</v>
      </c>
      <c r="U91" s="66" t="n">
        <f aca="false">U89*$C$38</f>
        <v>0</v>
      </c>
      <c r="V91" s="66" t="n">
        <f aca="false">V89*$C$38</f>
        <v>0</v>
      </c>
      <c r="W91" s="66" t="n">
        <f aca="false">W89*$C$38</f>
        <v>0</v>
      </c>
      <c r="X91" s="66" t="n">
        <f aca="false">X89*$C$38</f>
        <v>0</v>
      </c>
      <c r="Y91" s="66" t="n">
        <f aca="false">Y89*$C$38</f>
        <v>0</v>
      </c>
      <c r="Z91" s="66" t="n">
        <f aca="false">Z89*$C$38</f>
        <v>0</v>
      </c>
      <c r="AA91" s="66" t="n">
        <f aca="false">AA89*$C$38</f>
        <v>0</v>
      </c>
      <c r="AB91" s="66" t="n">
        <f aca="false">AB89*$C$38</f>
        <v>0</v>
      </c>
      <c r="AC91" s="66" t="n">
        <f aca="false">AC89*$C$38</f>
        <v>0</v>
      </c>
      <c r="AD91" s="66" t="n">
        <f aca="false">AD89*$C$38</f>
        <v>0</v>
      </c>
      <c r="AE91" s="66" t="n">
        <f aca="false">AE89*$C$38</f>
        <v>0</v>
      </c>
      <c r="AF91" s="66" t="n">
        <f aca="false">AF89*$C$38</f>
        <v>0</v>
      </c>
      <c r="AG91" s="66" t="n">
        <f aca="false">AG89*$C$38</f>
        <v>0</v>
      </c>
      <c r="AH91" s="66" t="n">
        <f aca="false">AH89*$C$38</f>
        <v>0</v>
      </c>
      <c r="AI91" s="66" t="n">
        <f aca="false">AI89*$C$38</f>
        <v>0</v>
      </c>
      <c r="AJ91" s="66" t="n">
        <f aca="false">AJ89*$C$38</f>
        <v>0</v>
      </c>
      <c r="AK91" s="66" t="n">
        <f aca="false">AK89*$C$38</f>
        <v>0</v>
      </c>
      <c r="AL91" s="66" t="n">
        <f aca="false">AL89*$C$38</f>
        <v>0</v>
      </c>
      <c r="AM91" s="66" t="n">
        <f aca="false">AM89*$C$38</f>
        <v>0</v>
      </c>
      <c r="AN91" s="66" t="n">
        <f aca="false">AN89*$C$38</f>
        <v>0</v>
      </c>
      <c r="AO91" s="66" t="n">
        <f aca="false">AO89*$C$38</f>
        <v>0</v>
      </c>
      <c r="AP91" s="66" t="n">
        <f aca="false">AP89*$C$38</f>
        <v>0</v>
      </c>
      <c r="AQ91" s="66" t="n">
        <f aca="false">AQ89*$C$38</f>
        <v>0</v>
      </c>
      <c r="AR91" s="66" t="n">
        <f aca="false">AR89*$C$38</f>
        <v>0</v>
      </c>
      <c r="AS91" s="66" t="n">
        <f aca="false">AS89*$C$38</f>
        <v>0</v>
      </c>
      <c r="AT91" s="66" t="n">
        <f aca="false">AT89*$C$38</f>
        <v>0</v>
      </c>
      <c r="AU91" s="66" t="n">
        <f aca="false">AU89*$C$38</f>
        <v>0</v>
      </c>
      <c r="AV91" s="66" t="n">
        <f aca="false">AV89*$C$38</f>
        <v>0</v>
      </c>
      <c r="AW91" s="66" t="n">
        <f aca="false">AW89*$C$38</f>
        <v>0</v>
      </c>
      <c r="AX91" s="66" t="n">
        <f aca="false">AX89*$C$38</f>
        <v>0</v>
      </c>
      <c r="AY91" s="66" t="n">
        <f aca="false">AY89*$C$38</f>
        <v>0</v>
      </c>
      <c r="AZ91" s="66" t="n">
        <f aca="false">AZ89*$C$38</f>
        <v>0</v>
      </c>
      <c r="BA91" s="66" t="n">
        <f aca="false">BA89*$C$38</f>
        <v>0</v>
      </c>
      <c r="BB91" s="66" t="n">
        <f aca="false">BB89*$C$38</f>
        <v>0</v>
      </c>
    </row>
    <row r="93" customFormat="false" ht="15" hidden="false" customHeight="true" outlineLevel="0" collapsed="false">
      <c r="B93" s="20" t="s">
        <v>495</v>
      </c>
      <c r="C93" s="59" t="s">
        <v>11</v>
      </c>
      <c r="D93" s="63" t="n">
        <f aca="false">SUM(E93:BB93)</f>
        <v>0</v>
      </c>
      <c r="E93" s="66" t="n">
        <f aca="false">E78*$C$16+E84*$C$16+E90</f>
        <v>0</v>
      </c>
      <c r="F93" s="66" t="n">
        <f aca="false">F78*$C$16+F84*$C$16+F90</f>
        <v>0</v>
      </c>
      <c r="G93" s="66" t="n">
        <f aca="false">G78*$C$16+G84*$C$16+G90</f>
        <v>0</v>
      </c>
      <c r="H93" s="66" t="n">
        <f aca="false">H78*$C$16+H84*$C$16+H90</f>
        <v>0</v>
      </c>
      <c r="I93" s="66" t="n">
        <f aca="false">I78*$C$16+I84*$C$16+I90</f>
        <v>0</v>
      </c>
      <c r="J93" s="66" t="n">
        <f aca="false">J78*$C$16+J84*$C$16+J90</f>
        <v>0</v>
      </c>
      <c r="K93" s="66" t="n">
        <f aca="false">K78*$C$16+K84*$C$16+K90</f>
        <v>0</v>
      </c>
      <c r="L93" s="66" t="n">
        <f aca="false">L78*$C$16+L84*$C$16+L90</f>
        <v>0</v>
      </c>
      <c r="M93" s="66" t="n">
        <f aca="false">M78*$C$16+M84*$C$16+M90</f>
        <v>0</v>
      </c>
      <c r="N93" s="66" t="n">
        <f aca="false">N78*$C$16+N84*$C$16+N90</f>
        <v>0</v>
      </c>
      <c r="O93" s="66" t="n">
        <f aca="false">O78*$C$16+O84*$C$16+O90</f>
        <v>0</v>
      </c>
      <c r="P93" s="66" t="n">
        <f aca="false">P78*$C$16+P84*$C$16+P90</f>
        <v>0</v>
      </c>
      <c r="Q93" s="66" t="n">
        <f aca="false">Q78*$C$16+Q84*$C$16+Q90</f>
        <v>0</v>
      </c>
      <c r="R93" s="66" t="n">
        <f aca="false">R78*$C$16+R84*$C$16+R90</f>
        <v>0</v>
      </c>
      <c r="S93" s="66" t="n">
        <f aca="false">S78*$C$16+S84*$C$16+S90</f>
        <v>0</v>
      </c>
      <c r="T93" s="66" t="n">
        <f aca="false">T78*$C$16+T84*$C$16+T90</f>
        <v>0</v>
      </c>
      <c r="U93" s="66" t="n">
        <f aca="false">U78*$C$16+U84*$C$16+U90</f>
        <v>0</v>
      </c>
      <c r="V93" s="66" t="n">
        <f aca="false">V78*$C$16+V84*$C$16+V90</f>
        <v>0</v>
      </c>
      <c r="W93" s="66" t="n">
        <f aca="false">W78*$C$16+W84*$C$16+W90</f>
        <v>0</v>
      </c>
      <c r="X93" s="66" t="n">
        <f aca="false">X78*$C$16+X84*$C$16+X90</f>
        <v>0</v>
      </c>
      <c r="Y93" s="66" t="n">
        <f aca="false">Y78*$C$16+Y84*$C$16+Y90</f>
        <v>0</v>
      </c>
      <c r="Z93" s="66" t="n">
        <f aca="false">Z78*$C$16+Z84*$C$16+Z90</f>
        <v>0</v>
      </c>
      <c r="AA93" s="66" t="n">
        <f aca="false">AA78*$C$16+AA84*$C$16+AA90</f>
        <v>0</v>
      </c>
      <c r="AB93" s="66" t="n">
        <f aca="false">AB78*$C$16+AB84*$C$16+AB90</f>
        <v>0</v>
      </c>
      <c r="AC93" s="66" t="n">
        <f aca="false">AC78*$C$16+AC84*$C$16+AC90</f>
        <v>0</v>
      </c>
      <c r="AD93" s="66" t="n">
        <f aca="false">AD78*$C$16+AD84*$C$16+AD90</f>
        <v>0</v>
      </c>
      <c r="AE93" s="66" t="n">
        <f aca="false">AE78*$C$16+AE84*$C$16+AE90</f>
        <v>0</v>
      </c>
      <c r="AF93" s="66" t="n">
        <f aca="false">AF78*$C$16+AF84*$C$16+AF90</f>
        <v>0</v>
      </c>
      <c r="AG93" s="66" t="n">
        <f aca="false">AG78*$C$16+AG84*$C$16+AG90</f>
        <v>0</v>
      </c>
      <c r="AH93" s="66" t="n">
        <f aca="false">AH78*$C$16+AH84*$C$16+AH90</f>
        <v>0</v>
      </c>
      <c r="AI93" s="66" t="n">
        <f aca="false">AI78*$C$16+AI84*$C$16+AI90</f>
        <v>0</v>
      </c>
      <c r="AJ93" s="66" t="n">
        <f aca="false">AJ78*$C$16+AJ84*$C$16+AJ90</f>
        <v>0</v>
      </c>
      <c r="AK93" s="66" t="n">
        <f aca="false">AK78*$C$16+AK84*$C$16+AK90</f>
        <v>0</v>
      </c>
      <c r="AL93" s="66" t="n">
        <f aca="false">AL78*$C$16+AL84*$C$16+AL90</f>
        <v>0</v>
      </c>
      <c r="AM93" s="66" t="n">
        <f aca="false">AM78*$C$16+AM84*$C$16+AM90</f>
        <v>0</v>
      </c>
      <c r="AN93" s="66" t="n">
        <f aca="false">AN78*$C$16+AN84*$C$16+AN90</f>
        <v>0</v>
      </c>
      <c r="AO93" s="66" t="n">
        <f aca="false">AO78*$C$16+AO84*$C$16+AO90</f>
        <v>0</v>
      </c>
      <c r="AP93" s="66" t="n">
        <f aca="false">AP78*$C$16+AP84*$C$16+AP90</f>
        <v>0</v>
      </c>
      <c r="AQ93" s="66" t="n">
        <f aca="false">AQ78*$C$16+AQ84*$C$16+AQ90</f>
        <v>0</v>
      </c>
      <c r="AR93" s="66" t="n">
        <f aca="false">AR78*$C$16+AR84*$C$16+AR90</f>
        <v>0</v>
      </c>
      <c r="AS93" s="66" t="n">
        <f aca="false">AS78*$C$16+AS84*$C$16+AS90</f>
        <v>0</v>
      </c>
      <c r="AT93" s="66" t="n">
        <f aca="false">AT78*$C$16+AT84*$C$16+AT90</f>
        <v>0</v>
      </c>
      <c r="AU93" s="66" t="n">
        <f aca="false">AU78*$C$16+AU84*$C$16+AU90</f>
        <v>0</v>
      </c>
      <c r="AV93" s="66" t="n">
        <f aca="false">AV78*$C$16+AV84*$C$16+AV90</f>
        <v>0</v>
      </c>
      <c r="AW93" s="66" t="n">
        <f aca="false">AW78*$C$16+AW84*$C$16+AW90</f>
        <v>0</v>
      </c>
      <c r="AX93" s="66" t="n">
        <f aca="false">AX78*$C$16+AX84*$C$16+AX90</f>
        <v>0</v>
      </c>
      <c r="AY93" s="66" t="n">
        <f aca="false">AY78*$C$16+AY84*$C$16+AY90</f>
        <v>0</v>
      </c>
      <c r="AZ93" s="66" t="n">
        <f aca="false">AZ78*$C$16+AZ84*$C$16+AZ90</f>
        <v>0</v>
      </c>
      <c r="BA93" s="66" t="n">
        <f aca="false">BA78*$C$16+BA84*$C$16+BA90</f>
        <v>0</v>
      </c>
      <c r="BB93" s="66" t="n">
        <f aca="false">BB78*$C$16+BB84*$C$16+BB90</f>
        <v>0</v>
      </c>
    </row>
    <row r="94" customFormat="false" ht="15" hidden="false" customHeight="true" outlineLevel="0" collapsed="false">
      <c r="B94" s="20" t="s">
        <v>496</v>
      </c>
      <c r="C94" s="59" t="s">
        <v>11</v>
      </c>
      <c r="D94" s="63" t="n">
        <f aca="false">SUM(E94:BB94)</f>
        <v>0</v>
      </c>
      <c r="E94" s="66" t="n">
        <f aca="false">E78*$C$15+E84*$C$15+E88+E91</f>
        <v>0</v>
      </c>
      <c r="F94" s="66" t="n">
        <f aca="false">F78*$C$15+F84*$C$15+F88+F91</f>
        <v>0</v>
      </c>
      <c r="G94" s="66" t="n">
        <f aca="false">G78*$C$15+G84*$C$15+G88+G91</f>
        <v>0</v>
      </c>
      <c r="H94" s="66" t="n">
        <f aca="false">H78*$C$15+H84*$C$15+H88+H91</f>
        <v>0</v>
      </c>
      <c r="I94" s="66" t="n">
        <f aca="false">I78*$C$15+I84*$C$15+I88+I91</f>
        <v>0</v>
      </c>
      <c r="J94" s="66" t="n">
        <f aca="false">J78*$C$15+J84*$C$15+J88+J91</f>
        <v>0</v>
      </c>
      <c r="K94" s="66" t="n">
        <f aca="false">K78*$C$15+K84*$C$15+K88+K91</f>
        <v>0</v>
      </c>
      <c r="L94" s="66" t="n">
        <f aca="false">L78*$C$15+L84*$C$15+L88+L91</f>
        <v>0</v>
      </c>
      <c r="M94" s="66" t="n">
        <f aca="false">M78*$C$15+M84*$C$15+M88+M91</f>
        <v>0</v>
      </c>
      <c r="N94" s="66" t="n">
        <f aca="false">N78*$C$15+N84*$C$15+N88+N91</f>
        <v>0</v>
      </c>
      <c r="O94" s="66" t="n">
        <f aca="false">O78*$C$15+O84*$C$15+O88+O91</f>
        <v>0</v>
      </c>
      <c r="P94" s="66" t="n">
        <f aca="false">P78*$C$15+P84*$C$15+P88+P91</f>
        <v>0</v>
      </c>
      <c r="Q94" s="66" t="n">
        <f aca="false">Q78*$C$15+Q84*$C$15+Q88+Q91</f>
        <v>0</v>
      </c>
      <c r="R94" s="66" t="n">
        <f aca="false">R78*$C$15+R84*$C$15+R88+R91</f>
        <v>0</v>
      </c>
      <c r="S94" s="66" t="n">
        <f aca="false">S78*$C$15+S84*$C$15+S88+S91</f>
        <v>0</v>
      </c>
      <c r="T94" s="66" t="n">
        <f aca="false">T78*$C$15+T84*$C$15+T88+T91</f>
        <v>0</v>
      </c>
      <c r="U94" s="66" t="n">
        <f aca="false">U78*$C$15+U84*$C$15+U88+U91</f>
        <v>0</v>
      </c>
      <c r="V94" s="66" t="n">
        <f aca="false">V78*$C$15+V84*$C$15+V88+V91</f>
        <v>0</v>
      </c>
      <c r="W94" s="66" t="n">
        <f aca="false">W78*$C$15+W84*$C$15+W88+W91</f>
        <v>0</v>
      </c>
      <c r="X94" s="66" t="n">
        <f aca="false">X78*$C$15+X84*$C$15+X88+X91</f>
        <v>0</v>
      </c>
      <c r="Y94" s="66" t="n">
        <f aca="false">Y78*$C$15+Y84*$C$15+Y88+Y91</f>
        <v>0</v>
      </c>
      <c r="Z94" s="66" t="n">
        <f aca="false">Z78*$C$15+Z84*$C$15+Z88+Z91</f>
        <v>0</v>
      </c>
      <c r="AA94" s="66" t="n">
        <f aca="false">AA78*$C$15+AA84*$C$15+AA88+AA91</f>
        <v>0</v>
      </c>
      <c r="AB94" s="66" t="n">
        <f aca="false">AB78*$C$15+AB84*$C$15+AB88+AB91</f>
        <v>0</v>
      </c>
      <c r="AC94" s="66" t="n">
        <f aca="false">AC78*$C$15+AC84*$C$15+AC88+AC91</f>
        <v>0</v>
      </c>
      <c r="AD94" s="66" t="n">
        <f aca="false">AD78*$C$15+AD84*$C$15+AD88+AD91</f>
        <v>0</v>
      </c>
      <c r="AE94" s="66" t="n">
        <f aca="false">AE78*$C$15+AE84*$C$15+AE88+AE91</f>
        <v>0</v>
      </c>
      <c r="AF94" s="66" t="n">
        <f aca="false">AF78*$C$15+AF84*$C$15+AF88+AF91</f>
        <v>0</v>
      </c>
      <c r="AG94" s="66" t="n">
        <f aca="false">AG78*$C$15+AG84*$C$15+AG88+AG91</f>
        <v>0</v>
      </c>
      <c r="AH94" s="66" t="n">
        <f aca="false">AH78*$C$15+AH84*$C$15+AH88+AH91</f>
        <v>0</v>
      </c>
      <c r="AI94" s="66" t="n">
        <f aca="false">AI78*$C$15+AI84*$C$15+AI88+AI91</f>
        <v>0</v>
      </c>
      <c r="AJ94" s="66" t="n">
        <f aca="false">AJ78*$C$15+AJ84*$C$15+AJ88+AJ91</f>
        <v>0</v>
      </c>
      <c r="AK94" s="66" t="n">
        <f aca="false">AK78*$C$15+AK84*$C$15+AK88+AK91</f>
        <v>0</v>
      </c>
      <c r="AL94" s="66" t="n">
        <f aca="false">AL78*$C$15+AL84*$C$15+AL88+AL91</f>
        <v>0</v>
      </c>
      <c r="AM94" s="66" t="n">
        <f aca="false">AM78*$C$15+AM84*$C$15+AM88+AM91</f>
        <v>0</v>
      </c>
      <c r="AN94" s="66" t="n">
        <f aca="false">AN78*$C$15+AN84*$C$15+AN88+AN91</f>
        <v>0</v>
      </c>
      <c r="AO94" s="66" t="n">
        <f aca="false">AO78*$C$15+AO84*$C$15+AO88+AO91</f>
        <v>0</v>
      </c>
      <c r="AP94" s="66" t="n">
        <f aca="false">AP78*$C$15+AP84*$C$15+AP88+AP91</f>
        <v>0</v>
      </c>
      <c r="AQ94" s="66" t="n">
        <f aca="false">AQ78*$C$15+AQ84*$C$15+AQ88+AQ91</f>
        <v>0</v>
      </c>
      <c r="AR94" s="66" t="n">
        <f aca="false">AR78*$C$15+AR84*$C$15+AR88+AR91</f>
        <v>0</v>
      </c>
      <c r="AS94" s="66" t="n">
        <f aca="false">AS78*$C$15+AS84*$C$15+AS88+AS91</f>
        <v>0</v>
      </c>
      <c r="AT94" s="66" t="n">
        <f aca="false">AT78*$C$15+AT84*$C$15+AT88+AT91</f>
        <v>0</v>
      </c>
      <c r="AU94" s="66" t="n">
        <f aca="false">AU78*$C$15+AU84*$C$15+AU88+AU91</f>
        <v>0</v>
      </c>
      <c r="AV94" s="66" t="n">
        <f aca="false">AV78*$C$15+AV84*$C$15+AV88+AV91</f>
        <v>0</v>
      </c>
      <c r="AW94" s="66" t="n">
        <f aca="false">AW78*$C$15+AW84*$C$15+AW88+AW91</f>
        <v>0</v>
      </c>
      <c r="AX94" s="66" t="n">
        <f aca="false">AX78*$C$15+AX84*$C$15+AX88+AX91</f>
        <v>0</v>
      </c>
      <c r="AY94" s="66" t="n">
        <f aca="false">AY78*$C$15+AY84*$C$15+AY88+AY91</f>
        <v>0</v>
      </c>
      <c r="AZ94" s="66" t="n">
        <f aca="false">AZ78*$C$15+AZ84*$C$15+AZ88+AZ91</f>
        <v>0</v>
      </c>
      <c r="BA94" s="66" t="n">
        <f aca="false">BA78*$C$15+BA84*$C$15+BA88+BA91</f>
        <v>0</v>
      </c>
      <c r="BB94" s="66" t="n">
        <f aca="false">BB78*$C$15+BB84*$C$15+BB88+BB91</f>
        <v>0</v>
      </c>
    </row>
    <row r="95" customFormat="false" ht="15" hidden="false" customHeight="true" outlineLevel="0" collapsed="false">
      <c r="B95" s="20" t="s">
        <v>497</v>
      </c>
      <c r="C95" s="59" t="s">
        <v>11</v>
      </c>
      <c r="D95" s="63" t="n">
        <f aca="false">SUM(E95:BB95)</f>
        <v>0</v>
      </c>
      <c r="E95" s="63" t="n">
        <f aca="false">E93+E94</f>
        <v>0</v>
      </c>
      <c r="F95" s="63" t="n">
        <f aca="false">F93+F94</f>
        <v>0</v>
      </c>
      <c r="G95" s="63" t="n">
        <f aca="false">G93+G94</f>
        <v>0</v>
      </c>
      <c r="H95" s="63" t="n">
        <f aca="false">H93+H94</f>
        <v>0</v>
      </c>
      <c r="I95" s="63" t="n">
        <f aca="false">I93+I94</f>
        <v>0</v>
      </c>
      <c r="J95" s="63" t="n">
        <f aca="false">J93+J94</f>
        <v>0</v>
      </c>
      <c r="K95" s="63" t="n">
        <f aca="false">K93+K94</f>
        <v>0</v>
      </c>
      <c r="L95" s="63" t="n">
        <f aca="false">L93+L94</f>
        <v>0</v>
      </c>
      <c r="M95" s="63" t="n">
        <f aca="false">M93+M94</f>
        <v>0</v>
      </c>
      <c r="N95" s="63" t="n">
        <f aca="false">N93+N94</f>
        <v>0</v>
      </c>
      <c r="O95" s="63" t="n">
        <f aca="false">O93+O94</f>
        <v>0</v>
      </c>
      <c r="P95" s="63" t="n">
        <f aca="false">P93+P94</f>
        <v>0</v>
      </c>
      <c r="Q95" s="63" t="n">
        <f aca="false">Q93+Q94</f>
        <v>0</v>
      </c>
      <c r="R95" s="63" t="n">
        <f aca="false">R93+R94</f>
        <v>0</v>
      </c>
      <c r="S95" s="63" t="n">
        <f aca="false">S93+S94</f>
        <v>0</v>
      </c>
      <c r="T95" s="63" t="n">
        <f aca="false">T93+T94</f>
        <v>0</v>
      </c>
      <c r="U95" s="63" t="n">
        <f aca="false">U93+U94</f>
        <v>0</v>
      </c>
      <c r="V95" s="63" t="n">
        <f aca="false">V93+V94</f>
        <v>0</v>
      </c>
      <c r="W95" s="63" t="n">
        <f aca="false">W93+W94</f>
        <v>0</v>
      </c>
      <c r="X95" s="63" t="n">
        <f aca="false">X93+X94</f>
        <v>0</v>
      </c>
      <c r="Y95" s="63" t="n">
        <f aca="false">Y93+Y94</f>
        <v>0</v>
      </c>
      <c r="Z95" s="63" t="n">
        <f aca="false">Z93+Z94</f>
        <v>0</v>
      </c>
      <c r="AA95" s="63" t="n">
        <f aca="false">AA93+AA94</f>
        <v>0</v>
      </c>
      <c r="AB95" s="63" t="n">
        <f aca="false">AB93+AB94</f>
        <v>0</v>
      </c>
      <c r="AC95" s="63" t="n">
        <f aca="false">AC93+AC94</f>
        <v>0</v>
      </c>
      <c r="AD95" s="63" t="n">
        <f aca="false">AD93+AD94</f>
        <v>0</v>
      </c>
      <c r="AE95" s="63" t="n">
        <f aca="false">AE93+AE94</f>
        <v>0</v>
      </c>
      <c r="AF95" s="63" t="n">
        <f aca="false">AF93+AF94</f>
        <v>0</v>
      </c>
      <c r="AG95" s="63" t="n">
        <f aca="false">AG93+AG94</f>
        <v>0</v>
      </c>
      <c r="AH95" s="63" t="n">
        <f aca="false">AH93+AH94</f>
        <v>0</v>
      </c>
      <c r="AI95" s="63" t="n">
        <f aca="false">AI93+AI94</f>
        <v>0</v>
      </c>
      <c r="AJ95" s="63" t="n">
        <f aca="false">AJ93+AJ94</f>
        <v>0</v>
      </c>
      <c r="AK95" s="63" t="n">
        <f aca="false">AK93+AK94</f>
        <v>0</v>
      </c>
      <c r="AL95" s="63" t="n">
        <f aca="false">AL93+AL94</f>
        <v>0</v>
      </c>
      <c r="AM95" s="63" t="n">
        <f aca="false">AM93+AM94</f>
        <v>0</v>
      </c>
      <c r="AN95" s="63" t="n">
        <f aca="false">AN93+AN94</f>
        <v>0</v>
      </c>
      <c r="AO95" s="63" t="n">
        <f aca="false">AO93+AO94</f>
        <v>0</v>
      </c>
      <c r="AP95" s="63" t="n">
        <f aca="false">AP93+AP94</f>
        <v>0</v>
      </c>
      <c r="AQ95" s="63" t="n">
        <f aca="false">AQ93+AQ94</f>
        <v>0</v>
      </c>
      <c r="AR95" s="63" t="n">
        <f aca="false">AR93+AR94</f>
        <v>0</v>
      </c>
      <c r="AS95" s="63" t="n">
        <f aca="false">AS93+AS94</f>
        <v>0</v>
      </c>
      <c r="AT95" s="63" t="n">
        <f aca="false">AT93+AT94</f>
        <v>0</v>
      </c>
      <c r="AU95" s="63" t="n">
        <f aca="false">AU93+AU94</f>
        <v>0</v>
      </c>
      <c r="AV95" s="63" t="n">
        <f aca="false">AV93+AV94</f>
        <v>0</v>
      </c>
      <c r="AW95" s="63" t="n">
        <f aca="false">AW93+AW94</f>
        <v>0</v>
      </c>
      <c r="AX95" s="63" t="n">
        <f aca="false">AX93+AX94</f>
        <v>0</v>
      </c>
      <c r="AY95" s="63" t="n">
        <f aca="false">AY93+AY94</f>
        <v>0</v>
      </c>
      <c r="AZ95" s="63" t="n">
        <f aca="false">AZ93+AZ94</f>
        <v>0</v>
      </c>
      <c r="BA95" s="63" t="n">
        <f aca="false">BA93+BA94</f>
        <v>0</v>
      </c>
      <c r="BB95" s="63" t="n">
        <f aca="false">BB93+BB94</f>
        <v>0</v>
      </c>
    </row>
    <row r="97" customFormat="false" ht="15" hidden="false" customHeight="true" outlineLevel="0" collapsed="false">
      <c r="A97" s="58" t="s">
        <v>498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customFormat="false" ht="15" hidden="false" customHeight="true" outlineLevel="0" collapsed="false">
      <c r="C98" s="69" t="s">
        <v>262</v>
      </c>
      <c r="D98" s="69" t="s">
        <v>60</v>
      </c>
      <c r="E98" s="70" t="n">
        <f aca="false">E$46</f>
        <v>2026</v>
      </c>
      <c r="F98" s="70" t="n">
        <f aca="false">F$46</f>
        <v>2027</v>
      </c>
      <c r="G98" s="70" t="n">
        <f aca="false">G$46</f>
        <v>2028</v>
      </c>
      <c r="H98" s="70" t="n">
        <f aca="false">H$46</f>
        <v>2029</v>
      </c>
      <c r="I98" s="70" t="n">
        <f aca="false">I$46</f>
        <v>2030</v>
      </c>
      <c r="J98" s="70" t="n">
        <f aca="false">J$46</f>
        <v>2031</v>
      </c>
      <c r="K98" s="70" t="n">
        <f aca="false">K$46</f>
        <v>2032</v>
      </c>
      <c r="L98" s="70" t="n">
        <f aca="false">L$46</f>
        <v>2033</v>
      </c>
      <c r="M98" s="70" t="n">
        <f aca="false">M$46</f>
        <v>2034</v>
      </c>
      <c r="N98" s="70" t="n">
        <f aca="false">N$46</f>
        <v>2035</v>
      </c>
      <c r="O98" s="70" t="n">
        <f aca="false">O$46</f>
        <v>2036</v>
      </c>
      <c r="P98" s="70" t="n">
        <f aca="false">P$46</f>
        <v>2037</v>
      </c>
      <c r="Q98" s="70" t="n">
        <f aca="false">Q$46</f>
        <v>2038</v>
      </c>
      <c r="R98" s="70" t="n">
        <f aca="false">R$46</f>
        <v>2039</v>
      </c>
      <c r="S98" s="70" t="n">
        <f aca="false">S$46</f>
        <v>2040</v>
      </c>
      <c r="T98" s="70" t="n">
        <f aca="false">T$46</f>
        <v>2041</v>
      </c>
      <c r="U98" s="70" t="n">
        <f aca="false">U$46</f>
        <v>2042</v>
      </c>
      <c r="V98" s="70" t="n">
        <f aca="false">V$46</f>
        <v>2043</v>
      </c>
      <c r="W98" s="70" t="n">
        <f aca="false">W$46</f>
        <v>2044</v>
      </c>
      <c r="X98" s="70" t="n">
        <f aca="false">X$46</f>
        <v>2045</v>
      </c>
      <c r="Y98" s="70" t="n">
        <f aca="false">Y$46</f>
        <v>2046</v>
      </c>
      <c r="Z98" s="70" t="n">
        <f aca="false">Z$46</f>
        <v>2047</v>
      </c>
      <c r="AA98" s="70" t="n">
        <f aca="false">AA$46</f>
        <v>2048</v>
      </c>
      <c r="AB98" s="70" t="n">
        <f aca="false">AB$46</f>
        <v>2049</v>
      </c>
      <c r="AC98" s="70" t="n">
        <f aca="false">AC$46</f>
        <v>2050</v>
      </c>
      <c r="AD98" s="70" t="n">
        <f aca="false">AD$46</f>
        <v>2051</v>
      </c>
      <c r="AE98" s="70" t="n">
        <f aca="false">AE$46</f>
        <v>2052</v>
      </c>
      <c r="AF98" s="70" t="n">
        <f aca="false">AF$46</f>
        <v>2053</v>
      </c>
      <c r="AG98" s="70" t="n">
        <f aca="false">AG$46</f>
        <v>2054</v>
      </c>
      <c r="AH98" s="70" t="n">
        <f aca="false">AH$46</f>
        <v>2055</v>
      </c>
      <c r="AI98" s="70" t="n">
        <f aca="false">AI$46</f>
        <v>2056</v>
      </c>
      <c r="AJ98" s="70" t="n">
        <f aca="false">AJ$46</f>
        <v>2057</v>
      </c>
      <c r="AK98" s="70" t="n">
        <f aca="false">AK$46</f>
        <v>2058</v>
      </c>
      <c r="AL98" s="70" t="n">
        <f aca="false">AL$46</f>
        <v>2059</v>
      </c>
      <c r="AM98" s="70" t="n">
        <f aca="false">AM$46</f>
        <v>2060</v>
      </c>
      <c r="AN98" s="70" t="n">
        <f aca="false">AN$46</f>
        <v>2061</v>
      </c>
      <c r="AO98" s="70" t="n">
        <f aca="false">AO$46</f>
        <v>2062</v>
      </c>
      <c r="AP98" s="70" t="n">
        <f aca="false">AP$46</f>
        <v>2063</v>
      </c>
      <c r="AQ98" s="70" t="n">
        <f aca="false">AQ$46</f>
        <v>2064</v>
      </c>
      <c r="AR98" s="70" t="n">
        <f aca="false">AR$46</f>
        <v>2065</v>
      </c>
      <c r="AS98" s="70" t="n">
        <f aca="false">AS$46</f>
        <v>2066</v>
      </c>
      <c r="AT98" s="70" t="n">
        <f aca="false">AT$46</f>
        <v>2067</v>
      </c>
      <c r="AU98" s="70" t="n">
        <f aca="false">AU$46</f>
        <v>2068</v>
      </c>
      <c r="AV98" s="70" t="n">
        <f aca="false">AV$46</f>
        <v>2069</v>
      </c>
      <c r="AW98" s="70" t="n">
        <f aca="false">AW$46</f>
        <v>2070</v>
      </c>
      <c r="AX98" s="70" t="n">
        <f aca="false">AX$46</f>
        <v>2071</v>
      </c>
      <c r="AY98" s="70" t="n">
        <f aca="false">AY$46</f>
        <v>2072</v>
      </c>
      <c r="AZ98" s="70" t="n">
        <f aca="false">AZ$46</f>
        <v>2073</v>
      </c>
      <c r="BA98" s="70" t="n">
        <f aca="false">BA$46</f>
        <v>2074</v>
      </c>
      <c r="BB98" s="70" t="n">
        <f aca="false">BB$46</f>
        <v>2075</v>
      </c>
    </row>
    <row r="99" customFormat="false" ht="15" hidden="false" customHeight="true" outlineLevel="0" collapsed="false">
      <c r="B99" s="59" t="s">
        <v>499</v>
      </c>
      <c r="C99" s="59" t="s">
        <v>11</v>
      </c>
      <c r="D99" s="63" t="n">
        <f aca="false">SUM(E99:BB99)</f>
        <v>0</v>
      </c>
      <c r="E99" s="66" t="n">
        <f aca="false">-E56*$C$16+E93</f>
        <v>0</v>
      </c>
      <c r="F99" s="66" t="n">
        <f aca="false">-F56*$C$16+F93</f>
        <v>0</v>
      </c>
      <c r="G99" s="66" t="n">
        <f aca="false">-G56*$C$16+G93</f>
        <v>0</v>
      </c>
      <c r="H99" s="66" t="n">
        <f aca="false">-H56*$C$16+H93</f>
        <v>0</v>
      </c>
      <c r="I99" s="66" t="n">
        <f aca="false">-I56*$C$16+I93</f>
        <v>0</v>
      </c>
      <c r="J99" s="66" t="n">
        <f aca="false">-J56*$C$16+J93</f>
        <v>0</v>
      </c>
      <c r="K99" s="66" t="n">
        <f aca="false">-K56*$C$16+K93</f>
        <v>0</v>
      </c>
      <c r="L99" s="66" t="n">
        <f aca="false">-L56*$C$16+L93</f>
        <v>0</v>
      </c>
      <c r="M99" s="66" t="n">
        <f aca="false">-M56*$C$16+M93</f>
        <v>0</v>
      </c>
      <c r="N99" s="66" t="n">
        <f aca="false">-N56*$C$16+N93</f>
        <v>0</v>
      </c>
      <c r="O99" s="66" t="n">
        <f aca="false">-O56*$C$16+O93</f>
        <v>0</v>
      </c>
      <c r="P99" s="66" t="n">
        <f aca="false">-P56*$C$16+P93</f>
        <v>0</v>
      </c>
      <c r="Q99" s="66" t="n">
        <f aca="false">-Q56*$C$16+Q93</f>
        <v>0</v>
      </c>
      <c r="R99" s="66" t="n">
        <f aca="false">-R56*$C$16+R93</f>
        <v>0</v>
      </c>
      <c r="S99" s="66" t="n">
        <f aca="false">-S56*$C$16+S93</f>
        <v>0</v>
      </c>
      <c r="T99" s="66" t="n">
        <f aca="false">-T56*$C$16+T93</f>
        <v>0</v>
      </c>
      <c r="U99" s="66" t="n">
        <f aca="false">-U56*$C$16+U93</f>
        <v>0</v>
      </c>
      <c r="V99" s="66" t="n">
        <f aca="false">-V56*$C$16+V93</f>
        <v>0</v>
      </c>
      <c r="W99" s="66" t="n">
        <f aca="false">-W56*$C$16+W93</f>
        <v>0</v>
      </c>
      <c r="X99" s="66" t="n">
        <f aca="false">-X56*$C$16+X93</f>
        <v>0</v>
      </c>
      <c r="Y99" s="66" t="n">
        <f aca="false">-Y56*$C$16+Y93</f>
        <v>0</v>
      </c>
      <c r="Z99" s="66" t="n">
        <f aca="false">-Z56*$C$16+Z93</f>
        <v>0</v>
      </c>
      <c r="AA99" s="66" t="n">
        <f aca="false">-AA56*$C$16+AA93</f>
        <v>0</v>
      </c>
      <c r="AB99" s="66" t="n">
        <f aca="false">-AB56*$C$16+AB93</f>
        <v>0</v>
      </c>
      <c r="AC99" s="66" t="n">
        <f aca="false">-AC56*$C$16+AC93</f>
        <v>0</v>
      </c>
      <c r="AD99" s="66" t="n">
        <f aca="false">-AD56*$C$16+AD93</f>
        <v>0</v>
      </c>
      <c r="AE99" s="66" t="n">
        <f aca="false">-AE56*$C$16+AE93</f>
        <v>0</v>
      </c>
      <c r="AF99" s="66" t="n">
        <f aca="false">-AF56*$C$16+AF93</f>
        <v>0</v>
      </c>
      <c r="AG99" s="66" t="n">
        <f aca="false">-AG56*$C$16+AG93</f>
        <v>0</v>
      </c>
      <c r="AH99" s="66" t="n">
        <f aca="false">-AH56*$C$16+AH93</f>
        <v>0</v>
      </c>
      <c r="AI99" s="66" t="n">
        <f aca="false">-AI56*$C$16+AI93</f>
        <v>0</v>
      </c>
      <c r="AJ99" s="66" t="n">
        <f aca="false">-AJ56*$C$16+AJ93</f>
        <v>0</v>
      </c>
      <c r="AK99" s="66" t="n">
        <f aca="false">-AK56*$C$16+AK93</f>
        <v>0</v>
      </c>
      <c r="AL99" s="66" t="n">
        <f aca="false">-AL56*$C$16+AL93</f>
        <v>0</v>
      </c>
      <c r="AM99" s="66" t="n">
        <f aca="false">-AM56*$C$16+AM93</f>
        <v>0</v>
      </c>
      <c r="AN99" s="66" t="n">
        <f aca="false">-AN56*$C$16+AN93</f>
        <v>0</v>
      </c>
      <c r="AO99" s="66" t="n">
        <f aca="false">-AO56*$C$16+AO93</f>
        <v>0</v>
      </c>
      <c r="AP99" s="66" t="n">
        <f aca="false">-AP56*$C$16+AP93</f>
        <v>0</v>
      </c>
      <c r="AQ99" s="66" t="n">
        <f aca="false">-AQ56*$C$16+AQ93</f>
        <v>0</v>
      </c>
      <c r="AR99" s="66" t="n">
        <f aca="false">-AR56*$C$16+AR93</f>
        <v>0</v>
      </c>
      <c r="AS99" s="66" t="n">
        <f aca="false">-AS56*$C$16+AS93</f>
        <v>0</v>
      </c>
      <c r="AT99" s="66" t="n">
        <f aca="false">-AT56*$C$16+AT93</f>
        <v>0</v>
      </c>
      <c r="AU99" s="66" t="n">
        <f aca="false">-AU56*$C$16+AU93</f>
        <v>0</v>
      </c>
      <c r="AV99" s="66" t="n">
        <f aca="false">-AV56*$C$16+AV93</f>
        <v>0</v>
      </c>
      <c r="AW99" s="66" t="n">
        <f aca="false">-AW56*$C$16+AW93</f>
        <v>0</v>
      </c>
      <c r="AX99" s="66" t="n">
        <f aca="false">-AX56*$C$16+AX93</f>
        <v>0</v>
      </c>
      <c r="AY99" s="66" t="n">
        <f aca="false">-AY56*$C$16+AY93</f>
        <v>0</v>
      </c>
      <c r="AZ99" s="66" t="n">
        <f aca="false">-AZ56*$C$16+AZ93</f>
        <v>0</v>
      </c>
      <c r="BA99" s="66" t="n">
        <f aca="false">-BA56*$C$16+BA93</f>
        <v>0</v>
      </c>
      <c r="BB99" s="66" t="n">
        <f aca="false">-BB56*$C$16+BB93</f>
        <v>0</v>
      </c>
    </row>
    <row r="100" customFormat="false" ht="15" hidden="false" customHeight="true" outlineLevel="0" collapsed="false">
      <c r="B100" s="59" t="s">
        <v>500</v>
      </c>
      <c r="C100" s="59" t="s">
        <v>11</v>
      </c>
      <c r="E100" s="66" t="n">
        <f aca="false">E99</f>
        <v>0</v>
      </c>
      <c r="F100" s="66" t="n">
        <f aca="false">E100+F99</f>
        <v>0</v>
      </c>
      <c r="G100" s="66" t="n">
        <f aca="false">F100+G99</f>
        <v>0</v>
      </c>
      <c r="H100" s="66" t="n">
        <f aca="false">G100+H99</f>
        <v>0</v>
      </c>
      <c r="I100" s="66" t="n">
        <f aca="false">H100+I99</f>
        <v>0</v>
      </c>
      <c r="J100" s="66" t="n">
        <f aca="false">I100+J99</f>
        <v>0</v>
      </c>
      <c r="K100" s="66" t="n">
        <f aca="false">J100+K99</f>
        <v>0</v>
      </c>
      <c r="L100" s="66" t="n">
        <f aca="false">K100+L99</f>
        <v>0</v>
      </c>
      <c r="M100" s="66" t="n">
        <f aca="false">L100+M99</f>
        <v>0</v>
      </c>
      <c r="N100" s="66" t="n">
        <f aca="false">M100+N99</f>
        <v>0</v>
      </c>
      <c r="O100" s="66" t="n">
        <f aca="false">N100+O99</f>
        <v>0</v>
      </c>
      <c r="P100" s="66" t="n">
        <f aca="false">O100+P99</f>
        <v>0</v>
      </c>
      <c r="Q100" s="66" t="n">
        <f aca="false">P100+Q99</f>
        <v>0</v>
      </c>
      <c r="R100" s="66" t="n">
        <f aca="false">Q100+R99</f>
        <v>0</v>
      </c>
      <c r="S100" s="66" t="n">
        <f aca="false">R100+S99</f>
        <v>0</v>
      </c>
      <c r="T100" s="66" t="n">
        <f aca="false">S100+T99</f>
        <v>0</v>
      </c>
      <c r="U100" s="66" t="n">
        <f aca="false">T100+U99</f>
        <v>0</v>
      </c>
      <c r="V100" s="66" t="n">
        <f aca="false">U100+V99</f>
        <v>0</v>
      </c>
      <c r="W100" s="66" t="n">
        <f aca="false">V100+W99</f>
        <v>0</v>
      </c>
      <c r="X100" s="66" t="n">
        <f aca="false">W100+X99</f>
        <v>0</v>
      </c>
      <c r="Y100" s="66" t="n">
        <f aca="false">X100+Y99</f>
        <v>0</v>
      </c>
      <c r="Z100" s="66" t="n">
        <f aca="false">Y100+Z99</f>
        <v>0</v>
      </c>
      <c r="AA100" s="66" t="n">
        <f aca="false">Z100+AA99</f>
        <v>0</v>
      </c>
      <c r="AB100" s="66" t="n">
        <f aca="false">AA100+AB99</f>
        <v>0</v>
      </c>
      <c r="AC100" s="66" t="n">
        <f aca="false">AB100+AC99</f>
        <v>0</v>
      </c>
      <c r="AD100" s="66" t="n">
        <f aca="false">AC100+AD99</f>
        <v>0</v>
      </c>
      <c r="AE100" s="66" t="n">
        <f aca="false">AD100+AE99</f>
        <v>0</v>
      </c>
      <c r="AF100" s="66" t="n">
        <f aca="false">AE100+AF99</f>
        <v>0</v>
      </c>
      <c r="AG100" s="66" t="n">
        <f aca="false">AF100+AG99</f>
        <v>0</v>
      </c>
      <c r="AH100" s="66" t="n">
        <f aca="false">AG100+AH99</f>
        <v>0</v>
      </c>
      <c r="AI100" s="66" t="n">
        <f aca="false">AH100+AI99</f>
        <v>0</v>
      </c>
      <c r="AJ100" s="66" t="n">
        <f aca="false">AI100+AJ99</f>
        <v>0</v>
      </c>
      <c r="AK100" s="66" t="n">
        <f aca="false">AJ100+AK99</f>
        <v>0</v>
      </c>
      <c r="AL100" s="66" t="n">
        <f aca="false">AK100+AL99</f>
        <v>0</v>
      </c>
      <c r="AM100" s="66" t="n">
        <f aca="false">AL100+AM99</f>
        <v>0</v>
      </c>
      <c r="AN100" s="66" t="n">
        <f aca="false">AM100+AN99</f>
        <v>0</v>
      </c>
      <c r="AO100" s="66" t="n">
        <f aca="false">AN100+AO99</f>
        <v>0</v>
      </c>
      <c r="AP100" s="66" t="n">
        <f aca="false">AO100+AP99</f>
        <v>0</v>
      </c>
      <c r="AQ100" s="66" t="n">
        <f aca="false">AP100+AQ99</f>
        <v>0</v>
      </c>
      <c r="AR100" s="66" t="n">
        <f aca="false">AQ100+AR99</f>
        <v>0</v>
      </c>
      <c r="AS100" s="66" t="n">
        <f aca="false">AR100+AS99</f>
        <v>0</v>
      </c>
      <c r="AT100" s="66" t="n">
        <f aca="false">AS100+AT99</f>
        <v>0</v>
      </c>
      <c r="AU100" s="66" t="n">
        <f aca="false">AT100+AU99</f>
        <v>0</v>
      </c>
      <c r="AV100" s="66" t="n">
        <f aca="false">AU100+AV99</f>
        <v>0</v>
      </c>
      <c r="AW100" s="66" t="n">
        <f aca="false">AV100+AW99</f>
        <v>0</v>
      </c>
      <c r="AX100" s="66" t="n">
        <f aca="false">AW100+AX99</f>
        <v>0</v>
      </c>
      <c r="AY100" s="66" t="n">
        <f aca="false">AX100+AY99</f>
        <v>0</v>
      </c>
      <c r="AZ100" s="66" t="n">
        <f aca="false">AY100+AZ99</f>
        <v>0</v>
      </c>
      <c r="BA100" s="66" t="n">
        <f aca="false">AZ100+BA99</f>
        <v>0</v>
      </c>
      <c r="BB100" s="66" t="n">
        <f aca="false">BA100+BB99</f>
        <v>0</v>
      </c>
    </row>
    <row r="101" customFormat="false" ht="15" hidden="false" customHeight="true" outlineLevel="0" collapsed="false">
      <c r="B101" s="20" t="s">
        <v>501</v>
      </c>
      <c r="C101" s="59" t="s">
        <v>268</v>
      </c>
      <c r="E101" s="67" t="str">
        <f aca="false">IFERROR(IRR(E99:BB99),"-")</f>
        <v>-</v>
      </c>
    </row>
    <row r="103" customFormat="false" ht="15" hidden="false" customHeight="true" outlineLevel="0" collapsed="false">
      <c r="B103" s="59" t="s">
        <v>502</v>
      </c>
      <c r="C103" s="59" t="s">
        <v>11</v>
      </c>
      <c r="D103" s="63" t="n">
        <f aca="false">SUM(E103:BB103)</f>
        <v>0</v>
      </c>
      <c r="E103" s="66" t="n">
        <f aca="false">-E56*$C$15+E94</f>
        <v>0</v>
      </c>
      <c r="F103" s="66" t="n">
        <f aca="false">-F56*$C$15+F94</f>
        <v>0</v>
      </c>
      <c r="G103" s="66" t="n">
        <f aca="false">-G56*$C$15+G94</f>
        <v>0</v>
      </c>
      <c r="H103" s="66" t="n">
        <f aca="false">-H56*$C$15+H94</f>
        <v>0</v>
      </c>
      <c r="I103" s="66" t="n">
        <f aca="false">-I56*$C$15+I94</f>
        <v>0</v>
      </c>
      <c r="J103" s="66" t="n">
        <f aca="false">-J56*$C$15+J94</f>
        <v>0</v>
      </c>
      <c r="K103" s="66" t="n">
        <f aca="false">-K56*$C$15+K94</f>
        <v>0</v>
      </c>
      <c r="L103" s="66" t="n">
        <f aca="false">-L56*$C$15+L94</f>
        <v>0</v>
      </c>
      <c r="M103" s="66" t="n">
        <f aca="false">-M56*$C$15+M94</f>
        <v>0</v>
      </c>
      <c r="N103" s="66" t="n">
        <f aca="false">-N56*$C$15+N94</f>
        <v>0</v>
      </c>
      <c r="O103" s="66" t="n">
        <f aca="false">-O56*$C$15+O94</f>
        <v>0</v>
      </c>
      <c r="P103" s="66" t="n">
        <f aca="false">-P56*$C$15+P94</f>
        <v>0</v>
      </c>
      <c r="Q103" s="66" t="n">
        <f aca="false">-Q56*$C$15+Q94</f>
        <v>0</v>
      </c>
      <c r="R103" s="66" t="n">
        <f aca="false">-R56*$C$15+R94</f>
        <v>0</v>
      </c>
      <c r="S103" s="66" t="n">
        <f aca="false">-S56*$C$15+S94</f>
        <v>0</v>
      </c>
      <c r="T103" s="66" t="n">
        <f aca="false">-T56*$C$15+T94</f>
        <v>0</v>
      </c>
      <c r="U103" s="66" t="n">
        <f aca="false">-U56*$C$15+U94</f>
        <v>0</v>
      </c>
      <c r="V103" s="66" t="n">
        <f aca="false">-V56*$C$15+V94</f>
        <v>0</v>
      </c>
      <c r="W103" s="66" t="n">
        <f aca="false">-W56*$C$15+W94</f>
        <v>0</v>
      </c>
      <c r="X103" s="66" t="n">
        <f aca="false">-X56*$C$15+X94</f>
        <v>0</v>
      </c>
      <c r="Y103" s="66" t="n">
        <f aca="false">-Y56*$C$15+Y94</f>
        <v>0</v>
      </c>
      <c r="Z103" s="66" t="n">
        <f aca="false">-Z56*$C$15+Z94</f>
        <v>0</v>
      </c>
      <c r="AA103" s="66" t="n">
        <f aca="false">-AA56*$C$15+AA94</f>
        <v>0</v>
      </c>
      <c r="AB103" s="66" t="n">
        <f aca="false">-AB56*$C$15+AB94</f>
        <v>0</v>
      </c>
      <c r="AC103" s="66" t="n">
        <f aca="false">-AC56*$C$15+AC94</f>
        <v>0</v>
      </c>
      <c r="AD103" s="66" t="n">
        <f aca="false">-AD56*$C$15+AD94</f>
        <v>0</v>
      </c>
      <c r="AE103" s="66" t="n">
        <f aca="false">-AE56*$C$15+AE94</f>
        <v>0</v>
      </c>
      <c r="AF103" s="66" t="n">
        <f aca="false">-AF56*$C$15+AF94</f>
        <v>0</v>
      </c>
      <c r="AG103" s="66" t="n">
        <f aca="false">-AG56*$C$15+AG94</f>
        <v>0</v>
      </c>
      <c r="AH103" s="66" t="n">
        <f aca="false">-AH56*$C$15+AH94</f>
        <v>0</v>
      </c>
      <c r="AI103" s="66" t="n">
        <f aca="false">-AI56*$C$15+AI94</f>
        <v>0</v>
      </c>
      <c r="AJ103" s="66" t="n">
        <f aca="false">-AJ56*$C$15+AJ94</f>
        <v>0</v>
      </c>
      <c r="AK103" s="66" t="n">
        <f aca="false">-AK56*$C$15+AK94</f>
        <v>0</v>
      </c>
      <c r="AL103" s="66" t="n">
        <f aca="false">-AL56*$C$15+AL94</f>
        <v>0</v>
      </c>
      <c r="AM103" s="66" t="n">
        <f aca="false">-AM56*$C$15+AM94</f>
        <v>0</v>
      </c>
      <c r="AN103" s="66" t="n">
        <f aca="false">-AN56*$C$15+AN94</f>
        <v>0</v>
      </c>
      <c r="AO103" s="66" t="n">
        <f aca="false">-AO56*$C$15+AO94</f>
        <v>0</v>
      </c>
      <c r="AP103" s="66" t="n">
        <f aca="false">-AP56*$C$15+AP94</f>
        <v>0</v>
      </c>
      <c r="AQ103" s="66" t="n">
        <f aca="false">-AQ56*$C$15+AQ94</f>
        <v>0</v>
      </c>
      <c r="AR103" s="66" t="n">
        <f aca="false">-AR56*$C$15+AR94</f>
        <v>0</v>
      </c>
      <c r="AS103" s="66" t="n">
        <f aca="false">-AS56*$C$15+AS94</f>
        <v>0</v>
      </c>
      <c r="AT103" s="66" t="n">
        <f aca="false">-AT56*$C$15+AT94</f>
        <v>0</v>
      </c>
      <c r="AU103" s="66" t="n">
        <f aca="false">-AU56*$C$15+AU94</f>
        <v>0</v>
      </c>
      <c r="AV103" s="66" t="n">
        <f aca="false">-AV56*$C$15+AV94</f>
        <v>0</v>
      </c>
      <c r="AW103" s="66" t="n">
        <f aca="false">-AW56*$C$15+AW94</f>
        <v>0</v>
      </c>
      <c r="AX103" s="66" t="n">
        <f aca="false">-AX56*$C$15+AX94</f>
        <v>0</v>
      </c>
      <c r="AY103" s="66" t="n">
        <f aca="false">-AY56*$C$15+AY94</f>
        <v>0</v>
      </c>
      <c r="AZ103" s="66" t="n">
        <f aca="false">-AZ56*$C$15+AZ94</f>
        <v>0</v>
      </c>
      <c r="BA103" s="66" t="n">
        <f aca="false">-BA56*$C$15+BA94</f>
        <v>0</v>
      </c>
      <c r="BB103" s="66" t="n">
        <f aca="false">-BB56*$C$15+BB94</f>
        <v>0</v>
      </c>
    </row>
    <row r="104" customFormat="false" ht="15" hidden="false" customHeight="true" outlineLevel="0" collapsed="false">
      <c r="B104" s="20" t="s">
        <v>503</v>
      </c>
      <c r="C104" s="59" t="s">
        <v>268</v>
      </c>
      <c r="E104" s="67" t="str">
        <f aca="false">IFERROR(IRR(E103:BB103),"-")</f>
        <v>-</v>
      </c>
    </row>
    <row r="106" customFormat="false" ht="15" hidden="false" customHeight="true" outlineLevel="0" collapsed="false">
      <c r="A106" s="58" t="s">
        <v>504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customFormat="false" ht="15" hidden="false" customHeight="true" outlineLevel="0" collapsed="false">
      <c r="B107" s="59" t="s">
        <v>505</v>
      </c>
      <c r="C107" s="71" t="str">
        <f aca="false">IFERROR(IRR(E52:BB52),"-")</f>
        <v>-</v>
      </c>
    </row>
    <row r="108" customFormat="false" ht="15" hidden="false" customHeight="true" outlineLevel="0" collapsed="false">
      <c r="B108" s="59" t="s">
        <v>501</v>
      </c>
      <c r="C108" s="71" t="str">
        <f aca="false">E101</f>
        <v>-</v>
      </c>
    </row>
    <row r="109" customFormat="false" ht="15" hidden="false" customHeight="true" outlineLevel="0" collapsed="false">
      <c r="B109" s="59" t="s">
        <v>503</v>
      </c>
      <c r="C109" s="71" t="str">
        <f aca="false">E104</f>
        <v>-</v>
      </c>
    </row>
    <row r="110" customFormat="false" ht="15" hidden="false" customHeight="true" outlineLevel="0" collapsed="false">
      <c r="B110" s="59" t="s">
        <v>399</v>
      </c>
      <c r="C110" s="72" t="str">
        <f aca="false">IFERROR(D93/(D56*$C$16),"-")</f>
        <v>-</v>
      </c>
    </row>
    <row r="111" customFormat="false" ht="15" hidden="false" customHeight="true" outlineLevel="0" collapsed="false">
      <c r="B111" s="59" t="s">
        <v>400</v>
      </c>
      <c r="C111" s="72" t="str">
        <f aca="false">IFERROR(D94/(D56*$C$15),"-")</f>
        <v>-</v>
      </c>
    </row>
    <row r="113" customFormat="false" ht="15" hidden="false" customHeight="true" outlineLevel="0" collapsed="false">
      <c r="B113" s="59" t="s">
        <v>421</v>
      </c>
      <c r="C113" s="63" t="n">
        <f aca="false">$C$14</f>
        <v>0</v>
      </c>
    </row>
    <row r="114" customFormat="false" ht="15" hidden="false" customHeight="true" outlineLevel="0" collapsed="false">
      <c r="B114" s="59" t="s">
        <v>506</v>
      </c>
      <c r="C114" s="63" t="n">
        <f aca="false">D57</f>
        <v>0</v>
      </c>
    </row>
    <row r="115" customFormat="false" ht="15" hidden="false" customHeight="true" outlineLevel="0" collapsed="false">
      <c r="B115" s="59" t="s">
        <v>507</v>
      </c>
      <c r="C115" s="63" t="n">
        <f aca="false">D69</f>
        <v>0</v>
      </c>
    </row>
    <row r="116" customFormat="false" ht="15" hidden="false" customHeight="true" outlineLevel="0" collapsed="false">
      <c r="B116" s="59" t="s">
        <v>508</v>
      </c>
      <c r="C116" s="63" t="n">
        <f aca="false">D51</f>
        <v>0</v>
      </c>
    </row>
    <row r="118" customFormat="false" ht="15" hidden="false" customHeight="true" outlineLevel="0" collapsed="false">
      <c r="A118" s="58" t="s">
        <v>509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customFormat="false" ht="15" hidden="false" customHeight="true" outlineLevel="0" collapsed="false">
      <c r="B119" s="59" t="s">
        <v>510</v>
      </c>
      <c r="C119" s="59" t="str">
        <f aca="false">IF(ABS(D50-(D47+D48+D49))&lt;1,"✓","✗")</f>
        <v>✓</v>
      </c>
    </row>
    <row r="120" customFormat="false" ht="15" hidden="false" customHeight="true" outlineLevel="0" collapsed="false">
      <c r="B120" s="59" t="s">
        <v>511</v>
      </c>
      <c r="C120" s="59" t="str">
        <f aca="false">IF(ABS(D56-($C$14+D70))&lt;MAX(1,$C$14*0.05),"✓","✗")</f>
        <v>✓</v>
      </c>
    </row>
    <row r="121" customFormat="false" ht="15" hidden="false" customHeight="true" outlineLevel="0" collapsed="false">
      <c r="B121" s="59" t="s">
        <v>512</v>
      </c>
      <c r="C121" s="59" t="str">
        <f aca="false">IF(D95&lt;=D75+1,"✓","✗")</f>
        <v>✓</v>
      </c>
    </row>
    <row r="122" customFormat="false" ht="15" hidden="false" customHeight="true" outlineLevel="0" collapsed="false">
      <c r="B122" s="59" t="s">
        <v>513</v>
      </c>
      <c r="C122" s="59" t="str">
        <f aca="false">IF(MIN(E60:BB60)&gt;=0,"✓","✗")</f>
        <v>✓</v>
      </c>
    </row>
    <row r="123" customFormat="false" ht="15" hidden="false" customHeight="true" outlineLevel="0" collapsed="false">
      <c r="B123" s="59" t="s">
        <v>514</v>
      </c>
      <c r="C123" s="59" t="str">
        <f aca="false">IF(ABS(D95-(D93+D94))&lt;1,"✓","✗")</f>
        <v>✓</v>
      </c>
    </row>
    <row r="124" customFormat="false" ht="15" hidden="false" customHeight="true" outlineLevel="0" collapsed="false">
      <c r="B124" s="59" t="s">
        <v>515</v>
      </c>
      <c r="C124" s="59" t="str">
        <f aca="false">IF(IFERROR(VLOOKUP($C$9+$C$24,E46:BB60,MATCH($C$9+$C$24,E46:BB46,0),FALSE()),0)&lt;=1,"✓","✗")</f>
        <v>✓</v>
      </c>
    </row>
    <row r="125" customFormat="false" ht="15" hidden="false" customHeight="true" outlineLevel="0" collapsed="false">
      <c r="A125" s="58" t="s">
        <v>516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7" customFormat="false" ht="15" hidden="false" customHeight="true" outlineLevel="0" collapsed="false">
      <c r="B127" s="59" t="s">
        <v>517</v>
      </c>
      <c r="C127" s="59" t="s">
        <v>518</v>
      </c>
      <c r="D127" s="66" t="n">
        <f aca="false">IFERROR(E52+NPV(0.1,F52:BB52),"-")</f>
        <v>0</v>
      </c>
    </row>
    <row r="128" customFormat="false" ht="15" hidden="false" customHeight="true" outlineLevel="0" collapsed="false">
      <c r="B128" s="59" t="s">
        <v>519</v>
      </c>
      <c r="C128" s="59" t="s">
        <v>518</v>
      </c>
      <c r="D128" s="66" t="n">
        <f aca="false">IFERROR(E99+NPV(0.1,F99:BB99),"-")</f>
        <v>0</v>
      </c>
    </row>
    <row r="129" customFormat="false" ht="15" hidden="false" customHeight="true" outlineLevel="0" collapsed="false">
      <c r="B129" s="59" t="s">
        <v>520</v>
      </c>
      <c r="C129" s="59" t="s">
        <v>518</v>
      </c>
      <c r="D129" s="66" t="n">
        <f aca="false">IFERROR(E103+NPV(0.1,F103:BB103),"-")</f>
        <v>0</v>
      </c>
    </row>
    <row r="131" customFormat="false" ht="15" hidden="false" customHeight="true" outlineLevel="0" collapsed="false">
      <c r="B131" s="59" t="s">
        <v>517</v>
      </c>
      <c r="C131" s="59" t="s">
        <v>521</v>
      </c>
      <c r="D131" s="66" t="n">
        <f aca="false">IFERROR(E52+NPV(0.12,F52:BB52),"-")</f>
        <v>0</v>
      </c>
    </row>
    <row r="132" customFormat="false" ht="15" hidden="false" customHeight="true" outlineLevel="0" collapsed="false">
      <c r="B132" s="59" t="s">
        <v>519</v>
      </c>
      <c r="C132" s="59" t="s">
        <v>521</v>
      </c>
      <c r="D132" s="66" t="n">
        <f aca="false">IFERROR(E99+NPV(0.12,F99:BB99),"-")</f>
        <v>0</v>
      </c>
    </row>
    <row r="133" customFormat="false" ht="15" hidden="false" customHeight="true" outlineLevel="0" collapsed="false">
      <c r="B133" s="59" t="s">
        <v>520</v>
      </c>
      <c r="C133" s="59" t="s">
        <v>521</v>
      </c>
      <c r="D133" s="66" t="n">
        <f aca="false">IFERROR(E103+NPV(0.12,F103:BB103),"-")</f>
        <v>0</v>
      </c>
    </row>
    <row r="135" customFormat="false" ht="15" hidden="false" customHeight="true" outlineLevel="0" collapsed="false">
      <c r="B135" s="59" t="s">
        <v>517</v>
      </c>
      <c r="C135" s="59" t="s">
        <v>522</v>
      </c>
      <c r="D135" s="66" t="n">
        <f aca="false">IFERROR(E52+NPV(0.14,F52:BB52),"-")</f>
        <v>0</v>
      </c>
    </row>
    <row r="136" customFormat="false" ht="15" hidden="false" customHeight="true" outlineLevel="0" collapsed="false">
      <c r="B136" s="59" t="s">
        <v>519</v>
      </c>
      <c r="C136" s="59" t="s">
        <v>522</v>
      </c>
      <c r="D136" s="66" t="n">
        <f aca="false">IFERROR(E99+NPV(0.14,F99:BB99),"-")</f>
        <v>0</v>
      </c>
    </row>
    <row r="137" customFormat="false" ht="15" hidden="false" customHeight="true" outlineLevel="0" collapsed="false">
      <c r="B137" s="59" t="s">
        <v>520</v>
      </c>
      <c r="C137" s="59" t="s">
        <v>522</v>
      </c>
      <c r="D137" s="66" t="n">
        <f aca="false">IFERROR(E103+NPV(0.14,F103:BB103),"-")</f>
        <v>0</v>
      </c>
    </row>
    <row r="140" customFormat="false" ht="15" hidden="false" customHeight="true" outlineLevel="0" collapsed="false">
      <c r="A140" s="58" t="s">
        <v>238</v>
      </c>
      <c r="B140" s="58"/>
      <c r="C140" s="58"/>
      <c r="D140" s="58"/>
    </row>
    <row r="141" customFormat="false" ht="15" hidden="true" customHeight="true" outlineLevel="1" collapsed="false">
      <c r="B141" s="59" t="s">
        <v>523</v>
      </c>
      <c r="C141" s="61" t="n">
        <f aca="false">C17</f>
        <v>0</v>
      </c>
    </row>
    <row r="142" customFormat="false" ht="15" hidden="true" customHeight="true" outlineLevel="1" collapsed="false">
      <c r="B142" s="59" t="s">
        <v>524</v>
      </c>
      <c r="C142" s="61" t="n">
        <f aca="false">C12</f>
        <v>0</v>
      </c>
    </row>
    <row r="143" customFormat="false" ht="15" hidden="true" customHeight="true" outlineLevel="1" collapsed="false">
      <c r="B143" s="59" t="s">
        <v>427</v>
      </c>
      <c r="C143" s="61" t="n">
        <f aca="false">C19</f>
        <v>0</v>
      </c>
    </row>
    <row r="144" customFormat="false" ht="15" hidden="true" customHeight="true" outlineLevel="1" collapsed="false">
      <c r="B144" s="59" t="s">
        <v>421</v>
      </c>
      <c r="C144" s="61" t="n">
        <f aca="false">C14</f>
        <v>0</v>
      </c>
    </row>
  </sheetData>
  <sheetProtection sheet="true" password="ce4b"/>
  <dataValidations count="1">
    <dataValidation allowBlank="false" errorStyle="stop" operator="between" showDropDown="false" showErrorMessage="false" showInputMessage="false" sqref="C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528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402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403</v>
      </c>
      <c r="C4" s="24" t="s">
        <v>404</v>
      </c>
      <c r="D4" s="30" t="s">
        <v>405</v>
      </c>
    </row>
    <row r="5" customFormat="false" ht="15" hidden="false" customHeight="true" outlineLevel="0" collapsed="false">
      <c r="B5" s="59" t="s">
        <v>406</v>
      </c>
      <c r="C5" s="59" t="s">
        <v>49</v>
      </c>
      <c r="D5" s="30" t="s">
        <v>407</v>
      </c>
    </row>
    <row r="6" customFormat="false" ht="15" hidden="false" customHeight="true" outlineLevel="0" collapsed="false">
      <c r="B6" s="59" t="s">
        <v>408</v>
      </c>
      <c r="C6" s="24" t="s">
        <v>87</v>
      </c>
      <c r="D6" s="30" t="s">
        <v>409</v>
      </c>
    </row>
    <row r="7" customFormat="false" ht="15" hidden="false" customHeight="true" outlineLevel="0" collapsed="false">
      <c r="B7" s="59" t="s">
        <v>410</v>
      </c>
      <c r="C7" s="24" t="s">
        <v>411</v>
      </c>
      <c r="D7" s="30" t="s">
        <v>412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  <c r="D8" s="30" t="s">
        <v>413</v>
      </c>
    </row>
    <row r="9" customFormat="false" ht="15" hidden="false" customHeight="true" outlineLevel="0" collapsed="false">
      <c r="B9" s="59" t="s">
        <v>414</v>
      </c>
      <c r="C9" s="65" t="n">
        <f aca="false">Inputs!C7+Inputs!C49-1</f>
        <v>2032</v>
      </c>
      <c r="D9" s="30" t="s">
        <v>415</v>
      </c>
    </row>
    <row r="11" customFormat="false" ht="15" hidden="false" customHeight="true" outlineLevel="0" collapsed="false">
      <c r="A11" s="58" t="s">
        <v>416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customFormat="false" ht="15" hidden="false" customHeight="true" outlineLevel="0" collapsed="false">
      <c r="B12" s="59" t="s">
        <v>417</v>
      </c>
      <c r="C12" s="61" t="n">
        <f aca="false">Inputs!E71</f>
        <v>0</v>
      </c>
      <c r="D12" s="30" t="s">
        <v>418</v>
      </c>
    </row>
    <row r="13" customFormat="false" ht="15" hidden="false" customHeight="true" outlineLevel="0" collapsed="false">
      <c r="B13" s="59" t="s">
        <v>419</v>
      </c>
      <c r="C13" s="66" t="n">
        <f aca="false">C14-C12</f>
        <v>0</v>
      </c>
      <c r="D13" s="30" t="s">
        <v>420</v>
      </c>
    </row>
    <row r="14" customFormat="false" ht="15" hidden="false" customHeight="true" outlineLevel="0" collapsed="false">
      <c r="B14" s="59" t="s">
        <v>421</v>
      </c>
      <c r="C14" s="63" t="n">
        <f aca="false">C18-C19</f>
        <v>0</v>
      </c>
      <c r="D14" s="30" t="s">
        <v>422</v>
      </c>
    </row>
    <row r="15" customFormat="false" ht="15" hidden="false" customHeight="true" outlineLevel="0" collapsed="false">
      <c r="B15" s="59" t="s">
        <v>423</v>
      </c>
      <c r="C15" s="67" t="n">
        <f aca="false">IF(C14=0,0,C12/C14)</f>
        <v>0</v>
      </c>
    </row>
    <row r="16" customFormat="false" ht="15" hidden="false" customHeight="true" outlineLevel="0" collapsed="false">
      <c r="B16" s="59" t="s">
        <v>398</v>
      </c>
      <c r="C16" s="67" t="n">
        <f aca="false">IF(C14=0,0,C13/C14)</f>
        <v>0</v>
      </c>
    </row>
    <row r="17" customFormat="false" ht="15" hidden="false" customHeight="true" outlineLevel="0" collapsed="false">
      <c r="B17" s="59" t="s">
        <v>424</v>
      </c>
      <c r="C17" s="61" t="n">
        <f aca="false">CAPEX!D40</f>
        <v>0</v>
      </c>
    </row>
    <row r="18" customFormat="false" ht="15" hidden="false" customHeight="true" outlineLevel="0" collapsed="false">
      <c r="B18" s="59" t="s">
        <v>425</v>
      </c>
      <c r="C18" s="63" t="n">
        <f aca="false">C17+C12</f>
        <v>0</v>
      </c>
      <c r="D18" s="30" t="s">
        <v>426</v>
      </c>
    </row>
    <row r="19" customFormat="false" ht="15" hidden="false" customHeight="true" outlineLevel="0" collapsed="false">
      <c r="B19" s="59" t="s">
        <v>427</v>
      </c>
      <c r="C19" s="61" t="n">
        <f aca="false">IF($C$22="Y",C18*Inputs!$C$85,0)</f>
        <v>0</v>
      </c>
      <c r="D19" s="30" t="s">
        <v>428</v>
      </c>
    </row>
    <row r="21" customFormat="false" ht="15" hidden="false" customHeight="true" outlineLevel="0" collapsed="false">
      <c r="A21" s="58" t="s">
        <v>429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customFormat="false" ht="15" hidden="false" customHeight="true" outlineLevel="0" collapsed="false">
      <c r="B22" s="59" t="s">
        <v>430</v>
      </c>
      <c r="C22" s="24" t="s">
        <v>122</v>
      </c>
      <c r="D22" s="30" t="s">
        <v>431</v>
      </c>
    </row>
    <row r="23" customFormat="false" ht="15" hidden="false" customHeight="true" outlineLevel="0" collapsed="false">
      <c r="B23" s="59" t="s">
        <v>432</v>
      </c>
      <c r="C23" s="62" t="n">
        <f aca="false">Inputs!G$126</f>
        <v>0.065</v>
      </c>
      <c r="D23" s="30" t="s">
        <v>433</v>
      </c>
    </row>
    <row r="24" customFormat="false" ht="15" hidden="false" customHeight="true" outlineLevel="0" collapsed="false">
      <c r="B24" s="59" t="s">
        <v>434</v>
      </c>
      <c r="C24" s="65" t="n">
        <f aca="false">Inputs!G$127</f>
        <v>7</v>
      </c>
      <c r="D24" s="30" t="s">
        <v>435</v>
      </c>
    </row>
    <row r="25" customFormat="false" ht="15" hidden="false" customHeight="true" outlineLevel="0" collapsed="false">
      <c r="B25" s="59" t="s">
        <v>114</v>
      </c>
      <c r="C25" s="62" t="n">
        <f aca="false">Inputs!G$129</f>
        <v>0.005</v>
      </c>
      <c r="D25" s="30" t="s">
        <v>436</v>
      </c>
    </row>
    <row r="26" customFormat="false" ht="15" hidden="false" customHeight="true" outlineLevel="0" collapsed="false">
      <c r="B26" s="59" t="s">
        <v>21</v>
      </c>
      <c r="C26" s="65" t="n">
        <f aca="false">Inputs!G$128</f>
        <v>3</v>
      </c>
      <c r="D26" s="30" t="s">
        <v>437</v>
      </c>
    </row>
    <row r="28" customFormat="false" ht="15" hidden="false" customHeight="tru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customFormat="false" ht="15" hidden="false" customHeight="true" outlineLevel="0" collapsed="false">
      <c r="B29" s="59" t="s">
        <v>439</v>
      </c>
      <c r="C29" s="62" t="n">
        <f aca="false">Inputs!G$130</f>
        <v>0.02</v>
      </c>
      <c r="D29" s="30" t="s">
        <v>440</v>
      </c>
    </row>
    <row r="30" customFormat="false" ht="15" hidden="false" customHeight="true" outlineLevel="0" collapsed="false">
      <c r="B30" s="59" t="s">
        <v>441</v>
      </c>
      <c r="C30" s="62" t="n">
        <f aca="false">Inputs!G$131</f>
        <v>0.009</v>
      </c>
      <c r="D30" s="30" t="s">
        <v>442</v>
      </c>
    </row>
    <row r="31" customFormat="false" ht="15" hidden="false" customHeight="true" outlineLevel="0" collapsed="false">
      <c r="B31" s="59" t="s">
        <v>443</v>
      </c>
      <c r="C31" s="61" t="n">
        <f aca="false">Inputs!G$132</f>
        <v>130000</v>
      </c>
      <c r="D31" s="30" t="s">
        <v>444</v>
      </c>
    </row>
    <row r="32" customFormat="false" ht="15" hidden="false" customHeight="true" outlineLevel="0" collapsed="false">
      <c r="B32" s="59" t="s">
        <v>445</v>
      </c>
      <c r="C32" s="62" t="n">
        <f aca="false">Inputs!G$133</f>
        <v>0.12</v>
      </c>
      <c r="D32" s="30" t="s">
        <v>446</v>
      </c>
    </row>
    <row r="33" customFormat="false" ht="15" hidden="false" customHeight="true" outlineLevel="0" collapsed="false">
      <c r="B33" s="59" t="s">
        <v>447</v>
      </c>
      <c r="C33" s="62" t="n">
        <f aca="false">Inputs!G$134</f>
        <v>0.01</v>
      </c>
      <c r="D33" s="30" t="s">
        <v>448</v>
      </c>
    </row>
    <row r="35" customFormat="false" ht="15" hidden="false" customHeight="true" outlineLevel="0" collapsed="false">
      <c r="A35" s="58" t="s">
        <v>449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customFormat="false" ht="15" hidden="false" customHeight="true" outlineLevel="0" collapsed="false">
      <c r="B36" s="59" t="s">
        <v>120</v>
      </c>
      <c r="C36" s="62" t="n">
        <f aca="false">Inputs!G$135</f>
        <v>0.15</v>
      </c>
      <c r="D36" s="30" t="s">
        <v>450</v>
      </c>
    </row>
    <row r="37" customFormat="false" ht="15" hidden="false" customHeight="true" outlineLevel="0" collapsed="false">
      <c r="B37" s="59" t="s">
        <v>451</v>
      </c>
      <c r="C37" s="22" t="str">
        <f aca="false">Inputs!G$136</f>
        <v>Y</v>
      </c>
      <c r="D37" s="30" t="s">
        <v>452</v>
      </c>
    </row>
    <row r="38" customFormat="false" ht="15" hidden="false" customHeight="true" outlineLevel="0" collapsed="false">
      <c r="B38" s="59" t="s">
        <v>123</v>
      </c>
      <c r="C38" s="62" t="n">
        <f aca="false">Inputs!G$137</f>
        <v>0.3</v>
      </c>
      <c r="D38" s="30" t="s">
        <v>453</v>
      </c>
    </row>
    <row r="40" customFormat="false" ht="15" hidden="false" customHeight="true" outlineLevel="0" collapsed="false">
      <c r="A40" s="58" t="s">
        <v>454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customFormat="false" ht="15" hidden="false" customHeight="true" outlineLevel="0" collapsed="false">
      <c r="B41" s="59" t="s">
        <v>100</v>
      </c>
      <c r="C41" s="65" t="n">
        <f aca="false">Inputs!G$138</f>
        <v>2039</v>
      </c>
      <c r="D41" s="30" t="s">
        <v>455</v>
      </c>
    </row>
    <row r="42" customFormat="false" ht="15" hidden="false" customHeight="true" outlineLevel="0" collapsed="false">
      <c r="B42" s="59" t="s">
        <v>101</v>
      </c>
      <c r="C42" s="68" t="n">
        <f aca="false">Inputs!G$139</f>
        <v>10</v>
      </c>
      <c r="D42" s="30" t="s">
        <v>456</v>
      </c>
    </row>
    <row r="43" customFormat="false" ht="15" hidden="false" customHeight="true" outlineLevel="0" collapsed="false">
      <c r="B43" s="59" t="s">
        <v>102</v>
      </c>
      <c r="C43" s="62" t="n">
        <f aca="false">Inputs!G$140</f>
        <v>0.02</v>
      </c>
      <c r="D43" s="30" t="s">
        <v>457</v>
      </c>
    </row>
    <row r="45" customFormat="false" ht="15" hidden="false" customHeight="true" outlineLevel="0" collapsed="false">
      <c r="A45" s="58" t="s">
        <v>458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customFormat="false" ht="15" hidden="false" customHeight="true" outlineLevel="0" collapsed="false">
      <c r="C46" s="69" t="s">
        <v>262</v>
      </c>
      <c r="D46" s="69" t="s">
        <v>60</v>
      </c>
      <c r="E46" s="70" t="n">
        <f aca="false">Inputs!$C$7+0</f>
        <v>2026</v>
      </c>
      <c r="F46" s="70" t="n">
        <f aca="false">Inputs!$C$7+1</f>
        <v>2027</v>
      </c>
      <c r="G46" s="70" t="n">
        <f aca="false">Inputs!$C$7+2</f>
        <v>2028</v>
      </c>
      <c r="H46" s="70" t="n">
        <f aca="false">Inputs!$C$7+3</f>
        <v>2029</v>
      </c>
      <c r="I46" s="70" t="n">
        <f aca="false">Inputs!$C$7+4</f>
        <v>2030</v>
      </c>
      <c r="J46" s="70" t="n">
        <f aca="false">Inputs!$C$7+5</f>
        <v>2031</v>
      </c>
      <c r="K46" s="70" t="n">
        <f aca="false">Inputs!$C$7+6</f>
        <v>2032</v>
      </c>
      <c r="L46" s="70" t="n">
        <f aca="false">Inputs!$C$7+7</f>
        <v>2033</v>
      </c>
      <c r="M46" s="70" t="n">
        <f aca="false">Inputs!$C$7+8</f>
        <v>2034</v>
      </c>
      <c r="N46" s="70" t="n">
        <f aca="false">Inputs!$C$7+9</f>
        <v>2035</v>
      </c>
      <c r="O46" s="70" t="n">
        <f aca="false">Inputs!$C$7+10</f>
        <v>2036</v>
      </c>
      <c r="P46" s="70" t="n">
        <f aca="false">Inputs!$C$7+11</f>
        <v>2037</v>
      </c>
      <c r="Q46" s="70" t="n">
        <f aca="false">Inputs!$C$7+12</f>
        <v>2038</v>
      </c>
      <c r="R46" s="70" t="n">
        <f aca="false">Inputs!$C$7+13</f>
        <v>2039</v>
      </c>
      <c r="S46" s="70" t="n">
        <f aca="false">Inputs!$C$7+14</f>
        <v>2040</v>
      </c>
      <c r="T46" s="70" t="n">
        <f aca="false">Inputs!$C$7+15</f>
        <v>2041</v>
      </c>
      <c r="U46" s="70" t="n">
        <f aca="false">Inputs!$C$7+16</f>
        <v>2042</v>
      </c>
      <c r="V46" s="70" t="n">
        <f aca="false">Inputs!$C$7+17</f>
        <v>2043</v>
      </c>
      <c r="W46" s="70" t="n">
        <f aca="false">Inputs!$C$7+18</f>
        <v>2044</v>
      </c>
      <c r="X46" s="70" t="n">
        <f aca="false">Inputs!$C$7+19</f>
        <v>2045</v>
      </c>
      <c r="Y46" s="70" t="n">
        <f aca="false">Inputs!$C$7+20</f>
        <v>2046</v>
      </c>
      <c r="Z46" s="70" t="n">
        <f aca="false">Inputs!$C$7+21</f>
        <v>2047</v>
      </c>
      <c r="AA46" s="70" t="n">
        <f aca="false">Inputs!$C$7+22</f>
        <v>2048</v>
      </c>
      <c r="AB46" s="70" t="n">
        <f aca="false">Inputs!$C$7+23</f>
        <v>2049</v>
      </c>
      <c r="AC46" s="70" t="n">
        <f aca="false">Inputs!$C$7+24</f>
        <v>2050</v>
      </c>
      <c r="AD46" s="70" t="n">
        <f aca="false">Inputs!$C$7+25</f>
        <v>2051</v>
      </c>
      <c r="AE46" s="70" t="n">
        <f aca="false">Inputs!$C$7+26</f>
        <v>2052</v>
      </c>
      <c r="AF46" s="70" t="n">
        <f aca="false">Inputs!$C$7+27</f>
        <v>2053</v>
      </c>
      <c r="AG46" s="70" t="n">
        <f aca="false">Inputs!$C$7+28</f>
        <v>2054</v>
      </c>
      <c r="AH46" s="70" t="n">
        <f aca="false">Inputs!$C$7+29</f>
        <v>2055</v>
      </c>
      <c r="AI46" s="70" t="n">
        <f aca="false">Inputs!$C$7+30</f>
        <v>2056</v>
      </c>
      <c r="AJ46" s="70" t="n">
        <f aca="false">Inputs!$C$7+31</f>
        <v>2057</v>
      </c>
      <c r="AK46" s="70" t="n">
        <f aca="false">Inputs!$C$7+32</f>
        <v>2058</v>
      </c>
      <c r="AL46" s="70" t="n">
        <f aca="false">Inputs!$C$7+33</f>
        <v>2059</v>
      </c>
      <c r="AM46" s="70" t="n">
        <f aca="false">Inputs!$C$7+34</f>
        <v>2060</v>
      </c>
      <c r="AN46" s="70" t="n">
        <f aca="false">Inputs!$C$7+35</f>
        <v>2061</v>
      </c>
      <c r="AO46" s="70" t="n">
        <f aca="false">Inputs!$C$7+36</f>
        <v>2062</v>
      </c>
      <c r="AP46" s="70" t="n">
        <f aca="false">Inputs!$C$7+37</f>
        <v>2063</v>
      </c>
      <c r="AQ46" s="70" t="n">
        <f aca="false">Inputs!$C$7+38</f>
        <v>2064</v>
      </c>
      <c r="AR46" s="70" t="n">
        <f aca="false">Inputs!$C$7+39</f>
        <v>2065</v>
      </c>
      <c r="AS46" s="70" t="n">
        <f aca="false">Inputs!$C$7+40</f>
        <v>2066</v>
      </c>
      <c r="AT46" s="70" t="n">
        <f aca="false">Inputs!$C$7+41</f>
        <v>2067</v>
      </c>
      <c r="AU46" s="70" t="n">
        <f aca="false">Inputs!$C$7+42</f>
        <v>2068</v>
      </c>
      <c r="AV46" s="70" t="n">
        <f aca="false">Inputs!$C$7+43</f>
        <v>2069</v>
      </c>
      <c r="AW46" s="70" t="n">
        <f aca="false">Inputs!$C$7+44</f>
        <v>2070</v>
      </c>
      <c r="AX46" s="70" t="n">
        <f aca="false">Inputs!$C$7+45</f>
        <v>2071</v>
      </c>
      <c r="AY46" s="70" t="n">
        <f aca="false">Inputs!$C$7+46</f>
        <v>2072</v>
      </c>
      <c r="AZ46" s="70" t="n">
        <f aca="false">Inputs!$C$7+47</f>
        <v>2073</v>
      </c>
      <c r="BA46" s="70" t="n">
        <f aca="false">Inputs!$C$7+48</f>
        <v>2074</v>
      </c>
      <c r="BB46" s="70" t="n">
        <f aca="false">Inputs!$C$7+49</f>
        <v>2075</v>
      </c>
    </row>
    <row r="47" customFormat="false" ht="15" hidden="false" customHeight="true" outlineLevel="0" collapsed="false">
      <c r="B47" s="59" t="s">
        <v>459</v>
      </c>
      <c r="C47" s="59" t="s">
        <v>11</v>
      </c>
      <c r="D47" s="63" t="n">
        <f aca="false">SUM(E47:BB47)</f>
        <v>0</v>
      </c>
      <c r="E47" s="61" t="n">
        <f aca="false">CashFlow!D33</f>
        <v>0</v>
      </c>
      <c r="F47" s="61" t="n">
        <f aca="false">CashFlow!E33</f>
        <v>0</v>
      </c>
      <c r="G47" s="61" t="n">
        <f aca="false">CashFlow!F33</f>
        <v>0</v>
      </c>
      <c r="H47" s="61" t="n">
        <f aca="false">CashFlow!G33</f>
        <v>0</v>
      </c>
      <c r="I47" s="61" t="n">
        <f aca="false">CashFlow!H33</f>
        <v>0</v>
      </c>
      <c r="J47" s="61" t="n">
        <f aca="false">CashFlow!I33</f>
        <v>0</v>
      </c>
      <c r="K47" s="61" t="n">
        <f aca="false">CashFlow!J33</f>
        <v>0</v>
      </c>
      <c r="L47" s="61" t="n">
        <f aca="false">CashFlow!K33</f>
        <v>0</v>
      </c>
      <c r="M47" s="61" t="n">
        <f aca="false">CashFlow!L33</f>
        <v>0</v>
      </c>
      <c r="N47" s="61" t="n">
        <f aca="false">CashFlow!M33</f>
        <v>0</v>
      </c>
      <c r="O47" s="61" t="n">
        <f aca="false">CashFlow!N33</f>
        <v>0</v>
      </c>
      <c r="P47" s="61" t="n">
        <f aca="false">CashFlow!O33</f>
        <v>0</v>
      </c>
      <c r="Q47" s="61" t="n">
        <f aca="false">CashFlow!P33</f>
        <v>0</v>
      </c>
      <c r="R47" s="61" t="n">
        <f aca="false">CashFlow!Q33</f>
        <v>0</v>
      </c>
      <c r="S47" s="61" t="n">
        <f aca="false">CashFlow!R33</f>
        <v>0</v>
      </c>
      <c r="T47" s="61" t="n">
        <f aca="false">CashFlow!S33</f>
        <v>0</v>
      </c>
      <c r="U47" s="61" t="n">
        <f aca="false">CashFlow!T33</f>
        <v>0</v>
      </c>
      <c r="V47" s="61" t="n">
        <f aca="false">CashFlow!U33</f>
        <v>0</v>
      </c>
      <c r="W47" s="61" t="n">
        <f aca="false">CashFlow!V33</f>
        <v>0</v>
      </c>
      <c r="X47" s="61" t="n">
        <f aca="false">CashFlow!W33</f>
        <v>0</v>
      </c>
      <c r="Y47" s="61" t="n">
        <f aca="false">CashFlow!X33</f>
        <v>0</v>
      </c>
      <c r="Z47" s="61" t="n">
        <f aca="false">CashFlow!Y33</f>
        <v>0</v>
      </c>
      <c r="AA47" s="61" t="n">
        <f aca="false">CashFlow!Z33</f>
        <v>0</v>
      </c>
      <c r="AB47" s="61" t="n">
        <f aca="false">CashFlow!AA33</f>
        <v>0</v>
      </c>
      <c r="AC47" s="61" t="n">
        <f aca="false">CashFlow!AB33</f>
        <v>0</v>
      </c>
      <c r="AD47" s="61" t="n">
        <f aca="false">CashFlow!AC33</f>
        <v>0</v>
      </c>
      <c r="AE47" s="61" t="n">
        <f aca="false">CashFlow!AD33</f>
        <v>0</v>
      </c>
      <c r="AF47" s="61" t="n">
        <f aca="false">CashFlow!AE33</f>
        <v>0</v>
      </c>
      <c r="AG47" s="61" t="n">
        <f aca="false">CashFlow!AF33</f>
        <v>0</v>
      </c>
      <c r="AH47" s="61" t="n">
        <f aca="false">CashFlow!AG33</f>
        <v>0</v>
      </c>
      <c r="AI47" s="61" t="n">
        <f aca="false">CashFlow!AH33</f>
        <v>0</v>
      </c>
      <c r="AJ47" s="61" t="n">
        <f aca="false">CashFlow!AI33</f>
        <v>0</v>
      </c>
      <c r="AK47" s="61" t="n">
        <f aca="false">CashFlow!AJ33</f>
        <v>0</v>
      </c>
      <c r="AL47" s="61" t="n">
        <f aca="false">CashFlow!AK33</f>
        <v>0</v>
      </c>
      <c r="AM47" s="61" t="n">
        <f aca="false">CashFlow!AL33</f>
        <v>0</v>
      </c>
      <c r="AN47" s="61" t="n">
        <f aca="false">CashFlow!AM33</f>
        <v>0</v>
      </c>
      <c r="AO47" s="61" t="n">
        <f aca="false">CashFlow!AN33</f>
        <v>0</v>
      </c>
      <c r="AP47" s="61" t="n">
        <f aca="false">CashFlow!AO33</f>
        <v>0</v>
      </c>
      <c r="AQ47" s="61" t="n">
        <f aca="false">CashFlow!AP33</f>
        <v>0</v>
      </c>
      <c r="AR47" s="61" t="n">
        <f aca="false">CashFlow!AQ33</f>
        <v>0</v>
      </c>
      <c r="AS47" s="61" t="n">
        <f aca="false">CashFlow!AR33</f>
        <v>0</v>
      </c>
      <c r="AT47" s="61" t="n">
        <f aca="false">CashFlow!AS33</f>
        <v>0</v>
      </c>
      <c r="AU47" s="61" t="n">
        <f aca="false">CashFlow!AT33</f>
        <v>0</v>
      </c>
      <c r="AV47" s="61" t="n">
        <f aca="false">CashFlow!AU33</f>
        <v>0</v>
      </c>
      <c r="AW47" s="61" t="n">
        <f aca="false">CashFlow!AV33</f>
        <v>0</v>
      </c>
      <c r="AX47" s="61" t="n">
        <f aca="false">CashFlow!AW33</f>
        <v>0</v>
      </c>
      <c r="AY47" s="61" t="n">
        <f aca="false">CashFlow!AX33</f>
        <v>0</v>
      </c>
      <c r="AZ47" s="61" t="n">
        <f aca="false">CashFlow!AY33</f>
        <v>0</v>
      </c>
      <c r="BA47" s="61" t="n">
        <f aca="false">CashFlow!AZ33</f>
        <v>0</v>
      </c>
      <c r="BB47" s="61" t="n">
        <f aca="false">CashFlow!BA33</f>
        <v>0</v>
      </c>
    </row>
    <row r="48" customFormat="false" ht="15" hidden="false" customHeight="true" outlineLevel="0" collapsed="false">
      <c r="B48" s="59" t="s">
        <v>460</v>
      </c>
      <c r="C48" s="59" t="s">
        <v>11</v>
      </c>
      <c r="D48" s="63" t="n">
        <f aca="false">SUM(E48:BB48)</f>
        <v>0</v>
      </c>
      <c r="E48" s="61" t="n">
        <f aca="false">CashFlow!D34</f>
        <v>0</v>
      </c>
      <c r="F48" s="61" t="n">
        <f aca="false">CashFlow!E34</f>
        <v>0</v>
      </c>
      <c r="G48" s="61" t="n">
        <f aca="false">CashFlow!F34</f>
        <v>0</v>
      </c>
      <c r="H48" s="61" t="n">
        <f aca="false">CashFlow!G34</f>
        <v>0</v>
      </c>
      <c r="I48" s="61" t="n">
        <f aca="false">CashFlow!H34</f>
        <v>0</v>
      </c>
      <c r="J48" s="61" t="n">
        <f aca="false">CashFlow!I34</f>
        <v>0</v>
      </c>
      <c r="K48" s="61" t="n">
        <f aca="false">CashFlow!J34</f>
        <v>0</v>
      </c>
      <c r="L48" s="61" t="n">
        <f aca="false">CashFlow!K34</f>
        <v>0</v>
      </c>
      <c r="M48" s="61" t="n">
        <f aca="false">CashFlow!L34</f>
        <v>0</v>
      </c>
      <c r="N48" s="61" t="n">
        <f aca="false">CashFlow!M34</f>
        <v>0</v>
      </c>
      <c r="O48" s="61" t="n">
        <f aca="false">CashFlow!N34</f>
        <v>0</v>
      </c>
      <c r="P48" s="61" t="n">
        <f aca="false">CashFlow!O34</f>
        <v>0</v>
      </c>
      <c r="Q48" s="61" t="n">
        <f aca="false">CashFlow!P34</f>
        <v>0</v>
      </c>
      <c r="R48" s="61" t="n">
        <f aca="false">CashFlow!Q34</f>
        <v>0</v>
      </c>
      <c r="S48" s="61" t="n">
        <f aca="false">CashFlow!R34</f>
        <v>0</v>
      </c>
      <c r="T48" s="61" t="n">
        <f aca="false">CashFlow!S34</f>
        <v>0</v>
      </c>
      <c r="U48" s="61" t="n">
        <f aca="false">CashFlow!T34</f>
        <v>0</v>
      </c>
      <c r="V48" s="61" t="n">
        <f aca="false">CashFlow!U34</f>
        <v>0</v>
      </c>
      <c r="W48" s="61" t="n">
        <f aca="false">CashFlow!V34</f>
        <v>0</v>
      </c>
      <c r="X48" s="61" t="n">
        <f aca="false">CashFlow!W34</f>
        <v>0</v>
      </c>
      <c r="Y48" s="61" t="n">
        <f aca="false">CashFlow!X34</f>
        <v>0</v>
      </c>
      <c r="Z48" s="61" t="n">
        <f aca="false">CashFlow!Y34</f>
        <v>0</v>
      </c>
      <c r="AA48" s="61" t="n">
        <f aca="false">CashFlow!Z34</f>
        <v>0</v>
      </c>
      <c r="AB48" s="61" t="n">
        <f aca="false">CashFlow!AA34</f>
        <v>0</v>
      </c>
      <c r="AC48" s="61" t="n">
        <f aca="false">CashFlow!AB34</f>
        <v>0</v>
      </c>
      <c r="AD48" s="61" t="n">
        <f aca="false">CashFlow!AC34</f>
        <v>0</v>
      </c>
      <c r="AE48" s="61" t="n">
        <f aca="false">CashFlow!AD34</f>
        <v>0</v>
      </c>
      <c r="AF48" s="61" t="n">
        <f aca="false">CashFlow!AE34</f>
        <v>0</v>
      </c>
      <c r="AG48" s="61" t="n">
        <f aca="false">CashFlow!AF34</f>
        <v>0</v>
      </c>
      <c r="AH48" s="61" t="n">
        <f aca="false">CashFlow!AG34</f>
        <v>0</v>
      </c>
      <c r="AI48" s="61" t="n">
        <f aca="false">CashFlow!AH34</f>
        <v>0</v>
      </c>
      <c r="AJ48" s="61" t="n">
        <f aca="false">CashFlow!AI34</f>
        <v>0</v>
      </c>
      <c r="AK48" s="61" t="n">
        <f aca="false">CashFlow!AJ34</f>
        <v>0</v>
      </c>
      <c r="AL48" s="61" t="n">
        <f aca="false">CashFlow!AK34</f>
        <v>0</v>
      </c>
      <c r="AM48" s="61" t="n">
        <f aca="false">CashFlow!AL34</f>
        <v>0</v>
      </c>
      <c r="AN48" s="61" t="n">
        <f aca="false">CashFlow!AM34</f>
        <v>0</v>
      </c>
      <c r="AO48" s="61" t="n">
        <f aca="false">CashFlow!AN34</f>
        <v>0</v>
      </c>
      <c r="AP48" s="61" t="n">
        <f aca="false">CashFlow!AO34</f>
        <v>0</v>
      </c>
      <c r="AQ48" s="61" t="n">
        <f aca="false">CashFlow!AP34</f>
        <v>0</v>
      </c>
      <c r="AR48" s="61" t="n">
        <f aca="false">CashFlow!AQ34</f>
        <v>0</v>
      </c>
      <c r="AS48" s="61" t="n">
        <f aca="false">CashFlow!AR34</f>
        <v>0</v>
      </c>
      <c r="AT48" s="61" t="n">
        <f aca="false">CashFlow!AS34</f>
        <v>0</v>
      </c>
      <c r="AU48" s="61" t="n">
        <f aca="false">CashFlow!AT34</f>
        <v>0</v>
      </c>
      <c r="AV48" s="61" t="n">
        <f aca="false">CashFlow!AU34</f>
        <v>0</v>
      </c>
      <c r="AW48" s="61" t="n">
        <f aca="false">CashFlow!AV34</f>
        <v>0</v>
      </c>
      <c r="AX48" s="61" t="n">
        <f aca="false">CashFlow!AW34</f>
        <v>0</v>
      </c>
      <c r="AY48" s="61" t="n">
        <f aca="false">CashFlow!AX34</f>
        <v>0</v>
      </c>
      <c r="AZ48" s="61" t="n">
        <f aca="false">CashFlow!AY34</f>
        <v>0</v>
      </c>
      <c r="BA48" s="61" t="n">
        <f aca="false">CashFlow!AZ34</f>
        <v>0</v>
      </c>
      <c r="BB48" s="61" t="n">
        <f aca="false">CashFlow!BA34</f>
        <v>0</v>
      </c>
    </row>
    <row r="49" customFormat="false" ht="15" hidden="false" customHeight="true" outlineLevel="0" collapsed="false">
      <c r="B49" s="59" t="s">
        <v>461</v>
      </c>
      <c r="C49" s="59" t="s">
        <v>11</v>
      </c>
      <c r="D49" s="63" t="n">
        <f aca="false">SUM(E49:BB49)</f>
        <v>0</v>
      </c>
      <c r="E49" s="61" t="n">
        <f aca="false">CashFlow!D35</f>
        <v>-0</v>
      </c>
      <c r="F49" s="61" t="n">
        <f aca="false">CashFlow!E35</f>
        <v>-0</v>
      </c>
      <c r="G49" s="61" t="n">
        <f aca="false">CashFlow!F35</f>
        <v>-0</v>
      </c>
      <c r="H49" s="61" t="n">
        <f aca="false">CashFlow!G35</f>
        <v>-0</v>
      </c>
      <c r="I49" s="61" t="n">
        <f aca="false">CashFlow!H35</f>
        <v>-0</v>
      </c>
      <c r="J49" s="61" t="n">
        <f aca="false">CashFlow!I35</f>
        <v>-0</v>
      </c>
      <c r="K49" s="61" t="n">
        <f aca="false">CashFlow!J35</f>
        <v>-0</v>
      </c>
      <c r="L49" s="61" t="n">
        <f aca="false">CashFlow!K35</f>
        <v>-0</v>
      </c>
      <c r="M49" s="61" t="n">
        <f aca="false">CashFlow!L35</f>
        <v>-0</v>
      </c>
      <c r="N49" s="61" t="n">
        <f aca="false">CashFlow!M35</f>
        <v>-0</v>
      </c>
      <c r="O49" s="61" t="n">
        <f aca="false">CashFlow!N35</f>
        <v>-0</v>
      </c>
      <c r="P49" s="61" t="n">
        <f aca="false">CashFlow!O35</f>
        <v>-0</v>
      </c>
      <c r="Q49" s="61" t="n">
        <f aca="false">CashFlow!P35</f>
        <v>-0</v>
      </c>
      <c r="R49" s="61" t="n">
        <f aca="false">CashFlow!Q35</f>
        <v>-0</v>
      </c>
      <c r="S49" s="61" t="n">
        <f aca="false">CashFlow!R35</f>
        <v>-0</v>
      </c>
      <c r="T49" s="61" t="n">
        <f aca="false">CashFlow!S35</f>
        <v>-0</v>
      </c>
      <c r="U49" s="61" t="n">
        <f aca="false">CashFlow!T35</f>
        <v>-0</v>
      </c>
      <c r="V49" s="61" t="n">
        <f aca="false">CashFlow!U35</f>
        <v>-0</v>
      </c>
      <c r="W49" s="61" t="n">
        <f aca="false">CashFlow!V35</f>
        <v>-0</v>
      </c>
      <c r="X49" s="61" t="n">
        <f aca="false">CashFlow!W35</f>
        <v>-0</v>
      </c>
      <c r="Y49" s="61" t="n">
        <f aca="false">CashFlow!X35</f>
        <v>-0</v>
      </c>
      <c r="Z49" s="61" t="n">
        <f aca="false">CashFlow!Y35</f>
        <v>-0</v>
      </c>
      <c r="AA49" s="61" t="n">
        <f aca="false">CashFlow!Z35</f>
        <v>-0</v>
      </c>
      <c r="AB49" s="61" t="n">
        <f aca="false">CashFlow!AA35</f>
        <v>-0</v>
      </c>
      <c r="AC49" s="61" t="n">
        <f aca="false">CashFlow!AB35</f>
        <v>-0</v>
      </c>
      <c r="AD49" s="61" t="n">
        <f aca="false">CashFlow!AC35</f>
        <v>-0</v>
      </c>
      <c r="AE49" s="61" t="n">
        <f aca="false">CashFlow!AD35</f>
        <v>-0</v>
      </c>
      <c r="AF49" s="61" t="n">
        <f aca="false">CashFlow!AE35</f>
        <v>-0</v>
      </c>
      <c r="AG49" s="61" t="n">
        <f aca="false">CashFlow!AF35</f>
        <v>-0</v>
      </c>
      <c r="AH49" s="61" t="n">
        <f aca="false">CashFlow!AG35</f>
        <v>-0</v>
      </c>
      <c r="AI49" s="61" t="n">
        <f aca="false">CashFlow!AH35</f>
        <v>-0</v>
      </c>
      <c r="AJ49" s="61" t="n">
        <f aca="false">CashFlow!AI35</f>
        <v>-0</v>
      </c>
      <c r="AK49" s="61" t="n">
        <f aca="false">CashFlow!AJ35</f>
        <v>-0</v>
      </c>
      <c r="AL49" s="61" t="n">
        <f aca="false">CashFlow!AK35</f>
        <v>-0</v>
      </c>
      <c r="AM49" s="61" t="n">
        <f aca="false">CashFlow!AL35</f>
        <v>-0</v>
      </c>
      <c r="AN49" s="61" t="n">
        <f aca="false">CashFlow!AM35</f>
        <v>-0</v>
      </c>
      <c r="AO49" s="61" t="n">
        <f aca="false">CashFlow!AN35</f>
        <v>-0</v>
      </c>
      <c r="AP49" s="61" t="n">
        <f aca="false">CashFlow!AO35</f>
        <v>-0</v>
      </c>
      <c r="AQ49" s="61" t="n">
        <f aca="false">CashFlow!AP35</f>
        <v>-0</v>
      </c>
      <c r="AR49" s="61" t="n">
        <f aca="false">CashFlow!AQ35</f>
        <v>-0</v>
      </c>
      <c r="AS49" s="61" t="n">
        <f aca="false">CashFlow!AR35</f>
        <v>-0</v>
      </c>
      <c r="AT49" s="61" t="n">
        <f aca="false">CashFlow!AS35</f>
        <v>-0</v>
      </c>
      <c r="AU49" s="61" t="n">
        <f aca="false">CashFlow!AT35</f>
        <v>-0</v>
      </c>
      <c r="AV49" s="61" t="n">
        <f aca="false">CashFlow!AU35</f>
        <v>-0</v>
      </c>
      <c r="AW49" s="61" t="n">
        <f aca="false">CashFlow!AV35</f>
        <v>-0</v>
      </c>
      <c r="AX49" s="61" t="n">
        <f aca="false">CashFlow!AW35</f>
        <v>-0</v>
      </c>
      <c r="AY49" s="61" t="n">
        <f aca="false">CashFlow!AX35</f>
        <v>-0</v>
      </c>
      <c r="AZ49" s="61" t="n">
        <f aca="false">CashFlow!AY35</f>
        <v>-0</v>
      </c>
      <c r="BA49" s="61" t="n">
        <f aca="false">CashFlow!AZ35</f>
        <v>-0</v>
      </c>
      <c r="BB49" s="61" t="n">
        <f aca="false">CashFlow!BA35</f>
        <v>-0</v>
      </c>
    </row>
    <row r="50" customFormat="false" ht="15" hidden="false" customHeight="true" outlineLevel="0" collapsed="false">
      <c r="B50" s="20" t="s">
        <v>462</v>
      </c>
      <c r="C50" s="59" t="s">
        <v>11</v>
      </c>
      <c r="D50" s="63" t="n">
        <f aca="false">SUM(E50:BB50)</f>
        <v>0</v>
      </c>
      <c r="E50" s="63" t="n">
        <f aca="false">E47+E48+E49</f>
        <v>0</v>
      </c>
      <c r="F50" s="63" t="n">
        <f aca="false">F47+F48+F49</f>
        <v>0</v>
      </c>
      <c r="G50" s="63" t="n">
        <f aca="false">G47+G48+G49</f>
        <v>0</v>
      </c>
      <c r="H50" s="63" t="n">
        <f aca="false">H47+H48+H49</f>
        <v>0</v>
      </c>
      <c r="I50" s="63" t="n">
        <f aca="false">I47+I48+I49</f>
        <v>0</v>
      </c>
      <c r="J50" s="63" t="n">
        <f aca="false">J47+J48+J49</f>
        <v>0</v>
      </c>
      <c r="K50" s="63" t="n">
        <f aca="false">K47+K48+K49</f>
        <v>0</v>
      </c>
      <c r="L50" s="63" t="n">
        <f aca="false">L47+L48+L49</f>
        <v>0</v>
      </c>
      <c r="M50" s="63" t="n">
        <f aca="false">M47+M48+M49</f>
        <v>0</v>
      </c>
      <c r="N50" s="63" t="n">
        <f aca="false">N47+N48+N49</f>
        <v>0</v>
      </c>
      <c r="O50" s="63" t="n">
        <f aca="false">O47+O48+O49</f>
        <v>0</v>
      </c>
      <c r="P50" s="63" t="n">
        <f aca="false">P47+P48+P49</f>
        <v>0</v>
      </c>
      <c r="Q50" s="63" t="n">
        <f aca="false">Q47+Q48+Q49</f>
        <v>0</v>
      </c>
      <c r="R50" s="63" t="n">
        <f aca="false">R47+R48+R49</f>
        <v>0</v>
      </c>
      <c r="S50" s="63" t="n">
        <f aca="false">S47+S48+S49</f>
        <v>0</v>
      </c>
      <c r="T50" s="63" t="n">
        <f aca="false">T47+T48+T49</f>
        <v>0</v>
      </c>
      <c r="U50" s="63" t="n">
        <f aca="false">U47+U48+U49</f>
        <v>0</v>
      </c>
      <c r="V50" s="63" t="n">
        <f aca="false">V47+V48+V49</f>
        <v>0</v>
      </c>
      <c r="W50" s="63" t="n">
        <f aca="false">W47+W48+W49</f>
        <v>0</v>
      </c>
      <c r="X50" s="63" t="n">
        <f aca="false">X47+X48+X49</f>
        <v>0</v>
      </c>
      <c r="Y50" s="63" t="n">
        <f aca="false">Y47+Y48+Y49</f>
        <v>0</v>
      </c>
      <c r="Z50" s="63" t="n">
        <f aca="false">Z47+Z48+Z49</f>
        <v>0</v>
      </c>
      <c r="AA50" s="63" t="n">
        <f aca="false">AA47+AA48+AA49</f>
        <v>0</v>
      </c>
      <c r="AB50" s="63" t="n">
        <f aca="false">AB47+AB48+AB49</f>
        <v>0</v>
      </c>
      <c r="AC50" s="63" t="n">
        <f aca="false">AC47+AC48+AC49</f>
        <v>0</v>
      </c>
      <c r="AD50" s="63" t="n">
        <f aca="false">AD47+AD48+AD49</f>
        <v>0</v>
      </c>
      <c r="AE50" s="63" t="n">
        <f aca="false">AE47+AE48+AE49</f>
        <v>0</v>
      </c>
      <c r="AF50" s="63" t="n">
        <f aca="false">AF47+AF48+AF49</f>
        <v>0</v>
      </c>
      <c r="AG50" s="63" t="n">
        <f aca="false">AG47+AG48+AG49</f>
        <v>0</v>
      </c>
      <c r="AH50" s="63" t="n">
        <f aca="false">AH47+AH48+AH49</f>
        <v>0</v>
      </c>
      <c r="AI50" s="63" t="n">
        <f aca="false">AI47+AI48+AI49</f>
        <v>0</v>
      </c>
      <c r="AJ50" s="63" t="n">
        <f aca="false">AJ47+AJ48+AJ49</f>
        <v>0</v>
      </c>
      <c r="AK50" s="63" t="n">
        <f aca="false">AK47+AK48+AK49</f>
        <v>0</v>
      </c>
      <c r="AL50" s="63" t="n">
        <f aca="false">AL47+AL48+AL49</f>
        <v>0</v>
      </c>
      <c r="AM50" s="63" t="n">
        <f aca="false">AM47+AM48+AM49</f>
        <v>0</v>
      </c>
      <c r="AN50" s="63" t="n">
        <f aca="false">AN47+AN48+AN49</f>
        <v>0</v>
      </c>
      <c r="AO50" s="63" t="n">
        <f aca="false">AO47+AO48+AO49</f>
        <v>0</v>
      </c>
      <c r="AP50" s="63" t="n">
        <f aca="false">AP47+AP48+AP49</f>
        <v>0</v>
      </c>
      <c r="AQ50" s="63" t="n">
        <f aca="false">AQ47+AQ48+AQ49</f>
        <v>0</v>
      </c>
      <c r="AR50" s="63" t="n">
        <f aca="false">AR47+AR48+AR49</f>
        <v>0</v>
      </c>
      <c r="AS50" s="63" t="n">
        <f aca="false">AS47+AS48+AS49</f>
        <v>0</v>
      </c>
      <c r="AT50" s="63" t="n">
        <f aca="false">AT47+AT48+AT49</f>
        <v>0</v>
      </c>
      <c r="AU50" s="63" t="n">
        <f aca="false">AU47+AU48+AU49</f>
        <v>0</v>
      </c>
      <c r="AV50" s="63" t="n">
        <f aca="false">AV47+AV48+AV49</f>
        <v>0</v>
      </c>
      <c r="AW50" s="63" t="n">
        <f aca="false">AW47+AW48+AW49</f>
        <v>0</v>
      </c>
      <c r="AX50" s="63" t="n">
        <f aca="false">AX47+AX48+AX49</f>
        <v>0</v>
      </c>
      <c r="AY50" s="63" t="n">
        <f aca="false">AY47+AY48+AY49</f>
        <v>0</v>
      </c>
      <c r="AZ50" s="63" t="n">
        <f aca="false">AZ47+AZ48+AZ49</f>
        <v>0</v>
      </c>
      <c r="BA50" s="63" t="n">
        <f aca="false">BA47+BA48+BA49</f>
        <v>0</v>
      </c>
      <c r="BB50" s="63" t="n">
        <f aca="false">BB47+BB48+BB49</f>
        <v>0</v>
      </c>
    </row>
    <row r="51" customFormat="false" ht="15" hidden="false" customHeight="true" outlineLevel="0" collapsed="false">
      <c r="B51" s="59" t="s">
        <v>463</v>
      </c>
      <c r="C51" s="59" t="s">
        <v>11</v>
      </c>
      <c r="D51" s="63" t="n">
        <f aca="false">SUM(E51:BB51)</f>
        <v>0</v>
      </c>
      <c r="E51" s="66" t="n">
        <f aca="false">IF(E$46=$C$41,E47*$C$42*(1-$C$43),0)</f>
        <v>0</v>
      </c>
      <c r="F51" s="66" t="n">
        <f aca="false">IF(F$46=$C$41,F47*$C$42*(1-$C$43),0)</f>
        <v>0</v>
      </c>
      <c r="G51" s="66" t="n">
        <f aca="false">IF(G$46=$C$41,G47*$C$42*(1-$C$43),0)</f>
        <v>0</v>
      </c>
      <c r="H51" s="66" t="n">
        <f aca="false">IF(H$46=$C$41,H47*$C$42*(1-$C$43),0)</f>
        <v>0</v>
      </c>
      <c r="I51" s="66" t="n">
        <f aca="false">IF(I$46=$C$41,I47*$C$42*(1-$C$43),0)</f>
        <v>0</v>
      </c>
      <c r="J51" s="66" t="n">
        <f aca="false">IF(J$46=$C$41,J47*$C$42*(1-$C$43),0)</f>
        <v>0</v>
      </c>
      <c r="K51" s="66" t="n">
        <f aca="false">IF(K$46=$C$41,K47*$C$42*(1-$C$43),0)</f>
        <v>0</v>
      </c>
      <c r="L51" s="66" t="n">
        <f aca="false">IF(L$46=$C$41,L47*$C$42*(1-$C$43),0)</f>
        <v>0</v>
      </c>
      <c r="M51" s="66" t="n">
        <f aca="false">IF(M$46=$C$41,M47*$C$42*(1-$C$43),0)</f>
        <v>0</v>
      </c>
      <c r="N51" s="66" t="n">
        <f aca="false">IF(N$46=$C$41,N47*$C$42*(1-$C$43),0)</f>
        <v>0</v>
      </c>
      <c r="O51" s="66" t="n">
        <f aca="false">IF(O$46=$C$41,O47*$C$42*(1-$C$43),0)</f>
        <v>0</v>
      </c>
      <c r="P51" s="66" t="n">
        <f aca="false">IF(P$46=$C$41,P47*$C$42*(1-$C$43),0)</f>
        <v>0</v>
      </c>
      <c r="Q51" s="66" t="n">
        <f aca="false">IF(Q$46=$C$41,Q47*$C$42*(1-$C$43),0)</f>
        <v>0</v>
      </c>
      <c r="R51" s="66" t="n">
        <f aca="false">IF(R$46=$C$41,R47*$C$42*(1-$C$43),0)</f>
        <v>0</v>
      </c>
      <c r="S51" s="66" t="n">
        <f aca="false">IF(S$46=$C$41,S47*$C$42*(1-$C$43),0)</f>
        <v>0</v>
      </c>
      <c r="T51" s="66" t="n">
        <f aca="false">IF(T$46=$C$41,T47*$C$42*(1-$C$43),0)</f>
        <v>0</v>
      </c>
      <c r="U51" s="66" t="n">
        <f aca="false">IF(U$46=$C$41,U47*$C$42*(1-$C$43),0)</f>
        <v>0</v>
      </c>
      <c r="V51" s="66" t="n">
        <f aca="false">IF(V$46=$C$41,V47*$C$42*(1-$C$43),0)</f>
        <v>0</v>
      </c>
      <c r="W51" s="66" t="n">
        <f aca="false">IF(W$46=$C$41,W47*$C$42*(1-$C$43),0)</f>
        <v>0</v>
      </c>
      <c r="X51" s="66" t="n">
        <f aca="false">IF(X$46=$C$41,X47*$C$42*(1-$C$43),0)</f>
        <v>0</v>
      </c>
      <c r="Y51" s="66" t="n">
        <f aca="false">IF(Y$46=$C$41,Y47*$C$42*(1-$C$43),0)</f>
        <v>0</v>
      </c>
      <c r="Z51" s="66" t="n">
        <f aca="false">IF(Z$46=$C$41,Z47*$C$42*(1-$C$43),0)</f>
        <v>0</v>
      </c>
      <c r="AA51" s="66" t="n">
        <f aca="false">IF(AA$46=$C$41,AA47*$C$42*(1-$C$43),0)</f>
        <v>0</v>
      </c>
      <c r="AB51" s="66" t="n">
        <f aca="false">IF(AB$46=$C$41,AB47*$C$42*(1-$C$43),0)</f>
        <v>0</v>
      </c>
      <c r="AC51" s="66" t="n">
        <f aca="false">IF(AC$46=$C$41,AC47*$C$42*(1-$C$43),0)</f>
        <v>0</v>
      </c>
      <c r="AD51" s="66" t="n">
        <f aca="false">IF(AD$46=$C$41,AD47*$C$42*(1-$C$43),0)</f>
        <v>0</v>
      </c>
      <c r="AE51" s="66" t="n">
        <f aca="false">IF(AE$46=$C$41,AE47*$C$42*(1-$C$43),0)</f>
        <v>0</v>
      </c>
      <c r="AF51" s="66" t="n">
        <f aca="false">IF(AF$46=$C$41,AF47*$C$42*(1-$C$43),0)</f>
        <v>0</v>
      </c>
      <c r="AG51" s="66" t="n">
        <f aca="false">IF(AG$46=$C$41,AG47*$C$42*(1-$C$43),0)</f>
        <v>0</v>
      </c>
      <c r="AH51" s="66" t="n">
        <f aca="false">IF(AH$46=$C$41,AH47*$C$42*(1-$C$43),0)</f>
        <v>0</v>
      </c>
      <c r="AI51" s="66" t="n">
        <f aca="false">IF(AI$46=$C$41,AI47*$C$42*(1-$C$43),0)</f>
        <v>0</v>
      </c>
      <c r="AJ51" s="66" t="n">
        <f aca="false">IF(AJ$46=$C$41,AJ47*$C$42*(1-$C$43),0)</f>
        <v>0</v>
      </c>
      <c r="AK51" s="66" t="n">
        <f aca="false">IF(AK$46=$C$41,AK47*$C$42*(1-$C$43),0)</f>
        <v>0</v>
      </c>
      <c r="AL51" s="66" t="n">
        <f aca="false">IF(AL$46=$C$41,AL47*$C$42*(1-$C$43),0)</f>
        <v>0</v>
      </c>
      <c r="AM51" s="66" t="n">
        <f aca="false">IF(AM$46=$C$41,AM47*$C$42*(1-$C$43),0)</f>
        <v>0</v>
      </c>
      <c r="AN51" s="66" t="n">
        <f aca="false">IF(AN$46=$C$41,AN47*$C$42*(1-$C$43),0)</f>
        <v>0</v>
      </c>
      <c r="AO51" s="66" t="n">
        <f aca="false">IF(AO$46=$C$41,AO47*$C$42*(1-$C$43),0)</f>
        <v>0</v>
      </c>
      <c r="AP51" s="66" t="n">
        <f aca="false">IF(AP$46=$C$41,AP47*$C$42*(1-$C$43),0)</f>
        <v>0</v>
      </c>
      <c r="AQ51" s="66" t="n">
        <f aca="false">IF(AQ$46=$C$41,AQ47*$C$42*(1-$C$43),0)</f>
        <v>0</v>
      </c>
      <c r="AR51" s="66" t="n">
        <f aca="false">IF(AR$46=$C$41,AR47*$C$42*(1-$C$43),0)</f>
        <v>0</v>
      </c>
      <c r="AS51" s="66" t="n">
        <f aca="false">IF(AS$46=$C$41,AS47*$C$42*(1-$C$43),0)</f>
        <v>0</v>
      </c>
      <c r="AT51" s="66" t="n">
        <f aca="false">IF(AT$46=$C$41,AT47*$C$42*(1-$C$43),0)</f>
        <v>0</v>
      </c>
      <c r="AU51" s="66" t="n">
        <f aca="false">IF(AU$46=$C$41,AU47*$C$42*(1-$C$43),0)</f>
        <v>0</v>
      </c>
      <c r="AV51" s="66" t="n">
        <f aca="false">IF(AV$46=$C$41,AV47*$C$42*(1-$C$43),0)</f>
        <v>0</v>
      </c>
      <c r="AW51" s="66" t="n">
        <f aca="false">IF(AW$46=$C$41,AW47*$C$42*(1-$C$43),0)</f>
        <v>0</v>
      </c>
      <c r="AX51" s="66" t="n">
        <f aca="false">IF(AX$46=$C$41,AX47*$C$42*(1-$C$43),0)</f>
        <v>0</v>
      </c>
      <c r="AY51" s="66" t="n">
        <f aca="false">IF(AY$46=$C$41,AY47*$C$42*(1-$C$43),0)</f>
        <v>0</v>
      </c>
      <c r="AZ51" s="66" t="n">
        <f aca="false">IF(AZ$46=$C$41,AZ47*$C$42*(1-$C$43),0)</f>
        <v>0</v>
      </c>
      <c r="BA51" s="66" t="n">
        <f aca="false">IF(BA$46=$C$41,BA47*$C$42*(1-$C$43),0)</f>
        <v>0</v>
      </c>
      <c r="BB51" s="66" t="n">
        <f aca="false">IF(BB$46=$C$41,BB47*$C$42*(1-$C$43),0)</f>
        <v>0</v>
      </c>
    </row>
    <row r="52" customFormat="false" ht="15" hidden="false" customHeight="true" outlineLevel="0" collapsed="false">
      <c r="B52" s="59" t="s">
        <v>464</v>
      </c>
      <c r="C52" s="59" t="s">
        <v>11</v>
      </c>
      <c r="D52" s="63" t="n">
        <f aca="false">SUM(E52:BB52)</f>
        <v>0</v>
      </c>
      <c r="E52" s="66" t="n">
        <f aca="false">IF(AND(E$46&gt;=$C$9,E$46&lt;=$C$41),E50+E51,0)</f>
        <v>0</v>
      </c>
      <c r="F52" s="66" t="n">
        <f aca="false">IF(AND(F$46&gt;=$C$9,F$46&lt;=$C$41),F50+F51,0)</f>
        <v>0</v>
      </c>
      <c r="G52" s="66" t="n">
        <f aca="false">IF(AND(G$46&gt;=$C$9,G$46&lt;=$C$41),G50+G51,0)</f>
        <v>0</v>
      </c>
      <c r="H52" s="66" t="n">
        <f aca="false">IF(AND(H$46&gt;=$C$9,H$46&lt;=$C$41),H50+H51,0)</f>
        <v>0</v>
      </c>
      <c r="I52" s="66" t="n">
        <f aca="false">IF(AND(I$46&gt;=$C$9,I$46&lt;=$C$41),I50+I51,0)</f>
        <v>0</v>
      </c>
      <c r="J52" s="66" t="n">
        <f aca="false">IF(AND(J$46&gt;=$C$9,J$46&lt;=$C$41),J50+J51,0)</f>
        <v>0</v>
      </c>
      <c r="K52" s="66" t="n">
        <f aca="false">IF(AND(K$46&gt;=$C$9,K$46&lt;=$C$41),K50+K51,0)</f>
        <v>0</v>
      </c>
      <c r="L52" s="66" t="n">
        <f aca="false">IF(AND(L$46&gt;=$C$9,L$46&lt;=$C$41),L50+L51,0)</f>
        <v>0</v>
      </c>
      <c r="M52" s="66" t="n">
        <f aca="false">IF(AND(M$46&gt;=$C$9,M$46&lt;=$C$41),M50+M51,0)</f>
        <v>0</v>
      </c>
      <c r="N52" s="66" t="n">
        <f aca="false">IF(AND(N$46&gt;=$C$9,N$46&lt;=$C$41),N50+N51,0)</f>
        <v>0</v>
      </c>
      <c r="O52" s="66" t="n">
        <f aca="false">IF(AND(O$46&gt;=$C$9,O$46&lt;=$C$41),O50+O51,0)</f>
        <v>0</v>
      </c>
      <c r="P52" s="66" t="n">
        <f aca="false">IF(AND(P$46&gt;=$C$9,P$46&lt;=$C$41),P50+P51,0)</f>
        <v>0</v>
      </c>
      <c r="Q52" s="66" t="n">
        <f aca="false">IF(AND(Q$46&gt;=$C$9,Q$46&lt;=$C$41),Q50+Q51,0)</f>
        <v>0</v>
      </c>
      <c r="R52" s="66" t="n">
        <f aca="false">IF(AND(R$46&gt;=$C$9,R$46&lt;=$C$41),R50+R51,0)</f>
        <v>0</v>
      </c>
      <c r="S52" s="66" t="n">
        <f aca="false">IF(AND(S$46&gt;=$C$9,S$46&lt;=$C$41),S50+S51,0)</f>
        <v>0</v>
      </c>
      <c r="T52" s="66" t="n">
        <f aca="false">IF(AND(T$46&gt;=$C$9,T$46&lt;=$C$41),T50+T51,0)</f>
        <v>0</v>
      </c>
      <c r="U52" s="66" t="n">
        <f aca="false">IF(AND(U$46&gt;=$C$9,U$46&lt;=$C$41),U50+U51,0)</f>
        <v>0</v>
      </c>
      <c r="V52" s="66" t="n">
        <f aca="false">IF(AND(V$46&gt;=$C$9,V$46&lt;=$C$41),V50+V51,0)</f>
        <v>0</v>
      </c>
      <c r="W52" s="66" t="n">
        <f aca="false">IF(AND(W$46&gt;=$C$9,W$46&lt;=$C$41),W50+W51,0)</f>
        <v>0</v>
      </c>
      <c r="X52" s="66" t="n">
        <f aca="false">IF(AND(X$46&gt;=$C$9,X$46&lt;=$C$41),X50+X51,0)</f>
        <v>0</v>
      </c>
      <c r="Y52" s="66" t="n">
        <f aca="false">IF(AND(Y$46&gt;=$C$9,Y$46&lt;=$C$41),Y50+Y51,0)</f>
        <v>0</v>
      </c>
      <c r="Z52" s="66" t="n">
        <f aca="false">IF(AND(Z$46&gt;=$C$9,Z$46&lt;=$C$41),Z50+Z51,0)</f>
        <v>0</v>
      </c>
      <c r="AA52" s="66" t="n">
        <f aca="false">IF(AND(AA$46&gt;=$C$9,AA$46&lt;=$C$41),AA50+AA51,0)</f>
        <v>0</v>
      </c>
      <c r="AB52" s="66" t="n">
        <f aca="false">IF(AND(AB$46&gt;=$C$9,AB$46&lt;=$C$41),AB50+AB51,0)</f>
        <v>0</v>
      </c>
      <c r="AC52" s="66" t="n">
        <f aca="false">IF(AND(AC$46&gt;=$C$9,AC$46&lt;=$C$41),AC50+AC51,0)</f>
        <v>0</v>
      </c>
      <c r="AD52" s="66" t="n">
        <f aca="false">IF(AND(AD$46&gt;=$C$9,AD$46&lt;=$C$41),AD50+AD51,0)</f>
        <v>0</v>
      </c>
      <c r="AE52" s="66" t="n">
        <f aca="false">IF(AND(AE$46&gt;=$C$9,AE$46&lt;=$C$41),AE50+AE51,0)</f>
        <v>0</v>
      </c>
      <c r="AF52" s="66" t="n">
        <f aca="false">IF(AND(AF$46&gt;=$C$9,AF$46&lt;=$C$41),AF50+AF51,0)</f>
        <v>0</v>
      </c>
      <c r="AG52" s="66" t="n">
        <f aca="false">IF(AND(AG$46&gt;=$C$9,AG$46&lt;=$C$41),AG50+AG51,0)</f>
        <v>0</v>
      </c>
      <c r="AH52" s="66" t="n">
        <f aca="false">IF(AND(AH$46&gt;=$C$9,AH$46&lt;=$C$41),AH50+AH51,0)</f>
        <v>0</v>
      </c>
      <c r="AI52" s="66" t="n">
        <f aca="false">IF(AND(AI$46&gt;=$C$9,AI$46&lt;=$C$41),AI50+AI51,0)</f>
        <v>0</v>
      </c>
      <c r="AJ52" s="66" t="n">
        <f aca="false">IF(AND(AJ$46&gt;=$C$9,AJ$46&lt;=$C$41),AJ50+AJ51,0)</f>
        <v>0</v>
      </c>
      <c r="AK52" s="66" t="n">
        <f aca="false">IF(AND(AK$46&gt;=$C$9,AK$46&lt;=$C$41),AK50+AK51,0)</f>
        <v>0</v>
      </c>
      <c r="AL52" s="66" t="n">
        <f aca="false">IF(AND(AL$46&gt;=$C$9,AL$46&lt;=$C$41),AL50+AL51,0)</f>
        <v>0</v>
      </c>
      <c r="AM52" s="66" t="n">
        <f aca="false">IF(AND(AM$46&gt;=$C$9,AM$46&lt;=$C$41),AM50+AM51,0)</f>
        <v>0</v>
      </c>
      <c r="AN52" s="66" t="n">
        <f aca="false">IF(AND(AN$46&gt;=$C$9,AN$46&lt;=$C$41),AN50+AN51,0)</f>
        <v>0</v>
      </c>
      <c r="AO52" s="66" t="n">
        <f aca="false">IF(AND(AO$46&gt;=$C$9,AO$46&lt;=$C$41),AO50+AO51,0)</f>
        <v>0</v>
      </c>
      <c r="AP52" s="66" t="n">
        <f aca="false">IF(AND(AP$46&gt;=$C$9,AP$46&lt;=$C$41),AP50+AP51,0)</f>
        <v>0</v>
      </c>
      <c r="AQ52" s="66" t="n">
        <f aca="false">IF(AND(AQ$46&gt;=$C$9,AQ$46&lt;=$C$41),AQ50+AQ51,0)</f>
        <v>0</v>
      </c>
      <c r="AR52" s="66" t="n">
        <f aca="false">IF(AND(AR$46&gt;=$C$9,AR$46&lt;=$C$41),AR50+AR51,0)</f>
        <v>0</v>
      </c>
      <c r="AS52" s="66" t="n">
        <f aca="false">IF(AND(AS$46&gt;=$C$9,AS$46&lt;=$C$41),AS50+AS51,0)</f>
        <v>0</v>
      </c>
      <c r="AT52" s="66" t="n">
        <f aca="false">IF(AND(AT$46&gt;=$C$9,AT$46&lt;=$C$41),AT50+AT51,0)</f>
        <v>0</v>
      </c>
      <c r="AU52" s="66" t="n">
        <f aca="false">IF(AND(AU$46&gt;=$C$9,AU$46&lt;=$C$41),AU50+AU51,0)</f>
        <v>0</v>
      </c>
      <c r="AV52" s="66" t="n">
        <f aca="false">IF(AND(AV$46&gt;=$C$9,AV$46&lt;=$C$41),AV50+AV51,0)</f>
        <v>0</v>
      </c>
      <c r="AW52" s="66" t="n">
        <f aca="false">IF(AND(AW$46&gt;=$C$9,AW$46&lt;=$C$41),AW50+AW51,0)</f>
        <v>0</v>
      </c>
      <c r="AX52" s="66" t="n">
        <f aca="false">IF(AND(AX$46&gt;=$C$9,AX$46&lt;=$C$41),AX50+AX51,0)</f>
        <v>0</v>
      </c>
      <c r="AY52" s="66" t="n">
        <f aca="false">IF(AND(AY$46&gt;=$C$9,AY$46&lt;=$C$41),AY50+AY51,0)</f>
        <v>0</v>
      </c>
      <c r="AZ52" s="66" t="n">
        <f aca="false">IF(AND(AZ$46&gt;=$C$9,AZ$46&lt;=$C$41),AZ50+AZ51,0)</f>
        <v>0</v>
      </c>
      <c r="BA52" s="66" t="n">
        <f aca="false">IF(AND(BA$46&gt;=$C$9,BA$46&lt;=$C$41),BA50+BA51,0)</f>
        <v>0</v>
      </c>
      <c r="BB52" s="66" t="n">
        <f aca="false">IF(AND(BB$46&gt;=$C$9,BB$46&lt;=$C$41),BB50+BB51,0)</f>
        <v>0</v>
      </c>
    </row>
    <row r="54" customFormat="false" ht="15" hidden="false" customHeight="true" outlineLevel="0" collapsed="false">
      <c r="A54" s="58" t="s">
        <v>465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customFormat="false" ht="15" hidden="false" customHeight="true" outlineLevel="0" collapsed="false">
      <c r="C55" s="69" t="s">
        <v>262</v>
      </c>
      <c r="D55" s="69" t="s">
        <v>60</v>
      </c>
      <c r="E55" s="70" t="n">
        <f aca="false">E$46</f>
        <v>2026</v>
      </c>
      <c r="F55" s="70" t="n">
        <f aca="false">F$46</f>
        <v>2027</v>
      </c>
      <c r="G55" s="70" t="n">
        <f aca="false">G$46</f>
        <v>2028</v>
      </c>
      <c r="H55" s="70" t="n">
        <f aca="false">H$46</f>
        <v>2029</v>
      </c>
      <c r="I55" s="70" t="n">
        <f aca="false">I$46</f>
        <v>2030</v>
      </c>
      <c r="J55" s="70" t="n">
        <f aca="false">J$46</f>
        <v>2031</v>
      </c>
      <c r="K55" s="70" t="n">
        <f aca="false">K$46</f>
        <v>2032</v>
      </c>
      <c r="L55" s="70" t="n">
        <f aca="false">L$46</f>
        <v>2033</v>
      </c>
      <c r="M55" s="70" t="n">
        <f aca="false">M$46</f>
        <v>2034</v>
      </c>
      <c r="N55" s="70" t="n">
        <f aca="false">N$46</f>
        <v>2035</v>
      </c>
      <c r="O55" s="70" t="n">
        <f aca="false">O$46</f>
        <v>2036</v>
      </c>
      <c r="P55" s="70" t="n">
        <f aca="false">P$46</f>
        <v>2037</v>
      </c>
      <c r="Q55" s="70" t="n">
        <f aca="false">Q$46</f>
        <v>2038</v>
      </c>
      <c r="R55" s="70" t="n">
        <f aca="false">R$46</f>
        <v>2039</v>
      </c>
      <c r="S55" s="70" t="n">
        <f aca="false">S$46</f>
        <v>2040</v>
      </c>
      <c r="T55" s="70" t="n">
        <f aca="false">T$46</f>
        <v>2041</v>
      </c>
      <c r="U55" s="70" t="n">
        <f aca="false">U$46</f>
        <v>2042</v>
      </c>
      <c r="V55" s="70" t="n">
        <f aca="false">V$46</f>
        <v>2043</v>
      </c>
      <c r="W55" s="70" t="n">
        <f aca="false">W$46</f>
        <v>2044</v>
      </c>
      <c r="X55" s="70" t="n">
        <f aca="false">X$46</f>
        <v>2045</v>
      </c>
      <c r="Y55" s="70" t="n">
        <f aca="false">Y$46</f>
        <v>2046</v>
      </c>
      <c r="Z55" s="70" t="n">
        <f aca="false">Z$46</f>
        <v>2047</v>
      </c>
      <c r="AA55" s="70" t="n">
        <f aca="false">AA$46</f>
        <v>2048</v>
      </c>
      <c r="AB55" s="70" t="n">
        <f aca="false">AB$46</f>
        <v>2049</v>
      </c>
      <c r="AC55" s="70" t="n">
        <f aca="false">AC$46</f>
        <v>2050</v>
      </c>
      <c r="AD55" s="70" t="n">
        <f aca="false">AD$46</f>
        <v>2051</v>
      </c>
      <c r="AE55" s="70" t="n">
        <f aca="false">AE$46</f>
        <v>2052</v>
      </c>
      <c r="AF55" s="70" t="n">
        <f aca="false">AF$46</f>
        <v>2053</v>
      </c>
      <c r="AG55" s="70" t="n">
        <f aca="false">AG$46</f>
        <v>2054</v>
      </c>
      <c r="AH55" s="70" t="n">
        <f aca="false">AH$46</f>
        <v>2055</v>
      </c>
      <c r="AI55" s="70" t="n">
        <f aca="false">AI$46</f>
        <v>2056</v>
      </c>
      <c r="AJ55" s="70" t="n">
        <f aca="false">AJ$46</f>
        <v>2057</v>
      </c>
      <c r="AK55" s="70" t="n">
        <f aca="false">AK$46</f>
        <v>2058</v>
      </c>
      <c r="AL55" s="70" t="n">
        <f aca="false">AL$46</f>
        <v>2059</v>
      </c>
      <c r="AM55" s="70" t="n">
        <f aca="false">AM$46</f>
        <v>2060</v>
      </c>
      <c r="AN55" s="70" t="n">
        <f aca="false">AN$46</f>
        <v>2061</v>
      </c>
      <c r="AO55" s="70" t="n">
        <f aca="false">AO$46</f>
        <v>2062</v>
      </c>
      <c r="AP55" s="70" t="n">
        <f aca="false">AP$46</f>
        <v>2063</v>
      </c>
      <c r="AQ55" s="70" t="n">
        <f aca="false">AQ$46</f>
        <v>2064</v>
      </c>
      <c r="AR55" s="70" t="n">
        <f aca="false">AR$46</f>
        <v>2065</v>
      </c>
      <c r="AS55" s="70" t="n">
        <f aca="false">AS$46</f>
        <v>2066</v>
      </c>
      <c r="AT55" s="70" t="n">
        <f aca="false">AT$46</f>
        <v>2067</v>
      </c>
      <c r="AU55" s="70" t="n">
        <f aca="false">AU$46</f>
        <v>2068</v>
      </c>
      <c r="AV55" s="70" t="n">
        <f aca="false">AV$46</f>
        <v>2069</v>
      </c>
      <c r="AW55" s="70" t="n">
        <f aca="false">AW$46</f>
        <v>2070</v>
      </c>
      <c r="AX55" s="70" t="n">
        <f aca="false">AX$46</f>
        <v>2071</v>
      </c>
      <c r="AY55" s="70" t="n">
        <f aca="false">AY$46</f>
        <v>2072</v>
      </c>
      <c r="AZ55" s="70" t="n">
        <f aca="false">AZ$46</f>
        <v>2073</v>
      </c>
      <c r="BA55" s="70" t="n">
        <f aca="false">BA$46</f>
        <v>2074</v>
      </c>
      <c r="BB55" s="70" t="n">
        <f aca="false">BB$46</f>
        <v>2075</v>
      </c>
    </row>
    <row r="56" customFormat="false" ht="15" hidden="false" customHeight="true" outlineLevel="0" collapsed="false">
      <c r="B56" s="59" t="s">
        <v>466</v>
      </c>
      <c r="C56" s="59" t="s">
        <v>11</v>
      </c>
      <c r="D56" s="63" t="n">
        <f aca="false">SUM(E56:BB56)</f>
        <v>0</v>
      </c>
      <c r="E56" s="66" t="n">
        <f aca="false">IF(AND(E49&lt;0,E$46&gt;=$C$9,E$46&lt;=$C$41),ABS(E49/$D$49)*$C$14,0)+E70</f>
        <v>0</v>
      </c>
      <c r="F56" s="66" t="n">
        <f aca="false">IF(AND(F49&lt;0,F$46&gt;=$C$9,F$46&lt;=$C$41),ABS(F49/$D$49)*$C$14,0)+F70</f>
        <v>0</v>
      </c>
      <c r="G56" s="66" t="n">
        <f aca="false">IF(AND(G49&lt;0,G$46&gt;=$C$9,G$46&lt;=$C$41),ABS(G49/$D$49)*$C$14,0)+G70</f>
        <v>0</v>
      </c>
      <c r="H56" s="66" t="n">
        <f aca="false">IF(AND(H49&lt;0,H$46&gt;=$C$9,H$46&lt;=$C$41),ABS(H49/$D$49)*$C$14,0)+H70</f>
        <v>0</v>
      </c>
      <c r="I56" s="66" t="n">
        <f aca="false">IF(AND(I49&lt;0,I$46&gt;=$C$9,I$46&lt;=$C$41),ABS(I49/$D$49)*$C$14,0)+I70</f>
        <v>0</v>
      </c>
      <c r="J56" s="66" t="n">
        <f aca="false">IF(AND(J49&lt;0,J$46&gt;=$C$9,J$46&lt;=$C$41),ABS(J49/$D$49)*$C$14,0)+J70</f>
        <v>0</v>
      </c>
      <c r="K56" s="66" t="n">
        <f aca="false">IF(AND(K49&lt;0,K$46&gt;=$C$9,K$46&lt;=$C$41),ABS(K49/$D$49)*$C$14,0)+K70</f>
        <v>0</v>
      </c>
      <c r="L56" s="66" t="n">
        <f aca="false">IF(AND(L49&lt;0,L$46&gt;=$C$9,L$46&lt;=$C$41),ABS(L49/$D$49)*$C$14,0)+L70</f>
        <v>0</v>
      </c>
      <c r="M56" s="66" t="n">
        <f aca="false">IF(AND(M49&lt;0,M$46&gt;=$C$9,M$46&lt;=$C$41),ABS(M49/$D$49)*$C$14,0)+M70</f>
        <v>0</v>
      </c>
      <c r="N56" s="66" t="n">
        <f aca="false">IF(AND(N49&lt;0,N$46&gt;=$C$9,N$46&lt;=$C$41),ABS(N49/$D$49)*$C$14,0)+N70</f>
        <v>0</v>
      </c>
      <c r="O56" s="66" t="n">
        <f aca="false">IF(AND(O49&lt;0,O$46&gt;=$C$9,O$46&lt;=$C$41),ABS(O49/$D$49)*$C$14,0)+O70</f>
        <v>0</v>
      </c>
      <c r="P56" s="66" t="n">
        <f aca="false">IF(AND(P49&lt;0,P$46&gt;=$C$9,P$46&lt;=$C$41),ABS(P49/$D$49)*$C$14,0)+P70</f>
        <v>0</v>
      </c>
      <c r="Q56" s="66" t="n">
        <f aca="false">IF(AND(Q49&lt;0,Q$46&gt;=$C$9,Q$46&lt;=$C$41),ABS(Q49/$D$49)*$C$14,0)+Q70</f>
        <v>0</v>
      </c>
      <c r="R56" s="66" t="n">
        <f aca="false">IF(AND(R49&lt;0,R$46&gt;=$C$9,R$46&lt;=$C$41),ABS(R49/$D$49)*$C$14,0)+R70</f>
        <v>0</v>
      </c>
      <c r="S56" s="66" t="n">
        <f aca="false">IF(AND(S49&lt;0,S$46&gt;=$C$9,S$46&lt;=$C$41),ABS(S49/$D$49)*$C$14,0)+S70</f>
        <v>0</v>
      </c>
      <c r="T56" s="66" t="n">
        <f aca="false">IF(AND(T49&lt;0,T$46&gt;=$C$9,T$46&lt;=$C$41),ABS(T49/$D$49)*$C$14,0)+T70</f>
        <v>0</v>
      </c>
      <c r="U56" s="66" t="n">
        <f aca="false">IF(AND(U49&lt;0,U$46&gt;=$C$9,U$46&lt;=$C$41),ABS(U49/$D$49)*$C$14,0)+U70</f>
        <v>0</v>
      </c>
      <c r="V56" s="66" t="n">
        <f aca="false">IF(AND(V49&lt;0,V$46&gt;=$C$9,V$46&lt;=$C$41),ABS(V49/$D$49)*$C$14,0)+V70</f>
        <v>0</v>
      </c>
      <c r="W56" s="66" t="n">
        <f aca="false">IF(AND(W49&lt;0,W$46&gt;=$C$9,W$46&lt;=$C$41),ABS(W49/$D$49)*$C$14,0)+W70</f>
        <v>0</v>
      </c>
      <c r="X56" s="66" t="n">
        <f aca="false">IF(AND(X49&lt;0,X$46&gt;=$C$9,X$46&lt;=$C$41),ABS(X49/$D$49)*$C$14,0)+X70</f>
        <v>0</v>
      </c>
      <c r="Y56" s="66" t="n">
        <f aca="false">IF(AND(Y49&lt;0,Y$46&gt;=$C$9,Y$46&lt;=$C$41),ABS(Y49/$D$49)*$C$14,0)+Y70</f>
        <v>0</v>
      </c>
      <c r="Z56" s="66" t="n">
        <f aca="false">IF(AND(Z49&lt;0,Z$46&gt;=$C$9,Z$46&lt;=$C$41),ABS(Z49/$D$49)*$C$14,0)+Z70</f>
        <v>0</v>
      </c>
      <c r="AA56" s="66" t="n">
        <f aca="false">IF(AND(AA49&lt;0,AA$46&gt;=$C$9,AA$46&lt;=$C$41),ABS(AA49/$D$49)*$C$14,0)+AA70</f>
        <v>0</v>
      </c>
      <c r="AB56" s="66" t="n">
        <f aca="false">IF(AND(AB49&lt;0,AB$46&gt;=$C$9,AB$46&lt;=$C$41),ABS(AB49/$D$49)*$C$14,0)+AB70</f>
        <v>0</v>
      </c>
      <c r="AC56" s="66" t="n">
        <f aca="false">IF(AND(AC49&lt;0,AC$46&gt;=$C$9,AC$46&lt;=$C$41),ABS(AC49/$D$49)*$C$14,0)+AC70</f>
        <v>0</v>
      </c>
      <c r="AD56" s="66" t="n">
        <f aca="false">IF(AND(AD49&lt;0,AD$46&gt;=$C$9,AD$46&lt;=$C$41),ABS(AD49/$D$49)*$C$14,0)+AD70</f>
        <v>0</v>
      </c>
      <c r="AE56" s="66" t="n">
        <f aca="false">IF(AND(AE49&lt;0,AE$46&gt;=$C$9,AE$46&lt;=$C$41),ABS(AE49/$D$49)*$C$14,0)+AE70</f>
        <v>0</v>
      </c>
      <c r="AF56" s="66" t="n">
        <f aca="false">IF(AND(AF49&lt;0,AF$46&gt;=$C$9,AF$46&lt;=$C$41),ABS(AF49/$D$49)*$C$14,0)+AF70</f>
        <v>0</v>
      </c>
      <c r="AG56" s="66" t="n">
        <f aca="false">IF(AND(AG49&lt;0,AG$46&gt;=$C$9,AG$46&lt;=$C$41),ABS(AG49/$D$49)*$C$14,0)+AG70</f>
        <v>0</v>
      </c>
      <c r="AH56" s="66" t="n">
        <f aca="false">IF(AND(AH49&lt;0,AH$46&gt;=$C$9,AH$46&lt;=$C$41),ABS(AH49/$D$49)*$C$14,0)+AH70</f>
        <v>0</v>
      </c>
      <c r="AI56" s="66" t="n">
        <f aca="false">IF(AND(AI49&lt;0,AI$46&gt;=$C$9,AI$46&lt;=$C$41),ABS(AI49/$D$49)*$C$14,0)+AI70</f>
        <v>0</v>
      </c>
      <c r="AJ56" s="66" t="n">
        <f aca="false">IF(AND(AJ49&lt;0,AJ$46&gt;=$C$9,AJ$46&lt;=$C$41),ABS(AJ49/$D$49)*$C$14,0)+AJ70</f>
        <v>0</v>
      </c>
      <c r="AK56" s="66" t="n">
        <f aca="false">IF(AND(AK49&lt;0,AK$46&gt;=$C$9,AK$46&lt;=$C$41),ABS(AK49/$D$49)*$C$14,0)+AK70</f>
        <v>0</v>
      </c>
      <c r="AL56" s="66" t="n">
        <f aca="false">IF(AND(AL49&lt;0,AL$46&gt;=$C$9,AL$46&lt;=$C$41),ABS(AL49/$D$49)*$C$14,0)+AL70</f>
        <v>0</v>
      </c>
      <c r="AM56" s="66" t="n">
        <f aca="false">IF(AND(AM49&lt;0,AM$46&gt;=$C$9,AM$46&lt;=$C$41),ABS(AM49/$D$49)*$C$14,0)+AM70</f>
        <v>0</v>
      </c>
      <c r="AN56" s="66" t="n">
        <f aca="false">IF(AND(AN49&lt;0,AN$46&gt;=$C$9,AN$46&lt;=$C$41),ABS(AN49/$D$49)*$C$14,0)+AN70</f>
        <v>0</v>
      </c>
      <c r="AO56" s="66" t="n">
        <f aca="false">IF(AND(AO49&lt;0,AO$46&gt;=$C$9,AO$46&lt;=$C$41),ABS(AO49/$D$49)*$C$14,0)+AO70</f>
        <v>0</v>
      </c>
      <c r="AP56" s="66" t="n">
        <f aca="false">IF(AND(AP49&lt;0,AP$46&gt;=$C$9,AP$46&lt;=$C$41),ABS(AP49/$D$49)*$C$14,0)+AP70</f>
        <v>0</v>
      </c>
      <c r="AQ56" s="66" t="n">
        <f aca="false">IF(AND(AQ49&lt;0,AQ$46&gt;=$C$9,AQ$46&lt;=$C$41),ABS(AQ49/$D$49)*$C$14,0)+AQ70</f>
        <v>0</v>
      </c>
      <c r="AR56" s="66" t="n">
        <f aca="false">IF(AND(AR49&lt;0,AR$46&gt;=$C$9,AR$46&lt;=$C$41),ABS(AR49/$D$49)*$C$14,0)+AR70</f>
        <v>0</v>
      </c>
      <c r="AS56" s="66" t="n">
        <f aca="false">IF(AND(AS49&lt;0,AS$46&gt;=$C$9,AS$46&lt;=$C$41),ABS(AS49/$D$49)*$C$14,0)+AS70</f>
        <v>0</v>
      </c>
      <c r="AT56" s="66" t="n">
        <f aca="false">IF(AND(AT49&lt;0,AT$46&gt;=$C$9,AT$46&lt;=$C$41),ABS(AT49/$D$49)*$C$14,0)+AT70</f>
        <v>0</v>
      </c>
      <c r="AU56" s="66" t="n">
        <f aca="false">IF(AND(AU49&lt;0,AU$46&gt;=$C$9,AU$46&lt;=$C$41),ABS(AU49/$D$49)*$C$14,0)+AU70</f>
        <v>0</v>
      </c>
      <c r="AV56" s="66" t="n">
        <f aca="false">IF(AND(AV49&lt;0,AV$46&gt;=$C$9,AV$46&lt;=$C$41),ABS(AV49/$D$49)*$C$14,0)+AV70</f>
        <v>0</v>
      </c>
      <c r="AW56" s="66" t="n">
        <f aca="false">IF(AND(AW49&lt;0,AW$46&gt;=$C$9,AW$46&lt;=$C$41),ABS(AW49/$D$49)*$C$14,0)+AW70</f>
        <v>0</v>
      </c>
      <c r="AX56" s="66" t="n">
        <f aca="false">IF(AND(AX49&lt;0,AX$46&gt;=$C$9,AX$46&lt;=$C$41),ABS(AX49/$D$49)*$C$14,0)+AX70</f>
        <v>0</v>
      </c>
      <c r="AY56" s="66" t="n">
        <f aca="false">IF(AND(AY49&lt;0,AY$46&gt;=$C$9,AY$46&lt;=$C$41),ABS(AY49/$D$49)*$C$14,0)+AY70</f>
        <v>0</v>
      </c>
      <c r="AZ56" s="66" t="n">
        <f aca="false">IF(AND(AZ49&lt;0,AZ$46&gt;=$C$9,AZ$46&lt;=$C$41),ABS(AZ49/$D$49)*$C$14,0)+AZ70</f>
        <v>0</v>
      </c>
      <c r="BA56" s="66" t="n">
        <f aca="false">IF(AND(BA49&lt;0,BA$46&gt;=$C$9,BA$46&lt;=$C$41),ABS(BA49/$D$49)*$C$14,0)+BA70</f>
        <v>0</v>
      </c>
      <c r="BB56" s="66" t="n">
        <f aca="false">IF(AND(BB49&lt;0,BB$46&gt;=$C$9,BB$46&lt;=$C$41),ABS(BB49/$D$49)*$C$14,0)+BB70</f>
        <v>0</v>
      </c>
    </row>
    <row r="57" customFormat="false" ht="15" hidden="false" customHeight="true" outlineLevel="0" collapsed="false">
      <c r="B57" s="59" t="s">
        <v>467</v>
      </c>
      <c r="C57" s="59" t="s">
        <v>11</v>
      </c>
      <c r="D57" s="63" t="n">
        <f aca="false">SUM(E57:BB57)</f>
        <v>0</v>
      </c>
      <c r="E57" s="66" t="n">
        <f aca="false">IF(AND($C$22="Y",E49&lt;0,E$46&gt;=$C$9,E$46&lt;=$C$41),MIN(ABS(E49/$D$49)*$C$19,MAX(0,$C$19-0)),0)</f>
        <v>0</v>
      </c>
      <c r="F57" s="66" t="n">
        <f aca="false">IF(AND($C$22="Y",F49&lt;0,F$46&gt;=$C$9,F$46&lt;=$C$41),MIN(ABS(F49/$D$49)*$C$19,MAX(0,$C$19-E60)),0)</f>
        <v>0</v>
      </c>
      <c r="G57" s="66" t="n">
        <f aca="false">IF(AND($C$22="Y",G49&lt;0,G$46&gt;=$C$9,G$46&lt;=$C$41),MIN(ABS(G49/$D$49)*$C$19,MAX(0,$C$19-F60)),0)</f>
        <v>0</v>
      </c>
      <c r="H57" s="66" t="n">
        <f aca="false">IF(AND($C$22="Y",H49&lt;0,H$46&gt;=$C$9,H$46&lt;=$C$41),MIN(ABS(H49/$D$49)*$C$19,MAX(0,$C$19-G60)),0)</f>
        <v>0</v>
      </c>
      <c r="I57" s="66" t="n">
        <f aca="false">IF(AND($C$22="Y",I49&lt;0,I$46&gt;=$C$9,I$46&lt;=$C$41),MIN(ABS(I49/$D$49)*$C$19,MAX(0,$C$19-H60)),0)</f>
        <v>0</v>
      </c>
      <c r="J57" s="66" t="n">
        <f aca="false">IF(AND($C$22="Y",J49&lt;0,J$46&gt;=$C$9,J$46&lt;=$C$41),MIN(ABS(J49/$D$49)*$C$19,MAX(0,$C$19-I60)),0)</f>
        <v>0</v>
      </c>
      <c r="K57" s="66" t="n">
        <f aca="false">IF(AND($C$22="Y",K49&lt;0,K$46&gt;=$C$9,K$46&lt;=$C$41),MIN(ABS(K49/$D$49)*$C$19,MAX(0,$C$19-J60)),0)</f>
        <v>0</v>
      </c>
      <c r="L57" s="66" t="n">
        <f aca="false">IF(AND($C$22="Y",L49&lt;0,L$46&gt;=$C$9,L$46&lt;=$C$41),MIN(ABS(L49/$D$49)*$C$19,MAX(0,$C$19-K60)),0)</f>
        <v>0</v>
      </c>
      <c r="M57" s="66" t="n">
        <f aca="false">IF(AND($C$22="Y",M49&lt;0,M$46&gt;=$C$9,M$46&lt;=$C$41),MIN(ABS(M49/$D$49)*$C$19,MAX(0,$C$19-L60)),0)</f>
        <v>0</v>
      </c>
      <c r="N57" s="66" t="n">
        <f aca="false">IF(AND($C$22="Y",N49&lt;0,N$46&gt;=$C$9,N$46&lt;=$C$41),MIN(ABS(N49/$D$49)*$C$19,MAX(0,$C$19-M60)),0)</f>
        <v>0</v>
      </c>
      <c r="O57" s="66" t="n">
        <f aca="false">IF(AND($C$22="Y",O49&lt;0,O$46&gt;=$C$9,O$46&lt;=$C$41),MIN(ABS(O49/$D$49)*$C$19,MAX(0,$C$19-N60)),0)</f>
        <v>0</v>
      </c>
      <c r="P57" s="66" t="n">
        <f aca="false">IF(AND($C$22="Y",P49&lt;0,P$46&gt;=$C$9,P$46&lt;=$C$41),MIN(ABS(P49/$D$49)*$C$19,MAX(0,$C$19-O60)),0)</f>
        <v>0</v>
      </c>
      <c r="Q57" s="66" t="n">
        <f aca="false">IF(AND($C$22="Y",Q49&lt;0,Q$46&gt;=$C$9,Q$46&lt;=$C$41),MIN(ABS(Q49/$D$49)*$C$19,MAX(0,$C$19-P60)),0)</f>
        <v>0</v>
      </c>
      <c r="R57" s="66" t="n">
        <f aca="false">IF(AND($C$22="Y",R49&lt;0,R$46&gt;=$C$9,R$46&lt;=$C$41),MIN(ABS(R49/$D$49)*$C$19,MAX(0,$C$19-Q60)),0)</f>
        <v>0</v>
      </c>
      <c r="S57" s="66" t="n">
        <f aca="false">IF(AND($C$22="Y",S49&lt;0,S$46&gt;=$C$9,S$46&lt;=$C$41),MIN(ABS(S49/$D$49)*$C$19,MAX(0,$C$19-R60)),0)</f>
        <v>0</v>
      </c>
      <c r="T57" s="66" t="n">
        <f aca="false">IF(AND($C$22="Y",T49&lt;0,T$46&gt;=$C$9,T$46&lt;=$C$41),MIN(ABS(T49/$D$49)*$C$19,MAX(0,$C$19-S60)),0)</f>
        <v>0</v>
      </c>
      <c r="U57" s="66" t="n">
        <f aca="false">IF(AND($C$22="Y",U49&lt;0,U$46&gt;=$C$9,U$46&lt;=$C$41),MIN(ABS(U49/$D$49)*$C$19,MAX(0,$C$19-T60)),0)</f>
        <v>0</v>
      </c>
      <c r="V57" s="66" t="n">
        <f aca="false">IF(AND($C$22="Y",V49&lt;0,V$46&gt;=$C$9,V$46&lt;=$C$41),MIN(ABS(V49/$D$49)*$C$19,MAX(0,$C$19-U60)),0)</f>
        <v>0</v>
      </c>
      <c r="W57" s="66" t="n">
        <f aca="false">IF(AND($C$22="Y",W49&lt;0,W$46&gt;=$C$9,W$46&lt;=$C$41),MIN(ABS(W49/$D$49)*$C$19,MAX(0,$C$19-V60)),0)</f>
        <v>0</v>
      </c>
      <c r="X57" s="66" t="n">
        <f aca="false">IF(AND($C$22="Y",X49&lt;0,X$46&gt;=$C$9,X$46&lt;=$C$41),MIN(ABS(X49/$D$49)*$C$19,MAX(0,$C$19-W60)),0)</f>
        <v>0</v>
      </c>
      <c r="Y57" s="66" t="n">
        <f aca="false">IF(AND($C$22="Y",Y49&lt;0,Y$46&gt;=$C$9,Y$46&lt;=$C$41),MIN(ABS(Y49/$D$49)*$C$19,MAX(0,$C$19-X60)),0)</f>
        <v>0</v>
      </c>
      <c r="Z57" s="66" t="n">
        <f aca="false">IF(AND($C$22="Y",Z49&lt;0,Z$46&gt;=$C$9,Z$46&lt;=$C$41),MIN(ABS(Z49/$D$49)*$C$19,MAX(0,$C$19-Y60)),0)</f>
        <v>0</v>
      </c>
      <c r="AA57" s="66" t="n">
        <f aca="false">IF(AND($C$22="Y",AA49&lt;0,AA$46&gt;=$C$9,AA$46&lt;=$C$41),MIN(ABS(AA49/$D$49)*$C$19,MAX(0,$C$19-Z60)),0)</f>
        <v>0</v>
      </c>
      <c r="AB57" s="66" t="n">
        <f aca="false">IF(AND($C$22="Y",AB49&lt;0,AB$46&gt;=$C$9,AB$46&lt;=$C$41),MIN(ABS(AB49/$D$49)*$C$19,MAX(0,$C$19-AA60)),0)</f>
        <v>0</v>
      </c>
      <c r="AC57" s="66" t="n">
        <f aca="false">IF(AND($C$22="Y",AC49&lt;0,AC$46&gt;=$C$9,AC$46&lt;=$C$41),MIN(ABS(AC49/$D$49)*$C$19,MAX(0,$C$19-AB60)),0)</f>
        <v>0</v>
      </c>
      <c r="AD57" s="66" t="n">
        <f aca="false">IF(AND($C$22="Y",AD49&lt;0,AD$46&gt;=$C$9,AD$46&lt;=$C$41),MIN(ABS(AD49/$D$49)*$C$19,MAX(0,$C$19-AC60)),0)</f>
        <v>0</v>
      </c>
      <c r="AE57" s="66" t="n">
        <f aca="false">IF(AND($C$22="Y",AE49&lt;0,AE$46&gt;=$C$9,AE$46&lt;=$C$41),MIN(ABS(AE49/$D$49)*$C$19,MAX(0,$C$19-AD60)),0)</f>
        <v>0</v>
      </c>
      <c r="AF57" s="66" t="n">
        <f aca="false">IF(AND($C$22="Y",AF49&lt;0,AF$46&gt;=$C$9,AF$46&lt;=$C$41),MIN(ABS(AF49/$D$49)*$C$19,MAX(0,$C$19-AE60)),0)</f>
        <v>0</v>
      </c>
      <c r="AG57" s="66" t="n">
        <f aca="false">IF(AND($C$22="Y",AG49&lt;0,AG$46&gt;=$C$9,AG$46&lt;=$C$41),MIN(ABS(AG49/$D$49)*$C$19,MAX(0,$C$19-AF60)),0)</f>
        <v>0</v>
      </c>
      <c r="AH57" s="66" t="n">
        <f aca="false">IF(AND($C$22="Y",AH49&lt;0,AH$46&gt;=$C$9,AH$46&lt;=$C$41),MIN(ABS(AH49/$D$49)*$C$19,MAX(0,$C$19-AG60)),0)</f>
        <v>0</v>
      </c>
      <c r="AI57" s="66" t="n">
        <f aca="false">IF(AND($C$22="Y",AI49&lt;0,AI$46&gt;=$C$9,AI$46&lt;=$C$41),MIN(ABS(AI49/$D$49)*$C$19,MAX(0,$C$19-AH60)),0)</f>
        <v>0</v>
      </c>
      <c r="AJ57" s="66" t="n">
        <f aca="false">IF(AND($C$22="Y",AJ49&lt;0,AJ$46&gt;=$C$9,AJ$46&lt;=$C$41),MIN(ABS(AJ49/$D$49)*$C$19,MAX(0,$C$19-AI60)),0)</f>
        <v>0</v>
      </c>
      <c r="AK57" s="66" t="n">
        <f aca="false">IF(AND($C$22="Y",AK49&lt;0,AK$46&gt;=$C$9,AK$46&lt;=$C$41),MIN(ABS(AK49/$D$49)*$C$19,MAX(0,$C$19-AJ60)),0)</f>
        <v>0</v>
      </c>
      <c r="AL57" s="66" t="n">
        <f aca="false">IF(AND($C$22="Y",AL49&lt;0,AL$46&gt;=$C$9,AL$46&lt;=$C$41),MIN(ABS(AL49/$D$49)*$C$19,MAX(0,$C$19-AK60)),0)</f>
        <v>0</v>
      </c>
      <c r="AM57" s="66" t="n">
        <f aca="false">IF(AND($C$22="Y",AM49&lt;0,AM$46&gt;=$C$9,AM$46&lt;=$C$41),MIN(ABS(AM49/$D$49)*$C$19,MAX(0,$C$19-AL60)),0)</f>
        <v>0</v>
      </c>
      <c r="AN57" s="66" t="n">
        <f aca="false">IF(AND($C$22="Y",AN49&lt;0,AN$46&gt;=$C$9,AN$46&lt;=$C$41),MIN(ABS(AN49/$D$49)*$C$19,MAX(0,$C$19-AM60)),0)</f>
        <v>0</v>
      </c>
      <c r="AO57" s="66" t="n">
        <f aca="false">IF(AND($C$22="Y",AO49&lt;0,AO$46&gt;=$C$9,AO$46&lt;=$C$41),MIN(ABS(AO49/$D$49)*$C$19,MAX(0,$C$19-AN60)),0)</f>
        <v>0</v>
      </c>
      <c r="AP57" s="66" t="n">
        <f aca="false">IF(AND($C$22="Y",AP49&lt;0,AP$46&gt;=$C$9,AP$46&lt;=$C$41),MIN(ABS(AP49/$D$49)*$C$19,MAX(0,$C$19-AO60)),0)</f>
        <v>0</v>
      </c>
      <c r="AQ57" s="66" t="n">
        <f aca="false">IF(AND($C$22="Y",AQ49&lt;0,AQ$46&gt;=$C$9,AQ$46&lt;=$C$41),MIN(ABS(AQ49/$D$49)*$C$19,MAX(0,$C$19-AP60)),0)</f>
        <v>0</v>
      </c>
      <c r="AR57" s="66" t="n">
        <f aca="false">IF(AND($C$22="Y",AR49&lt;0,AR$46&gt;=$C$9,AR$46&lt;=$C$41),MIN(ABS(AR49/$D$49)*$C$19,MAX(0,$C$19-AQ60)),0)</f>
        <v>0</v>
      </c>
      <c r="AS57" s="66" t="n">
        <f aca="false">IF(AND($C$22="Y",AS49&lt;0,AS$46&gt;=$C$9,AS$46&lt;=$C$41),MIN(ABS(AS49/$D$49)*$C$19,MAX(0,$C$19-AR60)),0)</f>
        <v>0</v>
      </c>
      <c r="AT57" s="66" t="n">
        <f aca="false">IF(AND($C$22="Y",AT49&lt;0,AT$46&gt;=$C$9,AT$46&lt;=$C$41),MIN(ABS(AT49/$D$49)*$C$19,MAX(0,$C$19-AS60)),0)</f>
        <v>0</v>
      </c>
      <c r="AU57" s="66" t="n">
        <f aca="false">IF(AND($C$22="Y",AU49&lt;0,AU$46&gt;=$C$9,AU$46&lt;=$C$41),MIN(ABS(AU49/$D$49)*$C$19,MAX(0,$C$19-AT60)),0)</f>
        <v>0</v>
      </c>
      <c r="AV57" s="66" t="n">
        <f aca="false">IF(AND($C$22="Y",AV49&lt;0,AV$46&gt;=$C$9,AV$46&lt;=$C$41),MIN(ABS(AV49/$D$49)*$C$19,MAX(0,$C$19-AU60)),0)</f>
        <v>0</v>
      </c>
      <c r="AW57" s="66" t="n">
        <f aca="false">IF(AND($C$22="Y",AW49&lt;0,AW$46&gt;=$C$9,AW$46&lt;=$C$41),MIN(ABS(AW49/$D$49)*$C$19,MAX(0,$C$19-AV60)),0)</f>
        <v>0</v>
      </c>
      <c r="AX57" s="66" t="n">
        <f aca="false">IF(AND($C$22="Y",AX49&lt;0,AX$46&gt;=$C$9,AX$46&lt;=$C$41),MIN(ABS(AX49/$D$49)*$C$19,MAX(0,$C$19-AW60)),0)</f>
        <v>0</v>
      </c>
      <c r="AY57" s="66" t="n">
        <f aca="false">IF(AND($C$22="Y",AY49&lt;0,AY$46&gt;=$C$9,AY$46&lt;=$C$41),MIN(ABS(AY49/$D$49)*$C$19,MAX(0,$C$19-AX60)),0)</f>
        <v>0</v>
      </c>
      <c r="AZ57" s="66" t="n">
        <f aca="false">IF(AND($C$22="Y",AZ49&lt;0,AZ$46&gt;=$C$9,AZ$46&lt;=$C$41),MIN(ABS(AZ49/$D$49)*$C$19,MAX(0,$C$19-AY60)),0)</f>
        <v>0</v>
      </c>
      <c r="BA57" s="66" t="n">
        <f aca="false">IF(AND($C$22="Y",BA49&lt;0,BA$46&gt;=$C$9,BA$46&lt;=$C$41),MIN(ABS(BA49/$D$49)*$C$19,MAX(0,$C$19-AZ60)),0)</f>
        <v>0</v>
      </c>
      <c r="BB57" s="66" t="n">
        <f aca="false">IF(AND($C$22="Y",BB49&lt;0,BB$46&gt;=$C$9,BB$46&lt;=$C$41),MIN(ABS(BB49/$D$49)*$C$19,MAX(0,$C$19-BA60)),0)</f>
        <v>0</v>
      </c>
    </row>
    <row r="58" customFormat="false" ht="15" hidden="false" customHeight="true" outlineLevel="0" collapsed="false">
      <c r="B58" s="59" t="s">
        <v>468</v>
      </c>
      <c r="C58" s="59" t="s">
        <v>11</v>
      </c>
      <c r="D58" s="66" t="n">
        <f aca="false">SUM(E58:BB58)</f>
        <v>0</v>
      </c>
      <c r="E58" s="66" t="n">
        <f aca="false">0</f>
        <v>0</v>
      </c>
      <c r="F58" s="66" t="n">
        <f aca="false">E60</f>
        <v>0</v>
      </c>
      <c r="G58" s="66" t="n">
        <f aca="false">F60</f>
        <v>0</v>
      </c>
      <c r="H58" s="66" t="n">
        <f aca="false">G60</f>
        <v>0</v>
      </c>
      <c r="I58" s="66" t="n">
        <f aca="false">H60</f>
        <v>0</v>
      </c>
      <c r="J58" s="66" t="n">
        <f aca="false">I60</f>
        <v>0</v>
      </c>
      <c r="K58" s="66" t="n">
        <f aca="false">J60</f>
        <v>0</v>
      </c>
      <c r="L58" s="66" t="n">
        <f aca="false">K60</f>
        <v>0</v>
      </c>
      <c r="M58" s="66" t="n">
        <f aca="false">L60</f>
        <v>0</v>
      </c>
      <c r="N58" s="66" t="n">
        <f aca="false">M60</f>
        <v>0</v>
      </c>
      <c r="O58" s="66" t="n">
        <f aca="false">N60</f>
        <v>0</v>
      </c>
      <c r="P58" s="66" t="n">
        <f aca="false">O60</f>
        <v>0</v>
      </c>
      <c r="Q58" s="66" t="n">
        <f aca="false">P60</f>
        <v>0</v>
      </c>
      <c r="R58" s="66" t="n">
        <f aca="false">Q60</f>
        <v>0</v>
      </c>
      <c r="S58" s="66" t="n">
        <f aca="false">R60</f>
        <v>0</v>
      </c>
      <c r="T58" s="66" t="n">
        <f aca="false">S60</f>
        <v>0</v>
      </c>
      <c r="U58" s="66" t="n">
        <f aca="false">T60</f>
        <v>0</v>
      </c>
      <c r="V58" s="66" t="n">
        <f aca="false">U60</f>
        <v>0</v>
      </c>
      <c r="W58" s="66" t="n">
        <f aca="false">V60</f>
        <v>0</v>
      </c>
      <c r="X58" s="66" t="n">
        <f aca="false">W60</f>
        <v>0</v>
      </c>
      <c r="Y58" s="66" t="n">
        <f aca="false">X60</f>
        <v>0</v>
      </c>
      <c r="Z58" s="66" t="n">
        <f aca="false">Y60</f>
        <v>0</v>
      </c>
      <c r="AA58" s="66" t="n">
        <f aca="false">Z60</f>
        <v>0</v>
      </c>
      <c r="AB58" s="66" t="n">
        <f aca="false">AA60</f>
        <v>0</v>
      </c>
      <c r="AC58" s="66" t="n">
        <f aca="false">AB60</f>
        <v>0</v>
      </c>
      <c r="AD58" s="66" t="n">
        <f aca="false">AC60</f>
        <v>0</v>
      </c>
      <c r="AE58" s="66" t="n">
        <f aca="false">AD60</f>
        <v>0</v>
      </c>
      <c r="AF58" s="66" t="n">
        <f aca="false">AE60</f>
        <v>0</v>
      </c>
      <c r="AG58" s="66" t="n">
        <f aca="false">AF60</f>
        <v>0</v>
      </c>
      <c r="AH58" s="66" t="n">
        <f aca="false">AG60</f>
        <v>0</v>
      </c>
      <c r="AI58" s="66" t="n">
        <f aca="false">AH60</f>
        <v>0</v>
      </c>
      <c r="AJ58" s="66" t="n">
        <f aca="false">AI60</f>
        <v>0</v>
      </c>
      <c r="AK58" s="66" t="n">
        <f aca="false">AJ60</f>
        <v>0</v>
      </c>
      <c r="AL58" s="66" t="n">
        <f aca="false">AK60</f>
        <v>0</v>
      </c>
      <c r="AM58" s="66" t="n">
        <f aca="false">AL60</f>
        <v>0</v>
      </c>
      <c r="AN58" s="66" t="n">
        <f aca="false">AM60</f>
        <v>0</v>
      </c>
      <c r="AO58" s="66" t="n">
        <f aca="false">AN60</f>
        <v>0</v>
      </c>
      <c r="AP58" s="66" t="n">
        <f aca="false">AO60</f>
        <v>0</v>
      </c>
      <c r="AQ58" s="66" t="n">
        <f aca="false">AP60</f>
        <v>0</v>
      </c>
      <c r="AR58" s="66" t="n">
        <f aca="false">AQ60</f>
        <v>0</v>
      </c>
      <c r="AS58" s="66" t="n">
        <f aca="false">AR60</f>
        <v>0</v>
      </c>
      <c r="AT58" s="66" t="n">
        <f aca="false">AS60</f>
        <v>0</v>
      </c>
      <c r="AU58" s="66" t="n">
        <f aca="false">AT60</f>
        <v>0</v>
      </c>
      <c r="AV58" s="66" t="n">
        <f aca="false">AU60</f>
        <v>0</v>
      </c>
      <c r="AW58" s="66" t="n">
        <f aca="false">AV60</f>
        <v>0</v>
      </c>
      <c r="AX58" s="66" t="n">
        <f aca="false">AW60</f>
        <v>0</v>
      </c>
      <c r="AY58" s="66" t="n">
        <f aca="false">AX60</f>
        <v>0</v>
      </c>
      <c r="AZ58" s="66" t="n">
        <f aca="false">AY60</f>
        <v>0</v>
      </c>
      <c r="BA58" s="66" t="n">
        <f aca="false">AZ60</f>
        <v>0</v>
      </c>
      <c r="BB58" s="66" t="n">
        <f aca="false">BA60</f>
        <v>0</v>
      </c>
    </row>
    <row r="59" customFormat="false" ht="15" hidden="false" customHeight="true" outlineLevel="0" collapsed="false">
      <c r="B59" s="59" t="s">
        <v>469</v>
      </c>
      <c r="C59" s="59" t="s">
        <v>11</v>
      </c>
      <c r="D59" s="63" t="n">
        <f aca="false">SUM(E59:BB59)</f>
        <v>0</v>
      </c>
      <c r="E59" s="66" t="n">
        <f aca="false">IF(AND($C$22="Y",(E$46-$C$9+1)&gt;$C$26,E58&gt;0),-MIN(E58,$C$19/MAX(1,$C$24-$C$26)),0)</f>
        <v>0</v>
      </c>
      <c r="F59" s="66" t="n">
        <f aca="false">IF(AND($C$22="Y",(F$46-$C$9+1)&gt;$C$26,F58&gt;0),-MIN(F58,$C$19/MAX(1,$C$24-$C$26)),0)</f>
        <v>0</v>
      </c>
      <c r="G59" s="66" t="n">
        <f aca="false">IF(AND($C$22="Y",(G$46-$C$9+1)&gt;$C$26,G58&gt;0),-MIN(G58,$C$19/MAX(1,$C$24-$C$26)),0)</f>
        <v>0</v>
      </c>
      <c r="H59" s="66" t="n">
        <f aca="false">IF(AND($C$22="Y",(H$46-$C$9+1)&gt;$C$26,H58&gt;0),-MIN(H58,$C$19/MAX(1,$C$24-$C$26)),0)</f>
        <v>0</v>
      </c>
      <c r="I59" s="66" t="n">
        <f aca="false">IF(AND($C$22="Y",(I$46-$C$9+1)&gt;$C$26,I58&gt;0),-MIN(I58,$C$19/MAX(1,$C$24-$C$26)),0)</f>
        <v>0</v>
      </c>
      <c r="J59" s="66" t="n">
        <f aca="false">IF(AND($C$22="Y",(J$46-$C$9+1)&gt;$C$26,J58&gt;0),-MIN(J58,$C$19/MAX(1,$C$24-$C$26)),0)</f>
        <v>0</v>
      </c>
      <c r="K59" s="66" t="n">
        <f aca="false">IF(AND($C$22="Y",(K$46-$C$9+1)&gt;$C$26,K58&gt;0),-MIN(K58,$C$19/MAX(1,$C$24-$C$26)),0)</f>
        <v>0</v>
      </c>
      <c r="L59" s="66" t="n">
        <f aca="false">IF(AND($C$22="Y",(L$46-$C$9+1)&gt;$C$26,L58&gt;0),-MIN(L58,$C$19/MAX(1,$C$24-$C$26)),0)</f>
        <v>0</v>
      </c>
      <c r="M59" s="66" t="n">
        <f aca="false">IF(AND($C$22="Y",(M$46-$C$9+1)&gt;$C$26,M58&gt;0),-MIN(M58,$C$19/MAX(1,$C$24-$C$26)),0)</f>
        <v>0</v>
      </c>
      <c r="N59" s="66" t="n">
        <f aca="false">IF(AND($C$22="Y",(N$46-$C$9+1)&gt;$C$26,N58&gt;0),-MIN(N58,$C$19/MAX(1,$C$24-$C$26)),0)</f>
        <v>0</v>
      </c>
      <c r="O59" s="66" t="n">
        <f aca="false">IF(AND($C$22="Y",(O$46-$C$9+1)&gt;$C$26,O58&gt;0),-MIN(O58,$C$19/MAX(1,$C$24-$C$26)),0)</f>
        <v>0</v>
      </c>
      <c r="P59" s="66" t="n">
        <f aca="false">IF(AND($C$22="Y",(P$46-$C$9+1)&gt;$C$26,P58&gt;0),-MIN(P58,$C$19/MAX(1,$C$24-$C$26)),0)</f>
        <v>0</v>
      </c>
      <c r="Q59" s="66" t="n">
        <f aca="false">IF(AND($C$22="Y",(Q$46-$C$9+1)&gt;$C$26,Q58&gt;0),-MIN(Q58,$C$19/MAX(1,$C$24-$C$26)),0)</f>
        <v>0</v>
      </c>
      <c r="R59" s="66" t="n">
        <f aca="false">IF(AND($C$22="Y",(R$46-$C$9+1)&gt;$C$26,R58&gt;0),-MIN(R58,$C$19/MAX(1,$C$24-$C$26)),0)</f>
        <v>0</v>
      </c>
      <c r="S59" s="66" t="n">
        <f aca="false">IF(AND($C$22="Y",(S$46-$C$9+1)&gt;$C$26,S58&gt;0),-MIN(S58,$C$19/MAX(1,$C$24-$C$26)),0)</f>
        <v>0</v>
      </c>
      <c r="T59" s="66" t="n">
        <f aca="false">IF(AND($C$22="Y",(T$46-$C$9+1)&gt;$C$26,T58&gt;0),-MIN(T58,$C$19/MAX(1,$C$24-$C$26)),0)</f>
        <v>0</v>
      </c>
      <c r="U59" s="66" t="n">
        <f aca="false">IF(AND($C$22="Y",(U$46-$C$9+1)&gt;$C$26,U58&gt;0),-MIN(U58,$C$19/MAX(1,$C$24-$C$26)),0)</f>
        <v>0</v>
      </c>
      <c r="V59" s="66" t="n">
        <f aca="false">IF(AND($C$22="Y",(V$46-$C$9+1)&gt;$C$26,V58&gt;0),-MIN(V58,$C$19/MAX(1,$C$24-$C$26)),0)</f>
        <v>0</v>
      </c>
      <c r="W59" s="66" t="n">
        <f aca="false">IF(AND($C$22="Y",(W$46-$C$9+1)&gt;$C$26,W58&gt;0),-MIN(W58,$C$19/MAX(1,$C$24-$C$26)),0)</f>
        <v>0</v>
      </c>
      <c r="X59" s="66" t="n">
        <f aca="false">IF(AND($C$22="Y",(X$46-$C$9+1)&gt;$C$26,X58&gt;0),-MIN(X58,$C$19/MAX(1,$C$24-$C$26)),0)</f>
        <v>0</v>
      </c>
      <c r="Y59" s="66" t="n">
        <f aca="false">IF(AND($C$22="Y",(Y$46-$C$9+1)&gt;$C$26,Y58&gt;0),-MIN(Y58,$C$19/MAX(1,$C$24-$C$26)),0)</f>
        <v>0</v>
      </c>
      <c r="Z59" s="66" t="n">
        <f aca="false">IF(AND($C$22="Y",(Z$46-$C$9+1)&gt;$C$26,Z58&gt;0),-MIN(Z58,$C$19/MAX(1,$C$24-$C$26)),0)</f>
        <v>0</v>
      </c>
      <c r="AA59" s="66" t="n">
        <f aca="false">IF(AND($C$22="Y",(AA$46-$C$9+1)&gt;$C$26,AA58&gt;0),-MIN(AA58,$C$19/MAX(1,$C$24-$C$26)),0)</f>
        <v>0</v>
      </c>
      <c r="AB59" s="66" t="n">
        <f aca="false">IF(AND($C$22="Y",(AB$46-$C$9+1)&gt;$C$26,AB58&gt;0),-MIN(AB58,$C$19/MAX(1,$C$24-$C$26)),0)</f>
        <v>0</v>
      </c>
      <c r="AC59" s="66" t="n">
        <f aca="false">IF(AND($C$22="Y",(AC$46-$C$9+1)&gt;$C$26,AC58&gt;0),-MIN(AC58,$C$19/MAX(1,$C$24-$C$26)),0)</f>
        <v>0</v>
      </c>
      <c r="AD59" s="66" t="n">
        <f aca="false">IF(AND($C$22="Y",(AD$46-$C$9+1)&gt;$C$26,AD58&gt;0),-MIN(AD58,$C$19/MAX(1,$C$24-$C$26)),0)</f>
        <v>0</v>
      </c>
      <c r="AE59" s="66" t="n">
        <f aca="false">IF(AND($C$22="Y",(AE$46-$C$9+1)&gt;$C$26,AE58&gt;0),-MIN(AE58,$C$19/MAX(1,$C$24-$C$26)),0)</f>
        <v>0</v>
      </c>
      <c r="AF59" s="66" t="n">
        <f aca="false">IF(AND($C$22="Y",(AF$46-$C$9+1)&gt;$C$26,AF58&gt;0),-MIN(AF58,$C$19/MAX(1,$C$24-$C$26)),0)</f>
        <v>0</v>
      </c>
      <c r="AG59" s="66" t="n">
        <f aca="false">IF(AND($C$22="Y",(AG$46-$C$9+1)&gt;$C$26,AG58&gt;0),-MIN(AG58,$C$19/MAX(1,$C$24-$C$26)),0)</f>
        <v>0</v>
      </c>
      <c r="AH59" s="66" t="n">
        <f aca="false">IF(AND($C$22="Y",(AH$46-$C$9+1)&gt;$C$26,AH58&gt;0),-MIN(AH58,$C$19/MAX(1,$C$24-$C$26)),0)</f>
        <v>0</v>
      </c>
      <c r="AI59" s="66" t="n">
        <f aca="false">IF(AND($C$22="Y",(AI$46-$C$9+1)&gt;$C$26,AI58&gt;0),-MIN(AI58,$C$19/MAX(1,$C$24-$C$26)),0)</f>
        <v>0</v>
      </c>
      <c r="AJ59" s="66" t="n">
        <f aca="false">IF(AND($C$22="Y",(AJ$46-$C$9+1)&gt;$C$26,AJ58&gt;0),-MIN(AJ58,$C$19/MAX(1,$C$24-$C$26)),0)</f>
        <v>0</v>
      </c>
      <c r="AK59" s="66" t="n">
        <f aca="false">IF(AND($C$22="Y",(AK$46-$C$9+1)&gt;$C$26,AK58&gt;0),-MIN(AK58,$C$19/MAX(1,$C$24-$C$26)),0)</f>
        <v>0</v>
      </c>
      <c r="AL59" s="66" t="n">
        <f aca="false">IF(AND($C$22="Y",(AL$46-$C$9+1)&gt;$C$26,AL58&gt;0),-MIN(AL58,$C$19/MAX(1,$C$24-$C$26)),0)</f>
        <v>0</v>
      </c>
      <c r="AM59" s="66" t="n">
        <f aca="false">IF(AND($C$22="Y",(AM$46-$C$9+1)&gt;$C$26,AM58&gt;0),-MIN(AM58,$C$19/MAX(1,$C$24-$C$26)),0)</f>
        <v>0</v>
      </c>
      <c r="AN59" s="66" t="n">
        <f aca="false">IF(AND($C$22="Y",(AN$46-$C$9+1)&gt;$C$26,AN58&gt;0),-MIN(AN58,$C$19/MAX(1,$C$24-$C$26)),0)</f>
        <v>0</v>
      </c>
      <c r="AO59" s="66" t="n">
        <f aca="false">IF(AND($C$22="Y",(AO$46-$C$9+1)&gt;$C$26,AO58&gt;0),-MIN(AO58,$C$19/MAX(1,$C$24-$C$26)),0)</f>
        <v>0</v>
      </c>
      <c r="AP59" s="66" t="n">
        <f aca="false">IF(AND($C$22="Y",(AP$46-$C$9+1)&gt;$C$26,AP58&gt;0),-MIN(AP58,$C$19/MAX(1,$C$24-$C$26)),0)</f>
        <v>0</v>
      </c>
      <c r="AQ59" s="66" t="n">
        <f aca="false">IF(AND($C$22="Y",(AQ$46-$C$9+1)&gt;$C$26,AQ58&gt;0),-MIN(AQ58,$C$19/MAX(1,$C$24-$C$26)),0)</f>
        <v>0</v>
      </c>
      <c r="AR59" s="66" t="n">
        <f aca="false">IF(AND($C$22="Y",(AR$46-$C$9+1)&gt;$C$26,AR58&gt;0),-MIN(AR58,$C$19/MAX(1,$C$24-$C$26)),0)</f>
        <v>0</v>
      </c>
      <c r="AS59" s="66" t="n">
        <f aca="false">IF(AND($C$22="Y",(AS$46-$C$9+1)&gt;$C$26,AS58&gt;0),-MIN(AS58,$C$19/MAX(1,$C$24-$C$26)),0)</f>
        <v>0</v>
      </c>
      <c r="AT59" s="66" t="n">
        <f aca="false">IF(AND($C$22="Y",(AT$46-$C$9+1)&gt;$C$26,AT58&gt;0),-MIN(AT58,$C$19/MAX(1,$C$24-$C$26)),0)</f>
        <v>0</v>
      </c>
      <c r="AU59" s="66" t="n">
        <f aca="false">IF(AND($C$22="Y",(AU$46-$C$9+1)&gt;$C$26,AU58&gt;0),-MIN(AU58,$C$19/MAX(1,$C$24-$C$26)),0)</f>
        <v>0</v>
      </c>
      <c r="AV59" s="66" t="n">
        <f aca="false">IF(AND($C$22="Y",(AV$46-$C$9+1)&gt;$C$26,AV58&gt;0),-MIN(AV58,$C$19/MAX(1,$C$24-$C$26)),0)</f>
        <v>0</v>
      </c>
      <c r="AW59" s="66" t="n">
        <f aca="false">IF(AND($C$22="Y",(AW$46-$C$9+1)&gt;$C$26,AW58&gt;0),-MIN(AW58,$C$19/MAX(1,$C$24-$C$26)),0)</f>
        <v>0</v>
      </c>
      <c r="AX59" s="66" t="n">
        <f aca="false">IF(AND($C$22="Y",(AX$46-$C$9+1)&gt;$C$26,AX58&gt;0),-MIN(AX58,$C$19/MAX(1,$C$24-$C$26)),0)</f>
        <v>0</v>
      </c>
      <c r="AY59" s="66" t="n">
        <f aca="false">IF(AND($C$22="Y",(AY$46-$C$9+1)&gt;$C$26,AY58&gt;0),-MIN(AY58,$C$19/MAX(1,$C$24-$C$26)),0)</f>
        <v>0</v>
      </c>
      <c r="AZ59" s="66" t="n">
        <f aca="false">IF(AND($C$22="Y",(AZ$46-$C$9+1)&gt;$C$26,AZ58&gt;0),-MIN(AZ58,$C$19/MAX(1,$C$24-$C$26)),0)</f>
        <v>0</v>
      </c>
      <c r="BA59" s="66" t="n">
        <f aca="false">IF(AND($C$22="Y",(BA$46-$C$9+1)&gt;$C$26,BA58&gt;0),-MIN(BA58,$C$19/MAX(1,$C$24-$C$26)),0)</f>
        <v>0</v>
      </c>
      <c r="BB59" s="66" t="n">
        <f aca="false">IF(AND($C$22="Y",(BB$46-$C$9+1)&gt;$C$26,BB58&gt;0),-MIN(BB58,$C$19/MAX(1,$C$24-$C$26)),0)</f>
        <v>0</v>
      </c>
    </row>
    <row r="60" customFormat="false" ht="15" hidden="false" customHeight="true" outlineLevel="0" collapsed="false">
      <c r="B60" s="59" t="s">
        <v>470</v>
      </c>
      <c r="C60" s="59" t="s">
        <v>11</v>
      </c>
      <c r="D60" s="66" t="n">
        <f aca="false">SUM(E60:BB60)</f>
        <v>0</v>
      </c>
      <c r="E60" s="66" t="n">
        <f aca="false">MAX(0,E58+E57+E59)</f>
        <v>0</v>
      </c>
      <c r="F60" s="66" t="n">
        <f aca="false">MAX(0,F58+F57+F59)</f>
        <v>0</v>
      </c>
      <c r="G60" s="66" t="n">
        <f aca="false">MAX(0,G58+G57+G59)</f>
        <v>0</v>
      </c>
      <c r="H60" s="66" t="n">
        <f aca="false">MAX(0,H58+H57+H59)</f>
        <v>0</v>
      </c>
      <c r="I60" s="66" t="n">
        <f aca="false">MAX(0,I58+I57+I59)</f>
        <v>0</v>
      </c>
      <c r="J60" s="66" t="n">
        <f aca="false">MAX(0,J58+J57+J59)</f>
        <v>0</v>
      </c>
      <c r="K60" s="66" t="n">
        <f aca="false">MAX(0,K58+K57+K59)</f>
        <v>0</v>
      </c>
      <c r="L60" s="66" t="n">
        <f aca="false">MAX(0,L58+L57+L59)</f>
        <v>0</v>
      </c>
      <c r="M60" s="66" t="n">
        <f aca="false">MAX(0,M58+M57+M59)</f>
        <v>0</v>
      </c>
      <c r="N60" s="66" t="n">
        <f aca="false">MAX(0,N58+N57+N59)</f>
        <v>0</v>
      </c>
      <c r="O60" s="66" t="n">
        <f aca="false">MAX(0,O58+O57+O59)</f>
        <v>0</v>
      </c>
      <c r="P60" s="66" t="n">
        <f aca="false">MAX(0,P58+P57+P59)</f>
        <v>0</v>
      </c>
      <c r="Q60" s="66" t="n">
        <f aca="false">MAX(0,Q58+Q57+Q59)</f>
        <v>0</v>
      </c>
      <c r="R60" s="66" t="n">
        <f aca="false">MAX(0,R58+R57+R59)</f>
        <v>0</v>
      </c>
      <c r="S60" s="66" t="n">
        <f aca="false">MAX(0,S58+S57+S59)</f>
        <v>0</v>
      </c>
      <c r="T60" s="66" t="n">
        <f aca="false">MAX(0,T58+T57+T59)</f>
        <v>0</v>
      </c>
      <c r="U60" s="66" t="n">
        <f aca="false">MAX(0,U58+U57+U59)</f>
        <v>0</v>
      </c>
      <c r="V60" s="66" t="n">
        <f aca="false">MAX(0,V58+V57+V59)</f>
        <v>0</v>
      </c>
      <c r="W60" s="66" t="n">
        <f aca="false">MAX(0,W58+W57+W59)</f>
        <v>0</v>
      </c>
      <c r="X60" s="66" t="n">
        <f aca="false">MAX(0,X58+X57+X59)</f>
        <v>0</v>
      </c>
      <c r="Y60" s="66" t="n">
        <f aca="false">MAX(0,Y58+Y57+Y59)</f>
        <v>0</v>
      </c>
      <c r="Z60" s="66" t="n">
        <f aca="false">MAX(0,Z58+Z57+Z59)</f>
        <v>0</v>
      </c>
      <c r="AA60" s="66" t="n">
        <f aca="false">MAX(0,AA58+AA57+AA59)</f>
        <v>0</v>
      </c>
      <c r="AB60" s="66" t="n">
        <f aca="false">MAX(0,AB58+AB57+AB59)</f>
        <v>0</v>
      </c>
      <c r="AC60" s="66" t="n">
        <f aca="false">MAX(0,AC58+AC57+AC59)</f>
        <v>0</v>
      </c>
      <c r="AD60" s="66" t="n">
        <f aca="false">MAX(0,AD58+AD57+AD59)</f>
        <v>0</v>
      </c>
      <c r="AE60" s="66" t="n">
        <f aca="false">MAX(0,AE58+AE57+AE59)</f>
        <v>0</v>
      </c>
      <c r="AF60" s="66" t="n">
        <f aca="false">MAX(0,AF58+AF57+AF59)</f>
        <v>0</v>
      </c>
      <c r="AG60" s="66" t="n">
        <f aca="false">MAX(0,AG58+AG57+AG59)</f>
        <v>0</v>
      </c>
      <c r="AH60" s="66" t="n">
        <f aca="false">MAX(0,AH58+AH57+AH59)</f>
        <v>0</v>
      </c>
      <c r="AI60" s="66" t="n">
        <f aca="false">MAX(0,AI58+AI57+AI59)</f>
        <v>0</v>
      </c>
      <c r="AJ60" s="66" t="n">
        <f aca="false">MAX(0,AJ58+AJ57+AJ59)</f>
        <v>0</v>
      </c>
      <c r="AK60" s="66" t="n">
        <f aca="false">MAX(0,AK58+AK57+AK59)</f>
        <v>0</v>
      </c>
      <c r="AL60" s="66" t="n">
        <f aca="false">MAX(0,AL58+AL57+AL59)</f>
        <v>0</v>
      </c>
      <c r="AM60" s="66" t="n">
        <f aca="false">MAX(0,AM58+AM57+AM59)</f>
        <v>0</v>
      </c>
      <c r="AN60" s="66" t="n">
        <f aca="false">MAX(0,AN58+AN57+AN59)</f>
        <v>0</v>
      </c>
      <c r="AO60" s="66" t="n">
        <f aca="false">MAX(0,AO58+AO57+AO59)</f>
        <v>0</v>
      </c>
      <c r="AP60" s="66" t="n">
        <f aca="false">MAX(0,AP58+AP57+AP59)</f>
        <v>0</v>
      </c>
      <c r="AQ60" s="66" t="n">
        <f aca="false">MAX(0,AQ58+AQ57+AQ59)</f>
        <v>0</v>
      </c>
      <c r="AR60" s="66" t="n">
        <f aca="false">MAX(0,AR58+AR57+AR59)</f>
        <v>0</v>
      </c>
      <c r="AS60" s="66" t="n">
        <f aca="false">MAX(0,AS58+AS57+AS59)</f>
        <v>0</v>
      </c>
      <c r="AT60" s="66" t="n">
        <f aca="false">MAX(0,AT58+AT57+AT59)</f>
        <v>0</v>
      </c>
      <c r="AU60" s="66" t="n">
        <f aca="false">MAX(0,AU58+AU57+AU59)</f>
        <v>0</v>
      </c>
      <c r="AV60" s="66" t="n">
        <f aca="false">MAX(0,AV58+AV57+AV59)</f>
        <v>0</v>
      </c>
      <c r="AW60" s="66" t="n">
        <f aca="false">MAX(0,AW58+AW57+AW59)</f>
        <v>0</v>
      </c>
      <c r="AX60" s="66" t="n">
        <f aca="false">MAX(0,AX58+AX57+AX59)</f>
        <v>0</v>
      </c>
      <c r="AY60" s="66" t="n">
        <f aca="false">MAX(0,AY58+AY57+AY59)</f>
        <v>0</v>
      </c>
      <c r="AZ60" s="66" t="n">
        <f aca="false">MAX(0,AZ58+AZ57+AZ59)</f>
        <v>0</v>
      </c>
      <c r="BA60" s="66" t="n">
        <f aca="false">MAX(0,BA58+BA57+BA59)</f>
        <v>0</v>
      </c>
      <c r="BB60" s="66" t="n">
        <f aca="false">MAX(0,BB58+BB57+BB59)</f>
        <v>0</v>
      </c>
    </row>
    <row r="61" customFormat="false" ht="15" hidden="false" customHeight="true" outlineLevel="0" collapsed="false">
      <c r="B61" s="59" t="s">
        <v>471</v>
      </c>
      <c r="C61" s="59" t="s">
        <v>11</v>
      </c>
      <c r="D61" s="63" t="n">
        <f aca="false">SUM(E61:BB61)</f>
        <v>0</v>
      </c>
      <c r="E61" s="66" t="n">
        <f aca="false">IF(AND($C$22="Y",E58+E60&gt;0),-(E58+E60)/2*$C$23,0)-ABS(E57)*$C$25</f>
        <v>0</v>
      </c>
      <c r="F61" s="66" t="n">
        <f aca="false">IF(AND($C$22="Y",F58+F60&gt;0),-(F58+F60)/2*$C$23,0)-ABS(F57)*$C$25</f>
        <v>0</v>
      </c>
      <c r="G61" s="66" t="n">
        <f aca="false">IF(AND($C$22="Y",G58+G60&gt;0),-(G58+G60)/2*$C$23,0)-ABS(G57)*$C$25</f>
        <v>0</v>
      </c>
      <c r="H61" s="66" t="n">
        <f aca="false">IF(AND($C$22="Y",H58+H60&gt;0),-(H58+H60)/2*$C$23,0)-ABS(H57)*$C$25</f>
        <v>0</v>
      </c>
      <c r="I61" s="66" t="n">
        <f aca="false">IF(AND($C$22="Y",I58+I60&gt;0),-(I58+I60)/2*$C$23,0)-ABS(I57)*$C$25</f>
        <v>0</v>
      </c>
      <c r="J61" s="66" t="n">
        <f aca="false">IF(AND($C$22="Y",J58+J60&gt;0),-(J58+J60)/2*$C$23,0)-ABS(J57)*$C$25</f>
        <v>0</v>
      </c>
      <c r="K61" s="66" t="n">
        <f aca="false">IF(AND($C$22="Y",K58+K60&gt;0),-(K58+K60)/2*$C$23,0)-ABS(K57)*$C$25</f>
        <v>0</v>
      </c>
      <c r="L61" s="66" t="n">
        <f aca="false">IF(AND($C$22="Y",L58+L60&gt;0),-(L58+L60)/2*$C$23,0)-ABS(L57)*$C$25</f>
        <v>0</v>
      </c>
      <c r="M61" s="66" t="n">
        <f aca="false">IF(AND($C$22="Y",M58+M60&gt;0),-(M58+M60)/2*$C$23,0)-ABS(M57)*$C$25</f>
        <v>0</v>
      </c>
      <c r="N61" s="66" t="n">
        <f aca="false">IF(AND($C$22="Y",N58+N60&gt;0),-(N58+N60)/2*$C$23,0)-ABS(N57)*$C$25</f>
        <v>0</v>
      </c>
      <c r="O61" s="66" t="n">
        <f aca="false">IF(AND($C$22="Y",O58+O60&gt;0),-(O58+O60)/2*$C$23,0)-ABS(O57)*$C$25</f>
        <v>0</v>
      </c>
      <c r="P61" s="66" t="n">
        <f aca="false">IF(AND($C$22="Y",P58+P60&gt;0),-(P58+P60)/2*$C$23,0)-ABS(P57)*$C$25</f>
        <v>0</v>
      </c>
      <c r="Q61" s="66" t="n">
        <f aca="false">IF(AND($C$22="Y",Q58+Q60&gt;0),-(Q58+Q60)/2*$C$23,0)-ABS(Q57)*$C$25</f>
        <v>0</v>
      </c>
      <c r="R61" s="66" t="n">
        <f aca="false">IF(AND($C$22="Y",R58+R60&gt;0),-(R58+R60)/2*$C$23,0)-ABS(R57)*$C$25</f>
        <v>0</v>
      </c>
      <c r="S61" s="66" t="n">
        <f aca="false">IF(AND($C$22="Y",S58+S60&gt;0),-(S58+S60)/2*$C$23,0)-ABS(S57)*$C$25</f>
        <v>0</v>
      </c>
      <c r="T61" s="66" t="n">
        <f aca="false">IF(AND($C$22="Y",T58+T60&gt;0),-(T58+T60)/2*$C$23,0)-ABS(T57)*$C$25</f>
        <v>0</v>
      </c>
      <c r="U61" s="66" t="n">
        <f aca="false">IF(AND($C$22="Y",U58+U60&gt;0),-(U58+U60)/2*$C$23,0)-ABS(U57)*$C$25</f>
        <v>0</v>
      </c>
      <c r="V61" s="66" t="n">
        <f aca="false">IF(AND($C$22="Y",V58+V60&gt;0),-(V58+V60)/2*$C$23,0)-ABS(V57)*$C$25</f>
        <v>0</v>
      </c>
      <c r="W61" s="66" t="n">
        <f aca="false">IF(AND($C$22="Y",W58+W60&gt;0),-(W58+W60)/2*$C$23,0)-ABS(W57)*$C$25</f>
        <v>0</v>
      </c>
      <c r="X61" s="66" t="n">
        <f aca="false">IF(AND($C$22="Y",X58+X60&gt;0),-(X58+X60)/2*$C$23,0)-ABS(X57)*$C$25</f>
        <v>0</v>
      </c>
      <c r="Y61" s="66" t="n">
        <f aca="false">IF(AND($C$22="Y",Y58+Y60&gt;0),-(Y58+Y60)/2*$C$23,0)-ABS(Y57)*$C$25</f>
        <v>0</v>
      </c>
      <c r="Z61" s="66" t="n">
        <f aca="false">IF(AND($C$22="Y",Z58+Z60&gt;0),-(Z58+Z60)/2*$C$23,0)-ABS(Z57)*$C$25</f>
        <v>0</v>
      </c>
      <c r="AA61" s="66" t="n">
        <f aca="false">IF(AND($C$22="Y",AA58+AA60&gt;0),-(AA58+AA60)/2*$C$23,0)-ABS(AA57)*$C$25</f>
        <v>0</v>
      </c>
      <c r="AB61" s="66" t="n">
        <f aca="false">IF(AND($C$22="Y",AB58+AB60&gt;0),-(AB58+AB60)/2*$C$23,0)-ABS(AB57)*$C$25</f>
        <v>0</v>
      </c>
      <c r="AC61" s="66" t="n">
        <f aca="false">IF(AND($C$22="Y",AC58+AC60&gt;0),-(AC58+AC60)/2*$C$23,0)-ABS(AC57)*$C$25</f>
        <v>0</v>
      </c>
      <c r="AD61" s="66" t="n">
        <f aca="false">IF(AND($C$22="Y",AD58+AD60&gt;0),-(AD58+AD60)/2*$C$23,0)-ABS(AD57)*$C$25</f>
        <v>0</v>
      </c>
      <c r="AE61" s="66" t="n">
        <f aca="false">IF(AND($C$22="Y",AE58+AE60&gt;0),-(AE58+AE60)/2*$C$23,0)-ABS(AE57)*$C$25</f>
        <v>0</v>
      </c>
      <c r="AF61" s="66" t="n">
        <f aca="false">IF(AND($C$22="Y",AF58+AF60&gt;0),-(AF58+AF60)/2*$C$23,0)-ABS(AF57)*$C$25</f>
        <v>0</v>
      </c>
      <c r="AG61" s="66" t="n">
        <f aca="false">IF(AND($C$22="Y",AG58+AG60&gt;0),-(AG58+AG60)/2*$C$23,0)-ABS(AG57)*$C$25</f>
        <v>0</v>
      </c>
      <c r="AH61" s="66" t="n">
        <f aca="false">IF(AND($C$22="Y",AH58+AH60&gt;0),-(AH58+AH60)/2*$C$23,0)-ABS(AH57)*$C$25</f>
        <v>0</v>
      </c>
      <c r="AI61" s="66" t="n">
        <f aca="false">IF(AND($C$22="Y",AI58+AI60&gt;0),-(AI58+AI60)/2*$C$23,0)-ABS(AI57)*$C$25</f>
        <v>0</v>
      </c>
      <c r="AJ61" s="66" t="n">
        <f aca="false">IF(AND($C$22="Y",AJ58+AJ60&gt;0),-(AJ58+AJ60)/2*$C$23,0)-ABS(AJ57)*$C$25</f>
        <v>0</v>
      </c>
      <c r="AK61" s="66" t="n">
        <f aca="false">IF(AND($C$22="Y",AK58+AK60&gt;0),-(AK58+AK60)/2*$C$23,0)-ABS(AK57)*$C$25</f>
        <v>0</v>
      </c>
      <c r="AL61" s="66" t="n">
        <f aca="false">IF(AND($C$22="Y",AL58+AL60&gt;0),-(AL58+AL60)/2*$C$23,0)-ABS(AL57)*$C$25</f>
        <v>0</v>
      </c>
      <c r="AM61" s="66" t="n">
        <f aca="false">IF(AND($C$22="Y",AM58+AM60&gt;0),-(AM58+AM60)/2*$C$23,0)-ABS(AM57)*$C$25</f>
        <v>0</v>
      </c>
      <c r="AN61" s="66" t="n">
        <f aca="false">IF(AND($C$22="Y",AN58+AN60&gt;0),-(AN58+AN60)/2*$C$23,0)-ABS(AN57)*$C$25</f>
        <v>0</v>
      </c>
      <c r="AO61" s="66" t="n">
        <f aca="false">IF(AND($C$22="Y",AO58+AO60&gt;0),-(AO58+AO60)/2*$C$23,0)-ABS(AO57)*$C$25</f>
        <v>0</v>
      </c>
      <c r="AP61" s="66" t="n">
        <f aca="false">IF(AND($C$22="Y",AP58+AP60&gt;0),-(AP58+AP60)/2*$C$23,0)-ABS(AP57)*$C$25</f>
        <v>0</v>
      </c>
      <c r="AQ61" s="66" t="n">
        <f aca="false">IF(AND($C$22="Y",AQ58+AQ60&gt;0),-(AQ58+AQ60)/2*$C$23,0)-ABS(AQ57)*$C$25</f>
        <v>0</v>
      </c>
      <c r="AR61" s="66" t="n">
        <f aca="false">IF(AND($C$22="Y",AR58+AR60&gt;0),-(AR58+AR60)/2*$C$23,0)-ABS(AR57)*$C$25</f>
        <v>0</v>
      </c>
      <c r="AS61" s="66" t="n">
        <f aca="false">IF(AND($C$22="Y",AS58+AS60&gt;0),-(AS58+AS60)/2*$C$23,0)-ABS(AS57)*$C$25</f>
        <v>0</v>
      </c>
      <c r="AT61" s="66" t="n">
        <f aca="false">IF(AND($C$22="Y",AT58+AT60&gt;0),-(AT58+AT60)/2*$C$23,0)-ABS(AT57)*$C$25</f>
        <v>0</v>
      </c>
      <c r="AU61" s="66" t="n">
        <f aca="false">IF(AND($C$22="Y",AU58+AU60&gt;0),-(AU58+AU60)/2*$C$23,0)-ABS(AU57)*$C$25</f>
        <v>0</v>
      </c>
      <c r="AV61" s="66" t="n">
        <f aca="false">IF(AND($C$22="Y",AV58+AV60&gt;0),-(AV58+AV60)/2*$C$23,0)-ABS(AV57)*$C$25</f>
        <v>0</v>
      </c>
      <c r="AW61" s="66" t="n">
        <f aca="false">IF(AND($C$22="Y",AW58+AW60&gt;0),-(AW58+AW60)/2*$C$23,0)-ABS(AW57)*$C$25</f>
        <v>0</v>
      </c>
      <c r="AX61" s="66" t="n">
        <f aca="false">IF(AND($C$22="Y",AX58+AX60&gt;0),-(AX58+AX60)/2*$C$23,0)-ABS(AX57)*$C$25</f>
        <v>0</v>
      </c>
      <c r="AY61" s="66" t="n">
        <f aca="false">IF(AND($C$22="Y",AY58+AY60&gt;0),-(AY58+AY60)/2*$C$23,0)-ABS(AY57)*$C$25</f>
        <v>0</v>
      </c>
      <c r="AZ61" s="66" t="n">
        <f aca="false">IF(AND($C$22="Y",AZ58+AZ60&gt;0),-(AZ58+AZ60)/2*$C$23,0)-ABS(AZ57)*$C$25</f>
        <v>0</v>
      </c>
      <c r="BA61" s="66" t="n">
        <f aca="false">IF(AND($C$22="Y",BA58+BA60&gt;0),-(BA58+BA60)/2*$C$23,0)-ABS(BA57)*$C$25</f>
        <v>0</v>
      </c>
      <c r="BB61" s="66" t="n">
        <f aca="false">IF(AND($C$22="Y",BB58+BB60&gt;0),-(BB58+BB60)/2*$C$23,0)-ABS(BB57)*$C$25</f>
        <v>0</v>
      </c>
    </row>
    <row r="62" customFormat="false" ht="15" hidden="false" customHeight="true" outlineLevel="0" collapsed="false">
      <c r="B62" s="20" t="s">
        <v>472</v>
      </c>
      <c r="C62" s="59" t="s">
        <v>11</v>
      </c>
      <c r="D62" s="63" t="n">
        <f aca="false">SUM(E62:BB62)</f>
        <v>0</v>
      </c>
      <c r="E62" s="63" t="n">
        <f aca="false">E59+E61</f>
        <v>0</v>
      </c>
      <c r="F62" s="63" t="n">
        <f aca="false">F59+F61</f>
        <v>0</v>
      </c>
      <c r="G62" s="63" t="n">
        <f aca="false">G59+G61</f>
        <v>0</v>
      </c>
      <c r="H62" s="63" t="n">
        <f aca="false">H59+H61</f>
        <v>0</v>
      </c>
      <c r="I62" s="63" t="n">
        <f aca="false">I59+I61</f>
        <v>0</v>
      </c>
      <c r="J62" s="63" t="n">
        <f aca="false">J59+J61</f>
        <v>0</v>
      </c>
      <c r="K62" s="63" t="n">
        <f aca="false">K59+K61</f>
        <v>0</v>
      </c>
      <c r="L62" s="63" t="n">
        <f aca="false">L59+L61</f>
        <v>0</v>
      </c>
      <c r="M62" s="63" t="n">
        <f aca="false">M59+M61</f>
        <v>0</v>
      </c>
      <c r="N62" s="63" t="n">
        <f aca="false">N59+N61</f>
        <v>0</v>
      </c>
      <c r="O62" s="63" t="n">
        <f aca="false">O59+O61</f>
        <v>0</v>
      </c>
      <c r="P62" s="63" t="n">
        <f aca="false">P59+P61</f>
        <v>0</v>
      </c>
      <c r="Q62" s="63" t="n">
        <f aca="false">Q59+Q61</f>
        <v>0</v>
      </c>
      <c r="R62" s="63" t="n">
        <f aca="false">R59+R61</f>
        <v>0</v>
      </c>
      <c r="S62" s="63" t="n">
        <f aca="false">S59+S61</f>
        <v>0</v>
      </c>
      <c r="T62" s="63" t="n">
        <f aca="false">T59+T61</f>
        <v>0</v>
      </c>
      <c r="U62" s="63" t="n">
        <f aca="false">U59+U61</f>
        <v>0</v>
      </c>
      <c r="V62" s="63" t="n">
        <f aca="false">V59+V61</f>
        <v>0</v>
      </c>
      <c r="W62" s="63" t="n">
        <f aca="false">W59+W61</f>
        <v>0</v>
      </c>
      <c r="X62" s="63" t="n">
        <f aca="false">X59+X61</f>
        <v>0</v>
      </c>
      <c r="Y62" s="63" t="n">
        <f aca="false">Y59+Y61</f>
        <v>0</v>
      </c>
      <c r="Z62" s="63" t="n">
        <f aca="false">Z59+Z61</f>
        <v>0</v>
      </c>
      <c r="AA62" s="63" t="n">
        <f aca="false">AA59+AA61</f>
        <v>0</v>
      </c>
      <c r="AB62" s="63" t="n">
        <f aca="false">AB59+AB61</f>
        <v>0</v>
      </c>
      <c r="AC62" s="63" t="n">
        <f aca="false">AC59+AC61</f>
        <v>0</v>
      </c>
      <c r="AD62" s="63" t="n">
        <f aca="false">AD59+AD61</f>
        <v>0</v>
      </c>
      <c r="AE62" s="63" t="n">
        <f aca="false">AE59+AE61</f>
        <v>0</v>
      </c>
      <c r="AF62" s="63" t="n">
        <f aca="false">AF59+AF61</f>
        <v>0</v>
      </c>
      <c r="AG62" s="63" t="n">
        <f aca="false">AG59+AG61</f>
        <v>0</v>
      </c>
      <c r="AH62" s="63" t="n">
        <f aca="false">AH59+AH61</f>
        <v>0</v>
      </c>
      <c r="AI62" s="63" t="n">
        <f aca="false">AI59+AI61</f>
        <v>0</v>
      </c>
      <c r="AJ62" s="63" t="n">
        <f aca="false">AJ59+AJ61</f>
        <v>0</v>
      </c>
      <c r="AK62" s="63" t="n">
        <f aca="false">AK59+AK61</f>
        <v>0</v>
      </c>
      <c r="AL62" s="63" t="n">
        <f aca="false">AL59+AL61</f>
        <v>0</v>
      </c>
      <c r="AM62" s="63" t="n">
        <f aca="false">AM59+AM61</f>
        <v>0</v>
      </c>
      <c r="AN62" s="63" t="n">
        <f aca="false">AN59+AN61</f>
        <v>0</v>
      </c>
      <c r="AO62" s="63" t="n">
        <f aca="false">AO59+AO61</f>
        <v>0</v>
      </c>
      <c r="AP62" s="63" t="n">
        <f aca="false">AP59+AP61</f>
        <v>0</v>
      </c>
      <c r="AQ62" s="63" t="n">
        <f aca="false">AQ59+AQ61</f>
        <v>0</v>
      </c>
      <c r="AR62" s="63" t="n">
        <f aca="false">AR59+AR61</f>
        <v>0</v>
      </c>
      <c r="AS62" s="63" t="n">
        <f aca="false">AS59+AS61</f>
        <v>0</v>
      </c>
      <c r="AT62" s="63" t="n">
        <f aca="false">AT59+AT61</f>
        <v>0</v>
      </c>
      <c r="AU62" s="63" t="n">
        <f aca="false">AU59+AU61</f>
        <v>0</v>
      </c>
      <c r="AV62" s="63" t="n">
        <f aca="false">AV59+AV61</f>
        <v>0</v>
      </c>
      <c r="AW62" s="63" t="n">
        <f aca="false">AW59+AW61</f>
        <v>0</v>
      </c>
      <c r="AX62" s="63" t="n">
        <f aca="false">AX59+AX61</f>
        <v>0</v>
      </c>
      <c r="AY62" s="63" t="n">
        <f aca="false">AY59+AY61</f>
        <v>0</v>
      </c>
      <c r="AZ62" s="63" t="n">
        <f aca="false">AZ59+AZ61</f>
        <v>0</v>
      </c>
      <c r="BA62" s="63" t="n">
        <f aca="false">BA59+BA61</f>
        <v>0</v>
      </c>
      <c r="BB62" s="63" t="n">
        <f aca="false">BB59+BB61</f>
        <v>0</v>
      </c>
    </row>
    <row r="64" customFormat="false" ht="15" hidden="false" customHeight="true" outlineLevel="0" collapsed="false">
      <c r="B64" s="59" t="s">
        <v>473</v>
      </c>
      <c r="C64" s="59" t="s">
        <v>11</v>
      </c>
      <c r="D64" s="66" t="n">
        <f aca="false">SUM(E64:BB64)</f>
        <v>0</v>
      </c>
      <c r="E64" s="66" t="n">
        <f aca="false">IF(E$46=$C$9,$C$14*$C$29,0)</f>
        <v>0</v>
      </c>
      <c r="F64" s="66" t="n">
        <f aca="false">IF(F$46=$C$9,$C$14*$C$29,0)</f>
        <v>0</v>
      </c>
      <c r="G64" s="66" t="n">
        <f aca="false">IF(G$46=$C$9,$C$14*$C$29,0)</f>
        <v>0</v>
      </c>
      <c r="H64" s="66" t="n">
        <f aca="false">IF(H$46=$C$9,$C$14*$C$29,0)</f>
        <v>0</v>
      </c>
      <c r="I64" s="66" t="n">
        <f aca="false">IF(I$46=$C$9,$C$14*$C$29,0)</f>
        <v>0</v>
      </c>
      <c r="J64" s="66" t="n">
        <f aca="false">IF(J$46=$C$9,$C$14*$C$29,0)</f>
        <v>0</v>
      </c>
      <c r="K64" s="66" t="n">
        <f aca="false">IF(K$46=$C$9,$C$14*$C$29,0)</f>
        <v>0</v>
      </c>
      <c r="L64" s="66" t="n">
        <f aca="false">IF(L$46=$C$9,$C$14*$C$29,0)</f>
        <v>0</v>
      </c>
      <c r="M64" s="66" t="n">
        <f aca="false">IF(M$46=$C$9,$C$14*$C$29,0)</f>
        <v>0</v>
      </c>
      <c r="N64" s="66" t="n">
        <f aca="false">IF(N$46=$C$9,$C$14*$C$29,0)</f>
        <v>0</v>
      </c>
      <c r="O64" s="66" t="n">
        <f aca="false">IF(O$46=$C$9,$C$14*$C$29,0)</f>
        <v>0</v>
      </c>
      <c r="P64" s="66" t="n">
        <f aca="false">IF(P$46=$C$9,$C$14*$C$29,0)</f>
        <v>0</v>
      </c>
      <c r="Q64" s="66" t="n">
        <f aca="false">IF(Q$46=$C$9,$C$14*$C$29,0)</f>
        <v>0</v>
      </c>
      <c r="R64" s="66" t="n">
        <f aca="false">IF(R$46=$C$9,$C$14*$C$29,0)</f>
        <v>0</v>
      </c>
      <c r="S64" s="66" t="n">
        <f aca="false">IF(S$46=$C$9,$C$14*$C$29,0)</f>
        <v>0</v>
      </c>
      <c r="T64" s="66" t="n">
        <f aca="false">IF(T$46=$C$9,$C$14*$C$29,0)</f>
        <v>0</v>
      </c>
      <c r="U64" s="66" t="n">
        <f aca="false">IF(U$46=$C$9,$C$14*$C$29,0)</f>
        <v>0</v>
      </c>
      <c r="V64" s="66" t="n">
        <f aca="false">IF(V$46=$C$9,$C$14*$C$29,0)</f>
        <v>0</v>
      </c>
      <c r="W64" s="66" t="n">
        <f aca="false">IF(W$46=$C$9,$C$14*$C$29,0)</f>
        <v>0</v>
      </c>
      <c r="X64" s="66" t="n">
        <f aca="false">IF(X$46=$C$9,$C$14*$C$29,0)</f>
        <v>0</v>
      </c>
      <c r="Y64" s="66" t="n">
        <f aca="false">IF(Y$46=$C$9,$C$14*$C$29,0)</f>
        <v>0</v>
      </c>
      <c r="Z64" s="66" t="n">
        <f aca="false">IF(Z$46=$C$9,$C$14*$C$29,0)</f>
        <v>0</v>
      </c>
      <c r="AA64" s="66" t="n">
        <f aca="false">IF(AA$46=$C$9,$C$14*$C$29,0)</f>
        <v>0</v>
      </c>
      <c r="AB64" s="66" t="n">
        <f aca="false">IF(AB$46=$C$9,$C$14*$C$29,0)</f>
        <v>0</v>
      </c>
      <c r="AC64" s="66" t="n">
        <f aca="false">IF(AC$46=$C$9,$C$14*$C$29,0)</f>
        <v>0</v>
      </c>
      <c r="AD64" s="66" t="n">
        <f aca="false">IF(AD$46=$C$9,$C$14*$C$29,0)</f>
        <v>0</v>
      </c>
      <c r="AE64" s="66" t="n">
        <f aca="false">IF(AE$46=$C$9,$C$14*$C$29,0)</f>
        <v>0</v>
      </c>
      <c r="AF64" s="66" t="n">
        <f aca="false">IF(AF$46=$C$9,$C$14*$C$29,0)</f>
        <v>0</v>
      </c>
      <c r="AG64" s="66" t="n">
        <f aca="false">IF(AG$46=$C$9,$C$14*$C$29,0)</f>
        <v>0</v>
      </c>
      <c r="AH64" s="66" t="n">
        <f aca="false">IF(AH$46=$C$9,$C$14*$C$29,0)</f>
        <v>0</v>
      </c>
      <c r="AI64" s="66" t="n">
        <f aca="false">IF(AI$46=$C$9,$C$14*$C$29,0)</f>
        <v>0</v>
      </c>
      <c r="AJ64" s="66" t="n">
        <f aca="false">IF(AJ$46=$C$9,$C$14*$C$29,0)</f>
        <v>0</v>
      </c>
      <c r="AK64" s="66" t="n">
        <f aca="false">IF(AK$46=$C$9,$C$14*$C$29,0)</f>
        <v>0</v>
      </c>
      <c r="AL64" s="66" t="n">
        <f aca="false">IF(AL$46=$C$9,$C$14*$C$29,0)</f>
        <v>0</v>
      </c>
      <c r="AM64" s="66" t="n">
        <f aca="false">IF(AM$46=$C$9,$C$14*$C$29,0)</f>
        <v>0</v>
      </c>
      <c r="AN64" s="66" t="n">
        <f aca="false">IF(AN$46=$C$9,$C$14*$C$29,0)</f>
        <v>0</v>
      </c>
      <c r="AO64" s="66" t="n">
        <f aca="false">IF(AO$46=$C$9,$C$14*$C$29,0)</f>
        <v>0</v>
      </c>
      <c r="AP64" s="66" t="n">
        <f aca="false">IF(AP$46=$C$9,$C$14*$C$29,0)</f>
        <v>0</v>
      </c>
      <c r="AQ64" s="66" t="n">
        <f aca="false">IF(AQ$46=$C$9,$C$14*$C$29,0)</f>
        <v>0</v>
      </c>
      <c r="AR64" s="66" t="n">
        <f aca="false">IF(AR$46=$C$9,$C$14*$C$29,0)</f>
        <v>0</v>
      </c>
      <c r="AS64" s="66" t="n">
        <f aca="false">IF(AS$46=$C$9,$C$14*$C$29,0)</f>
        <v>0</v>
      </c>
      <c r="AT64" s="66" t="n">
        <f aca="false">IF(AT$46=$C$9,$C$14*$C$29,0)</f>
        <v>0</v>
      </c>
      <c r="AU64" s="66" t="n">
        <f aca="false">IF(AU$46=$C$9,$C$14*$C$29,0)</f>
        <v>0</v>
      </c>
      <c r="AV64" s="66" t="n">
        <f aca="false">IF(AV$46=$C$9,$C$14*$C$29,0)</f>
        <v>0</v>
      </c>
      <c r="AW64" s="66" t="n">
        <f aca="false">IF(AW$46=$C$9,$C$14*$C$29,0)</f>
        <v>0</v>
      </c>
      <c r="AX64" s="66" t="n">
        <f aca="false">IF(AX$46=$C$9,$C$14*$C$29,0)</f>
        <v>0</v>
      </c>
      <c r="AY64" s="66" t="n">
        <f aca="false">IF(AY$46=$C$9,$C$14*$C$29,0)</f>
        <v>0</v>
      </c>
      <c r="AZ64" s="66" t="n">
        <f aca="false">IF(AZ$46=$C$9,$C$14*$C$29,0)</f>
        <v>0</v>
      </c>
      <c r="BA64" s="66" t="n">
        <f aca="false">IF(BA$46=$C$9,$C$14*$C$29,0)</f>
        <v>0</v>
      </c>
      <c r="BB64" s="66" t="n">
        <f aca="false">IF(BB$46=$C$9,$C$14*$C$29,0)</f>
        <v>0</v>
      </c>
    </row>
    <row r="65" customFormat="false" ht="15" hidden="false" customHeight="true" outlineLevel="0" collapsed="false">
      <c r="B65" s="59" t="s">
        <v>474</v>
      </c>
      <c r="C65" s="59" t="s">
        <v>11</v>
      </c>
      <c r="D65" s="66" t="n">
        <f aca="false">SUM(E65:BB65)</f>
        <v>0</v>
      </c>
      <c r="E65" s="66" t="n">
        <f aca="false">IF(AND(E$46&gt;=$C$9,E$46&lt;=$C$41),ABS(SUM($E$49:E49))*$C$30,0)</f>
        <v>0</v>
      </c>
      <c r="F65" s="66" t="n">
        <f aca="false">IF(AND(F$46&gt;=$C$9,F$46&lt;=$C$41),ABS(SUM($E$49:F49))*$C$30,0)</f>
        <v>0</v>
      </c>
      <c r="G65" s="66" t="n">
        <f aca="false">IF(AND(G$46&gt;=$C$9,G$46&lt;=$C$41),ABS(SUM($E$49:G49))*$C$30,0)</f>
        <v>0</v>
      </c>
      <c r="H65" s="66" t="n">
        <f aca="false">IF(AND(H$46&gt;=$C$9,H$46&lt;=$C$41),ABS(SUM($E$49:H49))*$C$30,0)</f>
        <v>0</v>
      </c>
      <c r="I65" s="66" t="n">
        <f aca="false">IF(AND(I$46&gt;=$C$9,I$46&lt;=$C$41),ABS(SUM($E$49:I49))*$C$30,0)</f>
        <v>0</v>
      </c>
      <c r="J65" s="66" t="n">
        <f aca="false">IF(AND(J$46&gt;=$C$9,J$46&lt;=$C$41),ABS(SUM($E$49:J49))*$C$30,0)</f>
        <v>0</v>
      </c>
      <c r="K65" s="66" t="n">
        <f aca="false">IF(AND(K$46&gt;=$C$9,K$46&lt;=$C$41),ABS(SUM($E$49:K49))*$C$30,0)</f>
        <v>0</v>
      </c>
      <c r="L65" s="66" t="n">
        <f aca="false">IF(AND(L$46&gt;=$C$9,L$46&lt;=$C$41),ABS(SUM($E$49:L49))*$C$30,0)</f>
        <v>0</v>
      </c>
      <c r="M65" s="66" t="n">
        <f aca="false">IF(AND(M$46&gt;=$C$9,M$46&lt;=$C$41),ABS(SUM($E$49:M49))*$C$30,0)</f>
        <v>0</v>
      </c>
      <c r="N65" s="66" t="n">
        <f aca="false">IF(AND(N$46&gt;=$C$9,N$46&lt;=$C$41),ABS(SUM($E$49:N49))*$C$30,0)</f>
        <v>0</v>
      </c>
      <c r="O65" s="66" t="n">
        <f aca="false">IF(AND(O$46&gt;=$C$9,O$46&lt;=$C$41),ABS(SUM($E$49:O49))*$C$30,0)</f>
        <v>0</v>
      </c>
      <c r="P65" s="66" t="n">
        <f aca="false">IF(AND(P$46&gt;=$C$9,P$46&lt;=$C$41),ABS(SUM($E$49:P49))*$C$30,0)</f>
        <v>0</v>
      </c>
      <c r="Q65" s="66" t="n">
        <f aca="false">IF(AND(Q$46&gt;=$C$9,Q$46&lt;=$C$41),ABS(SUM($E$49:Q49))*$C$30,0)</f>
        <v>0</v>
      </c>
      <c r="R65" s="66" t="n">
        <f aca="false">IF(AND(R$46&gt;=$C$9,R$46&lt;=$C$41),ABS(SUM($E$49:R49))*$C$30,0)</f>
        <v>0</v>
      </c>
      <c r="S65" s="66" t="n">
        <f aca="false">IF(AND(S$46&gt;=$C$9,S$46&lt;=$C$41),ABS(SUM($E$49:S49))*$C$30,0)</f>
        <v>0</v>
      </c>
      <c r="T65" s="66" t="n">
        <f aca="false">IF(AND(T$46&gt;=$C$9,T$46&lt;=$C$41),ABS(SUM($E$49:T49))*$C$30,0)</f>
        <v>0</v>
      </c>
      <c r="U65" s="66" t="n">
        <f aca="false">IF(AND(U$46&gt;=$C$9,U$46&lt;=$C$41),ABS(SUM($E$49:U49))*$C$30,0)</f>
        <v>0</v>
      </c>
      <c r="V65" s="66" t="n">
        <f aca="false">IF(AND(V$46&gt;=$C$9,V$46&lt;=$C$41),ABS(SUM($E$49:V49))*$C$30,0)</f>
        <v>0</v>
      </c>
      <c r="W65" s="66" t="n">
        <f aca="false">IF(AND(W$46&gt;=$C$9,W$46&lt;=$C$41),ABS(SUM($E$49:W49))*$C$30,0)</f>
        <v>0</v>
      </c>
      <c r="X65" s="66" t="n">
        <f aca="false">IF(AND(X$46&gt;=$C$9,X$46&lt;=$C$41),ABS(SUM($E$49:X49))*$C$30,0)</f>
        <v>0</v>
      </c>
      <c r="Y65" s="66" t="n">
        <f aca="false">IF(AND(Y$46&gt;=$C$9,Y$46&lt;=$C$41),ABS(SUM($E$49:Y49))*$C$30,0)</f>
        <v>0</v>
      </c>
      <c r="Z65" s="66" t="n">
        <f aca="false">IF(AND(Z$46&gt;=$C$9,Z$46&lt;=$C$41),ABS(SUM($E$49:Z49))*$C$30,0)</f>
        <v>0</v>
      </c>
      <c r="AA65" s="66" t="n">
        <f aca="false">IF(AND(AA$46&gt;=$C$9,AA$46&lt;=$C$41),ABS(SUM($E$49:AA49))*$C$30,0)</f>
        <v>0</v>
      </c>
      <c r="AB65" s="66" t="n">
        <f aca="false">IF(AND(AB$46&gt;=$C$9,AB$46&lt;=$C$41),ABS(SUM($E$49:AB49))*$C$30,0)</f>
        <v>0</v>
      </c>
      <c r="AC65" s="66" t="n">
        <f aca="false">IF(AND(AC$46&gt;=$C$9,AC$46&lt;=$C$41),ABS(SUM($E$49:AC49))*$C$30,0)</f>
        <v>0</v>
      </c>
      <c r="AD65" s="66" t="n">
        <f aca="false">IF(AND(AD$46&gt;=$C$9,AD$46&lt;=$C$41),ABS(SUM($E$49:AD49))*$C$30,0)</f>
        <v>0</v>
      </c>
      <c r="AE65" s="66" t="n">
        <f aca="false">IF(AND(AE$46&gt;=$C$9,AE$46&lt;=$C$41),ABS(SUM($E$49:AE49))*$C$30,0)</f>
        <v>0</v>
      </c>
      <c r="AF65" s="66" t="n">
        <f aca="false">IF(AND(AF$46&gt;=$C$9,AF$46&lt;=$C$41),ABS(SUM($E$49:AF49))*$C$30,0)</f>
        <v>0</v>
      </c>
      <c r="AG65" s="66" t="n">
        <f aca="false">IF(AND(AG$46&gt;=$C$9,AG$46&lt;=$C$41),ABS(SUM($E$49:AG49))*$C$30,0)</f>
        <v>0</v>
      </c>
      <c r="AH65" s="66" t="n">
        <f aca="false">IF(AND(AH$46&gt;=$C$9,AH$46&lt;=$C$41),ABS(SUM($E$49:AH49))*$C$30,0)</f>
        <v>0</v>
      </c>
      <c r="AI65" s="66" t="n">
        <f aca="false">IF(AND(AI$46&gt;=$C$9,AI$46&lt;=$C$41),ABS(SUM($E$49:AI49))*$C$30,0)</f>
        <v>0</v>
      </c>
      <c r="AJ65" s="66" t="n">
        <f aca="false">IF(AND(AJ$46&gt;=$C$9,AJ$46&lt;=$C$41),ABS(SUM($E$49:AJ49))*$C$30,0)</f>
        <v>0</v>
      </c>
      <c r="AK65" s="66" t="n">
        <f aca="false">IF(AND(AK$46&gt;=$C$9,AK$46&lt;=$C$41),ABS(SUM($E$49:AK49))*$C$30,0)</f>
        <v>0</v>
      </c>
      <c r="AL65" s="66" t="n">
        <f aca="false">IF(AND(AL$46&gt;=$C$9,AL$46&lt;=$C$41),ABS(SUM($E$49:AL49))*$C$30,0)</f>
        <v>0</v>
      </c>
      <c r="AM65" s="66" t="n">
        <f aca="false">IF(AND(AM$46&gt;=$C$9,AM$46&lt;=$C$41),ABS(SUM($E$49:AM49))*$C$30,0)</f>
        <v>0</v>
      </c>
      <c r="AN65" s="66" t="n">
        <f aca="false">IF(AND(AN$46&gt;=$C$9,AN$46&lt;=$C$41),ABS(SUM($E$49:AN49))*$C$30,0)</f>
        <v>0</v>
      </c>
      <c r="AO65" s="66" t="n">
        <f aca="false">IF(AND(AO$46&gt;=$C$9,AO$46&lt;=$C$41),ABS(SUM($E$49:AO49))*$C$30,0)</f>
        <v>0</v>
      </c>
      <c r="AP65" s="66" t="n">
        <f aca="false">IF(AND(AP$46&gt;=$C$9,AP$46&lt;=$C$41),ABS(SUM($E$49:AP49))*$C$30,0)</f>
        <v>0</v>
      </c>
      <c r="AQ65" s="66" t="n">
        <f aca="false">IF(AND(AQ$46&gt;=$C$9,AQ$46&lt;=$C$41),ABS(SUM($E$49:AQ49))*$C$30,0)</f>
        <v>0</v>
      </c>
      <c r="AR65" s="66" t="n">
        <f aca="false">IF(AND(AR$46&gt;=$C$9,AR$46&lt;=$C$41),ABS(SUM($E$49:AR49))*$C$30,0)</f>
        <v>0</v>
      </c>
      <c r="AS65" s="66" t="n">
        <f aca="false">IF(AND(AS$46&gt;=$C$9,AS$46&lt;=$C$41),ABS(SUM($E$49:AS49))*$C$30,0)</f>
        <v>0</v>
      </c>
      <c r="AT65" s="66" t="n">
        <f aca="false">IF(AND(AT$46&gt;=$C$9,AT$46&lt;=$C$41),ABS(SUM($E$49:AT49))*$C$30,0)</f>
        <v>0</v>
      </c>
      <c r="AU65" s="66" t="n">
        <f aca="false">IF(AND(AU$46&gt;=$C$9,AU$46&lt;=$C$41),ABS(SUM($E$49:AU49))*$C$30,0)</f>
        <v>0</v>
      </c>
      <c r="AV65" s="66" t="n">
        <f aca="false">IF(AND(AV$46&gt;=$C$9,AV$46&lt;=$C$41),ABS(SUM($E$49:AV49))*$C$30,0)</f>
        <v>0</v>
      </c>
      <c r="AW65" s="66" t="n">
        <f aca="false">IF(AND(AW$46&gt;=$C$9,AW$46&lt;=$C$41),ABS(SUM($E$49:AW49))*$C$30,0)</f>
        <v>0</v>
      </c>
      <c r="AX65" s="66" t="n">
        <f aca="false">IF(AND(AX$46&gt;=$C$9,AX$46&lt;=$C$41),ABS(SUM($E$49:AX49))*$C$30,0)</f>
        <v>0</v>
      </c>
      <c r="AY65" s="66" t="n">
        <f aca="false">IF(AND(AY$46&gt;=$C$9,AY$46&lt;=$C$41),ABS(SUM($E$49:AY49))*$C$30,0)</f>
        <v>0</v>
      </c>
      <c r="AZ65" s="66" t="n">
        <f aca="false">IF(AND(AZ$46&gt;=$C$9,AZ$46&lt;=$C$41),ABS(SUM($E$49:AZ49))*$C$30,0)</f>
        <v>0</v>
      </c>
      <c r="BA65" s="66" t="n">
        <f aca="false">IF(AND(BA$46&gt;=$C$9,BA$46&lt;=$C$41),ABS(SUM($E$49:BA49))*$C$30,0)</f>
        <v>0</v>
      </c>
      <c r="BB65" s="66" t="n">
        <f aca="false">IF(AND(BB$46&gt;=$C$9,BB$46&lt;=$C$41),ABS(SUM($E$49:BB49))*$C$30,0)</f>
        <v>0</v>
      </c>
    </row>
    <row r="66" customFormat="false" ht="15" hidden="false" customHeight="true" outlineLevel="0" collapsed="false">
      <c r="B66" s="59" t="s">
        <v>475</v>
      </c>
      <c r="C66" s="59" t="s">
        <v>11</v>
      </c>
      <c r="D66" s="66" t="n">
        <f aca="false">SUM(E66:BB66)</f>
        <v>0</v>
      </c>
      <c r="E66" s="66" t="n">
        <f aca="false">IF(AND($C$17&gt;0,E$46&gt;=$C$9,E$46&lt;=$C$41),$C$31,0)</f>
        <v>0</v>
      </c>
      <c r="F66" s="66" t="n">
        <f aca="false">IF(AND($C$17&gt;0,F$46&gt;=$C$9,F$46&lt;=$C$41),$C$31,0)</f>
        <v>0</v>
      </c>
      <c r="G66" s="66" t="n">
        <f aca="false">IF(AND($C$17&gt;0,G$46&gt;=$C$9,G$46&lt;=$C$41),$C$31,0)</f>
        <v>0</v>
      </c>
      <c r="H66" s="66" t="n">
        <f aca="false">IF(AND($C$17&gt;0,H$46&gt;=$C$9,H$46&lt;=$C$41),$C$31,0)</f>
        <v>0</v>
      </c>
      <c r="I66" s="66" t="n">
        <f aca="false">IF(AND($C$17&gt;0,I$46&gt;=$C$9,I$46&lt;=$C$41),$C$31,0)</f>
        <v>0</v>
      </c>
      <c r="J66" s="66" t="n">
        <f aca="false">IF(AND($C$17&gt;0,J$46&gt;=$C$9,J$46&lt;=$C$41),$C$31,0)</f>
        <v>0</v>
      </c>
      <c r="K66" s="66" t="n">
        <f aca="false">IF(AND($C$17&gt;0,K$46&gt;=$C$9,K$46&lt;=$C$41),$C$31,0)</f>
        <v>0</v>
      </c>
      <c r="L66" s="66" t="n">
        <f aca="false">IF(AND($C$17&gt;0,L$46&gt;=$C$9,L$46&lt;=$C$41),$C$31,0)</f>
        <v>0</v>
      </c>
      <c r="M66" s="66" t="n">
        <f aca="false">IF(AND($C$17&gt;0,M$46&gt;=$C$9,M$46&lt;=$C$41),$C$31,0)</f>
        <v>0</v>
      </c>
      <c r="N66" s="66" t="n">
        <f aca="false">IF(AND($C$17&gt;0,N$46&gt;=$C$9,N$46&lt;=$C$41),$C$31,0)</f>
        <v>0</v>
      </c>
      <c r="O66" s="66" t="n">
        <f aca="false">IF(AND($C$17&gt;0,O$46&gt;=$C$9,O$46&lt;=$C$41),$C$31,0)</f>
        <v>0</v>
      </c>
      <c r="P66" s="66" t="n">
        <f aca="false">IF(AND($C$17&gt;0,P$46&gt;=$C$9,P$46&lt;=$C$41),$C$31,0)</f>
        <v>0</v>
      </c>
      <c r="Q66" s="66" t="n">
        <f aca="false">IF(AND($C$17&gt;0,Q$46&gt;=$C$9,Q$46&lt;=$C$41),$C$31,0)</f>
        <v>0</v>
      </c>
      <c r="R66" s="66" t="n">
        <f aca="false">IF(AND($C$17&gt;0,R$46&gt;=$C$9,R$46&lt;=$C$41),$C$31,0)</f>
        <v>0</v>
      </c>
      <c r="S66" s="66" t="n">
        <f aca="false">IF(AND($C$17&gt;0,S$46&gt;=$C$9,S$46&lt;=$C$41),$C$31,0)</f>
        <v>0</v>
      </c>
      <c r="T66" s="66" t="n">
        <f aca="false">IF(AND($C$17&gt;0,T$46&gt;=$C$9,T$46&lt;=$C$41),$C$31,0)</f>
        <v>0</v>
      </c>
      <c r="U66" s="66" t="n">
        <f aca="false">IF(AND($C$17&gt;0,U$46&gt;=$C$9,U$46&lt;=$C$41),$C$31,0)</f>
        <v>0</v>
      </c>
      <c r="V66" s="66" t="n">
        <f aca="false">IF(AND($C$17&gt;0,V$46&gt;=$C$9,V$46&lt;=$C$41),$C$31,0)</f>
        <v>0</v>
      </c>
      <c r="W66" s="66" t="n">
        <f aca="false">IF(AND($C$17&gt;0,W$46&gt;=$C$9,W$46&lt;=$C$41),$C$31,0)</f>
        <v>0</v>
      </c>
      <c r="X66" s="66" t="n">
        <f aca="false">IF(AND($C$17&gt;0,X$46&gt;=$C$9,X$46&lt;=$C$41),$C$31,0)</f>
        <v>0</v>
      </c>
      <c r="Y66" s="66" t="n">
        <f aca="false">IF(AND($C$17&gt;0,Y$46&gt;=$C$9,Y$46&lt;=$C$41),$C$31,0)</f>
        <v>0</v>
      </c>
      <c r="Z66" s="66" t="n">
        <f aca="false">IF(AND($C$17&gt;0,Z$46&gt;=$C$9,Z$46&lt;=$C$41),$C$31,0)</f>
        <v>0</v>
      </c>
      <c r="AA66" s="66" t="n">
        <f aca="false">IF(AND($C$17&gt;0,AA$46&gt;=$C$9,AA$46&lt;=$C$41),$C$31,0)</f>
        <v>0</v>
      </c>
      <c r="AB66" s="66" t="n">
        <f aca="false">IF(AND($C$17&gt;0,AB$46&gt;=$C$9,AB$46&lt;=$C$41),$C$31,0)</f>
        <v>0</v>
      </c>
      <c r="AC66" s="66" t="n">
        <f aca="false">IF(AND($C$17&gt;0,AC$46&gt;=$C$9,AC$46&lt;=$C$41),$C$31,0)</f>
        <v>0</v>
      </c>
      <c r="AD66" s="66" t="n">
        <f aca="false">IF(AND($C$17&gt;0,AD$46&gt;=$C$9,AD$46&lt;=$C$41),$C$31,0)</f>
        <v>0</v>
      </c>
      <c r="AE66" s="66" t="n">
        <f aca="false">IF(AND($C$17&gt;0,AE$46&gt;=$C$9,AE$46&lt;=$C$41),$C$31,0)</f>
        <v>0</v>
      </c>
      <c r="AF66" s="66" t="n">
        <f aca="false">IF(AND($C$17&gt;0,AF$46&gt;=$C$9,AF$46&lt;=$C$41),$C$31,0)</f>
        <v>0</v>
      </c>
      <c r="AG66" s="66" t="n">
        <f aca="false">IF(AND($C$17&gt;0,AG$46&gt;=$C$9,AG$46&lt;=$C$41),$C$31,0)</f>
        <v>0</v>
      </c>
      <c r="AH66" s="66" t="n">
        <f aca="false">IF(AND($C$17&gt;0,AH$46&gt;=$C$9,AH$46&lt;=$C$41),$C$31,0)</f>
        <v>0</v>
      </c>
      <c r="AI66" s="66" t="n">
        <f aca="false">IF(AND($C$17&gt;0,AI$46&gt;=$C$9,AI$46&lt;=$C$41),$C$31,0)</f>
        <v>0</v>
      </c>
      <c r="AJ66" s="66" t="n">
        <f aca="false">IF(AND($C$17&gt;0,AJ$46&gt;=$C$9,AJ$46&lt;=$C$41),$C$31,0)</f>
        <v>0</v>
      </c>
      <c r="AK66" s="66" t="n">
        <f aca="false">IF(AND($C$17&gt;0,AK$46&gt;=$C$9,AK$46&lt;=$C$41),$C$31,0)</f>
        <v>0</v>
      </c>
      <c r="AL66" s="66" t="n">
        <f aca="false">IF(AND($C$17&gt;0,AL$46&gt;=$C$9,AL$46&lt;=$C$41),$C$31,0)</f>
        <v>0</v>
      </c>
      <c r="AM66" s="66" t="n">
        <f aca="false">IF(AND($C$17&gt;0,AM$46&gt;=$C$9,AM$46&lt;=$C$41),$C$31,0)</f>
        <v>0</v>
      </c>
      <c r="AN66" s="66" t="n">
        <f aca="false">IF(AND($C$17&gt;0,AN$46&gt;=$C$9,AN$46&lt;=$C$41),$C$31,0)</f>
        <v>0</v>
      </c>
      <c r="AO66" s="66" t="n">
        <f aca="false">IF(AND($C$17&gt;0,AO$46&gt;=$C$9,AO$46&lt;=$C$41),$C$31,0)</f>
        <v>0</v>
      </c>
      <c r="AP66" s="66" t="n">
        <f aca="false">IF(AND($C$17&gt;0,AP$46&gt;=$C$9,AP$46&lt;=$C$41),$C$31,0)</f>
        <v>0</v>
      </c>
      <c r="AQ66" s="66" t="n">
        <f aca="false">IF(AND($C$17&gt;0,AQ$46&gt;=$C$9,AQ$46&lt;=$C$41),$C$31,0)</f>
        <v>0</v>
      </c>
      <c r="AR66" s="66" t="n">
        <f aca="false">IF(AND($C$17&gt;0,AR$46&gt;=$C$9,AR$46&lt;=$C$41),$C$31,0)</f>
        <v>0</v>
      </c>
      <c r="AS66" s="66" t="n">
        <f aca="false">IF(AND($C$17&gt;0,AS$46&gt;=$C$9,AS$46&lt;=$C$41),$C$31,0)</f>
        <v>0</v>
      </c>
      <c r="AT66" s="66" t="n">
        <f aca="false">IF(AND($C$17&gt;0,AT$46&gt;=$C$9,AT$46&lt;=$C$41),$C$31,0)</f>
        <v>0</v>
      </c>
      <c r="AU66" s="66" t="n">
        <f aca="false">IF(AND($C$17&gt;0,AU$46&gt;=$C$9,AU$46&lt;=$C$41),$C$31,0)</f>
        <v>0</v>
      </c>
      <c r="AV66" s="66" t="n">
        <f aca="false">IF(AND($C$17&gt;0,AV$46&gt;=$C$9,AV$46&lt;=$C$41),$C$31,0)</f>
        <v>0</v>
      </c>
      <c r="AW66" s="66" t="n">
        <f aca="false">IF(AND($C$17&gt;0,AW$46&gt;=$C$9,AW$46&lt;=$C$41),$C$31,0)</f>
        <v>0</v>
      </c>
      <c r="AX66" s="66" t="n">
        <f aca="false">IF(AND($C$17&gt;0,AX$46&gt;=$C$9,AX$46&lt;=$C$41),$C$31,0)</f>
        <v>0</v>
      </c>
      <c r="AY66" s="66" t="n">
        <f aca="false">IF(AND($C$17&gt;0,AY$46&gt;=$C$9,AY$46&lt;=$C$41),$C$31,0)</f>
        <v>0</v>
      </c>
      <c r="AZ66" s="66" t="n">
        <f aca="false">IF(AND($C$17&gt;0,AZ$46&gt;=$C$9,AZ$46&lt;=$C$41),$C$31,0)</f>
        <v>0</v>
      </c>
      <c r="BA66" s="66" t="n">
        <f aca="false">IF(AND($C$17&gt;0,BA$46&gt;=$C$9,BA$46&lt;=$C$41),$C$31,0)</f>
        <v>0</v>
      </c>
      <c r="BB66" s="66" t="n">
        <f aca="false">IF(AND($C$17&gt;0,BB$46&gt;=$C$9,BB$46&lt;=$C$41),$C$31,0)</f>
        <v>0</v>
      </c>
    </row>
    <row r="67" customFormat="false" ht="15" hidden="false" customHeight="true" outlineLevel="0" collapsed="false">
      <c r="B67" s="59" t="s">
        <v>476</v>
      </c>
      <c r="C67" s="59" t="s">
        <v>11</v>
      </c>
      <c r="D67" s="66" t="n">
        <f aca="false">SUM(E67:BB67)</f>
        <v>0</v>
      </c>
      <c r="E67" s="66" t="n">
        <f aca="false">IF(AND(E49&lt;0,E$46&gt;=$C$9,E$46&lt;=$C$41),ABS(E49)*$C$32,0)</f>
        <v>0</v>
      </c>
      <c r="F67" s="66" t="n">
        <f aca="false">IF(AND(F49&lt;0,F$46&gt;=$C$9,F$46&lt;=$C$41),ABS(F49)*$C$32,0)</f>
        <v>0</v>
      </c>
      <c r="G67" s="66" t="n">
        <f aca="false">IF(AND(G49&lt;0,G$46&gt;=$C$9,G$46&lt;=$C$41),ABS(G49)*$C$32,0)</f>
        <v>0</v>
      </c>
      <c r="H67" s="66" t="n">
        <f aca="false">IF(AND(H49&lt;0,H$46&gt;=$C$9,H$46&lt;=$C$41),ABS(H49)*$C$32,0)</f>
        <v>0</v>
      </c>
      <c r="I67" s="66" t="n">
        <f aca="false">IF(AND(I49&lt;0,I$46&gt;=$C$9,I$46&lt;=$C$41),ABS(I49)*$C$32,0)</f>
        <v>0</v>
      </c>
      <c r="J67" s="66" t="n">
        <f aca="false">IF(AND(J49&lt;0,J$46&gt;=$C$9,J$46&lt;=$C$41),ABS(J49)*$C$32,0)</f>
        <v>0</v>
      </c>
      <c r="K67" s="66" t="n">
        <f aca="false">IF(AND(K49&lt;0,K$46&gt;=$C$9,K$46&lt;=$C$41),ABS(K49)*$C$32,0)</f>
        <v>0</v>
      </c>
      <c r="L67" s="66" t="n">
        <f aca="false">IF(AND(L49&lt;0,L$46&gt;=$C$9,L$46&lt;=$C$41),ABS(L49)*$C$32,0)</f>
        <v>0</v>
      </c>
      <c r="M67" s="66" t="n">
        <f aca="false">IF(AND(M49&lt;0,M$46&gt;=$C$9,M$46&lt;=$C$41),ABS(M49)*$C$32,0)</f>
        <v>0</v>
      </c>
      <c r="N67" s="66" t="n">
        <f aca="false">IF(AND(N49&lt;0,N$46&gt;=$C$9,N$46&lt;=$C$41),ABS(N49)*$C$32,0)</f>
        <v>0</v>
      </c>
      <c r="O67" s="66" t="n">
        <f aca="false">IF(AND(O49&lt;0,O$46&gt;=$C$9,O$46&lt;=$C$41),ABS(O49)*$C$32,0)</f>
        <v>0</v>
      </c>
      <c r="P67" s="66" t="n">
        <f aca="false">IF(AND(P49&lt;0,P$46&gt;=$C$9,P$46&lt;=$C$41),ABS(P49)*$C$32,0)</f>
        <v>0</v>
      </c>
      <c r="Q67" s="66" t="n">
        <f aca="false">IF(AND(Q49&lt;0,Q$46&gt;=$C$9,Q$46&lt;=$C$41),ABS(Q49)*$C$32,0)</f>
        <v>0</v>
      </c>
      <c r="R67" s="66" t="n">
        <f aca="false">IF(AND(R49&lt;0,R$46&gt;=$C$9,R$46&lt;=$C$41),ABS(R49)*$C$32,0)</f>
        <v>0</v>
      </c>
      <c r="S67" s="66" t="n">
        <f aca="false">IF(AND(S49&lt;0,S$46&gt;=$C$9,S$46&lt;=$C$41),ABS(S49)*$C$32,0)</f>
        <v>0</v>
      </c>
      <c r="T67" s="66" t="n">
        <f aca="false">IF(AND(T49&lt;0,T$46&gt;=$C$9,T$46&lt;=$C$41),ABS(T49)*$C$32,0)</f>
        <v>0</v>
      </c>
      <c r="U67" s="66" t="n">
        <f aca="false">IF(AND(U49&lt;0,U$46&gt;=$C$9,U$46&lt;=$C$41),ABS(U49)*$C$32,0)</f>
        <v>0</v>
      </c>
      <c r="V67" s="66" t="n">
        <f aca="false">IF(AND(V49&lt;0,V$46&gt;=$C$9,V$46&lt;=$C$41),ABS(V49)*$C$32,0)</f>
        <v>0</v>
      </c>
      <c r="W67" s="66" t="n">
        <f aca="false">IF(AND(W49&lt;0,W$46&gt;=$C$9,W$46&lt;=$C$41),ABS(W49)*$C$32,0)</f>
        <v>0</v>
      </c>
      <c r="X67" s="66" t="n">
        <f aca="false">IF(AND(X49&lt;0,X$46&gt;=$C$9,X$46&lt;=$C$41),ABS(X49)*$C$32,0)</f>
        <v>0</v>
      </c>
      <c r="Y67" s="66" t="n">
        <f aca="false">IF(AND(Y49&lt;0,Y$46&gt;=$C$9,Y$46&lt;=$C$41),ABS(Y49)*$C$32,0)</f>
        <v>0</v>
      </c>
      <c r="Z67" s="66" t="n">
        <f aca="false">IF(AND(Z49&lt;0,Z$46&gt;=$C$9,Z$46&lt;=$C$41),ABS(Z49)*$C$32,0)</f>
        <v>0</v>
      </c>
      <c r="AA67" s="66" t="n">
        <f aca="false">IF(AND(AA49&lt;0,AA$46&gt;=$C$9,AA$46&lt;=$C$41),ABS(AA49)*$C$32,0)</f>
        <v>0</v>
      </c>
      <c r="AB67" s="66" t="n">
        <f aca="false">IF(AND(AB49&lt;0,AB$46&gt;=$C$9,AB$46&lt;=$C$41),ABS(AB49)*$C$32,0)</f>
        <v>0</v>
      </c>
      <c r="AC67" s="66" t="n">
        <f aca="false">IF(AND(AC49&lt;0,AC$46&gt;=$C$9,AC$46&lt;=$C$41),ABS(AC49)*$C$32,0)</f>
        <v>0</v>
      </c>
      <c r="AD67" s="66" t="n">
        <f aca="false">IF(AND(AD49&lt;0,AD$46&gt;=$C$9,AD$46&lt;=$C$41),ABS(AD49)*$C$32,0)</f>
        <v>0</v>
      </c>
      <c r="AE67" s="66" t="n">
        <f aca="false">IF(AND(AE49&lt;0,AE$46&gt;=$C$9,AE$46&lt;=$C$41),ABS(AE49)*$C$32,0)</f>
        <v>0</v>
      </c>
      <c r="AF67" s="66" t="n">
        <f aca="false">IF(AND(AF49&lt;0,AF$46&gt;=$C$9,AF$46&lt;=$C$41),ABS(AF49)*$C$32,0)</f>
        <v>0</v>
      </c>
      <c r="AG67" s="66" t="n">
        <f aca="false">IF(AND(AG49&lt;0,AG$46&gt;=$C$9,AG$46&lt;=$C$41),ABS(AG49)*$C$32,0)</f>
        <v>0</v>
      </c>
      <c r="AH67" s="66" t="n">
        <f aca="false">IF(AND(AH49&lt;0,AH$46&gt;=$C$9,AH$46&lt;=$C$41),ABS(AH49)*$C$32,0)</f>
        <v>0</v>
      </c>
      <c r="AI67" s="66" t="n">
        <f aca="false">IF(AND(AI49&lt;0,AI$46&gt;=$C$9,AI$46&lt;=$C$41),ABS(AI49)*$C$32,0)</f>
        <v>0</v>
      </c>
      <c r="AJ67" s="66" t="n">
        <f aca="false">IF(AND(AJ49&lt;0,AJ$46&gt;=$C$9,AJ$46&lt;=$C$41),ABS(AJ49)*$C$32,0)</f>
        <v>0</v>
      </c>
      <c r="AK67" s="66" t="n">
        <f aca="false">IF(AND(AK49&lt;0,AK$46&gt;=$C$9,AK$46&lt;=$C$41),ABS(AK49)*$C$32,0)</f>
        <v>0</v>
      </c>
      <c r="AL67" s="66" t="n">
        <f aca="false">IF(AND(AL49&lt;0,AL$46&gt;=$C$9,AL$46&lt;=$C$41),ABS(AL49)*$C$32,0)</f>
        <v>0</v>
      </c>
      <c r="AM67" s="66" t="n">
        <f aca="false">IF(AND(AM49&lt;0,AM$46&gt;=$C$9,AM$46&lt;=$C$41),ABS(AM49)*$C$32,0)</f>
        <v>0</v>
      </c>
      <c r="AN67" s="66" t="n">
        <f aca="false">IF(AND(AN49&lt;0,AN$46&gt;=$C$9,AN$46&lt;=$C$41),ABS(AN49)*$C$32,0)</f>
        <v>0</v>
      </c>
      <c r="AO67" s="66" t="n">
        <f aca="false">IF(AND(AO49&lt;0,AO$46&gt;=$C$9,AO$46&lt;=$C$41),ABS(AO49)*$C$32,0)</f>
        <v>0</v>
      </c>
      <c r="AP67" s="66" t="n">
        <f aca="false">IF(AND(AP49&lt;0,AP$46&gt;=$C$9,AP$46&lt;=$C$41),ABS(AP49)*$C$32,0)</f>
        <v>0</v>
      </c>
      <c r="AQ67" s="66" t="n">
        <f aca="false">IF(AND(AQ49&lt;0,AQ$46&gt;=$C$9,AQ$46&lt;=$C$41),ABS(AQ49)*$C$32,0)</f>
        <v>0</v>
      </c>
      <c r="AR67" s="66" t="n">
        <f aca="false">IF(AND(AR49&lt;0,AR$46&gt;=$C$9,AR$46&lt;=$C$41),ABS(AR49)*$C$32,0)</f>
        <v>0</v>
      </c>
      <c r="AS67" s="66" t="n">
        <f aca="false">IF(AND(AS49&lt;0,AS$46&gt;=$C$9,AS$46&lt;=$C$41),ABS(AS49)*$C$32,0)</f>
        <v>0</v>
      </c>
      <c r="AT67" s="66" t="n">
        <f aca="false">IF(AND(AT49&lt;0,AT$46&gt;=$C$9,AT$46&lt;=$C$41),ABS(AT49)*$C$32,0)</f>
        <v>0</v>
      </c>
      <c r="AU67" s="66" t="n">
        <f aca="false">IF(AND(AU49&lt;0,AU$46&gt;=$C$9,AU$46&lt;=$C$41),ABS(AU49)*$C$32,0)</f>
        <v>0</v>
      </c>
      <c r="AV67" s="66" t="n">
        <f aca="false">IF(AND(AV49&lt;0,AV$46&gt;=$C$9,AV$46&lt;=$C$41),ABS(AV49)*$C$32,0)</f>
        <v>0</v>
      </c>
      <c r="AW67" s="66" t="n">
        <f aca="false">IF(AND(AW49&lt;0,AW$46&gt;=$C$9,AW$46&lt;=$C$41),ABS(AW49)*$C$32,0)</f>
        <v>0</v>
      </c>
      <c r="AX67" s="66" t="n">
        <f aca="false">IF(AND(AX49&lt;0,AX$46&gt;=$C$9,AX$46&lt;=$C$41),ABS(AX49)*$C$32,0)</f>
        <v>0</v>
      </c>
      <c r="AY67" s="66" t="n">
        <f aca="false">IF(AND(AY49&lt;0,AY$46&gt;=$C$9,AY$46&lt;=$C$41),ABS(AY49)*$C$32,0)</f>
        <v>0</v>
      </c>
      <c r="AZ67" s="66" t="n">
        <f aca="false">IF(AND(AZ49&lt;0,AZ$46&gt;=$C$9,AZ$46&lt;=$C$41),ABS(AZ49)*$C$32,0)</f>
        <v>0</v>
      </c>
      <c r="BA67" s="66" t="n">
        <f aca="false">IF(AND(BA49&lt;0,BA$46&gt;=$C$9,BA$46&lt;=$C$41),ABS(BA49)*$C$32,0)</f>
        <v>0</v>
      </c>
      <c r="BB67" s="66" t="n">
        <f aca="false">IF(AND(BB49&lt;0,BB$46&gt;=$C$9,BB$46&lt;=$C$41),ABS(BB49)*$C$32,0)</f>
        <v>0</v>
      </c>
    </row>
    <row r="68" customFormat="false" ht="15" hidden="false" customHeight="true" outlineLevel="0" collapsed="false">
      <c r="B68" s="59" t="s">
        <v>477</v>
      </c>
      <c r="C68" s="59" t="s">
        <v>11</v>
      </c>
      <c r="D68" s="66" t="n">
        <f aca="false">SUM(E68:BB68)</f>
        <v>0</v>
      </c>
      <c r="E68" s="66" t="n">
        <f aca="false">IF(E$46=$C$9,ABS($D$49)*$C$33,0)</f>
        <v>0</v>
      </c>
      <c r="F68" s="66" t="n">
        <f aca="false">IF(F$46=$C$9,ABS($D$49)*$C$33,0)</f>
        <v>0</v>
      </c>
      <c r="G68" s="66" t="n">
        <f aca="false">IF(G$46=$C$9,ABS($D$49)*$C$33,0)</f>
        <v>0</v>
      </c>
      <c r="H68" s="66" t="n">
        <f aca="false">IF(H$46=$C$9,ABS($D$49)*$C$33,0)</f>
        <v>0</v>
      </c>
      <c r="I68" s="66" t="n">
        <f aca="false">IF(I$46=$C$9,ABS($D$49)*$C$33,0)</f>
        <v>0</v>
      </c>
      <c r="J68" s="66" t="n">
        <f aca="false">IF(J$46=$C$9,ABS($D$49)*$C$33,0)</f>
        <v>0</v>
      </c>
      <c r="K68" s="66" t="n">
        <f aca="false">IF(K$46=$C$9,ABS($D$49)*$C$33,0)</f>
        <v>0</v>
      </c>
      <c r="L68" s="66" t="n">
        <f aca="false">IF(L$46=$C$9,ABS($D$49)*$C$33,0)</f>
        <v>0</v>
      </c>
      <c r="M68" s="66" t="n">
        <f aca="false">IF(M$46=$C$9,ABS($D$49)*$C$33,0)</f>
        <v>0</v>
      </c>
      <c r="N68" s="66" t="n">
        <f aca="false">IF(N$46=$C$9,ABS($D$49)*$C$33,0)</f>
        <v>0</v>
      </c>
      <c r="O68" s="66" t="n">
        <f aca="false">IF(O$46=$C$9,ABS($D$49)*$C$33,0)</f>
        <v>0</v>
      </c>
      <c r="P68" s="66" t="n">
        <f aca="false">IF(P$46=$C$9,ABS($D$49)*$C$33,0)</f>
        <v>0</v>
      </c>
      <c r="Q68" s="66" t="n">
        <f aca="false">IF(Q$46=$C$9,ABS($D$49)*$C$33,0)</f>
        <v>0</v>
      </c>
      <c r="R68" s="66" t="n">
        <f aca="false">IF(R$46=$C$9,ABS($D$49)*$C$33,0)</f>
        <v>0</v>
      </c>
      <c r="S68" s="66" t="n">
        <f aca="false">IF(S$46=$C$9,ABS($D$49)*$C$33,0)</f>
        <v>0</v>
      </c>
      <c r="T68" s="66" t="n">
        <f aca="false">IF(T$46=$C$9,ABS($D$49)*$C$33,0)</f>
        <v>0</v>
      </c>
      <c r="U68" s="66" t="n">
        <f aca="false">IF(U$46=$C$9,ABS($D$49)*$C$33,0)</f>
        <v>0</v>
      </c>
      <c r="V68" s="66" t="n">
        <f aca="false">IF(V$46=$C$9,ABS($D$49)*$C$33,0)</f>
        <v>0</v>
      </c>
      <c r="W68" s="66" t="n">
        <f aca="false">IF(W$46=$C$9,ABS($D$49)*$C$33,0)</f>
        <v>0</v>
      </c>
      <c r="X68" s="66" t="n">
        <f aca="false">IF(X$46=$C$9,ABS($D$49)*$C$33,0)</f>
        <v>0</v>
      </c>
      <c r="Y68" s="66" t="n">
        <f aca="false">IF(Y$46=$C$9,ABS($D$49)*$C$33,0)</f>
        <v>0</v>
      </c>
      <c r="Z68" s="66" t="n">
        <f aca="false">IF(Z$46=$C$9,ABS($D$49)*$C$33,0)</f>
        <v>0</v>
      </c>
      <c r="AA68" s="66" t="n">
        <f aca="false">IF(AA$46=$C$9,ABS($D$49)*$C$33,0)</f>
        <v>0</v>
      </c>
      <c r="AB68" s="66" t="n">
        <f aca="false">IF(AB$46=$C$9,ABS($D$49)*$C$33,0)</f>
        <v>0</v>
      </c>
      <c r="AC68" s="66" t="n">
        <f aca="false">IF(AC$46=$C$9,ABS($D$49)*$C$33,0)</f>
        <v>0</v>
      </c>
      <c r="AD68" s="66" t="n">
        <f aca="false">IF(AD$46=$C$9,ABS($D$49)*$C$33,0)</f>
        <v>0</v>
      </c>
      <c r="AE68" s="66" t="n">
        <f aca="false">IF(AE$46=$C$9,ABS($D$49)*$C$33,0)</f>
        <v>0</v>
      </c>
      <c r="AF68" s="66" t="n">
        <f aca="false">IF(AF$46=$C$9,ABS($D$49)*$C$33,0)</f>
        <v>0</v>
      </c>
      <c r="AG68" s="66" t="n">
        <f aca="false">IF(AG$46=$C$9,ABS($D$49)*$C$33,0)</f>
        <v>0</v>
      </c>
      <c r="AH68" s="66" t="n">
        <f aca="false">IF(AH$46=$C$9,ABS($D$49)*$C$33,0)</f>
        <v>0</v>
      </c>
      <c r="AI68" s="66" t="n">
        <f aca="false">IF(AI$46=$C$9,ABS($D$49)*$C$33,0)</f>
        <v>0</v>
      </c>
      <c r="AJ68" s="66" t="n">
        <f aca="false">IF(AJ$46=$C$9,ABS($D$49)*$C$33,0)</f>
        <v>0</v>
      </c>
      <c r="AK68" s="66" t="n">
        <f aca="false">IF(AK$46=$C$9,ABS($D$49)*$C$33,0)</f>
        <v>0</v>
      </c>
      <c r="AL68" s="66" t="n">
        <f aca="false">IF(AL$46=$C$9,ABS($D$49)*$C$33,0)</f>
        <v>0</v>
      </c>
      <c r="AM68" s="66" t="n">
        <f aca="false">IF(AM$46=$C$9,ABS($D$49)*$C$33,0)</f>
        <v>0</v>
      </c>
      <c r="AN68" s="66" t="n">
        <f aca="false">IF(AN$46=$C$9,ABS($D$49)*$C$33,0)</f>
        <v>0</v>
      </c>
      <c r="AO68" s="66" t="n">
        <f aca="false">IF(AO$46=$C$9,ABS($D$49)*$C$33,0)</f>
        <v>0</v>
      </c>
      <c r="AP68" s="66" t="n">
        <f aca="false">IF(AP$46=$C$9,ABS($D$49)*$C$33,0)</f>
        <v>0</v>
      </c>
      <c r="AQ68" s="66" t="n">
        <f aca="false">IF(AQ$46=$C$9,ABS($D$49)*$C$33,0)</f>
        <v>0</v>
      </c>
      <c r="AR68" s="66" t="n">
        <f aca="false">IF(AR$46=$C$9,ABS($D$49)*$C$33,0)</f>
        <v>0</v>
      </c>
      <c r="AS68" s="66" t="n">
        <f aca="false">IF(AS$46=$C$9,ABS($D$49)*$C$33,0)</f>
        <v>0</v>
      </c>
      <c r="AT68" s="66" t="n">
        <f aca="false">IF(AT$46=$C$9,ABS($D$49)*$C$33,0)</f>
        <v>0</v>
      </c>
      <c r="AU68" s="66" t="n">
        <f aca="false">IF(AU$46=$C$9,ABS($D$49)*$C$33,0)</f>
        <v>0</v>
      </c>
      <c r="AV68" s="66" t="n">
        <f aca="false">IF(AV$46=$C$9,ABS($D$49)*$C$33,0)</f>
        <v>0</v>
      </c>
      <c r="AW68" s="66" t="n">
        <f aca="false">IF(AW$46=$C$9,ABS($D$49)*$C$33,0)</f>
        <v>0</v>
      </c>
      <c r="AX68" s="66" t="n">
        <f aca="false">IF(AX$46=$C$9,ABS($D$49)*$C$33,0)</f>
        <v>0</v>
      </c>
      <c r="AY68" s="66" t="n">
        <f aca="false">IF(AY$46=$C$9,ABS($D$49)*$C$33,0)</f>
        <v>0</v>
      </c>
      <c r="AZ68" s="66" t="n">
        <f aca="false">IF(AZ$46=$C$9,ABS($D$49)*$C$33,0)</f>
        <v>0</v>
      </c>
      <c r="BA68" s="66" t="n">
        <f aca="false">IF(BA$46=$C$9,ABS($D$49)*$C$33,0)</f>
        <v>0</v>
      </c>
      <c r="BB68" s="66" t="n">
        <f aca="false">IF(BB$46=$C$9,ABS($D$49)*$C$33,0)</f>
        <v>0</v>
      </c>
    </row>
    <row r="69" customFormat="false" ht="15" hidden="false" customHeight="true" outlineLevel="0" collapsed="false">
      <c r="B69" s="20" t="s">
        <v>478</v>
      </c>
      <c r="C69" s="59" t="s">
        <v>11</v>
      </c>
      <c r="D69" s="63" t="n">
        <f aca="false">SUM(E69:BB69)</f>
        <v>0</v>
      </c>
      <c r="E69" s="63" t="n">
        <f aca="false">E64+E65+E66+E67+E68</f>
        <v>0</v>
      </c>
      <c r="F69" s="63" t="n">
        <f aca="false">F64+F65+F66+F67+F68</f>
        <v>0</v>
      </c>
      <c r="G69" s="63" t="n">
        <f aca="false">G64+G65+G66+G67+G68</f>
        <v>0</v>
      </c>
      <c r="H69" s="63" t="n">
        <f aca="false">H64+H65+H66+H67+H68</f>
        <v>0</v>
      </c>
      <c r="I69" s="63" t="n">
        <f aca="false">I64+I65+I66+I67+I68</f>
        <v>0</v>
      </c>
      <c r="J69" s="63" t="n">
        <f aca="false">J64+J65+J66+J67+J68</f>
        <v>0</v>
      </c>
      <c r="K69" s="63" t="n">
        <f aca="false">K64+K65+K66+K67+K68</f>
        <v>0</v>
      </c>
      <c r="L69" s="63" t="n">
        <f aca="false">L64+L65+L66+L67+L68</f>
        <v>0</v>
      </c>
      <c r="M69" s="63" t="n">
        <f aca="false">M64+M65+M66+M67+M68</f>
        <v>0</v>
      </c>
      <c r="N69" s="63" t="n">
        <f aca="false">N64+N65+N66+N67+N68</f>
        <v>0</v>
      </c>
      <c r="O69" s="63" t="n">
        <f aca="false">O64+O65+O66+O67+O68</f>
        <v>0</v>
      </c>
      <c r="P69" s="63" t="n">
        <f aca="false">P64+P65+P66+P67+P68</f>
        <v>0</v>
      </c>
      <c r="Q69" s="63" t="n">
        <f aca="false">Q64+Q65+Q66+Q67+Q68</f>
        <v>0</v>
      </c>
      <c r="R69" s="63" t="n">
        <f aca="false">R64+R65+R66+R67+R68</f>
        <v>0</v>
      </c>
      <c r="S69" s="63" t="n">
        <f aca="false">S64+S65+S66+S67+S68</f>
        <v>0</v>
      </c>
      <c r="T69" s="63" t="n">
        <f aca="false">T64+T65+T66+T67+T68</f>
        <v>0</v>
      </c>
      <c r="U69" s="63" t="n">
        <f aca="false">U64+U65+U66+U67+U68</f>
        <v>0</v>
      </c>
      <c r="V69" s="63" t="n">
        <f aca="false">V64+V65+V66+V67+V68</f>
        <v>0</v>
      </c>
      <c r="W69" s="63" t="n">
        <f aca="false">W64+W65+W66+W67+W68</f>
        <v>0</v>
      </c>
      <c r="X69" s="63" t="n">
        <f aca="false">X64+X65+X66+X67+X68</f>
        <v>0</v>
      </c>
      <c r="Y69" s="63" t="n">
        <f aca="false">Y64+Y65+Y66+Y67+Y68</f>
        <v>0</v>
      </c>
      <c r="Z69" s="63" t="n">
        <f aca="false">Z64+Z65+Z66+Z67+Z68</f>
        <v>0</v>
      </c>
      <c r="AA69" s="63" t="n">
        <f aca="false">AA64+AA65+AA66+AA67+AA68</f>
        <v>0</v>
      </c>
      <c r="AB69" s="63" t="n">
        <f aca="false">AB64+AB65+AB66+AB67+AB68</f>
        <v>0</v>
      </c>
      <c r="AC69" s="63" t="n">
        <f aca="false">AC64+AC65+AC66+AC67+AC68</f>
        <v>0</v>
      </c>
      <c r="AD69" s="63" t="n">
        <f aca="false">AD64+AD65+AD66+AD67+AD68</f>
        <v>0</v>
      </c>
      <c r="AE69" s="63" t="n">
        <f aca="false">AE64+AE65+AE66+AE67+AE68</f>
        <v>0</v>
      </c>
      <c r="AF69" s="63" t="n">
        <f aca="false">AF64+AF65+AF66+AF67+AF68</f>
        <v>0</v>
      </c>
      <c r="AG69" s="63" t="n">
        <f aca="false">AG64+AG65+AG66+AG67+AG68</f>
        <v>0</v>
      </c>
      <c r="AH69" s="63" t="n">
        <f aca="false">AH64+AH65+AH66+AH67+AH68</f>
        <v>0</v>
      </c>
      <c r="AI69" s="63" t="n">
        <f aca="false">AI64+AI65+AI66+AI67+AI68</f>
        <v>0</v>
      </c>
      <c r="AJ69" s="63" t="n">
        <f aca="false">AJ64+AJ65+AJ66+AJ67+AJ68</f>
        <v>0</v>
      </c>
      <c r="AK69" s="63" t="n">
        <f aca="false">AK64+AK65+AK66+AK67+AK68</f>
        <v>0</v>
      </c>
      <c r="AL69" s="63" t="n">
        <f aca="false">AL64+AL65+AL66+AL67+AL68</f>
        <v>0</v>
      </c>
      <c r="AM69" s="63" t="n">
        <f aca="false">AM64+AM65+AM66+AM67+AM68</f>
        <v>0</v>
      </c>
      <c r="AN69" s="63" t="n">
        <f aca="false">AN64+AN65+AN66+AN67+AN68</f>
        <v>0</v>
      </c>
      <c r="AO69" s="63" t="n">
        <f aca="false">AO64+AO65+AO66+AO67+AO68</f>
        <v>0</v>
      </c>
      <c r="AP69" s="63" t="n">
        <f aca="false">AP64+AP65+AP66+AP67+AP68</f>
        <v>0</v>
      </c>
      <c r="AQ69" s="63" t="n">
        <f aca="false">AQ64+AQ65+AQ66+AQ67+AQ68</f>
        <v>0</v>
      </c>
      <c r="AR69" s="63" t="n">
        <f aca="false">AR64+AR65+AR66+AR67+AR68</f>
        <v>0</v>
      </c>
      <c r="AS69" s="63" t="n">
        <f aca="false">AS64+AS65+AS66+AS67+AS68</f>
        <v>0</v>
      </c>
      <c r="AT69" s="63" t="n">
        <f aca="false">AT64+AT65+AT66+AT67+AT68</f>
        <v>0</v>
      </c>
      <c r="AU69" s="63" t="n">
        <f aca="false">AU64+AU65+AU66+AU67+AU68</f>
        <v>0</v>
      </c>
      <c r="AV69" s="63" t="n">
        <f aca="false">AV64+AV65+AV66+AV67+AV68</f>
        <v>0</v>
      </c>
      <c r="AW69" s="63" t="n">
        <f aca="false">AW64+AW65+AW66+AW67+AW68</f>
        <v>0</v>
      </c>
      <c r="AX69" s="63" t="n">
        <f aca="false">AX64+AX65+AX66+AX67+AX68</f>
        <v>0</v>
      </c>
      <c r="AY69" s="63" t="n">
        <f aca="false">AY64+AY65+AY66+AY67+AY68</f>
        <v>0</v>
      </c>
      <c r="AZ69" s="63" t="n">
        <f aca="false">AZ64+AZ65+AZ66+AZ67+AZ68</f>
        <v>0</v>
      </c>
      <c r="BA69" s="63" t="n">
        <f aca="false">BA64+BA65+BA66+BA67+BA68</f>
        <v>0</v>
      </c>
      <c r="BB69" s="63" t="n">
        <f aca="false">BB64+BB65+BB66+BB67+BB68</f>
        <v>0</v>
      </c>
    </row>
    <row r="70" customFormat="false" ht="15" hidden="false" customHeight="true" outlineLevel="0" collapsed="false">
      <c r="B70" s="59" t="s">
        <v>479</v>
      </c>
      <c r="C70" s="59" t="s">
        <v>11</v>
      </c>
      <c r="D70" s="66" t="n">
        <f aca="false">SUM(E70:BB70)</f>
        <v>0</v>
      </c>
      <c r="E70" s="66" t="n">
        <f aca="false">MAX(0,E69-MAX(0,IF(E$46&lt;=$C$41,E50,0)+E62+E51))</f>
        <v>0</v>
      </c>
      <c r="F70" s="66" t="n">
        <f aca="false">MAX(0,F69-MAX(0,IF(F$46&lt;=$C$41,F50,0)+F62+F51))</f>
        <v>0</v>
      </c>
      <c r="G70" s="66" t="n">
        <f aca="false">MAX(0,G69-MAX(0,IF(G$46&lt;=$C$41,G50,0)+G62+G51))</f>
        <v>0</v>
      </c>
      <c r="H70" s="66" t="n">
        <f aca="false">MAX(0,H69-MAX(0,IF(H$46&lt;=$C$41,H50,0)+H62+H51))</f>
        <v>0</v>
      </c>
      <c r="I70" s="66" t="n">
        <f aca="false">MAX(0,I69-MAX(0,IF(I$46&lt;=$C$41,I50,0)+I62+I51))</f>
        <v>0</v>
      </c>
      <c r="J70" s="66" t="n">
        <f aca="false">MAX(0,J69-MAX(0,IF(J$46&lt;=$C$41,J50,0)+J62+J51))</f>
        <v>0</v>
      </c>
      <c r="K70" s="66" t="n">
        <f aca="false">MAX(0,K69-MAX(0,IF(K$46&lt;=$C$41,K50,0)+K62+K51))</f>
        <v>0</v>
      </c>
      <c r="L70" s="66" t="n">
        <f aca="false">MAX(0,L69-MAX(0,IF(L$46&lt;=$C$41,L50,0)+L62+L51))</f>
        <v>0</v>
      </c>
      <c r="M70" s="66" t="n">
        <f aca="false">MAX(0,M69-MAX(0,IF(M$46&lt;=$C$41,M50,0)+M62+M51))</f>
        <v>0</v>
      </c>
      <c r="N70" s="66" t="n">
        <f aca="false">MAX(0,N69-MAX(0,IF(N$46&lt;=$C$41,N50,0)+N62+N51))</f>
        <v>0</v>
      </c>
      <c r="O70" s="66" t="n">
        <f aca="false">MAX(0,O69-MAX(0,IF(O$46&lt;=$C$41,O50,0)+O62+O51))</f>
        <v>0</v>
      </c>
      <c r="P70" s="66" t="n">
        <f aca="false">MAX(0,P69-MAX(0,IF(P$46&lt;=$C$41,P50,0)+P62+P51))</f>
        <v>0</v>
      </c>
      <c r="Q70" s="66" t="n">
        <f aca="false">MAX(0,Q69-MAX(0,IF(Q$46&lt;=$C$41,Q50,0)+Q62+Q51))</f>
        <v>0</v>
      </c>
      <c r="R70" s="66" t="n">
        <f aca="false">MAX(0,R69-MAX(0,IF(R$46&lt;=$C$41,R50,0)+R62+R51))</f>
        <v>0</v>
      </c>
      <c r="S70" s="66" t="n">
        <f aca="false">MAX(0,S69-MAX(0,IF(S$46&lt;=$C$41,S50,0)+S62+S51))</f>
        <v>0</v>
      </c>
      <c r="T70" s="66" t="n">
        <f aca="false">MAX(0,T69-MAX(0,IF(T$46&lt;=$C$41,T50,0)+T62+T51))</f>
        <v>0</v>
      </c>
      <c r="U70" s="66" t="n">
        <f aca="false">MAX(0,U69-MAX(0,IF(U$46&lt;=$C$41,U50,0)+U62+U51))</f>
        <v>0</v>
      </c>
      <c r="V70" s="66" t="n">
        <f aca="false">MAX(0,V69-MAX(0,IF(V$46&lt;=$C$41,V50,0)+V62+V51))</f>
        <v>0</v>
      </c>
      <c r="W70" s="66" t="n">
        <f aca="false">MAX(0,W69-MAX(0,IF(W$46&lt;=$C$41,W50,0)+W62+W51))</f>
        <v>0</v>
      </c>
      <c r="X70" s="66" t="n">
        <f aca="false">MAX(0,X69-MAX(0,IF(X$46&lt;=$C$41,X50,0)+X62+X51))</f>
        <v>0</v>
      </c>
      <c r="Y70" s="66" t="n">
        <f aca="false">MAX(0,Y69-MAX(0,IF(Y$46&lt;=$C$41,Y50,0)+Y62+Y51))</f>
        <v>0</v>
      </c>
      <c r="Z70" s="66" t="n">
        <f aca="false">MAX(0,Z69-MAX(0,IF(Z$46&lt;=$C$41,Z50,0)+Z62+Z51))</f>
        <v>0</v>
      </c>
      <c r="AA70" s="66" t="n">
        <f aca="false">MAX(0,AA69-MAX(0,IF(AA$46&lt;=$C$41,AA50,0)+AA62+AA51))</f>
        <v>0</v>
      </c>
      <c r="AB70" s="66" t="n">
        <f aca="false">MAX(0,AB69-MAX(0,IF(AB$46&lt;=$C$41,AB50,0)+AB62+AB51))</f>
        <v>0</v>
      </c>
      <c r="AC70" s="66" t="n">
        <f aca="false">MAX(0,AC69-MAX(0,IF(AC$46&lt;=$C$41,AC50,0)+AC62+AC51))</f>
        <v>0</v>
      </c>
      <c r="AD70" s="66" t="n">
        <f aca="false">MAX(0,AD69-MAX(0,IF(AD$46&lt;=$C$41,AD50,0)+AD62+AD51))</f>
        <v>0</v>
      </c>
      <c r="AE70" s="66" t="n">
        <f aca="false">MAX(0,AE69-MAX(0,IF(AE$46&lt;=$C$41,AE50,0)+AE62+AE51))</f>
        <v>0</v>
      </c>
      <c r="AF70" s="66" t="n">
        <f aca="false">MAX(0,AF69-MAX(0,IF(AF$46&lt;=$C$41,AF50,0)+AF62+AF51))</f>
        <v>0</v>
      </c>
      <c r="AG70" s="66" t="n">
        <f aca="false">MAX(0,AG69-MAX(0,IF(AG$46&lt;=$C$41,AG50,0)+AG62+AG51))</f>
        <v>0</v>
      </c>
      <c r="AH70" s="66" t="n">
        <f aca="false">MAX(0,AH69-MAX(0,IF(AH$46&lt;=$C$41,AH50,0)+AH62+AH51))</f>
        <v>0</v>
      </c>
      <c r="AI70" s="66" t="n">
        <f aca="false">MAX(0,AI69-MAX(0,IF(AI$46&lt;=$C$41,AI50,0)+AI62+AI51))</f>
        <v>0</v>
      </c>
      <c r="AJ70" s="66" t="n">
        <f aca="false">MAX(0,AJ69-MAX(0,IF(AJ$46&lt;=$C$41,AJ50,0)+AJ62+AJ51))</f>
        <v>0</v>
      </c>
      <c r="AK70" s="66" t="n">
        <f aca="false">MAX(0,AK69-MAX(0,IF(AK$46&lt;=$C$41,AK50,0)+AK62+AK51))</f>
        <v>0</v>
      </c>
      <c r="AL70" s="66" t="n">
        <f aca="false">MAX(0,AL69-MAX(0,IF(AL$46&lt;=$C$41,AL50,0)+AL62+AL51))</f>
        <v>0</v>
      </c>
      <c r="AM70" s="66" t="n">
        <f aca="false">MAX(0,AM69-MAX(0,IF(AM$46&lt;=$C$41,AM50,0)+AM62+AM51))</f>
        <v>0</v>
      </c>
      <c r="AN70" s="66" t="n">
        <f aca="false">MAX(0,AN69-MAX(0,IF(AN$46&lt;=$C$41,AN50,0)+AN62+AN51))</f>
        <v>0</v>
      </c>
      <c r="AO70" s="66" t="n">
        <f aca="false">MAX(0,AO69-MAX(0,IF(AO$46&lt;=$C$41,AO50,0)+AO62+AO51))</f>
        <v>0</v>
      </c>
      <c r="AP70" s="66" t="n">
        <f aca="false">MAX(0,AP69-MAX(0,IF(AP$46&lt;=$C$41,AP50,0)+AP62+AP51))</f>
        <v>0</v>
      </c>
      <c r="AQ70" s="66" t="n">
        <f aca="false">MAX(0,AQ69-MAX(0,IF(AQ$46&lt;=$C$41,AQ50,0)+AQ62+AQ51))</f>
        <v>0</v>
      </c>
      <c r="AR70" s="66" t="n">
        <f aca="false">MAX(0,AR69-MAX(0,IF(AR$46&lt;=$C$41,AR50,0)+AR62+AR51))</f>
        <v>0</v>
      </c>
      <c r="AS70" s="66" t="n">
        <f aca="false">MAX(0,AS69-MAX(0,IF(AS$46&lt;=$C$41,AS50,0)+AS62+AS51))</f>
        <v>0</v>
      </c>
      <c r="AT70" s="66" t="n">
        <f aca="false">MAX(0,AT69-MAX(0,IF(AT$46&lt;=$C$41,AT50,0)+AT62+AT51))</f>
        <v>0</v>
      </c>
      <c r="AU70" s="66" t="n">
        <f aca="false">MAX(0,AU69-MAX(0,IF(AU$46&lt;=$C$41,AU50,0)+AU62+AU51))</f>
        <v>0</v>
      </c>
      <c r="AV70" s="66" t="n">
        <f aca="false">MAX(0,AV69-MAX(0,IF(AV$46&lt;=$C$41,AV50,0)+AV62+AV51))</f>
        <v>0</v>
      </c>
      <c r="AW70" s="66" t="n">
        <f aca="false">MAX(0,AW69-MAX(0,IF(AW$46&lt;=$C$41,AW50,0)+AW62+AW51))</f>
        <v>0</v>
      </c>
      <c r="AX70" s="66" t="n">
        <f aca="false">MAX(0,AX69-MAX(0,IF(AX$46&lt;=$C$41,AX50,0)+AX62+AX51))</f>
        <v>0</v>
      </c>
      <c r="AY70" s="66" t="n">
        <f aca="false">MAX(0,AY69-MAX(0,IF(AY$46&lt;=$C$41,AY50,0)+AY62+AY51))</f>
        <v>0</v>
      </c>
      <c r="AZ70" s="66" t="n">
        <f aca="false">MAX(0,AZ69-MAX(0,IF(AZ$46&lt;=$C$41,AZ50,0)+AZ62+AZ51))</f>
        <v>0</v>
      </c>
      <c r="BA70" s="66" t="n">
        <f aca="false">MAX(0,BA69-MAX(0,IF(BA$46&lt;=$C$41,BA50,0)+BA62+BA51))</f>
        <v>0</v>
      </c>
      <c r="BB70" s="66" t="n">
        <f aca="false">MAX(0,BB69-MAX(0,IF(BB$46&lt;=$C$41,BB50,0)+BB62+BB51))</f>
        <v>0</v>
      </c>
    </row>
    <row r="71" customFormat="false" ht="15" hidden="false" customHeight="true" outlineLevel="0" collapsed="false">
      <c r="B71" s="59" t="s">
        <v>463</v>
      </c>
      <c r="C71" s="59" t="s">
        <v>11</v>
      </c>
      <c r="D71" s="63" t="n">
        <f aca="false">SUM(E71:BB71)</f>
        <v>0</v>
      </c>
      <c r="E71" s="66" t="n">
        <f aca="false">E51</f>
        <v>0</v>
      </c>
      <c r="F71" s="66" t="n">
        <f aca="false">F51</f>
        <v>0</v>
      </c>
      <c r="G71" s="66" t="n">
        <f aca="false">G51</f>
        <v>0</v>
      </c>
      <c r="H71" s="66" t="n">
        <f aca="false">H51</f>
        <v>0</v>
      </c>
      <c r="I71" s="66" t="n">
        <f aca="false">I51</f>
        <v>0</v>
      </c>
      <c r="J71" s="66" t="n">
        <f aca="false">J51</f>
        <v>0</v>
      </c>
      <c r="K71" s="66" t="n">
        <f aca="false">K51</f>
        <v>0</v>
      </c>
      <c r="L71" s="66" t="n">
        <f aca="false">L51</f>
        <v>0</v>
      </c>
      <c r="M71" s="66" t="n">
        <f aca="false">M51</f>
        <v>0</v>
      </c>
      <c r="N71" s="66" t="n">
        <f aca="false">N51</f>
        <v>0</v>
      </c>
      <c r="O71" s="66" t="n">
        <f aca="false">O51</f>
        <v>0</v>
      </c>
      <c r="P71" s="66" t="n">
        <f aca="false">P51</f>
        <v>0</v>
      </c>
      <c r="Q71" s="66" t="n">
        <f aca="false">Q51</f>
        <v>0</v>
      </c>
      <c r="R71" s="66" t="n">
        <f aca="false">R51</f>
        <v>0</v>
      </c>
      <c r="S71" s="66" t="n">
        <f aca="false">S51</f>
        <v>0</v>
      </c>
      <c r="T71" s="66" t="n">
        <f aca="false">T51</f>
        <v>0</v>
      </c>
      <c r="U71" s="66" t="n">
        <f aca="false">U51</f>
        <v>0</v>
      </c>
      <c r="V71" s="66" t="n">
        <f aca="false">V51</f>
        <v>0</v>
      </c>
      <c r="W71" s="66" t="n">
        <f aca="false">W51</f>
        <v>0</v>
      </c>
      <c r="X71" s="66" t="n">
        <f aca="false">X51</f>
        <v>0</v>
      </c>
      <c r="Y71" s="66" t="n">
        <f aca="false">Y51</f>
        <v>0</v>
      </c>
      <c r="Z71" s="66" t="n">
        <f aca="false">Z51</f>
        <v>0</v>
      </c>
      <c r="AA71" s="66" t="n">
        <f aca="false">AA51</f>
        <v>0</v>
      </c>
      <c r="AB71" s="66" t="n">
        <f aca="false">AB51</f>
        <v>0</v>
      </c>
      <c r="AC71" s="66" t="n">
        <f aca="false">AC51</f>
        <v>0</v>
      </c>
      <c r="AD71" s="66" t="n">
        <f aca="false">AD51</f>
        <v>0</v>
      </c>
      <c r="AE71" s="66" t="n">
        <f aca="false">AE51</f>
        <v>0</v>
      </c>
      <c r="AF71" s="66" t="n">
        <f aca="false">AF51</f>
        <v>0</v>
      </c>
      <c r="AG71" s="66" t="n">
        <f aca="false">AG51</f>
        <v>0</v>
      </c>
      <c r="AH71" s="66" t="n">
        <f aca="false">AH51</f>
        <v>0</v>
      </c>
      <c r="AI71" s="66" t="n">
        <f aca="false">AI51</f>
        <v>0</v>
      </c>
      <c r="AJ71" s="66" t="n">
        <f aca="false">AJ51</f>
        <v>0</v>
      </c>
      <c r="AK71" s="66" t="n">
        <f aca="false">AK51</f>
        <v>0</v>
      </c>
      <c r="AL71" s="66" t="n">
        <f aca="false">AL51</f>
        <v>0</v>
      </c>
      <c r="AM71" s="66" t="n">
        <f aca="false">AM51</f>
        <v>0</v>
      </c>
      <c r="AN71" s="66" t="n">
        <f aca="false">AN51</f>
        <v>0</v>
      </c>
      <c r="AO71" s="66" t="n">
        <f aca="false">AO51</f>
        <v>0</v>
      </c>
      <c r="AP71" s="66" t="n">
        <f aca="false">AP51</f>
        <v>0</v>
      </c>
      <c r="AQ71" s="66" t="n">
        <f aca="false">AQ51</f>
        <v>0</v>
      </c>
      <c r="AR71" s="66" t="n">
        <f aca="false">AR51</f>
        <v>0</v>
      </c>
      <c r="AS71" s="66" t="n">
        <f aca="false">AS51</f>
        <v>0</v>
      </c>
      <c r="AT71" s="66" t="n">
        <f aca="false">AT51</f>
        <v>0</v>
      </c>
      <c r="AU71" s="66" t="n">
        <f aca="false">AU51</f>
        <v>0</v>
      </c>
      <c r="AV71" s="66" t="n">
        <f aca="false">AV51</f>
        <v>0</v>
      </c>
      <c r="AW71" s="66" t="n">
        <f aca="false">AW51</f>
        <v>0</v>
      </c>
      <c r="AX71" s="66" t="n">
        <f aca="false">AX51</f>
        <v>0</v>
      </c>
      <c r="AY71" s="66" t="n">
        <f aca="false">AY51</f>
        <v>0</v>
      </c>
      <c r="AZ71" s="66" t="n">
        <f aca="false">AZ51</f>
        <v>0</v>
      </c>
      <c r="BA71" s="66" t="n">
        <f aca="false">BA51</f>
        <v>0</v>
      </c>
      <c r="BB71" s="66" t="n">
        <f aca="false">BB51</f>
        <v>0</v>
      </c>
    </row>
    <row r="73" customFormat="false" ht="15" hidden="false" customHeight="true" outlineLevel="0" collapsed="false">
      <c r="A73" s="58" t="s">
        <v>480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customFormat="false" ht="15" hidden="false" customHeight="true" outlineLevel="0" collapsed="false">
      <c r="C74" s="69" t="s">
        <v>262</v>
      </c>
      <c r="D74" s="69" t="s">
        <v>60</v>
      </c>
      <c r="E74" s="70" t="n">
        <f aca="false">E$46</f>
        <v>2026</v>
      </c>
      <c r="F74" s="70" t="n">
        <f aca="false">F$46</f>
        <v>2027</v>
      </c>
      <c r="G74" s="70" t="n">
        <f aca="false">G$46</f>
        <v>2028</v>
      </c>
      <c r="H74" s="70" t="n">
        <f aca="false">H$46</f>
        <v>2029</v>
      </c>
      <c r="I74" s="70" t="n">
        <f aca="false">I$46</f>
        <v>2030</v>
      </c>
      <c r="J74" s="70" t="n">
        <f aca="false">J$46</f>
        <v>2031</v>
      </c>
      <c r="K74" s="70" t="n">
        <f aca="false">K$46</f>
        <v>2032</v>
      </c>
      <c r="L74" s="70" t="n">
        <f aca="false">L$46</f>
        <v>2033</v>
      </c>
      <c r="M74" s="70" t="n">
        <f aca="false">M$46</f>
        <v>2034</v>
      </c>
      <c r="N74" s="70" t="n">
        <f aca="false">N$46</f>
        <v>2035</v>
      </c>
      <c r="O74" s="70" t="n">
        <f aca="false">O$46</f>
        <v>2036</v>
      </c>
      <c r="P74" s="70" t="n">
        <f aca="false">P$46</f>
        <v>2037</v>
      </c>
      <c r="Q74" s="70" t="n">
        <f aca="false">Q$46</f>
        <v>2038</v>
      </c>
      <c r="R74" s="70" t="n">
        <f aca="false">R$46</f>
        <v>2039</v>
      </c>
      <c r="S74" s="70" t="n">
        <f aca="false">S$46</f>
        <v>2040</v>
      </c>
      <c r="T74" s="70" t="n">
        <f aca="false">T$46</f>
        <v>2041</v>
      </c>
      <c r="U74" s="70" t="n">
        <f aca="false">U$46</f>
        <v>2042</v>
      </c>
      <c r="V74" s="70" t="n">
        <f aca="false">V$46</f>
        <v>2043</v>
      </c>
      <c r="W74" s="70" t="n">
        <f aca="false">W$46</f>
        <v>2044</v>
      </c>
      <c r="X74" s="70" t="n">
        <f aca="false">X$46</f>
        <v>2045</v>
      </c>
      <c r="Y74" s="70" t="n">
        <f aca="false">Y$46</f>
        <v>2046</v>
      </c>
      <c r="Z74" s="70" t="n">
        <f aca="false">Z$46</f>
        <v>2047</v>
      </c>
      <c r="AA74" s="70" t="n">
        <f aca="false">AA$46</f>
        <v>2048</v>
      </c>
      <c r="AB74" s="70" t="n">
        <f aca="false">AB$46</f>
        <v>2049</v>
      </c>
      <c r="AC74" s="70" t="n">
        <f aca="false">AC$46</f>
        <v>2050</v>
      </c>
      <c r="AD74" s="70" t="n">
        <f aca="false">AD$46</f>
        <v>2051</v>
      </c>
      <c r="AE74" s="70" t="n">
        <f aca="false">AE$46</f>
        <v>2052</v>
      </c>
      <c r="AF74" s="70" t="n">
        <f aca="false">AF$46</f>
        <v>2053</v>
      </c>
      <c r="AG74" s="70" t="n">
        <f aca="false">AG$46</f>
        <v>2054</v>
      </c>
      <c r="AH74" s="70" t="n">
        <f aca="false">AH$46</f>
        <v>2055</v>
      </c>
      <c r="AI74" s="70" t="n">
        <f aca="false">AI$46</f>
        <v>2056</v>
      </c>
      <c r="AJ74" s="70" t="n">
        <f aca="false">AJ$46</f>
        <v>2057</v>
      </c>
      <c r="AK74" s="70" t="n">
        <f aca="false">AK$46</f>
        <v>2058</v>
      </c>
      <c r="AL74" s="70" t="n">
        <f aca="false">AL$46</f>
        <v>2059</v>
      </c>
      <c r="AM74" s="70" t="n">
        <f aca="false">AM$46</f>
        <v>2060</v>
      </c>
      <c r="AN74" s="70" t="n">
        <f aca="false">AN$46</f>
        <v>2061</v>
      </c>
      <c r="AO74" s="70" t="n">
        <f aca="false">AO$46</f>
        <v>2062</v>
      </c>
      <c r="AP74" s="70" t="n">
        <f aca="false">AP$46</f>
        <v>2063</v>
      </c>
      <c r="AQ74" s="70" t="n">
        <f aca="false">AQ$46</f>
        <v>2064</v>
      </c>
      <c r="AR74" s="70" t="n">
        <f aca="false">AR$46</f>
        <v>2065</v>
      </c>
      <c r="AS74" s="70" t="n">
        <f aca="false">AS$46</f>
        <v>2066</v>
      </c>
      <c r="AT74" s="70" t="n">
        <f aca="false">AT$46</f>
        <v>2067</v>
      </c>
      <c r="AU74" s="70" t="n">
        <f aca="false">AU$46</f>
        <v>2068</v>
      </c>
      <c r="AV74" s="70" t="n">
        <f aca="false">AV$46</f>
        <v>2069</v>
      </c>
      <c r="AW74" s="70" t="n">
        <f aca="false">AW$46</f>
        <v>2070</v>
      </c>
      <c r="AX74" s="70" t="n">
        <f aca="false">AX$46</f>
        <v>2071</v>
      </c>
      <c r="AY74" s="70" t="n">
        <f aca="false">AY$46</f>
        <v>2072</v>
      </c>
      <c r="AZ74" s="70" t="n">
        <f aca="false">AZ$46</f>
        <v>2073</v>
      </c>
      <c r="BA74" s="70" t="n">
        <f aca="false">BA$46</f>
        <v>2074</v>
      </c>
      <c r="BB74" s="70" t="n">
        <f aca="false">BB$46</f>
        <v>2075</v>
      </c>
    </row>
    <row r="75" customFormat="false" ht="15" hidden="false" customHeight="true" outlineLevel="0" collapsed="false">
      <c r="B75" s="59" t="s">
        <v>481</v>
      </c>
      <c r="C75" s="59" t="s">
        <v>11</v>
      </c>
      <c r="D75" s="63" t="n">
        <f aca="false">SUM(E75:BB75)</f>
        <v>0</v>
      </c>
      <c r="E75" s="66" t="n">
        <f aca="false">MAX(0,IF(AND(E$46&gt;=$C$9,E$46&lt;=$C$41),E50,0)+E62-E69+E70+E51)</f>
        <v>0</v>
      </c>
      <c r="F75" s="66" t="n">
        <f aca="false">MAX(0,IF(AND(F$46&gt;=$C$9,F$46&lt;=$C$41),F50,0)+F62-F69+F70+F51)</f>
        <v>0</v>
      </c>
      <c r="G75" s="66" t="n">
        <f aca="false">MAX(0,IF(AND(G$46&gt;=$C$9,G$46&lt;=$C$41),G50,0)+G62-G69+G70+G51)</f>
        <v>0</v>
      </c>
      <c r="H75" s="66" t="n">
        <f aca="false">MAX(0,IF(AND(H$46&gt;=$C$9,H$46&lt;=$C$41),H50,0)+H62-H69+H70+H51)</f>
        <v>0</v>
      </c>
      <c r="I75" s="66" t="n">
        <f aca="false">MAX(0,IF(AND(I$46&gt;=$C$9,I$46&lt;=$C$41),I50,0)+I62-I69+I70+I51)</f>
        <v>0</v>
      </c>
      <c r="J75" s="66" t="n">
        <f aca="false">MAX(0,IF(AND(J$46&gt;=$C$9,J$46&lt;=$C$41),J50,0)+J62-J69+J70+J51)</f>
        <v>0</v>
      </c>
      <c r="K75" s="66" t="n">
        <f aca="false">MAX(0,IF(AND(K$46&gt;=$C$9,K$46&lt;=$C$41),K50,0)+K62-K69+K70+K51)</f>
        <v>0</v>
      </c>
      <c r="L75" s="66" t="n">
        <f aca="false">MAX(0,IF(AND(L$46&gt;=$C$9,L$46&lt;=$C$41),L50,0)+L62-L69+L70+L51)</f>
        <v>0</v>
      </c>
      <c r="M75" s="66" t="n">
        <f aca="false">MAX(0,IF(AND(M$46&gt;=$C$9,M$46&lt;=$C$41),M50,0)+M62-M69+M70+M51)</f>
        <v>0</v>
      </c>
      <c r="N75" s="66" t="n">
        <f aca="false">MAX(0,IF(AND(N$46&gt;=$C$9,N$46&lt;=$C$41),N50,0)+N62-N69+N70+N51)</f>
        <v>0</v>
      </c>
      <c r="O75" s="66" t="n">
        <f aca="false">MAX(0,IF(AND(O$46&gt;=$C$9,O$46&lt;=$C$41),O50,0)+O62-O69+O70+O51)</f>
        <v>0</v>
      </c>
      <c r="P75" s="66" t="n">
        <f aca="false">MAX(0,IF(AND(P$46&gt;=$C$9,P$46&lt;=$C$41),P50,0)+P62-P69+P70+P51)</f>
        <v>0</v>
      </c>
      <c r="Q75" s="66" t="n">
        <f aca="false">MAX(0,IF(AND(Q$46&gt;=$C$9,Q$46&lt;=$C$41),Q50,0)+Q62-Q69+Q70+Q51)</f>
        <v>0</v>
      </c>
      <c r="R75" s="66" t="n">
        <f aca="false">MAX(0,IF(AND(R$46&gt;=$C$9,R$46&lt;=$C$41),R50,0)+R62-R69+R70+R51)</f>
        <v>0</v>
      </c>
      <c r="S75" s="66" t="n">
        <f aca="false">MAX(0,IF(AND(S$46&gt;=$C$9,S$46&lt;=$C$41),S50,0)+S62-S69+S70+S51)</f>
        <v>0</v>
      </c>
      <c r="T75" s="66" t="n">
        <f aca="false">MAX(0,IF(AND(T$46&gt;=$C$9,T$46&lt;=$C$41),T50,0)+T62-T69+T70+T51)</f>
        <v>0</v>
      </c>
      <c r="U75" s="66" t="n">
        <f aca="false">MAX(0,IF(AND(U$46&gt;=$C$9,U$46&lt;=$C$41),U50,0)+U62-U69+U70+U51)</f>
        <v>0</v>
      </c>
      <c r="V75" s="66" t="n">
        <f aca="false">MAX(0,IF(AND(V$46&gt;=$C$9,V$46&lt;=$C$41),V50,0)+V62-V69+V70+V51)</f>
        <v>0</v>
      </c>
      <c r="W75" s="66" t="n">
        <f aca="false">MAX(0,IF(AND(W$46&gt;=$C$9,W$46&lt;=$C$41),W50,0)+W62-W69+W70+W51)</f>
        <v>0</v>
      </c>
      <c r="X75" s="66" t="n">
        <f aca="false">MAX(0,IF(AND(X$46&gt;=$C$9,X$46&lt;=$C$41),X50,0)+X62-X69+X70+X51)</f>
        <v>0</v>
      </c>
      <c r="Y75" s="66" t="n">
        <f aca="false">MAX(0,IF(AND(Y$46&gt;=$C$9,Y$46&lt;=$C$41),Y50,0)+Y62-Y69+Y70+Y51)</f>
        <v>0</v>
      </c>
      <c r="Z75" s="66" t="n">
        <f aca="false">MAX(0,IF(AND(Z$46&gt;=$C$9,Z$46&lt;=$C$41),Z50,0)+Z62-Z69+Z70+Z51)</f>
        <v>0</v>
      </c>
      <c r="AA75" s="66" t="n">
        <f aca="false">MAX(0,IF(AND(AA$46&gt;=$C$9,AA$46&lt;=$C$41),AA50,0)+AA62-AA69+AA70+AA51)</f>
        <v>0</v>
      </c>
      <c r="AB75" s="66" t="n">
        <f aca="false">MAX(0,IF(AND(AB$46&gt;=$C$9,AB$46&lt;=$C$41),AB50,0)+AB62-AB69+AB70+AB51)</f>
        <v>0</v>
      </c>
      <c r="AC75" s="66" t="n">
        <f aca="false">MAX(0,IF(AND(AC$46&gt;=$C$9,AC$46&lt;=$C$41),AC50,0)+AC62-AC69+AC70+AC51)</f>
        <v>0</v>
      </c>
      <c r="AD75" s="66" t="n">
        <f aca="false">MAX(0,IF(AND(AD$46&gt;=$C$9,AD$46&lt;=$C$41),AD50,0)+AD62-AD69+AD70+AD51)</f>
        <v>0</v>
      </c>
      <c r="AE75" s="66" t="n">
        <f aca="false">MAX(0,IF(AND(AE$46&gt;=$C$9,AE$46&lt;=$C$41),AE50,0)+AE62-AE69+AE70+AE51)</f>
        <v>0</v>
      </c>
      <c r="AF75" s="66" t="n">
        <f aca="false">MAX(0,IF(AND(AF$46&gt;=$C$9,AF$46&lt;=$C$41),AF50,0)+AF62-AF69+AF70+AF51)</f>
        <v>0</v>
      </c>
      <c r="AG75" s="66" t="n">
        <f aca="false">MAX(0,IF(AND(AG$46&gt;=$C$9,AG$46&lt;=$C$41),AG50,0)+AG62-AG69+AG70+AG51)</f>
        <v>0</v>
      </c>
      <c r="AH75" s="66" t="n">
        <f aca="false">MAX(0,IF(AND(AH$46&gt;=$C$9,AH$46&lt;=$C$41),AH50,0)+AH62-AH69+AH70+AH51)</f>
        <v>0</v>
      </c>
      <c r="AI75" s="66" t="n">
        <f aca="false">MAX(0,IF(AND(AI$46&gt;=$C$9,AI$46&lt;=$C$41),AI50,0)+AI62-AI69+AI70+AI51)</f>
        <v>0</v>
      </c>
      <c r="AJ75" s="66" t="n">
        <f aca="false">MAX(0,IF(AND(AJ$46&gt;=$C$9,AJ$46&lt;=$C$41),AJ50,0)+AJ62-AJ69+AJ70+AJ51)</f>
        <v>0</v>
      </c>
      <c r="AK75" s="66" t="n">
        <f aca="false">MAX(0,IF(AND(AK$46&gt;=$C$9,AK$46&lt;=$C$41),AK50,0)+AK62-AK69+AK70+AK51)</f>
        <v>0</v>
      </c>
      <c r="AL75" s="66" t="n">
        <f aca="false">MAX(0,IF(AND(AL$46&gt;=$C$9,AL$46&lt;=$C$41),AL50,0)+AL62-AL69+AL70+AL51)</f>
        <v>0</v>
      </c>
      <c r="AM75" s="66" t="n">
        <f aca="false">MAX(0,IF(AND(AM$46&gt;=$C$9,AM$46&lt;=$C$41),AM50,0)+AM62-AM69+AM70+AM51)</f>
        <v>0</v>
      </c>
      <c r="AN75" s="66" t="n">
        <f aca="false">MAX(0,IF(AND(AN$46&gt;=$C$9,AN$46&lt;=$C$41),AN50,0)+AN62-AN69+AN70+AN51)</f>
        <v>0</v>
      </c>
      <c r="AO75" s="66" t="n">
        <f aca="false">MAX(0,IF(AND(AO$46&gt;=$C$9,AO$46&lt;=$C$41),AO50,0)+AO62-AO69+AO70+AO51)</f>
        <v>0</v>
      </c>
      <c r="AP75" s="66" t="n">
        <f aca="false">MAX(0,IF(AND(AP$46&gt;=$C$9,AP$46&lt;=$C$41),AP50,0)+AP62-AP69+AP70+AP51)</f>
        <v>0</v>
      </c>
      <c r="AQ75" s="66" t="n">
        <f aca="false">MAX(0,IF(AND(AQ$46&gt;=$C$9,AQ$46&lt;=$C$41),AQ50,0)+AQ62-AQ69+AQ70+AQ51)</f>
        <v>0</v>
      </c>
      <c r="AR75" s="66" t="n">
        <f aca="false">MAX(0,IF(AND(AR$46&gt;=$C$9,AR$46&lt;=$C$41),AR50,0)+AR62-AR69+AR70+AR51)</f>
        <v>0</v>
      </c>
      <c r="AS75" s="66" t="n">
        <f aca="false">MAX(0,IF(AND(AS$46&gt;=$C$9,AS$46&lt;=$C$41),AS50,0)+AS62-AS69+AS70+AS51)</f>
        <v>0</v>
      </c>
      <c r="AT75" s="66" t="n">
        <f aca="false">MAX(0,IF(AND(AT$46&gt;=$C$9,AT$46&lt;=$C$41),AT50,0)+AT62-AT69+AT70+AT51)</f>
        <v>0</v>
      </c>
      <c r="AU75" s="66" t="n">
        <f aca="false">MAX(0,IF(AND(AU$46&gt;=$C$9,AU$46&lt;=$C$41),AU50,0)+AU62-AU69+AU70+AU51)</f>
        <v>0</v>
      </c>
      <c r="AV75" s="66" t="n">
        <f aca="false">MAX(0,IF(AND(AV$46&gt;=$C$9,AV$46&lt;=$C$41),AV50,0)+AV62-AV69+AV70+AV51)</f>
        <v>0</v>
      </c>
      <c r="AW75" s="66" t="n">
        <f aca="false">MAX(0,IF(AND(AW$46&gt;=$C$9,AW$46&lt;=$C$41),AW50,0)+AW62-AW69+AW70+AW51)</f>
        <v>0</v>
      </c>
      <c r="AX75" s="66" t="n">
        <f aca="false">MAX(0,IF(AND(AX$46&gt;=$C$9,AX$46&lt;=$C$41),AX50,0)+AX62-AX69+AX70+AX51)</f>
        <v>0</v>
      </c>
      <c r="AY75" s="66" t="n">
        <f aca="false">MAX(0,IF(AND(AY$46&gt;=$C$9,AY$46&lt;=$C$41),AY50,0)+AY62-AY69+AY70+AY51)</f>
        <v>0</v>
      </c>
      <c r="AZ75" s="66" t="n">
        <f aca="false">MAX(0,IF(AND(AZ$46&gt;=$C$9,AZ$46&lt;=$C$41),AZ50,0)+AZ62-AZ69+AZ70+AZ51)</f>
        <v>0</v>
      </c>
      <c r="BA75" s="66" t="n">
        <f aca="false">MAX(0,IF(AND(BA$46&gt;=$C$9,BA$46&lt;=$C$41),BA50,0)+BA62-BA69+BA70+BA51)</f>
        <v>0</v>
      </c>
      <c r="BB75" s="66" t="n">
        <f aca="false">MAX(0,IF(AND(BB$46&gt;=$C$9,BB$46&lt;=$C$41),BB50,0)+BB62-BB69+BB70+BB51)</f>
        <v>0</v>
      </c>
    </row>
    <row r="77" customFormat="false" ht="15" hidden="false" customHeight="true" outlineLevel="0" collapsed="false">
      <c r="B77" s="59" t="s">
        <v>482</v>
      </c>
      <c r="C77" s="59" t="s">
        <v>11</v>
      </c>
      <c r="E77" s="66" t="n">
        <f aca="false">E56</f>
        <v>0</v>
      </c>
      <c r="F77" s="66" t="n">
        <f aca="false">E79+F56</f>
        <v>0</v>
      </c>
      <c r="G77" s="66" t="n">
        <f aca="false">F79+G56</f>
        <v>0</v>
      </c>
      <c r="H77" s="66" t="n">
        <f aca="false">G79+H56</f>
        <v>0</v>
      </c>
      <c r="I77" s="66" t="n">
        <f aca="false">H79+I56</f>
        <v>0</v>
      </c>
      <c r="J77" s="66" t="n">
        <f aca="false">I79+J56</f>
        <v>0</v>
      </c>
      <c r="K77" s="66" t="n">
        <f aca="false">J79+K56</f>
        <v>0</v>
      </c>
      <c r="L77" s="66" t="n">
        <f aca="false">K79+L56</f>
        <v>0</v>
      </c>
      <c r="M77" s="66" t="n">
        <f aca="false">L79+M56</f>
        <v>0</v>
      </c>
      <c r="N77" s="66" t="n">
        <f aca="false">M79+N56</f>
        <v>0</v>
      </c>
      <c r="O77" s="66" t="n">
        <f aca="false">N79+O56</f>
        <v>0</v>
      </c>
      <c r="P77" s="66" t="n">
        <f aca="false">O79+P56</f>
        <v>0</v>
      </c>
      <c r="Q77" s="66" t="n">
        <f aca="false">P79+Q56</f>
        <v>0</v>
      </c>
      <c r="R77" s="66" t="n">
        <f aca="false">Q79+R56</f>
        <v>0</v>
      </c>
      <c r="S77" s="66" t="n">
        <f aca="false">R79+S56</f>
        <v>0</v>
      </c>
      <c r="T77" s="66" t="n">
        <f aca="false">S79+T56</f>
        <v>0</v>
      </c>
      <c r="U77" s="66" t="n">
        <f aca="false">T79+U56</f>
        <v>0</v>
      </c>
      <c r="V77" s="66" t="n">
        <f aca="false">U79+V56</f>
        <v>0</v>
      </c>
      <c r="W77" s="66" t="n">
        <f aca="false">V79+W56</f>
        <v>0</v>
      </c>
      <c r="X77" s="66" t="n">
        <f aca="false">W79+X56</f>
        <v>0</v>
      </c>
      <c r="Y77" s="66" t="n">
        <f aca="false">X79+Y56</f>
        <v>0</v>
      </c>
      <c r="Z77" s="66" t="n">
        <f aca="false">Y79+Z56</f>
        <v>0</v>
      </c>
      <c r="AA77" s="66" t="n">
        <f aca="false">Z79+AA56</f>
        <v>0</v>
      </c>
      <c r="AB77" s="66" t="n">
        <f aca="false">AA79+AB56</f>
        <v>0</v>
      </c>
      <c r="AC77" s="66" t="n">
        <f aca="false">AB79+AC56</f>
        <v>0</v>
      </c>
      <c r="AD77" s="66" t="n">
        <f aca="false">AC79+AD56</f>
        <v>0</v>
      </c>
      <c r="AE77" s="66" t="n">
        <f aca="false">AD79+AE56</f>
        <v>0</v>
      </c>
      <c r="AF77" s="66" t="n">
        <f aca="false">AE79+AF56</f>
        <v>0</v>
      </c>
      <c r="AG77" s="66" t="n">
        <f aca="false">AF79+AG56</f>
        <v>0</v>
      </c>
      <c r="AH77" s="66" t="n">
        <f aca="false">AG79+AH56</f>
        <v>0</v>
      </c>
      <c r="AI77" s="66" t="n">
        <f aca="false">AH79+AI56</f>
        <v>0</v>
      </c>
      <c r="AJ77" s="66" t="n">
        <f aca="false">AI79+AJ56</f>
        <v>0</v>
      </c>
      <c r="AK77" s="66" t="n">
        <f aca="false">AJ79+AK56</f>
        <v>0</v>
      </c>
      <c r="AL77" s="66" t="n">
        <f aca="false">AK79+AL56</f>
        <v>0</v>
      </c>
      <c r="AM77" s="66" t="n">
        <f aca="false">AL79+AM56</f>
        <v>0</v>
      </c>
      <c r="AN77" s="66" t="n">
        <f aca="false">AM79+AN56</f>
        <v>0</v>
      </c>
      <c r="AO77" s="66" t="n">
        <f aca="false">AN79+AO56</f>
        <v>0</v>
      </c>
      <c r="AP77" s="66" t="n">
        <f aca="false">AO79+AP56</f>
        <v>0</v>
      </c>
      <c r="AQ77" s="66" t="n">
        <f aca="false">AP79+AQ56</f>
        <v>0</v>
      </c>
      <c r="AR77" s="66" t="n">
        <f aca="false">AQ79+AR56</f>
        <v>0</v>
      </c>
      <c r="AS77" s="66" t="n">
        <f aca="false">AR79+AS56</f>
        <v>0</v>
      </c>
      <c r="AT77" s="66" t="n">
        <f aca="false">AS79+AT56</f>
        <v>0</v>
      </c>
      <c r="AU77" s="66" t="n">
        <f aca="false">AT79+AU56</f>
        <v>0</v>
      </c>
      <c r="AV77" s="66" t="n">
        <f aca="false">AU79+AV56</f>
        <v>0</v>
      </c>
      <c r="AW77" s="66" t="n">
        <f aca="false">AV79+AW56</f>
        <v>0</v>
      </c>
      <c r="AX77" s="66" t="n">
        <f aca="false">AW79+AX56</f>
        <v>0</v>
      </c>
      <c r="AY77" s="66" t="n">
        <f aca="false">AX79+AY56</f>
        <v>0</v>
      </c>
      <c r="AZ77" s="66" t="n">
        <f aca="false">AY79+AZ56</f>
        <v>0</v>
      </c>
      <c r="BA77" s="66" t="n">
        <f aca="false">AZ79+BA56</f>
        <v>0</v>
      </c>
      <c r="BB77" s="66" t="n">
        <f aca="false">BA79+BB56</f>
        <v>0</v>
      </c>
    </row>
    <row r="78" customFormat="false" ht="15" hidden="false" customHeight="true" outlineLevel="0" collapsed="false">
      <c r="B78" s="59" t="s">
        <v>483</v>
      </c>
      <c r="C78" s="59" t="s">
        <v>11</v>
      </c>
      <c r="D78" s="63" t="n">
        <f aca="false">SUM(E78:BB78)</f>
        <v>0</v>
      </c>
      <c r="E78" s="66" t="n">
        <f aca="false">MIN(E75,E77)</f>
        <v>0</v>
      </c>
      <c r="F78" s="66" t="n">
        <f aca="false">MIN(F75,F77)</f>
        <v>0</v>
      </c>
      <c r="G78" s="66" t="n">
        <f aca="false">MIN(G75,G77)</f>
        <v>0</v>
      </c>
      <c r="H78" s="66" t="n">
        <f aca="false">MIN(H75,H77)</f>
        <v>0</v>
      </c>
      <c r="I78" s="66" t="n">
        <f aca="false">MIN(I75,I77)</f>
        <v>0</v>
      </c>
      <c r="J78" s="66" t="n">
        <f aca="false">MIN(J75,J77)</f>
        <v>0</v>
      </c>
      <c r="K78" s="66" t="n">
        <f aca="false">MIN(K75,K77)</f>
        <v>0</v>
      </c>
      <c r="L78" s="66" t="n">
        <f aca="false">MIN(L75,L77)</f>
        <v>0</v>
      </c>
      <c r="M78" s="66" t="n">
        <f aca="false">MIN(M75,M77)</f>
        <v>0</v>
      </c>
      <c r="N78" s="66" t="n">
        <f aca="false">MIN(N75,N77)</f>
        <v>0</v>
      </c>
      <c r="O78" s="66" t="n">
        <f aca="false">MIN(O75,O77)</f>
        <v>0</v>
      </c>
      <c r="P78" s="66" t="n">
        <f aca="false">MIN(P75,P77)</f>
        <v>0</v>
      </c>
      <c r="Q78" s="66" t="n">
        <f aca="false">MIN(Q75,Q77)</f>
        <v>0</v>
      </c>
      <c r="R78" s="66" t="n">
        <f aca="false">MIN(R75,R77)</f>
        <v>0</v>
      </c>
      <c r="S78" s="66" t="n">
        <f aca="false">MIN(S75,S77)</f>
        <v>0</v>
      </c>
      <c r="T78" s="66" t="n">
        <f aca="false">MIN(T75,T77)</f>
        <v>0</v>
      </c>
      <c r="U78" s="66" t="n">
        <f aca="false">MIN(U75,U77)</f>
        <v>0</v>
      </c>
      <c r="V78" s="66" t="n">
        <f aca="false">MIN(V75,V77)</f>
        <v>0</v>
      </c>
      <c r="W78" s="66" t="n">
        <f aca="false">MIN(W75,W77)</f>
        <v>0</v>
      </c>
      <c r="X78" s="66" t="n">
        <f aca="false">MIN(X75,X77)</f>
        <v>0</v>
      </c>
      <c r="Y78" s="66" t="n">
        <f aca="false">MIN(Y75,Y77)</f>
        <v>0</v>
      </c>
      <c r="Z78" s="66" t="n">
        <f aca="false">MIN(Z75,Z77)</f>
        <v>0</v>
      </c>
      <c r="AA78" s="66" t="n">
        <f aca="false">MIN(AA75,AA77)</f>
        <v>0</v>
      </c>
      <c r="AB78" s="66" t="n">
        <f aca="false">MIN(AB75,AB77)</f>
        <v>0</v>
      </c>
      <c r="AC78" s="66" t="n">
        <f aca="false">MIN(AC75,AC77)</f>
        <v>0</v>
      </c>
      <c r="AD78" s="66" t="n">
        <f aca="false">MIN(AD75,AD77)</f>
        <v>0</v>
      </c>
      <c r="AE78" s="66" t="n">
        <f aca="false">MIN(AE75,AE77)</f>
        <v>0</v>
      </c>
      <c r="AF78" s="66" t="n">
        <f aca="false">MIN(AF75,AF77)</f>
        <v>0</v>
      </c>
      <c r="AG78" s="66" t="n">
        <f aca="false">MIN(AG75,AG77)</f>
        <v>0</v>
      </c>
      <c r="AH78" s="66" t="n">
        <f aca="false">MIN(AH75,AH77)</f>
        <v>0</v>
      </c>
      <c r="AI78" s="66" t="n">
        <f aca="false">MIN(AI75,AI77)</f>
        <v>0</v>
      </c>
      <c r="AJ78" s="66" t="n">
        <f aca="false">MIN(AJ75,AJ77)</f>
        <v>0</v>
      </c>
      <c r="AK78" s="66" t="n">
        <f aca="false">MIN(AK75,AK77)</f>
        <v>0</v>
      </c>
      <c r="AL78" s="66" t="n">
        <f aca="false">MIN(AL75,AL77)</f>
        <v>0</v>
      </c>
      <c r="AM78" s="66" t="n">
        <f aca="false">MIN(AM75,AM77)</f>
        <v>0</v>
      </c>
      <c r="AN78" s="66" t="n">
        <f aca="false">MIN(AN75,AN77)</f>
        <v>0</v>
      </c>
      <c r="AO78" s="66" t="n">
        <f aca="false">MIN(AO75,AO77)</f>
        <v>0</v>
      </c>
      <c r="AP78" s="66" t="n">
        <f aca="false">MIN(AP75,AP77)</f>
        <v>0</v>
      </c>
      <c r="AQ78" s="66" t="n">
        <f aca="false">MIN(AQ75,AQ77)</f>
        <v>0</v>
      </c>
      <c r="AR78" s="66" t="n">
        <f aca="false">MIN(AR75,AR77)</f>
        <v>0</v>
      </c>
      <c r="AS78" s="66" t="n">
        <f aca="false">MIN(AS75,AS77)</f>
        <v>0</v>
      </c>
      <c r="AT78" s="66" t="n">
        <f aca="false">MIN(AT75,AT77)</f>
        <v>0</v>
      </c>
      <c r="AU78" s="66" t="n">
        <f aca="false">MIN(AU75,AU77)</f>
        <v>0</v>
      </c>
      <c r="AV78" s="66" t="n">
        <f aca="false">MIN(AV75,AV77)</f>
        <v>0</v>
      </c>
      <c r="AW78" s="66" t="n">
        <f aca="false">MIN(AW75,AW77)</f>
        <v>0</v>
      </c>
      <c r="AX78" s="66" t="n">
        <f aca="false">MIN(AX75,AX77)</f>
        <v>0</v>
      </c>
      <c r="AY78" s="66" t="n">
        <f aca="false">MIN(AY75,AY77)</f>
        <v>0</v>
      </c>
      <c r="AZ78" s="66" t="n">
        <f aca="false">MIN(AZ75,AZ77)</f>
        <v>0</v>
      </c>
      <c r="BA78" s="66" t="n">
        <f aca="false">MIN(BA75,BA77)</f>
        <v>0</v>
      </c>
      <c r="BB78" s="66" t="n">
        <f aca="false">MIN(BB75,BB77)</f>
        <v>0</v>
      </c>
    </row>
    <row r="79" customFormat="false" ht="15" hidden="false" customHeight="true" outlineLevel="0" collapsed="false">
      <c r="B79" s="59" t="s">
        <v>484</v>
      </c>
      <c r="C79" s="59" t="s">
        <v>11</v>
      </c>
      <c r="E79" s="66" t="n">
        <f aca="false">E77-E78</f>
        <v>0</v>
      </c>
      <c r="F79" s="66" t="n">
        <f aca="false">F77-F78</f>
        <v>0</v>
      </c>
      <c r="G79" s="66" t="n">
        <f aca="false">G77-G78</f>
        <v>0</v>
      </c>
      <c r="H79" s="66" t="n">
        <f aca="false">H77-H78</f>
        <v>0</v>
      </c>
      <c r="I79" s="66" t="n">
        <f aca="false">I77-I78</f>
        <v>0</v>
      </c>
      <c r="J79" s="66" t="n">
        <f aca="false">J77-J78</f>
        <v>0</v>
      </c>
      <c r="K79" s="66" t="n">
        <f aca="false">K77-K78</f>
        <v>0</v>
      </c>
      <c r="L79" s="66" t="n">
        <f aca="false">L77-L78</f>
        <v>0</v>
      </c>
      <c r="M79" s="66" t="n">
        <f aca="false">M77-M78</f>
        <v>0</v>
      </c>
      <c r="N79" s="66" t="n">
        <f aca="false">N77-N78</f>
        <v>0</v>
      </c>
      <c r="O79" s="66" t="n">
        <f aca="false">O77-O78</f>
        <v>0</v>
      </c>
      <c r="P79" s="66" t="n">
        <f aca="false">P77-P78</f>
        <v>0</v>
      </c>
      <c r="Q79" s="66" t="n">
        <f aca="false">Q77-Q78</f>
        <v>0</v>
      </c>
      <c r="R79" s="66" t="n">
        <f aca="false">R77-R78</f>
        <v>0</v>
      </c>
      <c r="S79" s="66" t="n">
        <f aca="false">S77-S78</f>
        <v>0</v>
      </c>
      <c r="T79" s="66" t="n">
        <f aca="false">T77-T78</f>
        <v>0</v>
      </c>
      <c r="U79" s="66" t="n">
        <f aca="false">U77-U78</f>
        <v>0</v>
      </c>
      <c r="V79" s="66" t="n">
        <f aca="false">V77-V78</f>
        <v>0</v>
      </c>
      <c r="W79" s="66" t="n">
        <f aca="false">W77-W78</f>
        <v>0</v>
      </c>
      <c r="X79" s="66" t="n">
        <f aca="false">X77-X78</f>
        <v>0</v>
      </c>
      <c r="Y79" s="66" t="n">
        <f aca="false">Y77-Y78</f>
        <v>0</v>
      </c>
      <c r="Z79" s="66" t="n">
        <f aca="false">Z77-Z78</f>
        <v>0</v>
      </c>
      <c r="AA79" s="66" t="n">
        <f aca="false">AA77-AA78</f>
        <v>0</v>
      </c>
      <c r="AB79" s="66" t="n">
        <f aca="false">AB77-AB78</f>
        <v>0</v>
      </c>
      <c r="AC79" s="66" t="n">
        <f aca="false">AC77-AC78</f>
        <v>0</v>
      </c>
      <c r="AD79" s="66" t="n">
        <f aca="false">AD77-AD78</f>
        <v>0</v>
      </c>
      <c r="AE79" s="66" t="n">
        <f aca="false">AE77-AE78</f>
        <v>0</v>
      </c>
      <c r="AF79" s="66" t="n">
        <f aca="false">AF77-AF78</f>
        <v>0</v>
      </c>
      <c r="AG79" s="66" t="n">
        <f aca="false">AG77-AG78</f>
        <v>0</v>
      </c>
      <c r="AH79" s="66" t="n">
        <f aca="false">AH77-AH78</f>
        <v>0</v>
      </c>
      <c r="AI79" s="66" t="n">
        <f aca="false">AI77-AI78</f>
        <v>0</v>
      </c>
      <c r="AJ79" s="66" t="n">
        <f aca="false">AJ77-AJ78</f>
        <v>0</v>
      </c>
      <c r="AK79" s="66" t="n">
        <f aca="false">AK77-AK78</f>
        <v>0</v>
      </c>
      <c r="AL79" s="66" t="n">
        <f aca="false">AL77-AL78</f>
        <v>0</v>
      </c>
      <c r="AM79" s="66" t="n">
        <f aca="false">AM77-AM78</f>
        <v>0</v>
      </c>
      <c r="AN79" s="66" t="n">
        <f aca="false">AN77-AN78</f>
        <v>0</v>
      </c>
      <c r="AO79" s="66" t="n">
        <f aca="false">AO77-AO78</f>
        <v>0</v>
      </c>
      <c r="AP79" s="66" t="n">
        <f aca="false">AP77-AP78</f>
        <v>0</v>
      </c>
      <c r="AQ79" s="66" t="n">
        <f aca="false">AQ77-AQ78</f>
        <v>0</v>
      </c>
      <c r="AR79" s="66" t="n">
        <f aca="false">AR77-AR78</f>
        <v>0</v>
      </c>
      <c r="AS79" s="66" t="n">
        <f aca="false">AS77-AS78</f>
        <v>0</v>
      </c>
      <c r="AT79" s="66" t="n">
        <f aca="false">AT77-AT78</f>
        <v>0</v>
      </c>
      <c r="AU79" s="66" t="n">
        <f aca="false">AU77-AU78</f>
        <v>0</v>
      </c>
      <c r="AV79" s="66" t="n">
        <f aca="false">AV77-AV78</f>
        <v>0</v>
      </c>
      <c r="AW79" s="66" t="n">
        <f aca="false">AW77-AW78</f>
        <v>0</v>
      </c>
      <c r="AX79" s="66" t="n">
        <f aca="false">AX77-AX78</f>
        <v>0</v>
      </c>
      <c r="AY79" s="66" t="n">
        <f aca="false">AY77-AY78</f>
        <v>0</v>
      </c>
      <c r="AZ79" s="66" t="n">
        <f aca="false">AZ77-AZ78</f>
        <v>0</v>
      </c>
      <c r="BA79" s="66" t="n">
        <f aca="false">BA77-BA78</f>
        <v>0</v>
      </c>
      <c r="BB79" s="66" t="n">
        <f aca="false">BB77-BB78</f>
        <v>0</v>
      </c>
    </row>
    <row r="81" customFormat="false" ht="15" hidden="false" customHeight="true" outlineLevel="0" collapsed="false">
      <c r="B81" s="59" t="s">
        <v>485</v>
      </c>
      <c r="C81" s="59" t="s">
        <v>11</v>
      </c>
      <c r="D81" s="66" t="n">
        <f aca="false">SUM(E81:BB81)</f>
        <v>0</v>
      </c>
      <c r="E81" s="66" t="n">
        <f aca="false">E77*$C$36</f>
        <v>0</v>
      </c>
      <c r="F81" s="66" t="n">
        <f aca="false">F77*$C$36</f>
        <v>0</v>
      </c>
      <c r="G81" s="66" t="n">
        <f aca="false">G77*$C$36</f>
        <v>0</v>
      </c>
      <c r="H81" s="66" t="n">
        <f aca="false">H77*$C$36</f>
        <v>0</v>
      </c>
      <c r="I81" s="66" t="n">
        <f aca="false">I77*$C$36</f>
        <v>0</v>
      </c>
      <c r="J81" s="66" t="n">
        <f aca="false">J77*$C$36</f>
        <v>0</v>
      </c>
      <c r="K81" s="66" t="n">
        <f aca="false">K77*$C$36</f>
        <v>0</v>
      </c>
      <c r="L81" s="66" t="n">
        <f aca="false">L77*$C$36</f>
        <v>0</v>
      </c>
      <c r="M81" s="66" t="n">
        <f aca="false">M77*$C$36</f>
        <v>0</v>
      </c>
      <c r="N81" s="66" t="n">
        <f aca="false">N77*$C$36</f>
        <v>0</v>
      </c>
      <c r="O81" s="66" t="n">
        <f aca="false">O77*$C$36</f>
        <v>0</v>
      </c>
      <c r="P81" s="66" t="n">
        <f aca="false">P77*$C$36</f>
        <v>0</v>
      </c>
      <c r="Q81" s="66" t="n">
        <f aca="false">Q77*$C$36</f>
        <v>0</v>
      </c>
      <c r="R81" s="66" t="n">
        <f aca="false">R77*$C$36</f>
        <v>0</v>
      </c>
      <c r="S81" s="66" t="n">
        <f aca="false">S77*$C$36</f>
        <v>0</v>
      </c>
      <c r="T81" s="66" t="n">
        <f aca="false">T77*$C$36</f>
        <v>0</v>
      </c>
      <c r="U81" s="66" t="n">
        <f aca="false">U77*$C$36</f>
        <v>0</v>
      </c>
      <c r="V81" s="66" t="n">
        <f aca="false">V77*$C$36</f>
        <v>0</v>
      </c>
      <c r="W81" s="66" t="n">
        <f aca="false">W77*$C$36</f>
        <v>0</v>
      </c>
      <c r="X81" s="66" t="n">
        <f aca="false">X77*$C$36</f>
        <v>0</v>
      </c>
      <c r="Y81" s="66" t="n">
        <f aca="false">Y77*$C$36</f>
        <v>0</v>
      </c>
      <c r="Z81" s="66" t="n">
        <f aca="false">Z77*$C$36</f>
        <v>0</v>
      </c>
      <c r="AA81" s="66" t="n">
        <f aca="false">AA77*$C$36</f>
        <v>0</v>
      </c>
      <c r="AB81" s="66" t="n">
        <f aca="false">AB77*$C$36</f>
        <v>0</v>
      </c>
      <c r="AC81" s="66" t="n">
        <f aca="false">AC77*$C$36</f>
        <v>0</v>
      </c>
      <c r="AD81" s="66" t="n">
        <f aca="false">AD77*$C$36</f>
        <v>0</v>
      </c>
      <c r="AE81" s="66" t="n">
        <f aca="false">AE77*$C$36</f>
        <v>0</v>
      </c>
      <c r="AF81" s="66" t="n">
        <f aca="false">AF77*$C$36</f>
        <v>0</v>
      </c>
      <c r="AG81" s="66" t="n">
        <f aca="false">AG77*$C$36</f>
        <v>0</v>
      </c>
      <c r="AH81" s="66" t="n">
        <f aca="false">AH77*$C$36</f>
        <v>0</v>
      </c>
      <c r="AI81" s="66" t="n">
        <f aca="false">AI77*$C$36</f>
        <v>0</v>
      </c>
      <c r="AJ81" s="66" t="n">
        <f aca="false">AJ77*$C$36</f>
        <v>0</v>
      </c>
      <c r="AK81" s="66" t="n">
        <f aca="false">AK77*$C$36</f>
        <v>0</v>
      </c>
      <c r="AL81" s="66" t="n">
        <f aca="false">AL77*$C$36</f>
        <v>0</v>
      </c>
      <c r="AM81" s="66" t="n">
        <f aca="false">AM77*$C$36</f>
        <v>0</v>
      </c>
      <c r="AN81" s="66" t="n">
        <f aca="false">AN77*$C$36</f>
        <v>0</v>
      </c>
      <c r="AO81" s="66" t="n">
        <f aca="false">AO77*$C$36</f>
        <v>0</v>
      </c>
      <c r="AP81" s="66" t="n">
        <f aca="false">AP77*$C$36</f>
        <v>0</v>
      </c>
      <c r="AQ81" s="66" t="n">
        <f aca="false">AQ77*$C$36</f>
        <v>0</v>
      </c>
      <c r="AR81" s="66" t="n">
        <f aca="false">AR77*$C$36</f>
        <v>0</v>
      </c>
      <c r="AS81" s="66" t="n">
        <f aca="false">AS77*$C$36</f>
        <v>0</v>
      </c>
      <c r="AT81" s="66" t="n">
        <f aca="false">AT77*$C$36</f>
        <v>0</v>
      </c>
      <c r="AU81" s="66" t="n">
        <f aca="false">AU77*$C$36</f>
        <v>0</v>
      </c>
      <c r="AV81" s="66" t="n">
        <f aca="false">AV77*$C$36</f>
        <v>0</v>
      </c>
      <c r="AW81" s="66" t="n">
        <f aca="false">AW77*$C$36</f>
        <v>0</v>
      </c>
      <c r="AX81" s="66" t="n">
        <f aca="false">AX77*$C$36</f>
        <v>0</v>
      </c>
      <c r="AY81" s="66" t="n">
        <f aca="false">AY77*$C$36</f>
        <v>0</v>
      </c>
      <c r="AZ81" s="66" t="n">
        <f aca="false">AZ77*$C$36</f>
        <v>0</v>
      </c>
      <c r="BA81" s="66" t="n">
        <f aca="false">BA77*$C$36</f>
        <v>0</v>
      </c>
      <c r="BB81" s="66" t="n">
        <f aca="false">BB77*$C$36</f>
        <v>0</v>
      </c>
    </row>
    <row r="82" customFormat="false" ht="15" hidden="false" customHeight="true" outlineLevel="0" collapsed="false">
      <c r="B82" s="59" t="s">
        <v>486</v>
      </c>
      <c r="C82" s="59" t="s">
        <v>11</v>
      </c>
      <c r="E82" s="66" t="n">
        <f aca="false">0</f>
        <v>0</v>
      </c>
      <c r="F82" s="66" t="n">
        <f aca="false">E85</f>
        <v>0</v>
      </c>
      <c r="G82" s="66" t="n">
        <f aca="false">F85</f>
        <v>0</v>
      </c>
      <c r="H82" s="66" t="n">
        <f aca="false">G85</f>
        <v>0</v>
      </c>
      <c r="I82" s="66" t="n">
        <f aca="false">H85</f>
        <v>0</v>
      </c>
      <c r="J82" s="66" t="n">
        <f aca="false">I85</f>
        <v>0</v>
      </c>
      <c r="K82" s="66" t="n">
        <f aca="false">J85</f>
        <v>0</v>
      </c>
      <c r="L82" s="66" t="n">
        <f aca="false">K85</f>
        <v>0</v>
      </c>
      <c r="M82" s="66" t="n">
        <f aca="false">L85</f>
        <v>0</v>
      </c>
      <c r="N82" s="66" t="n">
        <f aca="false">M85</f>
        <v>0</v>
      </c>
      <c r="O82" s="66" t="n">
        <f aca="false">N85</f>
        <v>0</v>
      </c>
      <c r="P82" s="66" t="n">
        <f aca="false">O85</f>
        <v>0</v>
      </c>
      <c r="Q82" s="66" t="n">
        <f aca="false">P85</f>
        <v>0</v>
      </c>
      <c r="R82" s="66" t="n">
        <f aca="false">Q85</f>
        <v>0</v>
      </c>
      <c r="S82" s="66" t="n">
        <f aca="false">R85</f>
        <v>0</v>
      </c>
      <c r="T82" s="66" t="n">
        <f aca="false">S85</f>
        <v>0</v>
      </c>
      <c r="U82" s="66" t="n">
        <f aca="false">T85</f>
        <v>0</v>
      </c>
      <c r="V82" s="66" t="n">
        <f aca="false">U85</f>
        <v>0</v>
      </c>
      <c r="W82" s="66" t="n">
        <f aca="false">V85</f>
        <v>0</v>
      </c>
      <c r="X82" s="66" t="n">
        <f aca="false">W85</f>
        <v>0</v>
      </c>
      <c r="Y82" s="66" t="n">
        <f aca="false">X85</f>
        <v>0</v>
      </c>
      <c r="Z82" s="66" t="n">
        <f aca="false">Y85</f>
        <v>0</v>
      </c>
      <c r="AA82" s="66" t="n">
        <f aca="false">Z85</f>
        <v>0</v>
      </c>
      <c r="AB82" s="66" t="n">
        <f aca="false">AA85</f>
        <v>0</v>
      </c>
      <c r="AC82" s="66" t="n">
        <f aca="false">AB85</f>
        <v>0</v>
      </c>
      <c r="AD82" s="66" t="n">
        <f aca="false">AC85</f>
        <v>0</v>
      </c>
      <c r="AE82" s="66" t="n">
        <f aca="false">AD85</f>
        <v>0</v>
      </c>
      <c r="AF82" s="66" t="n">
        <f aca="false">AE85</f>
        <v>0</v>
      </c>
      <c r="AG82" s="66" t="n">
        <f aca="false">AF85</f>
        <v>0</v>
      </c>
      <c r="AH82" s="66" t="n">
        <f aca="false">AG85</f>
        <v>0</v>
      </c>
      <c r="AI82" s="66" t="n">
        <f aca="false">AH85</f>
        <v>0</v>
      </c>
      <c r="AJ82" s="66" t="n">
        <f aca="false">AI85</f>
        <v>0</v>
      </c>
      <c r="AK82" s="66" t="n">
        <f aca="false">AJ85</f>
        <v>0</v>
      </c>
      <c r="AL82" s="66" t="n">
        <f aca="false">AK85</f>
        <v>0</v>
      </c>
      <c r="AM82" s="66" t="n">
        <f aca="false">AL85</f>
        <v>0</v>
      </c>
      <c r="AN82" s="66" t="n">
        <f aca="false">AM85</f>
        <v>0</v>
      </c>
      <c r="AO82" s="66" t="n">
        <f aca="false">AN85</f>
        <v>0</v>
      </c>
      <c r="AP82" s="66" t="n">
        <f aca="false">AO85</f>
        <v>0</v>
      </c>
      <c r="AQ82" s="66" t="n">
        <f aca="false">AP85</f>
        <v>0</v>
      </c>
      <c r="AR82" s="66" t="n">
        <f aca="false">AQ85</f>
        <v>0</v>
      </c>
      <c r="AS82" s="66" t="n">
        <f aca="false">AR85</f>
        <v>0</v>
      </c>
      <c r="AT82" s="66" t="n">
        <f aca="false">AS85</f>
        <v>0</v>
      </c>
      <c r="AU82" s="66" t="n">
        <f aca="false">AT85</f>
        <v>0</v>
      </c>
      <c r="AV82" s="66" t="n">
        <f aca="false">AU85</f>
        <v>0</v>
      </c>
      <c r="AW82" s="66" t="n">
        <f aca="false">AV85</f>
        <v>0</v>
      </c>
      <c r="AX82" s="66" t="n">
        <f aca="false">AW85</f>
        <v>0</v>
      </c>
      <c r="AY82" s="66" t="n">
        <f aca="false">AX85</f>
        <v>0</v>
      </c>
      <c r="AZ82" s="66" t="n">
        <f aca="false">AY85</f>
        <v>0</v>
      </c>
      <c r="BA82" s="66" t="n">
        <f aca="false">AZ85</f>
        <v>0</v>
      </c>
      <c r="BB82" s="66" t="n">
        <f aca="false">BA85</f>
        <v>0</v>
      </c>
    </row>
    <row r="83" customFormat="false" ht="15" hidden="false" customHeight="true" outlineLevel="0" collapsed="false">
      <c r="B83" s="59" t="s">
        <v>487</v>
      </c>
      <c r="C83" s="59" t="s">
        <v>11</v>
      </c>
      <c r="E83" s="66" t="n">
        <f aca="false">E81+E82</f>
        <v>0</v>
      </c>
      <c r="F83" s="66" t="n">
        <f aca="false">F81+F82</f>
        <v>0</v>
      </c>
      <c r="G83" s="66" t="n">
        <f aca="false">G81+G82</f>
        <v>0</v>
      </c>
      <c r="H83" s="66" t="n">
        <f aca="false">H81+H82</f>
        <v>0</v>
      </c>
      <c r="I83" s="66" t="n">
        <f aca="false">I81+I82</f>
        <v>0</v>
      </c>
      <c r="J83" s="66" t="n">
        <f aca="false">J81+J82</f>
        <v>0</v>
      </c>
      <c r="K83" s="66" t="n">
        <f aca="false">K81+K82</f>
        <v>0</v>
      </c>
      <c r="L83" s="66" t="n">
        <f aca="false">L81+L82</f>
        <v>0</v>
      </c>
      <c r="M83" s="66" t="n">
        <f aca="false">M81+M82</f>
        <v>0</v>
      </c>
      <c r="N83" s="66" t="n">
        <f aca="false">N81+N82</f>
        <v>0</v>
      </c>
      <c r="O83" s="66" t="n">
        <f aca="false">O81+O82</f>
        <v>0</v>
      </c>
      <c r="P83" s="66" t="n">
        <f aca="false">P81+P82</f>
        <v>0</v>
      </c>
      <c r="Q83" s="66" t="n">
        <f aca="false">Q81+Q82</f>
        <v>0</v>
      </c>
      <c r="R83" s="66" t="n">
        <f aca="false">R81+R82</f>
        <v>0</v>
      </c>
      <c r="S83" s="66" t="n">
        <f aca="false">S81+S82</f>
        <v>0</v>
      </c>
      <c r="T83" s="66" t="n">
        <f aca="false">T81+T82</f>
        <v>0</v>
      </c>
      <c r="U83" s="66" t="n">
        <f aca="false">U81+U82</f>
        <v>0</v>
      </c>
      <c r="V83" s="66" t="n">
        <f aca="false">V81+V82</f>
        <v>0</v>
      </c>
      <c r="W83" s="66" t="n">
        <f aca="false">W81+W82</f>
        <v>0</v>
      </c>
      <c r="X83" s="66" t="n">
        <f aca="false">X81+X82</f>
        <v>0</v>
      </c>
      <c r="Y83" s="66" t="n">
        <f aca="false">Y81+Y82</f>
        <v>0</v>
      </c>
      <c r="Z83" s="66" t="n">
        <f aca="false">Z81+Z82</f>
        <v>0</v>
      </c>
      <c r="AA83" s="66" t="n">
        <f aca="false">AA81+AA82</f>
        <v>0</v>
      </c>
      <c r="AB83" s="66" t="n">
        <f aca="false">AB81+AB82</f>
        <v>0</v>
      </c>
      <c r="AC83" s="66" t="n">
        <f aca="false">AC81+AC82</f>
        <v>0</v>
      </c>
      <c r="AD83" s="66" t="n">
        <f aca="false">AD81+AD82</f>
        <v>0</v>
      </c>
      <c r="AE83" s="66" t="n">
        <f aca="false">AE81+AE82</f>
        <v>0</v>
      </c>
      <c r="AF83" s="66" t="n">
        <f aca="false">AF81+AF82</f>
        <v>0</v>
      </c>
      <c r="AG83" s="66" t="n">
        <f aca="false">AG81+AG82</f>
        <v>0</v>
      </c>
      <c r="AH83" s="66" t="n">
        <f aca="false">AH81+AH82</f>
        <v>0</v>
      </c>
      <c r="AI83" s="66" t="n">
        <f aca="false">AI81+AI82</f>
        <v>0</v>
      </c>
      <c r="AJ83" s="66" t="n">
        <f aca="false">AJ81+AJ82</f>
        <v>0</v>
      </c>
      <c r="AK83" s="66" t="n">
        <f aca="false">AK81+AK82</f>
        <v>0</v>
      </c>
      <c r="AL83" s="66" t="n">
        <f aca="false">AL81+AL82</f>
        <v>0</v>
      </c>
      <c r="AM83" s="66" t="n">
        <f aca="false">AM81+AM82</f>
        <v>0</v>
      </c>
      <c r="AN83" s="66" t="n">
        <f aca="false">AN81+AN82</f>
        <v>0</v>
      </c>
      <c r="AO83" s="66" t="n">
        <f aca="false">AO81+AO82</f>
        <v>0</v>
      </c>
      <c r="AP83" s="66" t="n">
        <f aca="false">AP81+AP82</f>
        <v>0</v>
      </c>
      <c r="AQ83" s="66" t="n">
        <f aca="false">AQ81+AQ82</f>
        <v>0</v>
      </c>
      <c r="AR83" s="66" t="n">
        <f aca="false">AR81+AR82</f>
        <v>0</v>
      </c>
      <c r="AS83" s="66" t="n">
        <f aca="false">AS81+AS82</f>
        <v>0</v>
      </c>
      <c r="AT83" s="66" t="n">
        <f aca="false">AT81+AT82</f>
        <v>0</v>
      </c>
      <c r="AU83" s="66" t="n">
        <f aca="false">AU81+AU82</f>
        <v>0</v>
      </c>
      <c r="AV83" s="66" t="n">
        <f aca="false">AV81+AV82</f>
        <v>0</v>
      </c>
      <c r="AW83" s="66" t="n">
        <f aca="false">AW81+AW82</f>
        <v>0</v>
      </c>
      <c r="AX83" s="66" t="n">
        <f aca="false">AX81+AX82</f>
        <v>0</v>
      </c>
      <c r="AY83" s="66" t="n">
        <f aca="false">AY81+AY82</f>
        <v>0</v>
      </c>
      <c r="AZ83" s="66" t="n">
        <f aca="false">AZ81+AZ82</f>
        <v>0</v>
      </c>
      <c r="BA83" s="66" t="n">
        <f aca="false">BA81+BA82</f>
        <v>0</v>
      </c>
      <c r="BB83" s="66" t="n">
        <f aca="false">BB81+BB82</f>
        <v>0</v>
      </c>
    </row>
    <row r="84" customFormat="false" ht="15" hidden="false" customHeight="true" outlineLevel="0" collapsed="false">
      <c r="B84" s="59" t="s">
        <v>488</v>
      </c>
      <c r="C84" s="59" t="s">
        <v>11</v>
      </c>
      <c r="D84" s="63" t="n">
        <f aca="false">SUM(E84:BB84)</f>
        <v>0</v>
      </c>
      <c r="E84" s="66" t="n">
        <f aca="false">MIN(MAX(0,E75-E78),E83)</f>
        <v>0</v>
      </c>
      <c r="F84" s="66" t="n">
        <f aca="false">MIN(MAX(0,F75-F78),F83)</f>
        <v>0</v>
      </c>
      <c r="G84" s="66" t="n">
        <f aca="false">MIN(MAX(0,G75-G78),G83)</f>
        <v>0</v>
      </c>
      <c r="H84" s="66" t="n">
        <f aca="false">MIN(MAX(0,H75-H78),H83)</f>
        <v>0</v>
      </c>
      <c r="I84" s="66" t="n">
        <f aca="false">MIN(MAX(0,I75-I78),I83)</f>
        <v>0</v>
      </c>
      <c r="J84" s="66" t="n">
        <f aca="false">MIN(MAX(0,J75-J78),J83)</f>
        <v>0</v>
      </c>
      <c r="K84" s="66" t="n">
        <f aca="false">MIN(MAX(0,K75-K78),K83)</f>
        <v>0</v>
      </c>
      <c r="L84" s="66" t="n">
        <f aca="false">MIN(MAX(0,L75-L78),L83)</f>
        <v>0</v>
      </c>
      <c r="M84" s="66" t="n">
        <f aca="false">MIN(MAX(0,M75-M78),M83)</f>
        <v>0</v>
      </c>
      <c r="N84" s="66" t="n">
        <f aca="false">MIN(MAX(0,N75-N78),N83)</f>
        <v>0</v>
      </c>
      <c r="O84" s="66" t="n">
        <f aca="false">MIN(MAX(0,O75-O78),O83)</f>
        <v>0</v>
      </c>
      <c r="P84" s="66" t="n">
        <f aca="false">MIN(MAX(0,P75-P78),P83)</f>
        <v>0</v>
      </c>
      <c r="Q84" s="66" t="n">
        <f aca="false">MIN(MAX(0,Q75-Q78),Q83)</f>
        <v>0</v>
      </c>
      <c r="R84" s="66" t="n">
        <f aca="false">MIN(MAX(0,R75-R78),R83)</f>
        <v>0</v>
      </c>
      <c r="S84" s="66" t="n">
        <f aca="false">MIN(MAX(0,S75-S78),S83)</f>
        <v>0</v>
      </c>
      <c r="T84" s="66" t="n">
        <f aca="false">MIN(MAX(0,T75-T78),T83)</f>
        <v>0</v>
      </c>
      <c r="U84" s="66" t="n">
        <f aca="false">MIN(MAX(0,U75-U78),U83)</f>
        <v>0</v>
      </c>
      <c r="V84" s="66" t="n">
        <f aca="false">MIN(MAX(0,V75-V78),V83)</f>
        <v>0</v>
      </c>
      <c r="W84" s="66" t="n">
        <f aca="false">MIN(MAX(0,W75-W78),W83)</f>
        <v>0</v>
      </c>
      <c r="X84" s="66" t="n">
        <f aca="false">MIN(MAX(0,X75-X78),X83)</f>
        <v>0</v>
      </c>
      <c r="Y84" s="66" t="n">
        <f aca="false">MIN(MAX(0,Y75-Y78),Y83)</f>
        <v>0</v>
      </c>
      <c r="Z84" s="66" t="n">
        <f aca="false">MIN(MAX(0,Z75-Z78),Z83)</f>
        <v>0</v>
      </c>
      <c r="AA84" s="66" t="n">
        <f aca="false">MIN(MAX(0,AA75-AA78),AA83)</f>
        <v>0</v>
      </c>
      <c r="AB84" s="66" t="n">
        <f aca="false">MIN(MAX(0,AB75-AB78),AB83)</f>
        <v>0</v>
      </c>
      <c r="AC84" s="66" t="n">
        <f aca="false">MIN(MAX(0,AC75-AC78),AC83)</f>
        <v>0</v>
      </c>
      <c r="AD84" s="66" t="n">
        <f aca="false">MIN(MAX(0,AD75-AD78),AD83)</f>
        <v>0</v>
      </c>
      <c r="AE84" s="66" t="n">
        <f aca="false">MIN(MAX(0,AE75-AE78),AE83)</f>
        <v>0</v>
      </c>
      <c r="AF84" s="66" t="n">
        <f aca="false">MIN(MAX(0,AF75-AF78),AF83)</f>
        <v>0</v>
      </c>
      <c r="AG84" s="66" t="n">
        <f aca="false">MIN(MAX(0,AG75-AG78),AG83)</f>
        <v>0</v>
      </c>
      <c r="AH84" s="66" t="n">
        <f aca="false">MIN(MAX(0,AH75-AH78),AH83)</f>
        <v>0</v>
      </c>
      <c r="AI84" s="66" t="n">
        <f aca="false">MIN(MAX(0,AI75-AI78),AI83)</f>
        <v>0</v>
      </c>
      <c r="AJ84" s="66" t="n">
        <f aca="false">MIN(MAX(0,AJ75-AJ78),AJ83)</f>
        <v>0</v>
      </c>
      <c r="AK84" s="66" t="n">
        <f aca="false">MIN(MAX(0,AK75-AK78),AK83)</f>
        <v>0</v>
      </c>
      <c r="AL84" s="66" t="n">
        <f aca="false">MIN(MAX(0,AL75-AL78),AL83)</f>
        <v>0</v>
      </c>
      <c r="AM84" s="66" t="n">
        <f aca="false">MIN(MAX(0,AM75-AM78),AM83)</f>
        <v>0</v>
      </c>
      <c r="AN84" s="66" t="n">
        <f aca="false">MIN(MAX(0,AN75-AN78),AN83)</f>
        <v>0</v>
      </c>
      <c r="AO84" s="66" t="n">
        <f aca="false">MIN(MAX(0,AO75-AO78),AO83)</f>
        <v>0</v>
      </c>
      <c r="AP84" s="66" t="n">
        <f aca="false">MIN(MAX(0,AP75-AP78),AP83)</f>
        <v>0</v>
      </c>
      <c r="AQ84" s="66" t="n">
        <f aca="false">MIN(MAX(0,AQ75-AQ78),AQ83)</f>
        <v>0</v>
      </c>
      <c r="AR84" s="66" t="n">
        <f aca="false">MIN(MAX(0,AR75-AR78),AR83)</f>
        <v>0</v>
      </c>
      <c r="AS84" s="66" t="n">
        <f aca="false">MIN(MAX(0,AS75-AS78),AS83)</f>
        <v>0</v>
      </c>
      <c r="AT84" s="66" t="n">
        <f aca="false">MIN(MAX(0,AT75-AT78),AT83)</f>
        <v>0</v>
      </c>
      <c r="AU84" s="66" t="n">
        <f aca="false">MIN(MAX(0,AU75-AU78),AU83)</f>
        <v>0</v>
      </c>
      <c r="AV84" s="66" t="n">
        <f aca="false">MIN(MAX(0,AV75-AV78),AV83)</f>
        <v>0</v>
      </c>
      <c r="AW84" s="66" t="n">
        <f aca="false">MIN(MAX(0,AW75-AW78),AW83)</f>
        <v>0</v>
      </c>
      <c r="AX84" s="66" t="n">
        <f aca="false">MIN(MAX(0,AX75-AX78),AX83)</f>
        <v>0</v>
      </c>
      <c r="AY84" s="66" t="n">
        <f aca="false">MIN(MAX(0,AY75-AY78),AY83)</f>
        <v>0</v>
      </c>
      <c r="AZ84" s="66" t="n">
        <f aca="false">MIN(MAX(0,AZ75-AZ78),AZ83)</f>
        <v>0</v>
      </c>
      <c r="BA84" s="66" t="n">
        <f aca="false">MIN(MAX(0,BA75-BA78),BA83)</f>
        <v>0</v>
      </c>
      <c r="BB84" s="66" t="n">
        <f aca="false">MIN(MAX(0,BB75-BB78),BB83)</f>
        <v>0</v>
      </c>
    </row>
    <row r="85" customFormat="false" ht="15" hidden="false" customHeight="true" outlineLevel="0" collapsed="false">
      <c r="B85" s="59" t="s">
        <v>489</v>
      </c>
      <c r="C85" s="59" t="s">
        <v>11</v>
      </c>
      <c r="E85" s="66" t="n">
        <f aca="false">E83-E84</f>
        <v>0</v>
      </c>
      <c r="F85" s="66" t="n">
        <f aca="false">F83-F84</f>
        <v>0</v>
      </c>
      <c r="G85" s="66" t="n">
        <f aca="false">G83-G84</f>
        <v>0</v>
      </c>
      <c r="H85" s="66" t="n">
        <f aca="false">H83-H84</f>
        <v>0</v>
      </c>
      <c r="I85" s="66" t="n">
        <f aca="false">I83-I84</f>
        <v>0</v>
      </c>
      <c r="J85" s="66" t="n">
        <f aca="false">J83-J84</f>
        <v>0</v>
      </c>
      <c r="K85" s="66" t="n">
        <f aca="false">K83-K84</f>
        <v>0</v>
      </c>
      <c r="L85" s="66" t="n">
        <f aca="false">L83-L84</f>
        <v>0</v>
      </c>
      <c r="M85" s="66" t="n">
        <f aca="false">M83-M84</f>
        <v>0</v>
      </c>
      <c r="N85" s="66" t="n">
        <f aca="false">N83-N84</f>
        <v>0</v>
      </c>
      <c r="O85" s="66" t="n">
        <f aca="false">O83-O84</f>
        <v>0</v>
      </c>
      <c r="P85" s="66" t="n">
        <f aca="false">P83-P84</f>
        <v>0</v>
      </c>
      <c r="Q85" s="66" t="n">
        <f aca="false">Q83-Q84</f>
        <v>0</v>
      </c>
      <c r="R85" s="66" t="n">
        <f aca="false">R83-R84</f>
        <v>0</v>
      </c>
      <c r="S85" s="66" t="n">
        <f aca="false">S83-S84</f>
        <v>0</v>
      </c>
      <c r="T85" s="66" t="n">
        <f aca="false">T83-T84</f>
        <v>0</v>
      </c>
      <c r="U85" s="66" t="n">
        <f aca="false">U83-U84</f>
        <v>0</v>
      </c>
      <c r="V85" s="66" t="n">
        <f aca="false">V83-V84</f>
        <v>0</v>
      </c>
      <c r="W85" s="66" t="n">
        <f aca="false">W83-W84</f>
        <v>0</v>
      </c>
      <c r="X85" s="66" t="n">
        <f aca="false">X83-X84</f>
        <v>0</v>
      </c>
      <c r="Y85" s="66" t="n">
        <f aca="false">Y83-Y84</f>
        <v>0</v>
      </c>
      <c r="Z85" s="66" t="n">
        <f aca="false">Z83-Z84</f>
        <v>0</v>
      </c>
      <c r="AA85" s="66" t="n">
        <f aca="false">AA83-AA84</f>
        <v>0</v>
      </c>
      <c r="AB85" s="66" t="n">
        <f aca="false">AB83-AB84</f>
        <v>0</v>
      </c>
      <c r="AC85" s="66" t="n">
        <f aca="false">AC83-AC84</f>
        <v>0</v>
      </c>
      <c r="AD85" s="66" t="n">
        <f aca="false">AD83-AD84</f>
        <v>0</v>
      </c>
      <c r="AE85" s="66" t="n">
        <f aca="false">AE83-AE84</f>
        <v>0</v>
      </c>
      <c r="AF85" s="66" t="n">
        <f aca="false">AF83-AF84</f>
        <v>0</v>
      </c>
      <c r="AG85" s="66" t="n">
        <f aca="false">AG83-AG84</f>
        <v>0</v>
      </c>
      <c r="AH85" s="66" t="n">
        <f aca="false">AH83-AH84</f>
        <v>0</v>
      </c>
      <c r="AI85" s="66" t="n">
        <f aca="false">AI83-AI84</f>
        <v>0</v>
      </c>
      <c r="AJ85" s="66" t="n">
        <f aca="false">AJ83-AJ84</f>
        <v>0</v>
      </c>
      <c r="AK85" s="66" t="n">
        <f aca="false">AK83-AK84</f>
        <v>0</v>
      </c>
      <c r="AL85" s="66" t="n">
        <f aca="false">AL83-AL84</f>
        <v>0</v>
      </c>
      <c r="AM85" s="66" t="n">
        <f aca="false">AM83-AM84</f>
        <v>0</v>
      </c>
      <c r="AN85" s="66" t="n">
        <f aca="false">AN83-AN84</f>
        <v>0</v>
      </c>
      <c r="AO85" s="66" t="n">
        <f aca="false">AO83-AO84</f>
        <v>0</v>
      </c>
      <c r="AP85" s="66" t="n">
        <f aca="false">AP83-AP84</f>
        <v>0</v>
      </c>
      <c r="AQ85" s="66" t="n">
        <f aca="false">AQ83-AQ84</f>
        <v>0</v>
      </c>
      <c r="AR85" s="66" t="n">
        <f aca="false">AR83-AR84</f>
        <v>0</v>
      </c>
      <c r="AS85" s="66" t="n">
        <f aca="false">AS83-AS84</f>
        <v>0</v>
      </c>
      <c r="AT85" s="66" t="n">
        <f aca="false">AT83-AT84</f>
        <v>0</v>
      </c>
      <c r="AU85" s="66" t="n">
        <f aca="false">AU83-AU84</f>
        <v>0</v>
      </c>
      <c r="AV85" s="66" t="n">
        <f aca="false">AV83-AV84</f>
        <v>0</v>
      </c>
      <c r="AW85" s="66" t="n">
        <f aca="false">AW83-AW84</f>
        <v>0</v>
      </c>
      <c r="AX85" s="66" t="n">
        <f aca="false">AX83-AX84</f>
        <v>0</v>
      </c>
      <c r="AY85" s="66" t="n">
        <f aca="false">AY83-AY84</f>
        <v>0</v>
      </c>
      <c r="AZ85" s="66" t="n">
        <f aca="false">AZ83-AZ84</f>
        <v>0</v>
      </c>
      <c r="BA85" s="66" t="n">
        <f aca="false">BA83-BA84</f>
        <v>0</v>
      </c>
      <c r="BB85" s="66" t="n">
        <f aca="false">BB83-BB84</f>
        <v>0</v>
      </c>
    </row>
    <row r="87" customFormat="false" ht="15" hidden="false" customHeight="true" outlineLevel="0" collapsed="false">
      <c r="B87" s="59" t="s">
        <v>490</v>
      </c>
      <c r="C87" s="59" t="s">
        <v>11</v>
      </c>
      <c r="E87" s="66" t="n">
        <f aca="false">MAX(0,E75-E78-E84)</f>
        <v>0</v>
      </c>
      <c r="F87" s="66" t="n">
        <f aca="false">MAX(0,F75-F78-F84)</f>
        <v>0</v>
      </c>
      <c r="G87" s="66" t="n">
        <f aca="false">MAX(0,G75-G78-G84)</f>
        <v>0</v>
      </c>
      <c r="H87" s="66" t="n">
        <f aca="false">MAX(0,H75-H78-H84)</f>
        <v>0</v>
      </c>
      <c r="I87" s="66" t="n">
        <f aca="false">MAX(0,I75-I78-I84)</f>
        <v>0</v>
      </c>
      <c r="J87" s="66" t="n">
        <f aca="false">MAX(0,J75-J78-J84)</f>
        <v>0</v>
      </c>
      <c r="K87" s="66" t="n">
        <f aca="false">MAX(0,K75-K78-K84)</f>
        <v>0</v>
      </c>
      <c r="L87" s="66" t="n">
        <f aca="false">MAX(0,L75-L78-L84)</f>
        <v>0</v>
      </c>
      <c r="M87" s="66" t="n">
        <f aca="false">MAX(0,M75-M78-M84)</f>
        <v>0</v>
      </c>
      <c r="N87" s="66" t="n">
        <f aca="false">MAX(0,N75-N78-N84)</f>
        <v>0</v>
      </c>
      <c r="O87" s="66" t="n">
        <f aca="false">MAX(0,O75-O78-O84)</f>
        <v>0</v>
      </c>
      <c r="P87" s="66" t="n">
        <f aca="false">MAX(0,P75-P78-P84)</f>
        <v>0</v>
      </c>
      <c r="Q87" s="66" t="n">
        <f aca="false">MAX(0,Q75-Q78-Q84)</f>
        <v>0</v>
      </c>
      <c r="R87" s="66" t="n">
        <f aca="false">MAX(0,R75-R78-R84)</f>
        <v>0</v>
      </c>
      <c r="S87" s="66" t="n">
        <f aca="false">MAX(0,S75-S78-S84)</f>
        <v>0</v>
      </c>
      <c r="T87" s="66" t="n">
        <f aca="false">MAX(0,T75-T78-T84)</f>
        <v>0</v>
      </c>
      <c r="U87" s="66" t="n">
        <f aca="false">MAX(0,U75-U78-U84)</f>
        <v>0</v>
      </c>
      <c r="V87" s="66" t="n">
        <f aca="false">MAX(0,V75-V78-V84)</f>
        <v>0</v>
      </c>
      <c r="W87" s="66" t="n">
        <f aca="false">MAX(0,W75-W78-W84)</f>
        <v>0</v>
      </c>
      <c r="X87" s="66" t="n">
        <f aca="false">MAX(0,X75-X78-X84)</f>
        <v>0</v>
      </c>
      <c r="Y87" s="66" t="n">
        <f aca="false">MAX(0,Y75-Y78-Y84)</f>
        <v>0</v>
      </c>
      <c r="Z87" s="66" t="n">
        <f aca="false">MAX(0,Z75-Z78-Z84)</f>
        <v>0</v>
      </c>
      <c r="AA87" s="66" t="n">
        <f aca="false">MAX(0,AA75-AA78-AA84)</f>
        <v>0</v>
      </c>
      <c r="AB87" s="66" t="n">
        <f aca="false">MAX(0,AB75-AB78-AB84)</f>
        <v>0</v>
      </c>
      <c r="AC87" s="66" t="n">
        <f aca="false">MAX(0,AC75-AC78-AC84)</f>
        <v>0</v>
      </c>
      <c r="AD87" s="66" t="n">
        <f aca="false">MAX(0,AD75-AD78-AD84)</f>
        <v>0</v>
      </c>
      <c r="AE87" s="66" t="n">
        <f aca="false">MAX(0,AE75-AE78-AE84)</f>
        <v>0</v>
      </c>
      <c r="AF87" s="66" t="n">
        <f aca="false">MAX(0,AF75-AF78-AF84)</f>
        <v>0</v>
      </c>
      <c r="AG87" s="66" t="n">
        <f aca="false">MAX(0,AG75-AG78-AG84)</f>
        <v>0</v>
      </c>
      <c r="AH87" s="66" t="n">
        <f aca="false">MAX(0,AH75-AH78-AH84)</f>
        <v>0</v>
      </c>
      <c r="AI87" s="66" t="n">
        <f aca="false">MAX(0,AI75-AI78-AI84)</f>
        <v>0</v>
      </c>
      <c r="AJ87" s="66" t="n">
        <f aca="false">MAX(0,AJ75-AJ78-AJ84)</f>
        <v>0</v>
      </c>
      <c r="AK87" s="66" t="n">
        <f aca="false">MAX(0,AK75-AK78-AK84)</f>
        <v>0</v>
      </c>
      <c r="AL87" s="66" t="n">
        <f aca="false">MAX(0,AL75-AL78-AL84)</f>
        <v>0</v>
      </c>
      <c r="AM87" s="66" t="n">
        <f aca="false">MAX(0,AM75-AM78-AM84)</f>
        <v>0</v>
      </c>
      <c r="AN87" s="66" t="n">
        <f aca="false">MAX(0,AN75-AN78-AN84)</f>
        <v>0</v>
      </c>
      <c r="AO87" s="66" t="n">
        <f aca="false">MAX(0,AO75-AO78-AO84)</f>
        <v>0</v>
      </c>
      <c r="AP87" s="66" t="n">
        <f aca="false">MAX(0,AP75-AP78-AP84)</f>
        <v>0</v>
      </c>
      <c r="AQ87" s="66" t="n">
        <f aca="false">MAX(0,AQ75-AQ78-AQ84)</f>
        <v>0</v>
      </c>
      <c r="AR87" s="66" t="n">
        <f aca="false">MAX(0,AR75-AR78-AR84)</f>
        <v>0</v>
      </c>
      <c r="AS87" s="66" t="n">
        <f aca="false">MAX(0,AS75-AS78-AS84)</f>
        <v>0</v>
      </c>
      <c r="AT87" s="66" t="n">
        <f aca="false">MAX(0,AT75-AT78-AT84)</f>
        <v>0</v>
      </c>
      <c r="AU87" s="66" t="n">
        <f aca="false">MAX(0,AU75-AU78-AU84)</f>
        <v>0</v>
      </c>
      <c r="AV87" s="66" t="n">
        <f aca="false">MAX(0,AV75-AV78-AV84)</f>
        <v>0</v>
      </c>
      <c r="AW87" s="66" t="n">
        <f aca="false">MAX(0,AW75-AW78-AW84)</f>
        <v>0</v>
      </c>
      <c r="AX87" s="66" t="n">
        <f aca="false">MAX(0,AX75-AX78-AX84)</f>
        <v>0</v>
      </c>
      <c r="AY87" s="66" t="n">
        <f aca="false">MAX(0,AY75-AY78-AY84)</f>
        <v>0</v>
      </c>
      <c r="AZ87" s="66" t="n">
        <f aca="false">MAX(0,AZ75-AZ78-AZ84)</f>
        <v>0</v>
      </c>
      <c r="BA87" s="66" t="n">
        <f aca="false">MAX(0,BA75-BA78-BA84)</f>
        <v>0</v>
      </c>
      <c r="BB87" s="66" t="n">
        <f aca="false">MAX(0,BB75-BB78-BB84)</f>
        <v>0</v>
      </c>
    </row>
    <row r="88" customFormat="false" ht="15" hidden="false" customHeight="true" outlineLevel="0" collapsed="false">
      <c r="B88" s="59" t="s">
        <v>491</v>
      </c>
      <c r="C88" s="59" t="s">
        <v>11</v>
      </c>
      <c r="D88" s="63" t="n">
        <f aca="false">SUM(E88:BB88)</f>
        <v>0</v>
      </c>
      <c r="E88" s="66" t="n">
        <f aca="false">IF($C$37="Y",MIN(E87,E84*$C$38/(1-$C$38)),0)</f>
        <v>0</v>
      </c>
      <c r="F88" s="66" t="n">
        <f aca="false">IF($C$37="Y",MIN(F87,F84*$C$38/(1-$C$38)),0)</f>
        <v>0</v>
      </c>
      <c r="G88" s="66" t="n">
        <f aca="false">IF($C$37="Y",MIN(G87,G84*$C$38/(1-$C$38)),0)</f>
        <v>0</v>
      </c>
      <c r="H88" s="66" t="n">
        <f aca="false">IF($C$37="Y",MIN(H87,H84*$C$38/(1-$C$38)),0)</f>
        <v>0</v>
      </c>
      <c r="I88" s="66" t="n">
        <f aca="false">IF($C$37="Y",MIN(I87,I84*$C$38/(1-$C$38)),0)</f>
        <v>0</v>
      </c>
      <c r="J88" s="66" t="n">
        <f aca="false">IF($C$37="Y",MIN(J87,J84*$C$38/(1-$C$38)),0)</f>
        <v>0</v>
      </c>
      <c r="K88" s="66" t="n">
        <f aca="false">IF($C$37="Y",MIN(K87,K84*$C$38/(1-$C$38)),0)</f>
        <v>0</v>
      </c>
      <c r="L88" s="66" t="n">
        <f aca="false">IF($C$37="Y",MIN(L87,L84*$C$38/(1-$C$38)),0)</f>
        <v>0</v>
      </c>
      <c r="M88" s="66" t="n">
        <f aca="false">IF($C$37="Y",MIN(M87,M84*$C$38/(1-$C$38)),0)</f>
        <v>0</v>
      </c>
      <c r="N88" s="66" t="n">
        <f aca="false">IF($C$37="Y",MIN(N87,N84*$C$38/(1-$C$38)),0)</f>
        <v>0</v>
      </c>
      <c r="O88" s="66" t="n">
        <f aca="false">IF($C$37="Y",MIN(O87,O84*$C$38/(1-$C$38)),0)</f>
        <v>0</v>
      </c>
      <c r="P88" s="66" t="n">
        <f aca="false">IF($C$37="Y",MIN(P87,P84*$C$38/(1-$C$38)),0)</f>
        <v>0</v>
      </c>
      <c r="Q88" s="66" t="n">
        <f aca="false">IF($C$37="Y",MIN(Q87,Q84*$C$38/(1-$C$38)),0)</f>
        <v>0</v>
      </c>
      <c r="R88" s="66" t="n">
        <f aca="false">IF($C$37="Y",MIN(R87,R84*$C$38/(1-$C$38)),0)</f>
        <v>0</v>
      </c>
      <c r="S88" s="66" t="n">
        <f aca="false">IF($C$37="Y",MIN(S87,S84*$C$38/(1-$C$38)),0)</f>
        <v>0</v>
      </c>
      <c r="T88" s="66" t="n">
        <f aca="false">IF($C$37="Y",MIN(T87,T84*$C$38/(1-$C$38)),0)</f>
        <v>0</v>
      </c>
      <c r="U88" s="66" t="n">
        <f aca="false">IF($C$37="Y",MIN(U87,U84*$C$38/(1-$C$38)),0)</f>
        <v>0</v>
      </c>
      <c r="V88" s="66" t="n">
        <f aca="false">IF($C$37="Y",MIN(V87,V84*$C$38/(1-$C$38)),0)</f>
        <v>0</v>
      </c>
      <c r="W88" s="66" t="n">
        <f aca="false">IF($C$37="Y",MIN(W87,W84*$C$38/(1-$C$38)),0)</f>
        <v>0</v>
      </c>
      <c r="X88" s="66" t="n">
        <f aca="false">IF($C$37="Y",MIN(X87,X84*$C$38/(1-$C$38)),0)</f>
        <v>0</v>
      </c>
      <c r="Y88" s="66" t="n">
        <f aca="false">IF($C$37="Y",MIN(Y87,Y84*$C$38/(1-$C$38)),0)</f>
        <v>0</v>
      </c>
      <c r="Z88" s="66" t="n">
        <f aca="false">IF($C$37="Y",MIN(Z87,Z84*$C$38/(1-$C$38)),0)</f>
        <v>0</v>
      </c>
      <c r="AA88" s="66" t="n">
        <f aca="false">IF($C$37="Y",MIN(AA87,AA84*$C$38/(1-$C$38)),0)</f>
        <v>0</v>
      </c>
      <c r="AB88" s="66" t="n">
        <f aca="false">IF($C$37="Y",MIN(AB87,AB84*$C$38/(1-$C$38)),0)</f>
        <v>0</v>
      </c>
      <c r="AC88" s="66" t="n">
        <f aca="false">IF($C$37="Y",MIN(AC87,AC84*$C$38/(1-$C$38)),0)</f>
        <v>0</v>
      </c>
      <c r="AD88" s="66" t="n">
        <f aca="false">IF($C$37="Y",MIN(AD87,AD84*$C$38/(1-$C$38)),0)</f>
        <v>0</v>
      </c>
      <c r="AE88" s="66" t="n">
        <f aca="false">IF($C$37="Y",MIN(AE87,AE84*$C$38/(1-$C$38)),0)</f>
        <v>0</v>
      </c>
      <c r="AF88" s="66" t="n">
        <f aca="false">IF($C$37="Y",MIN(AF87,AF84*$C$38/(1-$C$38)),0)</f>
        <v>0</v>
      </c>
      <c r="AG88" s="66" t="n">
        <f aca="false">IF($C$37="Y",MIN(AG87,AG84*$C$38/(1-$C$38)),0)</f>
        <v>0</v>
      </c>
      <c r="AH88" s="66" t="n">
        <f aca="false">IF($C$37="Y",MIN(AH87,AH84*$C$38/(1-$C$38)),0)</f>
        <v>0</v>
      </c>
      <c r="AI88" s="66" t="n">
        <f aca="false">IF($C$37="Y",MIN(AI87,AI84*$C$38/(1-$C$38)),0)</f>
        <v>0</v>
      </c>
      <c r="AJ88" s="66" t="n">
        <f aca="false">IF($C$37="Y",MIN(AJ87,AJ84*$C$38/(1-$C$38)),0)</f>
        <v>0</v>
      </c>
      <c r="AK88" s="66" t="n">
        <f aca="false">IF($C$37="Y",MIN(AK87,AK84*$C$38/(1-$C$38)),0)</f>
        <v>0</v>
      </c>
      <c r="AL88" s="66" t="n">
        <f aca="false">IF($C$37="Y",MIN(AL87,AL84*$C$38/(1-$C$38)),0)</f>
        <v>0</v>
      </c>
      <c r="AM88" s="66" t="n">
        <f aca="false">IF($C$37="Y",MIN(AM87,AM84*$C$38/(1-$C$38)),0)</f>
        <v>0</v>
      </c>
      <c r="AN88" s="66" t="n">
        <f aca="false">IF($C$37="Y",MIN(AN87,AN84*$C$38/(1-$C$38)),0)</f>
        <v>0</v>
      </c>
      <c r="AO88" s="66" t="n">
        <f aca="false">IF($C$37="Y",MIN(AO87,AO84*$C$38/(1-$C$38)),0)</f>
        <v>0</v>
      </c>
      <c r="AP88" s="66" t="n">
        <f aca="false">IF($C$37="Y",MIN(AP87,AP84*$C$38/(1-$C$38)),0)</f>
        <v>0</v>
      </c>
      <c r="AQ88" s="66" t="n">
        <f aca="false">IF($C$37="Y",MIN(AQ87,AQ84*$C$38/(1-$C$38)),0)</f>
        <v>0</v>
      </c>
      <c r="AR88" s="66" t="n">
        <f aca="false">IF($C$37="Y",MIN(AR87,AR84*$C$38/(1-$C$38)),0)</f>
        <v>0</v>
      </c>
      <c r="AS88" s="66" t="n">
        <f aca="false">IF($C$37="Y",MIN(AS87,AS84*$C$38/(1-$C$38)),0)</f>
        <v>0</v>
      </c>
      <c r="AT88" s="66" t="n">
        <f aca="false">IF($C$37="Y",MIN(AT87,AT84*$C$38/(1-$C$38)),0)</f>
        <v>0</v>
      </c>
      <c r="AU88" s="66" t="n">
        <f aca="false">IF($C$37="Y",MIN(AU87,AU84*$C$38/(1-$C$38)),0)</f>
        <v>0</v>
      </c>
      <c r="AV88" s="66" t="n">
        <f aca="false">IF($C$37="Y",MIN(AV87,AV84*$C$38/(1-$C$38)),0)</f>
        <v>0</v>
      </c>
      <c r="AW88" s="66" t="n">
        <f aca="false">IF($C$37="Y",MIN(AW87,AW84*$C$38/(1-$C$38)),0)</f>
        <v>0</v>
      </c>
      <c r="AX88" s="66" t="n">
        <f aca="false">IF($C$37="Y",MIN(AX87,AX84*$C$38/(1-$C$38)),0)</f>
        <v>0</v>
      </c>
      <c r="AY88" s="66" t="n">
        <f aca="false">IF($C$37="Y",MIN(AY87,AY84*$C$38/(1-$C$38)),0)</f>
        <v>0</v>
      </c>
      <c r="AZ88" s="66" t="n">
        <f aca="false">IF($C$37="Y",MIN(AZ87,AZ84*$C$38/(1-$C$38)),0)</f>
        <v>0</v>
      </c>
      <c r="BA88" s="66" t="n">
        <f aca="false">IF($C$37="Y",MIN(BA87,BA84*$C$38/(1-$C$38)),0)</f>
        <v>0</v>
      </c>
      <c r="BB88" s="66" t="n">
        <f aca="false">IF($C$37="Y",MIN(BB87,BB84*$C$38/(1-$C$38)),0)</f>
        <v>0</v>
      </c>
    </row>
    <row r="89" customFormat="false" ht="15" hidden="false" customHeight="true" outlineLevel="0" collapsed="false">
      <c r="B89" s="59" t="s">
        <v>492</v>
      </c>
      <c r="C89" s="59" t="s">
        <v>11</v>
      </c>
      <c r="D89" s="63" t="n">
        <f aca="false">SUM(E89:BB89)</f>
        <v>0</v>
      </c>
      <c r="E89" s="66" t="n">
        <f aca="false">MAX(0,E87-E88)</f>
        <v>0</v>
      </c>
      <c r="F89" s="66" t="n">
        <f aca="false">MAX(0,F87-F88)</f>
        <v>0</v>
      </c>
      <c r="G89" s="66" t="n">
        <f aca="false">MAX(0,G87-G88)</f>
        <v>0</v>
      </c>
      <c r="H89" s="66" t="n">
        <f aca="false">MAX(0,H87-H88)</f>
        <v>0</v>
      </c>
      <c r="I89" s="66" t="n">
        <f aca="false">MAX(0,I87-I88)</f>
        <v>0</v>
      </c>
      <c r="J89" s="66" t="n">
        <f aca="false">MAX(0,J87-J88)</f>
        <v>0</v>
      </c>
      <c r="K89" s="66" t="n">
        <f aca="false">MAX(0,K87-K88)</f>
        <v>0</v>
      </c>
      <c r="L89" s="66" t="n">
        <f aca="false">MAX(0,L87-L88)</f>
        <v>0</v>
      </c>
      <c r="M89" s="66" t="n">
        <f aca="false">MAX(0,M87-M88)</f>
        <v>0</v>
      </c>
      <c r="N89" s="66" t="n">
        <f aca="false">MAX(0,N87-N88)</f>
        <v>0</v>
      </c>
      <c r="O89" s="66" t="n">
        <f aca="false">MAX(0,O87-O88)</f>
        <v>0</v>
      </c>
      <c r="P89" s="66" t="n">
        <f aca="false">MAX(0,P87-P88)</f>
        <v>0</v>
      </c>
      <c r="Q89" s="66" t="n">
        <f aca="false">MAX(0,Q87-Q88)</f>
        <v>0</v>
      </c>
      <c r="R89" s="66" t="n">
        <f aca="false">MAX(0,R87-R88)</f>
        <v>0</v>
      </c>
      <c r="S89" s="66" t="n">
        <f aca="false">MAX(0,S87-S88)</f>
        <v>0</v>
      </c>
      <c r="T89" s="66" t="n">
        <f aca="false">MAX(0,T87-T88)</f>
        <v>0</v>
      </c>
      <c r="U89" s="66" t="n">
        <f aca="false">MAX(0,U87-U88)</f>
        <v>0</v>
      </c>
      <c r="V89" s="66" t="n">
        <f aca="false">MAX(0,V87-V88)</f>
        <v>0</v>
      </c>
      <c r="W89" s="66" t="n">
        <f aca="false">MAX(0,W87-W88)</f>
        <v>0</v>
      </c>
      <c r="X89" s="66" t="n">
        <f aca="false">MAX(0,X87-X88)</f>
        <v>0</v>
      </c>
      <c r="Y89" s="66" t="n">
        <f aca="false">MAX(0,Y87-Y88)</f>
        <v>0</v>
      </c>
      <c r="Z89" s="66" t="n">
        <f aca="false">MAX(0,Z87-Z88)</f>
        <v>0</v>
      </c>
      <c r="AA89" s="66" t="n">
        <f aca="false">MAX(0,AA87-AA88)</f>
        <v>0</v>
      </c>
      <c r="AB89" s="66" t="n">
        <f aca="false">MAX(0,AB87-AB88)</f>
        <v>0</v>
      </c>
      <c r="AC89" s="66" t="n">
        <f aca="false">MAX(0,AC87-AC88)</f>
        <v>0</v>
      </c>
      <c r="AD89" s="66" t="n">
        <f aca="false">MAX(0,AD87-AD88)</f>
        <v>0</v>
      </c>
      <c r="AE89" s="66" t="n">
        <f aca="false">MAX(0,AE87-AE88)</f>
        <v>0</v>
      </c>
      <c r="AF89" s="66" t="n">
        <f aca="false">MAX(0,AF87-AF88)</f>
        <v>0</v>
      </c>
      <c r="AG89" s="66" t="n">
        <f aca="false">MAX(0,AG87-AG88)</f>
        <v>0</v>
      </c>
      <c r="AH89" s="66" t="n">
        <f aca="false">MAX(0,AH87-AH88)</f>
        <v>0</v>
      </c>
      <c r="AI89" s="66" t="n">
        <f aca="false">MAX(0,AI87-AI88)</f>
        <v>0</v>
      </c>
      <c r="AJ89" s="66" t="n">
        <f aca="false">MAX(0,AJ87-AJ88)</f>
        <v>0</v>
      </c>
      <c r="AK89" s="66" t="n">
        <f aca="false">MAX(0,AK87-AK88)</f>
        <v>0</v>
      </c>
      <c r="AL89" s="66" t="n">
        <f aca="false">MAX(0,AL87-AL88)</f>
        <v>0</v>
      </c>
      <c r="AM89" s="66" t="n">
        <f aca="false">MAX(0,AM87-AM88)</f>
        <v>0</v>
      </c>
      <c r="AN89" s="66" t="n">
        <f aca="false">MAX(0,AN87-AN88)</f>
        <v>0</v>
      </c>
      <c r="AO89" s="66" t="n">
        <f aca="false">MAX(0,AO87-AO88)</f>
        <v>0</v>
      </c>
      <c r="AP89" s="66" t="n">
        <f aca="false">MAX(0,AP87-AP88)</f>
        <v>0</v>
      </c>
      <c r="AQ89" s="66" t="n">
        <f aca="false">MAX(0,AQ87-AQ88)</f>
        <v>0</v>
      </c>
      <c r="AR89" s="66" t="n">
        <f aca="false">MAX(0,AR87-AR88)</f>
        <v>0</v>
      </c>
      <c r="AS89" s="66" t="n">
        <f aca="false">MAX(0,AS87-AS88)</f>
        <v>0</v>
      </c>
      <c r="AT89" s="66" t="n">
        <f aca="false">MAX(0,AT87-AT88)</f>
        <v>0</v>
      </c>
      <c r="AU89" s="66" t="n">
        <f aca="false">MAX(0,AU87-AU88)</f>
        <v>0</v>
      </c>
      <c r="AV89" s="66" t="n">
        <f aca="false">MAX(0,AV87-AV88)</f>
        <v>0</v>
      </c>
      <c r="AW89" s="66" t="n">
        <f aca="false">MAX(0,AW87-AW88)</f>
        <v>0</v>
      </c>
      <c r="AX89" s="66" t="n">
        <f aca="false">MAX(0,AX87-AX88)</f>
        <v>0</v>
      </c>
      <c r="AY89" s="66" t="n">
        <f aca="false">MAX(0,AY87-AY88)</f>
        <v>0</v>
      </c>
      <c r="AZ89" s="66" t="n">
        <f aca="false">MAX(0,AZ87-AZ88)</f>
        <v>0</v>
      </c>
      <c r="BA89" s="66" t="n">
        <f aca="false">MAX(0,BA87-BA88)</f>
        <v>0</v>
      </c>
      <c r="BB89" s="66" t="n">
        <f aca="false">MAX(0,BB87-BB88)</f>
        <v>0</v>
      </c>
    </row>
    <row r="90" customFormat="false" ht="15" hidden="false" customHeight="true" outlineLevel="0" collapsed="false">
      <c r="B90" s="59" t="s">
        <v>493</v>
      </c>
      <c r="C90" s="59" t="s">
        <v>11</v>
      </c>
      <c r="D90" s="66" t="n">
        <f aca="false">SUM(E90:BB90)</f>
        <v>0</v>
      </c>
      <c r="E90" s="66" t="n">
        <f aca="false">E89*(1-$C$38)</f>
        <v>0</v>
      </c>
      <c r="F90" s="66" t="n">
        <f aca="false">F89*(1-$C$38)</f>
        <v>0</v>
      </c>
      <c r="G90" s="66" t="n">
        <f aca="false">G89*(1-$C$38)</f>
        <v>0</v>
      </c>
      <c r="H90" s="66" t="n">
        <f aca="false">H89*(1-$C$38)</f>
        <v>0</v>
      </c>
      <c r="I90" s="66" t="n">
        <f aca="false">I89*(1-$C$38)</f>
        <v>0</v>
      </c>
      <c r="J90" s="66" t="n">
        <f aca="false">J89*(1-$C$38)</f>
        <v>0</v>
      </c>
      <c r="K90" s="66" t="n">
        <f aca="false">K89*(1-$C$38)</f>
        <v>0</v>
      </c>
      <c r="L90" s="66" t="n">
        <f aca="false">L89*(1-$C$38)</f>
        <v>0</v>
      </c>
      <c r="M90" s="66" t="n">
        <f aca="false">M89*(1-$C$38)</f>
        <v>0</v>
      </c>
      <c r="N90" s="66" t="n">
        <f aca="false">N89*(1-$C$38)</f>
        <v>0</v>
      </c>
      <c r="O90" s="66" t="n">
        <f aca="false">O89*(1-$C$38)</f>
        <v>0</v>
      </c>
      <c r="P90" s="66" t="n">
        <f aca="false">P89*(1-$C$38)</f>
        <v>0</v>
      </c>
      <c r="Q90" s="66" t="n">
        <f aca="false">Q89*(1-$C$38)</f>
        <v>0</v>
      </c>
      <c r="R90" s="66" t="n">
        <f aca="false">R89*(1-$C$38)</f>
        <v>0</v>
      </c>
      <c r="S90" s="66" t="n">
        <f aca="false">S89*(1-$C$38)</f>
        <v>0</v>
      </c>
      <c r="T90" s="66" t="n">
        <f aca="false">T89*(1-$C$38)</f>
        <v>0</v>
      </c>
      <c r="U90" s="66" t="n">
        <f aca="false">U89*(1-$C$38)</f>
        <v>0</v>
      </c>
      <c r="V90" s="66" t="n">
        <f aca="false">V89*(1-$C$38)</f>
        <v>0</v>
      </c>
      <c r="W90" s="66" t="n">
        <f aca="false">W89*(1-$C$38)</f>
        <v>0</v>
      </c>
      <c r="X90" s="66" t="n">
        <f aca="false">X89*(1-$C$38)</f>
        <v>0</v>
      </c>
      <c r="Y90" s="66" t="n">
        <f aca="false">Y89*(1-$C$38)</f>
        <v>0</v>
      </c>
      <c r="Z90" s="66" t="n">
        <f aca="false">Z89*(1-$C$38)</f>
        <v>0</v>
      </c>
      <c r="AA90" s="66" t="n">
        <f aca="false">AA89*(1-$C$38)</f>
        <v>0</v>
      </c>
      <c r="AB90" s="66" t="n">
        <f aca="false">AB89*(1-$C$38)</f>
        <v>0</v>
      </c>
      <c r="AC90" s="66" t="n">
        <f aca="false">AC89*(1-$C$38)</f>
        <v>0</v>
      </c>
      <c r="AD90" s="66" t="n">
        <f aca="false">AD89*(1-$C$38)</f>
        <v>0</v>
      </c>
      <c r="AE90" s="66" t="n">
        <f aca="false">AE89*(1-$C$38)</f>
        <v>0</v>
      </c>
      <c r="AF90" s="66" t="n">
        <f aca="false">AF89*(1-$C$38)</f>
        <v>0</v>
      </c>
      <c r="AG90" s="66" t="n">
        <f aca="false">AG89*(1-$C$38)</f>
        <v>0</v>
      </c>
      <c r="AH90" s="66" t="n">
        <f aca="false">AH89*(1-$C$38)</f>
        <v>0</v>
      </c>
      <c r="AI90" s="66" t="n">
        <f aca="false">AI89*(1-$C$38)</f>
        <v>0</v>
      </c>
      <c r="AJ90" s="66" t="n">
        <f aca="false">AJ89*(1-$C$38)</f>
        <v>0</v>
      </c>
      <c r="AK90" s="66" t="n">
        <f aca="false">AK89*(1-$C$38)</f>
        <v>0</v>
      </c>
      <c r="AL90" s="66" t="n">
        <f aca="false">AL89*(1-$C$38)</f>
        <v>0</v>
      </c>
      <c r="AM90" s="66" t="n">
        <f aca="false">AM89*(1-$C$38)</f>
        <v>0</v>
      </c>
      <c r="AN90" s="66" t="n">
        <f aca="false">AN89*(1-$C$38)</f>
        <v>0</v>
      </c>
      <c r="AO90" s="66" t="n">
        <f aca="false">AO89*(1-$C$38)</f>
        <v>0</v>
      </c>
      <c r="AP90" s="66" t="n">
        <f aca="false">AP89*(1-$C$38)</f>
        <v>0</v>
      </c>
      <c r="AQ90" s="66" t="n">
        <f aca="false">AQ89*(1-$C$38)</f>
        <v>0</v>
      </c>
      <c r="AR90" s="66" t="n">
        <f aca="false">AR89*(1-$C$38)</f>
        <v>0</v>
      </c>
      <c r="AS90" s="66" t="n">
        <f aca="false">AS89*(1-$C$38)</f>
        <v>0</v>
      </c>
      <c r="AT90" s="66" t="n">
        <f aca="false">AT89*(1-$C$38)</f>
        <v>0</v>
      </c>
      <c r="AU90" s="66" t="n">
        <f aca="false">AU89*(1-$C$38)</f>
        <v>0</v>
      </c>
      <c r="AV90" s="66" t="n">
        <f aca="false">AV89*(1-$C$38)</f>
        <v>0</v>
      </c>
      <c r="AW90" s="66" t="n">
        <f aca="false">AW89*(1-$C$38)</f>
        <v>0</v>
      </c>
      <c r="AX90" s="66" t="n">
        <f aca="false">AX89*(1-$C$38)</f>
        <v>0</v>
      </c>
      <c r="AY90" s="66" t="n">
        <f aca="false">AY89*(1-$C$38)</f>
        <v>0</v>
      </c>
      <c r="AZ90" s="66" t="n">
        <f aca="false">AZ89*(1-$C$38)</f>
        <v>0</v>
      </c>
      <c r="BA90" s="66" t="n">
        <f aca="false">BA89*(1-$C$38)</f>
        <v>0</v>
      </c>
      <c r="BB90" s="66" t="n">
        <f aca="false">BB89*(1-$C$38)</f>
        <v>0</v>
      </c>
    </row>
    <row r="91" customFormat="false" ht="15" hidden="false" customHeight="true" outlineLevel="0" collapsed="false">
      <c r="B91" s="59" t="s">
        <v>494</v>
      </c>
      <c r="C91" s="59" t="s">
        <v>11</v>
      </c>
      <c r="D91" s="66" t="n">
        <f aca="false">SUM(E91:BB91)</f>
        <v>0</v>
      </c>
      <c r="E91" s="66" t="n">
        <f aca="false">E89*$C$38</f>
        <v>0</v>
      </c>
      <c r="F91" s="66" t="n">
        <f aca="false">F89*$C$38</f>
        <v>0</v>
      </c>
      <c r="G91" s="66" t="n">
        <f aca="false">G89*$C$38</f>
        <v>0</v>
      </c>
      <c r="H91" s="66" t="n">
        <f aca="false">H89*$C$38</f>
        <v>0</v>
      </c>
      <c r="I91" s="66" t="n">
        <f aca="false">I89*$C$38</f>
        <v>0</v>
      </c>
      <c r="J91" s="66" t="n">
        <f aca="false">J89*$C$38</f>
        <v>0</v>
      </c>
      <c r="K91" s="66" t="n">
        <f aca="false">K89*$C$38</f>
        <v>0</v>
      </c>
      <c r="L91" s="66" t="n">
        <f aca="false">L89*$C$38</f>
        <v>0</v>
      </c>
      <c r="M91" s="66" t="n">
        <f aca="false">M89*$C$38</f>
        <v>0</v>
      </c>
      <c r="N91" s="66" t="n">
        <f aca="false">N89*$C$38</f>
        <v>0</v>
      </c>
      <c r="O91" s="66" t="n">
        <f aca="false">O89*$C$38</f>
        <v>0</v>
      </c>
      <c r="P91" s="66" t="n">
        <f aca="false">P89*$C$38</f>
        <v>0</v>
      </c>
      <c r="Q91" s="66" t="n">
        <f aca="false">Q89*$C$38</f>
        <v>0</v>
      </c>
      <c r="R91" s="66" t="n">
        <f aca="false">R89*$C$38</f>
        <v>0</v>
      </c>
      <c r="S91" s="66" t="n">
        <f aca="false">S89*$C$38</f>
        <v>0</v>
      </c>
      <c r="T91" s="66" t="n">
        <f aca="false">T89*$C$38</f>
        <v>0</v>
      </c>
      <c r="U91" s="66" t="n">
        <f aca="false">U89*$C$38</f>
        <v>0</v>
      </c>
      <c r="V91" s="66" t="n">
        <f aca="false">V89*$C$38</f>
        <v>0</v>
      </c>
      <c r="W91" s="66" t="n">
        <f aca="false">W89*$C$38</f>
        <v>0</v>
      </c>
      <c r="X91" s="66" t="n">
        <f aca="false">X89*$C$38</f>
        <v>0</v>
      </c>
      <c r="Y91" s="66" t="n">
        <f aca="false">Y89*$C$38</f>
        <v>0</v>
      </c>
      <c r="Z91" s="66" t="n">
        <f aca="false">Z89*$C$38</f>
        <v>0</v>
      </c>
      <c r="AA91" s="66" t="n">
        <f aca="false">AA89*$C$38</f>
        <v>0</v>
      </c>
      <c r="AB91" s="66" t="n">
        <f aca="false">AB89*$C$38</f>
        <v>0</v>
      </c>
      <c r="AC91" s="66" t="n">
        <f aca="false">AC89*$C$38</f>
        <v>0</v>
      </c>
      <c r="AD91" s="66" t="n">
        <f aca="false">AD89*$C$38</f>
        <v>0</v>
      </c>
      <c r="AE91" s="66" t="n">
        <f aca="false">AE89*$C$38</f>
        <v>0</v>
      </c>
      <c r="AF91" s="66" t="n">
        <f aca="false">AF89*$C$38</f>
        <v>0</v>
      </c>
      <c r="AG91" s="66" t="n">
        <f aca="false">AG89*$C$38</f>
        <v>0</v>
      </c>
      <c r="AH91" s="66" t="n">
        <f aca="false">AH89*$C$38</f>
        <v>0</v>
      </c>
      <c r="AI91" s="66" t="n">
        <f aca="false">AI89*$C$38</f>
        <v>0</v>
      </c>
      <c r="AJ91" s="66" t="n">
        <f aca="false">AJ89*$C$38</f>
        <v>0</v>
      </c>
      <c r="AK91" s="66" t="n">
        <f aca="false">AK89*$C$38</f>
        <v>0</v>
      </c>
      <c r="AL91" s="66" t="n">
        <f aca="false">AL89*$C$38</f>
        <v>0</v>
      </c>
      <c r="AM91" s="66" t="n">
        <f aca="false">AM89*$C$38</f>
        <v>0</v>
      </c>
      <c r="AN91" s="66" t="n">
        <f aca="false">AN89*$C$38</f>
        <v>0</v>
      </c>
      <c r="AO91" s="66" t="n">
        <f aca="false">AO89*$C$38</f>
        <v>0</v>
      </c>
      <c r="AP91" s="66" t="n">
        <f aca="false">AP89*$C$38</f>
        <v>0</v>
      </c>
      <c r="AQ91" s="66" t="n">
        <f aca="false">AQ89*$C$38</f>
        <v>0</v>
      </c>
      <c r="AR91" s="66" t="n">
        <f aca="false">AR89*$C$38</f>
        <v>0</v>
      </c>
      <c r="AS91" s="66" t="n">
        <f aca="false">AS89*$C$38</f>
        <v>0</v>
      </c>
      <c r="AT91" s="66" t="n">
        <f aca="false">AT89*$C$38</f>
        <v>0</v>
      </c>
      <c r="AU91" s="66" t="n">
        <f aca="false">AU89*$C$38</f>
        <v>0</v>
      </c>
      <c r="AV91" s="66" t="n">
        <f aca="false">AV89*$C$38</f>
        <v>0</v>
      </c>
      <c r="AW91" s="66" t="n">
        <f aca="false">AW89*$C$38</f>
        <v>0</v>
      </c>
      <c r="AX91" s="66" t="n">
        <f aca="false">AX89*$C$38</f>
        <v>0</v>
      </c>
      <c r="AY91" s="66" t="n">
        <f aca="false">AY89*$C$38</f>
        <v>0</v>
      </c>
      <c r="AZ91" s="66" t="n">
        <f aca="false">AZ89*$C$38</f>
        <v>0</v>
      </c>
      <c r="BA91" s="66" t="n">
        <f aca="false">BA89*$C$38</f>
        <v>0</v>
      </c>
      <c r="BB91" s="66" t="n">
        <f aca="false">BB89*$C$38</f>
        <v>0</v>
      </c>
    </row>
    <row r="93" customFormat="false" ht="15" hidden="false" customHeight="true" outlineLevel="0" collapsed="false">
      <c r="B93" s="20" t="s">
        <v>495</v>
      </c>
      <c r="C93" s="59" t="s">
        <v>11</v>
      </c>
      <c r="D93" s="63" t="n">
        <f aca="false">SUM(E93:BB93)</f>
        <v>0</v>
      </c>
      <c r="E93" s="66" t="n">
        <f aca="false">E78*$C$16+E84*$C$16+E90</f>
        <v>0</v>
      </c>
      <c r="F93" s="66" t="n">
        <f aca="false">F78*$C$16+F84*$C$16+F90</f>
        <v>0</v>
      </c>
      <c r="G93" s="66" t="n">
        <f aca="false">G78*$C$16+G84*$C$16+G90</f>
        <v>0</v>
      </c>
      <c r="H93" s="66" t="n">
        <f aca="false">H78*$C$16+H84*$C$16+H90</f>
        <v>0</v>
      </c>
      <c r="I93" s="66" t="n">
        <f aca="false">I78*$C$16+I84*$C$16+I90</f>
        <v>0</v>
      </c>
      <c r="J93" s="66" t="n">
        <f aca="false">J78*$C$16+J84*$C$16+J90</f>
        <v>0</v>
      </c>
      <c r="K93" s="66" t="n">
        <f aca="false">K78*$C$16+K84*$C$16+K90</f>
        <v>0</v>
      </c>
      <c r="L93" s="66" t="n">
        <f aca="false">L78*$C$16+L84*$C$16+L90</f>
        <v>0</v>
      </c>
      <c r="M93" s="66" t="n">
        <f aca="false">M78*$C$16+M84*$C$16+M90</f>
        <v>0</v>
      </c>
      <c r="N93" s="66" t="n">
        <f aca="false">N78*$C$16+N84*$C$16+N90</f>
        <v>0</v>
      </c>
      <c r="O93" s="66" t="n">
        <f aca="false">O78*$C$16+O84*$C$16+O90</f>
        <v>0</v>
      </c>
      <c r="P93" s="66" t="n">
        <f aca="false">P78*$C$16+P84*$C$16+P90</f>
        <v>0</v>
      </c>
      <c r="Q93" s="66" t="n">
        <f aca="false">Q78*$C$16+Q84*$C$16+Q90</f>
        <v>0</v>
      </c>
      <c r="R93" s="66" t="n">
        <f aca="false">R78*$C$16+R84*$C$16+R90</f>
        <v>0</v>
      </c>
      <c r="S93" s="66" t="n">
        <f aca="false">S78*$C$16+S84*$C$16+S90</f>
        <v>0</v>
      </c>
      <c r="T93" s="66" t="n">
        <f aca="false">T78*$C$16+T84*$C$16+T90</f>
        <v>0</v>
      </c>
      <c r="U93" s="66" t="n">
        <f aca="false">U78*$C$16+U84*$C$16+U90</f>
        <v>0</v>
      </c>
      <c r="V93" s="66" t="n">
        <f aca="false">V78*$C$16+V84*$C$16+V90</f>
        <v>0</v>
      </c>
      <c r="W93" s="66" t="n">
        <f aca="false">W78*$C$16+W84*$C$16+W90</f>
        <v>0</v>
      </c>
      <c r="X93" s="66" t="n">
        <f aca="false">X78*$C$16+X84*$C$16+X90</f>
        <v>0</v>
      </c>
      <c r="Y93" s="66" t="n">
        <f aca="false">Y78*$C$16+Y84*$C$16+Y90</f>
        <v>0</v>
      </c>
      <c r="Z93" s="66" t="n">
        <f aca="false">Z78*$C$16+Z84*$C$16+Z90</f>
        <v>0</v>
      </c>
      <c r="AA93" s="66" t="n">
        <f aca="false">AA78*$C$16+AA84*$C$16+AA90</f>
        <v>0</v>
      </c>
      <c r="AB93" s="66" t="n">
        <f aca="false">AB78*$C$16+AB84*$C$16+AB90</f>
        <v>0</v>
      </c>
      <c r="AC93" s="66" t="n">
        <f aca="false">AC78*$C$16+AC84*$C$16+AC90</f>
        <v>0</v>
      </c>
      <c r="AD93" s="66" t="n">
        <f aca="false">AD78*$C$16+AD84*$C$16+AD90</f>
        <v>0</v>
      </c>
      <c r="AE93" s="66" t="n">
        <f aca="false">AE78*$C$16+AE84*$C$16+AE90</f>
        <v>0</v>
      </c>
      <c r="AF93" s="66" t="n">
        <f aca="false">AF78*$C$16+AF84*$C$16+AF90</f>
        <v>0</v>
      </c>
      <c r="AG93" s="66" t="n">
        <f aca="false">AG78*$C$16+AG84*$C$16+AG90</f>
        <v>0</v>
      </c>
      <c r="AH93" s="66" t="n">
        <f aca="false">AH78*$C$16+AH84*$C$16+AH90</f>
        <v>0</v>
      </c>
      <c r="AI93" s="66" t="n">
        <f aca="false">AI78*$C$16+AI84*$C$16+AI90</f>
        <v>0</v>
      </c>
      <c r="AJ93" s="66" t="n">
        <f aca="false">AJ78*$C$16+AJ84*$C$16+AJ90</f>
        <v>0</v>
      </c>
      <c r="AK93" s="66" t="n">
        <f aca="false">AK78*$C$16+AK84*$C$16+AK90</f>
        <v>0</v>
      </c>
      <c r="AL93" s="66" t="n">
        <f aca="false">AL78*$C$16+AL84*$C$16+AL90</f>
        <v>0</v>
      </c>
      <c r="AM93" s="66" t="n">
        <f aca="false">AM78*$C$16+AM84*$C$16+AM90</f>
        <v>0</v>
      </c>
      <c r="AN93" s="66" t="n">
        <f aca="false">AN78*$C$16+AN84*$C$16+AN90</f>
        <v>0</v>
      </c>
      <c r="AO93" s="66" t="n">
        <f aca="false">AO78*$C$16+AO84*$C$16+AO90</f>
        <v>0</v>
      </c>
      <c r="AP93" s="66" t="n">
        <f aca="false">AP78*$C$16+AP84*$C$16+AP90</f>
        <v>0</v>
      </c>
      <c r="AQ93" s="66" t="n">
        <f aca="false">AQ78*$C$16+AQ84*$C$16+AQ90</f>
        <v>0</v>
      </c>
      <c r="AR93" s="66" t="n">
        <f aca="false">AR78*$C$16+AR84*$C$16+AR90</f>
        <v>0</v>
      </c>
      <c r="AS93" s="66" t="n">
        <f aca="false">AS78*$C$16+AS84*$C$16+AS90</f>
        <v>0</v>
      </c>
      <c r="AT93" s="66" t="n">
        <f aca="false">AT78*$C$16+AT84*$C$16+AT90</f>
        <v>0</v>
      </c>
      <c r="AU93" s="66" t="n">
        <f aca="false">AU78*$C$16+AU84*$C$16+AU90</f>
        <v>0</v>
      </c>
      <c r="AV93" s="66" t="n">
        <f aca="false">AV78*$C$16+AV84*$C$16+AV90</f>
        <v>0</v>
      </c>
      <c r="AW93" s="66" t="n">
        <f aca="false">AW78*$C$16+AW84*$C$16+AW90</f>
        <v>0</v>
      </c>
      <c r="AX93" s="66" t="n">
        <f aca="false">AX78*$C$16+AX84*$C$16+AX90</f>
        <v>0</v>
      </c>
      <c r="AY93" s="66" t="n">
        <f aca="false">AY78*$C$16+AY84*$C$16+AY90</f>
        <v>0</v>
      </c>
      <c r="AZ93" s="66" t="n">
        <f aca="false">AZ78*$C$16+AZ84*$C$16+AZ90</f>
        <v>0</v>
      </c>
      <c r="BA93" s="66" t="n">
        <f aca="false">BA78*$C$16+BA84*$C$16+BA90</f>
        <v>0</v>
      </c>
      <c r="BB93" s="66" t="n">
        <f aca="false">BB78*$C$16+BB84*$C$16+BB90</f>
        <v>0</v>
      </c>
    </row>
    <row r="94" customFormat="false" ht="15" hidden="false" customHeight="true" outlineLevel="0" collapsed="false">
      <c r="B94" s="20" t="s">
        <v>496</v>
      </c>
      <c r="C94" s="59" t="s">
        <v>11</v>
      </c>
      <c r="D94" s="63" t="n">
        <f aca="false">SUM(E94:BB94)</f>
        <v>0</v>
      </c>
      <c r="E94" s="66" t="n">
        <f aca="false">E78*$C$15+E84*$C$15+E88+E91</f>
        <v>0</v>
      </c>
      <c r="F94" s="66" t="n">
        <f aca="false">F78*$C$15+F84*$C$15+F88+F91</f>
        <v>0</v>
      </c>
      <c r="G94" s="66" t="n">
        <f aca="false">G78*$C$15+G84*$C$15+G88+G91</f>
        <v>0</v>
      </c>
      <c r="H94" s="66" t="n">
        <f aca="false">H78*$C$15+H84*$C$15+H88+H91</f>
        <v>0</v>
      </c>
      <c r="I94" s="66" t="n">
        <f aca="false">I78*$C$15+I84*$C$15+I88+I91</f>
        <v>0</v>
      </c>
      <c r="J94" s="66" t="n">
        <f aca="false">J78*$C$15+J84*$C$15+J88+J91</f>
        <v>0</v>
      </c>
      <c r="K94" s="66" t="n">
        <f aca="false">K78*$C$15+K84*$C$15+K88+K91</f>
        <v>0</v>
      </c>
      <c r="L94" s="66" t="n">
        <f aca="false">L78*$C$15+L84*$C$15+L88+L91</f>
        <v>0</v>
      </c>
      <c r="M94" s="66" t="n">
        <f aca="false">M78*$C$15+M84*$C$15+M88+M91</f>
        <v>0</v>
      </c>
      <c r="N94" s="66" t="n">
        <f aca="false">N78*$C$15+N84*$C$15+N88+N91</f>
        <v>0</v>
      </c>
      <c r="O94" s="66" t="n">
        <f aca="false">O78*$C$15+O84*$C$15+O88+O91</f>
        <v>0</v>
      </c>
      <c r="P94" s="66" t="n">
        <f aca="false">P78*$C$15+P84*$C$15+P88+P91</f>
        <v>0</v>
      </c>
      <c r="Q94" s="66" t="n">
        <f aca="false">Q78*$C$15+Q84*$C$15+Q88+Q91</f>
        <v>0</v>
      </c>
      <c r="R94" s="66" t="n">
        <f aca="false">R78*$C$15+R84*$C$15+R88+R91</f>
        <v>0</v>
      </c>
      <c r="S94" s="66" t="n">
        <f aca="false">S78*$C$15+S84*$C$15+S88+S91</f>
        <v>0</v>
      </c>
      <c r="T94" s="66" t="n">
        <f aca="false">T78*$C$15+T84*$C$15+T88+T91</f>
        <v>0</v>
      </c>
      <c r="U94" s="66" t="n">
        <f aca="false">U78*$C$15+U84*$C$15+U88+U91</f>
        <v>0</v>
      </c>
      <c r="V94" s="66" t="n">
        <f aca="false">V78*$C$15+V84*$C$15+V88+V91</f>
        <v>0</v>
      </c>
      <c r="W94" s="66" t="n">
        <f aca="false">W78*$C$15+W84*$C$15+W88+W91</f>
        <v>0</v>
      </c>
      <c r="X94" s="66" t="n">
        <f aca="false">X78*$C$15+X84*$C$15+X88+X91</f>
        <v>0</v>
      </c>
      <c r="Y94" s="66" t="n">
        <f aca="false">Y78*$C$15+Y84*$C$15+Y88+Y91</f>
        <v>0</v>
      </c>
      <c r="Z94" s="66" t="n">
        <f aca="false">Z78*$C$15+Z84*$C$15+Z88+Z91</f>
        <v>0</v>
      </c>
      <c r="AA94" s="66" t="n">
        <f aca="false">AA78*$C$15+AA84*$C$15+AA88+AA91</f>
        <v>0</v>
      </c>
      <c r="AB94" s="66" t="n">
        <f aca="false">AB78*$C$15+AB84*$C$15+AB88+AB91</f>
        <v>0</v>
      </c>
      <c r="AC94" s="66" t="n">
        <f aca="false">AC78*$C$15+AC84*$C$15+AC88+AC91</f>
        <v>0</v>
      </c>
      <c r="AD94" s="66" t="n">
        <f aca="false">AD78*$C$15+AD84*$C$15+AD88+AD91</f>
        <v>0</v>
      </c>
      <c r="AE94" s="66" t="n">
        <f aca="false">AE78*$C$15+AE84*$C$15+AE88+AE91</f>
        <v>0</v>
      </c>
      <c r="AF94" s="66" t="n">
        <f aca="false">AF78*$C$15+AF84*$C$15+AF88+AF91</f>
        <v>0</v>
      </c>
      <c r="AG94" s="66" t="n">
        <f aca="false">AG78*$C$15+AG84*$C$15+AG88+AG91</f>
        <v>0</v>
      </c>
      <c r="AH94" s="66" t="n">
        <f aca="false">AH78*$C$15+AH84*$C$15+AH88+AH91</f>
        <v>0</v>
      </c>
      <c r="AI94" s="66" t="n">
        <f aca="false">AI78*$C$15+AI84*$C$15+AI88+AI91</f>
        <v>0</v>
      </c>
      <c r="AJ94" s="66" t="n">
        <f aca="false">AJ78*$C$15+AJ84*$C$15+AJ88+AJ91</f>
        <v>0</v>
      </c>
      <c r="AK94" s="66" t="n">
        <f aca="false">AK78*$C$15+AK84*$C$15+AK88+AK91</f>
        <v>0</v>
      </c>
      <c r="AL94" s="66" t="n">
        <f aca="false">AL78*$C$15+AL84*$C$15+AL88+AL91</f>
        <v>0</v>
      </c>
      <c r="AM94" s="66" t="n">
        <f aca="false">AM78*$C$15+AM84*$C$15+AM88+AM91</f>
        <v>0</v>
      </c>
      <c r="AN94" s="66" t="n">
        <f aca="false">AN78*$C$15+AN84*$C$15+AN88+AN91</f>
        <v>0</v>
      </c>
      <c r="AO94" s="66" t="n">
        <f aca="false">AO78*$C$15+AO84*$C$15+AO88+AO91</f>
        <v>0</v>
      </c>
      <c r="AP94" s="66" t="n">
        <f aca="false">AP78*$C$15+AP84*$C$15+AP88+AP91</f>
        <v>0</v>
      </c>
      <c r="AQ94" s="66" t="n">
        <f aca="false">AQ78*$C$15+AQ84*$C$15+AQ88+AQ91</f>
        <v>0</v>
      </c>
      <c r="AR94" s="66" t="n">
        <f aca="false">AR78*$C$15+AR84*$C$15+AR88+AR91</f>
        <v>0</v>
      </c>
      <c r="AS94" s="66" t="n">
        <f aca="false">AS78*$C$15+AS84*$C$15+AS88+AS91</f>
        <v>0</v>
      </c>
      <c r="AT94" s="66" t="n">
        <f aca="false">AT78*$C$15+AT84*$C$15+AT88+AT91</f>
        <v>0</v>
      </c>
      <c r="AU94" s="66" t="n">
        <f aca="false">AU78*$C$15+AU84*$C$15+AU88+AU91</f>
        <v>0</v>
      </c>
      <c r="AV94" s="66" t="n">
        <f aca="false">AV78*$C$15+AV84*$C$15+AV88+AV91</f>
        <v>0</v>
      </c>
      <c r="AW94" s="66" t="n">
        <f aca="false">AW78*$C$15+AW84*$C$15+AW88+AW91</f>
        <v>0</v>
      </c>
      <c r="AX94" s="66" t="n">
        <f aca="false">AX78*$C$15+AX84*$C$15+AX88+AX91</f>
        <v>0</v>
      </c>
      <c r="AY94" s="66" t="n">
        <f aca="false">AY78*$C$15+AY84*$C$15+AY88+AY91</f>
        <v>0</v>
      </c>
      <c r="AZ94" s="66" t="n">
        <f aca="false">AZ78*$C$15+AZ84*$C$15+AZ88+AZ91</f>
        <v>0</v>
      </c>
      <c r="BA94" s="66" t="n">
        <f aca="false">BA78*$C$15+BA84*$C$15+BA88+BA91</f>
        <v>0</v>
      </c>
      <c r="BB94" s="66" t="n">
        <f aca="false">BB78*$C$15+BB84*$C$15+BB88+BB91</f>
        <v>0</v>
      </c>
    </row>
    <row r="95" customFormat="false" ht="15" hidden="false" customHeight="true" outlineLevel="0" collapsed="false">
      <c r="B95" s="20" t="s">
        <v>497</v>
      </c>
      <c r="C95" s="59" t="s">
        <v>11</v>
      </c>
      <c r="D95" s="63" t="n">
        <f aca="false">SUM(E95:BB95)</f>
        <v>0</v>
      </c>
      <c r="E95" s="63" t="n">
        <f aca="false">E93+E94</f>
        <v>0</v>
      </c>
      <c r="F95" s="63" t="n">
        <f aca="false">F93+F94</f>
        <v>0</v>
      </c>
      <c r="G95" s="63" t="n">
        <f aca="false">G93+G94</f>
        <v>0</v>
      </c>
      <c r="H95" s="63" t="n">
        <f aca="false">H93+H94</f>
        <v>0</v>
      </c>
      <c r="I95" s="63" t="n">
        <f aca="false">I93+I94</f>
        <v>0</v>
      </c>
      <c r="J95" s="63" t="n">
        <f aca="false">J93+J94</f>
        <v>0</v>
      </c>
      <c r="K95" s="63" t="n">
        <f aca="false">K93+K94</f>
        <v>0</v>
      </c>
      <c r="L95" s="63" t="n">
        <f aca="false">L93+L94</f>
        <v>0</v>
      </c>
      <c r="M95" s="63" t="n">
        <f aca="false">M93+M94</f>
        <v>0</v>
      </c>
      <c r="N95" s="63" t="n">
        <f aca="false">N93+N94</f>
        <v>0</v>
      </c>
      <c r="O95" s="63" t="n">
        <f aca="false">O93+O94</f>
        <v>0</v>
      </c>
      <c r="P95" s="63" t="n">
        <f aca="false">P93+P94</f>
        <v>0</v>
      </c>
      <c r="Q95" s="63" t="n">
        <f aca="false">Q93+Q94</f>
        <v>0</v>
      </c>
      <c r="R95" s="63" t="n">
        <f aca="false">R93+R94</f>
        <v>0</v>
      </c>
      <c r="S95" s="63" t="n">
        <f aca="false">S93+S94</f>
        <v>0</v>
      </c>
      <c r="T95" s="63" t="n">
        <f aca="false">T93+T94</f>
        <v>0</v>
      </c>
      <c r="U95" s="63" t="n">
        <f aca="false">U93+U94</f>
        <v>0</v>
      </c>
      <c r="V95" s="63" t="n">
        <f aca="false">V93+V94</f>
        <v>0</v>
      </c>
      <c r="W95" s="63" t="n">
        <f aca="false">W93+W94</f>
        <v>0</v>
      </c>
      <c r="X95" s="63" t="n">
        <f aca="false">X93+X94</f>
        <v>0</v>
      </c>
      <c r="Y95" s="63" t="n">
        <f aca="false">Y93+Y94</f>
        <v>0</v>
      </c>
      <c r="Z95" s="63" t="n">
        <f aca="false">Z93+Z94</f>
        <v>0</v>
      </c>
      <c r="AA95" s="63" t="n">
        <f aca="false">AA93+AA94</f>
        <v>0</v>
      </c>
      <c r="AB95" s="63" t="n">
        <f aca="false">AB93+AB94</f>
        <v>0</v>
      </c>
      <c r="AC95" s="63" t="n">
        <f aca="false">AC93+AC94</f>
        <v>0</v>
      </c>
      <c r="AD95" s="63" t="n">
        <f aca="false">AD93+AD94</f>
        <v>0</v>
      </c>
      <c r="AE95" s="63" t="n">
        <f aca="false">AE93+AE94</f>
        <v>0</v>
      </c>
      <c r="AF95" s="63" t="n">
        <f aca="false">AF93+AF94</f>
        <v>0</v>
      </c>
      <c r="AG95" s="63" t="n">
        <f aca="false">AG93+AG94</f>
        <v>0</v>
      </c>
      <c r="AH95" s="63" t="n">
        <f aca="false">AH93+AH94</f>
        <v>0</v>
      </c>
      <c r="AI95" s="63" t="n">
        <f aca="false">AI93+AI94</f>
        <v>0</v>
      </c>
      <c r="AJ95" s="63" t="n">
        <f aca="false">AJ93+AJ94</f>
        <v>0</v>
      </c>
      <c r="AK95" s="63" t="n">
        <f aca="false">AK93+AK94</f>
        <v>0</v>
      </c>
      <c r="AL95" s="63" t="n">
        <f aca="false">AL93+AL94</f>
        <v>0</v>
      </c>
      <c r="AM95" s="63" t="n">
        <f aca="false">AM93+AM94</f>
        <v>0</v>
      </c>
      <c r="AN95" s="63" t="n">
        <f aca="false">AN93+AN94</f>
        <v>0</v>
      </c>
      <c r="AO95" s="63" t="n">
        <f aca="false">AO93+AO94</f>
        <v>0</v>
      </c>
      <c r="AP95" s="63" t="n">
        <f aca="false">AP93+AP94</f>
        <v>0</v>
      </c>
      <c r="AQ95" s="63" t="n">
        <f aca="false">AQ93+AQ94</f>
        <v>0</v>
      </c>
      <c r="AR95" s="63" t="n">
        <f aca="false">AR93+AR94</f>
        <v>0</v>
      </c>
      <c r="AS95" s="63" t="n">
        <f aca="false">AS93+AS94</f>
        <v>0</v>
      </c>
      <c r="AT95" s="63" t="n">
        <f aca="false">AT93+AT94</f>
        <v>0</v>
      </c>
      <c r="AU95" s="63" t="n">
        <f aca="false">AU93+AU94</f>
        <v>0</v>
      </c>
      <c r="AV95" s="63" t="n">
        <f aca="false">AV93+AV94</f>
        <v>0</v>
      </c>
      <c r="AW95" s="63" t="n">
        <f aca="false">AW93+AW94</f>
        <v>0</v>
      </c>
      <c r="AX95" s="63" t="n">
        <f aca="false">AX93+AX94</f>
        <v>0</v>
      </c>
      <c r="AY95" s="63" t="n">
        <f aca="false">AY93+AY94</f>
        <v>0</v>
      </c>
      <c r="AZ95" s="63" t="n">
        <f aca="false">AZ93+AZ94</f>
        <v>0</v>
      </c>
      <c r="BA95" s="63" t="n">
        <f aca="false">BA93+BA94</f>
        <v>0</v>
      </c>
      <c r="BB95" s="63" t="n">
        <f aca="false">BB93+BB94</f>
        <v>0</v>
      </c>
    </row>
    <row r="97" customFormat="false" ht="15" hidden="false" customHeight="true" outlineLevel="0" collapsed="false">
      <c r="A97" s="58" t="s">
        <v>498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customFormat="false" ht="15" hidden="false" customHeight="true" outlineLevel="0" collapsed="false">
      <c r="C98" s="69" t="s">
        <v>262</v>
      </c>
      <c r="D98" s="69" t="s">
        <v>60</v>
      </c>
      <c r="E98" s="70" t="n">
        <f aca="false">E$46</f>
        <v>2026</v>
      </c>
      <c r="F98" s="70" t="n">
        <f aca="false">F$46</f>
        <v>2027</v>
      </c>
      <c r="G98" s="70" t="n">
        <f aca="false">G$46</f>
        <v>2028</v>
      </c>
      <c r="H98" s="70" t="n">
        <f aca="false">H$46</f>
        <v>2029</v>
      </c>
      <c r="I98" s="70" t="n">
        <f aca="false">I$46</f>
        <v>2030</v>
      </c>
      <c r="J98" s="70" t="n">
        <f aca="false">J$46</f>
        <v>2031</v>
      </c>
      <c r="K98" s="70" t="n">
        <f aca="false">K$46</f>
        <v>2032</v>
      </c>
      <c r="L98" s="70" t="n">
        <f aca="false">L$46</f>
        <v>2033</v>
      </c>
      <c r="M98" s="70" t="n">
        <f aca="false">M$46</f>
        <v>2034</v>
      </c>
      <c r="N98" s="70" t="n">
        <f aca="false">N$46</f>
        <v>2035</v>
      </c>
      <c r="O98" s="70" t="n">
        <f aca="false">O$46</f>
        <v>2036</v>
      </c>
      <c r="P98" s="70" t="n">
        <f aca="false">P$46</f>
        <v>2037</v>
      </c>
      <c r="Q98" s="70" t="n">
        <f aca="false">Q$46</f>
        <v>2038</v>
      </c>
      <c r="R98" s="70" t="n">
        <f aca="false">R$46</f>
        <v>2039</v>
      </c>
      <c r="S98" s="70" t="n">
        <f aca="false">S$46</f>
        <v>2040</v>
      </c>
      <c r="T98" s="70" t="n">
        <f aca="false">T$46</f>
        <v>2041</v>
      </c>
      <c r="U98" s="70" t="n">
        <f aca="false">U$46</f>
        <v>2042</v>
      </c>
      <c r="V98" s="70" t="n">
        <f aca="false">V$46</f>
        <v>2043</v>
      </c>
      <c r="W98" s="70" t="n">
        <f aca="false">W$46</f>
        <v>2044</v>
      </c>
      <c r="X98" s="70" t="n">
        <f aca="false">X$46</f>
        <v>2045</v>
      </c>
      <c r="Y98" s="70" t="n">
        <f aca="false">Y$46</f>
        <v>2046</v>
      </c>
      <c r="Z98" s="70" t="n">
        <f aca="false">Z$46</f>
        <v>2047</v>
      </c>
      <c r="AA98" s="70" t="n">
        <f aca="false">AA$46</f>
        <v>2048</v>
      </c>
      <c r="AB98" s="70" t="n">
        <f aca="false">AB$46</f>
        <v>2049</v>
      </c>
      <c r="AC98" s="70" t="n">
        <f aca="false">AC$46</f>
        <v>2050</v>
      </c>
      <c r="AD98" s="70" t="n">
        <f aca="false">AD$46</f>
        <v>2051</v>
      </c>
      <c r="AE98" s="70" t="n">
        <f aca="false">AE$46</f>
        <v>2052</v>
      </c>
      <c r="AF98" s="70" t="n">
        <f aca="false">AF$46</f>
        <v>2053</v>
      </c>
      <c r="AG98" s="70" t="n">
        <f aca="false">AG$46</f>
        <v>2054</v>
      </c>
      <c r="AH98" s="70" t="n">
        <f aca="false">AH$46</f>
        <v>2055</v>
      </c>
      <c r="AI98" s="70" t="n">
        <f aca="false">AI$46</f>
        <v>2056</v>
      </c>
      <c r="AJ98" s="70" t="n">
        <f aca="false">AJ$46</f>
        <v>2057</v>
      </c>
      <c r="AK98" s="70" t="n">
        <f aca="false">AK$46</f>
        <v>2058</v>
      </c>
      <c r="AL98" s="70" t="n">
        <f aca="false">AL$46</f>
        <v>2059</v>
      </c>
      <c r="AM98" s="70" t="n">
        <f aca="false">AM$46</f>
        <v>2060</v>
      </c>
      <c r="AN98" s="70" t="n">
        <f aca="false">AN$46</f>
        <v>2061</v>
      </c>
      <c r="AO98" s="70" t="n">
        <f aca="false">AO$46</f>
        <v>2062</v>
      </c>
      <c r="AP98" s="70" t="n">
        <f aca="false">AP$46</f>
        <v>2063</v>
      </c>
      <c r="AQ98" s="70" t="n">
        <f aca="false">AQ$46</f>
        <v>2064</v>
      </c>
      <c r="AR98" s="70" t="n">
        <f aca="false">AR$46</f>
        <v>2065</v>
      </c>
      <c r="AS98" s="70" t="n">
        <f aca="false">AS$46</f>
        <v>2066</v>
      </c>
      <c r="AT98" s="70" t="n">
        <f aca="false">AT$46</f>
        <v>2067</v>
      </c>
      <c r="AU98" s="70" t="n">
        <f aca="false">AU$46</f>
        <v>2068</v>
      </c>
      <c r="AV98" s="70" t="n">
        <f aca="false">AV$46</f>
        <v>2069</v>
      </c>
      <c r="AW98" s="70" t="n">
        <f aca="false">AW$46</f>
        <v>2070</v>
      </c>
      <c r="AX98" s="70" t="n">
        <f aca="false">AX$46</f>
        <v>2071</v>
      </c>
      <c r="AY98" s="70" t="n">
        <f aca="false">AY$46</f>
        <v>2072</v>
      </c>
      <c r="AZ98" s="70" t="n">
        <f aca="false">AZ$46</f>
        <v>2073</v>
      </c>
      <c r="BA98" s="70" t="n">
        <f aca="false">BA$46</f>
        <v>2074</v>
      </c>
      <c r="BB98" s="70" t="n">
        <f aca="false">BB$46</f>
        <v>2075</v>
      </c>
    </row>
    <row r="99" customFormat="false" ht="15" hidden="false" customHeight="true" outlineLevel="0" collapsed="false">
      <c r="B99" s="59" t="s">
        <v>499</v>
      </c>
      <c r="C99" s="59" t="s">
        <v>11</v>
      </c>
      <c r="D99" s="63" t="n">
        <f aca="false">SUM(E99:BB99)</f>
        <v>0</v>
      </c>
      <c r="E99" s="66" t="n">
        <f aca="false">-E56*$C$16+E93</f>
        <v>0</v>
      </c>
      <c r="F99" s="66" t="n">
        <f aca="false">-F56*$C$16+F93</f>
        <v>0</v>
      </c>
      <c r="G99" s="66" t="n">
        <f aca="false">-G56*$C$16+G93</f>
        <v>0</v>
      </c>
      <c r="H99" s="66" t="n">
        <f aca="false">-H56*$C$16+H93</f>
        <v>0</v>
      </c>
      <c r="I99" s="66" t="n">
        <f aca="false">-I56*$C$16+I93</f>
        <v>0</v>
      </c>
      <c r="J99" s="66" t="n">
        <f aca="false">-J56*$C$16+J93</f>
        <v>0</v>
      </c>
      <c r="K99" s="66" t="n">
        <f aca="false">-K56*$C$16+K93</f>
        <v>0</v>
      </c>
      <c r="L99" s="66" t="n">
        <f aca="false">-L56*$C$16+L93</f>
        <v>0</v>
      </c>
      <c r="M99" s="66" t="n">
        <f aca="false">-M56*$C$16+M93</f>
        <v>0</v>
      </c>
      <c r="N99" s="66" t="n">
        <f aca="false">-N56*$C$16+N93</f>
        <v>0</v>
      </c>
      <c r="O99" s="66" t="n">
        <f aca="false">-O56*$C$16+O93</f>
        <v>0</v>
      </c>
      <c r="P99" s="66" t="n">
        <f aca="false">-P56*$C$16+P93</f>
        <v>0</v>
      </c>
      <c r="Q99" s="66" t="n">
        <f aca="false">-Q56*$C$16+Q93</f>
        <v>0</v>
      </c>
      <c r="R99" s="66" t="n">
        <f aca="false">-R56*$C$16+R93</f>
        <v>0</v>
      </c>
      <c r="S99" s="66" t="n">
        <f aca="false">-S56*$C$16+S93</f>
        <v>0</v>
      </c>
      <c r="T99" s="66" t="n">
        <f aca="false">-T56*$C$16+T93</f>
        <v>0</v>
      </c>
      <c r="U99" s="66" t="n">
        <f aca="false">-U56*$C$16+U93</f>
        <v>0</v>
      </c>
      <c r="V99" s="66" t="n">
        <f aca="false">-V56*$C$16+V93</f>
        <v>0</v>
      </c>
      <c r="W99" s="66" t="n">
        <f aca="false">-W56*$C$16+W93</f>
        <v>0</v>
      </c>
      <c r="X99" s="66" t="n">
        <f aca="false">-X56*$C$16+X93</f>
        <v>0</v>
      </c>
      <c r="Y99" s="66" t="n">
        <f aca="false">-Y56*$C$16+Y93</f>
        <v>0</v>
      </c>
      <c r="Z99" s="66" t="n">
        <f aca="false">-Z56*$C$16+Z93</f>
        <v>0</v>
      </c>
      <c r="AA99" s="66" t="n">
        <f aca="false">-AA56*$C$16+AA93</f>
        <v>0</v>
      </c>
      <c r="AB99" s="66" t="n">
        <f aca="false">-AB56*$C$16+AB93</f>
        <v>0</v>
      </c>
      <c r="AC99" s="66" t="n">
        <f aca="false">-AC56*$C$16+AC93</f>
        <v>0</v>
      </c>
      <c r="AD99" s="66" t="n">
        <f aca="false">-AD56*$C$16+AD93</f>
        <v>0</v>
      </c>
      <c r="AE99" s="66" t="n">
        <f aca="false">-AE56*$C$16+AE93</f>
        <v>0</v>
      </c>
      <c r="AF99" s="66" t="n">
        <f aca="false">-AF56*$C$16+AF93</f>
        <v>0</v>
      </c>
      <c r="AG99" s="66" t="n">
        <f aca="false">-AG56*$C$16+AG93</f>
        <v>0</v>
      </c>
      <c r="AH99" s="66" t="n">
        <f aca="false">-AH56*$C$16+AH93</f>
        <v>0</v>
      </c>
      <c r="AI99" s="66" t="n">
        <f aca="false">-AI56*$C$16+AI93</f>
        <v>0</v>
      </c>
      <c r="AJ99" s="66" t="n">
        <f aca="false">-AJ56*$C$16+AJ93</f>
        <v>0</v>
      </c>
      <c r="AK99" s="66" t="n">
        <f aca="false">-AK56*$C$16+AK93</f>
        <v>0</v>
      </c>
      <c r="AL99" s="66" t="n">
        <f aca="false">-AL56*$C$16+AL93</f>
        <v>0</v>
      </c>
      <c r="AM99" s="66" t="n">
        <f aca="false">-AM56*$C$16+AM93</f>
        <v>0</v>
      </c>
      <c r="AN99" s="66" t="n">
        <f aca="false">-AN56*$C$16+AN93</f>
        <v>0</v>
      </c>
      <c r="AO99" s="66" t="n">
        <f aca="false">-AO56*$C$16+AO93</f>
        <v>0</v>
      </c>
      <c r="AP99" s="66" t="n">
        <f aca="false">-AP56*$C$16+AP93</f>
        <v>0</v>
      </c>
      <c r="AQ99" s="66" t="n">
        <f aca="false">-AQ56*$C$16+AQ93</f>
        <v>0</v>
      </c>
      <c r="AR99" s="66" t="n">
        <f aca="false">-AR56*$C$16+AR93</f>
        <v>0</v>
      </c>
      <c r="AS99" s="66" t="n">
        <f aca="false">-AS56*$C$16+AS93</f>
        <v>0</v>
      </c>
      <c r="AT99" s="66" t="n">
        <f aca="false">-AT56*$C$16+AT93</f>
        <v>0</v>
      </c>
      <c r="AU99" s="66" t="n">
        <f aca="false">-AU56*$C$16+AU93</f>
        <v>0</v>
      </c>
      <c r="AV99" s="66" t="n">
        <f aca="false">-AV56*$C$16+AV93</f>
        <v>0</v>
      </c>
      <c r="AW99" s="66" t="n">
        <f aca="false">-AW56*$C$16+AW93</f>
        <v>0</v>
      </c>
      <c r="AX99" s="66" t="n">
        <f aca="false">-AX56*$C$16+AX93</f>
        <v>0</v>
      </c>
      <c r="AY99" s="66" t="n">
        <f aca="false">-AY56*$C$16+AY93</f>
        <v>0</v>
      </c>
      <c r="AZ99" s="66" t="n">
        <f aca="false">-AZ56*$C$16+AZ93</f>
        <v>0</v>
      </c>
      <c r="BA99" s="66" t="n">
        <f aca="false">-BA56*$C$16+BA93</f>
        <v>0</v>
      </c>
      <c r="BB99" s="66" t="n">
        <f aca="false">-BB56*$C$16+BB93</f>
        <v>0</v>
      </c>
    </row>
    <row r="100" customFormat="false" ht="15" hidden="false" customHeight="true" outlineLevel="0" collapsed="false">
      <c r="B100" s="59" t="s">
        <v>500</v>
      </c>
      <c r="C100" s="59" t="s">
        <v>11</v>
      </c>
      <c r="E100" s="66" t="n">
        <f aca="false">E99</f>
        <v>0</v>
      </c>
      <c r="F100" s="66" t="n">
        <f aca="false">E100+F99</f>
        <v>0</v>
      </c>
      <c r="G100" s="66" t="n">
        <f aca="false">F100+G99</f>
        <v>0</v>
      </c>
      <c r="H100" s="66" t="n">
        <f aca="false">G100+H99</f>
        <v>0</v>
      </c>
      <c r="I100" s="66" t="n">
        <f aca="false">H100+I99</f>
        <v>0</v>
      </c>
      <c r="J100" s="66" t="n">
        <f aca="false">I100+J99</f>
        <v>0</v>
      </c>
      <c r="K100" s="66" t="n">
        <f aca="false">J100+K99</f>
        <v>0</v>
      </c>
      <c r="L100" s="66" t="n">
        <f aca="false">K100+L99</f>
        <v>0</v>
      </c>
      <c r="M100" s="66" t="n">
        <f aca="false">L100+M99</f>
        <v>0</v>
      </c>
      <c r="N100" s="66" t="n">
        <f aca="false">M100+N99</f>
        <v>0</v>
      </c>
      <c r="O100" s="66" t="n">
        <f aca="false">N100+O99</f>
        <v>0</v>
      </c>
      <c r="P100" s="66" t="n">
        <f aca="false">O100+P99</f>
        <v>0</v>
      </c>
      <c r="Q100" s="66" t="n">
        <f aca="false">P100+Q99</f>
        <v>0</v>
      </c>
      <c r="R100" s="66" t="n">
        <f aca="false">Q100+R99</f>
        <v>0</v>
      </c>
      <c r="S100" s="66" t="n">
        <f aca="false">R100+S99</f>
        <v>0</v>
      </c>
      <c r="T100" s="66" t="n">
        <f aca="false">S100+T99</f>
        <v>0</v>
      </c>
      <c r="U100" s="66" t="n">
        <f aca="false">T100+U99</f>
        <v>0</v>
      </c>
      <c r="V100" s="66" t="n">
        <f aca="false">U100+V99</f>
        <v>0</v>
      </c>
      <c r="W100" s="66" t="n">
        <f aca="false">V100+W99</f>
        <v>0</v>
      </c>
      <c r="X100" s="66" t="n">
        <f aca="false">W100+X99</f>
        <v>0</v>
      </c>
      <c r="Y100" s="66" t="n">
        <f aca="false">X100+Y99</f>
        <v>0</v>
      </c>
      <c r="Z100" s="66" t="n">
        <f aca="false">Y100+Z99</f>
        <v>0</v>
      </c>
      <c r="AA100" s="66" t="n">
        <f aca="false">Z100+AA99</f>
        <v>0</v>
      </c>
      <c r="AB100" s="66" t="n">
        <f aca="false">AA100+AB99</f>
        <v>0</v>
      </c>
      <c r="AC100" s="66" t="n">
        <f aca="false">AB100+AC99</f>
        <v>0</v>
      </c>
      <c r="AD100" s="66" t="n">
        <f aca="false">AC100+AD99</f>
        <v>0</v>
      </c>
      <c r="AE100" s="66" t="n">
        <f aca="false">AD100+AE99</f>
        <v>0</v>
      </c>
      <c r="AF100" s="66" t="n">
        <f aca="false">AE100+AF99</f>
        <v>0</v>
      </c>
      <c r="AG100" s="66" t="n">
        <f aca="false">AF100+AG99</f>
        <v>0</v>
      </c>
      <c r="AH100" s="66" t="n">
        <f aca="false">AG100+AH99</f>
        <v>0</v>
      </c>
      <c r="AI100" s="66" t="n">
        <f aca="false">AH100+AI99</f>
        <v>0</v>
      </c>
      <c r="AJ100" s="66" t="n">
        <f aca="false">AI100+AJ99</f>
        <v>0</v>
      </c>
      <c r="AK100" s="66" t="n">
        <f aca="false">AJ100+AK99</f>
        <v>0</v>
      </c>
      <c r="AL100" s="66" t="n">
        <f aca="false">AK100+AL99</f>
        <v>0</v>
      </c>
      <c r="AM100" s="66" t="n">
        <f aca="false">AL100+AM99</f>
        <v>0</v>
      </c>
      <c r="AN100" s="66" t="n">
        <f aca="false">AM100+AN99</f>
        <v>0</v>
      </c>
      <c r="AO100" s="66" t="n">
        <f aca="false">AN100+AO99</f>
        <v>0</v>
      </c>
      <c r="AP100" s="66" t="n">
        <f aca="false">AO100+AP99</f>
        <v>0</v>
      </c>
      <c r="AQ100" s="66" t="n">
        <f aca="false">AP100+AQ99</f>
        <v>0</v>
      </c>
      <c r="AR100" s="66" t="n">
        <f aca="false">AQ100+AR99</f>
        <v>0</v>
      </c>
      <c r="AS100" s="66" t="n">
        <f aca="false">AR100+AS99</f>
        <v>0</v>
      </c>
      <c r="AT100" s="66" t="n">
        <f aca="false">AS100+AT99</f>
        <v>0</v>
      </c>
      <c r="AU100" s="66" t="n">
        <f aca="false">AT100+AU99</f>
        <v>0</v>
      </c>
      <c r="AV100" s="66" t="n">
        <f aca="false">AU100+AV99</f>
        <v>0</v>
      </c>
      <c r="AW100" s="66" t="n">
        <f aca="false">AV100+AW99</f>
        <v>0</v>
      </c>
      <c r="AX100" s="66" t="n">
        <f aca="false">AW100+AX99</f>
        <v>0</v>
      </c>
      <c r="AY100" s="66" t="n">
        <f aca="false">AX100+AY99</f>
        <v>0</v>
      </c>
      <c r="AZ100" s="66" t="n">
        <f aca="false">AY100+AZ99</f>
        <v>0</v>
      </c>
      <c r="BA100" s="66" t="n">
        <f aca="false">AZ100+BA99</f>
        <v>0</v>
      </c>
      <c r="BB100" s="66" t="n">
        <f aca="false">BA100+BB99</f>
        <v>0</v>
      </c>
    </row>
    <row r="101" customFormat="false" ht="15" hidden="false" customHeight="true" outlineLevel="0" collapsed="false">
      <c r="B101" s="20" t="s">
        <v>501</v>
      </c>
      <c r="C101" s="59" t="s">
        <v>268</v>
      </c>
      <c r="E101" s="67" t="str">
        <f aca="false">IFERROR(IRR(E99:BB99),"-")</f>
        <v>-</v>
      </c>
    </row>
    <row r="103" customFormat="false" ht="15" hidden="false" customHeight="true" outlineLevel="0" collapsed="false">
      <c r="B103" s="59" t="s">
        <v>502</v>
      </c>
      <c r="C103" s="59" t="s">
        <v>11</v>
      </c>
      <c r="D103" s="63" t="n">
        <f aca="false">SUM(E103:BB103)</f>
        <v>0</v>
      </c>
      <c r="E103" s="66" t="n">
        <f aca="false">-E56*$C$15+E94</f>
        <v>0</v>
      </c>
      <c r="F103" s="66" t="n">
        <f aca="false">-F56*$C$15+F94</f>
        <v>0</v>
      </c>
      <c r="G103" s="66" t="n">
        <f aca="false">-G56*$C$15+G94</f>
        <v>0</v>
      </c>
      <c r="H103" s="66" t="n">
        <f aca="false">-H56*$C$15+H94</f>
        <v>0</v>
      </c>
      <c r="I103" s="66" t="n">
        <f aca="false">-I56*$C$15+I94</f>
        <v>0</v>
      </c>
      <c r="J103" s="66" t="n">
        <f aca="false">-J56*$C$15+J94</f>
        <v>0</v>
      </c>
      <c r="K103" s="66" t="n">
        <f aca="false">-K56*$C$15+K94</f>
        <v>0</v>
      </c>
      <c r="L103" s="66" t="n">
        <f aca="false">-L56*$C$15+L94</f>
        <v>0</v>
      </c>
      <c r="M103" s="66" t="n">
        <f aca="false">-M56*$C$15+M94</f>
        <v>0</v>
      </c>
      <c r="N103" s="66" t="n">
        <f aca="false">-N56*$C$15+N94</f>
        <v>0</v>
      </c>
      <c r="O103" s="66" t="n">
        <f aca="false">-O56*$C$15+O94</f>
        <v>0</v>
      </c>
      <c r="P103" s="66" t="n">
        <f aca="false">-P56*$C$15+P94</f>
        <v>0</v>
      </c>
      <c r="Q103" s="66" t="n">
        <f aca="false">-Q56*$C$15+Q94</f>
        <v>0</v>
      </c>
      <c r="R103" s="66" t="n">
        <f aca="false">-R56*$C$15+R94</f>
        <v>0</v>
      </c>
      <c r="S103" s="66" t="n">
        <f aca="false">-S56*$C$15+S94</f>
        <v>0</v>
      </c>
      <c r="T103" s="66" t="n">
        <f aca="false">-T56*$C$15+T94</f>
        <v>0</v>
      </c>
      <c r="U103" s="66" t="n">
        <f aca="false">-U56*$C$15+U94</f>
        <v>0</v>
      </c>
      <c r="V103" s="66" t="n">
        <f aca="false">-V56*$C$15+V94</f>
        <v>0</v>
      </c>
      <c r="W103" s="66" t="n">
        <f aca="false">-W56*$C$15+W94</f>
        <v>0</v>
      </c>
      <c r="X103" s="66" t="n">
        <f aca="false">-X56*$C$15+X94</f>
        <v>0</v>
      </c>
      <c r="Y103" s="66" t="n">
        <f aca="false">-Y56*$C$15+Y94</f>
        <v>0</v>
      </c>
      <c r="Z103" s="66" t="n">
        <f aca="false">-Z56*$C$15+Z94</f>
        <v>0</v>
      </c>
      <c r="AA103" s="66" t="n">
        <f aca="false">-AA56*$C$15+AA94</f>
        <v>0</v>
      </c>
      <c r="AB103" s="66" t="n">
        <f aca="false">-AB56*$C$15+AB94</f>
        <v>0</v>
      </c>
      <c r="AC103" s="66" t="n">
        <f aca="false">-AC56*$C$15+AC94</f>
        <v>0</v>
      </c>
      <c r="AD103" s="66" t="n">
        <f aca="false">-AD56*$C$15+AD94</f>
        <v>0</v>
      </c>
      <c r="AE103" s="66" t="n">
        <f aca="false">-AE56*$C$15+AE94</f>
        <v>0</v>
      </c>
      <c r="AF103" s="66" t="n">
        <f aca="false">-AF56*$C$15+AF94</f>
        <v>0</v>
      </c>
      <c r="AG103" s="66" t="n">
        <f aca="false">-AG56*$C$15+AG94</f>
        <v>0</v>
      </c>
      <c r="AH103" s="66" t="n">
        <f aca="false">-AH56*$C$15+AH94</f>
        <v>0</v>
      </c>
      <c r="AI103" s="66" t="n">
        <f aca="false">-AI56*$C$15+AI94</f>
        <v>0</v>
      </c>
      <c r="AJ103" s="66" t="n">
        <f aca="false">-AJ56*$C$15+AJ94</f>
        <v>0</v>
      </c>
      <c r="AK103" s="66" t="n">
        <f aca="false">-AK56*$C$15+AK94</f>
        <v>0</v>
      </c>
      <c r="AL103" s="66" t="n">
        <f aca="false">-AL56*$C$15+AL94</f>
        <v>0</v>
      </c>
      <c r="AM103" s="66" t="n">
        <f aca="false">-AM56*$C$15+AM94</f>
        <v>0</v>
      </c>
      <c r="AN103" s="66" t="n">
        <f aca="false">-AN56*$C$15+AN94</f>
        <v>0</v>
      </c>
      <c r="AO103" s="66" t="n">
        <f aca="false">-AO56*$C$15+AO94</f>
        <v>0</v>
      </c>
      <c r="AP103" s="66" t="n">
        <f aca="false">-AP56*$C$15+AP94</f>
        <v>0</v>
      </c>
      <c r="AQ103" s="66" t="n">
        <f aca="false">-AQ56*$C$15+AQ94</f>
        <v>0</v>
      </c>
      <c r="AR103" s="66" t="n">
        <f aca="false">-AR56*$C$15+AR94</f>
        <v>0</v>
      </c>
      <c r="AS103" s="66" t="n">
        <f aca="false">-AS56*$C$15+AS94</f>
        <v>0</v>
      </c>
      <c r="AT103" s="66" t="n">
        <f aca="false">-AT56*$C$15+AT94</f>
        <v>0</v>
      </c>
      <c r="AU103" s="66" t="n">
        <f aca="false">-AU56*$C$15+AU94</f>
        <v>0</v>
      </c>
      <c r="AV103" s="66" t="n">
        <f aca="false">-AV56*$C$15+AV94</f>
        <v>0</v>
      </c>
      <c r="AW103" s="66" t="n">
        <f aca="false">-AW56*$C$15+AW94</f>
        <v>0</v>
      </c>
      <c r="AX103" s="66" t="n">
        <f aca="false">-AX56*$C$15+AX94</f>
        <v>0</v>
      </c>
      <c r="AY103" s="66" t="n">
        <f aca="false">-AY56*$C$15+AY94</f>
        <v>0</v>
      </c>
      <c r="AZ103" s="66" t="n">
        <f aca="false">-AZ56*$C$15+AZ94</f>
        <v>0</v>
      </c>
      <c r="BA103" s="66" t="n">
        <f aca="false">-BA56*$C$15+BA94</f>
        <v>0</v>
      </c>
      <c r="BB103" s="66" t="n">
        <f aca="false">-BB56*$C$15+BB94</f>
        <v>0</v>
      </c>
    </row>
    <row r="104" customFormat="false" ht="15" hidden="false" customHeight="true" outlineLevel="0" collapsed="false">
      <c r="B104" s="20" t="s">
        <v>503</v>
      </c>
      <c r="C104" s="59" t="s">
        <v>268</v>
      </c>
      <c r="E104" s="67" t="str">
        <f aca="false">IFERROR(IRR(E103:BB103),"-")</f>
        <v>-</v>
      </c>
    </row>
    <row r="106" customFormat="false" ht="15" hidden="false" customHeight="true" outlineLevel="0" collapsed="false">
      <c r="A106" s="58" t="s">
        <v>504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customFormat="false" ht="15" hidden="false" customHeight="true" outlineLevel="0" collapsed="false">
      <c r="B107" s="59" t="s">
        <v>505</v>
      </c>
      <c r="C107" s="71" t="str">
        <f aca="false">IFERROR(IRR(E52:BB52),"-")</f>
        <v>-</v>
      </c>
    </row>
    <row r="108" customFormat="false" ht="15" hidden="false" customHeight="true" outlineLevel="0" collapsed="false">
      <c r="B108" s="59" t="s">
        <v>501</v>
      </c>
      <c r="C108" s="71" t="str">
        <f aca="false">E101</f>
        <v>-</v>
      </c>
    </row>
    <row r="109" customFormat="false" ht="15" hidden="false" customHeight="true" outlineLevel="0" collapsed="false">
      <c r="B109" s="59" t="s">
        <v>503</v>
      </c>
      <c r="C109" s="71" t="str">
        <f aca="false">E104</f>
        <v>-</v>
      </c>
    </row>
    <row r="110" customFormat="false" ht="15" hidden="false" customHeight="true" outlineLevel="0" collapsed="false">
      <c r="B110" s="59" t="s">
        <v>399</v>
      </c>
      <c r="C110" s="72" t="str">
        <f aca="false">IFERROR(D93/(D56*$C$16),"-")</f>
        <v>-</v>
      </c>
    </row>
    <row r="111" customFormat="false" ht="15" hidden="false" customHeight="true" outlineLevel="0" collapsed="false">
      <c r="B111" s="59" t="s">
        <v>400</v>
      </c>
      <c r="C111" s="72" t="str">
        <f aca="false">IFERROR(D94/(D56*$C$15),"-")</f>
        <v>-</v>
      </c>
    </row>
    <row r="113" customFormat="false" ht="15" hidden="false" customHeight="true" outlineLevel="0" collapsed="false">
      <c r="B113" s="59" t="s">
        <v>421</v>
      </c>
      <c r="C113" s="63" t="n">
        <f aca="false">$C$14</f>
        <v>0</v>
      </c>
    </row>
    <row r="114" customFormat="false" ht="15" hidden="false" customHeight="true" outlineLevel="0" collapsed="false">
      <c r="B114" s="59" t="s">
        <v>506</v>
      </c>
      <c r="C114" s="63" t="n">
        <f aca="false">D57</f>
        <v>0</v>
      </c>
    </row>
    <row r="115" customFormat="false" ht="15" hidden="false" customHeight="true" outlineLevel="0" collapsed="false">
      <c r="B115" s="59" t="s">
        <v>507</v>
      </c>
      <c r="C115" s="63" t="n">
        <f aca="false">D69</f>
        <v>0</v>
      </c>
    </row>
    <row r="116" customFormat="false" ht="15" hidden="false" customHeight="true" outlineLevel="0" collapsed="false">
      <c r="B116" s="59" t="s">
        <v>508</v>
      </c>
      <c r="C116" s="63" t="n">
        <f aca="false">D51</f>
        <v>0</v>
      </c>
    </row>
    <row r="118" customFormat="false" ht="15" hidden="false" customHeight="true" outlineLevel="0" collapsed="false">
      <c r="A118" s="58" t="s">
        <v>509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customFormat="false" ht="15" hidden="false" customHeight="true" outlineLevel="0" collapsed="false">
      <c r="B119" s="59" t="s">
        <v>510</v>
      </c>
      <c r="C119" s="59" t="str">
        <f aca="false">IF(ABS(D50-(D47+D48+D49))&lt;1,"✓","✗")</f>
        <v>✓</v>
      </c>
    </row>
    <row r="120" customFormat="false" ht="15" hidden="false" customHeight="true" outlineLevel="0" collapsed="false">
      <c r="B120" s="59" t="s">
        <v>511</v>
      </c>
      <c r="C120" s="59" t="str">
        <f aca="false">IF(ABS(D56-($C$14+D70))&lt;MAX(1,$C$14*0.05),"✓","✗")</f>
        <v>✓</v>
      </c>
    </row>
    <row r="121" customFormat="false" ht="15" hidden="false" customHeight="true" outlineLevel="0" collapsed="false">
      <c r="B121" s="59" t="s">
        <v>512</v>
      </c>
      <c r="C121" s="59" t="str">
        <f aca="false">IF(D95&lt;=D75+1,"✓","✗")</f>
        <v>✓</v>
      </c>
    </row>
    <row r="122" customFormat="false" ht="15" hidden="false" customHeight="true" outlineLevel="0" collapsed="false">
      <c r="B122" s="59" t="s">
        <v>513</v>
      </c>
      <c r="C122" s="59" t="str">
        <f aca="false">IF(MIN(E60:BB60)&gt;=0,"✓","✗")</f>
        <v>✓</v>
      </c>
    </row>
    <row r="123" customFormat="false" ht="15" hidden="false" customHeight="true" outlineLevel="0" collapsed="false">
      <c r="B123" s="59" t="s">
        <v>514</v>
      </c>
      <c r="C123" s="59" t="str">
        <f aca="false">IF(ABS(D95-(D93+D94))&lt;1,"✓","✗")</f>
        <v>✓</v>
      </c>
    </row>
    <row r="124" customFormat="false" ht="15" hidden="false" customHeight="true" outlineLevel="0" collapsed="false">
      <c r="B124" s="59" t="s">
        <v>515</v>
      </c>
      <c r="C124" s="59" t="str">
        <f aca="false">IF(IFERROR(VLOOKUP($C$9+$C$24,E46:BB60,MATCH($C$9+$C$24,E46:BB46,0),FALSE()),0)&lt;=1,"✓","✗")</f>
        <v>✓</v>
      </c>
    </row>
    <row r="125" customFormat="false" ht="15" hidden="false" customHeight="true" outlineLevel="0" collapsed="false">
      <c r="A125" s="58" t="s">
        <v>516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7" customFormat="false" ht="15" hidden="false" customHeight="true" outlineLevel="0" collapsed="false">
      <c r="B127" s="59" t="s">
        <v>517</v>
      </c>
      <c r="C127" s="59" t="s">
        <v>518</v>
      </c>
      <c r="D127" s="66" t="n">
        <f aca="false">IFERROR(E52+NPV(0.1,F52:BB52),"-")</f>
        <v>0</v>
      </c>
    </row>
    <row r="128" customFormat="false" ht="15" hidden="false" customHeight="true" outlineLevel="0" collapsed="false">
      <c r="B128" s="59" t="s">
        <v>519</v>
      </c>
      <c r="C128" s="59" t="s">
        <v>518</v>
      </c>
      <c r="D128" s="66" t="n">
        <f aca="false">IFERROR(E99+NPV(0.1,F99:BB99),"-")</f>
        <v>0</v>
      </c>
    </row>
    <row r="129" customFormat="false" ht="15" hidden="false" customHeight="true" outlineLevel="0" collapsed="false">
      <c r="B129" s="59" t="s">
        <v>520</v>
      </c>
      <c r="C129" s="59" t="s">
        <v>518</v>
      </c>
      <c r="D129" s="66" t="n">
        <f aca="false">IFERROR(E103+NPV(0.1,F103:BB103),"-")</f>
        <v>0</v>
      </c>
    </row>
    <row r="131" customFormat="false" ht="15" hidden="false" customHeight="true" outlineLevel="0" collapsed="false">
      <c r="B131" s="59" t="s">
        <v>517</v>
      </c>
      <c r="C131" s="59" t="s">
        <v>521</v>
      </c>
      <c r="D131" s="66" t="n">
        <f aca="false">IFERROR(E52+NPV(0.12,F52:BB52),"-")</f>
        <v>0</v>
      </c>
    </row>
    <row r="132" customFormat="false" ht="15" hidden="false" customHeight="true" outlineLevel="0" collapsed="false">
      <c r="B132" s="59" t="s">
        <v>519</v>
      </c>
      <c r="C132" s="59" t="s">
        <v>521</v>
      </c>
      <c r="D132" s="66" t="n">
        <f aca="false">IFERROR(E99+NPV(0.12,F99:BB99),"-")</f>
        <v>0</v>
      </c>
    </row>
    <row r="133" customFormat="false" ht="15" hidden="false" customHeight="true" outlineLevel="0" collapsed="false">
      <c r="B133" s="59" t="s">
        <v>520</v>
      </c>
      <c r="C133" s="59" t="s">
        <v>521</v>
      </c>
      <c r="D133" s="66" t="n">
        <f aca="false">IFERROR(E103+NPV(0.12,F103:BB103),"-")</f>
        <v>0</v>
      </c>
    </row>
    <row r="135" customFormat="false" ht="15" hidden="false" customHeight="true" outlineLevel="0" collapsed="false">
      <c r="B135" s="59" t="s">
        <v>517</v>
      </c>
      <c r="C135" s="59" t="s">
        <v>522</v>
      </c>
      <c r="D135" s="66" t="n">
        <f aca="false">IFERROR(E52+NPV(0.14,F52:BB52),"-")</f>
        <v>0</v>
      </c>
    </row>
    <row r="136" customFormat="false" ht="15" hidden="false" customHeight="true" outlineLevel="0" collapsed="false">
      <c r="B136" s="59" t="s">
        <v>519</v>
      </c>
      <c r="C136" s="59" t="s">
        <v>522</v>
      </c>
      <c r="D136" s="66" t="n">
        <f aca="false">IFERROR(E99+NPV(0.14,F99:BB99),"-")</f>
        <v>0</v>
      </c>
    </row>
    <row r="137" customFormat="false" ht="15" hidden="false" customHeight="true" outlineLevel="0" collapsed="false">
      <c r="B137" s="59" t="s">
        <v>520</v>
      </c>
      <c r="C137" s="59" t="s">
        <v>522</v>
      </c>
      <c r="D137" s="66" t="n">
        <f aca="false">IFERROR(E103+NPV(0.14,F103:BB103),"-")</f>
        <v>0</v>
      </c>
    </row>
    <row r="140" customFormat="false" ht="15" hidden="false" customHeight="true" outlineLevel="0" collapsed="false">
      <c r="A140" s="58" t="s">
        <v>238</v>
      </c>
      <c r="B140" s="58"/>
      <c r="C140" s="58"/>
      <c r="D140" s="58"/>
    </row>
    <row r="141" customFormat="false" ht="15" hidden="true" customHeight="true" outlineLevel="1" collapsed="false">
      <c r="B141" s="59" t="s">
        <v>523</v>
      </c>
      <c r="C141" s="61" t="n">
        <f aca="false">C17</f>
        <v>0</v>
      </c>
    </row>
    <row r="142" customFormat="false" ht="15" hidden="true" customHeight="true" outlineLevel="1" collapsed="false">
      <c r="B142" s="59" t="s">
        <v>524</v>
      </c>
      <c r="C142" s="61" t="n">
        <f aca="false">C12</f>
        <v>0</v>
      </c>
    </row>
    <row r="143" customFormat="false" ht="15" hidden="true" customHeight="true" outlineLevel="1" collapsed="false">
      <c r="B143" s="59" t="s">
        <v>427</v>
      </c>
      <c r="C143" s="61" t="n">
        <f aca="false">C19</f>
        <v>0</v>
      </c>
    </row>
    <row r="144" customFormat="false" ht="15" hidden="true" customHeight="true" outlineLevel="1" collapsed="false">
      <c r="B144" s="59" t="s">
        <v>421</v>
      </c>
      <c r="C144" s="61" t="n">
        <f aca="false">C14</f>
        <v>0</v>
      </c>
    </row>
  </sheetData>
  <sheetProtection sheet="true" password="ce4b"/>
  <dataValidations count="1">
    <dataValidation allowBlank="false" errorStyle="stop" operator="between" showDropDown="false" showErrorMessage="false" showInputMessage="false" sqref="C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1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6" topLeftCell="E47" activePane="bottomRight" state="frozen"/>
      <selection pane="topLeft" activeCell="A1" activeCellId="0" sqref="A1"/>
      <selection pane="topRight" activeCell="E1" activeCellId="0" sqref="E1"/>
      <selection pane="bottomLeft" activeCell="A47" activeCellId="0" sqref="A47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529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402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403</v>
      </c>
      <c r="C4" s="24" t="s">
        <v>404</v>
      </c>
      <c r="D4" s="30" t="s">
        <v>405</v>
      </c>
    </row>
    <row r="5" customFormat="false" ht="15" hidden="false" customHeight="true" outlineLevel="0" collapsed="false">
      <c r="B5" s="59" t="s">
        <v>406</v>
      </c>
      <c r="C5" s="59" t="s">
        <v>50</v>
      </c>
      <c r="D5" s="30" t="s">
        <v>407</v>
      </c>
    </row>
    <row r="6" customFormat="false" ht="15" hidden="false" customHeight="true" outlineLevel="0" collapsed="false">
      <c r="B6" s="59" t="s">
        <v>408</v>
      </c>
      <c r="C6" s="24" t="s">
        <v>87</v>
      </c>
      <c r="D6" s="30" t="s">
        <v>409</v>
      </c>
    </row>
    <row r="7" customFormat="false" ht="15" hidden="false" customHeight="true" outlineLevel="0" collapsed="false">
      <c r="B7" s="59" t="s">
        <v>410</v>
      </c>
      <c r="C7" s="24" t="s">
        <v>411</v>
      </c>
      <c r="D7" s="30" t="s">
        <v>412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  <c r="D8" s="30" t="s">
        <v>413</v>
      </c>
    </row>
    <row r="9" customFormat="false" ht="15" hidden="false" customHeight="true" outlineLevel="0" collapsed="false">
      <c r="B9" s="59" t="s">
        <v>414</v>
      </c>
      <c r="C9" s="65" t="n">
        <f aca="false">Inputs!C7+Inputs!C50-1</f>
        <v>2032</v>
      </c>
      <c r="D9" s="30" t="s">
        <v>415</v>
      </c>
    </row>
    <row r="11" customFormat="false" ht="15" hidden="false" customHeight="true" outlineLevel="0" collapsed="false">
      <c r="A11" s="58" t="s">
        <v>416</v>
      </c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  <c r="AQ11" s="58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</row>
    <row r="12" customFormat="false" ht="15" hidden="false" customHeight="true" outlineLevel="0" collapsed="false">
      <c r="B12" s="59" t="s">
        <v>417</v>
      </c>
      <c r="C12" s="61" t="n">
        <f aca="false">Inputs!E72</f>
        <v>0</v>
      </c>
      <c r="D12" s="30" t="s">
        <v>418</v>
      </c>
    </row>
    <row r="13" customFormat="false" ht="15" hidden="false" customHeight="true" outlineLevel="0" collapsed="false">
      <c r="B13" s="59" t="s">
        <v>419</v>
      </c>
      <c r="C13" s="66" t="n">
        <f aca="false">C14-C12</f>
        <v>0</v>
      </c>
      <c r="D13" s="30" t="s">
        <v>420</v>
      </c>
    </row>
    <row r="14" customFormat="false" ht="15" hidden="false" customHeight="true" outlineLevel="0" collapsed="false">
      <c r="B14" s="59" t="s">
        <v>421</v>
      </c>
      <c r="C14" s="63" t="n">
        <f aca="false">C18-C19</f>
        <v>0</v>
      </c>
      <c r="D14" s="30" t="s">
        <v>422</v>
      </c>
    </row>
    <row r="15" customFormat="false" ht="15" hidden="false" customHeight="true" outlineLevel="0" collapsed="false">
      <c r="B15" s="59" t="s">
        <v>423</v>
      </c>
      <c r="C15" s="67" t="n">
        <f aca="false">IF(C14=0,0,C12/C14)</f>
        <v>0</v>
      </c>
    </row>
    <row r="16" customFormat="false" ht="15" hidden="false" customHeight="true" outlineLevel="0" collapsed="false">
      <c r="B16" s="59" t="s">
        <v>398</v>
      </c>
      <c r="C16" s="67" t="n">
        <f aca="false">IF(C14=0,0,C13/C14)</f>
        <v>0</v>
      </c>
    </row>
    <row r="17" customFormat="false" ht="15" hidden="false" customHeight="true" outlineLevel="0" collapsed="false">
      <c r="B17" s="59" t="s">
        <v>424</v>
      </c>
      <c r="C17" s="61" t="n">
        <f aca="false">CAPEX!D41</f>
        <v>0</v>
      </c>
    </row>
    <row r="18" customFormat="false" ht="15" hidden="false" customHeight="true" outlineLevel="0" collapsed="false">
      <c r="B18" s="59" t="s">
        <v>425</v>
      </c>
      <c r="C18" s="63" t="n">
        <f aca="false">C17+C12</f>
        <v>0</v>
      </c>
      <c r="D18" s="30" t="s">
        <v>426</v>
      </c>
    </row>
    <row r="19" customFormat="false" ht="15" hidden="false" customHeight="true" outlineLevel="0" collapsed="false">
      <c r="B19" s="59" t="s">
        <v>427</v>
      </c>
      <c r="C19" s="61" t="n">
        <f aca="false">IF($C$22="Y",C18*Inputs!$C$85,0)</f>
        <v>0</v>
      </c>
      <c r="D19" s="30" t="s">
        <v>428</v>
      </c>
    </row>
    <row r="21" customFormat="false" ht="15" hidden="false" customHeight="true" outlineLevel="0" collapsed="false">
      <c r="A21" s="58" t="s">
        <v>429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  <c r="AQ21" s="58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</row>
    <row r="22" customFormat="false" ht="15" hidden="false" customHeight="true" outlineLevel="0" collapsed="false">
      <c r="B22" s="59" t="s">
        <v>430</v>
      </c>
      <c r="C22" s="24" t="s">
        <v>122</v>
      </c>
      <c r="D22" s="30" t="s">
        <v>431</v>
      </c>
    </row>
    <row r="23" customFormat="false" ht="15" hidden="false" customHeight="true" outlineLevel="0" collapsed="false">
      <c r="B23" s="59" t="s">
        <v>432</v>
      </c>
      <c r="C23" s="62" t="n">
        <f aca="false">Inputs!H$126</f>
        <v>0.065</v>
      </c>
      <c r="D23" s="30" t="s">
        <v>433</v>
      </c>
    </row>
    <row r="24" customFormat="false" ht="15" hidden="false" customHeight="true" outlineLevel="0" collapsed="false">
      <c r="B24" s="59" t="s">
        <v>434</v>
      </c>
      <c r="C24" s="65" t="n">
        <f aca="false">Inputs!H$127</f>
        <v>7</v>
      </c>
      <c r="D24" s="30" t="s">
        <v>435</v>
      </c>
    </row>
    <row r="25" customFormat="false" ht="15" hidden="false" customHeight="true" outlineLevel="0" collapsed="false">
      <c r="B25" s="59" t="s">
        <v>114</v>
      </c>
      <c r="C25" s="62" t="n">
        <f aca="false">Inputs!H$129</f>
        <v>0.005</v>
      </c>
      <c r="D25" s="30" t="s">
        <v>436</v>
      </c>
    </row>
    <row r="26" customFormat="false" ht="15" hidden="false" customHeight="true" outlineLevel="0" collapsed="false">
      <c r="B26" s="59" t="s">
        <v>21</v>
      </c>
      <c r="C26" s="65" t="n">
        <f aca="false">Inputs!H$128</f>
        <v>3</v>
      </c>
      <c r="D26" s="30" t="s">
        <v>437</v>
      </c>
    </row>
    <row r="28" customFormat="false" ht="15" hidden="false" customHeight="true" outlineLevel="0" collapsed="false">
      <c r="A28" s="58" t="s">
        <v>438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8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</row>
    <row r="29" customFormat="false" ht="15" hidden="false" customHeight="true" outlineLevel="0" collapsed="false">
      <c r="B29" s="59" t="s">
        <v>439</v>
      </c>
      <c r="C29" s="62" t="n">
        <f aca="false">Inputs!H$130</f>
        <v>0.02</v>
      </c>
      <c r="D29" s="30" t="s">
        <v>440</v>
      </c>
    </row>
    <row r="30" customFormat="false" ht="15" hidden="false" customHeight="true" outlineLevel="0" collapsed="false">
      <c r="B30" s="59" t="s">
        <v>441</v>
      </c>
      <c r="C30" s="62" t="n">
        <f aca="false">Inputs!H$131</f>
        <v>0.009</v>
      </c>
      <c r="D30" s="30" t="s">
        <v>442</v>
      </c>
    </row>
    <row r="31" customFormat="false" ht="15" hidden="false" customHeight="true" outlineLevel="0" collapsed="false">
      <c r="B31" s="59" t="s">
        <v>443</v>
      </c>
      <c r="C31" s="61" t="n">
        <f aca="false">Inputs!H$132</f>
        <v>130000</v>
      </c>
      <c r="D31" s="30" t="s">
        <v>444</v>
      </c>
    </row>
    <row r="32" customFormat="false" ht="15" hidden="false" customHeight="true" outlineLevel="0" collapsed="false">
      <c r="B32" s="59" t="s">
        <v>445</v>
      </c>
      <c r="C32" s="62" t="n">
        <f aca="false">Inputs!H$133</f>
        <v>0.12</v>
      </c>
      <c r="D32" s="30" t="s">
        <v>446</v>
      </c>
    </row>
    <row r="33" customFormat="false" ht="15" hidden="false" customHeight="true" outlineLevel="0" collapsed="false">
      <c r="B33" s="59" t="s">
        <v>447</v>
      </c>
      <c r="C33" s="62" t="n">
        <f aca="false">Inputs!H$134</f>
        <v>0.01</v>
      </c>
      <c r="D33" s="30" t="s">
        <v>448</v>
      </c>
    </row>
    <row r="35" customFormat="false" ht="15" hidden="false" customHeight="true" outlineLevel="0" collapsed="false">
      <c r="A35" s="58" t="s">
        <v>449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</row>
    <row r="36" customFormat="false" ht="15" hidden="false" customHeight="true" outlineLevel="0" collapsed="false">
      <c r="B36" s="59" t="s">
        <v>120</v>
      </c>
      <c r="C36" s="62" t="n">
        <f aca="false">Inputs!H$135</f>
        <v>0.15</v>
      </c>
      <c r="D36" s="30" t="s">
        <v>450</v>
      </c>
    </row>
    <row r="37" customFormat="false" ht="15" hidden="false" customHeight="true" outlineLevel="0" collapsed="false">
      <c r="B37" s="59" t="s">
        <v>451</v>
      </c>
      <c r="C37" s="22" t="str">
        <f aca="false">Inputs!H$136</f>
        <v>Y</v>
      </c>
      <c r="D37" s="30" t="s">
        <v>452</v>
      </c>
    </row>
    <row r="38" customFormat="false" ht="15" hidden="false" customHeight="true" outlineLevel="0" collapsed="false">
      <c r="B38" s="59" t="s">
        <v>123</v>
      </c>
      <c r="C38" s="62" t="n">
        <f aca="false">Inputs!H$137</f>
        <v>0.3</v>
      </c>
      <c r="D38" s="30" t="s">
        <v>453</v>
      </c>
    </row>
    <row r="40" customFormat="false" ht="15" hidden="false" customHeight="true" outlineLevel="0" collapsed="false">
      <c r="A40" s="58" t="s">
        <v>454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</row>
    <row r="41" customFormat="false" ht="15" hidden="false" customHeight="true" outlineLevel="0" collapsed="false">
      <c r="B41" s="59" t="s">
        <v>100</v>
      </c>
      <c r="C41" s="65" t="n">
        <f aca="false">Inputs!H$138</f>
        <v>2039</v>
      </c>
      <c r="D41" s="30" t="s">
        <v>455</v>
      </c>
    </row>
    <row r="42" customFormat="false" ht="15" hidden="false" customHeight="true" outlineLevel="0" collapsed="false">
      <c r="B42" s="59" t="s">
        <v>101</v>
      </c>
      <c r="C42" s="68" t="n">
        <f aca="false">Inputs!H$139</f>
        <v>10</v>
      </c>
      <c r="D42" s="30" t="s">
        <v>456</v>
      </c>
    </row>
    <row r="43" customFormat="false" ht="15" hidden="false" customHeight="true" outlineLevel="0" collapsed="false">
      <c r="B43" s="59" t="s">
        <v>102</v>
      </c>
      <c r="C43" s="62" t="n">
        <f aca="false">Inputs!H$140</f>
        <v>0.02</v>
      </c>
      <c r="D43" s="30" t="s">
        <v>457</v>
      </c>
    </row>
    <row r="45" customFormat="false" ht="15" hidden="false" customHeight="true" outlineLevel="0" collapsed="false">
      <c r="A45" s="58" t="s">
        <v>458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6" customFormat="false" ht="15" hidden="false" customHeight="true" outlineLevel="0" collapsed="false">
      <c r="C46" s="69" t="s">
        <v>262</v>
      </c>
      <c r="D46" s="69" t="s">
        <v>60</v>
      </c>
      <c r="E46" s="70" t="n">
        <f aca="false">Inputs!$C$7+0</f>
        <v>2026</v>
      </c>
      <c r="F46" s="70" t="n">
        <f aca="false">Inputs!$C$7+1</f>
        <v>2027</v>
      </c>
      <c r="G46" s="70" t="n">
        <f aca="false">Inputs!$C$7+2</f>
        <v>2028</v>
      </c>
      <c r="H46" s="70" t="n">
        <f aca="false">Inputs!$C$7+3</f>
        <v>2029</v>
      </c>
      <c r="I46" s="70" t="n">
        <f aca="false">Inputs!$C$7+4</f>
        <v>2030</v>
      </c>
      <c r="J46" s="70" t="n">
        <f aca="false">Inputs!$C$7+5</f>
        <v>2031</v>
      </c>
      <c r="K46" s="70" t="n">
        <f aca="false">Inputs!$C$7+6</f>
        <v>2032</v>
      </c>
      <c r="L46" s="70" t="n">
        <f aca="false">Inputs!$C$7+7</f>
        <v>2033</v>
      </c>
      <c r="M46" s="70" t="n">
        <f aca="false">Inputs!$C$7+8</f>
        <v>2034</v>
      </c>
      <c r="N46" s="70" t="n">
        <f aca="false">Inputs!$C$7+9</f>
        <v>2035</v>
      </c>
      <c r="O46" s="70" t="n">
        <f aca="false">Inputs!$C$7+10</f>
        <v>2036</v>
      </c>
      <c r="P46" s="70" t="n">
        <f aca="false">Inputs!$C$7+11</f>
        <v>2037</v>
      </c>
      <c r="Q46" s="70" t="n">
        <f aca="false">Inputs!$C$7+12</f>
        <v>2038</v>
      </c>
      <c r="R46" s="70" t="n">
        <f aca="false">Inputs!$C$7+13</f>
        <v>2039</v>
      </c>
      <c r="S46" s="70" t="n">
        <f aca="false">Inputs!$C$7+14</f>
        <v>2040</v>
      </c>
      <c r="T46" s="70" t="n">
        <f aca="false">Inputs!$C$7+15</f>
        <v>2041</v>
      </c>
      <c r="U46" s="70" t="n">
        <f aca="false">Inputs!$C$7+16</f>
        <v>2042</v>
      </c>
      <c r="V46" s="70" t="n">
        <f aca="false">Inputs!$C$7+17</f>
        <v>2043</v>
      </c>
      <c r="W46" s="70" t="n">
        <f aca="false">Inputs!$C$7+18</f>
        <v>2044</v>
      </c>
      <c r="X46" s="70" t="n">
        <f aca="false">Inputs!$C$7+19</f>
        <v>2045</v>
      </c>
      <c r="Y46" s="70" t="n">
        <f aca="false">Inputs!$C$7+20</f>
        <v>2046</v>
      </c>
      <c r="Z46" s="70" t="n">
        <f aca="false">Inputs!$C$7+21</f>
        <v>2047</v>
      </c>
      <c r="AA46" s="70" t="n">
        <f aca="false">Inputs!$C$7+22</f>
        <v>2048</v>
      </c>
      <c r="AB46" s="70" t="n">
        <f aca="false">Inputs!$C$7+23</f>
        <v>2049</v>
      </c>
      <c r="AC46" s="70" t="n">
        <f aca="false">Inputs!$C$7+24</f>
        <v>2050</v>
      </c>
      <c r="AD46" s="70" t="n">
        <f aca="false">Inputs!$C$7+25</f>
        <v>2051</v>
      </c>
      <c r="AE46" s="70" t="n">
        <f aca="false">Inputs!$C$7+26</f>
        <v>2052</v>
      </c>
      <c r="AF46" s="70" t="n">
        <f aca="false">Inputs!$C$7+27</f>
        <v>2053</v>
      </c>
      <c r="AG46" s="70" t="n">
        <f aca="false">Inputs!$C$7+28</f>
        <v>2054</v>
      </c>
      <c r="AH46" s="70" t="n">
        <f aca="false">Inputs!$C$7+29</f>
        <v>2055</v>
      </c>
      <c r="AI46" s="70" t="n">
        <f aca="false">Inputs!$C$7+30</f>
        <v>2056</v>
      </c>
      <c r="AJ46" s="70" t="n">
        <f aca="false">Inputs!$C$7+31</f>
        <v>2057</v>
      </c>
      <c r="AK46" s="70" t="n">
        <f aca="false">Inputs!$C$7+32</f>
        <v>2058</v>
      </c>
      <c r="AL46" s="70" t="n">
        <f aca="false">Inputs!$C$7+33</f>
        <v>2059</v>
      </c>
      <c r="AM46" s="70" t="n">
        <f aca="false">Inputs!$C$7+34</f>
        <v>2060</v>
      </c>
      <c r="AN46" s="70" t="n">
        <f aca="false">Inputs!$C$7+35</f>
        <v>2061</v>
      </c>
      <c r="AO46" s="70" t="n">
        <f aca="false">Inputs!$C$7+36</f>
        <v>2062</v>
      </c>
      <c r="AP46" s="70" t="n">
        <f aca="false">Inputs!$C$7+37</f>
        <v>2063</v>
      </c>
      <c r="AQ46" s="70" t="n">
        <f aca="false">Inputs!$C$7+38</f>
        <v>2064</v>
      </c>
      <c r="AR46" s="70" t="n">
        <f aca="false">Inputs!$C$7+39</f>
        <v>2065</v>
      </c>
      <c r="AS46" s="70" t="n">
        <f aca="false">Inputs!$C$7+40</f>
        <v>2066</v>
      </c>
      <c r="AT46" s="70" t="n">
        <f aca="false">Inputs!$C$7+41</f>
        <v>2067</v>
      </c>
      <c r="AU46" s="70" t="n">
        <f aca="false">Inputs!$C$7+42</f>
        <v>2068</v>
      </c>
      <c r="AV46" s="70" t="n">
        <f aca="false">Inputs!$C$7+43</f>
        <v>2069</v>
      </c>
      <c r="AW46" s="70" t="n">
        <f aca="false">Inputs!$C$7+44</f>
        <v>2070</v>
      </c>
      <c r="AX46" s="70" t="n">
        <f aca="false">Inputs!$C$7+45</f>
        <v>2071</v>
      </c>
      <c r="AY46" s="70" t="n">
        <f aca="false">Inputs!$C$7+46</f>
        <v>2072</v>
      </c>
      <c r="AZ46" s="70" t="n">
        <f aca="false">Inputs!$C$7+47</f>
        <v>2073</v>
      </c>
      <c r="BA46" s="70" t="n">
        <f aca="false">Inputs!$C$7+48</f>
        <v>2074</v>
      </c>
      <c r="BB46" s="70" t="n">
        <f aca="false">Inputs!$C$7+49</f>
        <v>2075</v>
      </c>
    </row>
    <row r="47" customFormat="false" ht="15" hidden="false" customHeight="true" outlineLevel="0" collapsed="false">
      <c r="B47" s="59" t="s">
        <v>459</v>
      </c>
      <c r="C47" s="59" t="s">
        <v>11</v>
      </c>
      <c r="D47" s="63" t="n">
        <f aca="false">SUM(E47:BB47)</f>
        <v>0</v>
      </c>
      <c r="E47" s="61" t="n">
        <f aca="false">CashFlow!D40</f>
        <v>0</v>
      </c>
      <c r="F47" s="61" t="n">
        <f aca="false">CashFlow!E40</f>
        <v>0</v>
      </c>
      <c r="G47" s="61" t="n">
        <f aca="false">CashFlow!F40</f>
        <v>0</v>
      </c>
      <c r="H47" s="61" t="n">
        <f aca="false">CashFlow!G40</f>
        <v>0</v>
      </c>
      <c r="I47" s="61" t="n">
        <f aca="false">CashFlow!H40</f>
        <v>0</v>
      </c>
      <c r="J47" s="61" t="n">
        <f aca="false">CashFlow!I40</f>
        <v>0</v>
      </c>
      <c r="K47" s="61" t="n">
        <f aca="false">CashFlow!J40</f>
        <v>0</v>
      </c>
      <c r="L47" s="61" t="n">
        <f aca="false">CashFlow!K40</f>
        <v>0</v>
      </c>
      <c r="M47" s="61" t="n">
        <f aca="false">CashFlow!L40</f>
        <v>0</v>
      </c>
      <c r="N47" s="61" t="n">
        <f aca="false">CashFlow!M40</f>
        <v>0</v>
      </c>
      <c r="O47" s="61" t="n">
        <f aca="false">CashFlow!N40</f>
        <v>0</v>
      </c>
      <c r="P47" s="61" t="n">
        <f aca="false">CashFlow!O40</f>
        <v>0</v>
      </c>
      <c r="Q47" s="61" t="n">
        <f aca="false">CashFlow!P40</f>
        <v>0</v>
      </c>
      <c r="R47" s="61" t="n">
        <f aca="false">CashFlow!Q40</f>
        <v>0</v>
      </c>
      <c r="S47" s="61" t="n">
        <f aca="false">CashFlow!R40</f>
        <v>0</v>
      </c>
      <c r="T47" s="61" t="n">
        <f aca="false">CashFlow!S40</f>
        <v>0</v>
      </c>
      <c r="U47" s="61" t="n">
        <f aca="false">CashFlow!T40</f>
        <v>0</v>
      </c>
      <c r="V47" s="61" t="n">
        <f aca="false">CashFlow!U40</f>
        <v>0</v>
      </c>
      <c r="W47" s="61" t="n">
        <f aca="false">CashFlow!V40</f>
        <v>0</v>
      </c>
      <c r="X47" s="61" t="n">
        <f aca="false">CashFlow!W40</f>
        <v>0</v>
      </c>
      <c r="Y47" s="61" t="n">
        <f aca="false">CashFlow!X40</f>
        <v>0</v>
      </c>
      <c r="Z47" s="61" t="n">
        <f aca="false">CashFlow!Y40</f>
        <v>0</v>
      </c>
      <c r="AA47" s="61" t="n">
        <f aca="false">CashFlow!Z40</f>
        <v>0</v>
      </c>
      <c r="AB47" s="61" t="n">
        <f aca="false">CashFlow!AA40</f>
        <v>0</v>
      </c>
      <c r="AC47" s="61" t="n">
        <f aca="false">CashFlow!AB40</f>
        <v>0</v>
      </c>
      <c r="AD47" s="61" t="n">
        <f aca="false">CashFlow!AC40</f>
        <v>0</v>
      </c>
      <c r="AE47" s="61" t="n">
        <f aca="false">CashFlow!AD40</f>
        <v>0</v>
      </c>
      <c r="AF47" s="61" t="n">
        <f aca="false">CashFlow!AE40</f>
        <v>0</v>
      </c>
      <c r="AG47" s="61" t="n">
        <f aca="false">CashFlow!AF40</f>
        <v>0</v>
      </c>
      <c r="AH47" s="61" t="n">
        <f aca="false">CashFlow!AG40</f>
        <v>0</v>
      </c>
      <c r="AI47" s="61" t="n">
        <f aca="false">CashFlow!AH40</f>
        <v>0</v>
      </c>
      <c r="AJ47" s="61" t="n">
        <f aca="false">CashFlow!AI40</f>
        <v>0</v>
      </c>
      <c r="AK47" s="61" t="n">
        <f aca="false">CashFlow!AJ40</f>
        <v>0</v>
      </c>
      <c r="AL47" s="61" t="n">
        <f aca="false">CashFlow!AK40</f>
        <v>0</v>
      </c>
      <c r="AM47" s="61" t="n">
        <f aca="false">CashFlow!AL40</f>
        <v>0</v>
      </c>
      <c r="AN47" s="61" t="n">
        <f aca="false">CashFlow!AM40</f>
        <v>0</v>
      </c>
      <c r="AO47" s="61" t="n">
        <f aca="false">CashFlow!AN40</f>
        <v>0</v>
      </c>
      <c r="AP47" s="61" t="n">
        <f aca="false">CashFlow!AO40</f>
        <v>0</v>
      </c>
      <c r="AQ47" s="61" t="n">
        <f aca="false">CashFlow!AP40</f>
        <v>0</v>
      </c>
      <c r="AR47" s="61" t="n">
        <f aca="false">CashFlow!AQ40</f>
        <v>0</v>
      </c>
      <c r="AS47" s="61" t="n">
        <f aca="false">CashFlow!AR40</f>
        <v>0</v>
      </c>
      <c r="AT47" s="61" t="n">
        <f aca="false">CashFlow!AS40</f>
        <v>0</v>
      </c>
      <c r="AU47" s="61" t="n">
        <f aca="false">CashFlow!AT40</f>
        <v>0</v>
      </c>
      <c r="AV47" s="61" t="n">
        <f aca="false">CashFlow!AU40</f>
        <v>0</v>
      </c>
      <c r="AW47" s="61" t="n">
        <f aca="false">CashFlow!AV40</f>
        <v>0</v>
      </c>
      <c r="AX47" s="61" t="n">
        <f aca="false">CashFlow!AW40</f>
        <v>0</v>
      </c>
      <c r="AY47" s="61" t="n">
        <f aca="false">CashFlow!AX40</f>
        <v>0</v>
      </c>
      <c r="AZ47" s="61" t="n">
        <f aca="false">CashFlow!AY40</f>
        <v>0</v>
      </c>
      <c r="BA47" s="61" t="n">
        <f aca="false">CashFlow!AZ40</f>
        <v>0</v>
      </c>
      <c r="BB47" s="61" t="n">
        <f aca="false">CashFlow!BA40</f>
        <v>0</v>
      </c>
    </row>
    <row r="48" customFormat="false" ht="15" hidden="false" customHeight="true" outlineLevel="0" collapsed="false">
      <c r="B48" s="59" t="s">
        <v>460</v>
      </c>
      <c r="C48" s="59" t="s">
        <v>11</v>
      </c>
      <c r="D48" s="63" t="n">
        <f aca="false">SUM(E48:BB48)</f>
        <v>0</v>
      </c>
      <c r="E48" s="61" t="n">
        <f aca="false">CashFlow!D41</f>
        <v>0</v>
      </c>
      <c r="F48" s="61" t="n">
        <f aca="false">CashFlow!E41</f>
        <v>0</v>
      </c>
      <c r="G48" s="61" t="n">
        <f aca="false">CashFlow!F41</f>
        <v>0</v>
      </c>
      <c r="H48" s="61" t="n">
        <f aca="false">CashFlow!G41</f>
        <v>0</v>
      </c>
      <c r="I48" s="61" t="n">
        <f aca="false">CashFlow!H41</f>
        <v>0</v>
      </c>
      <c r="J48" s="61" t="n">
        <f aca="false">CashFlow!I41</f>
        <v>0</v>
      </c>
      <c r="K48" s="61" t="n">
        <f aca="false">CashFlow!J41</f>
        <v>0</v>
      </c>
      <c r="L48" s="61" t="n">
        <f aca="false">CashFlow!K41</f>
        <v>0</v>
      </c>
      <c r="M48" s="61" t="n">
        <f aca="false">CashFlow!L41</f>
        <v>0</v>
      </c>
      <c r="N48" s="61" t="n">
        <f aca="false">CashFlow!M41</f>
        <v>0</v>
      </c>
      <c r="O48" s="61" t="n">
        <f aca="false">CashFlow!N41</f>
        <v>0</v>
      </c>
      <c r="P48" s="61" t="n">
        <f aca="false">CashFlow!O41</f>
        <v>0</v>
      </c>
      <c r="Q48" s="61" t="n">
        <f aca="false">CashFlow!P41</f>
        <v>0</v>
      </c>
      <c r="R48" s="61" t="n">
        <f aca="false">CashFlow!Q41</f>
        <v>0</v>
      </c>
      <c r="S48" s="61" t="n">
        <f aca="false">CashFlow!R41</f>
        <v>0</v>
      </c>
      <c r="T48" s="61" t="n">
        <f aca="false">CashFlow!S41</f>
        <v>0</v>
      </c>
      <c r="U48" s="61" t="n">
        <f aca="false">CashFlow!T41</f>
        <v>0</v>
      </c>
      <c r="V48" s="61" t="n">
        <f aca="false">CashFlow!U41</f>
        <v>0</v>
      </c>
      <c r="W48" s="61" t="n">
        <f aca="false">CashFlow!V41</f>
        <v>0</v>
      </c>
      <c r="X48" s="61" t="n">
        <f aca="false">CashFlow!W41</f>
        <v>0</v>
      </c>
      <c r="Y48" s="61" t="n">
        <f aca="false">CashFlow!X41</f>
        <v>0</v>
      </c>
      <c r="Z48" s="61" t="n">
        <f aca="false">CashFlow!Y41</f>
        <v>0</v>
      </c>
      <c r="AA48" s="61" t="n">
        <f aca="false">CashFlow!Z41</f>
        <v>0</v>
      </c>
      <c r="AB48" s="61" t="n">
        <f aca="false">CashFlow!AA41</f>
        <v>0</v>
      </c>
      <c r="AC48" s="61" t="n">
        <f aca="false">CashFlow!AB41</f>
        <v>0</v>
      </c>
      <c r="AD48" s="61" t="n">
        <f aca="false">CashFlow!AC41</f>
        <v>0</v>
      </c>
      <c r="AE48" s="61" t="n">
        <f aca="false">CashFlow!AD41</f>
        <v>0</v>
      </c>
      <c r="AF48" s="61" t="n">
        <f aca="false">CashFlow!AE41</f>
        <v>0</v>
      </c>
      <c r="AG48" s="61" t="n">
        <f aca="false">CashFlow!AF41</f>
        <v>0</v>
      </c>
      <c r="AH48" s="61" t="n">
        <f aca="false">CashFlow!AG41</f>
        <v>0</v>
      </c>
      <c r="AI48" s="61" t="n">
        <f aca="false">CashFlow!AH41</f>
        <v>0</v>
      </c>
      <c r="AJ48" s="61" t="n">
        <f aca="false">CashFlow!AI41</f>
        <v>0</v>
      </c>
      <c r="AK48" s="61" t="n">
        <f aca="false">CashFlow!AJ41</f>
        <v>0</v>
      </c>
      <c r="AL48" s="61" t="n">
        <f aca="false">CashFlow!AK41</f>
        <v>0</v>
      </c>
      <c r="AM48" s="61" t="n">
        <f aca="false">CashFlow!AL41</f>
        <v>0</v>
      </c>
      <c r="AN48" s="61" t="n">
        <f aca="false">CashFlow!AM41</f>
        <v>0</v>
      </c>
      <c r="AO48" s="61" t="n">
        <f aca="false">CashFlow!AN41</f>
        <v>0</v>
      </c>
      <c r="AP48" s="61" t="n">
        <f aca="false">CashFlow!AO41</f>
        <v>0</v>
      </c>
      <c r="AQ48" s="61" t="n">
        <f aca="false">CashFlow!AP41</f>
        <v>0</v>
      </c>
      <c r="AR48" s="61" t="n">
        <f aca="false">CashFlow!AQ41</f>
        <v>0</v>
      </c>
      <c r="AS48" s="61" t="n">
        <f aca="false">CashFlow!AR41</f>
        <v>0</v>
      </c>
      <c r="AT48" s="61" t="n">
        <f aca="false">CashFlow!AS41</f>
        <v>0</v>
      </c>
      <c r="AU48" s="61" t="n">
        <f aca="false">CashFlow!AT41</f>
        <v>0</v>
      </c>
      <c r="AV48" s="61" t="n">
        <f aca="false">CashFlow!AU41</f>
        <v>0</v>
      </c>
      <c r="AW48" s="61" t="n">
        <f aca="false">CashFlow!AV41</f>
        <v>0</v>
      </c>
      <c r="AX48" s="61" t="n">
        <f aca="false">CashFlow!AW41</f>
        <v>0</v>
      </c>
      <c r="AY48" s="61" t="n">
        <f aca="false">CashFlow!AX41</f>
        <v>0</v>
      </c>
      <c r="AZ48" s="61" t="n">
        <f aca="false">CashFlow!AY41</f>
        <v>0</v>
      </c>
      <c r="BA48" s="61" t="n">
        <f aca="false">CashFlow!AZ41</f>
        <v>0</v>
      </c>
      <c r="BB48" s="61" t="n">
        <f aca="false">CashFlow!BA41</f>
        <v>0</v>
      </c>
    </row>
    <row r="49" customFormat="false" ht="15" hidden="false" customHeight="true" outlineLevel="0" collapsed="false">
      <c r="B49" s="59" t="s">
        <v>461</v>
      </c>
      <c r="C49" s="59" t="s">
        <v>11</v>
      </c>
      <c r="D49" s="63" t="n">
        <f aca="false">SUM(E49:BB49)</f>
        <v>0</v>
      </c>
      <c r="E49" s="61" t="n">
        <f aca="false">CashFlow!D42</f>
        <v>-0</v>
      </c>
      <c r="F49" s="61" t="n">
        <f aca="false">CashFlow!E42</f>
        <v>-0</v>
      </c>
      <c r="G49" s="61" t="n">
        <f aca="false">CashFlow!F42</f>
        <v>-0</v>
      </c>
      <c r="H49" s="61" t="n">
        <f aca="false">CashFlow!G42</f>
        <v>-0</v>
      </c>
      <c r="I49" s="61" t="n">
        <f aca="false">CashFlow!H42</f>
        <v>-0</v>
      </c>
      <c r="J49" s="61" t="n">
        <f aca="false">CashFlow!I42</f>
        <v>-0</v>
      </c>
      <c r="K49" s="61" t="n">
        <f aca="false">CashFlow!J42</f>
        <v>-0</v>
      </c>
      <c r="L49" s="61" t="n">
        <f aca="false">CashFlow!K42</f>
        <v>-0</v>
      </c>
      <c r="M49" s="61" t="n">
        <f aca="false">CashFlow!L42</f>
        <v>-0</v>
      </c>
      <c r="N49" s="61" t="n">
        <f aca="false">CashFlow!M42</f>
        <v>-0</v>
      </c>
      <c r="O49" s="61" t="n">
        <f aca="false">CashFlow!N42</f>
        <v>-0</v>
      </c>
      <c r="P49" s="61" t="n">
        <f aca="false">CashFlow!O42</f>
        <v>-0</v>
      </c>
      <c r="Q49" s="61" t="n">
        <f aca="false">CashFlow!P42</f>
        <v>-0</v>
      </c>
      <c r="R49" s="61" t="n">
        <f aca="false">CashFlow!Q42</f>
        <v>-0</v>
      </c>
      <c r="S49" s="61" t="n">
        <f aca="false">CashFlow!R42</f>
        <v>-0</v>
      </c>
      <c r="T49" s="61" t="n">
        <f aca="false">CashFlow!S42</f>
        <v>-0</v>
      </c>
      <c r="U49" s="61" t="n">
        <f aca="false">CashFlow!T42</f>
        <v>-0</v>
      </c>
      <c r="V49" s="61" t="n">
        <f aca="false">CashFlow!U42</f>
        <v>-0</v>
      </c>
      <c r="W49" s="61" t="n">
        <f aca="false">CashFlow!V42</f>
        <v>-0</v>
      </c>
      <c r="X49" s="61" t="n">
        <f aca="false">CashFlow!W42</f>
        <v>-0</v>
      </c>
      <c r="Y49" s="61" t="n">
        <f aca="false">CashFlow!X42</f>
        <v>-0</v>
      </c>
      <c r="Z49" s="61" t="n">
        <f aca="false">CashFlow!Y42</f>
        <v>-0</v>
      </c>
      <c r="AA49" s="61" t="n">
        <f aca="false">CashFlow!Z42</f>
        <v>-0</v>
      </c>
      <c r="AB49" s="61" t="n">
        <f aca="false">CashFlow!AA42</f>
        <v>-0</v>
      </c>
      <c r="AC49" s="61" t="n">
        <f aca="false">CashFlow!AB42</f>
        <v>-0</v>
      </c>
      <c r="AD49" s="61" t="n">
        <f aca="false">CashFlow!AC42</f>
        <v>-0</v>
      </c>
      <c r="AE49" s="61" t="n">
        <f aca="false">CashFlow!AD42</f>
        <v>-0</v>
      </c>
      <c r="AF49" s="61" t="n">
        <f aca="false">CashFlow!AE42</f>
        <v>-0</v>
      </c>
      <c r="AG49" s="61" t="n">
        <f aca="false">CashFlow!AF42</f>
        <v>-0</v>
      </c>
      <c r="AH49" s="61" t="n">
        <f aca="false">CashFlow!AG42</f>
        <v>-0</v>
      </c>
      <c r="AI49" s="61" t="n">
        <f aca="false">CashFlow!AH42</f>
        <v>-0</v>
      </c>
      <c r="AJ49" s="61" t="n">
        <f aca="false">CashFlow!AI42</f>
        <v>-0</v>
      </c>
      <c r="AK49" s="61" t="n">
        <f aca="false">CashFlow!AJ42</f>
        <v>-0</v>
      </c>
      <c r="AL49" s="61" t="n">
        <f aca="false">CashFlow!AK42</f>
        <v>-0</v>
      </c>
      <c r="AM49" s="61" t="n">
        <f aca="false">CashFlow!AL42</f>
        <v>-0</v>
      </c>
      <c r="AN49" s="61" t="n">
        <f aca="false">CashFlow!AM42</f>
        <v>-0</v>
      </c>
      <c r="AO49" s="61" t="n">
        <f aca="false">CashFlow!AN42</f>
        <v>-0</v>
      </c>
      <c r="AP49" s="61" t="n">
        <f aca="false">CashFlow!AO42</f>
        <v>-0</v>
      </c>
      <c r="AQ49" s="61" t="n">
        <f aca="false">CashFlow!AP42</f>
        <v>-0</v>
      </c>
      <c r="AR49" s="61" t="n">
        <f aca="false">CashFlow!AQ42</f>
        <v>-0</v>
      </c>
      <c r="AS49" s="61" t="n">
        <f aca="false">CashFlow!AR42</f>
        <v>-0</v>
      </c>
      <c r="AT49" s="61" t="n">
        <f aca="false">CashFlow!AS42</f>
        <v>-0</v>
      </c>
      <c r="AU49" s="61" t="n">
        <f aca="false">CashFlow!AT42</f>
        <v>-0</v>
      </c>
      <c r="AV49" s="61" t="n">
        <f aca="false">CashFlow!AU42</f>
        <v>-0</v>
      </c>
      <c r="AW49" s="61" t="n">
        <f aca="false">CashFlow!AV42</f>
        <v>-0</v>
      </c>
      <c r="AX49" s="61" t="n">
        <f aca="false">CashFlow!AW42</f>
        <v>-0</v>
      </c>
      <c r="AY49" s="61" t="n">
        <f aca="false">CashFlow!AX42</f>
        <v>-0</v>
      </c>
      <c r="AZ49" s="61" t="n">
        <f aca="false">CashFlow!AY42</f>
        <v>-0</v>
      </c>
      <c r="BA49" s="61" t="n">
        <f aca="false">CashFlow!AZ42</f>
        <v>-0</v>
      </c>
      <c r="BB49" s="61" t="n">
        <f aca="false">CashFlow!BA42</f>
        <v>-0</v>
      </c>
    </row>
    <row r="50" customFormat="false" ht="15" hidden="false" customHeight="true" outlineLevel="0" collapsed="false">
      <c r="B50" s="20" t="s">
        <v>462</v>
      </c>
      <c r="C50" s="59" t="s">
        <v>11</v>
      </c>
      <c r="D50" s="63" t="n">
        <f aca="false">SUM(E50:BB50)</f>
        <v>0</v>
      </c>
      <c r="E50" s="63" t="n">
        <f aca="false">E47+E48+E49</f>
        <v>0</v>
      </c>
      <c r="F50" s="63" t="n">
        <f aca="false">F47+F48+F49</f>
        <v>0</v>
      </c>
      <c r="G50" s="63" t="n">
        <f aca="false">G47+G48+G49</f>
        <v>0</v>
      </c>
      <c r="H50" s="63" t="n">
        <f aca="false">H47+H48+H49</f>
        <v>0</v>
      </c>
      <c r="I50" s="63" t="n">
        <f aca="false">I47+I48+I49</f>
        <v>0</v>
      </c>
      <c r="J50" s="63" t="n">
        <f aca="false">J47+J48+J49</f>
        <v>0</v>
      </c>
      <c r="K50" s="63" t="n">
        <f aca="false">K47+K48+K49</f>
        <v>0</v>
      </c>
      <c r="L50" s="63" t="n">
        <f aca="false">L47+L48+L49</f>
        <v>0</v>
      </c>
      <c r="M50" s="63" t="n">
        <f aca="false">M47+M48+M49</f>
        <v>0</v>
      </c>
      <c r="N50" s="63" t="n">
        <f aca="false">N47+N48+N49</f>
        <v>0</v>
      </c>
      <c r="O50" s="63" t="n">
        <f aca="false">O47+O48+O49</f>
        <v>0</v>
      </c>
      <c r="P50" s="63" t="n">
        <f aca="false">P47+P48+P49</f>
        <v>0</v>
      </c>
      <c r="Q50" s="63" t="n">
        <f aca="false">Q47+Q48+Q49</f>
        <v>0</v>
      </c>
      <c r="R50" s="63" t="n">
        <f aca="false">R47+R48+R49</f>
        <v>0</v>
      </c>
      <c r="S50" s="63" t="n">
        <f aca="false">S47+S48+S49</f>
        <v>0</v>
      </c>
      <c r="T50" s="63" t="n">
        <f aca="false">T47+T48+T49</f>
        <v>0</v>
      </c>
      <c r="U50" s="63" t="n">
        <f aca="false">U47+U48+U49</f>
        <v>0</v>
      </c>
      <c r="V50" s="63" t="n">
        <f aca="false">V47+V48+V49</f>
        <v>0</v>
      </c>
      <c r="W50" s="63" t="n">
        <f aca="false">W47+W48+W49</f>
        <v>0</v>
      </c>
      <c r="X50" s="63" t="n">
        <f aca="false">X47+X48+X49</f>
        <v>0</v>
      </c>
      <c r="Y50" s="63" t="n">
        <f aca="false">Y47+Y48+Y49</f>
        <v>0</v>
      </c>
      <c r="Z50" s="63" t="n">
        <f aca="false">Z47+Z48+Z49</f>
        <v>0</v>
      </c>
      <c r="AA50" s="63" t="n">
        <f aca="false">AA47+AA48+AA49</f>
        <v>0</v>
      </c>
      <c r="AB50" s="63" t="n">
        <f aca="false">AB47+AB48+AB49</f>
        <v>0</v>
      </c>
      <c r="AC50" s="63" t="n">
        <f aca="false">AC47+AC48+AC49</f>
        <v>0</v>
      </c>
      <c r="AD50" s="63" t="n">
        <f aca="false">AD47+AD48+AD49</f>
        <v>0</v>
      </c>
      <c r="AE50" s="63" t="n">
        <f aca="false">AE47+AE48+AE49</f>
        <v>0</v>
      </c>
      <c r="AF50" s="63" t="n">
        <f aca="false">AF47+AF48+AF49</f>
        <v>0</v>
      </c>
      <c r="AG50" s="63" t="n">
        <f aca="false">AG47+AG48+AG49</f>
        <v>0</v>
      </c>
      <c r="AH50" s="63" t="n">
        <f aca="false">AH47+AH48+AH49</f>
        <v>0</v>
      </c>
      <c r="AI50" s="63" t="n">
        <f aca="false">AI47+AI48+AI49</f>
        <v>0</v>
      </c>
      <c r="AJ50" s="63" t="n">
        <f aca="false">AJ47+AJ48+AJ49</f>
        <v>0</v>
      </c>
      <c r="AK50" s="63" t="n">
        <f aca="false">AK47+AK48+AK49</f>
        <v>0</v>
      </c>
      <c r="AL50" s="63" t="n">
        <f aca="false">AL47+AL48+AL49</f>
        <v>0</v>
      </c>
      <c r="AM50" s="63" t="n">
        <f aca="false">AM47+AM48+AM49</f>
        <v>0</v>
      </c>
      <c r="AN50" s="63" t="n">
        <f aca="false">AN47+AN48+AN49</f>
        <v>0</v>
      </c>
      <c r="AO50" s="63" t="n">
        <f aca="false">AO47+AO48+AO49</f>
        <v>0</v>
      </c>
      <c r="AP50" s="63" t="n">
        <f aca="false">AP47+AP48+AP49</f>
        <v>0</v>
      </c>
      <c r="AQ50" s="63" t="n">
        <f aca="false">AQ47+AQ48+AQ49</f>
        <v>0</v>
      </c>
      <c r="AR50" s="63" t="n">
        <f aca="false">AR47+AR48+AR49</f>
        <v>0</v>
      </c>
      <c r="AS50" s="63" t="n">
        <f aca="false">AS47+AS48+AS49</f>
        <v>0</v>
      </c>
      <c r="AT50" s="63" t="n">
        <f aca="false">AT47+AT48+AT49</f>
        <v>0</v>
      </c>
      <c r="AU50" s="63" t="n">
        <f aca="false">AU47+AU48+AU49</f>
        <v>0</v>
      </c>
      <c r="AV50" s="63" t="n">
        <f aca="false">AV47+AV48+AV49</f>
        <v>0</v>
      </c>
      <c r="AW50" s="63" t="n">
        <f aca="false">AW47+AW48+AW49</f>
        <v>0</v>
      </c>
      <c r="AX50" s="63" t="n">
        <f aca="false">AX47+AX48+AX49</f>
        <v>0</v>
      </c>
      <c r="AY50" s="63" t="n">
        <f aca="false">AY47+AY48+AY49</f>
        <v>0</v>
      </c>
      <c r="AZ50" s="63" t="n">
        <f aca="false">AZ47+AZ48+AZ49</f>
        <v>0</v>
      </c>
      <c r="BA50" s="63" t="n">
        <f aca="false">BA47+BA48+BA49</f>
        <v>0</v>
      </c>
      <c r="BB50" s="63" t="n">
        <f aca="false">BB47+BB48+BB49</f>
        <v>0</v>
      </c>
    </row>
    <row r="51" customFormat="false" ht="15" hidden="false" customHeight="true" outlineLevel="0" collapsed="false">
      <c r="B51" s="59" t="s">
        <v>463</v>
      </c>
      <c r="C51" s="59" t="s">
        <v>11</v>
      </c>
      <c r="D51" s="63" t="n">
        <f aca="false">SUM(E51:BB51)</f>
        <v>0</v>
      </c>
      <c r="E51" s="66" t="n">
        <f aca="false">IF(E$46=$C$41,E47*$C$42*(1-$C$43),0)</f>
        <v>0</v>
      </c>
      <c r="F51" s="66" t="n">
        <f aca="false">IF(F$46=$C$41,F47*$C$42*(1-$C$43),0)</f>
        <v>0</v>
      </c>
      <c r="G51" s="66" t="n">
        <f aca="false">IF(G$46=$C$41,G47*$C$42*(1-$C$43),0)</f>
        <v>0</v>
      </c>
      <c r="H51" s="66" t="n">
        <f aca="false">IF(H$46=$C$41,H47*$C$42*(1-$C$43),0)</f>
        <v>0</v>
      </c>
      <c r="I51" s="66" t="n">
        <f aca="false">IF(I$46=$C$41,I47*$C$42*(1-$C$43),0)</f>
        <v>0</v>
      </c>
      <c r="J51" s="66" t="n">
        <f aca="false">IF(J$46=$C$41,J47*$C$42*(1-$C$43),0)</f>
        <v>0</v>
      </c>
      <c r="K51" s="66" t="n">
        <f aca="false">IF(K$46=$C$41,K47*$C$42*(1-$C$43),0)</f>
        <v>0</v>
      </c>
      <c r="L51" s="66" t="n">
        <f aca="false">IF(L$46=$C$41,L47*$C$42*(1-$C$43),0)</f>
        <v>0</v>
      </c>
      <c r="M51" s="66" t="n">
        <f aca="false">IF(M$46=$C$41,M47*$C$42*(1-$C$43),0)</f>
        <v>0</v>
      </c>
      <c r="N51" s="66" t="n">
        <f aca="false">IF(N$46=$C$41,N47*$C$42*(1-$C$43),0)</f>
        <v>0</v>
      </c>
      <c r="O51" s="66" t="n">
        <f aca="false">IF(O$46=$C$41,O47*$C$42*(1-$C$43),0)</f>
        <v>0</v>
      </c>
      <c r="P51" s="66" t="n">
        <f aca="false">IF(P$46=$C$41,P47*$C$42*(1-$C$43),0)</f>
        <v>0</v>
      </c>
      <c r="Q51" s="66" t="n">
        <f aca="false">IF(Q$46=$C$41,Q47*$C$42*(1-$C$43),0)</f>
        <v>0</v>
      </c>
      <c r="R51" s="66" t="n">
        <f aca="false">IF(R$46=$C$41,R47*$C$42*(1-$C$43),0)</f>
        <v>0</v>
      </c>
      <c r="S51" s="66" t="n">
        <f aca="false">IF(S$46=$C$41,S47*$C$42*(1-$C$43),0)</f>
        <v>0</v>
      </c>
      <c r="T51" s="66" t="n">
        <f aca="false">IF(T$46=$C$41,T47*$C$42*(1-$C$43),0)</f>
        <v>0</v>
      </c>
      <c r="U51" s="66" t="n">
        <f aca="false">IF(U$46=$C$41,U47*$C$42*(1-$C$43),0)</f>
        <v>0</v>
      </c>
      <c r="V51" s="66" t="n">
        <f aca="false">IF(V$46=$C$41,V47*$C$42*(1-$C$43),0)</f>
        <v>0</v>
      </c>
      <c r="W51" s="66" t="n">
        <f aca="false">IF(W$46=$C$41,W47*$C$42*(1-$C$43),0)</f>
        <v>0</v>
      </c>
      <c r="X51" s="66" t="n">
        <f aca="false">IF(X$46=$C$41,X47*$C$42*(1-$C$43),0)</f>
        <v>0</v>
      </c>
      <c r="Y51" s="66" t="n">
        <f aca="false">IF(Y$46=$C$41,Y47*$C$42*(1-$C$43),0)</f>
        <v>0</v>
      </c>
      <c r="Z51" s="66" t="n">
        <f aca="false">IF(Z$46=$C$41,Z47*$C$42*(1-$C$43),0)</f>
        <v>0</v>
      </c>
      <c r="AA51" s="66" t="n">
        <f aca="false">IF(AA$46=$C$41,AA47*$C$42*(1-$C$43),0)</f>
        <v>0</v>
      </c>
      <c r="AB51" s="66" t="n">
        <f aca="false">IF(AB$46=$C$41,AB47*$C$42*(1-$C$43),0)</f>
        <v>0</v>
      </c>
      <c r="AC51" s="66" t="n">
        <f aca="false">IF(AC$46=$C$41,AC47*$C$42*(1-$C$43),0)</f>
        <v>0</v>
      </c>
      <c r="AD51" s="66" t="n">
        <f aca="false">IF(AD$46=$C$41,AD47*$C$42*(1-$C$43),0)</f>
        <v>0</v>
      </c>
      <c r="AE51" s="66" t="n">
        <f aca="false">IF(AE$46=$C$41,AE47*$C$42*(1-$C$43),0)</f>
        <v>0</v>
      </c>
      <c r="AF51" s="66" t="n">
        <f aca="false">IF(AF$46=$C$41,AF47*$C$42*(1-$C$43),0)</f>
        <v>0</v>
      </c>
      <c r="AG51" s="66" t="n">
        <f aca="false">IF(AG$46=$C$41,AG47*$C$42*(1-$C$43),0)</f>
        <v>0</v>
      </c>
      <c r="AH51" s="66" t="n">
        <f aca="false">IF(AH$46=$C$41,AH47*$C$42*(1-$C$43),0)</f>
        <v>0</v>
      </c>
      <c r="AI51" s="66" t="n">
        <f aca="false">IF(AI$46=$C$41,AI47*$C$42*(1-$C$43),0)</f>
        <v>0</v>
      </c>
      <c r="AJ51" s="66" t="n">
        <f aca="false">IF(AJ$46=$C$41,AJ47*$C$42*(1-$C$43),0)</f>
        <v>0</v>
      </c>
      <c r="AK51" s="66" t="n">
        <f aca="false">IF(AK$46=$C$41,AK47*$C$42*(1-$C$43),0)</f>
        <v>0</v>
      </c>
      <c r="AL51" s="66" t="n">
        <f aca="false">IF(AL$46=$C$41,AL47*$C$42*(1-$C$43),0)</f>
        <v>0</v>
      </c>
      <c r="AM51" s="66" t="n">
        <f aca="false">IF(AM$46=$C$41,AM47*$C$42*(1-$C$43),0)</f>
        <v>0</v>
      </c>
      <c r="AN51" s="66" t="n">
        <f aca="false">IF(AN$46=$C$41,AN47*$C$42*(1-$C$43),0)</f>
        <v>0</v>
      </c>
      <c r="AO51" s="66" t="n">
        <f aca="false">IF(AO$46=$C$41,AO47*$C$42*(1-$C$43),0)</f>
        <v>0</v>
      </c>
      <c r="AP51" s="66" t="n">
        <f aca="false">IF(AP$46=$C$41,AP47*$C$42*(1-$C$43),0)</f>
        <v>0</v>
      </c>
      <c r="AQ51" s="66" t="n">
        <f aca="false">IF(AQ$46=$C$41,AQ47*$C$42*(1-$C$43),0)</f>
        <v>0</v>
      </c>
      <c r="AR51" s="66" t="n">
        <f aca="false">IF(AR$46=$C$41,AR47*$C$42*(1-$C$43),0)</f>
        <v>0</v>
      </c>
      <c r="AS51" s="66" t="n">
        <f aca="false">IF(AS$46=$C$41,AS47*$C$42*(1-$C$43),0)</f>
        <v>0</v>
      </c>
      <c r="AT51" s="66" t="n">
        <f aca="false">IF(AT$46=$C$41,AT47*$C$42*(1-$C$43),0)</f>
        <v>0</v>
      </c>
      <c r="AU51" s="66" t="n">
        <f aca="false">IF(AU$46=$C$41,AU47*$C$42*(1-$C$43),0)</f>
        <v>0</v>
      </c>
      <c r="AV51" s="66" t="n">
        <f aca="false">IF(AV$46=$C$41,AV47*$C$42*(1-$C$43),0)</f>
        <v>0</v>
      </c>
      <c r="AW51" s="66" t="n">
        <f aca="false">IF(AW$46=$C$41,AW47*$C$42*(1-$C$43),0)</f>
        <v>0</v>
      </c>
      <c r="AX51" s="66" t="n">
        <f aca="false">IF(AX$46=$C$41,AX47*$C$42*(1-$C$43),0)</f>
        <v>0</v>
      </c>
      <c r="AY51" s="66" t="n">
        <f aca="false">IF(AY$46=$C$41,AY47*$C$42*(1-$C$43),0)</f>
        <v>0</v>
      </c>
      <c r="AZ51" s="66" t="n">
        <f aca="false">IF(AZ$46=$C$41,AZ47*$C$42*(1-$C$43),0)</f>
        <v>0</v>
      </c>
      <c r="BA51" s="66" t="n">
        <f aca="false">IF(BA$46=$C$41,BA47*$C$42*(1-$C$43),0)</f>
        <v>0</v>
      </c>
      <c r="BB51" s="66" t="n">
        <f aca="false">IF(BB$46=$C$41,BB47*$C$42*(1-$C$43),0)</f>
        <v>0</v>
      </c>
    </row>
    <row r="52" customFormat="false" ht="15" hidden="false" customHeight="true" outlineLevel="0" collapsed="false">
      <c r="B52" s="59" t="s">
        <v>464</v>
      </c>
      <c r="C52" s="59" t="s">
        <v>11</v>
      </c>
      <c r="D52" s="63" t="n">
        <f aca="false">SUM(E52:BB52)</f>
        <v>0</v>
      </c>
      <c r="E52" s="66" t="n">
        <f aca="false">IF(AND(E$46&gt;=$C$9,E$46&lt;=$C$41),E50+E51,0)</f>
        <v>0</v>
      </c>
      <c r="F52" s="66" t="n">
        <f aca="false">IF(AND(F$46&gt;=$C$9,F$46&lt;=$C$41),F50+F51,0)</f>
        <v>0</v>
      </c>
      <c r="G52" s="66" t="n">
        <f aca="false">IF(AND(G$46&gt;=$C$9,G$46&lt;=$C$41),G50+G51,0)</f>
        <v>0</v>
      </c>
      <c r="H52" s="66" t="n">
        <f aca="false">IF(AND(H$46&gt;=$C$9,H$46&lt;=$C$41),H50+H51,0)</f>
        <v>0</v>
      </c>
      <c r="I52" s="66" t="n">
        <f aca="false">IF(AND(I$46&gt;=$C$9,I$46&lt;=$C$41),I50+I51,0)</f>
        <v>0</v>
      </c>
      <c r="J52" s="66" t="n">
        <f aca="false">IF(AND(J$46&gt;=$C$9,J$46&lt;=$C$41),J50+J51,0)</f>
        <v>0</v>
      </c>
      <c r="K52" s="66" t="n">
        <f aca="false">IF(AND(K$46&gt;=$C$9,K$46&lt;=$C$41),K50+K51,0)</f>
        <v>0</v>
      </c>
      <c r="L52" s="66" t="n">
        <f aca="false">IF(AND(L$46&gt;=$C$9,L$46&lt;=$C$41),L50+L51,0)</f>
        <v>0</v>
      </c>
      <c r="M52" s="66" t="n">
        <f aca="false">IF(AND(M$46&gt;=$C$9,M$46&lt;=$C$41),M50+M51,0)</f>
        <v>0</v>
      </c>
      <c r="N52" s="66" t="n">
        <f aca="false">IF(AND(N$46&gt;=$C$9,N$46&lt;=$C$41),N50+N51,0)</f>
        <v>0</v>
      </c>
      <c r="O52" s="66" t="n">
        <f aca="false">IF(AND(O$46&gt;=$C$9,O$46&lt;=$C$41),O50+O51,0)</f>
        <v>0</v>
      </c>
      <c r="P52" s="66" t="n">
        <f aca="false">IF(AND(P$46&gt;=$C$9,P$46&lt;=$C$41),P50+P51,0)</f>
        <v>0</v>
      </c>
      <c r="Q52" s="66" t="n">
        <f aca="false">IF(AND(Q$46&gt;=$C$9,Q$46&lt;=$C$41),Q50+Q51,0)</f>
        <v>0</v>
      </c>
      <c r="R52" s="66" t="n">
        <f aca="false">IF(AND(R$46&gt;=$C$9,R$46&lt;=$C$41),R50+R51,0)</f>
        <v>0</v>
      </c>
      <c r="S52" s="66" t="n">
        <f aca="false">IF(AND(S$46&gt;=$C$9,S$46&lt;=$C$41),S50+S51,0)</f>
        <v>0</v>
      </c>
      <c r="T52" s="66" t="n">
        <f aca="false">IF(AND(T$46&gt;=$C$9,T$46&lt;=$C$41),T50+T51,0)</f>
        <v>0</v>
      </c>
      <c r="U52" s="66" t="n">
        <f aca="false">IF(AND(U$46&gt;=$C$9,U$46&lt;=$C$41),U50+U51,0)</f>
        <v>0</v>
      </c>
      <c r="V52" s="66" t="n">
        <f aca="false">IF(AND(V$46&gt;=$C$9,V$46&lt;=$C$41),V50+V51,0)</f>
        <v>0</v>
      </c>
      <c r="W52" s="66" t="n">
        <f aca="false">IF(AND(W$46&gt;=$C$9,W$46&lt;=$C$41),W50+W51,0)</f>
        <v>0</v>
      </c>
      <c r="X52" s="66" t="n">
        <f aca="false">IF(AND(X$46&gt;=$C$9,X$46&lt;=$C$41),X50+X51,0)</f>
        <v>0</v>
      </c>
      <c r="Y52" s="66" t="n">
        <f aca="false">IF(AND(Y$46&gt;=$C$9,Y$46&lt;=$C$41),Y50+Y51,0)</f>
        <v>0</v>
      </c>
      <c r="Z52" s="66" t="n">
        <f aca="false">IF(AND(Z$46&gt;=$C$9,Z$46&lt;=$C$41),Z50+Z51,0)</f>
        <v>0</v>
      </c>
      <c r="AA52" s="66" t="n">
        <f aca="false">IF(AND(AA$46&gt;=$C$9,AA$46&lt;=$C$41),AA50+AA51,0)</f>
        <v>0</v>
      </c>
      <c r="AB52" s="66" t="n">
        <f aca="false">IF(AND(AB$46&gt;=$C$9,AB$46&lt;=$C$41),AB50+AB51,0)</f>
        <v>0</v>
      </c>
      <c r="AC52" s="66" t="n">
        <f aca="false">IF(AND(AC$46&gt;=$C$9,AC$46&lt;=$C$41),AC50+AC51,0)</f>
        <v>0</v>
      </c>
      <c r="AD52" s="66" t="n">
        <f aca="false">IF(AND(AD$46&gt;=$C$9,AD$46&lt;=$C$41),AD50+AD51,0)</f>
        <v>0</v>
      </c>
      <c r="AE52" s="66" t="n">
        <f aca="false">IF(AND(AE$46&gt;=$C$9,AE$46&lt;=$C$41),AE50+AE51,0)</f>
        <v>0</v>
      </c>
      <c r="AF52" s="66" t="n">
        <f aca="false">IF(AND(AF$46&gt;=$C$9,AF$46&lt;=$C$41),AF50+AF51,0)</f>
        <v>0</v>
      </c>
      <c r="AG52" s="66" t="n">
        <f aca="false">IF(AND(AG$46&gt;=$C$9,AG$46&lt;=$C$41),AG50+AG51,0)</f>
        <v>0</v>
      </c>
      <c r="AH52" s="66" t="n">
        <f aca="false">IF(AND(AH$46&gt;=$C$9,AH$46&lt;=$C$41),AH50+AH51,0)</f>
        <v>0</v>
      </c>
      <c r="AI52" s="66" t="n">
        <f aca="false">IF(AND(AI$46&gt;=$C$9,AI$46&lt;=$C$41),AI50+AI51,0)</f>
        <v>0</v>
      </c>
      <c r="AJ52" s="66" t="n">
        <f aca="false">IF(AND(AJ$46&gt;=$C$9,AJ$46&lt;=$C$41),AJ50+AJ51,0)</f>
        <v>0</v>
      </c>
      <c r="AK52" s="66" t="n">
        <f aca="false">IF(AND(AK$46&gt;=$C$9,AK$46&lt;=$C$41),AK50+AK51,0)</f>
        <v>0</v>
      </c>
      <c r="AL52" s="66" t="n">
        <f aca="false">IF(AND(AL$46&gt;=$C$9,AL$46&lt;=$C$41),AL50+AL51,0)</f>
        <v>0</v>
      </c>
      <c r="AM52" s="66" t="n">
        <f aca="false">IF(AND(AM$46&gt;=$C$9,AM$46&lt;=$C$41),AM50+AM51,0)</f>
        <v>0</v>
      </c>
      <c r="AN52" s="66" t="n">
        <f aca="false">IF(AND(AN$46&gt;=$C$9,AN$46&lt;=$C$41),AN50+AN51,0)</f>
        <v>0</v>
      </c>
      <c r="AO52" s="66" t="n">
        <f aca="false">IF(AND(AO$46&gt;=$C$9,AO$46&lt;=$C$41),AO50+AO51,0)</f>
        <v>0</v>
      </c>
      <c r="AP52" s="66" t="n">
        <f aca="false">IF(AND(AP$46&gt;=$C$9,AP$46&lt;=$C$41),AP50+AP51,0)</f>
        <v>0</v>
      </c>
      <c r="AQ52" s="66" t="n">
        <f aca="false">IF(AND(AQ$46&gt;=$C$9,AQ$46&lt;=$C$41),AQ50+AQ51,0)</f>
        <v>0</v>
      </c>
      <c r="AR52" s="66" t="n">
        <f aca="false">IF(AND(AR$46&gt;=$C$9,AR$46&lt;=$C$41),AR50+AR51,0)</f>
        <v>0</v>
      </c>
      <c r="AS52" s="66" t="n">
        <f aca="false">IF(AND(AS$46&gt;=$C$9,AS$46&lt;=$C$41),AS50+AS51,0)</f>
        <v>0</v>
      </c>
      <c r="AT52" s="66" t="n">
        <f aca="false">IF(AND(AT$46&gt;=$C$9,AT$46&lt;=$C$41),AT50+AT51,0)</f>
        <v>0</v>
      </c>
      <c r="AU52" s="66" t="n">
        <f aca="false">IF(AND(AU$46&gt;=$C$9,AU$46&lt;=$C$41),AU50+AU51,0)</f>
        <v>0</v>
      </c>
      <c r="AV52" s="66" t="n">
        <f aca="false">IF(AND(AV$46&gt;=$C$9,AV$46&lt;=$C$41),AV50+AV51,0)</f>
        <v>0</v>
      </c>
      <c r="AW52" s="66" t="n">
        <f aca="false">IF(AND(AW$46&gt;=$C$9,AW$46&lt;=$C$41),AW50+AW51,0)</f>
        <v>0</v>
      </c>
      <c r="AX52" s="66" t="n">
        <f aca="false">IF(AND(AX$46&gt;=$C$9,AX$46&lt;=$C$41),AX50+AX51,0)</f>
        <v>0</v>
      </c>
      <c r="AY52" s="66" t="n">
        <f aca="false">IF(AND(AY$46&gt;=$C$9,AY$46&lt;=$C$41),AY50+AY51,0)</f>
        <v>0</v>
      </c>
      <c r="AZ52" s="66" t="n">
        <f aca="false">IF(AND(AZ$46&gt;=$C$9,AZ$46&lt;=$C$41),AZ50+AZ51,0)</f>
        <v>0</v>
      </c>
      <c r="BA52" s="66" t="n">
        <f aca="false">IF(AND(BA$46&gt;=$C$9,BA$46&lt;=$C$41),BA50+BA51,0)</f>
        <v>0</v>
      </c>
      <c r="BB52" s="66" t="n">
        <f aca="false">IF(AND(BB$46&gt;=$C$9,BB$46&lt;=$C$41),BB50+BB51,0)</f>
        <v>0</v>
      </c>
    </row>
    <row r="54" customFormat="false" ht="15" hidden="false" customHeight="true" outlineLevel="0" collapsed="false">
      <c r="A54" s="58" t="s">
        <v>465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  <c r="AY54" s="58"/>
      <c r="AZ54" s="58"/>
      <c r="BA54" s="58"/>
      <c r="BB54" s="58"/>
    </row>
    <row r="55" customFormat="false" ht="15" hidden="false" customHeight="true" outlineLevel="0" collapsed="false">
      <c r="C55" s="69" t="s">
        <v>262</v>
      </c>
      <c r="D55" s="69" t="s">
        <v>60</v>
      </c>
      <c r="E55" s="70" t="n">
        <f aca="false">E$46</f>
        <v>2026</v>
      </c>
      <c r="F55" s="70" t="n">
        <f aca="false">F$46</f>
        <v>2027</v>
      </c>
      <c r="G55" s="70" t="n">
        <f aca="false">G$46</f>
        <v>2028</v>
      </c>
      <c r="H55" s="70" t="n">
        <f aca="false">H$46</f>
        <v>2029</v>
      </c>
      <c r="I55" s="70" t="n">
        <f aca="false">I$46</f>
        <v>2030</v>
      </c>
      <c r="J55" s="70" t="n">
        <f aca="false">J$46</f>
        <v>2031</v>
      </c>
      <c r="K55" s="70" t="n">
        <f aca="false">K$46</f>
        <v>2032</v>
      </c>
      <c r="L55" s="70" t="n">
        <f aca="false">L$46</f>
        <v>2033</v>
      </c>
      <c r="M55" s="70" t="n">
        <f aca="false">M$46</f>
        <v>2034</v>
      </c>
      <c r="N55" s="70" t="n">
        <f aca="false">N$46</f>
        <v>2035</v>
      </c>
      <c r="O55" s="70" t="n">
        <f aca="false">O$46</f>
        <v>2036</v>
      </c>
      <c r="P55" s="70" t="n">
        <f aca="false">P$46</f>
        <v>2037</v>
      </c>
      <c r="Q55" s="70" t="n">
        <f aca="false">Q$46</f>
        <v>2038</v>
      </c>
      <c r="R55" s="70" t="n">
        <f aca="false">R$46</f>
        <v>2039</v>
      </c>
      <c r="S55" s="70" t="n">
        <f aca="false">S$46</f>
        <v>2040</v>
      </c>
      <c r="T55" s="70" t="n">
        <f aca="false">T$46</f>
        <v>2041</v>
      </c>
      <c r="U55" s="70" t="n">
        <f aca="false">U$46</f>
        <v>2042</v>
      </c>
      <c r="V55" s="70" t="n">
        <f aca="false">V$46</f>
        <v>2043</v>
      </c>
      <c r="W55" s="70" t="n">
        <f aca="false">W$46</f>
        <v>2044</v>
      </c>
      <c r="X55" s="70" t="n">
        <f aca="false">X$46</f>
        <v>2045</v>
      </c>
      <c r="Y55" s="70" t="n">
        <f aca="false">Y$46</f>
        <v>2046</v>
      </c>
      <c r="Z55" s="70" t="n">
        <f aca="false">Z$46</f>
        <v>2047</v>
      </c>
      <c r="AA55" s="70" t="n">
        <f aca="false">AA$46</f>
        <v>2048</v>
      </c>
      <c r="AB55" s="70" t="n">
        <f aca="false">AB$46</f>
        <v>2049</v>
      </c>
      <c r="AC55" s="70" t="n">
        <f aca="false">AC$46</f>
        <v>2050</v>
      </c>
      <c r="AD55" s="70" t="n">
        <f aca="false">AD$46</f>
        <v>2051</v>
      </c>
      <c r="AE55" s="70" t="n">
        <f aca="false">AE$46</f>
        <v>2052</v>
      </c>
      <c r="AF55" s="70" t="n">
        <f aca="false">AF$46</f>
        <v>2053</v>
      </c>
      <c r="AG55" s="70" t="n">
        <f aca="false">AG$46</f>
        <v>2054</v>
      </c>
      <c r="AH55" s="70" t="n">
        <f aca="false">AH$46</f>
        <v>2055</v>
      </c>
      <c r="AI55" s="70" t="n">
        <f aca="false">AI$46</f>
        <v>2056</v>
      </c>
      <c r="AJ55" s="70" t="n">
        <f aca="false">AJ$46</f>
        <v>2057</v>
      </c>
      <c r="AK55" s="70" t="n">
        <f aca="false">AK$46</f>
        <v>2058</v>
      </c>
      <c r="AL55" s="70" t="n">
        <f aca="false">AL$46</f>
        <v>2059</v>
      </c>
      <c r="AM55" s="70" t="n">
        <f aca="false">AM$46</f>
        <v>2060</v>
      </c>
      <c r="AN55" s="70" t="n">
        <f aca="false">AN$46</f>
        <v>2061</v>
      </c>
      <c r="AO55" s="70" t="n">
        <f aca="false">AO$46</f>
        <v>2062</v>
      </c>
      <c r="AP55" s="70" t="n">
        <f aca="false">AP$46</f>
        <v>2063</v>
      </c>
      <c r="AQ55" s="70" t="n">
        <f aca="false">AQ$46</f>
        <v>2064</v>
      </c>
      <c r="AR55" s="70" t="n">
        <f aca="false">AR$46</f>
        <v>2065</v>
      </c>
      <c r="AS55" s="70" t="n">
        <f aca="false">AS$46</f>
        <v>2066</v>
      </c>
      <c r="AT55" s="70" t="n">
        <f aca="false">AT$46</f>
        <v>2067</v>
      </c>
      <c r="AU55" s="70" t="n">
        <f aca="false">AU$46</f>
        <v>2068</v>
      </c>
      <c r="AV55" s="70" t="n">
        <f aca="false">AV$46</f>
        <v>2069</v>
      </c>
      <c r="AW55" s="70" t="n">
        <f aca="false">AW$46</f>
        <v>2070</v>
      </c>
      <c r="AX55" s="70" t="n">
        <f aca="false">AX$46</f>
        <v>2071</v>
      </c>
      <c r="AY55" s="70" t="n">
        <f aca="false">AY$46</f>
        <v>2072</v>
      </c>
      <c r="AZ55" s="70" t="n">
        <f aca="false">AZ$46</f>
        <v>2073</v>
      </c>
      <c r="BA55" s="70" t="n">
        <f aca="false">BA$46</f>
        <v>2074</v>
      </c>
      <c r="BB55" s="70" t="n">
        <f aca="false">BB$46</f>
        <v>2075</v>
      </c>
    </row>
    <row r="56" customFormat="false" ht="15" hidden="false" customHeight="true" outlineLevel="0" collapsed="false">
      <c r="B56" s="59" t="s">
        <v>466</v>
      </c>
      <c r="C56" s="59" t="s">
        <v>11</v>
      </c>
      <c r="D56" s="63" t="n">
        <f aca="false">SUM(E56:BB56)</f>
        <v>0</v>
      </c>
      <c r="E56" s="66" t="n">
        <f aca="false">IF(AND(E49&lt;0,E$46&gt;=$C$9,E$46&lt;=$C$41),ABS(E49/$D$49)*$C$14,0)+E70</f>
        <v>0</v>
      </c>
      <c r="F56" s="66" t="n">
        <f aca="false">IF(AND(F49&lt;0,F$46&gt;=$C$9,F$46&lt;=$C$41),ABS(F49/$D$49)*$C$14,0)+F70</f>
        <v>0</v>
      </c>
      <c r="G56" s="66" t="n">
        <f aca="false">IF(AND(G49&lt;0,G$46&gt;=$C$9,G$46&lt;=$C$41),ABS(G49/$D$49)*$C$14,0)+G70</f>
        <v>0</v>
      </c>
      <c r="H56" s="66" t="n">
        <f aca="false">IF(AND(H49&lt;0,H$46&gt;=$C$9,H$46&lt;=$C$41),ABS(H49/$D$49)*$C$14,0)+H70</f>
        <v>0</v>
      </c>
      <c r="I56" s="66" t="n">
        <f aca="false">IF(AND(I49&lt;0,I$46&gt;=$C$9,I$46&lt;=$C$41),ABS(I49/$D$49)*$C$14,0)+I70</f>
        <v>0</v>
      </c>
      <c r="J56" s="66" t="n">
        <f aca="false">IF(AND(J49&lt;0,J$46&gt;=$C$9,J$46&lt;=$C$41),ABS(J49/$D$49)*$C$14,0)+J70</f>
        <v>0</v>
      </c>
      <c r="K56" s="66" t="n">
        <f aca="false">IF(AND(K49&lt;0,K$46&gt;=$C$9,K$46&lt;=$C$41),ABS(K49/$D$49)*$C$14,0)+K70</f>
        <v>0</v>
      </c>
      <c r="L56" s="66" t="n">
        <f aca="false">IF(AND(L49&lt;0,L$46&gt;=$C$9,L$46&lt;=$C$41),ABS(L49/$D$49)*$C$14,0)+L70</f>
        <v>0</v>
      </c>
      <c r="M56" s="66" t="n">
        <f aca="false">IF(AND(M49&lt;0,M$46&gt;=$C$9,M$46&lt;=$C$41),ABS(M49/$D$49)*$C$14,0)+M70</f>
        <v>0</v>
      </c>
      <c r="N56" s="66" t="n">
        <f aca="false">IF(AND(N49&lt;0,N$46&gt;=$C$9,N$46&lt;=$C$41),ABS(N49/$D$49)*$C$14,0)+N70</f>
        <v>0</v>
      </c>
      <c r="O56" s="66" t="n">
        <f aca="false">IF(AND(O49&lt;0,O$46&gt;=$C$9,O$46&lt;=$C$41),ABS(O49/$D$49)*$C$14,0)+O70</f>
        <v>0</v>
      </c>
      <c r="P56" s="66" t="n">
        <f aca="false">IF(AND(P49&lt;0,P$46&gt;=$C$9,P$46&lt;=$C$41),ABS(P49/$D$49)*$C$14,0)+P70</f>
        <v>0</v>
      </c>
      <c r="Q56" s="66" t="n">
        <f aca="false">IF(AND(Q49&lt;0,Q$46&gt;=$C$9,Q$46&lt;=$C$41),ABS(Q49/$D$49)*$C$14,0)+Q70</f>
        <v>0</v>
      </c>
      <c r="R56" s="66" t="n">
        <f aca="false">IF(AND(R49&lt;0,R$46&gt;=$C$9,R$46&lt;=$C$41),ABS(R49/$D$49)*$C$14,0)+R70</f>
        <v>0</v>
      </c>
      <c r="S56" s="66" t="n">
        <f aca="false">IF(AND(S49&lt;0,S$46&gt;=$C$9,S$46&lt;=$C$41),ABS(S49/$D$49)*$C$14,0)+S70</f>
        <v>0</v>
      </c>
      <c r="T56" s="66" t="n">
        <f aca="false">IF(AND(T49&lt;0,T$46&gt;=$C$9,T$46&lt;=$C$41),ABS(T49/$D$49)*$C$14,0)+T70</f>
        <v>0</v>
      </c>
      <c r="U56" s="66" t="n">
        <f aca="false">IF(AND(U49&lt;0,U$46&gt;=$C$9,U$46&lt;=$C$41),ABS(U49/$D$49)*$C$14,0)+U70</f>
        <v>0</v>
      </c>
      <c r="V56" s="66" t="n">
        <f aca="false">IF(AND(V49&lt;0,V$46&gt;=$C$9,V$46&lt;=$C$41),ABS(V49/$D$49)*$C$14,0)+V70</f>
        <v>0</v>
      </c>
      <c r="W56" s="66" t="n">
        <f aca="false">IF(AND(W49&lt;0,W$46&gt;=$C$9,W$46&lt;=$C$41),ABS(W49/$D$49)*$C$14,0)+W70</f>
        <v>0</v>
      </c>
      <c r="X56" s="66" t="n">
        <f aca="false">IF(AND(X49&lt;0,X$46&gt;=$C$9,X$46&lt;=$C$41),ABS(X49/$D$49)*$C$14,0)+X70</f>
        <v>0</v>
      </c>
      <c r="Y56" s="66" t="n">
        <f aca="false">IF(AND(Y49&lt;0,Y$46&gt;=$C$9,Y$46&lt;=$C$41),ABS(Y49/$D$49)*$C$14,0)+Y70</f>
        <v>0</v>
      </c>
      <c r="Z56" s="66" t="n">
        <f aca="false">IF(AND(Z49&lt;0,Z$46&gt;=$C$9,Z$46&lt;=$C$41),ABS(Z49/$D$49)*$C$14,0)+Z70</f>
        <v>0</v>
      </c>
      <c r="AA56" s="66" t="n">
        <f aca="false">IF(AND(AA49&lt;0,AA$46&gt;=$C$9,AA$46&lt;=$C$41),ABS(AA49/$D$49)*$C$14,0)+AA70</f>
        <v>0</v>
      </c>
      <c r="AB56" s="66" t="n">
        <f aca="false">IF(AND(AB49&lt;0,AB$46&gt;=$C$9,AB$46&lt;=$C$41),ABS(AB49/$D$49)*$C$14,0)+AB70</f>
        <v>0</v>
      </c>
      <c r="AC56" s="66" t="n">
        <f aca="false">IF(AND(AC49&lt;0,AC$46&gt;=$C$9,AC$46&lt;=$C$41),ABS(AC49/$D$49)*$C$14,0)+AC70</f>
        <v>0</v>
      </c>
      <c r="AD56" s="66" t="n">
        <f aca="false">IF(AND(AD49&lt;0,AD$46&gt;=$C$9,AD$46&lt;=$C$41),ABS(AD49/$D$49)*$C$14,0)+AD70</f>
        <v>0</v>
      </c>
      <c r="AE56" s="66" t="n">
        <f aca="false">IF(AND(AE49&lt;0,AE$46&gt;=$C$9,AE$46&lt;=$C$41),ABS(AE49/$D$49)*$C$14,0)+AE70</f>
        <v>0</v>
      </c>
      <c r="AF56" s="66" t="n">
        <f aca="false">IF(AND(AF49&lt;0,AF$46&gt;=$C$9,AF$46&lt;=$C$41),ABS(AF49/$D$49)*$C$14,0)+AF70</f>
        <v>0</v>
      </c>
      <c r="AG56" s="66" t="n">
        <f aca="false">IF(AND(AG49&lt;0,AG$46&gt;=$C$9,AG$46&lt;=$C$41),ABS(AG49/$D$49)*$C$14,0)+AG70</f>
        <v>0</v>
      </c>
      <c r="AH56" s="66" t="n">
        <f aca="false">IF(AND(AH49&lt;0,AH$46&gt;=$C$9,AH$46&lt;=$C$41),ABS(AH49/$D$49)*$C$14,0)+AH70</f>
        <v>0</v>
      </c>
      <c r="AI56" s="66" t="n">
        <f aca="false">IF(AND(AI49&lt;0,AI$46&gt;=$C$9,AI$46&lt;=$C$41),ABS(AI49/$D$49)*$C$14,0)+AI70</f>
        <v>0</v>
      </c>
      <c r="AJ56" s="66" t="n">
        <f aca="false">IF(AND(AJ49&lt;0,AJ$46&gt;=$C$9,AJ$46&lt;=$C$41),ABS(AJ49/$D$49)*$C$14,0)+AJ70</f>
        <v>0</v>
      </c>
      <c r="AK56" s="66" t="n">
        <f aca="false">IF(AND(AK49&lt;0,AK$46&gt;=$C$9,AK$46&lt;=$C$41),ABS(AK49/$D$49)*$C$14,0)+AK70</f>
        <v>0</v>
      </c>
      <c r="AL56" s="66" t="n">
        <f aca="false">IF(AND(AL49&lt;0,AL$46&gt;=$C$9,AL$46&lt;=$C$41),ABS(AL49/$D$49)*$C$14,0)+AL70</f>
        <v>0</v>
      </c>
      <c r="AM56" s="66" t="n">
        <f aca="false">IF(AND(AM49&lt;0,AM$46&gt;=$C$9,AM$46&lt;=$C$41),ABS(AM49/$D$49)*$C$14,0)+AM70</f>
        <v>0</v>
      </c>
      <c r="AN56" s="66" t="n">
        <f aca="false">IF(AND(AN49&lt;0,AN$46&gt;=$C$9,AN$46&lt;=$C$41),ABS(AN49/$D$49)*$C$14,0)+AN70</f>
        <v>0</v>
      </c>
      <c r="AO56" s="66" t="n">
        <f aca="false">IF(AND(AO49&lt;0,AO$46&gt;=$C$9,AO$46&lt;=$C$41),ABS(AO49/$D$49)*$C$14,0)+AO70</f>
        <v>0</v>
      </c>
      <c r="AP56" s="66" t="n">
        <f aca="false">IF(AND(AP49&lt;0,AP$46&gt;=$C$9,AP$46&lt;=$C$41),ABS(AP49/$D$49)*$C$14,0)+AP70</f>
        <v>0</v>
      </c>
      <c r="AQ56" s="66" t="n">
        <f aca="false">IF(AND(AQ49&lt;0,AQ$46&gt;=$C$9,AQ$46&lt;=$C$41),ABS(AQ49/$D$49)*$C$14,0)+AQ70</f>
        <v>0</v>
      </c>
      <c r="AR56" s="66" t="n">
        <f aca="false">IF(AND(AR49&lt;0,AR$46&gt;=$C$9,AR$46&lt;=$C$41),ABS(AR49/$D$49)*$C$14,0)+AR70</f>
        <v>0</v>
      </c>
      <c r="AS56" s="66" t="n">
        <f aca="false">IF(AND(AS49&lt;0,AS$46&gt;=$C$9,AS$46&lt;=$C$41),ABS(AS49/$D$49)*$C$14,0)+AS70</f>
        <v>0</v>
      </c>
      <c r="AT56" s="66" t="n">
        <f aca="false">IF(AND(AT49&lt;0,AT$46&gt;=$C$9,AT$46&lt;=$C$41),ABS(AT49/$D$49)*$C$14,0)+AT70</f>
        <v>0</v>
      </c>
      <c r="AU56" s="66" t="n">
        <f aca="false">IF(AND(AU49&lt;0,AU$46&gt;=$C$9,AU$46&lt;=$C$41),ABS(AU49/$D$49)*$C$14,0)+AU70</f>
        <v>0</v>
      </c>
      <c r="AV56" s="66" t="n">
        <f aca="false">IF(AND(AV49&lt;0,AV$46&gt;=$C$9,AV$46&lt;=$C$41),ABS(AV49/$D$49)*$C$14,0)+AV70</f>
        <v>0</v>
      </c>
      <c r="AW56" s="66" t="n">
        <f aca="false">IF(AND(AW49&lt;0,AW$46&gt;=$C$9,AW$46&lt;=$C$41),ABS(AW49/$D$49)*$C$14,0)+AW70</f>
        <v>0</v>
      </c>
      <c r="AX56" s="66" t="n">
        <f aca="false">IF(AND(AX49&lt;0,AX$46&gt;=$C$9,AX$46&lt;=$C$41),ABS(AX49/$D$49)*$C$14,0)+AX70</f>
        <v>0</v>
      </c>
      <c r="AY56" s="66" t="n">
        <f aca="false">IF(AND(AY49&lt;0,AY$46&gt;=$C$9,AY$46&lt;=$C$41),ABS(AY49/$D$49)*$C$14,0)+AY70</f>
        <v>0</v>
      </c>
      <c r="AZ56" s="66" t="n">
        <f aca="false">IF(AND(AZ49&lt;0,AZ$46&gt;=$C$9,AZ$46&lt;=$C$41),ABS(AZ49/$D$49)*$C$14,0)+AZ70</f>
        <v>0</v>
      </c>
      <c r="BA56" s="66" t="n">
        <f aca="false">IF(AND(BA49&lt;0,BA$46&gt;=$C$9,BA$46&lt;=$C$41),ABS(BA49/$D$49)*$C$14,0)+BA70</f>
        <v>0</v>
      </c>
      <c r="BB56" s="66" t="n">
        <f aca="false">IF(AND(BB49&lt;0,BB$46&gt;=$C$9,BB$46&lt;=$C$41),ABS(BB49/$D$49)*$C$14,0)+BB70</f>
        <v>0</v>
      </c>
    </row>
    <row r="57" customFormat="false" ht="15" hidden="false" customHeight="true" outlineLevel="0" collapsed="false">
      <c r="B57" s="59" t="s">
        <v>467</v>
      </c>
      <c r="C57" s="59" t="s">
        <v>11</v>
      </c>
      <c r="D57" s="63" t="n">
        <f aca="false">SUM(E57:BB57)</f>
        <v>0</v>
      </c>
      <c r="E57" s="66" t="n">
        <f aca="false">IF(AND($C$22="Y",E49&lt;0,E$46&gt;=$C$9,E$46&lt;=$C$41),MIN(ABS(E49/$D$49)*$C$19,MAX(0,$C$19-0)),0)</f>
        <v>0</v>
      </c>
      <c r="F57" s="66" t="n">
        <f aca="false">IF(AND($C$22="Y",F49&lt;0,F$46&gt;=$C$9,F$46&lt;=$C$41),MIN(ABS(F49/$D$49)*$C$19,MAX(0,$C$19-E60)),0)</f>
        <v>0</v>
      </c>
      <c r="G57" s="66" t="n">
        <f aca="false">IF(AND($C$22="Y",G49&lt;0,G$46&gt;=$C$9,G$46&lt;=$C$41),MIN(ABS(G49/$D$49)*$C$19,MAX(0,$C$19-F60)),0)</f>
        <v>0</v>
      </c>
      <c r="H57" s="66" t="n">
        <f aca="false">IF(AND($C$22="Y",H49&lt;0,H$46&gt;=$C$9,H$46&lt;=$C$41),MIN(ABS(H49/$D$49)*$C$19,MAX(0,$C$19-G60)),0)</f>
        <v>0</v>
      </c>
      <c r="I57" s="66" t="n">
        <f aca="false">IF(AND($C$22="Y",I49&lt;0,I$46&gt;=$C$9,I$46&lt;=$C$41),MIN(ABS(I49/$D$49)*$C$19,MAX(0,$C$19-H60)),0)</f>
        <v>0</v>
      </c>
      <c r="J57" s="66" t="n">
        <f aca="false">IF(AND($C$22="Y",J49&lt;0,J$46&gt;=$C$9,J$46&lt;=$C$41),MIN(ABS(J49/$D$49)*$C$19,MAX(0,$C$19-I60)),0)</f>
        <v>0</v>
      </c>
      <c r="K57" s="66" t="n">
        <f aca="false">IF(AND($C$22="Y",K49&lt;0,K$46&gt;=$C$9,K$46&lt;=$C$41),MIN(ABS(K49/$D$49)*$C$19,MAX(0,$C$19-J60)),0)</f>
        <v>0</v>
      </c>
      <c r="L57" s="66" t="n">
        <f aca="false">IF(AND($C$22="Y",L49&lt;0,L$46&gt;=$C$9,L$46&lt;=$C$41),MIN(ABS(L49/$D$49)*$C$19,MAX(0,$C$19-K60)),0)</f>
        <v>0</v>
      </c>
      <c r="M57" s="66" t="n">
        <f aca="false">IF(AND($C$22="Y",M49&lt;0,M$46&gt;=$C$9,M$46&lt;=$C$41),MIN(ABS(M49/$D$49)*$C$19,MAX(0,$C$19-L60)),0)</f>
        <v>0</v>
      </c>
      <c r="N57" s="66" t="n">
        <f aca="false">IF(AND($C$22="Y",N49&lt;0,N$46&gt;=$C$9,N$46&lt;=$C$41),MIN(ABS(N49/$D$49)*$C$19,MAX(0,$C$19-M60)),0)</f>
        <v>0</v>
      </c>
      <c r="O57" s="66" t="n">
        <f aca="false">IF(AND($C$22="Y",O49&lt;0,O$46&gt;=$C$9,O$46&lt;=$C$41),MIN(ABS(O49/$D$49)*$C$19,MAX(0,$C$19-N60)),0)</f>
        <v>0</v>
      </c>
      <c r="P57" s="66" t="n">
        <f aca="false">IF(AND($C$22="Y",P49&lt;0,P$46&gt;=$C$9,P$46&lt;=$C$41),MIN(ABS(P49/$D$49)*$C$19,MAX(0,$C$19-O60)),0)</f>
        <v>0</v>
      </c>
      <c r="Q57" s="66" t="n">
        <f aca="false">IF(AND($C$22="Y",Q49&lt;0,Q$46&gt;=$C$9,Q$46&lt;=$C$41),MIN(ABS(Q49/$D$49)*$C$19,MAX(0,$C$19-P60)),0)</f>
        <v>0</v>
      </c>
      <c r="R57" s="66" t="n">
        <f aca="false">IF(AND($C$22="Y",R49&lt;0,R$46&gt;=$C$9,R$46&lt;=$C$41),MIN(ABS(R49/$D$49)*$C$19,MAX(0,$C$19-Q60)),0)</f>
        <v>0</v>
      </c>
      <c r="S57" s="66" t="n">
        <f aca="false">IF(AND($C$22="Y",S49&lt;0,S$46&gt;=$C$9,S$46&lt;=$C$41),MIN(ABS(S49/$D$49)*$C$19,MAX(0,$C$19-R60)),0)</f>
        <v>0</v>
      </c>
      <c r="T57" s="66" t="n">
        <f aca="false">IF(AND($C$22="Y",T49&lt;0,T$46&gt;=$C$9,T$46&lt;=$C$41),MIN(ABS(T49/$D$49)*$C$19,MAX(0,$C$19-S60)),0)</f>
        <v>0</v>
      </c>
      <c r="U57" s="66" t="n">
        <f aca="false">IF(AND($C$22="Y",U49&lt;0,U$46&gt;=$C$9,U$46&lt;=$C$41),MIN(ABS(U49/$D$49)*$C$19,MAX(0,$C$19-T60)),0)</f>
        <v>0</v>
      </c>
      <c r="V57" s="66" t="n">
        <f aca="false">IF(AND($C$22="Y",V49&lt;0,V$46&gt;=$C$9,V$46&lt;=$C$41),MIN(ABS(V49/$D$49)*$C$19,MAX(0,$C$19-U60)),0)</f>
        <v>0</v>
      </c>
      <c r="W57" s="66" t="n">
        <f aca="false">IF(AND($C$22="Y",W49&lt;0,W$46&gt;=$C$9,W$46&lt;=$C$41),MIN(ABS(W49/$D$49)*$C$19,MAX(0,$C$19-V60)),0)</f>
        <v>0</v>
      </c>
      <c r="X57" s="66" t="n">
        <f aca="false">IF(AND($C$22="Y",X49&lt;0,X$46&gt;=$C$9,X$46&lt;=$C$41),MIN(ABS(X49/$D$49)*$C$19,MAX(0,$C$19-W60)),0)</f>
        <v>0</v>
      </c>
      <c r="Y57" s="66" t="n">
        <f aca="false">IF(AND($C$22="Y",Y49&lt;0,Y$46&gt;=$C$9,Y$46&lt;=$C$41),MIN(ABS(Y49/$D$49)*$C$19,MAX(0,$C$19-X60)),0)</f>
        <v>0</v>
      </c>
      <c r="Z57" s="66" t="n">
        <f aca="false">IF(AND($C$22="Y",Z49&lt;0,Z$46&gt;=$C$9,Z$46&lt;=$C$41),MIN(ABS(Z49/$D$49)*$C$19,MAX(0,$C$19-Y60)),0)</f>
        <v>0</v>
      </c>
      <c r="AA57" s="66" t="n">
        <f aca="false">IF(AND($C$22="Y",AA49&lt;0,AA$46&gt;=$C$9,AA$46&lt;=$C$41),MIN(ABS(AA49/$D$49)*$C$19,MAX(0,$C$19-Z60)),0)</f>
        <v>0</v>
      </c>
      <c r="AB57" s="66" t="n">
        <f aca="false">IF(AND($C$22="Y",AB49&lt;0,AB$46&gt;=$C$9,AB$46&lt;=$C$41),MIN(ABS(AB49/$D$49)*$C$19,MAX(0,$C$19-AA60)),0)</f>
        <v>0</v>
      </c>
      <c r="AC57" s="66" t="n">
        <f aca="false">IF(AND($C$22="Y",AC49&lt;0,AC$46&gt;=$C$9,AC$46&lt;=$C$41),MIN(ABS(AC49/$D$49)*$C$19,MAX(0,$C$19-AB60)),0)</f>
        <v>0</v>
      </c>
      <c r="AD57" s="66" t="n">
        <f aca="false">IF(AND($C$22="Y",AD49&lt;0,AD$46&gt;=$C$9,AD$46&lt;=$C$41),MIN(ABS(AD49/$D$49)*$C$19,MAX(0,$C$19-AC60)),0)</f>
        <v>0</v>
      </c>
      <c r="AE57" s="66" t="n">
        <f aca="false">IF(AND($C$22="Y",AE49&lt;0,AE$46&gt;=$C$9,AE$46&lt;=$C$41),MIN(ABS(AE49/$D$49)*$C$19,MAX(0,$C$19-AD60)),0)</f>
        <v>0</v>
      </c>
      <c r="AF57" s="66" t="n">
        <f aca="false">IF(AND($C$22="Y",AF49&lt;0,AF$46&gt;=$C$9,AF$46&lt;=$C$41),MIN(ABS(AF49/$D$49)*$C$19,MAX(0,$C$19-AE60)),0)</f>
        <v>0</v>
      </c>
      <c r="AG57" s="66" t="n">
        <f aca="false">IF(AND($C$22="Y",AG49&lt;0,AG$46&gt;=$C$9,AG$46&lt;=$C$41),MIN(ABS(AG49/$D$49)*$C$19,MAX(0,$C$19-AF60)),0)</f>
        <v>0</v>
      </c>
      <c r="AH57" s="66" t="n">
        <f aca="false">IF(AND($C$22="Y",AH49&lt;0,AH$46&gt;=$C$9,AH$46&lt;=$C$41),MIN(ABS(AH49/$D$49)*$C$19,MAX(0,$C$19-AG60)),0)</f>
        <v>0</v>
      </c>
      <c r="AI57" s="66" t="n">
        <f aca="false">IF(AND($C$22="Y",AI49&lt;0,AI$46&gt;=$C$9,AI$46&lt;=$C$41),MIN(ABS(AI49/$D$49)*$C$19,MAX(0,$C$19-AH60)),0)</f>
        <v>0</v>
      </c>
      <c r="AJ57" s="66" t="n">
        <f aca="false">IF(AND($C$22="Y",AJ49&lt;0,AJ$46&gt;=$C$9,AJ$46&lt;=$C$41),MIN(ABS(AJ49/$D$49)*$C$19,MAX(0,$C$19-AI60)),0)</f>
        <v>0</v>
      </c>
      <c r="AK57" s="66" t="n">
        <f aca="false">IF(AND($C$22="Y",AK49&lt;0,AK$46&gt;=$C$9,AK$46&lt;=$C$41),MIN(ABS(AK49/$D$49)*$C$19,MAX(0,$C$19-AJ60)),0)</f>
        <v>0</v>
      </c>
      <c r="AL57" s="66" t="n">
        <f aca="false">IF(AND($C$22="Y",AL49&lt;0,AL$46&gt;=$C$9,AL$46&lt;=$C$41),MIN(ABS(AL49/$D$49)*$C$19,MAX(0,$C$19-AK60)),0)</f>
        <v>0</v>
      </c>
      <c r="AM57" s="66" t="n">
        <f aca="false">IF(AND($C$22="Y",AM49&lt;0,AM$46&gt;=$C$9,AM$46&lt;=$C$41),MIN(ABS(AM49/$D$49)*$C$19,MAX(0,$C$19-AL60)),0)</f>
        <v>0</v>
      </c>
      <c r="AN57" s="66" t="n">
        <f aca="false">IF(AND($C$22="Y",AN49&lt;0,AN$46&gt;=$C$9,AN$46&lt;=$C$41),MIN(ABS(AN49/$D$49)*$C$19,MAX(0,$C$19-AM60)),0)</f>
        <v>0</v>
      </c>
      <c r="AO57" s="66" t="n">
        <f aca="false">IF(AND($C$22="Y",AO49&lt;0,AO$46&gt;=$C$9,AO$46&lt;=$C$41),MIN(ABS(AO49/$D$49)*$C$19,MAX(0,$C$19-AN60)),0)</f>
        <v>0</v>
      </c>
      <c r="AP57" s="66" t="n">
        <f aca="false">IF(AND($C$22="Y",AP49&lt;0,AP$46&gt;=$C$9,AP$46&lt;=$C$41),MIN(ABS(AP49/$D$49)*$C$19,MAX(0,$C$19-AO60)),0)</f>
        <v>0</v>
      </c>
      <c r="AQ57" s="66" t="n">
        <f aca="false">IF(AND($C$22="Y",AQ49&lt;0,AQ$46&gt;=$C$9,AQ$46&lt;=$C$41),MIN(ABS(AQ49/$D$49)*$C$19,MAX(0,$C$19-AP60)),0)</f>
        <v>0</v>
      </c>
      <c r="AR57" s="66" t="n">
        <f aca="false">IF(AND($C$22="Y",AR49&lt;0,AR$46&gt;=$C$9,AR$46&lt;=$C$41),MIN(ABS(AR49/$D$49)*$C$19,MAX(0,$C$19-AQ60)),0)</f>
        <v>0</v>
      </c>
      <c r="AS57" s="66" t="n">
        <f aca="false">IF(AND($C$22="Y",AS49&lt;0,AS$46&gt;=$C$9,AS$46&lt;=$C$41),MIN(ABS(AS49/$D$49)*$C$19,MAX(0,$C$19-AR60)),0)</f>
        <v>0</v>
      </c>
      <c r="AT57" s="66" t="n">
        <f aca="false">IF(AND($C$22="Y",AT49&lt;0,AT$46&gt;=$C$9,AT$46&lt;=$C$41),MIN(ABS(AT49/$D$49)*$C$19,MAX(0,$C$19-AS60)),0)</f>
        <v>0</v>
      </c>
      <c r="AU57" s="66" t="n">
        <f aca="false">IF(AND($C$22="Y",AU49&lt;0,AU$46&gt;=$C$9,AU$46&lt;=$C$41),MIN(ABS(AU49/$D$49)*$C$19,MAX(0,$C$19-AT60)),0)</f>
        <v>0</v>
      </c>
      <c r="AV57" s="66" t="n">
        <f aca="false">IF(AND($C$22="Y",AV49&lt;0,AV$46&gt;=$C$9,AV$46&lt;=$C$41),MIN(ABS(AV49/$D$49)*$C$19,MAX(0,$C$19-AU60)),0)</f>
        <v>0</v>
      </c>
      <c r="AW57" s="66" t="n">
        <f aca="false">IF(AND($C$22="Y",AW49&lt;0,AW$46&gt;=$C$9,AW$46&lt;=$C$41),MIN(ABS(AW49/$D$49)*$C$19,MAX(0,$C$19-AV60)),0)</f>
        <v>0</v>
      </c>
      <c r="AX57" s="66" t="n">
        <f aca="false">IF(AND($C$22="Y",AX49&lt;0,AX$46&gt;=$C$9,AX$46&lt;=$C$41),MIN(ABS(AX49/$D$49)*$C$19,MAX(0,$C$19-AW60)),0)</f>
        <v>0</v>
      </c>
      <c r="AY57" s="66" t="n">
        <f aca="false">IF(AND($C$22="Y",AY49&lt;0,AY$46&gt;=$C$9,AY$46&lt;=$C$41),MIN(ABS(AY49/$D$49)*$C$19,MAX(0,$C$19-AX60)),0)</f>
        <v>0</v>
      </c>
      <c r="AZ57" s="66" t="n">
        <f aca="false">IF(AND($C$22="Y",AZ49&lt;0,AZ$46&gt;=$C$9,AZ$46&lt;=$C$41),MIN(ABS(AZ49/$D$49)*$C$19,MAX(0,$C$19-AY60)),0)</f>
        <v>0</v>
      </c>
      <c r="BA57" s="66" t="n">
        <f aca="false">IF(AND($C$22="Y",BA49&lt;0,BA$46&gt;=$C$9,BA$46&lt;=$C$41),MIN(ABS(BA49/$D$49)*$C$19,MAX(0,$C$19-AZ60)),0)</f>
        <v>0</v>
      </c>
      <c r="BB57" s="66" t="n">
        <f aca="false">IF(AND($C$22="Y",BB49&lt;0,BB$46&gt;=$C$9,BB$46&lt;=$C$41),MIN(ABS(BB49/$D$49)*$C$19,MAX(0,$C$19-BA60)),0)</f>
        <v>0</v>
      </c>
    </row>
    <row r="58" customFormat="false" ht="15" hidden="false" customHeight="true" outlineLevel="0" collapsed="false">
      <c r="B58" s="59" t="s">
        <v>468</v>
      </c>
      <c r="C58" s="59" t="s">
        <v>11</v>
      </c>
      <c r="D58" s="66" t="n">
        <f aca="false">SUM(E58:BB58)</f>
        <v>0</v>
      </c>
      <c r="E58" s="66" t="n">
        <f aca="false">0</f>
        <v>0</v>
      </c>
      <c r="F58" s="66" t="n">
        <f aca="false">E60</f>
        <v>0</v>
      </c>
      <c r="G58" s="66" t="n">
        <f aca="false">F60</f>
        <v>0</v>
      </c>
      <c r="H58" s="66" t="n">
        <f aca="false">G60</f>
        <v>0</v>
      </c>
      <c r="I58" s="66" t="n">
        <f aca="false">H60</f>
        <v>0</v>
      </c>
      <c r="J58" s="66" t="n">
        <f aca="false">I60</f>
        <v>0</v>
      </c>
      <c r="K58" s="66" t="n">
        <f aca="false">J60</f>
        <v>0</v>
      </c>
      <c r="L58" s="66" t="n">
        <f aca="false">K60</f>
        <v>0</v>
      </c>
      <c r="M58" s="66" t="n">
        <f aca="false">L60</f>
        <v>0</v>
      </c>
      <c r="N58" s="66" t="n">
        <f aca="false">M60</f>
        <v>0</v>
      </c>
      <c r="O58" s="66" t="n">
        <f aca="false">N60</f>
        <v>0</v>
      </c>
      <c r="P58" s="66" t="n">
        <f aca="false">O60</f>
        <v>0</v>
      </c>
      <c r="Q58" s="66" t="n">
        <f aca="false">P60</f>
        <v>0</v>
      </c>
      <c r="R58" s="66" t="n">
        <f aca="false">Q60</f>
        <v>0</v>
      </c>
      <c r="S58" s="66" t="n">
        <f aca="false">R60</f>
        <v>0</v>
      </c>
      <c r="T58" s="66" t="n">
        <f aca="false">S60</f>
        <v>0</v>
      </c>
      <c r="U58" s="66" t="n">
        <f aca="false">T60</f>
        <v>0</v>
      </c>
      <c r="V58" s="66" t="n">
        <f aca="false">U60</f>
        <v>0</v>
      </c>
      <c r="W58" s="66" t="n">
        <f aca="false">V60</f>
        <v>0</v>
      </c>
      <c r="X58" s="66" t="n">
        <f aca="false">W60</f>
        <v>0</v>
      </c>
      <c r="Y58" s="66" t="n">
        <f aca="false">X60</f>
        <v>0</v>
      </c>
      <c r="Z58" s="66" t="n">
        <f aca="false">Y60</f>
        <v>0</v>
      </c>
      <c r="AA58" s="66" t="n">
        <f aca="false">Z60</f>
        <v>0</v>
      </c>
      <c r="AB58" s="66" t="n">
        <f aca="false">AA60</f>
        <v>0</v>
      </c>
      <c r="AC58" s="66" t="n">
        <f aca="false">AB60</f>
        <v>0</v>
      </c>
      <c r="AD58" s="66" t="n">
        <f aca="false">AC60</f>
        <v>0</v>
      </c>
      <c r="AE58" s="66" t="n">
        <f aca="false">AD60</f>
        <v>0</v>
      </c>
      <c r="AF58" s="66" t="n">
        <f aca="false">AE60</f>
        <v>0</v>
      </c>
      <c r="AG58" s="66" t="n">
        <f aca="false">AF60</f>
        <v>0</v>
      </c>
      <c r="AH58" s="66" t="n">
        <f aca="false">AG60</f>
        <v>0</v>
      </c>
      <c r="AI58" s="66" t="n">
        <f aca="false">AH60</f>
        <v>0</v>
      </c>
      <c r="AJ58" s="66" t="n">
        <f aca="false">AI60</f>
        <v>0</v>
      </c>
      <c r="AK58" s="66" t="n">
        <f aca="false">AJ60</f>
        <v>0</v>
      </c>
      <c r="AL58" s="66" t="n">
        <f aca="false">AK60</f>
        <v>0</v>
      </c>
      <c r="AM58" s="66" t="n">
        <f aca="false">AL60</f>
        <v>0</v>
      </c>
      <c r="AN58" s="66" t="n">
        <f aca="false">AM60</f>
        <v>0</v>
      </c>
      <c r="AO58" s="66" t="n">
        <f aca="false">AN60</f>
        <v>0</v>
      </c>
      <c r="AP58" s="66" t="n">
        <f aca="false">AO60</f>
        <v>0</v>
      </c>
      <c r="AQ58" s="66" t="n">
        <f aca="false">AP60</f>
        <v>0</v>
      </c>
      <c r="AR58" s="66" t="n">
        <f aca="false">AQ60</f>
        <v>0</v>
      </c>
      <c r="AS58" s="66" t="n">
        <f aca="false">AR60</f>
        <v>0</v>
      </c>
      <c r="AT58" s="66" t="n">
        <f aca="false">AS60</f>
        <v>0</v>
      </c>
      <c r="AU58" s="66" t="n">
        <f aca="false">AT60</f>
        <v>0</v>
      </c>
      <c r="AV58" s="66" t="n">
        <f aca="false">AU60</f>
        <v>0</v>
      </c>
      <c r="AW58" s="66" t="n">
        <f aca="false">AV60</f>
        <v>0</v>
      </c>
      <c r="AX58" s="66" t="n">
        <f aca="false">AW60</f>
        <v>0</v>
      </c>
      <c r="AY58" s="66" t="n">
        <f aca="false">AX60</f>
        <v>0</v>
      </c>
      <c r="AZ58" s="66" t="n">
        <f aca="false">AY60</f>
        <v>0</v>
      </c>
      <c r="BA58" s="66" t="n">
        <f aca="false">AZ60</f>
        <v>0</v>
      </c>
      <c r="BB58" s="66" t="n">
        <f aca="false">BA60</f>
        <v>0</v>
      </c>
    </row>
    <row r="59" customFormat="false" ht="15" hidden="false" customHeight="true" outlineLevel="0" collapsed="false">
      <c r="B59" s="59" t="s">
        <v>469</v>
      </c>
      <c r="C59" s="59" t="s">
        <v>11</v>
      </c>
      <c r="D59" s="63" t="n">
        <f aca="false">SUM(E59:BB59)</f>
        <v>0</v>
      </c>
      <c r="E59" s="66" t="n">
        <f aca="false">IF(AND($C$22="Y",(E$46-$C$9+1)&gt;$C$26,E58&gt;0),-MIN(E58,$C$19/MAX(1,$C$24-$C$26)),0)</f>
        <v>0</v>
      </c>
      <c r="F59" s="66" t="n">
        <f aca="false">IF(AND($C$22="Y",(F$46-$C$9+1)&gt;$C$26,F58&gt;0),-MIN(F58,$C$19/MAX(1,$C$24-$C$26)),0)</f>
        <v>0</v>
      </c>
      <c r="G59" s="66" t="n">
        <f aca="false">IF(AND($C$22="Y",(G$46-$C$9+1)&gt;$C$26,G58&gt;0),-MIN(G58,$C$19/MAX(1,$C$24-$C$26)),0)</f>
        <v>0</v>
      </c>
      <c r="H59" s="66" t="n">
        <f aca="false">IF(AND($C$22="Y",(H$46-$C$9+1)&gt;$C$26,H58&gt;0),-MIN(H58,$C$19/MAX(1,$C$24-$C$26)),0)</f>
        <v>0</v>
      </c>
      <c r="I59" s="66" t="n">
        <f aca="false">IF(AND($C$22="Y",(I$46-$C$9+1)&gt;$C$26,I58&gt;0),-MIN(I58,$C$19/MAX(1,$C$24-$C$26)),0)</f>
        <v>0</v>
      </c>
      <c r="J59" s="66" t="n">
        <f aca="false">IF(AND($C$22="Y",(J$46-$C$9+1)&gt;$C$26,J58&gt;0),-MIN(J58,$C$19/MAX(1,$C$24-$C$26)),0)</f>
        <v>0</v>
      </c>
      <c r="K59" s="66" t="n">
        <f aca="false">IF(AND($C$22="Y",(K$46-$C$9+1)&gt;$C$26,K58&gt;0),-MIN(K58,$C$19/MAX(1,$C$24-$C$26)),0)</f>
        <v>0</v>
      </c>
      <c r="L59" s="66" t="n">
        <f aca="false">IF(AND($C$22="Y",(L$46-$C$9+1)&gt;$C$26,L58&gt;0),-MIN(L58,$C$19/MAX(1,$C$24-$C$26)),0)</f>
        <v>0</v>
      </c>
      <c r="M59" s="66" t="n">
        <f aca="false">IF(AND($C$22="Y",(M$46-$C$9+1)&gt;$C$26,M58&gt;0),-MIN(M58,$C$19/MAX(1,$C$24-$C$26)),0)</f>
        <v>0</v>
      </c>
      <c r="N59" s="66" t="n">
        <f aca="false">IF(AND($C$22="Y",(N$46-$C$9+1)&gt;$C$26,N58&gt;0),-MIN(N58,$C$19/MAX(1,$C$24-$C$26)),0)</f>
        <v>0</v>
      </c>
      <c r="O59" s="66" t="n">
        <f aca="false">IF(AND($C$22="Y",(O$46-$C$9+1)&gt;$C$26,O58&gt;0),-MIN(O58,$C$19/MAX(1,$C$24-$C$26)),0)</f>
        <v>0</v>
      </c>
      <c r="P59" s="66" t="n">
        <f aca="false">IF(AND($C$22="Y",(P$46-$C$9+1)&gt;$C$26,P58&gt;0),-MIN(P58,$C$19/MAX(1,$C$24-$C$26)),0)</f>
        <v>0</v>
      </c>
      <c r="Q59" s="66" t="n">
        <f aca="false">IF(AND($C$22="Y",(Q$46-$C$9+1)&gt;$C$26,Q58&gt;0),-MIN(Q58,$C$19/MAX(1,$C$24-$C$26)),0)</f>
        <v>0</v>
      </c>
      <c r="R59" s="66" t="n">
        <f aca="false">IF(AND($C$22="Y",(R$46-$C$9+1)&gt;$C$26,R58&gt;0),-MIN(R58,$C$19/MAX(1,$C$24-$C$26)),0)</f>
        <v>0</v>
      </c>
      <c r="S59" s="66" t="n">
        <f aca="false">IF(AND($C$22="Y",(S$46-$C$9+1)&gt;$C$26,S58&gt;0),-MIN(S58,$C$19/MAX(1,$C$24-$C$26)),0)</f>
        <v>0</v>
      </c>
      <c r="T59" s="66" t="n">
        <f aca="false">IF(AND($C$22="Y",(T$46-$C$9+1)&gt;$C$26,T58&gt;0),-MIN(T58,$C$19/MAX(1,$C$24-$C$26)),0)</f>
        <v>0</v>
      </c>
      <c r="U59" s="66" t="n">
        <f aca="false">IF(AND($C$22="Y",(U$46-$C$9+1)&gt;$C$26,U58&gt;0),-MIN(U58,$C$19/MAX(1,$C$24-$C$26)),0)</f>
        <v>0</v>
      </c>
      <c r="V59" s="66" t="n">
        <f aca="false">IF(AND($C$22="Y",(V$46-$C$9+1)&gt;$C$26,V58&gt;0),-MIN(V58,$C$19/MAX(1,$C$24-$C$26)),0)</f>
        <v>0</v>
      </c>
      <c r="W59" s="66" t="n">
        <f aca="false">IF(AND($C$22="Y",(W$46-$C$9+1)&gt;$C$26,W58&gt;0),-MIN(W58,$C$19/MAX(1,$C$24-$C$26)),0)</f>
        <v>0</v>
      </c>
      <c r="X59" s="66" t="n">
        <f aca="false">IF(AND($C$22="Y",(X$46-$C$9+1)&gt;$C$26,X58&gt;0),-MIN(X58,$C$19/MAX(1,$C$24-$C$26)),0)</f>
        <v>0</v>
      </c>
      <c r="Y59" s="66" t="n">
        <f aca="false">IF(AND($C$22="Y",(Y$46-$C$9+1)&gt;$C$26,Y58&gt;0),-MIN(Y58,$C$19/MAX(1,$C$24-$C$26)),0)</f>
        <v>0</v>
      </c>
      <c r="Z59" s="66" t="n">
        <f aca="false">IF(AND($C$22="Y",(Z$46-$C$9+1)&gt;$C$26,Z58&gt;0),-MIN(Z58,$C$19/MAX(1,$C$24-$C$26)),0)</f>
        <v>0</v>
      </c>
      <c r="AA59" s="66" t="n">
        <f aca="false">IF(AND($C$22="Y",(AA$46-$C$9+1)&gt;$C$26,AA58&gt;0),-MIN(AA58,$C$19/MAX(1,$C$24-$C$26)),0)</f>
        <v>0</v>
      </c>
      <c r="AB59" s="66" t="n">
        <f aca="false">IF(AND($C$22="Y",(AB$46-$C$9+1)&gt;$C$26,AB58&gt;0),-MIN(AB58,$C$19/MAX(1,$C$24-$C$26)),0)</f>
        <v>0</v>
      </c>
      <c r="AC59" s="66" t="n">
        <f aca="false">IF(AND($C$22="Y",(AC$46-$C$9+1)&gt;$C$26,AC58&gt;0),-MIN(AC58,$C$19/MAX(1,$C$24-$C$26)),0)</f>
        <v>0</v>
      </c>
      <c r="AD59" s="66" t="n">
        <f aca="false">IF(AND($C$22="Y",(AD$46-$C$9+1)&gt;$C$26,AD58&gt;0),-MIN(AD58,$C$19/MAX(1,$C$24-$C$26)),0)</f>
        <v>0</v>
      </c>
      <c r="AE59" s="66" t="n">
        <f aca="false">IF(AND($C$22="Y",(AE$46-$C$9+1)&gt;$C$26,AE58&gt;0),-MIN(AE58,$C$19/MAX(1,$C$24-$C$26)),0)</f>
        <v>0</v>
      </c>
      <c r="AF59" s="66" t="n">
        <f aca="false">IF(AND($C$22="Y",(AF$46-$C$9+1)&gt;$C$26,AF58&gt;0),-MIN(AF58,$C$19/MAX(1,$C$24-$C$26)),0)</f>
        <v>0</v>
      </c>
      <c r="AG59" s="66" t="n">
        <f aca="false">IF(AND($C$22="Y",(AG$46-$C$9+1)&gt;$C$26,AG58&gt;0),-MIN(AG58,$C$19/MAX(1,$C$24-$C$26)),0)</f>
        <v>0</v>
      </c>
      <c r="AH59" s="66" t="n">
        <f aca="false">IF(AND($C$22="Y",(AH$46-$C$9+1)&gt;$C$26,AH58&gt;0),-MIN(AH58,$C$19/MAX(1,$C$24-$C$26)),0)</f>
        <v>0</v>
      </c>
      <c r="AI59" s="66" t="n">
        <f aca="false">IF(AND($C$22="Y",(AI$46-$C$9+1)&gt;$C$26,AI58&gt;0),-MIN(AI58,$C$19/MAX(1,$C$24-$C$26)),0)</f>
        <v>0</v>
      </c>
      <c r="AJ59" s="66" t="n">
        <f aca="false">IF(AND($C$22="Y",(AJ$46-$C$9+1)&gt;$C$26,AJ58&gt;0),-MIN(AJ58,$C$19/MAX(1,$C$24-$C$26)),0)</f>
        <v>0</v>
      </c>
      <c r="AK59" s="66" t="n">
        <f aca="false">IF(AND($C$22="Y",(AK$46-$C$9+1)&gt;$C$26,AK58&gt;0),-MIN(AK58,$C$19/MAX(1,$C$24-$C$26)),0)</f>
        <v>0</v>
      </c>
      <c r="AL59" s="66" t="n">
        <f aca="false">IF(AND($C$22="Y",(AL$46-$C$9+1)&gt;$C$26,AL58&gt;0),-MIN(AL58,$C$19/MAX(1,$C$24-$C$26)),0)</f>
        <v>0</v>
      </c>
      <c r="AM59" s="66" t="n">
        <f aca="false">IF(AND($C$22="Y",(AM$46-$C$9+1)&gt;$C$26,AM58&gt;0),-MIN(AM58,$C$19/MAX(1,$C$24-$C$26)),0)</f>
        <v>0</v>
      </c>
      <c r="AN59" s="66" t="n">
        <f aca="false">IF(AND($C$22="Y",(AN$46-$C$9+1)&gt;$C$26,AN58&gt;0),-MIN(AN58,$C$19/MAX(1,$C$24-$C$26)),0)</f>
        <v>0</v>
      </c>
      <c r="AO59" s="66" t="n">
        <f aca="false">IF(AND($C$22="Y",(AO$46-$C$9+1)&gt;$C$26,AO58&gt;0),-MIN(AO58,$C$19/MAX(1,$C$24-$C$26)),0)</f>
        <v>0</v>
      </c>
      <c r="AP59" s="66" t="n">
        <f aca="false">IF(AND($C$22="Y",(AP$46-$C$9+1)&gt;$C$26,AP58&gt;0),-MIN(AP58,$C$19/MAX(1,$C$24-$C$26)),0)</f>
        <v>0</v>
      </c>
      <c r="AQ59" s="66" t="n">
        <f aca="false">IF(AND($C$22="Y",(AQ$46-$C$9+1)&gt;$C$26,AQ58&gt;0),-MIN(AQ58,$C$19/MAX(1,$C$24-$C$26)),0)</f>
        <v>0</v>
      </c>
      <c r="AR59" s="66" t="n">
        <f aca="false">IF(AND($C$22="Y",(AR$46-$C$9+1)&gt;$C$26,AR58&gt;0),-MIN(AR58,$C$19/MAX(1,$C$24-$C$26)),0)</f>
        <v>0</v>
      </c>
      <c r="AS59" s="66" t="n">
        <f aca="false">IF(AND($C$22="Y",(AS$46-$C$9+1)&gt;$C$26,AS58&gt;0),-MIN(AS58,$C$19/MAX(1,$C$24-$C$26)),0)</f>
        <v>0</v>
      </c>
      <c r="AT59" s="66" t="n">
        <f aca="false">IF(AND($C$22="Y",(AT$46-$C$9+1)&gt;$C$26,AT58&gt;0),-MIN(AT58,$C$19/MAX(1,$C$24-$C$26)),0)</f>
        <v>0</v>
      </c>
      <c r="AU59" s="66" t="n">
        <f aca="false">IF(AND($C$22="Y",(AU$46-$C$9+1)&gt;$C$26,AU58&gt;0),-MIN(AU58,$C$19/MAX(1,$C$24-$C$26)),0)</f>
        <v>0</v>
      </c>
      <c r="AV59" s="66" t="n">
        <f aca="false">IF(AND($C$22="Y",(AV$46-$C$9+1)&gt;$C$26,AV58&gt;0),-MIN(AV58,$C$19/MAX(1,$C$24-$C$26)),0)</f>
        <v>0</v>
      </c>
      <c r="AW59" s="66" t="n">
        <f aca="false">IF(AND($C$22="Y",(AW$46-$C$9+1)&gt;$C$26,AW58&gt;0),-MIN(AW58,$C$19/MAX(1,$C$24-$C$26)),0)</f>
        <v>0</v>
      </c>
      <c r="AX59" s="66" t="n">
        <f aca="false">IF(AND($C$22="Y",(AX$46-$C$9+1)&gt;$C$26,AX58&gt;0),-MIN(AX58,$C$19/MAX(1,$C$24-$C$26)),0)</f>
        <v>0</v>
      </c>
      <c r="AY59" s="66" t="n">
        <f aca="false">IF(AND($C$22="Y",(AY$46-$C$9+1)&gt;$C$26,AY58&gt;0),-MIN(AY58,$C$19/MAX(1,$C$24-$C$26)),0)</f>
        <v>0</v>
      </c>
      <c r="AZ59" s="66" t="n">
        <f aca="false">IF(AND($C$22="Y",(AZ$46-$C$9+1)&gt;$C$26,AZ58&gt;0),-MIN(AZ58,$C$19/MAX(1,$C$24-$C$26)),0)</f>
        <v>0</v>
      </c>
      <c r="BA59" s="66" t="n">
        <f aca="false">IF(AND($C$22="Y",(BA$46-$C$9+1)&gt;$C$26,BA58&gt;0),-MIN(BA58,$C$19/MAX(1,$C$24-$C$26)),0)</f>
        <v>0</v>
      </c>
      <c r="BB59" s="66" t="n">
        <f aca="false">IF(AND($C$22="Y",(BB$46-$C$9+1)&gt;$C$26,BB58&gt;0),-MIN(BB58,$C$19/MAX(1,$C$24-$C$26)),0)</f>
        <v>0</v>
      </c>
    </row>
    <row r="60" customFormat="false" ht="15" hidden="false" customHeight="true" outlineLevel="0" collapsed="false">
      <c r="B60" s="59" t="s">
        <v>470</v>
      </c>
      <c r="C60" s="59" t="s">
        <v>11</v>
      </c>
      <c r="D60" s="66" t="n">
        <f aca="false">SUM(E60:BB60)</f>
        <v>0</v>
      </c>
      <c r="E60" s="66" t="n">
        <f aca="false">MAX(0,E58+E57+E59)</f>
        <v>0</v>
      </c>
      <c r="F60" s="66" t="n">
        <f aca="false">MAX(0,F58+F57+F59)</f>
        <v>0</v>
      </c>
      <c r="G60" s="66" t="n">
        <f aca="false">MAX(0,G58+G57+G59)</f>
        <v>0</v>
      </c>
      <c r="H60" s="66" t="n">
        <f aca="false">MAX(0,H58+H57+H59)</f>
        <v>0</v>
      </c>
      <c r="I60" s="66" t="n">
        <f aca="false">MAX(0,I58+I57+I59)</f>
        <v>0</v>
      </c>
      <c r="J60" s="66" t="n">
        <f aca="false">MAX(0,J58+J57+J59)</f>
        <v>0</v>
      </c>
      <c r="K60" s="66" t="n">
        <f aca="false">MAX(0,K58+K57+K59)</f>
        <v>0</v>
      </c>
      <c r="L60" s="66" t="n">
        <f aca="false">MAX(0,L58+L57+L59)</f>
        <v>0</v>
      </c>
      <c r="M60" s="66" t="n">
        <f aca="false">MAX(0,M58+M57+M59)</f>
        <v>0</v>
      </c>
      <c r="N60" s="66" t="n">
        <f aca="false">MAX(0,N58+N57+N59)</f>
        <v>0</v>
      </c>
      <c r="O60" s="66" t="n">
        <f aca="false">MAX(0,O58+O57+O59)</f>
        <v>0</v>
      </c>
      <c r="P60" s="66" t="n">
        <f aca="false">MAX(0,P58+P57+P59)</f>
        <v>0</v>
      </c>
      <c r="Q60" s="66" t="n">
        <f aca="false">MAX(0,Q58+Q57+Q59)</f>
        <v>0</v>
      </c>
      <c r="R60" s="66" t="n">
        <f aca="false">MAX(0,R58+R57+R59)</f>
        <v>0</v>
      </c>
      <c r="S60" s="66" t="n">
        <f aca="false">MAX(0,S58+S57+S59)</f>
        <v>0</v>
      </c>
      <c r="T60" s="66" t="n">
        <f aca="false">MAX(0,T58+T57+T59)</f>
        <v>0</v>
      </c>
      <c r="U60" s="66" t="n">
        <f aca="false">MAX(0,U58+U57+U59)</f>
        <v>0</v>
      </c>
      <c r="V60" s="66" t="n">
        <f aca="false">MAX(0,V58+V57+V59)</f>
        <v>0</v>
      </c>
      <c r="W60" s="66" t="n">
        <f aca="false">MAX(0,W58+W57+W59)</f>
        <v>0</v>
      </c>
      <c r="X60" s="66" t="n">
        <f aca="false">MAX(0,X58+X57+X59)</f>
        <v>0</v>
      </c>
      <c r="Y60" s="66" t="n">
        <f aca="false">MAX(0,Y58+Y57+Y59)</f>
        <v>0</v>
      </c>
      <c r="Z60" s="66" t="n">
        <f aca="false">MAX(0,Z58+Z57+Z59)</f>
        <v>0</v>
      </c>
      <c r="AA60" s="66" t="n">
        <f aca="false">MAX(0,AA58+AA57+AA59)</f>
        <v>0</v>
      </c>
      <c r="AB60" s="66" t="n">
        <f aca="false">MAX(0,AB58+AB57+AB59)</f>
        <v>0</v>
      </c>
      <c r="AC60" s="66" t="n">
        <f aca="false">MAX(0,AC58+AC57+AC59)</f>
        <v>0</v>
      </c>
      <c r="AD60" s="66" t="n">
        <f aca="false">MAX(0,AD58+AD57+AD59)</f>
        <v>0</v>
      </c>
      <c r="AE60" s="66" t="n">
        <f aca="false">MAX(0,AE58+AE57+AE59)</f>
        <v>0</v>
      </c>
      <c r="AF60" s="66" t="n">
        <f aca="false">MAX(0,AF58+AF57+AF59)</f>
        <v>0</v>
      </c>
      <c r="AG60" s="66" t="n">
        <f aca="false">MAX(0,AG58+AG57+AG59)</f>
        <v>0</v>
      </c>
      <c r="AH60" s="66" t="n">
        <f aca="false">MAX(0,AH58+AH57+AH59)</f>
        <v>0</v>
      </c>
      <c r="AI60" s="66" t="n">
        <f aca="false">MAX(0,AI58+AI57+AI59)</f>
        <v>0</v>
      </c>
      <c r="AJ60" s="66" t="n">
        <f aca="false">MAX(0,AJ58+AJ57+AJ59)</f>
        <v>0</v>
      </c>
      <c r="AK60" s="66" t="n">
        <f aca="false">MAX(0,AK58+AK57+AK59)</f>
        <v>0</v>
      </c>
      <c r="AL60" s="66" t="n">
        <f aca="false">MAX(0,AL58+AL57+AL59)</f>
        <v>0</v>
      </c>
      <c r="AM60" s="66" t="n">
        <f aca="false">MAX(0,AM58+AM57+AM59)</f>
        <v>0</v>
      </c>
      <c r="AN60" s="66" t="n">
        <f aca="false">MAX(0,AN58+AN57+AN59)</f>
        <v>0</v>
      </c>
      <c r="AO60" s="66" t="n">
        <f aca="false">MAX(0,AO58+AO57+AO59)</f>
        <v>0</v>
      </c>
      <c r="AP60" s="66" t="n">
        <f aca="false">MAX(0,AP58+AP57+AP59)</f>
        <v>0</v>
      </c>
      <c r="AQ60" s="66" t="n">
        <f aca="false">MAX(0,AQ58+AQ57+AQ59)</f>
        <v>0</v>
      </c>
      <c r="AR60" s="66" t="n">
        <f aca="false">MAX(0,AR58+AR57+AR59)</f>
        <v>0</v>
      </c>
      <c r="AS60" s="66" t="n">
        <f aca="false">MAX(0,AS58+AS57+AS59)</f>
        <v>0</v>
      </c>
      <c r="AT60" s="66" t="n">
        <f aca="false">MAX(0,AT58+AT57+AT59)</f>
        <v>0</v>
      </c>
      <c r="AU60" s="66" t="n">
        <f aca="false">MAX(0,AU58+AU57+AU59)</f>
        <v>0</v>
      </c>
      <c r="AV60" s="66" t="n">
        <f aca="false">MAX(0,AV58+AV57+AV59)</f>
        <v>0</v>
      </c>
      <c r="AW60" s="66" t="n">
        <f aca="false">MAX(0,AW58+AW57+AW59)</f>
        <v>0</v>
      </c>
      <c r="AX60" s="66" t="n">
        <f aca="false">MAX(0,AX58+AX57+AX59)</f>
        <v>0</v>
      </c>
      <c r="AY60" s="66" t="n">
        <f aca="false">MAX(0,AY58+AY57+AY59)</f>
        <v>0</v>
      </c>
      <c r="AZ60" s="66" t="n">
        <f aca="false">MAX(0,AZ58+AZ57+AZ59)</f>
        <v>0</v>
      </c>
      <c r="BA60" s="66" t="n">
        <f aca="false">MAX(0,BA58+BA57+BA59)</f>
        <v>0</v>
      </c>
      <c r="BB60" s="66" t="n">
        <f aca="false">MAX(0,BB58+BB57+BB59)</f>
        <v>0</v>
      </c>
    </row>
    <row r="61" customFormat="false" ht="15" hidden="false" customHeight="true" outlineLevel="0" collapsed="false">
      <c r="B61" s="59" t="s">
        <v>471</v>
      </c>
      <c r="C61" s="59" t="s">
        <v>11</v>
      </c>
      <c r="D61" s="63" t="n">
        <f aca="false">SUM(E61:BB61)</f>
        <v>0</v>
      </c>
      <c r="E61" s="66" t="n">
        <f aca="false">IF(AND($C$22="Y",E58+E60&gt;0),-(E58+E60)/2*$C$23,0)-ABS(E57)*$C$25</f>
        <v>0</v>
      </c>
      <c r="F61" s="66" t="n">
        <f aca="false">IF(AND($C$22="Y",F58+F60&gt;0),-(F58+F60)/2*$C$23,0)-ABS(F57)*$C$25</f>
        <v>0</v>
      </c>
      <c r="G61" s="66" t="n">
        <f aca="false">IF(AND($C$22="Y",G58+G60&gt;0),-(G58+G60)/2*$C$23,0)-ABS(G57)*$C$25</f>
        <v>0</v>
      </c>
      <c r="H61" s="66" t="n">
        <f aca="false">IF(AND($C$22="Y",H58+H60&gt;0),-(H58+H60)/2*$C$23,0)-ABS(H57)*$C$25</f>
        <v>0</v>
      </c>
      <c r="I61" s="66" t="n">
        <f aca="false">IF(AND($C$22="Y",I58+I60&gt;0),-(I58+I60)/2*$C$23,0)-ABS(I57)*$C$25</f>
        <v>0</v>
      </c>
      <c r="J61" s="66" t="n">
        <f aca="false">IF(AND($C$22="Y",J58+J60&gt;0),-(J58+J60)/2*$C$23,0)-ABS(J57)*$C$25</f>
        <v>0</v>
      </c>
      <c r="K61" s="66" t="n">
        <f aca="false">IF(AND($C$22="Y",K58+K60&gt;0),-(K58+K60)/2*$C$23,0)-ABS(K57)*$C$25</f>
        <v>0</v>
      </c>
      <c r="L61" s="66" t="n">
        <f aca="false">IF(AND($C$22="Y",L58+L60&gt;0),-(L58+L60)/2*$C$23,0)-ABS(L57)*$C$25</f>
        <v>0</v>
      </c>
      <c r="M61" s="66" t="n">
        <f aca="false">IF(AND($C$22="Y",M58+M60&gt;0),-(M58+M60)/2*$C$23,0)-ABS(M57)*$C$25</f>
        <v>0</v>
      </c>
      <c r="N61" s="66" t="n">
        <f aca="false">IF(AND($C$22="Y",N58+N60&gt;0),-(N58+N60)/2*$C$23,0)-ABS(N57)*$C$25</f>
        <v>0</v>
      </c>
      <c r="O61" s="66" t="n">
        <f aca="false">IF(AND($C$22="Y",O58+O60&gt;0),-(O58+O60)/2*$C$23,0)-ABS(O57)*$C$25</f>
        <v>0</v>
      </c>
      <c r="P61" s="66" t="n">
        <f aca="false">IF(AND($C$22="Y",P58+P60&gt;0),-(P58+P60)/2*$C$23,0)-ABS(P57)*$C$25</f>
        <v>0</v>
      </c>
      <c r="Q61" s="66" t="n">
        <f aca="false">IF(AND($C$22="Y",Q58+Q60&gt;0),-(Q58+Q60)/2*$C$23,0)-ABS(Q57)*$C$25</f>
        <v>0</v>
      </c>
      <c r="R61" s="66" t="n">
        <f aca="false">IF(AND($C$22="Y",R58+R60&gt;0),-(R58+R60)/2*$C$23,0)-ABS(R57)*$C$25</f>
        <v>0</v>
      </c>
      <c r="S61" s="66" t="n">
        <f aca="false">IF(AND($C$22="Y",S58+S60&gt;0),-(S58+S60)/2*$C$23,0)-ABS(S57)*$C$25</f>
        <v>0</v>
      </c>
      <c r="T61" s="66" t="n">
        <f aca="false">IF(AND($C$22="Y",T58+T60&gt;0),-(T58+T60)/2*$C$23,0)-ABS(T57)*$C$25</f>
        <v>0</v>
      </c>
      <c r="U61" s="66" t="n">
        <f aca="false">IF(AND($C$22="Y",U58+U60&gt;0),-(U58+U60)/2*$C$23,0)-ABS(U57)*$C$25</f>
        <v>0</v>
      </c>
      <c r="V61" s="66" t="n">
        <f aca="false">IF(AND($C$22="Y",V58+V60&gt;0),-(V58+V60)/2*$C$23,0)-ABS(V57)*$C$25</f>
        <v>0</v>
      </c>
      <c r="W61" s="66" t="n">
        <f aca="false">IF(AND($C$22="Y",W58+W60&gt;0),-(W58+W60)/2*$C$23,0)-ABS(W57)*$C$25</f>
        <v>0</v>
      </c>
      <c r="X61" s="66" t="n">
        <f aca="false">IF(AND($C$22="Y",X58+X60&gt;0),-(X58+X60)/2*$C$23,0)-ABS(X57)*$C$25</f>
        <v>0</v>
      </c>
      <c r="Y61" s="66" t="n">
        <f aca="false">IF(AND($C$22="Y",Y58+Y60&gt;0),-(Y58+Y60)/2*$C$23,0)-ABS(Y57)*$C$25</f>
        <v>0</v>
      </c>
      <c r="Z61" s="66" t="n">
        <f aca="false">IF(AND($C$22="Y",Z58+Z60&gt;0),-(Z58+Z60)/2*$C$23,0)-ABS(Z57)*$C$25</f>
        <v>0</v>
      </c>
      <c r="AA61" s="66" t="n">
        <f aca="false">IF(AND($C$22="Y",AA58+AA60&gt;0),-(AA58+AA60)/2*$C$23,0)-ABS(AA57)*$C$25</f>
        <v>0</v>
      </c>
      <c r="AB61" s="66" t="n">
        <f aca="false">IF(AND($C$22="Y",AB58+AB60&gt;0),-(AB58+AB60)/2*$C$23,0)-ABS(AB57)*$C$25</f>
        <v>0</v>
      </c>
      <c r="AC61" s="66" t="n">
        <f aca="false">IF(AND($C$22="Y",AC58+AC60&gt;0),-(AC58+AC60)/2*$C$23,0)-ABS(AC57)*$C$25</f>
        <v>0</v>
      </c>
      <c r="AD61" s="66" t="n">
        <f aca="false">IF(AND($C$22="Y",AD58+AD60&gt;0),-(AD58+AD60)/2*$C$23,0)-ABS(AD57)*$C$25</f>
        <v>0</v>
      </c>
      <c r="AE61" s="66" t="n">
        <f aca="false">IF(AND($C$22="Y",AE58+AE60&gt;0),-(AE58+AE60)/2*$C$23,0)-ABS(AE57)*$C$25</f>
        <v>0</v>
      </c>
      <c r="AF61" s="66" t="n">
        <f aca="false">IF(AND($C$22="Y",AF58+AF60&gt;0),-(AF58+AF60)/2*$C$23,0)-ABS(AF57)*$C$25</f>
        <v>0</v>
      </c>
      <c r="AG61" s="66" t="n">
        <f aca="false">IF(AND($C$22="Y",AG58+AG60&gt;0),-(AG58+AG60)/2*$C$23,0)-ABS(AG57)*$C$25</f>
        <v>0</v>
      </c>
      <c r="AH61" s="66" t="n">
        <f aca="false">IF(AND($C$22="Y",AH58+AH60&gt;0),-(AH58+AH60)/2*$C$23,0)-ABS(AH57)*$C$25</f>
        <v>0</v>
      </c>
      <c r="AI61" s="66" t="n">
        <f aca="false">IF(AND($C$22="Y",AI58+AI60&gt;0),-(AI58+AI60)/2*$C$23,0)-ABS(AI57)*$C$25</f>
        <v>0</v>
      </c>
      <c r="AJ61" s="66" t="n">
        <f aca="false">IF(AND($C$22="Y",AJ58+AJ60&gt;0),-(AJ58+AJ60)/2*$C$23,0)-ABS(AJ57)*$C$25</f>
        <v>0</v>
      </c>
      <c r="AK61" s="66" t="n">
        <f aca="false">IF(AND($C$22="Y",AK58+AK60&gt;0),-(AK58+AK60)/2*$C$23,0)-ABS(AK57)*$C$25</f>
        <v>0</v>
      </c>
      <c r="AL61" s="66" t="n">
        <f aca="false">IF(AND($C$22="Y",AL58+AL60&gt;0),-(AL58+AL60)/2*$C$23,0)-ABS(AL57)*$C$25</f>
        <v>0</v>
      </c>
      <c r="AM61" s="66" t="n">
        <f aca="false">IF(AND($C$22="Y",AM58+AM60&gt;0),-(AM58+AM60)/2*$C$23,0)-ABS(AM57)*$C$25</f>
        <v>0</v>
      </c>
      <c r="AN61" s="66" t="n">
        <f aca="false">IF(AND($C$22="Y",AN58+AN60&gt;0),-(AN58+AN60)/2*$C$23,0)-ABS(AN57)*$C$25</f>
        <v>0</v>
      </c>
      <c r="AO61" s="66" t="n">
        <f aca="false">IF(AND($C$22="Y",AO58+AO60&gt;0),-(AO58+AO60)/2*$C$23,0)-ABS(AO57)*$C$25</f>
        <v>0</v>
      </c>
      <c r="AP61" s="66" t="n">
        <f aca="false">IF(AND($C$22="Y",AP58+AP60&gt;0),-(AP58+AP60)/2*$C$23,0)-ABS(AP57)*$C$25</f>
        <v>0</v>
      </c>
      <c r="AQ61" s="66" t="n">
        <f aca="false">IF(AND($C$22="Y",AQ58+AQ60&gt;0),-(AQ58+AQ60)/2*$C$23,0)-ABS(AQ57)*$C$25</f>
        <v>0</v>
      </c>
      <c r="AR61" s="66" t="n">
        <f aca="false">IF(AND($C$22="Y",AR58+AR60&gt;0),-(AR58+AR60)/2*$C$23,0)-ABS(AR57)*$C$25</f>
        <v>0</v>
      </c>
      <c r="AS61" s="66" t="n">
        <f aca="false">IF(AND($C$22="Y",AS58+AS60&gt;0),-(AS58+AS60)/2*$C$23,0)-ABS(AS57)*$C$25</f>
        <v>0</v>
      </c>
      <c r="AT61" s="66" t="n">
        <f aca="false">IF(AND($C$22="Y",AT58+AT60&gt;0),-(AT58+AT60)/2*$C$23,0)-ABS(AT57)*$C$25</f>
        <v>0</v>
      </c>
      <c r="AU61" s="66" t="n">
        <f aca="false">IF(AND($C$22="Y",AU58+AU60&gt;0),-(AU58+AU60)/2*$C$23,0)-ABS(AU57)*$C$25</f>
        <v>0</v>
      </c>
      <c r="AV61" s="66" t="n">
        <f aca="false">IF(AND($C$22="Y",AV58+AV60&gt;0),-(AV58+AV60)/2*$C$23,0)-ABS(AV57)*$C$25</f>
        <v>0</v>
      </c>
      <c r="AW61" s="66" t="n">
        <f aca="false">IF(AND($C$22="Y",AW58+AW60&gt;0),-(AW58+AW60)/2*$C$23,0)-ABS(AW57)*$C$25</f>
        <v>0</v>
      </c>
      <c r="AX61" s="66" t="n">
        <f aca="false">IF(AND($C$22="Y",AX58+AX60&gt;0),-(AX58+AX60)/2*$C$23,0)-ABS(AX57)*$C$25</f>
        <v>0</v>
      </c>
      <c r="AY61" s="66" t="n">
        <f aca="false">IF(AND($C$22="Y",AY58+AY60&gt;0),-(AY58+AY60)/2*$C$23,0)-ABS(AY57)*$C$25</f>
        <v>0</v>
      </c>
      <c r="AZ61" s="66" t="n">
        <f aca="false">IF(AND($C$22="Y",AZ58+AZ60&gt;0),-(AZ58+AZ60)/2*$C$23,0)-ABS(AZ57)*$C$25</f>
        <v>0</v>
      </c>
      <c r="BA61" s="66" t="n">
        <f aca="false">IF(AND($C$22="Y",BA58+BA60&gt;0),-(BA58+BA60)/2*$C$23,0)-ABS(BA57)*$C$25</f>
        <v>0</v>
      </c>
      <c r="BB61" s="66" t="n">
        <f aca="false">IF(AND($C$22="Y",BB58+BB60&gt;0),-(BB58+BB60)/2*$C$23,0)-ABS(BB57)*$C$25</f>
        <v>0</v>
      </c>
    </row>
    <row r="62" customFormat="false" ht="15" hidden="false" customHeight="true" outlineLevel="0" collapsed="false">
      <c r="B62" s="20" t="s">
        <v>472</v>
      </c>
      <c r="C62" s="59" t="s">
        <v>11</v>
      </c>
      <c r="D62" s="63" t="n">
        <f aca="false">SUM(E62:BB62)</f>
        <v>0</v>
      </c>
      <c r="E62" s="63" t="n">
        <f aca="false">E59+E61</f>
        <v>0</v>
      </c>
      <c r="F62" s="63" t="n">
        <f aca="false">F59+F61</f>
        <v>0</v>
      </c>
      <c r="G62" s="63" t="n">
        <f aca="false">G59+G61</f>
        <v>0</v>
      </c>
      <c r="H62" s="63" t="n">
        <f aca="false">H59+H61</f>
        <v>0</v>
      </c>
      <c r="I62" s="63" t="n">
        <f aca="false">I59+I61</f>
        <v>0</v>
      </c>
      <c r="J62" s="63" t="n">
        <f aca="false">J59+J61</f>
        <v>0</v>
      </c>
      <c r="K62" s="63" t="n">
        <f aca="false">K59+K61</f>
        <v>0</v>
      </c>
      <c r="L62" s="63" t="n">
        <f aca="false">L59+L61</f>
        <v>0</v>
      </c>
      <c r="M62" s="63" t="n">
        <f aca="false">M59+M61</f>
        <v>0</v>
      </c>
      <c r="N62" s="63" t="n">
        <f aca="false">N59+N61</f>
        <v>0</v>
      </c>
      <c r="O62" s="63" t="n">
        <f aca="false">O59+O61</f>
        <v>0</v>
      </c>
      <c r="P62" s="63" t="n">
        <f aca="false">P59+P61</f>
        <v>0</v>
      </c>
      <c r="Q62" s="63" t="n">
        <f aca="false">Q59+Q61</f>
        <v>0</v>
      </c>
      <c r="R62" s="63" t="n">
        <f aca="false">R59+R61</f>
        <v>0</v>
      </c>
      <c r="S62" s="63" t="n">
        <f aca="false">S59+S61</f>
        <v>0</v>
      </c>
      <c r="T62" s="63" t="n">
        <f aca="false">T59+T61</f>
        <v>0</v>
      </c>
      <c r="U62" s="63" t="n">
        <f aca="false">U59+U61</f>
        <v>0</v>
      </c>
      <c r="V62" s="63" t="n">
        <f aca="false">V59+V61</f>
        <v>0</v>
      </c>
      <c r="W62" s="63" t="n">
        <f aca="false">W59+W61</f>
        <v>0</v>
      </c>
      <c r="X62" s="63" t="n">
        <f aca="false">X59+X61</f>
        <v>0</v>
      </c>
      <c r="Y62" s="63" t="n">
        <f aca="false">Y59+Y61</f>
        <v>0</v>
      </c>
      <c r="Z62" s="63" t="n">
        <f aca="false">Z59+Z61</f>
        <v>0</v>
      </c>
      <c r="AA62" s="63" t="n">
        <f aca="false">AA59+AA61</f>
        <v>0</v>
      </c>
      <c r="AB62" s="63" t="n">
        <f aca="false">AB59+AB61</f>
        <v>0</v>
      </c>
      <c r="AC62" s="63" t="n">
        <f aca="false">AC59+AC61</f>
        <v>0</v>
      </c>
      <c r="AD62" s="63" t="n">
        <f aca="false">AD59+AD61</f>
        <v>0</v>
      </c>
      <c r="AE62" s="63" t="n">
        <f aca="false">AE59+AE61</f>
        <v>0</v>
      </c>
      <c r="AF62" s="63" t="n">
        <f aca="false">AF59+AF61</f>
        <v>0</v>
      </c>
      <c r="AG62" s="63" t="n">
        <f aca="false">AG59+AG61</f>
        <v>0</v>
      </c>
      <c r="AH62" s="63" t="n">
        <f aca="false">AH59+AH61</f>
        <v>0</v>
      </c>
      <c r="AI62" s="63" t="n">
        <f aca="false">AI59+AI61</f>
        <v>0</v>
      </c>
      <c r="AJ62" s="63" t="n">
        <f aca="false">AJ59+AJ61</f>
        <v>0</v>
      </c>
      <c r="AK62" s="63" t="n">
        <f aca="false">AK59+AK61</f>
        <v>0</v>
      </c>
      <c r="AL62" s="63" t="n">
        <f aca="false">AL59+AL61</f>
        <v>0</v>
      </c>
      <c r="AM62" s="63" t="n">
        <f aca="false">AM59+AM61</f>
        <v>0</v>
      </c>
      <c r="AN62" s="63" t="n">
        <f aca="false">AN59+AN61</f>
        <v>0</v>
      </c>
      <c r="AO62" s="63" t="n">
        <f aca="false">AO59+AO61</f>
        <v>0</v>
      </c>
      <c r="AP62" s="63" t="n">
        <f aca="false">AP59+AP61</f>
        <v>0</v>
      </c>
      <c r="AQ62" s="63" t="n">
        <f aca="false">AQ59+AQ61</f>
        <v>0</v>
      </c>
      <c r="AR62" s="63" t="n">
        <f aca="false">AR59+AR61</f>
        <v>0</v>
      </c>
      <c r="AS62" s="63" t="n">
        <f aca="false">AS59+AS61</f>
        <v>0</v>
      </c>
      <c r="AT62" s="63" t="n">
        <f aca="false">AT59+AT61</f>
        <v>0</v>
      </c>
      <c r="AU62" s="63" t="n">
        <f aca="false">AU59+AU61</f>
        <v>0</v>
      </c>
      <c r="AV62" s="63" t="n">
        <f aca="false">AV59+AV61</f>
        <v>0</v>
      </c>
      <c r="AW62" s="63" t="n">
        <f aca="false">AW59+AW61</f>
        <v>0</v>
      </c>
      <c r="AX62" s="63" t="n">
        <f aca="false">AX59+AX61</f>
        <v>0</v>
      </c>
      <c r="AY62" s="63" t="n">
        <f aca="false">AY59+AY61</f>
        <v>0</v>
      </c>
      <c r="AZ62" s="63" t="n">
        <f aca="false">AZ59+AZ61</f>
        <v>0</v>
      </c>
      <c r="BA62" s="63" t="n">
        <f aca="false">BA59+BA61</f>
        <v>0</v>
      </c>
      <c r="BB62" s="63" t="n">
        <f aca="false">BB59+BB61</f>
        <v>0</v>
      </c>
    </row>
    <row r="64" customFormat="false" ht="15" hidden="false" customHeight="true" outlineLevel="0" collapsed="false">
      <c r="B64" s="59" t="s">
        <v>473</v>
      </c>
      <c r="C64" s="59" t="s">
        <v>11</v>
      </c>
      <c r="D64" s="66" t="n">
        <f aca="false">SUM(E64:BB64)</f>
        <v>0</v>
      </c>
      <c r="E64" s="66" t="n">
        <f aca="false">IF(E$46=$C$9,$C$14*$C$29,0)</f>
        <v>0</v>
      </c>
      <c r="F64" s="66" t="n">
        <f aca="false">IF(F$46=$C$9,$C$14*$C$29,0)</f>
        <v>0</v>
      </c>
      <c r="G64" s="66" t="n">
        <f aca="false">IF(G$46=$C$9,$C$14*$C$29,0)</f>
        <v>0</v>
      </c>
      <c r="H64" s="66" t="n">
        <f aca="false">IF(H$46=$C$9,$C$14*$C$29,0)</f>
        <v>0</v>
      </c>
      <c r="I64" s="66" t="n">
        <f aca="false">IF(I$46=$C$9,$C$14*$C$29,0)</f>
        <v>0</v>
      </c>
      <c r="J64" s="66" t="n">
        <f aca="false">IF(J$46=$C$9,$C$14*$C$29,0)</f>
        <v>0</v>
      </c>
      <c r="K64" s="66" t="n">
        <f aca="false">IF(K$46=$C$9,$C$14*$C$29,0)</f>
        <v>0</v>
      </c>
      <c r="L64" s="66" t="n">
        <f aca="false">IF(L$46=$C$9,$C$14*$C$29,0)</f>
        <v>0</v>
      </c>
      <c r="M64" s="66" t="n">
        <f aca="false">IF(M$46=$C$9,$C$14*$C$29,0)</f>
        <v>0</v>
      </c>
      <c r="N64" s="66" t="n">
        <f aca="false">IF(N$46=$C$9,$C$14*$C$29,0)</f>
        <v>0</v>
      </c>
      <c r="O64" s="66" t="n">
        <f aca="false">IF(O$46=$C$9,$C$14*$C$29,0)</f>
        <v>0</v>
      </c>
      <c r="P64" s="66" t="n">
        <f aca="false">IF(P$46=$C$9,$C$14*$C$29,0)</f>
        <v>0</v>
      </c>
      <c r="Q64" s="66" t="n">
        <f aca="false">IF(Q$46=$C$9,$C$14*$C$29,0)</f>
        <v>0</v>
      </c>
      <c r="R64" s="66" t="n">
        <f aca="false">IF(R$46=$C$9,$C$14*$C$29,0)</f>
        <v>0</v>
      </c>
      <c r="S64" s="66" t="n">
        <f aca="false">IF(S$46=$C$9,$C$14*$C$29,0)</f>
        <v>0</v>
      </c>
      <c r="T64" s="66" t="n">
        <f aca="false">IF(T$46=$C$9,$C$14*$C$29,0)</f>
        <v>0</v>
      </c>
      <c r="U64" s="66" t="n">
        <f aca="false">IF(U$46=$C$9,$C$14*$C$29,0)</f>
        <v>0</v>
      </c>
      <c r="V64" s="66" t="n">
        <f aca="false">IF(V$46=$C$9,$C$14*$C$29,0)</f>
        <v>0</v>
      </c>
      <c r="W64" s="66" t="n">
        <f aca="false">IF(W$46=$C$9,$C$14*$C$29,0)</f>
        <v>0</v>
      </c>
      <c r="X64" s="66" t="n">
        <f aca="false">IF(X$46=$C$9,$C$14*$C$29,0)</f>
        <v>0</v>
      </c>
      <c r="Y64" s="66" t="n">
        <f aca="false">IF(Y$46=$C$9,$C$14*$C$29,0)</f>
        <v>0</v>
      </c>
      <c r="Z64" s="66" t="n">
        <f aca="false">IF(Z$46=$C$9,$C$14*$C$29,0)</f>
        <v>0</v>
      </c>
      <c r="AA64" s="66" t="n">
        <f aca="false">IF(AA$46=$C$9,$C$14*$C$29,0)</f>
        <v>0</v>
      </c>
      <c r="AB64" s="66" t="n">
        <f aca="false">IF(AB$46=$C$9,$C$14*$C$29,0)</f>
        <v>0</v>
      </c>
      <c r="AC64" s="66" t="n">
        <f aca="false">IF(AC$46=$C$9,$C$14*$C$29,0)</f>
        <v>0</v>
      </c>
      <c r="AD64" s="66" t="n">
        <f aca="false">IF(AD$46=$C$9,$C$14*$C$29,0)</f>
        <v>0</v>
      </c>
      <c r="AE64" s="66" t="n">
        <f aca="false">IF(AE$46=$C$9,$C$14*$C$29,0)</f>
        <v>0</v>
      </c>
      <c r="AF64" s="66" t="n">
        <f aca="false">IF(AF$46=$C$9,$C$14*$C$29,0)</f>
        <v>0</v>
      </c>
      <c r="AG64" s="66" t="n">
        <f aca="false">IF(AG$46=$C$9,$C$14*$C$29,0)</f>
        <v>0</v>
      </c>
      <c r="AH64" s="66" t="n">
        <f aca="false">IF(AH$46=$C$9,$C$14*$C$29,0)</f>
        <v>0</v>
      </c>
      <c r="AI64" s="66" t="n">
        <f aca="false">IF(AI$46=$C$9,$C$14*$C$29,0)</f>
        <v>0</v>
      </c>
      <c r="AJ64" s="66" t="n">
        <f aca="false">IF(AJ$46=$C$9,$C$14*$C$29,0)</f>
        <v>0</v>
      </c>
      <c r="AK64" s="66" t="n">
        <f aca="false">IF(AK$46=$C$9,$C$14*$C$29,0)</f>
        <v>0</v>
      </c>
      <c r="AL64" s="66" t="n">
        <f aca="false">IF(AL$46=$C$9,$C$14*$C$29,0)</f>
        <v>0</v>
      </c>
      <c r="AM64" s="66" t="n">
        <f aca="false">IF(AM$46=$C$9,$C$14*$C$29,0)</f>
        <v>0</v>
      </c>
      <c r="AN64" s="66" t="n">
        <f aca="false">IF(AN$46=$C$9,$C$14*$C$29,0)</f>
        <v>0</v>
      </c>
      <c r="AO64" s="66" t="n">
        <f aca="false">IF(AO$46=$C$9,$C$14*$C$29,0)</f>
        <v>0</v>
      </c>
      <c r="AP64" s="66" t="n">
        <f aca="false">IF(AP$46=$C$9,$C$14*$C$29,0)</f>
        <v>0</v>
      </c>
      <c r="AQ64" s="66" t="n">
        <f aca="false">IF(AQ$46=$C$9,$C$14*$C$29,0)</f>
        <v>0</v>
      </c>
      <c r="AR64" s="66" t="n">
        <f aca="false">IF(AR$46=$C$9,$C$14*$C$29,0)</f>
        <v>0</v>
      </c>
      <c r="AS64" s="66" t="n">
        <f aca="false">IF(AS$46=$C$9,$C$14*$C$29,0)</f>
        <v>0</v>
      </c>
      <c r="AT64" s="66" t="n">
        <f aca="false">IF(AT$46=$C$9,$C$14*$C$29,0)</f>
        <v>0</v>
      </c>
      <c r="AU64" s="66" t="n">
        <f aca="false">IF(AU$46=$C$9,$C$14*$C$29,0)</f>
        <v>0</v>
      </c>
      <c r="AV64" s="66" t="n">
        <f aca="false">IF(AV$46=$C$9,$C$14*$C$29,0)</f>
        <v>0</v>
      </c>
      <c r="AW64" s="66" t="n">
        <f aca="false">IF(AW$46=$C$9,$C$14*$C$29,0)</f>
        <v>0</v>
      </c>
      <c r="AX64" s="66" t="n">
        <f aca="false">IF(AX$46=$C$9,$C$14*$C$29,0)</f>
        <v>0</v>
      </c>
      <c r="AY64" s="66" t="n">
        <f aca="false">IF(AY$46=$C$9,$C$14*$C$29,0)</f>
        <v>0</v>
      </c>
      <c r="AZ64" s="66" t="n">
        <f aca="false">IF(AZ$46=$C$9,$C$14*$C$29,0)</f>
        <v>0</v>
      </c>
      <c r="BA64" s="66" t="n">
        <f aca="false">IF(BA$46=$C$9,$C$14*$C$29,0)</f>
        <v>0</v>
      </c>
      <c r="BB64" s="66" t="n">
        <f aca="false">IF(BB$46=$C$9,$C$14*$C$29,0)</f>
        <v>0</v>
      </c>
    </row>
    <row r="65" customFormat="false" ht="15" hidden="false" customHeight="true" outlineLevel="0" collapsed="false">
      <c r="B65" s="59" t="s">
        <v>474</v>
      </c>
      <c r="C65" s="59" t="s">
        <v>11</v>
      </c>
      <c r="D65" s="66" t="n">
        <f aca="false">SUM(E65:BB65)</f>
        <v>0</v>
      </c>
      <c r="E65" s="66" t="n">
        <f aca="false">IF(AND(E$46&gt;=$C$9,E$46&lt;=$C$41),ABS(SUM($E$49:E49))*$C$30,0)</f>
        <v>0</v>
      </c>
      <c r="F65" s="66" t="n">
        <f aca="false">IF(AND(F$46&gt;=$C$9,F$46&lt;=$C$41),ABS(SUM($E$49:F49))*$C$30,0)</f>
        <v>0</v>
      </c>
      <c r="G65" s="66" t="n">
        <f aca="false">IF(AND(G$46&gt;=$C$9,G$46&lt;=$C$41),ABS(SUM($E$49:G49))*$C$30,0)</f>
        <v>0</v>
      </c>
      <c r="H65" s="66" t="n">
        <f aca="false">IF(AND(H$46&gt;=$C$9,H$46&lt;=$C$41),ABS(SUM($E$49:H49))*$C$30,0)</f>
        <v>0</v>
      </c>
      <c r="I65" s="66" t="n">
        <f aca="false">IF(AND(I$46&gt;=$C$9,I$46&lt;=$C$41),ABS(SUM($E$49:I49))*$C$30,0)</f>
        <v>0</v>
      </c>
      <c r="J65" s="66" t="n">
        <f aca="false">IF(AND(J$46&gt;=$C$9,J$46&lt;=$C$41),ABS(SUM($E$49:J49))*$C$30,0)</f>
        <v>0</v>
      </c>
      <c r="K65" s="66" t="n">
        <f aca="false">IF(AND(K$46&gt;=$C$9,K$46&lt;=$C$41),ABS(SUM($E$49:K49))*$C$30,0)</f>
        <v>0</v>
      </c>
      <c r="L65" s="66" t="n">
        <f aca="false">IF(AND(L$46&gt;=$C$9,L$46&lt;=$C$41),ABS(SUM($E$49:L49))*$C$30,0)</f>
        <v>0</v>
      </c>
      <c r="M65" s="66" t="n">
        <f aca="false">IF(AND(M$46&gt;=$C$9,M$46&lt;=$C$41),ABS(SUM($E$49:M49))*$C$30,0)</f>
        <v>0</v>
      </c>
      <c r="N65" s="66" t="n">
        <f aca="false">IF(AND(N$46&gt;=$C$9,N$46&lt;=$C$41),ABS(SUM($E$49:N49))*$C$30,0)</f>
        <v>0</v>
      </c>
      <c r="O65" s="66" t="n">
        <f aca="false">IF(AND(O$46&gt;=$C$9,O$46&lt;=$C$41),ABS(SUM($E$49:O49))*$C$30,0)</f>
        <v>0</v>
      </c>
      <c r="P65" s="66" t="n">
        <f aca="false">IF(AND(P$46&gt;=$C$9,P$46&lt;=$C$41),ABS(SUM($E$49:P49))*$C$30,0)</f>
        <v>0</v>
      </c>
      <c r="Q65" s="66" t="n">
        <f aca="false">IF(AND(Q$46&gt;=$C$9,Q$46&lt;=$C$41),ABS(SUM($E$49:Q49))*$C$30,0)</f>
        <v>0</v>
      </c>
      <c r="R65" s="66" t="n">
        <f aca="false">IF(AND(R$46&gt;=$C$9,R$46&lt;=$C$41),ABS(SUM($E$49:R49))*$C$30,0)</f>
        <v>0</v>
      </c>
      <c r="S65" s="66" t="n">
        <f aca="false">IF(AND(S$46&gt;=$C$9,S$46&lt;=$C$41),ABS(SUM($E$49:S49))*$C$30,0)</f>
        <v>0</v>
      </c>
      <c r="T65" s="66" t="n">
        <f aca="false">IF(AND(T$46&gt;=$C$9,T$46&lt;=$C$41),ABS(SUM($E$49:T49))*$C$30,0)</f>
        <v>0</v>
      </c>
      <c r="U65" s="66" t="n">
        <f aca="false">IF(AND(U$46&gt;=$C$9,U$46&lt;=$C$41),ABS(SUM($E$49:U49))*$C$30,0)</f>
        <v>0</v>
      </c>
      <c r="V65" s="66" t="n">
        <f aca="false">IF(AND(V$46&gt;=$C$9,V$46&lt;=$C$41),ABS(SUM($E$49:V49))*$C$30,0)</f>
        <v>0</v>
      </c>
      <c r="W65" s="66" t="n">
        <f aca="false">IF(AND(W$46&gt;=$C$9,W$46&lt;=$C$41),ABS(SUM($E$49:W49))*$C$30,0)</f>
        <v>0</v>
      </c>
      <c r="X65" s="66" t="n">
        <f aca="false">IF(AND(X$46&gt;=$C$9,X$46&lt;=$C$41),ABS(SUM($E$49:X49))*$C$30,0)</f>
        <v>0</v>
      </c>
      <c r="Y65" s="66" t="n">
        <f aca="false">IF(AND(Y$46&gt;=$C$9,Y$46&lt;=$C$41),ABS(SUM($E$49:Y49))*$C$30,0)</f>
        <v>0</v>
      </c>
      <c r="Z65" s="66" t="n">
        <f aca="false">IF(AND(Z$46&gt;=$C$9,Z$46&lt;=$C$41),ABS(SUM($E$49:Z49))*$C$30,0)</f>
        <v>0</v>
      </c>
      <c r="AA65" s="66" t="n">
        <f aca="false">IF(AND(AA$46&gt;=$C$9,AA$46&lt;=$C$41),ABS(SUM($E$49:AA49))*$C$30,0)</f>
        <v>0</v>
      </c>
      <c r="AB65" s="66" t="n">
        <f aca="false">IF(AND(AB$46&gt;=$C$9,AB$46&lt;=$C$41),ABS(SUM($E$49:AB49))*$C$30,0)</f>
        <v>0</v>
      </c>
      <c r="AC65" s="66" t="n">
        <f aca="false">IF(AND(AC$46&gt;=$C$9,AC$46&lt;=$C$41),ABS(SUM($E$49:AC49))*$C$30,0)</f>
        <v>0</v>
      </c>
      <c r="AD65" s="66" t="n">
        <f aca="false">IF(AND(AD$46&gt;=$C$9,AD$46&lt;=$C$41),ABS(SUM($E$49:AD49))*$C$30,0)</f>
        <v>0</v>
      </c>
      <c r="AE65" s="66" t="n">
        <f aca="false">IF(AND(AE$46&gt;=$C$9,AE$46&lt;=$C$41),ABS(SUM($E$49:AE49))*$C$30,0)</f>
        <v>0</v>
      </c>
      <c r="AF65" s="66" t="n">
        <f aca="false">IF(AND(AF$46&gt;=$C$9,AF$46&lt;=$C$41),ABS(SUM($E$49:AF49))*$C$30,0)</f>
        <v>0</v>
      </c>
      <c r="AG65" s="66" t="n">
        <f aca="false">IF(AND(AG$46&gt;=$C$9,AG$46&lt;=$C$41),ABS(SUM($E$49:AG49))*$C$30,0)</f>
        <v>0</v>
      </c>
      <c r="AH65" s="66" t="n">
        <f aca="false">IF(AND(AH$46&gt;=$C$9,AH$46&lt;=$C$41),ABS(SUM($E$49:AH49))*$C$30,0)</f>
        <v>0</v>
      </c>
      <c r="AI65" s="66" t="n">
        <f aca="false">IF(AND(AI$46&gt;=$C$9,AI$46&lt;=$C$41),ABS(SUM($E$49:AI49))*$C$30,0)</f>
        <v>0</v>
      </c>
      <c r="AJ65" s="66" t="n">
        <f aca="false">IF(AND(AJ$46&gt;=$C$9,AJ$46&lt;=$C$41),ABS(SUM($E$49:AJ49))*$C$30,0)</f>
        <v>0</v>
      </c>
      <c r="AK65" s="66" t="n">
        <f aca="false">IF(AND(AK$46&gt;=$C$9,AK$46&lt;=$C$41),ABS(SUM($E$49:AK49))*$C$30,0)</f>
        <v>0</v>
      </c>
      <c r="AL65" s="66" t="n">
        <f aca="false">IF(AND(AL$46&gt;=$C$9,AL$46&lt;=$C$41),ABS(SUM($E$49:AL49))*$C$30,0)</f>
        <v>0</v>
      </c>
      <c r="AM65" s="66" t="n">
        <f aca="false">IF(AND(AM$46&gt;=$C$9,AM$46&lt;=$C$41),ABS(SUM($E$49:AM49))*$C$30,0)</f>
        <v>0</v>
      </c>
      <c r="AN65" s="66" t="n">
        <f aca="false">IF(AND(AN$46&gt;=$C$9,AN$46&lt;=$C$41),ABS(SUM($E$49:AN49))*$C$30,0)</f>
        <v>0</v>
      </c>
      <c r="AO65" s="66" t="n">
        <f aca="false">IF(AND(AO$46&gt;=$C$9,AO$46&lt;=$C$41),ABS(SUM($E$49:AO49))*$C$30,0)</f>
        <v>0</v>
      </c>
      <c r="AP65" s="66" t="n">
        <f aca="false">IF(AND(AP$46&gt;=$C$9,AP$46&lt;=$C$41),ABS(SUM($E$49:AP49))*$C$30,0)</f>
        <v>0</v>
      </c>
      <c r="AQ65" s="66" t="n">
        <f aca="false">IF(AND(AQ$46&gt;=$C$9,AQ$46&lt;=$C$41),ABS(SUM($E$49:AQ49))*$C$30,0)</f>
        <v>0</v>
      </c>
      <c r="AR65" s="66" t="n">
        <f aca="false">IF(AND(AR$46&gt;=$C$9,AR$46&lt;=$C$41),ABS(SUM($E$49:AR49))*$C$30,0)</f>
        <v>0</v>
      </c>
      <c r="AS65" s="66" t="n">
        <f aca="false">IF(AND(AS$46&gt;=$C$9,AS$46&lt;=$C$41),ABS(SUM($E$49:AS49))*$C$30,0)</f>
        <v>0</v>
      </c>
      <c r="AT65" s="66" t="n">
        <f aca="false">IF(AND(AT$46&gt;=$C$9,AT$46&lt;=$C$41),ABS(SUM($E$49:AT49))*$C$30,0)</f>
        <v>0</v>
      </c>
      <c r="AU65" s="66" t="n">
        <f aca="false">IF(AND(AU$46&gt;=$C$9,AU$46&lt;=$C$41),ABS(SUM($E$49:AU49))*$C$30,0)</f>
        <v>0</v>
      </c>
      <c r="AV65" s="66" t="n">
        <f aca="false">IF(AND(AV$46&gt;=$C$9,AV$46&lt;=$C$41),ABS(SUM($E$49:AV49))*$C$30,0)</f>
        <v>0</v>
      </c>
      <c r="AW65" s="66" t="n">
        <f aca="false">IF(AND(AW$46&gt;=$C$9,AW$46&lt;=$C$41),ABS(SUM($E$49:AW49))*$C$30,0)</f>
        <v>0</v>
      </c>
      <c r="AX65" s="66" t="n">
        <f aca="false">IF(AND(AX$46&gt;=$C$9,AX$46&lt;=$C$41),ABS(SUM($E$49:AX49))*$C$30,0)</f>
        <v>0</v>
      </c>
      <c r="AY65" s="66" t="n">
        <f aca="false">IF(AND(AY$46&gt;=$C$9,AY$46&lt;=$C$41),ABS(SUM($E$49:AY49))*$C$30,0)</f>
        <v>0</v>
      </c>
      <c r="AZ65" s="66" t="n">
        <f aca="false">IF(AND(AZ$46&gt;=$C$9,AZ$46&lt;=$C$41),ABS(SUM($E$49:AZ49))*$C$30,0)</f>
        <v>0</v>
      </c>
      <c r="BA65" s="66" t="n">
        <f aca="false">IF(AND(BA$46&gt;=$C$9,BA$46&lt;=$C$41),ABS(SUM($E$49:BA49))*$C$30,0)</f>
        <v>0</v>
      </c>
      <c r="BB65" s="66" t="n">
        <f aca="false">IF(AND(BB$46&gt;=$C$9,BB$46&lt;=$C$41),ABS(SUM($E$49:BB49))*$C$30,0)</f>
        <v>0</v>
      </c>
    </row>
    <row r="66" customFormat="false" ht="15" hidden="false" customHeight="true" outlineLevel="0" collapsed="false">
      <c r="B66" s="59" t="s">
        <v>475</v>
      </c>
      <c r="C66" s="59" t="s">
        <v>11</v>
      </c>
      <c r="D66" s="66" t="n">
        <f aca="false">SUM(E66:BB66)</f>
        <v>0</v>
      </c>
      <c r="E66" s="66" t="n">
        <f aca="false">IF(AND($C$17&gt;0,E$46&gt;=$C$9,E$46&lt;=$C$41),$C$31,0)</f>
        <v>0</v>
      </c>
      <c r="F66" s="66" t="n">
        <f aca="false">IF(AND($C$17&gt;0,F$46&gt;=$C$9,F$46&lt;=$C$41),$C$31,0)</f>
        <v>0</v>
      </c>
      <c r="G66" s="66" t="n">
        <f aca="false">IF(AND($C$17&gt;0,G$46&gt;=$C$9,G$46&lt;=$C$41),$C$31,0)</f>
        <v>0</v>
      </c>
      <c r="H66" s="66" t="n">
        <f aca="false">IF(AND($C$17&gt;0,H$46&gt;=$C$9,H$46&lt;=$C$41),$C$31,0)</f>
        <v>0</v>
      </c>
      <c r="I66" s="66" t="n">
        <f aca="false">IF(AND($C$17&gt;0,I$46&gt;=$C$9,I$46&lt;=$C$41),$C$31,0)</f>
        <v>0</v>
      </c>
      <c r="J66" s="66" t="n">
        <f aca="false">IF(AND($C$17&gt;0,J$46&gt;=$C$9,J$46&lt;=$C$41),$C$31,0)</f>
        <v>0</v>
      </c>
      <c r="K66" s="66" t="n">
        <f aca="false">IF(AND($C$17&gt;0,K$46&gt;=$C$9,K$46&lt;=$C$41),$C$31,0)</f>
        <v>0</v>
      </c>
      <c r="L66" s="66" t="n">
        <f aca="false">IF(AND($C$17&gt;0,L$46&gt;=$C$9,L$46&lt;=$C$41),$C$31,0)</f>
        <v>0</v>
      </c>
      <c r="M66" s="66" t="n">
        <f aca="false">IF(AND($C$17&gt;0,M$46&gt;=$C$9,M$46&lt;=$C$41),$C$31,0)</f>
        <v>0</v>
      </c>
      <c r="N66" s="66" t="n">
        <f aca="false">IF(AND($C$17&gt;0,N$46&gt;=$C$9,N$46&lt;=$C$41),$C$31,0)</f>
        <v>0</v>
      </c>
      <c r="O66" s="66" t="n">
        <f aca="false">IF(AND($C$17&gt;0,O$46&gt;=$C$9,O$46&lt;=$C$41),$C$31,0)</f>
        <v>0</v>
      </c>
      <c r="P66" s="66" t="n">
        <f aca="false">IF(AND($C$17&gt;0,P$46&gt;=$C$9,P$46&lt;=$C$41),$C$31,0)</f>
        <v>0</v>
      </c>
      <c r="Q66" s="66" t="n">
        <f aca="false">IF(AND($C$17&gt;0,Q$46&gt;=$C$9,Q$46&lt;=$C$41),$C$31,0)</f>
        <v>0</v>
      </c>
      <c r="R66" s="66" t="n">
        <f aca="false">IF(AND($C$17&gt;0,R$46&gt;=$C$9,R$46&lt;=$C$41),$C$31,0)</f>
        <v>0</v>
      </c>
      <c r="S66" s="66" t="n">
        <f aca="false">IF(AND($C$17&gt;0,S$46&gt;=$C$9,S$46&lt;=$C$41),$C$31,0)</f>
        <v>0</v>
      </c>
      <c r="T66" s="66" t="n">
        <f aca="false">IF(AND($C$17&gt;0,T$46&gt;=$C$9,T$46&lt;=$C$41),$C$31,0)</f>
        <v>0</v>
      </c>
      <c r="U66" s="66" t="n">
        <f aca="false">IF(AND($C$17&gt;0,U$46&gt;=$C$9,U$46&lt;=$C$41),$C$31,0)</f>
        <v>0</v>
      </c>
      <c r="V66" s="66" t="n">
        <f aca="false">IF(AND($C$17&gt;0,V$46&gt;=$C$9,V$46&lt;=$C$41),$C$31,0)</f>
        <v>0</v>
      </c>
      <c r="W66" s="66" t="n">
        <f aca="false">IF(AND($C$17&gt;0,W$46&gt;=$C$9,W$46&lt;=$C$41),$C$31,0)</f>
        <v>0</v>
      </c>
      <c r="X66" s="66" t="n">
        <f aca="false">IF(AND($C$17&gt;0,X$46&gt;=$C$9,X$46&lt;=$C$41),$C$31,0)</f>
        <v>0</v>
      </c>
      <c r="Y66" s="66" t="n">
        <f aca="false">IF(AND($C$17&gt;0,Y$46&gt;=$C$9,Y$46&lt;=$C$41),$C$31,0)</f>
        <v>0</v>
      </c>
      <c r="Z66" s="66" t="n">
        <f aca="false">IF(AND($C$17&gt;0,Z$46&gt;=$C$9,Z$46&lt;=$C$41),$C$31,0)</f>
        <v>0</v>
      </c>
      <c r="AA66" s="66" t="n">
        <f aca="false">IF(AND($C$17&gt;0,AA$46&gt;=$C$9,AA$46&lt;=$C$41),$C$31,0)</f>
        <v>0</v>
      </c>
      <c r="AB66" s="66" t="n">
        <f aca="false">IF(AND($C$17&gt;0,AB$46&gt;=$C$9,AB$46&lt;=$C$41),$C$31,0)</f>
        <v>0</v>
      </c>
      <c r="AC66" s="66" t="n">
        <f aca="false">IF(AND($C$17&gt;0,AC$46&gt;=$C$9,AC$46&lt;=$C$41),$C$31,0)</f>
        <v>0</v>
      </c>
      <c r="AD66" s="66" t="n">
        <f aca="false">IF(AND($C$17&gt;0,AD$46&gt;=$C$9,AD$46&lt;=$C$41),$C$31,0)</f>
        <v>0</v>
      </c>
      <c r="AE66" s="66" t="n">
        <f aca="false">IF(AND($C$17&gt;0,AE$46&gt;=$C$9,AE$46&lt;=$C$41),$C$31,0)</f>
        <v>0</v>
      </c>
      <c r="AF66" s="66" t="n">
        <f aca="false">IF(AND($C$17&gt;0,AF$46&gt;=$C$9,AF$46&lt;=$C$41),$C$31,0)</f>
        <v>0</v>
      </c>
      <c r="AG66" s="66" t="n">
        <f aca="false">IF(AND($C$17&gt;0,AG$46&gt;=$C$9,AG$46&lt;=$C$41),$C$31,0)</f>
        <v>0</v>
      </c>
      <c r="AH66" s="66" t="n">
        <f aca="false">IF(AND($C$17&gt;0,AH$46&gt;=$C$9,AH$46&lt;=$C$41),$C$31,0)</f>
        <v>0</v>
      </c>
      <c r="AI66" s="66" t="n">
        <f aca="false">IF(AND($C$17&gt;0,AI$46&gt;=$C$9,AI$46&lt;=$C$41),$C$31,0)</f>
        <v>0</v>
      </c>
      <c r="AJ66" s="66" t="n">
        <f aca="false">IF(AND($C$17&gt;0,AJ$46&gt;=$C$9,AJ$46&lt;=$C$41),$C$31,0)</f>
        <v>0</v>
      </c>
      <c r="AK66" s="66" t="n">
        <f aca="false">IF(AND($C$17&gt;0,AK$46&gt;=$C$9,AK$46&lt;=$C$41),$C$31,0)</f>
        <v>0</v>
      </c>
      <c r="AL66" s="66" t="n">
        <f aca="false">IF(AND($C$17&gt;0,AL$46&gt;=$C$9,AL$46&lt;=$C$41),$C$31,0)</f>
        <v>0</v>
      </c>
      <c r="AM66" s="66" t="n">
        <f aca="false">IF(AND($C$17&gt;0,AM$46&gt;=$C$9,AM$46&lt;=$C$41),$C$31,0)</f>
        <v>0</v>
      </c>
      <c r="AN66" s="66" t="n">
        <f aca="false">IF(AND($C$17&gt;0,AN$46&gt;=$C$9,AN$46&lt;=$C$41),$C$31,0)</f>
        <v>0</v>
      </c>
      <c r="AO66" s="66" t="n">
        <f aca="false">IF(AND($C$17&gt;0,AO$46&gt;=$C$9,AO$46&lt;=$C$41),$C$31,0)</f>
        <v>0</v>
      </c>
      <c r="AP66" s="66" t="n">
        <f aca="false">IF(AND($C$17&gt;0,AP$46&gt;=$C$9,AP$46&lt;=$C$41),$C$31,0)</f>
        <v>0</v>
      </c>
      <c r="AQ66" s="66" t="n">
        <f aca="false">IF(AND($C$17&gt;0,AQ$46&gt;=$C$9,AQ$46&lt;=$C$41),$C$31,0)</f>
        <v>0</v>
      </c>
      <c r="AR66" s="66" t="n">
        <f aca="false">IF(AND($C$17&gt;0,AR$46&gt;=$C$9,AR$46&lt;=$C$41),$C$31,0)</f>
        <v>0</v>
      </c>
      <c r="AS66" s="66" t="n">
        <f aca="false">IF(AND($C$17&gt;0,AS$46&gt;=$C$9,AS$46&lt;=$C$41),$C$31,0)</f>
        <v>0</v>
      </c>
      <c r="AT66" s="66" t="n">
        <f aca="false">IF(AND($C$17&gt;0,AT$46&gt;=$C$9,AT$46&lt;=$C$41),$C$31,0)</f>
        <v>0</v>
      </c>
      <c r="AU66" s="66" t="n">
        <f aca="false">IF(AND($C$17&gt;0,AU$46&gt;=$C$9,AU$46&lt;=$C$41),$C$31,0)</f>
        <v>0</v>
      </c>
      <c r="AV66" s="66" t="n">
        <f aca="false">IF(AND($C$17&gt;0,AV$46&gt;=$C$9,AV$46&lt;=$C$41),$C$31,0)</f>
        <v>0</v>
      </c>
      <c r="AW66" s="66" t="n">
        <f aca="false">IF(AND($C$17&gt;0,AW$46&gt;=$C$9,AW$46&lt;=$C$41),$C$31,0)</f>
        <v>0</v>
      </c>
      <c r="AX66" s="66" t="n">
        <f aca="false">IF(AND($C$17&gt;0,AX$46&gt;=$C$9,AX$46&lt;=$C$41),$C$31,0)</f>
        <v>0</v>
      </c>
      <c r="AY66" s="66" t="n">
        <f aca="false">IF(AND($C$17&gt;0,AY$46&gt;=$C$9,AY$46&lt;=$C$41),$C$31,0)</f>
        <v>0</v>
      </c>
      <c r="AZ66" s="66" t="n">
        <f aca="false">IF(AND($C$17&gt;0,AZ$46&gt;=$C$9,AZ$46&lt;=$C$41),$C$31,0)</f>
        <v>0</v>
      </c>
      <c r="BA66" s="66" t="n">
        <f aca="false">IF(AND($C$17&gt;0,BA$46&gt;=$C$9,BA$46&lt;=$C$41),$C$31,0)</f>
        <v>0</v>
      </c>
      <c r="BB66" s="66" t="n">
        <f aca="false">IF(AND($C$17&gt;0,BB$46&gt;=$C$9,BB$46&lt;=$C$41),$C$31,0)</f>
        <v>0</v>
      </c>
    </row>
    <row r="67" customFormat="false" ht="15" hidden="false" customHeight="true" outlineLevel="0" collapsed="false">
      <c r="B67" s="59" t="s">
        <v>476</v>
      </c>
      <c r="C67" s="59" t="s">
        <v>11</v>
      </c>
      <c r="D67" s="66" t="n">
        <f aca="false">SUM(E67:BB67)</f>
        <v>0</v>
      </c>
      <c r="E67" s="66" t="n">
        <f aca="false">IF(AND(E49&lt;0,E$46&gt;=$C$9,E$46&lt;=$C$41),ABS(E49)*$C$32,0)</f>
        <v>0</v>
      </c>
      <c r="F67" s="66" t="n">
        <f aca="false">IF(AND(F49&lt;0,F$46&gt;=$C$9,F$46&lt;=$C$41),ABS(F49)*$C$32,0)</f>
        <v>0</v>
      </c>
      <c r="G67" s="66" t="n">
        <f aca="false">IF(AND(G49&lt;0,G$46&gt;=$C$9,G$46&lt;=$C$41),ABS(G49)*$C$32,0)</f>
        <v>0</v>
      </c>
      <c r="H67" s="66" t="n">
        <f aca="false">IF(AND(H49&lt;0,H$46&gt;=$C$9,H$46&lt;=$C$41),ABS(H49)*$C$32,0)</f>
        <v>0</v>
      </c>
      <c r="I67" s="66" t="n">
        <f aca="false">IF(AND(I49&lt;0,I$46&gt;=$C$9,I$46&lt;=$C$41),ABS(I49)*$C$32,0)</f>
        <v>0</v>
      </c>
      <c r="J67" s="66" t="n">
        <f aca="false">IF(AND(J49&lt;0,J$46&gt;=$C$9,J$46&lt;=$C$41),ABS(J49)*$C$32,0)</f>
        <v>0</v>
      </c>
      <c r="K67" s="66" t="n">
        <f aca="false">IF(AND(K49&lt;0,K$46&gt;=$C$9,K$46&lt;=$C$41),ABS(K49)*$C$32,0)</f>
        <v>0</v>
      </c>
      <c r="L67" s="66" t="n">
        <f aca="false">IF(AND(L49&lt;0,L$46&gt;=$C$9,L$46&lt;=$C$41),ABS(L49)*$C$32,0)</f>
        <v>0</v>
      </c>
      <c r="M67" s="66" t="n">
        <f aca="false">IF(AND(M49&lt;0,M$46&gt;=$C$9,M$46&lt;=$C$41),ABS(M49)*$C$32,0)</f>
        <v>0</v>
      </c>
      <c r="N67" s="66" t="n">
        <f aca="false">IF(AND(N49&lt;0,N$46&gt;=$C$9,N$46&lt;=$C$41),ABS(N49)*$C$32,0)</f>
        <v>0</v>
      </c>
      <c r="O67" s="66" t="n">
        <f aca="false">IF(AND(O49&lt;0,O$46&gt;=$C$9,O$46&lt;=$C$41),ABS(O49)*$C$32,0)</f>
        <v>0</v>
      </c>
      <c r="P67" s="66" t="n">
        <f aca="false">IF(AND(P49&lt;0,P$46&gt;=$C$9,P$46&lt;=$C$41),ABS(P49)*$C$32,0)</f>
        <v>0</v>
      </c>
      <c r="Q67" s="66" t="n">
        <f aca="false">IF(AND(Q49&lt;0,Q$46&gt;=$C$9,Q$46&lt;=$C$41),ABS(Q49)*$C$32,0)</f>
        <v>0</v>
      </c>
      <c r="R67" s="66" t="n">
        <f aca="false">IF(AND(R49&lt;0,R$46&gt;=$C$9,R$46&lt;=$C$41),ABS(R49)*$C$32,0)</f>
        <v>0</v>
      </c>
      <c r="S67" s="66" t="n">
        <f aca="false">IF(AND(S49&lt;0,S$46&gt;=$C$9,S$46&lt;=$C$41),ABS(S49)*$C$32,0)</f>
        <v>0</v>
      </c>
      <c r="T67" s="66" t="n">
        <f aca="false">IF(AND(T49&lt;0,T$46&gt;=$C$9,T$46&lt;=$C$41),ABS(T49)*$C$32,0)</f>
        <v>0</v>
      </c>
      <c r="U67" s="66" t="n">
        <f aca="false">IF(AND(U49&lt;0,U$46&gt;=$C$9,U$46&lt;=$C$41),ABS(U49)*$C$32,0)</f>
        <v>0</v>
      </c>
      <c r="V67" s="66" t="n">
        <f aca="false">IF(AND(V49&lt;0,V$46&gt;=$C$9,V$46&lt;=$C$41),ABS(V49)*$C$32,0)</f>
        <v>0</v>
      </c>
      <c r="W67" s="66" t="n">
        <f aca="false">IF(AND(W49&lt;0,W$46&gt;=$C$9,W$46&lt;=$C$41),ABS(W49)*$C$32,0)</f>
        <v>0</v>
      </c>
      <c r="X67" s="66" t="n">
        <f aca="false">IF(AND(X49&lt;0,X$46&gt;=$C$9,X$46&lt;=$C$41),ABS(X49)*$C$32,0)</f>
        <v>0</v>
      </c>
      <c r="Y67" s="66" t="n">
        <f aca="false">IF(AND(Y49&lt;0,Y$46&gt;=$C$9,Y$46&lt;=$C$41),ABS(Y49)*$C$32,0)</f>
        <v>0</v>
      </c>
      <c r="Z67" s="66" t="n">
        <f aca="false">IF(AND(Z49&lt;0,Z$46&gt;=$C$9,Z$46&lt;=$C$41),ABS(Z49)*$C$32,0)</f>
        <v>0</v>
      </c>
      <c r="AA67" s="66" t="n">
        <f aca="false">IF(AND(AA49&lt;0,AA$46&gt;=$C$9,AA$46&lt;=$C$41),ABS(AA49)*$C$32,0)</f>
        <v>0</v>
      </c>
      <c r="AB67" s="66" t="n">
        <f aca="false">IF(AND(AB49&lt;0,AB$46&gt;=$C$9,AB$46&lt;=$C$41),ABS(AB49)*$C$32,0)</f>
        <v>0</v>
      </c>
      <c r="AC67" s="66" t="n">
        <f aca="false">IF(AND(AC49&lt;0,AC$46&gt;=$C$9,AC$46&lt;=$C$41),ABS(AC49)*$C$32,0)</f>
        <v>0</v>
      </c>
      <c r="AD67" s="66" t="n">
        <f aca="false">IF(AND(AD49&lt;0,AD$46&gt;=$C$9,AD$46&lt;=$C$41),ABS(AD49)*$C$32,0)</f>
        <v>0</v>
      </c>
      <c r="AE67" s="66" t="n">
        <f aca="false">IF(AND(AE49&lt;0,AE$46&gt;=$C$9,AE$46&lt;=$C$41),ABS(AE49)*$C$32,0)</f>
        <v>0</v>
      </c>
      <c r="AF67" s="66" t="n">
        <f aca="false">IF(AND(AF49&lt;0,AF$46&gt;=$C$9,AF$46&lt;=$C$41),ABS(AF49)*$C$32,0)</f>
        <v>0</v>
      </c>
      <c r="AG67" s="66" t="n">
        <f aca="false">IF(AND(AG49&lt;0,AG$46&gt;=$C$9,AG$46&lt;=$C$41),ABS(AG49)*$C$32,0)</f>
        <v>0</v>
      </c>
      <c r="AH67" s="66" t="n">
        <f aca="false">IF(AND(AH49&lt;0,AH$46&gt;=$C$9,AH$46&lt;=$C$41),ABS(AH49)*$C$32,0)</f>
        <v>0</v>
      </c>
      <c r="AI67" s="66" t="n">
        <f aca="false">IF(AND(AI49&lt;0,AI$46&gt;=$C$9,AI$46&lt;=$C$41),ABS(AI49)*$C$32,0)</f>
        <v>0</v>
      </c>
      <c r="AJ67" s="66" t="n">
        <f aca="false">IF(AND(AJ49&lt;0,AJ$46&gt;=$C$9,AJ$46&lt;=$C$41),ABS(AJ49)*$C$32,0)</f>
        <v>0</v>
      </c>
      <c r="AK67" s="66" t="n">
        <f aca="false">IF(AND(AK49&lt;0,AK$46&gt;=$C$9,AK$46&lt;=$C$41),ABS(AK49)*$C$32,0)</f>
        <v>0</v>
      </c>
      <c r="AL67" s="66" t="n">
        <f aca="false">IF(AND(AL49&lt;0,AL$46&gt;=$C$9,AL$46&lt;=$C$41),ABS(AL49)*$C$32,0)</f>
        <v>0</v>
      </c>
      <c r="AM67" s="66" t="n">
        <f aca="false">IF(AND(AM49&lt;0,AM$46&gt;=$C$9,AM$46&lt;=$C$41),ABS(AM49)*$C$32,0)</f>
        <v>0</v>
      </c>
      <c r="AN67" s="66" t="n">
        <f aca="false">IF(AND(AN49&lt;0,AN$46&gt;=$C$9,AN$46&lt;=$C$41),ABS(AN49)*$C$32,0)</f>
        <v>0</v>
      </c>
      <c r="AO67" s="66" t="n">
        <f aca="false">IF(AND(AO49&lt;0,AO$46&gt;=$C$9,AO$46&lt;=$C$41),ABS(AO49)*$C$32,0)</f>
        <v>0</v>
      </c>
      <c r="AP67" s="66" t="n">
        <f aca="false">IF(AND(AP49&lt;0,AP$46&gt;=$C$9,AP$46&lt;=$C$41),ABS(AP49)*$C$32,0)</f>
        <v>0</v>
      </c>
      <c r="AQ67" s="66" t="n">
        <f aca="false">IF(AND(AQ49&lt;0,AQ$46&gt;=$C$9,AQ$46&lt;=$C$41),ABS(AQ49)*$C$32,0)</f>
        <v>0</v>
      </c>
      <c r="AR67" s="66" t="n">
        <f aca="false">IF(AND(AR49&lt;0,AR$46&gt;=$C$9,AR$46&lt;=$C$41),ABS(AR49)*$C$32,0)</f>
        <v>0</v>
      </c>
      <c r="AS67" s="66" t="n">
        <f aca="false">IF(AND(AS49&lt;0,AS$46&gt;=$C$9,AS$46&lt;=$C$41),ABS(AS49)*$C$32,0)</f>
        <v>0</v>
      </c>
      <c r="AT67" s="66" t="n">
        <f aca="false">IF(AND(AT49&lt;0,AT$46&gt;=$C$9,AT$46&lt;=$C$41),ABS(AT49)*$C$32,0)</f>
        <v>0</v>
      </c>
      <c r="AU67" s="66" t="n">
        <f aca="false">IF(AND(AU49&lt;0,AU$46&gt;=$C$9,AU$46&lt;=$C$41),ABS(AU49)*$C$32,0)</f>
        <v>0</v>
      </c>
      <c r="AV67" s="66" t="n">
        <f aca="false">IF(AND(AV49&lt;0,AV$46&gt;=$C$9,AV$46&lt;=$C$41),ABS(AV49)*$C$32,0)</f>
        <v>0</v>
      </c>
      <c r="AW67" s="66" t="n">
        <f aca="false">IF(AND(AW49&lt;0,AW$46&gt;=$C$9,AW$46&lt;=$C$41),ABS(AW49)*$C$32,0)</f>
        <v>0</v>
      </c>
      <c r="AX67" s="66" t="n">
        <f aca="false">IF(AND(AX49&lt;0,AX$46&gt;=$C$9,AX$46&lt;=$C$41),ABS(AX49)*$C$32,0)</f>
        <v>0</v>
      </c>
      <c r="AY67" s="66" t="n">
        <f aca="false">IF(AND(AY49&lt;0,AY$46&gt;=$C$9,AY$46&lt;=$C$41),ABS(AY49)*$C$32,0)</f>
        <v>0</v>
      </c>
      <c r="AZ67" s="66" t="n">
        <f aca="false">IF(AND(AZ49&lt;0,AZ$46&gt;=$C$9,AZ$46&lt;=$C$41),ABS(AZ49)*$C$32,0)</f>
        <v>0</v>
      </c>
      <c r="BA67" s="66" t="n">
        <f aca="false">IF(AND(BA49&lt;0,BA$46&gt;=$C$9,BA$46&lt;=$C$41),ABS(BA49)*$C$32,0)</f>
        <v>0</v>
      </c>
      <c r="BB67" s="66" t="n">
        <f aca="false">IF(AND(BB49&lt;0,BB$46&gt;=$C$9,BB$46&lt;=$C$41),ABS(BB49)*$C$32,0)</f>
        <v>0</v>
      </c>
    </row>
    <row r="68" customFormat="false" ht="15" hidden="false" customHeight="true" outlineLevel="0" collapsed="false">
      <c r="B68" s="59" t="s">
        <v>477</v>
      </c>
      <c r="C68" s="59" t="s">
        <v>11</v>
      </c>
      <c r="D68" s="66" t="n">
        <f aca="false">SUM(E68:BB68)</f>
        <v>0</v>
      </c>
      <c r="E68" s="66" t="n">
        <f aca="false">IF(E$46=$C$9,ABS($D$49)*$C$33,0)</f>
        <v>0</v>
      </c>
      <c r="F68" s="66" t="n">
        <f aca="false">IF(F$46=$C$9,ABS($D$49)*$C$33,0)</f>
        <v>0</v>
      </c>
      <c r="G68" s="66" t="n">
        <f aca="false">IF(G$46=$C$9,ABS($D$49)*$C$33,0)</f>
        <v>0</v>
      </c>
      <c r="H68" s="66" t="n">
        <f aca="false">IF(H$46=$C$9,ABS($D$49)*$C$33,0)</f>
        <v>0</v>
      </c>
      <c r="I68" s="66" t="n">
        <f aca="false">IF(I$46=$C$9,ABS($D$49)*$C$33,0)</f>
        <v>0</v>
      </c>
      <c r="J68" s="66" t="n">
        <f aca="false">IF(J$46=$C$9,ABS($D$49)*$C$33,0)</f>
        <v>0</v>
      </c>
      <c r="K68" s="66" t="n">
        <f aca="false">IF(K$46=$C$9,ABS($D$49)*$C$33,0)</f>
        <v>0</v>
      </c>
      <c r="L68" s="66" t="n">
        <f aca="false">IF(L$46=$C$9,ABS($D$49)*$C$33,0)</f>
        <v>0</v>
      </c>
      <c r="M68" s="66" t="n">
        <f aca="false">IF(M$46=$C$9,ABS($D$49)*$C$33,0)</f>
        <v>0</v>
      </c>
      <c r="N68" s="66" t="n">
        <f aca="false">IF(N$46=$C$9,ABS($D$49)*$C$33,0)</f>
        <v>0</v>
      </c>
      <c r="O68" s="66" t="n">
        <f aca="false">IF(O$46=$C$9,ABS($D$49)*$C$33,0)</f>
        <v>0</v>
      </c>
      <c r="P68" s="66" t="n">
        <f aca="false">IF(P$46=$C$9,ABS($D$49)*$C$33,0)</f>
        <v>0</v>
      </c>
      <c r="Q68" s="66" t="n">
        <f aca="false">IF(Q$46=$C$9,ABS($D$49)*$C$33,0)</f>
        <v>0</v>
      </c>
      <c r="R68" s="66" t="n">
        <f aca="false">IF(R$46=$C$9,ABS($D$49)*$C$33,0)</f>
        <v>0</v>
      </c>
      <c r="S68" s="66" t="n">
        <f aca="false">IF(S$46=$C$9,ABS($D$49)*$C$33,0)</f>
        <v>0</v>
      </c>
      <c r="T68" s="66" t="n">
        <f aca="false">IF(T$46=$C$9,ABS($D$49)*$C$33,0)</f>
        <v>0</v>
      </c>
      <c r="U68" s="66" t="n">
        <f aca="false">IF(U$46=$C$9,ABS($D$49)*$C$33,0)</f>
        <v>0</v>
      </c>
      <c r="V68" s="66" t="n">
        <f aca="false">IF(V$46=$C$9,ABS($D$49)*$C$33,0)</f>
        <v>0</v>
      </c>
      <c r="W68" s="66" t="n">
        <f aca="false">IF(W$46=$C$9,ABS($D$49)*$C$33,0)</f>
        <v>0</v>
      </c>
      <c r="X68" s="66" t="n">
        <f aca="false">IF(X$46=$C$9,ABS($D$49)*$C$33,0)</f>
        <v>0</v>
      </c>
      <c r="Y68" s="66" t="n">
        <f aca="false">IF(Y$46=$C$9,ABS($D$49)*$C$33,0)</f>
        <v>0</v>
      </c>
      <c r="Z68" s="66" t="n">
        <f aca="false">IF(Z$46=$C$9,ABS($D$49)*$C$33,0)</f>
        <v>0</v>
      </c>
      <c r="AA68" s="66" t="n">
        <f aca="false">IF(AA$46=$C$9,ABS($D$49)*$C$33,0)</f>
        <v>0</v>
      </c>
      <c r="AB68" s="66" t="n">
        <f aca="false">IF(AB$46=$C$9,ABS($D$49)*$C$33,0)</f>
        <v>0</v>
      </c>
      <c r="AC68" s="66" t="n">
        <f aca="false">IF(AC$46=$C$9,ABS($D$49)*$C$33,0)</f>
        <v>0</v>
      </c>
      <c r="AD68" s="66" t="n">
        <f aca="false">IF(AD$46=$C$9,ABS($D$49)*$C$33,0)</f>
        <v>0</v>
      </c>
      <c r="AE68" s="66" t="n">
        <f aca="false">IF(AE$46=$C$9,ABS($D$49)*$C$33,0)</f>
        <v>0</v>
      </c>
      <c r="AF68" s="66" t="n">
        <f aca="false">IF(AF$46=$C$9,ABS($D$49)*$C$33,0)</f>
        <v>0</v>
      </c>
      <c r="AG68" s="66" t="n">
        <f aca="false">IF(AG$46=$C$9,ABS($D$49)*$C$33,0)</f>
        <v>0</v>
      </c>
      <c r="AH68" s="66" t="n">
        <f aca="false">IF(AH$46=$C$9,ABS($D$49)*$C$33,0)</f>
        <v>0</v>
      </c>
      <c r="AI68" s="66" t="n">
        <f aca="false">IF(AI$46=$C$9,ABS($D$49)*$C$33,0)</f>
        <v>0</v>
      </c>
      <c r="AJ68" s="66" t="n">
        <f aca="false">IF(AJ$46=$C$9,ABS($D$49)*$C$33,0)</f>
        <v>0</v>
      </c>
      <c r="AK68" s="66" t="n">
        <f aca="false">IF(AK$46=$C$9,ABS($D$49)*$C$33,0)</f>
        <v>0</v>
      </c>
      <c r="AL68" s="66" t="n">
        <f aca="false">IF(AL$46=$C$9,ABS($D$49)*$C$33,0)</f>
        <v>0</v>
      </c>
      <c r="AM68" s="66" t="n">
        <f aca="false">IF(AM$46=$C$9,ABS($D$49)*$C$33,0)</f>
        <v>0</v>
      </c>
      <c r="AN68" s="66" t="n">
        <f aca="false">IF(AN$46=$C$9,ABS($D$49)*$C$33,0)</f>
        <v>0</v>
      </c>
      <c r="AO68" s="66" t="n">
        <f aca="false">IF(AO$46=$C$9,ABS($D$49)*$C$33,0)</f>
        <v>0</v>
      </c>
      <c r="AP68" s="66" t="n">
        <f aca="false">IF(AP$46=$C$9,ABS($D$49)*$C$33,0)</f>
        <v>0</v>
      </c>
      <c r="AQ68" s="66" t="n">
        <f aca="false">IF(AQ$46=$C$9,ABS($D$49)*$C$33,0)</f>
        <v>0</v>
      </c>
      <c r="AR68" s="66" t="n">
        <f aca="false">IF(AR$46=$C$9,ABS($D$49)*$C$33,0)</f>
        <v>0</v>
      </c>
      <c r="AS68" s="66" t="n">
        <f aca="false">IF(AS$46=$C$9,ABS($D$49)*$C$33,0)</f>
        <v>0</v>
      </c>
      <c r="AT68" s="66" t="n">
        <f aca="false">IF(AT$46=$C$9,ABS($D$49)*$C$33,0)</f>
        <v>0</v>
      </c>
      <c r="AU68" s="66" t="n">
        <f aca="false">IF(AU$46=$C$9,ABS($D$49)*$C$33,0)</f>
        <v>0</v>
      </c>
      <c r="AV68" s="66" t="n">
        <f aca="false">IF(AV$46=$C$9,ABS($D$49)*$C$33,0)</f>
        <v>0</v>
      </c>
      <c r="AW68" s="66" t="n">
        <f aca="false">IF(AW$46=$C$9,ABS($D$49)*$C$33,0)</f>
        <v>0</v>
      </c>
      <c r="AX68" s="66" t="n">
        <f aca="false">IF(AX$46=$C$9,ABS($D$49)*$C$33,0)</f>
        <v>0</v>
      </c>
      <c r="AY68" s="66" t="n">
        <f aca="false">IF(AY$46=$C$9,ABS($D$49)*$C$33,0)</f>
        <v>0</v>
      </c>
      <c r="AZ68" s="66" t="n">
        <f aca="false">IF(AZ$46=$C$9,ABS($D$49)*$C$33,0)</f>
        <v>0</v>
      </c>
      <c r="BA68" s="66" t="n">
        <f aca="false">IF(BA$46=$C$9,ABS($D$49)*$C$33,0)</f>
        <v>0</v>
      </c>
      <c r="BB68" s="66" t="n">
        <f aca="false">IF(BB$46=$C$9,ABS($D$49)*$C$33,0)</f>
        <v>0</v>
      </c>
    </row>
    <row r="69" customFormat="false" ht="15" hidden="false" customHeight="true" outlineLevel="0" collapsed="false">
      <c r="B69" s="20" t="s">
        <v>478</v>
      </c>
      <c r="C69" s="59" t="s">
        <v>11</v>
      </c>
      <c r="D69" s="63" t="n">
        <f aca="false">SUM(E69:BB69)</f>
        <v>0</v>
      </c>
      <c r="E69" s="63" t="n">
        <f aca="false">E64+E65+E66+E67+E68</f>
        <v>0</v>
      </c>
      <c r="F69" s="63" t="n">
        <f aca="false">F64+F65+F66+F67+F68</f>
        <v>0</v>
      </c>
      <c r="G69" s="63" t="n">
        <f aca="false">G64+G65+G66+G67+G68</f>
        <v>0</v>
      </c>
      <c r="H69" s="63" t="n">
        <f aca="false">H64+H65+H66+H67+H68</f>
        <v>0</v>
      </c>
      <c r="I69" s="63" t="n">
        <f aca="false">I64+I65+I66+I67+I68</f>
        <v>0</v>
      </c>
      <c r="J69" s="63" t="n">
        <f aca="false">J64+J65+J66+J67+J68</f>
        <v>0</v>
      </c>
      <c r="K69" s="63" t="n">
        <f aca="false">K64+K65+K66+K67+K68</f>
        <v>0</v>
      </c>
      <c r="L69" s="63" t="n">
        <f aca="false">L64+L65+L66+L67+L68</f>
        <v>0</v>
      </c>
      <c r="M69" s="63" t="n">
        <f aca="false">M64+M65+M66+M67+M68</f>
        <v>0</v>
      </c>
      <c r="N69" s="63" t="n">
        <f aca="false">N64+N65+N66+N67+N68</f>
        <v>0</v>
      </c>
      <c r="O69" s="63" t="n">
        <f aca="false">O64+O65+O66+O67+O68</f>
        <v>0</v>
      </c>
      <c r="P69" s="63" t="n">
        <f aca="false">P64+P65+P66+P67+P68</f>
        <v>0</v>
      </c>
      <c r="Q69" s="63" t="n">
        <f aca="false">Q64+Q65+Q66+Q67+Q68</f>
        <v>0</v>
      </c>
      <c r="R69" s="63" t="n">
        <f aca="false">R64+R65+R66+R67+R68</f>
        <v>0</v>
      </c>
      <c r="S69" s="63" t="n">
        <f aca="false">S64+S65+S66+S67+S68</f>
        <v>0</v>
      </c>
      <c r="T69" s="63" t="n">
        <f aca="false">T64+T65+T66+T67+T68</f>
        <v>0</v>
      </c>
      <c r="U69" s="63" t="n">
        <f aca="false">U64+U65+U66+U67+U68</f>
        <v>0</v>
      </c>
      <c r="V69" s="63" t="n">
        <f aca="false">V64+V65+V66+V67+V68</f>
        <v>0</v>
      </c>
      <c r="W69" s="63" t="n">
        <f aca="false">W64+W65+W66+W67+W68</f>
        <v>0</v>
      </c>
      <c r="X69" s="63" t="n">
        <f aca="false">X64+X65+X66+X67+X68</f>
        <v>0</v>
      </c>
      <c r="Y69" s="63" t="n">
        <f aca="false">Y64+Y65+Y66+Y67+Y68</f>
        <v>0</v>
      </c>
      <c r="Z69" s="63" t="n">
        <f aca="false">Z64+Z65+Z66+Z67+Z68</f>
        <v>0</v>
      </c>
      <c r="AA69" s="63" t="n">
        <f aca="false">AA64+AA65+AA66+AA67+AA68</f>
        <v>0</v>
      </c>
      <c r="AB69" s="63" t="n">
        <f aca="false">AB64+AB65+AB66+AB67+AB68</f>
        <v>0</v>
      </c>
      <c r="AC69" s="63" t="n">
        <f aca="false">AC64+AC65+AC66+AC67+AC68</f>
        <v>0</v>
      </c>
      <c r="AD69" s="63" t="n">
        <f aca="false">AD64+AD65+AD66+AD67+AD68</f>
        <v>0</v>
      </c>
      <c r="AE69" s="63" t="n">
        <f aca="false">AE64+AE65+AE66+AE67+AE68</f>
        <v>0</v>
      </c>
      <c r="AF69" s="63" t="n">
        <f aca="false">AF64+AF65+AF66+AF67+AF68</f>
        <v>0</v>
      </c>
      <c r="AG69" s="63" t="n">
        <f aca="false">AG64+AG65+AG66+AG67+AG68</f>
        <v>0</v>
      </c>
      <c r="AH69" s="63" t="n">
        <f aca="false">AH64+AH65+AH66+AH67+AH68</f>
        <v>0</v>
      </c>
      <c r="AI69" s="63" t="n">
        <f aca="false">AI64+AI65+AI66+AI67+AI68</f>
        <v>0</v>
      </c>
      <c r="AJ69" s="63" t="n">
        <f aca="false">AJ64+AJ65+AJ66+AJ67+AJ68</f>
        <v>0</v>
      </c>
      <c r="AK69" s="63" t="n">
        <f aca="false">AK64+AK65+AK66+AK67+AK68</f>
        <v>0</v>
      </c>
      <c r="AL69" s="63" t="n">
        <f aca="false">AL64+AL65+AL66+AL67+AL68</f>
        <v>0</v>
      </c>
      <c r="AM69" s="63" t="n">
        <f aca="false">AM64+AM65+AM66+AM67+AM68</f>
        <v>0</v>
      </c>
      <c r="AN69" s="63" t="n">
        <f aca="false">AN64+AN65+AN66+AN67+AN68</f>
        <v>0</v>
      </c>
      <c r="AO69" s="63" t="n">
        <f aca="false">AO64+AO65+AO66+AO67+AO68</f>
        <v>0</v>
      </c>
      <c r="AP69" s="63" t="n">
        <f aca="false">AP64+AP65+AP66+AP67+AP68</f>
        <v>0</v>
      </c>
      <c r="AQ69" s="63" t="n">
        <f aca="false">AQ64+AQ65+AQ66+AQ67+AQ68</f>
        <v>0</v>
      </c>
      <c r="AR69" s="63" t="n">
        <f aca="false">AR64+AR65+AR66+AR67+AR68</f>
        <v>0</v>
      </c>
      <c r="AS69" s="63" t="n">
        <f aca="false">AS64+AS65+AS66+AS67+AS68</f>
        <v>0</v>
      </c>
      <c r="AT69" s="63" t="n">
        <f aca="false">AT64+AT65+AT66+AT67+AT68</f>
        <v>0</v>
      </c>
      <c r="AU69" s="63" t="n">
        <f aca="false">AU64+AU65+AU66+AU67+AU68</f>
        <v>0</v>
      </c>
      <c r="AV69" s="63" t="n">
        <f aca="false">AV64+AV65+AV66+AV67+AV68</f>
        <v>0</v>
      </c>
      <c r="AW69" s="63" t="n">
        <f aca="false">AW64+AW65+AW66+AW67+AW68</f>
        <v>0</v>
      </c>
      <c r="AX69" s="63" t="n">
        <f aca="false">AX64+AX65+AX66+AX67+AX68</f>
        <v>0</v>
      </c>
      <c r="AY69" s="63" t="n">
        <f aca="false">AY64+AY65+AY66+AY67+AY68</f>
        <v>0</v>
      </c>
      <c r="AZ69" s="63" t="n">
        <f aca="false">AZ64+AZ65+AZ66+AZ67+AZ68</f>
        <v>0</v>
      </c>
      <c r="BA69" s="63" t="n">
        <f aca="false">BA64+BA65+BA66+BA67+BA68</f>
        <v>0</v>
      </c>
      <c r="BB69" s="63" t="n">
        <f aca="false">BB64+BB65+BB66+BB67+BB68</f>
        <v>0</v>
      </c>
    </row>
    <row r="70" customFormat="false" ht="15" hidden="false" customHeight="true" outlineLevel="0" collapsed="false">
      <c r="B70" s="59" t="s">
        <v>479</v>
      </c>
      <c r="C70" s="59" t="s">
        <v>11</v>
      </c>
      <c r="D70" s="66" t="n">
        <f aca="false">SUM(E70:BB70)</f>
        <v>0</v>
      </c>
      <c r="E70" s="66" t="n">
        <f aca="false">MAX(0,E69-MAX(0,IF(E$46&lt;=$C$41,E50,0)+E62+E51))</f>
        <v>0</v>
      </c>
      <c r="F70" s="66" t="n">
        <f aca="false">MAX(0,F69-MAX(0,IF(F$46&lt;=$C$41,F50,0)+F62+F51))</f>
        <v>0</v>
      </c>
      <c r="G70" s="66" t="n">
        <f aca="false">MAX(0,G69-MAX(0,IF(G$46&lt;=$C$41,G50,0)+G62+G51))</f>
        <v>0</v>
      </c>
      <c r="H70" s="66" t="n">
        <f aca="false">MAX(0,H69-MAX(0,IF(H$46&lt;=$C$41,H50,0)+H62+H51))</f>
        <v>0</v>
      </c>
      <c r="I70" s="66" t="n">
        <f aca="false">MAX(0,I69-MAX(0,IF(I$46&lt;=$C$41,I50,0)+I62+I51))</f>
        <v>0</v>
      </c>
      <c r="J70" s="66" t="n">
        <f aca="false">MAX(0,J69-MAX(0,IF(J$46&lt;=$C$41,J50,0)+J62+J51))</f>
        <v>0</v>
      </c>
      <c r="K70" s="66" t="n">
        <f aca="false">MAX(0,K69-MAX(0,IF(K$46&lt;=$C$41,K50,0)+K62+K51))</f>
        <v>0</v>
      </c>
      <c r="L70" s="66" t="n">
        <f aca="false">MAX(0,L69-MAX(0,IF(L$46&lt;=$C$41,L50,0)+L62+L51))</f>
        <v>0</v>
      </c>
      <c r="M70" s="66" t="n">
        <f aca="false">MAX(0,M69-MAX(0,IF(M$46&lt;=$C$41,M50,0)+M62+M51))</f>
        <v>0</v>
      </c>
      <c r="N70" s="66" t="n">
        <f aca="false">MAX(0,N69-MAX(0,IF(N$46&lt;=$C$41,N50,0)+N62+N51))</f>
        <v>0</v>
      </c>
      <c r="O70" s="66" t="n">
        <f aca="false">MAX(0,O69-MAX(0,IF(O$46&lt;=$C$41,O50,0)+O62+O51))</f>
        <v>0</v>
      </c>
      <c r="P70" s="66" t="n">
        <f aca="false">MAX(0,P69-MAX(0,IF(P$46&lt;=$C$41,P50,0)+P62+P51))</f>
        <v>0</v>
      </c>
      <c r="Q70" s="66" t="n">
        <f aca="false">MAX(0,Q69-MAX(0,IF(Q$46&lt;=$C$41,Q50,0)+Q62+Q51))</f>
        <v>0</v>
      </c>
      <c r="R70" s="66" t="n">
        <f aca="false">MAX(0,R69-MAX(0,IF(R$46&lt;=$C$41,R50,0)+R62+R51))</f>
        <v>0</v>
      </c>
      <c r="S70" s="66" t="n">
        <f aca="false">MAX(0,S69-MAX(0,IF(S$46&lt;=$C$41,S50,0)+S62+S51))</f>
        <v>0</v>
      </c>
      <c r="T70" s="66" t="n">
        <f aca="false">MAX(0,T69-MAX(0,IF(T$46&lt;=$C$41,T50,0)+T62+T51))</f>
        <v>0</v>
      </c>
      <c r="U70" s="66" t="n">
        <f aca="false">MAX(0,U69-MAX(0,IF(U$46&lt;=$C$41,U50,0)+U62+U51))</f>
        <v>0</v>
      </c>
      <c r="V70" s="66" t="n">
        <f aca="false">MAX(0,V69-MAX(0,IF(V$46&lt;=$C$41,V50,0)+V62+V51))</f>
        <v>0</v>
      </c>
      <c r="W70" s="66" t="n">
        <f aca="false">MAX(0,W69-MAX(0,IF(W$46&lt;=$C$41,W50,0)+W62+W51))</f>
        <v>0</v>
      </c>
      <c r="X70" s="66" t="n">
        <f aca="false">MAX(0,X69-MAX(0,IF(X$46&lt;=$C$41,X50,0)+X62+X51))</f>
        <v>0</v>
      </c>
      <c r="Y70" s="66" t="n">
        <f aca="false">MAX(0,Y69-MAX(0,IF(Y$46&lt;=$C$41,Y50,0)+Y62+Y51))</f>
        <v>0</v>
      </c>
      <c r="Z70" s="66" t="n">
        <f aca="false">MAX(0,Z69-MAX(0,IF(Z$46&lt;=$C$41,Z50,0)+Z62+Z51))</f>
        <v>0</v>
      </c>
      <c r="AA70" s="66" t="n">
        <f aca="false">MAX(0,AA69-MAX(0,IF(AA$46&lt;=$C$41,AA50,0)+AA62+AA51))</f>
        <v>0</v>
      </c>
      <c r="AB70" s="66" t="n">
        <f aca="false">MAX(0,AB69-MAX(0,IF(AB$46&lt;=$C$41,AB50,0)+AB62+AB51))</f>
        <v>0</v>
      </c>
      <c r="AC70" s="66" t="n">
        <f aca="false">MAX(0,AC69-MAX(0,IF(AC$46&lt;=$C$41,AC50,0)+AC62+AC51))</f>
        <v>0</v>
      </c>
      <c r="AD70" s="66" t="n">
        <f aca="false">MAX(0,AD69-MAX(0,IF(AD$46&lt;=$C$41,AD50,0)+AD62+AD51))</f>
        <v>0</v>
      </c>
      <c r="AE70" s="66" t="n">
        <f aca="false">MAX(0,AE69-MAX(0,IF(AE$46&lt;=$C$41,AE50,0)+AE62+AE51))</f>
        <v>0</v>
      </c>
      <c r="AF70" s="66" t="n">
        <f aca="false">MAX(0,AF69-MAX(0,IF(AF$46&lt;=$C$41,AF50,0)+AF62+AF51))</f>
        <v>0</v>
      </c>
      <c r="AG70" s="66" t="n">
        <f aca="false">MAX(0,AG69-MAX(0,IF(AG$46&lt;=$C$41,AG50,0)+AG62+AG51))</f>
        <v>0</v>
      </c>
      <c r="AH70" s="66" t="n">
        <f aca="false">MAX(0,AH69-MAX(0,IF(AH$46&lt;=$C$41,AH50,0)+AH62+AH51))</f>
        <v>0</v>
      </c>
      <c r="AI70" s="66" t="n">
        <f aca="false">MAX(0,AI69-MAX(0,IF(AI$46&lt;=$C$41,AI50,0)+AI62+AI51))</f>
        <v>0</v>
      </c>
      <c r="AJ70" s="66" t="n">
        <f aca="false">MAX(0,AJ69-MAX(0,IF(AJ$46&lt;=$C$41,AJ50,0)+AJ62+AJ51))</f>
        <v>0</v>
      </c>
      <c r="AK70" s="66" t="n">
        <f aca="false">MAX(0,AK69-MAX(0,IF(AK$46&lt;=$C$41,AK50,0)+AK62+AK51))</f>
        <v>0</v>
      </c>
      <c r="AL70" s="66" t="n">
        <f aca="false">MAX(0,AL69-MAX(0,IF(AL$46&lt;=$C$41,AL50,0)+AL62+AL51))</f>
        <v>0</v>
      </c>
      <c r="AM70" s="66" t="n">
        <f aca="false">MAX(0,AM69-MAX(0,IF(AM$46&lt;=$C$41,AM50,0)+AM62+AM51))</f>
        <v>0</v>
      </c>
      <c r="AN70" s="66" t="n">
        <f aca="false">MAX(0,AN69-MAX(0,IF(AN$46&lt;=$C$41,AN50,0)+AN62+AN51))</f>
        <v>0</v>
      </c>
      <c r="AO70" s="66" t="n">
        <f aca="false">MAX(0,AO69-MAX(0,IF(AO$46&lt;=$C$41,AO50,0)+AO62+AO51))</f>
        <v>0</v>
      </c>
      <c r="AP70" s="66" t="n">
        <f aca="false">MAX(0,AP69-MAX(0,IF(AP$46&lt;=$C$41,AP50,0)+AP62+AP51))</f>
        <v>0</v>
      </c>
      <c r="AQ70" s="66" t="n">
        <f aca="false">MAX(0,AQ69-MAX(0,IF(AQ$46&lt;=$C$41,AQ50,0)+AQ62+AQ51))</f>
        <v>0</v>
      </c>
      <c r="AR70" s="66" t="n">
        <f aca="false">MAX(0,AR69-MAX(0,IF(AR$46&lt;=$C$41,AR50,0)+AR62+AR51))</f>
        <v>0</v>
      </c>
      <c r="AS70" s="66" t="n">
        <f aca="false">MAX(0,AS69-MAX(0,IF(AS$46&lt;=$C$41,AS50,0)+AS62+AS51))</f>
        <v>0</v>
      </c>
      <c r="AT70" s="66" t="n">
        <f aca="false">MAX(0,AT69-MAX(0,IF(AT$46&lt;=$C$41,AT50,0)+AT62+AT51))</f>
        <v>0</v>
      </c>
      <c r="AU70" s="66" t="n">
        <f aca="false">MAX(0,AU69-MAX(0,IF(AU$46&lt;=$C$41,AU50,0)+AU62+AU51))</f>
        <v>0</v>
      </c>
      <c r="AV70" s="66" t="n">
        <f aca="false">MAX(0,AV69-MAX(0,IF(AV$46&lt;=$C$41,AV50,0)+AV62+AV51))</f>
        <v>0</v>
      </c>
      <c r="AW70" s="66" t="n">
        <f aca="false">MAX(0,AW69-MAX(0,IF(AW$46&lt;=$C$41,AW50,0)+AW62+AW51))</f>
        <v>0</v>
      </c>
      <c r="AX70" s="66" t="n">
        <f aca="false">MAX(0,AX69-MAX(0,IF(AX$46&lt;=$C$41,AX50,0)+AX62+AX51))</f>
        <v>0</v>
      </c>
      <c r="AY70" s="66" t="n">
        <f aca="false">MAX(0,AY69-MAX(0,IF(AY$46&lt;=$C$41,AY50,0)+AY62+AY51))</f>
        <v>0</v>
      </c>
      <c r="AZ70" s="66" t="n">
        <f aca="false">MAX(0,AZ69-MAX(0,IF(AZ$46&lt;=$C$41,AZ50,0)+AZ62+AZ51))</f>
        <v>0</v>
      </c>
      <c r="BA70" s="66" t="n">
        <f aca="false">MAX(0,BA69-MAX(0,IF(BA$46&lt;=$C$41,BA50,0)+BA62+BA51))</f>
        <v>0</v>
      </c>
      <c r="BB70" s="66" t="n">
        <f aca="false">MAX(0,BB69-MAX(0,IF(BB$46&lt;=$C$41,BB50,0)+BB62+BB51))</f>
        <v>0</v>
      </c>
    </row>
    <row r="71" customFormat="false" ht="15" hidden="false" customHeight="true" outlineLevel="0" collapsed="false">
      <c r="B71" s="59" t="s">
        <v>463</v>
      </c>
      <c r="C71" s="59" t="s">
        <v>11</v>
      </c>
      <c r="D71" s="63" t="n">
        <f aca="false">SUM(E71:BB71)</f>
        <v>0</v>
      </c>
      <c r="E71" s="66" t="n">
        <f aca="false">E51</f>
        <v>0</v>
      </c>
      <c r="F71" s="66" t="n">
        <f aca="false">F51</f>
        <v>0</v>
      </c>
      <c r="G71" s="66" t="n">
        <f aca="false">G51</f>
        <v>0</v>
      </c>
      <c r="H71" s="66" t="n">
        <f aca="false">H51</f>
        <v>0</v>
      </c>
      <c r="I71" s="66" t="n">
        <f aca="false">I51</f>
        <v>0</v>
      </c>
      <c r="J71" s="66" t="n">
        <f aca="false">J51</f>
        <v>0</v>
      </c>
      <c r="K71" s="66" t="n">
        <f aca="false">K51</f>
        <v>0</v>
      </c>
      <c r="L71" s="66" t="n">
        <f aca="false">L51</f>
        <v>0</v>
      </c>
      <c r="M71" s="66" t="n">
        <f aca="false">M51</f>
        <v>0</v>
      </c>
      <c r="N71" s="66" t="n">
        <f aca="false">N51</f>
        <v>0</v>
      </c>
      <c r="O71" s="66" t="n">
        <f aca="false">O51</f>
        <v>0</v>
      </c>
      <c r="P71" s="66" t="n">
        <f aca="false">P51</f>
        <v>0</v>
      </c>
      <c r="Q71" s="66" t="n">
        <f aca="false">Q51</f>
        <v>0</v>
      </c>
      <c r="R71" s="66" t="n">
        <f aca="false">R51</f>
        <v>0</v>
      </c>
      <c r="S71" s="66" t="n">
        <f aca="false">S51</f>
        <v>0</v>
      </c>
      <c r="T71" s="66" t="n">
        <f aca="false">T51</f>
        <v>0</v>
      </c>
      <c r="U71" s="66" t="n">
        <f aca="false">U51</f>
        <v>0</v>
      </c>
      <c r="V71" s="66" t="n">
        <f aca="false">V51</f>
        <v>0</v>
      </c>
      <c r="W71" s="66" t="n">
        <f aca="false">W51</f>
        <v>0</v>
      </c>
      <c r="X71" s="66" t="n">
        <f aca="false">X51</f>
        <v>0</v>
      </c>
      <c r="Y71" s="66" t="n">
        <f aca="false">Y51</f>
        <v>0</v>
      </c>
      <c r="Z71" s="66" t="n">
        <f aca="false">Z51</f>
        <v>0</v>
      </c>
      <c r="AA71" s="66" t="n">
        <f aca="false">AA51</f>
        <v>0</v>
      </c>
      <c r="AB71" s="66" t="n">
        <f aca="false">AB51</f>
        <v>0</v>
      </c>
      <c r="AC71" s="66" t="n">
        <f aca="false">AC51</f>
        <v>0</v>
      </c>
      <c r="AD71" s="66" t="n">
        <f aca="false">AD51</f>
        <v>0</v>
      </c>
      <c r="AE71" s="66" t="n">
        <f aca="false">AE51</f>
        <v>0</v>
      </c>
      <c r="AF71" s="66" t="n">
        <f aca="false">AF51</f>
        <v>0</v>
      </c>
      <c r="AG71" s="66" t="n">
        <f aca="false">AG51</f>
        <v>0</v>
      </c>
      <c r="AH71" s="66" t="n">
        <f aca="false">AH51</f>
        <v>0</v>
      </c>
      <c r="AI71" s="66" t="n">
        <f aca="false">AI51</f>
        <v>0</v>
      </c>
      <c r="AJ71" s="66" t="n">
        <f aca="false">AJ51</f>
        <v>0</v>
      </c>
      <c r="AK71" s="66" t="n">
        <f aca="false">AK51</f>
        <v>0</v>
      </c>
      <c r="AL71" s="66" t="n">
        <f aca="false">AL51</f>
        <v>0</v>
      </c>
      <c r="AM71" s="66" t="n">
        <f aca="false">AM51</f>
        <v>0</v>
      </c>
      <c r="AN71" s="66" t="n">
        <f aca="false">AN51</f>
        <v>0</v>
      </c>
      <c r="AO71" s="66" t="n">
        <f aca="false">AO51</f>
        <v>0</v>
      </c>
      <c r="AP71" s="66" t="n">
        <f aca="false">AP51</f>
        <v>0</v>
      </c>
      <c r="AQ71" s="66" t="n">
        <f aca="false">AQ51</f>
        <v>0</v>
      </c>
      <c r="AR71" s="66" t="n">
        <f aca="false">AR51</f>
        <v>0</v>
      </c>
      <c r="AS71" s="66" t="n">
        <f aca="false">AS51</f>
        <v>0</v>
      </c>
      <c r="AT71" s="66" t="n">
        <f aca="false">AT51</f>
        <v>0</v>
      </c>
      <c r="AU71" s="66" t="n">
        <f aca="false">AU51</f>
        <v>0</v>
      </c>
      <c r="AV71" s="66" t="n">
        <f aca="false">AV51</f>
        <v>0</v>
      </c>
      <c r="AW71" s="66" t="n">
        <f aca="false">AW51</f>
        <v>0</v>
      </c>
      <c r="AX71" s="66" t="n">
        <f aca="false">AX51</f>
        <v>0</v>
      </c>
      <c r="AY71" s="66" t="n">
        <f aca="false">AY51</f>
        <v>0</v>
      </c>
      <c r="AZ71" s="66" t="n">
        <f aca="false">AZ51</f>
        <v>0</v>
      </c>
      <c r="BA71" s="66" t="n">
        <f aca="false">BA51</f>
        <v>0</v>
      </c>
      <c r="BB71" s="66" t="n">
        <f aca="false">BB51</f>
        <v>0</v>
      </c>
    </row>
    <row r="73" customFormat="false" ht="15" hidden="false" customHeight="true" outlineLevel="0" collapsed="false">
      <c r="A73" s="58" t="s">
        <v>480</v>
      </c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8"/>
      <c r="AR73" s="58"/>
      <c r="AS73" s="58"/>
      <c r="AT73" s="58"/>
      <c r="AU73" s="58"/>
      <c r="AV73" s="58"/>
      <c r="AW73" s="58"/>
      <c r="AX73" s="58"/>
      <c r="AY73" s="58"/>
      <c r="AZ73" s="58"/>
      <c r="BA73" s="58"/>
      <c r="BB73" s="58"/>
    </row>
    <row r="74" customFormat="false" ht="15" hidden="false" customHeight="true" outlineLevel="0" collapsed="false">
      <c r="C74" s="69" t="s">
        <v>262</v>
      </c>
      <c r="D74" s="69" t="s">
        <v>60</v>
      </c>
      <c r="E74" s="70" t="n">
        <f aca="false">E$46</f>
        <v>2026</v>
      </c>
      <c r="F74" s="70" t="n">
        <f aca="false">F$46</f>
        <v>2027</v>
      </c>
      <c r="G74" s="70" t="n">
        <f aca="false">G$46</f>
        <v>2028</v>
      </c>
      <c r="H74" s="70" t="n">
        <f aca="false">H$46</f>
        <v>2029</v>
      </c>
      <c r="I74" s="70" t="n">
        <f aca="false">I$46</f>
        <v>2030</v>
      </c>
      <c r="J74" s="70" t="n">
        <f aca="false">J$46</f>
        <v>2031</v>
      </c>
      <c r="K74" s="70" t="n">
        <f aca="false">K$46</f>
        <v>2032</v>
      </c>
      <c r="L74" s="70" t="n">
        <f aca="false">L$46</f>
        <v>2033</v>
      </c>
      <c r="M74" s="70" t="n">
        <f aca="false">M$46</f>
        <v>2034</v>
      </c>
      <c r="N74" s="70" t="n">
        <f aca="false">N$46</f>
        <v>2035</v>
      </c>
      <c r="O74" s="70" t="n">
        <f aca="false">O$46</f>
        <v>2036</v>
      </c>
      <c r="P74" s="70" t="n">
        <f aca="false">P$46</f>
        <v>2037</v>
      </c>
      <c r="Q74" s="70" t="n">
        <f aca="false">Q$46</f>
        <v>2038</v>
      </c>
      <c r="R74" s="70" t="n">
        <f aca="false">R$46</f>
        <v>2039</v>
      </c>
      <c r="S74" s="70" t="n">
        <f aca="false">S$46</f>
        <v>2040</v>
      </c>
      <c r="T74" s="70" t="n">
        <f aca="false">T$46</f>
        <v>2041</v>
      </c>
      <c r="U74" s="70" t="n">
        <f aca="false">U$46</f>
        <v>2042</v>
      </c>
      <c r="V74" s="70" t="n">
        <f aca="false">V$46</f>
        <v>2043</v>
      </c>
      <c r="W74" s="70" t="n">
        <f aca="false">W$46</f>
        <v>2044</v>
      </c>
      <c r="X74" s="70" t="n">
        <f aca="false">X$46</f>
        <v>2045</v>
      </c>
      <c r="Y74" s="70" t="n">
        <f aca="false">Y$46</f>
        <v>2046</v>
      </c>
      <c r="Z74" s="70" t="n">
        <f aca="false">Z$46</f>
        <v>2047</v>
      </c>
      <c r="AA74" s="70" t="n">
        <f aca="false">AA$46</f>
        <v>2048</v>
      </c>
      <c r="AB74" s="70" t="n">
        <f aca="false">AB$46</f>
        <v>2049</v>
      </c>
      <c r="AC74" s="70" t="n">
        <f aca="false">AC$46</f>
        <v>2050</v>
      </c>
      <c r="AD74" s="70" t="n">
        <f aca="false">AD$46</f>
        <v>2051</v>
      </c>
      <c r="AE74" s="70" t="n">
        <f aca="false">AE$46</f>
        <v>2052</v>
      </c>
      <c r="AF74" s="70" t="n">
        <f aca="false">AF$46</f>
        <v>2053</v>
      </c>
      <c r="AG74" s="70" t="n">
        <f aca="false">AG$46</f>
        <v>2054</v>
      </c>
      <c r="AH74" s="70" t="n">
        <f aca="false">AH$46</f>
        <v>2055</v>
      </c>
      <c r="AI74" s="70" t="n">
        <f aca="false">AI$46</f>
        <v>2056</v>
      </c>
      <c r="AJ74" s="70" t="n">
        <f aca="false">AJ$46</f>
        <v>2057</v>
      </c>
      <c r="AK74" s="70" t="n">
        <f aca="false">AK$46</f>
        <v>2058</v>
      </c>
      <c r="AL74" s="70" t="n">
        <f aca="false">AL$46</f>
        <v>2059</v>
      </c>
      <c r="AM74" s="70" t="n">
        <f aca="false">AM$46</f>
        <v>2060</v>
      </c>
      <c r="AN74" s="70" t="n">
        <f aca="false">AN$46</f>
        <v>2061</v>
      </c>
      <c r="AO74" s="70" t="n">
        <f aca="false">AO$46</f>
        <v>2062</v>
      </c>
      <c r="AP74" s="70" t="n">
        <f aca="false">AP$46</f>
        <v>2063</v>
      </c>
      <c r="AQ74" s="70" t="n">
        <f aca="false">AQ$46</f>
        <v>2064</v>
      </c>
      <c r="AR74" s="70" t="n">
        <f aca="false">AR$46</f>
        <v>2065</v>
      </c>
      <c r="AS74" s="70" t="n">
        <f aca="false">AS$46</f>
        <v>2066</v>
      </c>
      <c r="AT74" s="70" t="n">
        <f aca="false">AT$46</f>
        <v>2067</v>
      </c>
      <c r="AU74" s="70" t="n">
        <f aca="false">AU$46</f>
        <v>2068</v>
      </c>
      <c r="AV74" s="70" t="n">
        <f aca="false">AV$46</f>
        <v>2069</v>
      </c>
      <c r="AW74" s="70" t="n">
        <f aca="false">AW$46</f>
        <v>2070</v>
      </c>
      <c r="AX74" s="70" t="n">
        <f aca="false">AX$46</f>
        <v>2071</v>
      </c>
      <c r="AY74" s="70" t="n">
        <f aca="false">AY$46</f>
        <v>2072</v>
      </c>
      <c r="AZ74" s="70" t="n">
        <f aca="false">AZ$46</f>
        <v>2073</v>
      </c>
      <c r="BA74" s="70" t="n">
        <f aca="false">BA$46</f>
        <v>2074</v>
      </c>
      <c r="BB74" s="70" t="n">
        <f aca="false">BB$46</f>
        <v>2075</v>
      </c>
    </row>
    <row r="75" customFormat="false" ht="15" hidden="false" customHeight="true" outlineLevel="0" collapsed="false">
      <c r="B75" s="59" t="s">
        <v>481</v>
      </c>
      <c r="C75" s="59" t="s">
        <v>11</v>
      </c>
      <c r="D75" s="63" t="n">
        <f aca="false">SUM(E75:BB75)</f>
        <v>0</v>
      </c>
      <c r="E75" s="66" t="n">
        <f aca="false">MAX(0,IF(AND(E$46&gt;=$C$9,E$46&lt;=$C$41),E50,0)+E62-E69+E70+E51)</f>
        <v>0</v>
      </c>
      <c r="F75" s="66" t="n">
        <f aca="false">MAX(0,IF(AND(F$46&gt;=$C$9,F$46&lt;=$C$41),F50,0)+F62-F69+F70+F51)</f>
        <v>0</v>
      </c>
      <c r="G75" s="66" t="n">
        <f aca="false">MAX(0,IF(AND(G$46&gt;=$C$9,G$46&lt;=$C$41),G50,0)+G62-G69+G70+G51)</f>
        <v>0</v>
      </c>
      <c r="H75" s="66" t="n">
        <f aca="false">MAX(0,IF(AND(H$46&gt;=$C$9,H$46&lt;=$C$41),H50,0)+H62-H69+H70+H51)</f>
        <v>0</v>
      </c>
      <c r="I75" s="66" t="n">
        <f aca="false">MAX(0,IF(AND(I$46&gt;=$C$9,I$46&lt;=$C$41),I50,0)+I62-I69+I70+I51)</f>
        <v>0</v>
      </c>
      <c r="J75" s="66" t="n">
        <f aca="false">MAX(0,IF(AND(J$46&gt;=$C$9,J$46&lt;=$C$41),J50,0)+J62-J69+J70+J51)</f>
        <v>0</v>
      </c>
      <c r="K75" s="66" t="n">
        <f aca="false">MAX(0,IF(AND(K$46&gt;=$C$9,K$46&lt;=$C$41),K50,0)+K62-K69+K70+K51)</f>
        <v>0</v>
      </c>
      <c r="L75" s="66" t="n">
        <f aca="false">MAX(0,IF(AND(L$46&gt;=$C$9,L$46&lt;=$C$41),L50,0)+L62-L69+L70+L51)</f>
        <v>0</v>
      </c>
      <c r="M75" s="66" t="n">
        <f aca="false">MAX(0,IF(AND(M$46&gt;=$C$9,M$46&lt;=$C$41),M50,0)+M62-M69+M70+M51)</f>
        <v>0</v>
      </c>
      <c r="N75" s="66" t="n">
        <f aca="false">MAX(0,IF(AND(N$46&gt;=$C$9,N$46&lt;=$C$41),N50,0)+N62-N69+N70+N51)</f>
        <v>0</v>
      </c>
      <c r="O75" s="66" t="n">
        <f aca="false">MAX(0,IF(AND(O$46&gt;=$C$9,O$46&lt;=$C$41),O50,0)+O62-O69+O70+O51)</f>
        <v>0</v>
      </c>
      <c r="P75" s="66" t="n">
        <f aca="false">MAX(0,IF(AND(P$46&gt;=$C$9,P$46&lt;=$C$41),P50,0)+P62-P69+P70+P51)</f>
        <v>0</v>
      </c>
      <c r="Q75" s="66" t="n">
        <f aca="false">MAX(0,IF(AND(Q$46&gt;=$C$9,Q$46&lt;=$C$41),Q50,0)+Q62-Q69+Q70+Q51)</f>
        <v>0</v>
      </c>
      <c r="R75" s="66" t="n">
        <f aca="false">MAX(0,IF(AND(R$46&gt;=$C$9,R$46&lt;=$C$41),R50,0)+R62-R69+R70+R51)</f>
        <v>0</v>
      </c>
      <c r="S75" s="66" t="n">
        <f aca="false">MAX(0,IF(AND(S$46&gt;=$C$9,S$46&lt;=$C$41),S50,0)+S62-S69+S70+S51)</f>
        <v>0</v>
      </c>
      <c r="T75" s="66" t="n">
        <f aca="false">MAX(0,IF(AND(T$46&gt;=$C$9,T$46&lt;=$C$41),T50,0)+T62-T69+T70+T51)</f>
        <v>0</v>
      </c>
      <c r="U75" s="66" t="n">
        <f aca="false">MAX(0,IF(AND(U$46&gt;=$C$9,U$46&lt;=$C$41),U50,0)+U62-U69+U70+U51)</f>
        <v>0</v>
      </c>
      <c r="V75" s="66" t="n">
        <f aca="false">MAX(0,IF(AND(V$46&gt;=$C$9,V$46&lt;=$C$41),V50,0)+V62-V69+V70+V51)</f>
        <v>0</v>
      </c>
      <c r="W75" s="66" t="n">
        <f aca="false">MAX(0,IF(AND(W$46&gt;=$C$9,W$46&lt;=$C$41),W50,0)+W62-W69+W70+W51)</f>
        <v>0</v>
      </c>
      <c r="X75" s="66" t="n">
        <f aca="false">MAX(0,IF(AND(X$46&gt;=$C$9,X$46&lt;=$C$41),X50,0)+X62-X69+X70+X51)</f>
        <v>0</v>
      </c>
      <c r="Y75" s="66" t="n">
        <f aca="false">MAX(0,IF(AND(Y$46&gt;=$C$9,Y$46&lt;=$C$41),Y50,0)+Y62-Y69+Y70+Y51)</f>
        <v>0</v>
      </c>
      <c r="Z75" s="66" t="n">
        <f aca="false">MAX(0,IF(AND(Z$46&gt;=$C$9,Z$46&lt;=$C$41),Z50,0)+Z62-Z69+Z70+Z51)</f>
        <v>0</v>
      </c>
      <c r="AA75" s="66" t="n">
        <f aca="false">MAX(0,IF(AND(AA$46&gt;=$C$9,AA$46&lt;=$C$41),AA50,0)+AA62-AA69+AA70+AA51)</f>
        <v>0</v>
      </c>
      <c r="AB75" s="66" t="n">
        <f aca="false">MAX(0,IF(AND(AB$46&gt;=$C$9,AB$46&lt;=$C$41),AB50,0)+AB62-AB69+AB70+AB51)</f>
        <v>0</v>
      </c>
      <c r="AC75" s="66" t="n">
        <f aca="false">MAX(0,IF(AND(AC$46&gt;=$C$9,AC$46&lt;=$C$41),AC50,0)+AC62-AC69+AC70+AC51)</f>
        <v>0</v>
      </c>
      <c r="AD75" s="66" t="n">
        <f aca="false">MAX(0,IF(AND(AD$46&gt;=$C$9,AD$46&lt;=$C$41),AD50,0)+AD62-AD69+AD70+AD51)</f>
        <v>0</v>
      </c>
      <c r="AE75" s="66" t="n">
        <f aca="false">MAX(0,IF(AND(AE$46&gt;=$C$9,AE$46&lt;=$C$41),AE50,0)+AE62-AE69+AE70+AE51)</f>
        <v>0</v>
      </c>
      <c r="AF75" s="66" t="n">
        <f aca="false">MAX(0,IF(AND(AF$46&gt;=$C$9,AF$46&lt;=$C$41),AF50,0)+AF62-AF69+AF70+AF51)</f>
        <v>0</v>
      </c>
      <c r="AG75" s="66" t="n">
        <f aca="false">MAX(0,IF(AND(AG$46&gt;=$C$9,AG$46&lt;=$C$41),AG50,0)+AG62-AG69+AG70+AG51)</f>
        <v>0</v>
      </c>
      <c r="AH75" s="66" t="n">
        <f aca="false">MAX(0,IF(AND(AH$46&gt;=$C$9,AH$46&lt;=$C$41),AH50,0)+AH62-AH69+AH70+AH51)</f>
        <v>0</v>
      </c>
      <c r="AI75" s="66" t="n">
        <f aca="false">MAX(0,IF(AND(AI$46&gt;=$C$9,AI$46&lt;=$C$41),AI50,0)+AI62-AI69+AI70+AI51)</f>
        <v>0</v>
      </c>
      <c r="AJ75" s="66" t="n">
        <f aca="false">MAX(0,IF(AND(AJ$46&gt;=$C$9,AJ$46&lt;=$C$41),AJ50,0)+AJ62-AJ69+AJ70+AJ51)</f>
        <v>0</v>
      </c>
      <c r="AK75" s="66" t="n">
        <f aca="false">MAX(0,IF(AND(AK$46&gt;=$C$9,AK$46&lt;=$C$41),AK50,0)+AK62-AK69+AK70+AK51)</f>
        <v>0</v>
      </c>
      <c r="AL75" s="66" t="n">
        <f aca="false">MAX(0,IF(AND(AL$46&gt;=$C$9,AL$46&lt;=$C$41),AL50,0)+AL62-AL69+AL70+AL51)</f>
        <v>0</v>
      </c>
      <c r="AM75" s="66" t="n">
        <f aca="false">MAX(0,IF(AND(AM$46&gt;=$C$9,AM$46&lt;=$C$41),AM50,0)+AM62-AM69+AM70+AM51)</f>
        <v>0</v>
      </c>
      <c r="AN75" s="66" t="n">
        <f aca="false">MAX(0,IF(AND(AN$46&gt;=$C$9,AN$46&lt;=$C$41),AN50,0)+AN62-AN69+AN70+AN51)</f>
        <v>0</v>
      </c>
      <c r="AO75" s="66" t="n">
        <f aca="false">MAX(0,IF(AND(AO$46&gt;=$C$9,AO$46&lt;=$C$41),AO50,0)+AO62-AO69+AO70+AO51)</f>
        <v>0</v>
      </c>
      <c r="AP75" s="66" t="n">
        <f aca="false">MAX(0,IF(AND(AP$46&gt;=$C$9,AP$46&lt;=$C$41),AP50,0)+AP62-AP69+AP70+AP51)</f>
        <v>0</v>
      </c>
      <c r="AQ75" s="66" t="n">
        <f aca="false">MAX(0,IF(AND(AQ$46&gt;=$C$9,AQ$46&lt;=$C$41),AQ50,0)+AQ62-AQ69+AQ70+AQ51)</f>
        <v>0</v>
      </c>
      <c r="AR75" s="66" t="n">
        <f aca="false">MAX(0,IF(AND(AR$46&gt;=$C$9,AR$46&lt;=$C$41),AR50,0)+AR62-AR69+AR70+AR51)</f>
        <v>0</v>
      </c>
      <c r="AS75" s="66" t="n">
        <f aca="false">MAX(0,IF(AND(AS$46&gt;=$C$9,AS$46&lt;=$C$41),AS50,0)+AS62-AS69+AS70+AS51)</f>
        <v>0</v>
      </c>
      <c r="AT75" s="66" t="n">
        <f aca="false">MAX(0,IF(AND(AT$46&gt;=$C$9,AT$46&lt;=$C$41),AT50,0)+AT62-AT69+AT70+AT51)</f>
        <v>0</v>
      </c>
      <c r="AU75" s="66" t="n">
        <f aca="false">MAX(0,IF(AND(AU$46&gt;=$C$9,AU$46&lt;=$C$41),AU50,0)+AU62-AU69+AU70+AU51)</f>
        <v>0</v>
      </c>
      <c r="AV75" s="66" t="n">
        <f aca="false">MAX(0,IF(AND(AV$46&gt;=$C$9,AV$46&lt;=$C$41),AV50,0)+AV62-AV69+AV70+AV51)</f>
        <v>0</v>
      </c>
      <c r="AW75" s="66" t="n">
        <f aca="false">MAX(0,IF(AND(AW$46&gt;=$C$9,AW$46&lt;=$C$41),AW50,0)+AW62-AW69+AW70+AW51)</f>
        <v>0</v>
      </c>
      <c r="AX75" s="66" t="n">
        <f aca="false">MAX(0,IF(AND(AX$46&gt;=$C$9,AX$46&lt;=$C$41),AX50,0)+AX62-AX69+AX70+AX51)</f>
        <v>0</v>
      </c>
      <c r="AY75" s="66" t="n">
        <f aca="false">MAX(0,IF(AND(AY$46&gt;=$C$9,AY$46&lt;=$C$41),AY50,0)+AY62-AY69+AY70+AY51)</f>
        <v>0</v>
      </c>
      <c r="AZ75" s="66" t="n">
        <f aca="false">MAX(0,IF(AND(AZ$46&gt;=$C$9,AZ$46&lt;=$C$41),AZ50,0)+AZ62-AZ69+AZ70+AZ51)</f>
        <v>0</v>
      </c>
      <c r="BA75" s="66" t="n">
        <f aca="false">MAX(0,IF(AND(BA$46&gt;=$C$9,BA$46&lt;=$C$41),BA50,0)+BA62-BA69+BA70+BA51)</f>
        <v>0</v>
      </c>
      <c r="BB75" s="66" t="n">
        <f aca="false">MAX(0,IF(AND(BB$46&gt;=$C$9,BB$46&lt;=$C$41),BB50,0)+BB62-BB69+BB70+BB51)</f>
        <v>0</v>
      </c>
    </row>
    <row r="77" customFormat="false" ht="15" hidden="false" customHeight="true" outlineLevel="0" collapsed="false">
      <c r="B77" s="59" t="s">
        <v>482</v>
      </c>
      <c r="C77" s="59" t="s">
        <v>11</v>
      </c>
      <c r="E77" s="66" t="n">
        <f aca="false">E56</f>
        <v>0</v>
      </c>
      <c r="F77" s="66" t="n">
        <f aca="false">E79+F56</f>
        <v>0</v>
      </c>
      <c r="G77" s="66" t="n">
        <f aca="false">F79+G56</f>
        <v>0</v>
      </c>
      <c r="H77" s="66" t="n">
        <f aca="false">G79+H56</f>
        <v>0</v>
      </c>
      <c r="I77" s="66" t="n">
        <f aca="false">H79+I56</f>
        <v>0</v>
      </c>
      <c r="J77" s="66" t="n">
        <f aca="false">I79+J56</f>
        <v>0</v>
      </c>
      <c r="K77" s="66" t="n">
        <f aca="false">J79+K56</f>
        <v>0</v>
      </c>
      <c r="L77" s="66" t="n">
        <f aca="false">K79+L56</f>
        <v>0</v>
      </c>
      <c r="M77" s="66" t="n">
        <f aca="false">L79+M56</f>
        <v>0</v>
      </c>
      <c r="N77" s="66" t="n">
        <f aca="false">M79+N56</f>
        <v>0</v>
      </c>
      <c r="O77" s="66" t="n">
        <f aca="false">N79+O56</f>
        <v>0</v>
      </c>
      <c r="P77" s="66" t="n">
        <f aca="false">O79+P56</f>
        <v>0</v>
      </c>
      <c r="Q77" s="66" t="n">
        <f aca="false">P79+Q56</f>
        <v>0</v>
      </c>
      <c r="R77" s="66" t="n">
        <f aca="false">Q79+R56</f>
        <v>0</v>
      </c>
      <c r="S77" s="66" t="n">
        <f aca="false">R79+S56</f>
        <v>0</v>
      </c>
      <c r="T77" s="66" t="n">
        <f aca="false">S79+T56</f>
        <v>0</v>
      </c>
      <c r="U77" s="66" t="n">
        <f aca="false">T79+U56</f>
        <v>0</v>
      </c>
      <c r="V77" s="66" t="n">
        <f aca="false">U79+V56</f>
        <v>0</v>
      </c>
      <c r="W77" s="66" t="n">
        <f aca="false">V79+W56</f>
        <v>0</v>
      </c>
      <c r="X77" s="66" t="n">
        <f aca="false">W79+X56</f>
        <v>0</v>
      </c>
      <c r="Y77" s="66" t="n">
        <f aca="false">X79+Y56</f>
        <v>0</v>
      </c>
      <c r="Z77" s="66" t="n">
        <f aca="false">Y79+Z56</f>
        <v>0</v>
      </c>
      <c r="AA77" s="66" t="n">
        <f aca="false">Z79+AA56</f>
        <v>0</v>
      </c>
      <c r="AB77" s="66" t="n">
        <f aca="false">AA79+AB56</f>
        <v>0</v>
      </c>
      <c r="AC77" s="66" t="n">
        <f aca="false">AB79+AC56</f>
        <v>0</v>
      </c>
      <c r="AD77" s="66" t="n">
        <f aca="false">AC79+AD56</f>
        <v>0</v>
      </c>
      <c r="AE77" s="66" t="n">
        <f aca="false">AD79+AE56</f>
        <v>0</v>
      </c>
      <c r="AF77" s="66" t="n">
        <f aca="false">AE79+AF56</f>
        <v>0</v>
      </c>
      <c r="AG77" s="66" t="n">
        <f aca="false">AF79+AG56</f>
        <v>0</v>
      </c>
      <c r="AH77" s="66" t="n">
        <f aca="false">AG79+AH56</f>
        <v>0</v>
      </c>
      <c r="AI77" s="66" t="n">
        <f aca="false">AH79+AI56</f>
        <v>0</v>
      </c>
      <c r="AJ77" s="66" t="n">
        <f aca="false">AI79+AJ56</f>
        <v>0</v>
      </c>
      <c r="AK77" s="66" t="n">
        <f aca="false">AJ79+AK56</f>
        <v>0</v>
      </c>
      <c r="AL77" s="66" t="n">
        <f aca="false">AK79+AL56</f>
        <v>0</v>
      </c>
      <c r="AM77" s="66" t="n">
        <f aca="false">AL79+AM56</f>
        <v>0</v>
      </c>
      <c r="AN77" s="66" t="n">
        <f aca="false">AM79+AN56</f>
        <v>0</v>
      </c>
      <c r="AO77" s="66" t="n">
        <f aca="false">AN79+AO56</f>
        <v>0</v>
      </c>
      <c r="AP77" s="66" t="n">
        <f aca="false">AO79+AP56</f>
        <v>0</v>
      </c>
      <c r="AQ77" s="66" t="n">
        <f aca="false">AP79+AQ56</f>
        <v>0</v>
      </c>
      <c r="AR77" s="66" t="n">
        <f aca="false">AQ79+AR56</f>
        <v>0</v>
      </c>
      <c r="AS77" s="66" t="n">
        <f aca="false">AR79+AS56</f>
        <v>0</v>
      </c>
      <c r="AT77" s="66" t="n">
        <f aca="false">AS79+AT56</f>
        <v>0</v>
      </c>
      <c r="AU77" s="66" t="n">
        <f aca="false">AT79+AU56</f>
        <v>0</v>
      </c>
      <c r="AV77" s="66" t="n">
        <f aca="false">AU79+AV56</f>
        <v>0</v>
      </c>
      <c r="AW77" s="66" t="n">
        <f aca="false">AV79+AW56</f>
        <v>0</v>
      </c>
      <c r="AX77" s="66" t="n">
        <f aca="false">AW79+AX56</f>
        <v>0</v>
      </c>
      <c r="AY77" s="66" t="n">
        <f aca="false">AX79+AY56</f>
        <v>0</v>
      </c>
      <c r="AZ77" s="66" t="n">
        <f aca="false">AY79+AZ56</f>
        <v>0</v>
      </c>
      <c r="BA77" s="66" t="n">
        <f aca="false">AZ79+BA56</f>
        <v>0</v>
      </c>
      <c r="BB77" s="66" t="n">
        <f aca="false">BA79+BB56</f>
        <v>0</v>
      </c>
    </row>
    <row r="78" customFormat="false" ht="15" hidden="false" customHeight="true" outlineLevel="0" collapsed="false">
      <c r="B78" s="59" t="s">
        <v>483</v>
      </c>
      <c r="C78" s="59" t="s">
        <v>11</v>
      </c>
      <c r="D78" s="63" t="n">
        <f aca="false">SUM(E78:BB78)</f>
        <v>0</v>
      </c>
      <c r="E78" s="66" t="n">
        <f aca="false">MIN(E75,E77)</f>
        <v>0</v>
      </c>
      <c r="F78" s="66" t="n">
        <f aca="false">MIN(F75,F77)</f>
        <v>0</v>
      </c>
      <c r="G78" s="66" t="n">
        <f aca="false">MIN(G75,G77)</f>
        <v>0</v>
      </c>
      <c r="H78" s="66" t="n">
        <f aca="false">MIN(H75,H77)</f>
        <v>0</v>
      </c>
      <c r="I78" s="66" t="n">
        <f aca="false">MIN(I75,I77)</f>
        <v>0</v>
      </c>
      <c r="J78" s="66" t="n">
        <f aca="false">MIN(J75,J77)</f>
        <v>0</v>
      </c>
      <c r="K78" s="66" t="n">
        <f aca="false">MIN(K75,K77)</f>
        <v>0</v>
      </c>
      <c r="L78" s="66" t="n">
        <f aca="false">MIN(L75,L77)</f>
        <v>0</v>
      </c>
      <c r="M78" s="66" t="n">
        <f aca="false">MIN(M75,M77)</f>
        <v>0</v>
      </c>
      <c r="N78" s="66" t="n">
        <f aca="false">MIN(N75,N77)</f>
        <v>0</v>
      </c>
      <c r="O78" s="66" t="n">
        <f aca="false">MIN(O75,O77)</f>
        <v>0</v>
      </c>
      <c r="P78" s="66" t="n">
        <f aca="false">MIN(P75,P77)</f>
        <v>0</v>
      </c>
      <c r="Q78" s="66" t="n">
        <f aca="false">MIN(Q75,Q77)</f>
        <v>0</v>
      </c>
      <c r="R78" s="66" t="n">
        <f aca="false">MIN(R75,R77)</f>
        <v>0</v>
      </c>
      <c r="S78" s="66" t="n">
        <f aca="false">MIN(S75,S77)</f>
        <v>0</v>
      </c>
      <c r="T78" s="66" t="n">
        <f aca="false">MIN(T75,T77)</f>
        <v>0</v>
      </c>
      <c r="U78" s="66" t="n">
        <f aca="false">MIN(U75,U77)</f>
        <v>0</v>
      </c>
      <c r="V78" s="66" t="n">
        <f aca="false">MIN(V75,V77)</f>
        <v>0</v>
      </c>
      <c r="W78" s="66" t="n">
        <f aca="false">MIN(W75,W77)</f>
        <v>0</v>
      </c>
      <c r="X78" s="66" t="n">
        <f aca="false">MIN(X75,X77)</f>
        <v>0</v>
      </c>
      <c r="Y78" s="66" t="n">
        <f aca="false">MIN(Y75,Y77)</f>
        <v>0</v>
      </c>
      <c r="Z78" s="66" t="n">
        <f aca="false">MIN(Z75,Z77)</f>
        <v>0</v>
      </c>
      <c r="AA78" s="66" t="n">
        <f aca="false">MIN(AA75,AA77)</f>
        <v>0</v>
      </c>
      <c r="AB78" s="66" t="n">
        <f aca="false">MIN(AB75,AB77)</f>
        <v>0</v>
      </c>
      <c r="AC78" s="66" t="n">
        <f aca="false">MIN(AC75,AC77)</f>
        <v>0</v>
      </c>
      <c r="AD78" s="66" t="n">
        <f aca="false">MIN(AD75,AD77)</f>
        <v>0</v>
      </c>
      <c r="AE78" s="66" t="n">
        <f aca="false">MIN(AE75,AE77)</f>
        <v>0</v>
      </c>
      <c r="AF78" s="66" t="n">
        <f aca="false">MIN(AF75,AF77)</f>
        <v>0</v>
      </c>
      <c r="AG78" s="66" t="n">
        <f aca="false">MIN(AG75,AG77)</f>
        <v>0</v>
      </c>
      <c r="AH78" s="66" t="n">
        <f aca="false">MIN(AH75,AH77)</f>
        <v>0</v>
      </c>
      <c r="AI78" s="66" t="n">
        <f aca="false">MIN(AI75,AI77)</f>
        <v>0</v>
      </c>
      <c r="AJ78" s="66" t="n">
        <f aca="false">MIN(AJ75,AJ77)</f>
        <v>0</v>
      </c>
      <c r="AK78" s="66" t="n">
        <f aca="false">MIN(AK75,AK77)</f>
        <v>0</v>
      </c>
      <c r="AL78" s="66" t="n">
        <f aca="false">MIN(AL75,AL77)</f>
        <v>0</v>
      </c>
      <c r="AM78" s="66" t="n">
        <f aca="false">MIN(AM75,AM77)</f>
        <v>0</v>
      </c>
      <c r="AN78" s="66" t="n">
        <f aca="false">MIN(AN75,AN77)</f>
        <v>0</v>
      </c>
      <c r="AO78" s="66" t="n">
        <f aca="false">MIN(AO75,AO77)</f>
        <v>0</v>
      </c>
      <c r="AP78" s="66" t="n">
        <f aca="false">MIN(AP75,AP77)</f>
        <v>0</v>
      </c>
      <c r="AQ78" s="66" t="n">
        <f aca="false">MIN(AQ75,AQ77)</f>
        <v>0</v>
      </c>
      <c r="AR78" s="66" t="n">
        <f aca="false">MIN(AR75,AR77)</f>
        <v>0</v>
      </c>
      <c r="AS78" s="66" t="n">
        <f aca="false">MIN(AS75,AS77)</f>
        <v>0</v>
      </c>
      <c r="AT78" s="66" t="n">
        <f aca="false">MIN(AT75,AT77)</f>
        <v>0</v>
      </c>
      <c r="AU78" s="66" t="n">
        <f aca="false">MIN(AU75,AU77)</f>
        <v>0</v>
      </c>
      <c r="AV78" s="66" t="n">
        <f aca="false">MIN(AV75,AV77)</f>
        <v>0</v>
      </c>
      <c r="AW78" s="66" t="n">
        <f aca="false">MIN(AW75,AW77)</f>
        <v>0</v>
      </c>
      <c r="AX78" s="66" t="n">
        <f aca="false">MIN(AX75,AX77)</f>
        <v>0</v>
      </c>
      <c r="AY78" s="66" t="n">
        <f aca="false">MIN(AY75,AY77)</f>
        <v>0</v>
      </c>
      <c r="AZ78" s="66" t="n">
        <f aca="false">MIN(AZ75,AZ77)</f>
        <v>0</v>
      </c>
      <c r="BA78" s="66" t="n">
        <f aca="false">MIN(BA75,BA77)</f>
        <v>0</v>
      </c>
      <c r="BB78" s="66" t="n">
        <f aca="false">MIN(BB75,BB77)</f>
        <v>0</v>
      </c>
    </row>
    <row r="79" customFormat="false" ht="15" hidden="false" customHeight="true" outlineLevel="0" collapsed="false">
      <c r="B79" s="59" t="s">
        <v>484</v>
      </c>
      <c r="C79" s="59" t="s">
        <v>11</v>
      </c>
      <c r="E79" s="66" t="n">
        <f aca="false">E77-E78</f>
        <v>0</v>
      </c>
      <c r="F79" s="66" t="n">
        <f aca="false">F77-F78</f>
        <v>0</v>
      </c>
      <c r="G79" s="66" t="n">
        <f aca="false">G77-G78</f>
        <v>0</v>
      </c>
      <c r="H79" s="66" t="n">
        <f aca="false">H77-H78</f>
        <v>0</v>
      </c>
      <c r="I79" s="66" t="n">
        <f aca="false">I77-I78</f>
        <v>0</v>
      </c>
      <c r="J79" s="66" t="n">
        <f aca="false">J77-J78</f>
        <v>0</v>
      </c>
      <c r="K79" s="66" t="n">
        <f aca="false">K77-K78</f>
        <v>0</v>
      </c>
      <c r="L79" s="66" t="n">
        <f aca="false">L77-L78</f>
        <v>0</v>
      </c>
      <c r="M79" s="66" t="n">
        <f aca="false">M77-M78</f>
        <v>0</v>
      </c>
      <c r="N79" s="66" t="n">
        <f aca="false">N77-N78</f>
        <v>0</v>
      </c>
      <c r="O79" s="66" t="n">
        <f aca="false">O77-O78</f>
        <v>0</v>
      </c>
      <c r="P79" s="66" t="n">
        <f aca="false">P77-P78</f>
        <v>0</v>
      </c>
      <c r="Q79" s="66" t="n">
        <f aca="false">Q77-Q78</f>
        <v>0</v>
      </c>
      <c r="R79" s="66" t="n">
        <f aca="false">R77-R78</f>
        <v>0</v>
      </c>
      <c r="S79" s="66" t="n">
        <f aca="false">S77-S78</f>
        <v>0</v>
      </c>
      <c r="T79" s="66" t="n">
        <f aca="false">T77-T78</f>
        <v>0</v>
      </c>
      <c r="U79" s="66" t="n">
        <f aca="false">U77-U78</f>
        <v>0</v>
      </c>
      <c r="V79" s="66" t="n">
        <f aca="false">V77-V78</f>
        <v>0</v>
      </c>
      <c r="W79" s="66" t="n">
        <f aca="false">W77-W78</f>
        <v>0</v>
      </c>
      <c r="X79" s="66" t="n">
        <f aca="false">X77-X78</f>
        <v>0</v>
      </c>
      <c r="Y79" s="66" t="n">
        <f aca="false">Y77-Y78</f>
        <v>0</v>
      </c>
      <c r="Z79" s="66" t="n">
        <f aca="false">Z77-Z78</f>
        <v>0</v>
      </c>
      <c r="AA79" s="66" t="n">
        <f aca="false">AA77-AA78</f>
        <v>0</v>
      </c>
      <c r="AB79" s="66" t="n">
        <f aca="false">AB77-AB78</f>
        <v>0</v>
      </c>
      <c r="AC79" s="66" t="n">
        <f aca="false">AC77-AC78</f>
        <v>0</v>
      </c>
      <c r="AD79" s="66" t="n">
        <f aca="false">AD77-AD78</f>
        <v>0</v>
      </c>
      <c r="AE79" s="66" t="n">
        <f aca="false">AE77-AE78</f>
        <v>0</v>
      </c>
      <c r="AF79" s="66" t="n">
        <f aca="false">AF77-AF78</f>
        <v>0</v>
      </c>
      <c r="AG79" s="66" t="n">
        <f aca="false">AG77-AG78</f>
        <v>0</v>
      </c>
      <c r="AH79" s="66" t="n">
        <f aca="false">AH77-AH78</f>
        <v>0</v>
      </c>
      <c r="AI79" s="66" t="n">
        <f aca="false">AI77-AI78</f>
        <v>0</v>
      </c>
      <c r="AJ79" s="66" t="n">
        <f aca="false">AJ77-AJ78</f>
        <v>0</v>
      </c>
      <c r="AK79" s="66" t="n">
        <f aca="false">AK77-AK78</f>
        <v>0</v>
      </c>
      <c r="AL79" s="66" t="n">
        <f aca="false">AL77-AL78</f>
        <v>0</v>
      </c>
      <c r="AM79" s="66" t="n">
        <f aca="false">AM77-AM78</f>
        <v>0</v>
      </c>
      <c r="AN79" s="66" t="n">
        <f aca="false">AN77-AN78</f>
        <v>0</v>
      </c>
      <c r="AO79" s="66" t="n">
        <f aca="false">AO77-AO78</f>
        <v>0</v>
      </c>
      <c r="AP79" s="66" t="n">
        <f aca="false">AP77-AP78</f>
        <v>0</v>
      </c>
      <c r="AQ79" s="66" t="n">
        <f aca="false">AQ77-AQ78</f>
        <v>0</v>
      </c>
      <c r="AR79" s="66" t="n">
        <f aca="false">AR77-AR78</f>
        <v>0</v>
      </c>
      <c r="AS79" s="66" t="n">
        <f aca="false">AS77-AS78</f>
        <v>0</v>
      </c>
      <c r="AT79" s="66" t="n">
        <f aca="false">AT77-AT78</f>
        <v>0</v>
      </c>
      <c r="AU79" s="66" t="n">
        <f aca="false">AU77-AU78</f>
        <v>0</v>
      </c>
      <c r="AV79" s="66" t="n">
        <f aca="false">AV77-AV78</f>
        <v>0</v>
      </c>
      <c r="AW79" s="66" t="n">
        <f aca="false">AW77-AW78</f>
        <v>0</v>
      </c>
      <c r="AX79" s="66" t="n">
        <f aca="false">AX77-AX78</f>
        <v>0</v>
      </c>
      <c r="AY79" s="66" t="n">
        <f aca="false">AY77-AY78</f>
        <v>0</v>
      </c>
      <c r="AZ79" s="66" t="n">
        <f aca="false">AZ77-AZ78</f>
        <v>0</v>
      </c>
      <c r="BA79" s="66" t="n">
        <f aca="false">BA77-BA78</f>
        <v>0</v>
      </c>
      <c r="BB79" s="66" t="n">
        <f aca="false">BB77-BB78</f>
        <v>0</v>
      </c>
    </row>
    <row r="81" customFormat="false" ht="15" hidden="false" customHeight="true" outlineLevel="0" collapsed="false">
      <c r="B81" s="59" t="s">
        <v>485</v>
      </c>
      <c r="C81" s="59" t="s">
        <v>11</v>
      </c>
      <c r="D81" s="66" t="n">
        <f aca="false">SUM(E81:BB81)</f>
        <v>0</v>
      </c>
      <c r="E81" s="66" t="n">
        <f aca="false">E77*$C$36</f>
        <v>0</v>
      </c>
      <c r="F81" s="66" t="n">
        <f aca="false">F77*$C$36</f>
        <v>0</v>
      </c>
      <c r="G81" s="66" t="n">
        <f aca="false">G77*$C$36</f>
        <v>0</v>
      </c>
      <c r="H81" s="66" t="n">
        <f aca="false">H77*$C$36</f>
        <v>0</v>
      </c>
      <c r="I81" s="66" t="n">
        <f aca="false">I77*$C$36</f>
        <v>0</v>
      </c>
      <c r="J81" s="66" t="n">
        <f aca="false">J77*$C$36</f>
        <v>0</v>
      </c>
      <c r="K81" s="66" t="n">
        <f aca="false">K77*$C$36</f>
        <v>0</v>
      </c>
      <c r="L81" s="66" t="n">
        <f aca="false">L77*$C$36</f>
        <v>0</v>
      </c>
      <c r="M81" s="66" t="n">
        <f aca="false">M77*$C$36</f>
        <v>0</v>
      </c>
      <c r="N81" s="66" t="n">
        <f aca="false">N77*$C$36</f>
        <v>0</v>
      </c>
      <c r="O81" s="66" t="n">
        <f aca="false">O77*$C$36</f>
        <v>0</v>
      </c>
      <c r="P81" s="66" t="n">
        <f aca="false">P77*$C$36</f>
        <v>0</v>
      </c>
      <c r="Q81" s="66" t="n">
        <f aca="false">Q77*$C$36</f>
        <v>0</v>
      </c>
      <c r="R81" s="66" t="n">
        <f aca="false">R77*$C$36</f>
        <v>0</v>
      </c>
      <c r="S81" s="66" t="n">
        <f aca="false">S77*$C$36</f>
        <v>0</v>
      </c>
      <c r="T81" s="66" t="n">
        <f aca="false">T77*$C$36</f>
        <v>0</v>
      </c>
      <c r="U81" s="66" t="n">
        <f aca="false">U77*$C$36</f>
        <v>0</v>
      </c>
      <c r="V81" s="66" t="n">
        <f aca="false">V77*$C$36</f>
        <v>0</v>
      </c>
      <c r="W81" s="66" t="n">
        <f aca="false">W77*$C$36</f>
        <v>0</v>
      </c>
      <c r="X81" s="66" t="n">
        <f aca="false">X77*$C$36</f>
        <v>0</v>
      </c>
      <c r="Y81" s="66" t="n">
        <f aca="false">Y77*$C$36</f>
        <v>0</v>
      </c>
      <c r="Z81" s="66" t="n">
        <f aca="false">Z77*$C$36</f>
        <v>0</v>
      </c>
      <c r="AA81" s="66" t="n">
        <f aca="false">AA77*$C$36</f>
        <v>0</v>
      </c>
      <c r="AB81" s="66" t="n">
        <f aca="false">AB77*$C$36</f>
        <v>0</v>
      </c>
      <c r="AC81" s="66" t="n">
        <f aca="false">AC77*$C$36</f>
        <v>0</v>
      </c>
      <c r="AD81" s="66" t="n">
        <f aca="false">AD77*$C$36</f>
        <v>0</v>
      </c>
      <c r="AE81" s="66" t="n">
        <f aca="false">AE77*$C$36</f>
        <v>0</v>
      </c>
      <c r="AF81" s="66" t="n">
        <f aca="false">AF77*$C$36</f>
        <v>0</v>
      </c>
      <c r="AG81" s="66" t="n">
        <f aca="false">AG77*$C$36</f>
        <v>0</v>
      </c>
      <c r="AH81" s="66" t="n">
        <f aca="false">AH77*$C$36</f>
        <v>0</v>
      </c>
      <c r="AI81" s="66" t="n">
        <f aca="false">AI77*$C$36</f>
        <v>0</v>
      </c>
      <c r="AJ81" s="66" t="n">
        <f aca="false">AJ77*$C$36</f>
        <v>0</v>
      </c>
      <c r="AK81" s="66" t="n">
        <f aca="false">AK77*$C$36</f>
        <v>0</v>
      </c>
      <c r="AL81" s="66" t="n">
        <f aca="false">AL77*$C$36</f>
        <v>0</v>
      </c>
      <c r="AM81" s="66" t="n">
        <f aca="false">AM77*$C$36</f>
        <v>0</v>
      </c>
      <c r="AN81" s="66" t="n">
        <f aca="false">AN77*$C$36</f>
        <v>0</v>
      </c>
      <c r="AO81" s="66" t="n">
        <f aca="false">AO77*$C$36</f>
        <v>0</v>
      </c>
      <c r="AP81" s="66" t="n">
        <f aca="false">AP77*$C$36</f>
        <v>0</v>
      </c>
      <c r="AQ81" s="66" t="n">
        <f aca="false">AQ77*$C$36</f>
        <v>0</v>
      </c>
      <c r="AR81" s="66" t="n">
        <f aca="false">AR77*$C$36</f>
        <v>0</v>
      </c>
      <c r="AS81" s="66" t="n">
        <f aca="false">AS77*$C$36</f>
        <v>0</v>
      </c>
      <c r="AT81" s="66" t="n">
        <f aca="false">AT77*$C$36</f>
        <v>0</v>
      </c>
      <c r="AU81" s="66" t="n">
        <f aca="false">AU77*$C$36</f>
        <v>0</v>
      </c>
      <c r="AV81" s="66" t="n">
        <f aca="false">AV77*$C$36</f>
        <v>0</v>
      </c>
      <c r="AW81" s="66" t="n">
        <f aca="false">AW77*$C$36</f>
        <v>0</v>
      </c>
      <c r="AX81" s="66" t="n">
        <f aca="false">AX77*$C$36</f>
        <v>0</v>
      </c>
      <c r="AY81" s="66" t="n">
        <f aca="false">AY77*$C$36</f>
        <v>0</v>
      </c>
      <c r="AZ81" s="66" t="n">
        <f aca="false">AZ77*$C$36</f>
        <v>0</v>
      </c>
      <c r="BA81" s="66" t="n">
        <f aca="false">BA77*$C$36</f>
        <v>0</v>
      </c>
      <c r="BB81" s="66" t="n">
        <f aca="false">BB77*$C$36</f>
        <v>0</v>
      </c>
    </row>
    <row r="82" customFormat="false" ht="15" hidden="false" customHeight="true" outlineLevel="0" collapsed="false">
      <c r="B82" s="59" t="s">
        <v>486</v>
      </c>
      <c r="C82" s="59" t="s">
        <v>11</v>
      </c>
      <c r="E82" s="66" t="n">
        <f aca="false">0</f>
        <v>0</v>
      </c>
      <c r="F82" s="66" t="n">
        <f aca="false">E85</f>
        <v>0</v>
      </c>
      <c r="G82" s="66" t="n">
        <f aca="false">F85</f>
        <v>0</v>
      </c>
      <c r="H82" s="66" t="n">
        <f aca="false">G85</f>
        <v>0</v>
      </c>
      <c r="I82" s="66" t="n">
        <f aca="false">H85</f>
        <v>0</v>
      </c>
      <c r="J82" s="66" t="n">
        <f aca="false">I85</f>
        <v>0</v>
      </c>
      <c r="K82" s="66" t="n">
        <f aca="false">J85</f>
        <v>0</v>
      </c>
      <c r="L82" s="66" t="n">
        <f aca="false">K85</f>
        <v>0</v>
      </c>
      <c r="M82" s="66" t="n">
        <f aca="false">L85</f>
        <v>0</v>
      </c>
      <c r="N82" s="66" t="n">
        <f aca="false">M85</f>
        <v>0</v>
      </c>
      <c r="O82" s="66" t="n">
        <f aca="false">N85</f>
        <v>0</v>
      </c>
      <c r="P82" s="66" t="n">
        <f aca="false">O85</f>
        <v>0</v>
      </c>
      <c r="Q82" s="66" t="n">
        <f aca="false">P85</f>
        <v>0</v>
      </c>
      <c r="R82" s="66" t="n">
        <f aca="false">Q85</f>
        <v>0</v>
      </c>
      <c r="S82" s="66" t="n">
        <f aca="false">R85</f>
        <v>0</v>
      </c>
      <c r="T82" s="66" t="n">
        <f aca="false">S85</f>
        <v>0</v>
      </c>
      <c r="U82" s="66" t="n">
        <f aca="false">T85</f>
        <v>0</v>
      </c>
      <c r="V82" s="66" t="n">
        <f aca="false">U85</f>
        <v>0</v>
      </c>
      <c r="W82" s="66" t="n">
        <f aca="false">V85</f>
        <v>0</v>
      </c>
      <c r="X82" s="66" t="n">
        <f aca="false">W85</f>
        <v>0</v>
      </c>
      <c r="Y82" s="66" t="n">
        <f aca="false">X85</f>
        <v>0</v>
      </c>
      <c r="Z82" s="66" t="n">
        <f aca="false">Y85</f>
        <v>0</v>
      </c>
      <c r="AA82" s="66" t="n">
        <f aca="false">Z85</f>
        <v>0</v>
      </c>
      <c r="AB82" s="66" t="n">
        <f aca="false">AA85</f>
        <v>0</v>
      </c>
      <c r="AC82" s="66" t="n">
        <f aca="false">AB85</f>
        <v>0</v>
      </c>
      <c r="AD82" s="66" t="n">
        <f aca="false">AC85</f>
        <v>0</v>
      </c>
      <c r="AE82" s="66" t="n">
        <f aca="false">AD85</f>
        <v>0</v>
      </c>
      <c r="AF82" s="66" t="n">
        <f aca="false">AE85</f>
        <v>0</v>
      </c>
      <c r="AG82" s="66" t="n">
        <f aca="false">AF85</f>
        <v>0</v>
      </c>
      <c r="AH82" s="66" t="n">
        <f aca="false">AG85</f>
        <v>0</v>
      </c>
      <c r="AI82" s="66" t="n">
        <f aca="false">AH85</f>
        <v>0</v>
      </c>
      <c r="AJ82" s="66" t="n">
        <f aca="false">AI85</f>
        <v>0</v>
      </c>
      <c r="AK82" s="66" t="n">
        <f aca="false">AJ85</f>
        <v>0</v>
      </c>
      <c r="AL82" s="66" t="n">
        <f aca="false">AK85</f>
        <v>0</v>
      </c>
      <c r="AM82" s="66" t="n">
        <f aca="false">AL85</f>
        <v>0</v>
      </c>
      <c r="AN82" s="66" t="n">
        <f aca="false">AM85</f>
        <v>0</v>
      </c>
      <c r="AO82" s="66" t="n">
        <f aca="false">AN85</f>
        <v>0</v>
      </c>
      <c r="AP82" s="66" t="n">
        <f aca="false">AO85</f>
        <v>0</v>
      </c>
      <c r="AQ82" s="66" t="n">
        <f aca="false">AP85</f>
        <v>0</v>
      </c>
      <c r="AR82" s="66" t="n">
        <f aca="false">AQ85</f>
        <v>0</v>
      </c>
      <c r="AS82" s="66" t="n">
        <f aca="false">AR85</f>
        <v>0</v>
      </c>
      <c r="AT82" s="66" t="n">
        <f aca="false">AS85</f>
        <v>0</v>
      </c>
      <c r="AU82" s="66" t="n">
        <f aca="false">AT85</f>
        <v>0</v>
      </c>
      <c r="AV82" s="66" t="n">
        <f aca="false">AU85</f>
        <v>0</v>
      </c>
      <c r="AW82" s="66" t="n">
        <f aca="false">AV85</f>
        <v>0</v>
      </c>
      <c r="AX82" s="66" t="n">
        <f aca="false">AW85</f>
        <v>0</v>
      </c>
      <c r="AY82" s="66" t="n">
        <f aca="false">AX85</f>
        <v>0</v>
      </c>
      <c r="AZ82" s="66" t="n">
        <f aca="false">AY85</f>
        <v>0</v>
      </c>
      <c r="BA82" s="66" t="n">
        <f aca="false">AZ85</f>
        <v>0</v>
      </c>
      <c r="BB82" s="66" t="n">
        <f aca="false">BA85</f>
        <v>0</v>
      </c>
    </row>
    <row r="83" customFormat="false" ht="15" hidden="false" customHeight="true" outlineLevel="0" collapsed="false">
      <c r="B83" s="59" t="s">
        <v>487</v>
      </c>
      <c r="C83" s="59" t="s">
        <v>11</v>
      </c>
      <c r="E83" s="66" t="n">
        <f aca="false">E81+E82</f>
        <v>0</v>
      </c>
      <c r="F83" s="66" t="n">
        <f aca="false">F81+F82</f>
        <v>0</v>
      </c>
      <c r="G83" s="66" t="n">
        <f aca="false">G81+G82</f>
        <v>0</v>
      </c>
      <c r="H83" s="66" t="n">
        <f aca="false">H81+H82</f>
        <v>0</v>
      </c>
      <c r="I83" s="66" t="n">
        <f aca="false">I81+I82</f>
        <v>0</v>
      </c>
      <c r="J83" s="66" t="n">
        <f aca="false">J81+J82</f>
        <v>0</v>
      </c>
      <c r="K83" s="66" t="n">
        <f aca="false">K81+K82</f>
        <v>0</v>
      </c>
      <c r="L83" s="66" t="n">
        <f aca="false">L81+L82</f>
        <v>0</v>
      </c>
      <c r="M83" s="66" t="n">
        <f aca="false">M81+M82</f>
        <v>0</v>
      </c>
      <c r="N83" s="66" t="n">
        <f aca="false">N81+N82</f>
        <v>0</v>
      </c>
      <c r="O83" s="66" t="n">
        <f aca="false">O81+O82</f>
        <v>0</v>
      </c>
      <c r="P83" s="66" t="n">
        <f aca="false">P81+P82</f>
        <v>0</v>
      </c>
      <c r="Q83" s="66" t="n">
        <f aca="false">Q81+Q82</f>
        <v>0</v>
      </c>
      <c r="R83" s="66" t="n">
        <f aca="false">R81+R82</f>
        <v>0</v>
      </c>
      <c r="S83" s="66" t="n">
        <f aca="false">S81+S82</f>
        <v>0</v>
      </c>
      <c r="T83" s="66" t="n">
        <f aca="false">T81+T82</f>
        <v>0</v>
      </c>
      <c r="U83" s="66" t="n">
        <f aca="false">U81+U82</f>
        <v>0</v>
      </c>
      <c r="V83" s="66" t="n">
        <f aca="false">V81+V82</f>
        <v>0</v>
      </c>
      <c r="W83" s="66" t="n">
        <f aca="false">W81+W82</f>
        <v>0</v>
      </c>
      <c r="X83" s="66" t="n">
        <f aca="false">X81+X82</f>
        <v>0</v>
      </c>
      <c r="Y83" s="66" t="n">
        <f aca="false">Y81+Y82</f>
        <v>0</v>
      </c>
      <c r="Z83" s="66" t="n">
        <f aca="false">Z81+Z82</f>
        <v>0</v>
      </c>
      <c r="AA83" s="66" t="n">
        <f aca="false">AA81+AA82</f>
        <v>0</v>
      </c>
      <c r="AB83" s="66" t="n">
        <f aca="false">AB81+AB82</f>
        <v>0</v>
      </c>
      <c r="AC83" s="66" t="n">
        <f aca="false">AC81+AC82</f>
        <v>0</v>
      </c>
      <c r="AD83" s="66" t="n">
        <f aca="false">AD81+AD82</f>
        <v>0</v>
      </c>
      <c r="AE83" s="66" t="n">
        <f aca="false">AE81+AE82</f>
        <v>0</v>
      </c>
      <c r="AF83" s="66" t="n">
        <f aca="false">AF81+AF82</f>
        <v>0</v>
      </c>
      <c r="AG83" s="66" t="n">
        <f aca="false">AG81+AG82</f>
        <v>0</v>
      </c>
      <c r="AH83" s="66" t="n">
        <f aca="false">AH81+AH82</f>
        <v>0</v>
      </c>
      <c r="AI83" s="66" t="n">
        <f aca="false">AI81+AI82</f>
        <v>0</v>
      </c>
      <c r="AJ83" s="66" t="n">
        <f aca="false">AJ81+AJ82</f>
        <v>0</v>
      </c>
      <c r="AK83" s="66" t="n">
        <f aca="false">AK81+AK82</f>
        <v>0</v>
      </c>
      <c r="AL83" s="66" t="n">
        <f aca="false">AL81+AL82</f>
        <v>0</v>
      </c>
      <c r="AM83" s="66" t="n">
        <f aca="false">AM81+AM82</f>
        <v>0</v>
      </c>
      <c r="AN83" s="66" t="n">
        <f aca="false">AN81+AN82</f>
        <v>0</v>
      </c>
      <c r="AO83" s="66" t="n">
        <f aca="false">AO81+AO82</f>
        <v>0</v>
      </c>
      <c r="AP83" s="66" t="n">
        <f aca="false">AP81+AP82</f>
        <v>0</v>
      </c>
      <c r="AQ83" s="66" t="n">
        <f aca="false">AQ81+AQ82</f>
        <v>0</v>
      </c>
      <c r="AR83" s="66" t="n">
        <f aca="false">AR81+AR82</f>
        <v>0</v>
      </c>
      <c r="AS83" s="66" t="n">
        <f aca="false">AS81+AS82</f>
        <v>0</v>
      </c>
      <c r="AT83" s="66" t="n">
        <f aca="false">AT81+AT82</f>
        <v>0</v>
      </c>
      <c r="AU83" s="66" t="n">
        <f aca="false">AU81+AU82</f>
        <v>0</v>
      </c>
      <c r="AV83" s="66" t="n">
        <f aca="false">AV81+AV82</f>
        <v>0</v>
      </c>
      <c r="AW83" s="66" t="n">
        <f aca="false">AW81+AW82</f>
        <v>0</v>
      </c>
      <c r="AX83" s="66" t="n">
        <f aca="false">AX81+AX82</f>
        <v>0</v>
      </c>
      <c r="AY83" s="66" t="n">
        <f aca="false">AY81+AY82</f>
        <v>0</v>
      </c>
      <c r="AZ83" s="66" t="n">
        <f aca="false">AZ81+AZ82</f>
        <v>0</v>
      </c>
      <c r="BA83" s="66" t="n">
        <f aca="false">BA81+BA82</f>
        <v>0</v>
      </c>
      <c r="BB83" s="66" t="n">
        <f aca="false">BB81+BB82</f>
        <v>0</v>
      </c>
    </row>
    <row r="84" customFormat="false" ht="15" hidden="false" customHeight="true" outlineLevel="0" collapsed="false">
      <c r="B84" s="59" t="s">
        <v>488</v>
      </c>
      <c r="C84" s="59" t="s">
        <v>11</v>
      </c>
      <c r="D84" s="63" t="n">
        <f aca="false">SUM(E84:BB84)</f>
        <v>0</v>
      </c>
      <c r="E84" s="66" t="n">
        <f aca="false">MIN(MAX(0,E75-E78),E83)</f>
        <v>0</v>
      </c>
      <c r="F84" s="66" t="n">
        <f aca="false">MIN(MAX(0,F75-F78),F83)</f>
        <v>0</v>
      </c>
      <c r="G84" s="66" t="n">
        <f aca="false">MIN(MAX(0,G75-G78),G83)</f>
        <v>0</v>
      </c>
      <c r="H84" s="66" t="n">
        <f aca="false">MIN(MAX(0,H75-H78),H83)</f>
        <v>0</v>
      </c>
      <c r="I84" s="66" t="n">
        <f aca="false">MIN(MAX(0,I75-I78),I83)</f>
        <v>0</v>
      </c>
      <c r="J84" s="66" t="n">
        <f aca="false">MIN(MAX(0,J75-J78),J83)</f>
        <v>0</v>
      </c>
      <c r="K84" s="66" t="n">
        <f aca="false">MIN(MAX(0,K75-K78),K83)</f>
        <v>0</v>
      </c>
      <c r="L84" s="66" t="n">
        <f aca="false">MIN(MAX(0,L75-L78),L83)</f>
        <v>0</v>
      </c>
      <c r="M84" s="66" t="n">
        <f aca="false">MIN(MAX(0,M75-M78),M83)</f>
        <v>0</v>
      </c>
      <c r="N84" s="66" t="n">
        <f aca="false">MIN(MAX(0,N75-N78),N83)</f>
        <v>0</v>
      </c>
      <c r="O84" s="66" t="n">
        <f aca="false">MIN(MAX(0,O75-O78),O83)</f>
        <v>0</v>
      </c>
      <c r="P84" s="66" t="n">
        <f aca="false">MIN(MAX(0,P75-P78),P83)</f>
        <v>0</v>
      </c>
      <c r="Q84" s="66" t="n">
        <f aca="false">MIN(MAX(0,Q75-Q78),Q83)</f>
        <v>0</v>
      </c>
      <c r="R84" s="66" t="n">
        <f aca="false">MIN(MAX(0,R75-R78),R83)</f>
        <v>0</v>
      </c>
      <c r="S84" s="66" t="n">
        <f aca="false">MIN(MAX(0,S75-S78),S83)</f>
        <v>0</v>
      </c>
      <c r="T84" s="66" t="n">
        <f aca="false">MIN(MAX(0,T75-T78),T83)</f>
        <v>0</v>
      </c>
      <c r="U84" s="66" t="n">
        <f aca="false">MIN(MAX(0,U75-U78),U83)</f>
        <v>0</v>
      </c>
      <c r="V84" s="66" t="n">
        <f aca="false">MIN(MAX(0,V75-V78),V83)</f>
        <v>0</v>
      </c>
      <c r="W84" s="66" t="n">
        <f aca="false">MIN(MAX(0,W75-W78),W83)</f>
        <v>0</v>
      </c>
      <c r="X84" s="66" t="n">
        <f aca="false">MIN(MAX(0,X75-X78),X83)</f>
        <v>0</v>
      </c>
      <c r="Y84" s="66" t="n">
        <f aca="false">MIN(MAX(0,Y75-Y78),Y83)</f>
        <v>0</v>
      </c>
      <c r="Z84" s="66" t="n">
        <f aca="false">MIN(MAX(0,Z75-Z78),Z83)</f>
        <v>0</v>
      </c>
      <c r="AA84" s="66" t="n">
        <f aca="false">MIN(MAX(0,AA75-AA78),AA83)</f>
        <v>0</v>
      </c>
      <c r="AB84" s="66" t="n">
        <f aca="false">MIN(MAX(0,AB75-AB78),AB83)</f>
        <v>0</v>
      </c>
      <c r="AC84" s="66" t="n">
        <f aca="false">MIN(MAX(0,AC75-AC78),AC83)</f>
        <v>0</v>
      </c>
      <c r="AD84" s="66" t="n">
        <f aca="false">MIN(MAX(0,AD75-AD78),AD83)</f>
        <v>0</v>
      </c>
      <c r="AE84" s="66" t="n">
        <f aca="false">MIN(MAX(0,AE75-AE78),AE83)</f>
        <v>0</v>
      </c>
      <c r="AF84" s="66" t="n">
        <f aca="false">MIN(MAX(0,AF75-AF78),AF83)</f>
        <v>0</v>
      </c>
      <c r="AG84" s="66" t="n">
        <f aca="false">MIN(MAX(0,AG75-AG78),AG83)</f>
        <v>0</v>
      </c>
      <c r="AH84" s="66" t="n">
        <f aca="false">MIN(MAX(0,AH75-AH78),AH83)</f>
        <v>0</v>
      </c>
      <c r="AI84" s="66" t="n">
        <f aca="false">MIN(MAX(0,AI75-AI78),AI83)</f>
        <v>0</v>
      </c>
      <c r="AJ84" s="66" t="n">
        <f aca="false">MIN(MAX(0,AJ75-AJ78),AJ83)</f>
        <v>0</v>
      </c>
      <c r="AK84" s="66" t="n">
        <f aca="false">MIN(MAX(0,AK75-AK78),AK83)</f>
        <v>0</v>
      </c>
      <c r="AL84" s="66" t="n">
        <f aca="false">MIN(MAX(0,AL75-AL78),AL83)</f>
        <v>0</v>
      </c>
      <c r="AM84" s="66" t="n">
        <f aca="false">MIN(MAX(0,AM75-AM78),AM83)</f>
        <v>0</v>
      </c>
      <c r="AN84" s="66" t="n">
        <f aca="false">MIN(MAX(0,AN75-AN78),AN83)</f>
        <v>0</v>
      </c>
      <c r="AO84" s="66" t="n">
        <f aca="false">MIN(MAX(0,AO75-AO78),AO83)</f>
        <v>0</v>
      </c>
      <c r="AP84" s="66" t="n">
        <f aca="false">MIN(MAX(0,AP75-AP78),AP83)</f>
        <v>0</v>
      </c>
      <c r="AQ84" s="66" t="n">
        <f aca="false">MIN(MAX(0,AQ75-AQ78),AQ83)</f>
        <v>0</v>
      </c>
      <c r="AR84" s="66" t="n">
        <f aca="false">MIN(MAX(0,AR75-AR78),AR83)</f>
        <v>0</v>
      </c>
      <c r="AS84" s="66" t="n">
        <f aca="false">MIN(MAX(0,AS75-AS78),AS83)</f>
        <v>0</v>
      </c>
      <c r="AT84" s="66" t="n">
        <f aca="false">MIN(MAX(0,AT75-AT78),AT83)</f>
        <v>0</v>
      </c>
      <c r="AU84" s="66" t="n">
        <f aca="false">MIN(MAX(0,AU75-AU78),AU83)</f>
        <v>0</v>
      </c>
      <c r="AV84" s="66" t="n">
        <f aca="false">MIN(MAX(0,AV75-AV78),AV83)</f>
        <v>0</v>
      </c>
      <c r="AW84" s="66" t="n">
        <f aca="false">MIN(MAX(0,AW75-AW78),AW83)</f>
        <v>0</v>
      </c>
      <c r="AX84" s="66" t="n">
        <f aca="false">MIN(MAX(0,AX75-AX78),AX83)</f>
        <v>0</v>
      </c>
      <c r="AY84" s="66" t="n">
        <f aca="false">MIN(MAX(0,AY75-AY78),AY83)</f>
        <v>0</v>
      </c>
      <c r="AZ84" s="66" t="n">
        <f aca="false">MIN(MAX(0,AZ75-AZ78),AZ83)</f>
        <v>0</v>
      </c>
      <c r="BA84" s="66" t="n">
        <f aca="false">MIN(MAX(0,BA75-BA78),BA83)</f>
        <v>0</v>
      </c>
      <c r="BB84" s="66" t="n">
        <f aca="false">MIN(MAX(0,BB75-BB78),BB83)</f>
        <v>0</v>
      </c>
    </row>
    <row r="85" customFormat="false" ht="15" hidden="false" customHeight="true" outlineLevel="0" collapsed="false">
      <c r="B85" s="59" t="s">
        <v>489</v>
      </c>
      <c r="C85" s="59" t="s">
        <v>11</v>
      </c>
      <c r="E85" s="66" t="n">
        <f aca="false">E83-E84</f>
        <v>0</v>
      </c>
      <c r="F85" s="66" t="n">
        <f aca="false">F83-F84</f>
        <v>0</v>
      </c>
      <c r="G85" s="66" t="n">
        <f aca="false">G83-G84</f>
        <v>0</v>
      </c>
      <c r="H85" s="66" t="n">
        <f aca="false">H83-H84</f>
        <v>0</v>
      </c>
      <c r="I85" s="66" t="n">
        <f aca="false">I83-I84</f>
        <v>0</v>
      </c>
      <c r="J85" s="66" t="n">
        <f aca="false">J83-J84</f>
        <v>0</v>
      </c>
      <c r="K85" s="66" t="n">
        <f aca="false">K83-K84</f>
        <v>0</v>
      </c>
      <c r="L85" s="66" t="n">
        <f aca="false">L83-L84</f>
        <v>0</v>
      </c>
      <c r="M85" s="66" t="n">
        <f aca="false">M83-M84</f>
        <v>0</v>
      </c>
      <c r="N85" s="66" t="n">
        <f aca="false">N83-N84</f>
        <v>0</v>
      </c>
      <c r="O85" s="66" t="n">
        <f aca="false">O83-O84</f>
        <v>0</v>
      </c>
      <c r="P85" s="66" t="n">
        <f aca="false">P83-P84</f>
        <v>0</v>
      </c>
      <c r="Q85" s="66" t="n">
        <f aca="false">Q83-Q84</f>
        <v>0</v>
      </c>
      <c r="R85" s="66" t="n">
        <f aca="false">R83-R84</f>
        <v>0</v>
      </c>
      <c r="S85" s="66" t="n">
        <f aca="false">S83-S84</f>
        <v>0</v>
      </c>
      <c r="T85" s="66" t="n">
        <f aca="false">T83-T84</f>
        <v>0</v>
      </c>
      <c r="U85" s="66" t="n">
        <f aca="false">U83-U84</f>
        <v>0</v>
      </c>
      <c r="V85" s="66" t="n">
        <f aca="false">V83-V84</f>
        <v>0</v>
      </c>
      <c r="W85" s="66" t="n">
        <f aca="false">W83-W84</f>
        <v>0</v>
      </c>
      <c r="X85" s="66" t="n">
        <f aca="false">X83-X84</f>
        <v>0</v>
      </c>
      <c r="Y85" s="66" t="n">
        <f aca="false">Y83-Y84</f>
        <v>0</v>
      </c>
      <c r="Z85" s="66" t="n">
        <f aca="false">Z83-Z84</f>
        <v>0</v>
      </c>
      <c r="AA85" s="66" t="n">
        <f aca="false">AA83-AA84</f>
        <v>0</v>
      </c>
      <c r="AB85" s="66" t="n">
        <f aca="false">AB83-AB84</f>
        <v>0</v>
      </c>
      <c r="AC85" s="66" t="n">
        <f aca="false">AC83-AC84</f>
        <v>0</v>
      </c>
      <c r="AD85" s="66" t="n">
        <f aca="false">AD83-AD84</f>
        <v>0</v>
      </c>
      <c r="AE85" s="66" t="n">
        <f aca="false">AE83-AE84</f>
        <v>0</v>
      </c>
      <c r="AF85" s="66" t="n">
        <f aca="false">AF83-AF84</f>
        <v>0</v>
      </c>
      <c r="AG85" s="66" t="n">
        <f aca="false">AG83-AG84</f>
        <v>0</v>
      </c>
      <c r="AH85" s="66" t="n">
        <f aca="false">AH83-AH84</f>
        <v>0</v>
      </c>
      <c r="AI85" s="66" t="n">
        <f aca="false">AI83-AI84</f>
        <v>0</v>
      </c>
      <c r="AJ85" s="66" t="n">
        <f aca="false">AJ83-AJ84</f>
        <v>0</v>
      </c>
      <c r="AK85" s="66" t="n">
        <f aca="false">AK83-AK84</f>
        <v>0</v>
      </c>
      <c r="AL85" s="66" t="n">
        <f aca="false">AL83-AL84</f>
        <v>0</v>
      </c>
      <c r="AM85" s="66" t="n">
        <f aca="false">AM83-AM84</f>
        <v>0</v>
      </c>
      <c r="AN85" s="66" t="n">
        <f aca="false">AN83-AN84</f>
        <v>0</v>
      </c>
      <c r="AO85" s="66" t="n">
        <f aca="false">AO83-AO84</f>
        <v>0</v>
      </c>
      <c r="AP85" s="66" t="n">
        <f aca="false">AP83-AP84</f>
        <v>0</v>
      </c>
      <c r="AQ85" s="66" t="n">
        <f aca="false">AQ83-AQ84</f>
        <v>0</v>
      </c>
      <c r="AR85" s="66" t="n">
        <f aca="false">AR83-AR84</f>
        <v>0</v>
      </c>
      <c r="AS85" s="66" t="n">
        <f aca="false">AS83-AS84</f>
        <v>0</v>
      </c>
      <c r="AT85" s="66" t="n">
        <f aca="false">AT83-AT84</f>
        <v>0</v>
      </c>
      <c r="AU85" s="66" t="n">
        <f aca="false">AU83-AU84</f>
        <v>0</v>
      </c>
      <c r="AV85" s="66" t="n">
        <f aca="false">AV83-AV84</f>
        <v>0</v>
      </c>
      <c r="AW85" s="66" t="n">
        <f aca="false">AW83-AW84</f>
        <v>0</v>
      </c>
      <c r="AX85" s="66" t="n">
        <f aca="false">AX83-AX84</f>
        <v>0</v>
      </c>
      <c r="AY85" s="66" t="n">
        <f aca="false">AY83-AY84</f>
        <v>0</v>
      </c>
      <c r="AZ85" s="66" t="n">
        <f aca="false">AZ83-AZ84</f>
        <v>0</v>
      </c>
      <c r="BA85" s="66" t="n">
        <f aca="false">BA83-BA84</f>
        <v>0</v>
      </c>
      <c r="BB85" s="66" t="n">
        <f aca="false">BB83-BB84</f>
        <v>0</v>
      </c>
    </row>
    <row r="87" customFormat="false" ht="15" hidden="false" customHeight="true" outlineLevel="0" collapsed="false">
      <c r="B87" s="59" t="s">
        <v>490</v>
      </c>
      <c r="C87" s="59" t="s">
        <v>11</v>
      </c>
      <c r="E87" s="66" t="n">
        <f aca="false">MAX(0,E75-E78-E84)</f>
        <v>0</v>
      </c>
      <c r="F87" s="66" t="n">
        <f aca="false">MAX(0,F75-F78-F84)</f>
        <v>0</v>
      </c>
      <c r="G87" s="66" t="n">
        <f aca="false">MAX(0,G75-G78-G84)</f>
        <v>0</v>
      </c>
      <c r="H87" s="66" t="n">
        <f aca="false">MAX(0,H75-H78-H84)</f>
        <v>0</v>
      </c>
      <c r="I87" s="66" t="n">
        <f aca="false">MAX(0,I75-I78-I84)</f>
        <v>0</v>
      </c>
      <c r="J87" s="66" t="n">
        <f aca="false">MAX(0,J75-J78-J84)</f>
        <v>0</v>
      </c>
      <c r="K87" s="66" t="n">
        <f aca="false">MAX(0,K75-K78-K84)</f>
        <v>0</v>
      </c>
      <c r="L87" s="66" t="n">
        <f aca="false">MAX(0,L75-L78-L84)</f>
        <v>0</v>
      </c>
      <c r="M87" s="66" t="n">
        <f aca="false">MAX(0,M75-M78-M84)</f>
        <v>0</v>
      </c>
      <c r="N87" s="66" t="n">
        <f aca="false">MAX(0,N75-N78-N84)</f>
        <v>0</v>
      </c>
      <c r="O87" s="66" t="n">
        <f aca="false">MAX(0,O75-O78-O84)</f>
        <v>0</v>
      </c>
      <c r="P87" s="66" t="n">
        <f aca="false">MAX(0,P75-P78-P84)</f>
        <v>0</v>
      </c>
      <c r="Q87" s="66" t="n">
        <f aca="false">MAX(0,Q75-Q78-Q84)</f>
        <v>0</v>
      </c>
      <c r="R87" s="66" t="n">
        <f aca="false">MAX(0,R75-R78-R84)</f>
        <v>0</v>
      </c>
      <c r="S87" s="66" t="n">
        <f aca="false">MAX(0,S75-S78-S84)</f>
        <v>0</v>
      </c>
      <c r="T87" s="66" t="n">
        <f aca="false">MAX(0,T75-T78-T84)</f>
        <v>0</v>
      </c>
      <c r="U87" s="66" t="n">
        <f aca="false">MAX(0,U75-U78-U84)</f>
        <v>0</v>
      </c>
      <c r="V87" s="66" t="n">
        <f aca="false">MAX(0,V75-V78-V84)</f>
        <v>0</v>
      </c>
      <c r="W87" s="66" t="n">
        <f aca="false">MAX(0,W75-W78-W84)</f>
        <v>0</v>
      </c>
      <c r="X87" s="66" t="n">
        <f aca="false">MAX(0,X75-X78-X84)</f>
        <v>0</v>
      </c>
      <c r="Y87" s="66" t="n">
        <f aca="false">MAX(0,Y75-Y78-Y84)</f>
        <v>0</v>
      </c>
      <c r="Z87" s="66" t="n">
        <f aca="false">MAX(0,Z75-Z78-Z84)</f>
        <v>0</v>
      </c>
      <c r="AA87" s="66" t="n">
        <f aca="false">MAX(0,AA75-AA78-AA84)</f>
        <v>0</v>
      </c>
      <c r="AB87" s="66" t="n">
        <f aca="false">MAX(0,AB75-AB78-AB84)</f>
        <v>0</v>
      </c>
      <c r="AC87" s="66" t="n">
        <f aca="false">MAX(0,AC75-AC78-AC84)</f>
        <v>0</v>
      </c>
      <c r="AD87" s="66" t="n">
        <f aca="false">MAX(0,AD75-AD78-AD84)</f>
        <v>0</v>
      </c>
      <c r="AE87" s="66" t="n">
        <f aca="false">MAX(0,AE75-AE78-AE84)</f>
        <v>0</v>
      </c>
      <c r="AF87" s="66" t="n">
        <f aca="false">MAX(0,AF75-AF78-AF84)</f>
        <v>0</v>
      </c>
      <c r="AG87" s="66" t="n">
        <f aca="false">MAX(0,AG75-AG78-AG84)</f>
        <v>0</v>
      </c>
      <c r="AH87" s="66" t="n">
        <f aca="false">MAX(0,AH75-AH78-AH84)</f>
        <v>0</v>
      </c>
      <c r="AI87" s="66" t="n">
        <f aca="false">MAX(0,AI75-AI78-AI84)</f>
        <v>0</v>
      </c>
      <c r="AJ87" s="66" t="n">
        <f aca="false">MAX(0,AJ75-AJ78-AJ84)</f>
        <v>0</v>
      </c>
      <c r="AK87" s="66" t="n">
        <f aca="false">MAX(0,AK75-AK78-AK84)</f>
        <v>0</v>
      </c>
      <c r="AL87" s="66" t="n">
        <f aca="false">MAX(0,AL75-AL78-AL84)</f>
        <v>0</v>
      </c>
      <c r="AM87" s="66" t="n">
        <f aca="false">MAX(0,AM75-AM78-AM84)</f>
        <v>0</v>
      </c>
      <c r="AN87" s="66" t="n">
        <f aca="false">MAX(0,AN75-AN78-AN84)</f>
        <v>0</v>
      </c>
      <c r="AO87" s="66" t="n">
        <f aca="false">MAX(0,AO75-AO78-AO84)</f>
        <v>0</v>
      </c>
      <c r="AP87" s="66" t="n">
        <f aca="false">MAX(0,AP75-AP78-AP84)</f>
        <v>0</v>
      </c>
      <c r="AQ87" s="66" t="n">
        <f aca="false">MAX(0,AQ75-AQ78-AQ84)</f>
        <v>0</v>
      </c>
      <c r="AR87" s="66" t="n">
        <f aca="false">MAX(0,AR75-AR78-AR84)</f>
        <v>0</v>
      </c>
      <c r="AS87" s="66" t="n">
        <f aca="false">MAX(0,AS75-AS78-AS84)</f>
        <v>0</v>
      </c>
      <c r="AT87" s="66" t="n">
        <f aca="false">MAX(0,AT75-AT78-AT84)</f>
        <v>0</v>
      </c>
      <c r="AU87" s="66" t="n">
        <f aca="false">MAX(0,AU75-AU78-AU84)</f>
        <v>0</v>
      </c>
      <c r="AV87" s="66" t="n">
        <f aca="false">MAX(0,AV75-AV78-AV84)</f>
        <v>0</v>
      </c>
      <c r="AW87" s="66" t="n">
        <f aca="false">MAX(0,AW75-AW78-AW84)</f>
        <v>0</v>
      </c>
      <c r="AX87" s="66" t="n">
        <f aca="false">MAX(0,AX75-AX78-AX84)</f>
        <v>0</v>
      </c>
      <c r="AY87" s="66" t="n">
        <f aca="false">MAX(0,AY75-AY78-AY84)</f>
        <v>0</v>
      </c>
      <c r="AZ87" s="66" t="n">
        <f aca="false">MAX(0,AZ75-AZ78-AZ84)</f>
        <v>0</v>
      </c>
      <c r="BA87" s="66" t="n">
        <f aca="false">MAX(0,BA75-BA78-BA84)</f>
        <v>0</v>
      </c>
      <c r="BB87" s="66" t="n">
        <f aca="false">MAX(0,BB75-BB78-BB84)</f>
        <v>0</v>
      </c>
    </row>
    <row r="88" customFormat="false" ht="15" hidden="false" customHeight="true" outlineLevel="0" collapsed="false">
      <c r="B88" s="59" t="s">
        <v>491</v>
      </c>
      <c r="C88" s="59" t="s">
        <v>11</v>
      </c>
      <c r="D88" s="63" t="n">
        <f aca="false">SUM(E88:BB88)</f>
        <v>0</v>
      </c>
      <c r="E88" s="66" t="n">
        <f aca="false">IF($C$37="Y",MIN(E87,E84*$C$38/(1-$C$38)),0)</f>
        <v>0</v>
      </c>
      <c r="F88" s="66" t="n">
        <f aca="false">IF($C$37="Y",MIN(F87,F84*$C$38/(1-$C$38)),0)</f>
        <v>0</v>
      </c>
      <c r="G88" s="66" t="n">
        <f aca="false">IF($C$37="Y",MIN(G87,G84*$C$38/(1-$C$38)),0)</f>
        <v>0</v>
      </c>
      <c r="H88" s="66" t="n">
        <f aca="false">IF($C$37="Y",MIN(H87,H84*$C$38/(1-$C$38)),0)</f>
        <v>0</v>
      </c>
      <c r="I88" s="66" t="n">
        <f aca="false">IF($C$37="Y",MIN(I87,I84*$C$38/(1-$C$38)),0)</f>
        <v>0</v>
      </c>
      <c r="J88" s="66" t="n">
        <f aca="false">IF($C$37="Y",MIN(J87,J84*$C$38/(1-$C$38)),0)</f>
        <v>0</v>
      </c>
      <c r="K88" s="66" t="n">
        <f aca="false">IF($C$37="Y",MIN(K87,K84*$C$38/(1-$C$38)),0)</f>
        <v>0</v>
      </c>
      <c r="L88" s="66" t="n">
        <f aca="false">IF($C$37="Y",MIN(L87,L84*$C$38/(1-$C$38)),0)</f>
        <v>0</v>
      </c>
      <c r="M88" s="66" t="n">
        <f aca="false">IF($C$37="Y",MIN(M87,M84*$C$38/(1-$C$38)),0)</f>
        <v>0</v>
      </c>
      <c r="N88" s="66" t="n">
        <f aca="false">IF($C$37="Y",MIN(N87,N84*$C$38/(1-$C$38)),0)</f>
        <v>0</v>
      </c>
      <c r="O88" s="66" t="n">
        <f aca="false">IF($C$37="Y",MIN(O87,O84*$C$38/(1-$C$38)),0)</f>
        <v>0</v>
      </c>
      <c r="P88" s="66" t="n">
        <f aca="false">IF($C$37="Y",MIN(P87,P84*$C$38/(1-$C$38)),0)</f>
        <v>0</v>
      </c>
      <c r="Q88" s="66" t="n">
        <f aca="false">IF($C$37="Y",MIN(Q87,Q84*$C$38/(1-$C$38)),0)</f>
        <v>0</v>
      </c>
      <c r="R88" s="66" t="n">
        <f aca="false">IF($C$37="Y",MIN(R87,R84*$C$38/(1-$C$38)),0)</f>
        <v>0</v>
      </c>
      <c r="S88" s="66" t="n">
        <f aca="false">IF($C$37="Y",MIN(S87,S84*$C$38/(1-$C$38)),0)</f>
        <v>0</v>
      </c>
      <c r="T88" s="66" t="n">
        <f aca="false">IF($C$37="Y",MIN(T87,T84*$C$38/(1-$C$38)),0)</f>
        <v>0</v>
      </c>
      <c r="U88" s="66" t="n">
        <f aca="false">IF($C$37="Y",MIN(U87,U84*$C$38/(1-$C$38)),0)</f>
        <v>0</v>
      </c>
      <c r="V88" s="66" t="n">
        <f aca="false">IF($C$37="Y",MIN(V87,V84*$C$38/(1-$C$38)),0)</f>
        <v>0</v>
      </c>
      <c r="W88" s="66" t="n">
        <f aca="false">IF($C$37="Y",MIN(W87,W84*$C$38/(1-$C$38)),0)</f>
        <v>0</v>
      </c>
      <c r="X88" s="66" t="n">
        <f aca="false">IF($C$37="Y",MIN(X87,X84*$C$38/(1-$C$38)),0)</f>
        <v>0</v>
      </c>
      <c r="Y88" s="66" t="n">
        <f aca="false">IF($C$37="Y",MIN(Y87,Y84*$C$38/(1-$C$38)),0)</f>
        <v>0</v>
      </c>
      <c r="Z88" s="66" t="n">
        <f aca="false">IF($C$37="Y",MIN(Z87,Z84*$C$38/(1-$C$38)),0)</f>
        <v>0</v>
      </c>
      <c r="AA88" s="66" t="n">
        <f aca="false">IF($C$37="Y",MIN(AA87,AA84*$C$38/(1-$C$38)),0)</f>
        <v>0</v>
      </c>
      <c r="AB88" s="66" t="n">
        <f aca="false">IF($C$37="Y",MIN(AB87,AB84*$C$38/(1-$C$38)),0)</f>
        <v>0</v>
      </c>
      <c r="AC88" s="66" t="n">
        <f aca="false">IF($C$37="Y",MIN(AC87,AC84*$C$38/(1-$C$38)),0)</f>
        <v>0</v>
      </c>
      <c r="AD88" s="66" t="n">
        <f aca="false">IF($C$37="Y",MIN(AD87,AD84*$C$38/(1-$C$38)),0)</f>
        <v>0</v>
      </c>
      <c r="AE88" s="66" t="n">
        <f aca="false">IF($C$37="Y",MIN(AE87,AE84*$C$38/(1-$C$38)),0)</f>
        <v>0</v>
      </c>
      <c r="AF88" s="66" t="n">
        <f aca="false">IF($C$37="Y",MIN(AF87,AF84*$C$38/(1-$C$38)),0)</f>
        <v>0</v>
      </c>
      <c r="AG88" s="66" t="n">
        <f aca="false">IF($C$37="Y",MIN(AG87,AG84*$C$38/(1-$C$38)),0)</f>
        <v>0</v>
      </c>
      <c r="AH88" s="66" t="n">
        <f aca="false">IF($C$37="Y",MIN(AH87,AH84*$C$38/(1-$C$38)),0)</f>
        <v>0</v>
      </c>
      <c r="AI88" s="66" t="n">
        <f aca="false">IF($C$37="Y",MIN(AI87,AI84*$C$38/(1-$C$38)),0)</f>
        <v>0</v>
      </c>
      <c r="AJ88" s="66" t="n">
        <f aca="false">IF($C$37="Y",MIN(AJ87,AJ84*$C$38/(1-$C$38)),0)</f>
        <v>0</v>
      </c>
      <c r="AK88" s="66" t="n">
        <f aca="false">IF($C$37="Y",MIN(AK87,AK84*$C$38/(1-$C$38)),0)</f>
        <v>0</v>
      </c>
      <c r="AL88" s="66" t="n">
        <f aca="false">IF($C$37="Y",MIN(AL87,AL84*$C$38/(1-$C$38)),0)</f>
        <v>0</v>
      </c>
      <c r="AM88" s="66" t="n">
        <f aca="false">IF($C$37="Y",MIN(AM87,AM84*$C$38/(1-$C$38)),0)</f>
        <v>0</v>
      </c>
      <c r="AN88" s="66" t="n">
        <f aca="false">IF($C$37="Y",MIN(AN87,AN84*$C$38/(1-$C$38)),0)</f>
        <v>0</v>
      </c>
      <c r="AO88" s="66" t="n">
        <f aca="false">IF($C$37="Y",MIN(AO87,AO84*$C$38/(1-$C$38)),0)</f>
        <v>0</v>
      </c>
      <c r="AP88" s="66" t="n">
        <f aca="false">IF($C$37="Y",MIN(AP87,AP84*$C$38/(1-$C$38)),0)</f>
        <v>0</v>
      </c>
      <c r="AQ88" s="66" t="n">
        <f aca="false">IF($C$37="Y",MIN(AQ87,AQ84*$C$38/(1-$C$38)),0)</f>
        <v>0</v>
      </c>
      <c r="AR88" s="66" t="n">
        <f aca="false">IF($C$37="Y",MIN(AR87,AR84*$C$38/(1-$C$38)),0)</f>
        <v>0</v>
      </c>
      <c r="AS88" s="66" t="n">
        <f aca="false">IF($C$37="Y",MIN(AS87,AS84*$C$38/(1-$C$38)),0)</f>
        <v>0</v>
      </c>
      <c r="AT88" s="66" t="n">
        <f aca="false">IF($C$37="Y",MIN(AT87,AT84*$C$38/(1-$C$38)),0)</f>
        <v>0</v>
      </c>
      <c r="AU88" s="66" t="n">
        <f aca="false">IF($C$37="Y",MIN(AU87,AU84*$C$38/(1-$C$38)),0)</f>
        <v>0</v>
      </c>
      <c r="AV88" s="66" t="n">
        <f aca="false">IF($C$37="Y",MIN(AV87,AV84*$C$38/(1-$C$38)),0)</f>
        <v>0</v>
      </c>
      <c r="AW88" s="66" t="n">
        <f aca="false">IF($C$37="Y",MIN(AW87,AW84*$C$38/(1-$C$38)),0)</f>
        <v>0</v>
      </c>
      <c r="AX88" s="66" t="n">
        <f aca="false">IF($C$37="Y",MIN(AX87,AX84*$C$38/(1-$C$38)),0)</f>
        <v>0</v>
      </c>
      <c r="AY88" s="66" t="n">
        <f aca="false">IF($C$37="Y",MIN(AY87,AY84*$C$38/(1-$C$38)),0)</f>
        <v>0</v>
      </c>
      <c r="AZ88" s="66" t="n">
        <f aca="false">IF($C$37="Y",MIN(AZ87,AZ84*$C$38/(1-$C$38)),0)</f>
        <v>0</v>
      </c>
      <c r="BA88" s="66" t="n">
        <f aca="false">IF($C$37="Y",MIN(BA87,BA84*$C$38/(1-$C$38)),0)</f>
        <v>0</v>
      </c>
      <c r="BB88" s="66" t="n">
        <f aca="false">IF($C$37="Y",MIN(BB87,BB84*$C$38/(1-$C$38)),0)</f>
        <v>0</v>
      </c>
    </row>
    <row r="89" customFormat="false" ht="15" hidden="false" customHeight="true" outlineLevel="0" collapsed="false">
      <c r="B89" s="59" t="s">
        <v>492</v>
      </c>
      <c r="C89" s="59" t="s">
        <v>11</v>
      </c>
      <c r="D89" s="63" t="n">
        <f aca="false">SUM(E89:BB89)</f>
        <v>0</v>
      </c>
      <c r="E89" s="66" t="n">
        <f aca="false">MAX(0,E87-E88)</f>
        <v>0</v>
      </c>
      <c r="F89" s="66" t="n">
        <f aca="false">MAX(0,F87-F88)</f>
        <v>0</v>
      </c>
      <c r="G89" s="66" t="n">
        <f aca="false">MAX(0,G87-G88)</f>
        <v>0</v>
      </c>
      <c r="H89" s="66" t="n">
        <f aca="false">MAX(0,H87-H88)</f>
        <v>0</v>
      </c>
      <c r="I89" s="66" t="n">
        <f aca="false">MAX(0,I87-I88)</f>
        <v>0</v>
      </c>
      <c r="J89" s="66" t="n">
        <f aca="false">MAX(0,J87-J88)</f>
        <v>0</v>
      </c>
      <c r="K89" s="66" t="n">
        <f aca="false">MAX(0,K87-K88)</f>
        <v>0</v>
      </c>
      <c r="L89" s="66" t="n">
        <f aca="false">MAX(0,L87-L88)</f>
        <v>0</v>
      </c>
      <c r="M89" s="66" t="n">
        <f aca="false">MAX(0,M87-M88)</f>
        <v>0</v>
      </c>
      <c r="N89" s="66" t="n">
        <f aca="false">MAX(0,N87-N88)</f>
        <v>0</v>
      </c>
      <c r="O89" s="66" t="n">
        <f aca="false">MAX(0,O87-O88)</f>
        <v>0</v>
      </c>
      <c r="P89" s="66" t="n">
        <f aca="false">MAX(0,P87-P88)</f>
        <v>0</v>
      </c>
      <c r="Q89" s="66" t="n">
        <f aca="false">MAX(0,Q87-Q88)</f>
        <v>0</v>
      </c>
      <c r="R89" s="66" t="n">
        <f aca="false">MAX(0,R87-R88)</f>
        <v>0</v>
      </c>
      <c r="S89" s="66" t="n">
        <f aca="false">MAX(0,S87-S88)</f>
        <v>0</v>
      </c>
      <c r="T89" s="66" t="n">
        <f aca="false">MAX(0,T87-T88)</f>
        <v>0</v>
      </c>
      <c r="U89" s="66" t="n">
        <f aca="false">MAX(0,U87-U88)</f>
        <v>0</v>
      </c>
      <c r="V89" s="66" t="n">
        <f aca="false">MAX(0,V87-V88)</f>
        <v>0</v>
      </c>
      <c r="W89" s="66" t="n">
        <f aca="false">MAX(0,W87-W88)</f>
        <v>0</v>
      </c>
      <c r="X89" s="66" t="n">
        <f aca="false">MAX(0,X87-X88)</f>
        <v>0</v>
      </c>
      <c r="Y89" s="66" t="n">
        <f aca="false">MAX(0,Y87-Y88)</f>
        <v>0</v>
      </c>
      <c r="Z89" s="66" t="n">
        <f aca="false">MAX(0,Z87-Z88)</f>
        <v>0</v>
      </c>
      <c r="AA89" s="66" t="n">
        <f aca="false">MAX(0,AA87-AA88)</f>
        <v>0</v>
      </c>
      <c r="AB89" s="66" t="n">
        <f aca="false">MAX(0,AB87-AB88)</f>
        <v>0</v>
      </c>
      <c r="AC89" s="66" t="n">
        <f aca="false">MAX(0,AC87-AC88)</f>
        <v>0</v>
      </c>
      <c r="AD89" s="66" t="n">
        <f aca="false">MAX(0,AD87-AD88)</f>
        <v>0</v>
      </c>
      <c r="AE89" s="66" t="n">
        <f aca="false">MAX(0,AE87-AE88)</f>
        <v>0</v>
      </c>
      <c r="AF89" s="66" t="n">
        <f aca="false">MAX(0,AF87-AF88)</f>
        <v>0</v>
      </c>
      <c r="AG89" s="66" t="n">
        <f aca="false">MAX(0,AG87-AG88)</f>
        <v>0</v>
      </c>
      <c r="AH89" s="66" t="n">
        <f aca="false">MAX(0,AH87-AH88)</f>
        <v>0</v>
      </c>
      <c r="AI89" s="66" t="n">
        <f aca="false">MAX(0,AI87-AI88)</f>
        <v>0</v>
      </c>
      <c r="AJ89" s="66" t="n">
        <f aca="false">MAX(0,AJ87-AJ88)</f>
        <v>0</v>
      </c>
      <c r="AK89" s="66" t="n">
        <f aca="false">MAX(0,AK87-AK88)</f>
        <v>0</v>
      </c>
      <c r="AL89" s="66" t="n">
        <f aca="false">MAX(0,AL87-AL88)</f>
        <v>0</v>
      </c>
      <c r="AM89" s="66" t="n">
        <f aca="false">MAX(0,AM87-AM88)</f>
        <v>0</v>
      </c>
      <c r="AN89" s="66" t="n">
        <f aca="false">MAX(0,AN87-AN88)</f>
        <v>0</v>
      </c>
      <c r="AO89" s="66" t="n">
        <f aca="false">MAX(0,AO87-AO88)</f>
        <v>0</v>
      </c>
      <c r="AP89" s="66" t="n">
        <f aca="false">MAX(0,AP87-AP88)</f>
        <v>0</v>
      </c>
      <c r="AQ89" s="66" t="n">
        <f aca="false">MAX(0,AQ87-AQ88)</f>
        <v>0</v>
      </c>
      <c r="AR89" s="66" t="n">
        <f aca="false">MAX(0,AR87-AR88)</f>
        <v>0</v>
      </c>
      <c r="AS89" s="66" t="n">
        <f aca="false">MAX(0,AS87-AS88)</f>
        <v>0</v>
      </c>
      <c r="AT89" s="66" t="n">
        <f aca="false">MAX(0,AT87-AT88)</f>
        <v>0</v>
      </c>
      <c r="AU89" s="66" t="n">
        <f aca="false">MAX(0,AU87-AU88)</f>
        <v>0</v>
      </c>
      <c r="AV89" s="66" t="n">
        <f aca="false">MAX(0,AV87-AV88)</f>
        <v>0</v>
      </c>
      <c r="AW89" s="66" t="n">
        <f aca="false">MAX(0,AW87-AW88)</f>
        <v>0</v>
      </c>
      <c r="AX89" s="66" t="n">
        <f aca="false">MAX(0,AX87-AX88)</f>
        <v>0</v>
      </c>
      <c r="AY89" s="66" t="n">
        <f aca="false">MAX(0,AY87-AY88)</f>
        <v>0</v>
      </c>
      <c r="AZ89" s="66" t="n">
        <f aca="false">MAX(0,AZ87-AZ88)</f>
        <v>0</v>
      </c>
      <c r="BA89" s="66" t="n">
        <f aca="false">MAX(0,BA87-BA88)</f>
        <v>0</v>
      </c>
      <c r="BB89" s="66" t="n">
        <f aca="false">MAX(0,BB87-BB88)</f>
        <v>0</v>
      </c>
    </row>
    <row r="90" customFormat="false" ht="15" hidden="false" customHeight="true" outlineLevel="0" collapsed="false">
      <c r="B90" s="59" t="s">
        <v>493</v>
      </c>
      <c r="C90" s="59" t="s">
        <v>11</v>
      </c>
      <c r="D90" s="66" t="n">
        <f aca="false">SUM(E90:BB90)</f>
        <v>0</v>
      </c>
      <c r="E90" s="66" t="n">
        <f aca="false">E89*(1-$C$38)</f>
        <v>0</v>
      </c>
      <c r="F90" s="66" t="n">
        <f aca="false">F89*(1-$C$38)</f>
        <v>0</v>
      </c>
      <c r="G90" s="66" t="n">
        <f aca="false">G89*(1-$C$38)</f>
        <v>0</v>
      </c>
      <c r="H90" s="66" t="n">
        <f aca="false">H89*(1-$C$38)</f>
        <v>0</v>
      </c>
      <c r="I90" s="66" t="n">
        <f aca="false">I89*(1-$C$38)</f>
        <v>0</v>
      </c>
      <c r="J90" s="66" t="n">
        <f aca="false">J89*(1-$C$38)</f>
        <v>0</v>
      </c>
      <c r="K90" s="66" t="n">
        <f aca="false">K89*(1-$C$38)</f>
        <v>0</v>
      </c>
      <c r="L90" s="66" t="n">
        <f aca="false">L89*(1-$C$38)</f>
        <v>0</v>
      </c>
      <c r="M90" s="66" t="n">
        <f aca="false">M89*(1-$C$38)</f>
        <v>0</v>
      </c>
      <c r="N90" s="66" t="n">
        <f aca="false">N89*(1-$C$38)</f>
        <v>0</v>
      </c>
      <c r="O90" s="66" t="n">
        <f aca="false">O89*(1-$C$38)</f>
        <v>0</v>
      </c>
      <c r="P90" s="66" t="n">
        <f aca="false">P89*(1-$C$38)</f>
        <v>0</v>
      </c>
      <c r="Q90" s="66" t="n">
        <f aca="false">Q89*(1-$C$38)</f>
        <v>0</v>
      </c>
      <c r="R90" s="66" t="n">
        <f aca="false">R89*(1-$C$38)</f>
        <v>0</v>
      </c>
      <c r="S90" s="66" t="n">
        <f aca="false">S89*(1-$C$38)</f>
        <v>0</v>
      </c>
      <c r="T90" s="66" t="n">
        <f aca="false">T89*(1-$C$38)</f>
        <v>0</v>
      </c>
      <c r="U90" s="66" t="n">
        <f aca="false">U89*(1-$C$38)</f>
        <v>0</v>
      </c>
      <c r="V90" s="66" t="n">
        <f aca="false">V89*(1-$C$38)</f>
        <v>0</v>
      </c>
      <c r="W90" s="66" t="n">
        <f aca="false">W89*(1-$C$38)</f>
        <v>0</v>
      </c>
      <c r="X90" s="66" t="n">
        <f aca="false">X89*(1-$C$38)</f>
        <v>0</v>
      </c>
      <c r="Y90" s="66" t="n">
        <f aca="false">Y89*(1-$C$38)</f>
        <v>0</v>
      </c>
      <c r="Z90" s="66" t="n">
        <f aca="false">Z89*(1-$C$38)</f>
        <v>0</v>
      </c>
      <c r="AA90" s="66" t="n">
        <f aca="false">AA89*(1-$C$38)</f>
        <v>0</v>
      </c>
      <c r="AB90" s="66" t="n">
        <f aca="false">AB89*(1-$C$38)</f>
        <v>0</v>
      </c>
      <c r="AC90" s="66" t="n">
        <f aca="false">AC89*(1-$C$38)</f>
        <v>0</v>
      </c>
      <c r="AD90" s="66" t="n">
        <f aca="false">AD89*(1-$C$38)</f>
        <v>0</v>
      </c>
      <c r="AE90" s="66" t="n">
        <f aca="false">AE89*(1-$C$38)</f>
        <v>0</v>
      </c>
      <c r="AF90" s="66" t="n">
        <f aca="false">AF89*(1-$C$38)</f>
        <v>0</v>
      </c>
      <c r="AG90" s="66" t="n">
        <f aca="false">AG89*(1-$C$38)</f>
        <v>0</v>
      </c>
      <c r="AH90" s="66" t="n">
        <f aca="false">AH89*(1-$C$38)</f>
        <v>0</v>
      </c>
      <c r="AI90" s="66" t="n">
        <f aca="false">AI89*(1-$C$38)</f>
        <v>0</v>
      </c>
      <c r="AJ90" s="66" t="n">
        <f aca="false">AJ89*(1-$C$38)</f>
        <v>0</v>
      </c>
      <c r="AK90" s="66" t="n">
        <f aca="false">AK89*(1-$C$38)</f>
        <v>0</v>
      </c>
      <c r="AL90" s="66" t="n">
        <f aca="false">AL89*(1-$C$38)</f>
        <v>0</v>
      </c>
      <c r="AM90" s="66" t="n">
        <f aca="false">AM89*(1-$C$38)</f>
        <v>0</v>
      </c>
      <c r="AN90" s="66" t="n">
        <f aca="false">AN89*(1-$C$38)</f>
        <v>0</v>
      </c>
      <c r="AO90" s="66" t="n">
        <f aca="false">AO89*(1-$C$38)</f>
        <v>0</v>
      </c>
      <c r="AP90" s="66" t="n">
        <f aca="false">AP89*(1-$C$38)</f>
        <v>0</v>
      </c>
      <c r="AQ90" s="66" t="n">
        <f aca="false">AQ89*(1-$C$38)</f>
        <v>0</v>
      </c>
      <c r="AR90" s="66" t="n">
        <f aca="false">AR89*(1-$C$38)</f>
        <v>0</v>
      </c>
      <c r="AS90" s="66" t="n">
        <f aca="false">AS89*(1-$C$38)</f>
        <v>0</v>
      </c>
      <c r="AT90" s="66" t="n">
        <f aca="false">AT89*(1-$C$38)</f>
        <v>0</v>
      </c>
      <c r="AU90" s="66" t="n">
        <f aca="false">AU89*(1-$C$38)</f>
        <v>0</v>
      </c>
      <c r="AV90" s="66" t="n">
        <f aca="false">AV89*(1-$C$38)</f>
        <v>0</v>
      </c>
      <c r="AW90" s="66" t="n">
        <f aca="false">AW89*(1-$C$38)</f>
        <v>0</v>
      </c>
      <c r="AX90" s="66" t="n">
        <f aca="false">AX89*(1-$C$38)</f>
        <v>0</v>
      </c>
      <c r="AY90" s="66" t="n">
        <f aca="false">AY89*(1-$C$38)</f>
        <v>0</v>
      </c>
      <c r="AZ90" s="66" t="n">
        <f aca="false">AZ89*(1-$C$38)</f>
        <v>0</v>
      </c>
      <c r="BA90" s="66" t="n">
        <f aca="false">BA89*(1-$C$38)</f>
        <v>0</v>
      </c>
      <c r="BB90" s="66" t="n">
        <f aca="false">BB89*(1-$C$38)</f>
        <v>0</v>
      </c>
    </row>
    <row r="91" customFormat="false" ht="15" hidden="false" customHeight="true" outlineLevel="0" collapsed="false">
      <c r="B91" s="59" t="s">
        <v>494</v>
      </c>
      <c r="C91" s="59" t="s">
        <v>11</v>
      </c>
      <c r="D91" s="66" t="n">
        <f aca="false">SUM(E91:BB91)</f>
        <v>0</v>
      </c>
      <c r="E91" s="66" t="n">
        <f aca="false">E89*$C$38</f>
        <v>0</v>
      </c>
      <c r="F91" s="66" t="n">
        <f aca="false">F89*$C$38</f>
        <v>0</v>
      </c>
      <c r="G91" s="66" t="n">
        <f aca="false">G89*$C$38</f>
        <v>0</v>
      </c>
      <c r="H91" s="66" t="n">
        <f aca="false">H89*$C$38</f>
        <v>0</v>
      </c>
      <c r="I91" s="66" t="n">
        <f aca="false">I89*$C$38</f>
        <v>0</v>
      </c>
      <c r="J91" s="66" t="n">
        <f aca="false">J89*$C$38</f>
        <v>0</v>
      </c>
      <c r="K91" s="66" t="n">
        <f aca="false">K89*$C$38</f>
        <v>0</v>
      </c>
      <c r="L91" s="66" t="n">
        <f aca="false">L89*$C$38</f>
        <v>0</v>
      </c>
      <c r="M91" s="66" t="n">
        <f aca="false">M89*$C$38</f>
        <v>0</v>
      </c>
      <c r="N91" s="66" t="n">
        <f aca="false">N89*$C$38</f>
        <v>0</v>
      </c>
      <c r="O91" s="66" t="n">
        <f aca="false">O89*$C$38</f>
        <v>0</v>
      </c>
      <c r="P91" s="66" t="n">
        <f aca="false">P89*$C$38</f>
        <v>0</v>
      </c>
      <c r="Q91" s="66" t="n">
        <f aca="false">Q89*$C$38</f>
        <v>0</v>
      </c>
      <c r="R91" s="66" t="n">
        <f aca="false">R89*$C$38</f>
        <v>0</v>
      </c>
      <c r="S91" s="66" t="n">
        <f aca="false">S89*$C$38</f>
        <v>0</v>
      </c>
      <c r="T91" s="66" t="n">
        <f aca="false">T89*$C$38</f>
        <v>0</v>
      </c>
      <c r="U91" s="66" t="n">
        <f aca="false">U89*$C$38</f>
        <v>0</v>
      </c>
      <c r="V91" s="66" t="n">
        <f aca="false">V89*$C$38</f>
        <v>0</v>
      </c>
      <c r="W91" s="66" t="n">
        <f aca="false">W89*$C$38</f>
        <v>0</v>
      </c>
      <c r="X91" s="66" t="n">
        <f aca="false">X89*$C$38</f>
        <v>0</v>
      </c>
      <c r="Y91" s="66" t="n">
        <f aca="false">Y89*$C$38</f>
        <v>0</v>
      </c>
      <c r="Z91" s="66" t="n">
        <f aca="false">Z89*$C$38</f>
        <v>0</v>
      </c>
      <c r="AA91" s="66" t="n">
        <f aca="false">AA89*$C$38</f>
        <v>0</v>
      </c>
      <c r="AB91" s="66" t="n">
        <f aca="false">AB89*$C$38</f>
        <v>0</v>
      </c>
      <c r="AC91" s="66" t="n">
        <f aca="false">AC89*$C$38</f>
        <v>0</v>
      </c>
      <c r="AD91" s="66" t="n">
        <f aca="false">AD89*$C$38</f>
        <v>0</v>
      </c>
      <c r="AE91" s="66" t="n">
        <f aca="false">AE89*$C$38</f>
        <v>0</v>
      </c>
      <c r="AF91" s="66" t="n">
        <f aca="false">AF89*$C$38</f>
        <v>0</v>
      </c>
      <c r="AG91" s="66" t="n">
        <f aca="false">AG89*$C$38</f>
        <v>0</v>
      </c>
      <c r="AH91" s="66" t="n">
        <f aca="false">AH89*$C$38</f>
        <v>0</v>
      </c>
      <c r="AI91" s="66" t="n">
        <f aca="false">AI89*$C$38</f>
        <v>0</v>
      </c>
      <c r="AJ91" s="66" t="n">
        <f aca="false">AJ89*$C$38</f>
        <v>0</v>
      </c>
      <c r="AK91" s="66" t="n">
        <f aca="false">AK89*$C$38</f>
        <v>0</v>
      </c>
      <c r="AL91" s="66" t="n">
        <f aca="false">AL89*$C$38</f>
        <v>0</v>
      </c>
      <c r="AM91" s="66" t="n">
        <f aca="false">AM89*$C$38</f>
        <v>0</v>
      </c>
      <c r="AN91" s="66" t="n">
        <f aca="false">AN89*$C$38</f>
        <v>0</v>
      </c>
      <c r="AO91" s="66" t="n">
        <f aca="false">AO89*$C$38</f>
        <v>0</v>
      </c>
      <c r="AP91" s="66" t="n">
        <f aca="false">AP89*$C$38</f>
        <v>0</v>
      </c>
      <c r="AQ91" s="66" t="n">
        <f aca="false">AQ89*$C$38</f>
        <v>0</v>
      </c>
      <c r="AR91" s="66" t="n">
        <f aca="false">AR89*$C$38</f>
        <v>0</v>
      </c>
      <c r="AS91" s="66" t="n">
        <f aca="false">AS89*$C$38</f>
        <v>0</v>
      </c>
      <c r="AT91" s="66" t="n">
        <f aca="false">AT89*$C$38</f>
        <v>0</v>
      </c>
      <c r="AU91" s="66" t="n">
        <f aca="false">AU89*$C$38</f>
        <v>0</v>
      </c>
      <c r="AV91" s="66" t="n">
        <f aca="false">AV89*$C$38</f>
        <v>0</v>
      </c>
      <c r="AW91" s="66" t="n">
        <f aca="false">AW89*$C$38</f>
        <v>0</v>
      </c>
      <c r="AX91" s="66" t="n">
        <f aca="false">AX89*$C$38</f>
        <v>0</v>
      </c>
      <c r="AY91" s="66" t="n">
        <f aca="false">AY89*$C$38</f>
        <v>0</v>
      </c>
      <c r="AZ91" s="66" t="n">
        <f aca="false">AZ89*$C$38</f>
        <v>0</v>
      </c>
      <c r="BA91" s="66" t="n">
        <f aca="false">BA89*$C$38</f>
        <v>0</v>
      </c>
      <c r="BB91" s="66" t="n">
        <f aca="false">BB89*$C$38</f>
        <v>0</v>
      </c>
    </row>
    <row r="93" customFormat="false" ht="15" hidden="false" customHeight="true" outlineLevel="0" collapsed="false">
      <c r="B93" s="20" t="s">
        <v>495</v>
      </c>
      <c r="C93" s="59" t="s">
        <v>11</v>
      </c>
      <c r="D93" s="63" t="n">
        <f aca="false">SUM(E93:BB93)</f>
        <v>0</v>
      </c>
      <c r="E93" s="66" t="n">
        <f aca="false">E78*$C$16+E84*$C$16+E90</f>
        <v>0</v>
      </c>
      <c r="F93" s="66" t="n">
        <f aca="false">F78*$C$16+F84*$C$16+F90</f>
        <v>0</v>
      </c>
      <c r="G93" s="66" t="n">
        <f aca="false">G78*$C$16+G84*$C$16+G90</f>
        <v>0</v>
      </c>
      <c r="H93" s="66" t="n">
        <f aca="false">H78*$C$16+H84*$C$16+H90</f>
        <v>0</v>
      </c>
      <c r="I93" s="66" t="n">
        <f aca="false">I78*$C$16+I84*$C$16+I90</f>
        <v>0</v>
      </c>
      <c r="J93" s="66" t="n">
        <f aca="false">J78*$C$16+J84*$C$16+J90</f>
        <v>0</v>
      </c>
      <c r="K93" s="66" t="n">
        <f aca="false">K78*$C$16+K84*$C$16+K90</f>
        <v>0</v>
      </c>
      <c r="L93" s="66" t="n">
        <f aca="false">L78*$C$16+L84*$C$16+L90</f>
        <v>0</v>
      </c>
      <c r="M93" s="66" t="n">
        <f aca="false">M78*$C$16+M84*$C$16+M90</f>
        <v>0</v>
      </c>
      <c r="N93" s="66" t="n">
        <f aca="false">N78*$C$16+N84*$C$16+N90</f>
        <v>0</v>
      </c>
      <c r="O93" s="66" t="n">
        <f aca="false">O78*$C$16+O84*$C$16+O90</f>
        <v>0</v>
      </c>
      <c r="P93" s="66" t="n">
        <f aca="false">P78*$C$16+P84*$C$16+P90</f>
        <v>0</v>
      </c>
      <c r="Q93" s="66" t="n">
        <f aca="false">Q78*$C$16+Q84*$C$16+Q90</f>
        <v>0</v>
      </c>
      <c r="R93" s="66" t="n">
        <f aca="false">R78*$C$16+R84*$C$16+R90</f>
        <v>0</v>
      </c>
      <c r="S93" s="66" t="n">
        <f aca="false">S78*$C$16+S84*$C$16+S90</f>
        <v>0</v>
      </c>
      <c r="T93" s="66" t="n">
        <f aca="false">T78*$C$16+T84*$C$16+T90</f>
        <v>0</v>
      </c>
      <c r="U93" s="66" t="n">
        <f aca="false">U78*$C$16+U84*$C$16+U90</f>
        <v>0</v>
      </c>
      <c r="V93" s="66" t="n">
        <f aca="false">V78*$C$16+V84*$C$16+V90</f>
        <v>0</v>
      </c>
      <c r="W93" s="66" t="n">
        <f aca="false">W78*$C$16+W84*$C$16+W90</f>
        <v>0</v>
      </c>
      <c r="X93" s="66" t="n">
        <f aca="false">X78*$C$16+X84*$C$16+X90</f>
        <v>0</v>
      </c>
      <c r="Y93" s="66" t="n">
        <f aca="false">Y78*$C$16+Y84*$C$16+Y90</f>
        <v>0</v>
      </c>
      <c r="Z93" s="66" t="n">
        <f aca="false">Z78*$C$16+Z84*$C$16+Z90</f>
        <v>0</v>
      </c>
      <c r="AA93" s="66" t="n">
        <f aca="false">AA78*$C$16+AA84*$C$16+AA90</f>
        <v>0</v>
      </c>
      <c r="AB93" s="66" t="n">
        <f aca="false">AB78*$C$16+AB84*$C$16+AB90</f>
        <v>0</v>
      </c>
      <c r="AC93" s="66" t="n">
        <f aca="false">AC78*$C$16+AC84*$C$16+AC90</f>
        <v>0</v>
      </c>
      <c r="AD93" s="66" t="n">
        <f aca="false">AD78*$C$16+AD84*$C$16+AD90</f>
        <v>0</v>
      </c>
      <c r="AE93" s="66" t="n">
        <f aca="false">AE78*$C$16+AE84*$C$16+AE90</f>
        <v>0</v>
      </c>
      <c r="AF93" s="66" t="n">
        <f aca="false">AF78*$C$16+AF84*$C$16+AF90</f>
        <v>0</v>
      </c>
      <c r="AG93" s="66" t="n">
        <f aca="false">AG78*$C$16+AG84*$C$16+AG90</f>
        <v>0</v>
      </c>
      <c r="AH93" s="66" t="n">
        <f aca="false">AH78*$C$16+AH84*$C$16+AH90</f>
        <v>0</v>
      </c>
      <c r="AI93" s="66" t="n">
        <f aca="false">AI78*$C$16+AI84*$C$16+AI90</f>
        <v>0</v>
      </c>
      <c r="AJ93" s="66" t="n">
        <f aca="false">AJ78*$C$16+AJ84*$C$16+AJ90</f>
        <v>0</v>
      </c>
      <c r="AK93" s="66" t="n">
        <f aca="false">AK78*$C$16+AK84*$C$16+AK90</f>
        <v>0</v>
      </c>
      <c r="AL93" s="66" t="n">
        <f aca="false">AL78*$C$16+AL84*$C$16+AL90</f>
        <v>0</v>
      </c>
      <c r="AM93" s="66" t="n">
        <f aca="false">AM78*$C$16+AM84*$C$16+AM90</f>
        <v>0</v>
      </c>
      <c r="AN93" s="66" t="n">
        <f aca="false">AN78*$C$16+AN84*$C$16+AN90</f>
        <v>0</v>
      </c>
      <c r="AO93" s="66" t="n">
        <f aca="false">AO78*$C$16+AO84*$C$16+AO90</f>
        <v>0</v>
      </c>
      <c r="AP93" s="66" t="n">
        <f aca="false">AP78*$C$16+AP84*$C$16+AP90</f>
        <v>0</v>
      </c>
      <c r="AQ93" s="66" t="n">
        <f aca="false">AQ78*$C$16+AQ84*$C$16+AQ90</f>
        <v>0</v>
      </c>
      <c r="AR93" s="66" t="n">
        <f aca="false">AR78*$C$16+AR84*$C$16+AR90</f>
        <v>0</v>
      </c>
      <c r="AS93" s="66" t="n">
        <f aca="false">AS78*$C$16+AS84*$C$16+AS90</f>
        <v>0</v>
      </c>
      <c r="AT93" s="66" t="n">
        <f aca="false">AT78*$C$16+AT84*$C$16+AT90</f>
        <v>0</v>
      </c>
      <c r="AU93" s="66" t="n">
        <f aca="false">AU78*$C$16+AU84*$C$16+AU90</f>
        <v>0</v>
      </c>
      <c r="AV93" s="66" t="n">
        <f aca="false">AV78*$C$16+AV84*$C$16+AV90</f>
        <v>0</v>
      </c>
      <c r="AW93" s="66" t="n">
        <f aca="false">AW78*$C$16+AW84*$C$16+AW90</f>
        <v>0</v>
      </c>
      <c r="AX93" s="66" t="n">
        <f aca="false">AX78*$C$16+AX84*$C$16+AX90</f>
        <v>0</v>
      </c>
      <c r="AY93" s="66" t="n">
        <f aca="false">AY78*$C$16+AY84*$C$16+AY90</f>
        <v>0</v>
      </c>
      <c r="AZ93" s="66" t="n">
        <f aca="false">AZ78*$C$16+AZ84*$C$16+AZ90</f>
        <v>0</v>
      </c>
      <c r="BA93" s="66" t="n">
        <f aca="false">BA78*$C$16+BA84*$C$16+BA90</f>
        <v>0</v>
      </c>
      <c r="BB93" s="66" t="n">
        <f aca="false">BB78*$C$16+BB84*$C$16+BB90</f>
        <v>0</v>
      </c>
    </row>
    <row r="94" customFormat="false" ht="15" hidden="false" customHeight="true" outlineLevel="0" collapsed="false">
      <c r="B94" s="20" t="s">
        <v>496</v>
      </c>
      <c r="C94" s="59" t="s">
        <v>11</v>
      </c>
      <c r="D94" s="63" t="n">
        <f aca="false">SUM(E94:BB94)</f>
        <v>0</v>
      </c>
      <c r="E94" s="66" t="n">
        <f aca="false">E78*$C$15+E84*$C$15+E88+E91</f>
        <v>0</v>
      </c>
      <c r="F94" s="66" t="n">
        <f aca="false">F78*$C$15+F84*$C$15+F88+F91</f>
        <v>0</v>
      </c>
      <c r="G94" s="66" t="n">
        <f aca="false">G78*$C$15+G84*$C$15+G88+G91</f>
        <v>0</v>
      </c>
      <c r="H94" s="66" t="n">
        <f aca="false">H78*$C$15+H84*$C$15+H88+H91</f>
        <v>0</v>
      </c>
      <c r="I94" s="66" t="n">
        <f aca="false">I78*$C$15+I84*$C$15+I88+I91</f>
        <v>0</v>
      </c>
      <c r="J94" s="66" t="n">
        <f aca="false">J78*$C$15+J84*$C$15+J88+J91</f>
        <v>0</v>
      </c>
      <c r="K94" s="66" t="n">
        <f aca="false">K78*$C$15+K84*$C$15+K88+K91</f>
        <v>0</v>
      </c>
      <c r="L94" s="66" t="n">
        <f aca="false">L78*$C$15+L84*$C$15+L88+L91</f>
        <v>0</v>
      </c>
      <c r="M94" s="66" t="n">
        <f aca="false">M78*$C$15+M84*$C$15+M88+M91</f>
        <v>0</v>
      </c>
      <c r="N94" s="66" t="n">
        <f aca="false">N78*$C$15+N84*$C$15+N88+N91</f>
        <v>0</v>
      </c>
      <c r="O94" s="66" t="n">
        <f aca="false">O78*$C$15+O84*$C$15+O88+O91</f>
        <v>0</v>
      </c>
      <c r="P94" s="66" t="n">
        <f aca="false">P78*$C$15+P84*$C$15+P88+P91</f>
        <v>0</v>
      </c>
      <c r="Q94" s="66" t="n">
        <f aca="false">Q78*$C$15+Q84*$C$15+Q88+Q91</f>
        <v>0</v>
      </c>
      <c r="R94" s="66" t="n">
        <f aca="false">R78*$C$15+R84*$C$15+R88+R91</f>
        <v>0</v>
      </c>
      <c r="S94" s="66" t="n">
        <f aca="false">S78*$C$15+S84*$C$15+S88+S91</f>
        <v>0</v>
      </c>
      <c r="T94" s="66" t="n">
        <f aca="false">T78*$C$15+T84*$C$15+T88+T91</f>
        <v>0</v>
      </c>
      <c r="U94" s="66" t="n">
        <f aca="false">U78*$C$15+U84*$C$15+U88+U91</f>
        <v>0</v>
      </c>
      <c r="V94" s="66" t="n">
        <f aca="false">V78*$C$15+V84*$C$15+V88+V91</f>
        <v>0</v>
      </c>
      <c r="W94" s="66" t="n">
        <f aca="false">W78*$C$15+W84*$C$15+W88+W91</f>
        <v>0</v>
      </c>
      <c r="X94" s="66" t="n">
        <f aca="false">X78*$C$15+X84*$C$15+X88+X91</f>
        <v>0</v>
      </c>
      <c r="Y94" s="66" t="n">
        <f aca="false">Y78*$C$15+Y84*$C$15+Y88+Y91</f>
        <v>0</v>
      </c>
      <c r="Z94" s="66" t="n">
        <f aca="false">Z78*$C$15+Z84*$C$15+Z88+Z91</f>
        <v>0</v>
      </c>
      <c r="AA94" s="66" t="n">
        <f aca="false">AA78*$C$15+AA84*$C$15+AA88+AA91</f>
        <v>0</v>
      </c>
      <c r="AB94" s="66" t="n">
        <f aca="false">AB78*$C$15+AB84*$C$15+AB88+AB91</f>
        <v>0</v>
      </c>
      <c r="AC94" s="66" t="n">
        <f aca="false">AC78*$C$15+AC84*$C$15+AC88+AC91</f>
        <v>0</v>
      </c>
      <c r="AD94" s="66" t="n">
        <f aca="false">AD78*$C$15+AD84*$C$15+AD88+AD91</f>
        <v>0</v>
      </c>
      <c r="AE94" s="66" t="n">
        <f aca="false">AE78*$C$15+AE84*$C$15+AE88+AE91</f>
        <v>0</v>
      </c>
      <c r="AF94" s="66" t="n">
        <f aca="false">AF78*$C$15+AF84*$C$15+AF88+AF91</f>
        <v>0</v>
      </c>
      <c r="AG94" s="66" t="n">
        <f aca="false">AG78*$C$15+AG84*$C$15+AG88+AG91</f>
        <v>0</v>
      </c>
      <c r="AH94" s="66" t="n">
        <f aca="false">AH78*$C$15+AH84*$C$15+AH88+AH91</f>
        <v>0</v>
      </c>
      <c r="AI94" s="66" t="n">
        <f aca="false">AI78*$C$15+AI84*$C$15+AI88+AI91</f>
        <v>0</v>
      </c>
      <c r="AJ94" s="66" t="n">
        <f aca="false">AJ78*$C$15+AJ84*$C$15+AJ88+AJ91</f>
        <v>0</v>
      </c>
      <c r="AK94" s="66" t="n">
        <f aca="false">AK78*$C$15+AK84*$C$15+AK88+AK91</f>
        <v>0</v>
      </c>
      <c r="AL94" s="66" t="n">
        <f aca="false">AL78*$C$15+AL84*$C$15+AL88+AL91</f>
        <v>0</v>
      </c>
      <c r="AM94" s="66" t="n">
        <f aca="false">AM78*$C$15+AM84*$C$15+AM88+AM91</f>
        <v>0</v>
      </c>
      <c r="AN94" s="66" t="n">
        <f aca="false">AN78*$C$15+AN84*$C$15+AN88+AN91</f>
        <v>0</v>
      </c>
      <c r="AO94" s="66" t="n">
        <f aca="false">AO78*$C$15+AO84*$C$15+AO88+AO91</f>
        <v>0</v>
      </c>
      <c r="AP94" s="66" t="n">
        <f aca="false">AP78*$C$15+AP84*$C$15+AP88+AP91</f>
        <v>0</v>
      </c>
      <c r="AQ94" s="66" t="n">
        <f aca="false">AQ78*$C$15+AQ84*$C$15+AQ88+AQ91</f>
        <v>0</v>
      </c>
      <c r="AR94" s="66" t="n">
        <f aca="false">AR78*$C$15+AR84*$C$15+AR88+AR91</f>
        <v>0</v>
      </c>
      <c r="AS94" s="66" t="n">
        <f aca="false">AS78*$C$15+AS84*$C$15+AS88+AS91</f>
        <v>0</v>
      </c>
      <c r="AT94" s="66" t="n">
        <f aca="false">AT78*$C$15+AT84*$C$15+AT88+AT91</f>
        <v>0</v>
      </c>
      <c r="AU94" s="66" t="n">
        <f aca="false">AU78*$C$15+AU84*$C$15+AU88+AU91</f>
        <v>0</v>
      </c>
      <c r="AV94" s="66" t="n">
        <f aca="false">AV78*$C$15+AV84*$C$15+AV88+AV91</f>
        <v>0</v>
      </c>
      <c r="AW94" s="66" t="n">
        <f aca="false">AW78*$C$15+AW84*$C$15+AW88+AW91</f>
        <v>0</v>
      </c>
      <c r="AX94" s="66" t="n">
        <f aca="false">AX78*$C$15+AX84*$C$15+AX88+AX91</f>
        <v>0</v>
      </c>
      <c r="AY94" s="66" t="n">
        <f aca="false">AY78*$C$15+AY84*$C$15+AY88+AY91</f>
        <v>0</v>
      </c>
      <c r="AZ94" s="66" t="n">
        <f aca="false">AZ78*$C$15+AZ84*$C$15+AZ88+AZ91</f>
        <v>0</v>
      </c>
      <c r="BA94" s="66" t="n">
        <f aca="false">BA78*$C$15+BA84*$C$15+BA88+BA91</f>
        <v>0</v>
      </c>
      <c r="BB94" s="66" t="n">
        <f aca="false">BB78*$C$15+BB84*$C$15+BB88+BB91</f>
        <v>0</v>
      </c>
    </row>
    <row r="95" customFormat="false" ht="15" hidden="false" customHeight="true" outlineLevel="0" collapsed="false">
      <c r="B95" s="20" t="s">
        <v>497</v>
      </c>
      <c r="C95" s="59" t="s">
        <v>11</v>
      </c>
      <c r="D95" s="63" t="n">
        <f aca="false">SUM(E95:BB95)</f>
        <v>0</v>
      </c>
      <c r="E95" s="63" t="n">
        <f aca="false">E93+E94</f>
        <v>0</v>
      </c>
      <c r="F95" s="63" t="n">
        <f aca="false">F93+F94</f>
        <v>0</v>
      </c>
      <c r="G95" s="63" t="n">
        <f aca="false">G93+G94</f>
        <v>0</v>
      </c>
      <c r="H95" s="63" t="n">
        <f aca="false">H93+H94</f>
        <v>0</v>
      </c>
      <c r="I95" s="63" t="n">
        <f aca="false">I93+I94</f>
        <v>0</v>
      </c>
      <c r="J95" s="63" t="n">
        <f aca="false">J93+J94</f>
        <v>0</v>
      </c>
      <c r="K95" s="63" t="n">
        <f aca="false">K93+K94</f>
        <v>0</v>
      </c>
      <c r="L95" s="63" t="n">
        <f aca="false">L93+L94</f>
        <v>0</v>
      </c>
      <c r="M95" s="63" t="n">
        <f aca="false">M93+M94</f>
        <v>0</v>
      </c>
      <c r="N95" s="63" t="n">
        <f aca="false">N93+N94</f>
        <v>0</v>
      </c>
      <c r="O95" s="63" t="n">
        <f aca="false">O93+O94</f>
        <v>0</v>
      </c>
      <c r="P95" s="63" t="n">
        <f aca="false">P93+P94</f>
        <v>0</v>
      </c>
      <c r="Q95" s="63" t="n">
        <f aca="false">Q93+Q94</f>
        <v>0</v>
      </c>
      <c r="R95" s="63" t="n">
        <f aca="false">R93+R94</f>
        <v>0</v>
      </c>
      <c r="S95" s="63" t="n">
        <f aca="false">S93+S94</f>
        <v>0</v>
      </c>
      <c r="T95" s="63" t="n">
        <f aca="false">T93+T94</f>
        <v>0</v>
      </c>
      <c r="U95" s="63" t="n">
        <f aca="false">U93+U94</f>
        <v>0</v>
      </c>
      <c r="V95" s="63" t="n">
        <f aca="false">V93+V94</f>
        <v>0</v>
      </c>
      <c r="W95" s="63" t="n">
        <f aca="false">W93+W94</f>
        <v>0</v>
      </c>
      <c r="X95" s="63" t="n">
        <f aca="false">X93+X94</f>
        <v>0</v>
      </c>
      <c r="Y95" s="63" t="n">
        <f aca="false">Y93+Y94</f>
        <v>0</v>
      </c>
      <c r="Z95" s="63" t="n">
        <f aca="false">Z93+Z94</f>
        <v>0</v>
      </c>
      <c r="AA95" s="63" t="n">
        <f aca="false">AA93+AA94</f>
        <v>0</v>
      </c>
      <c r="AB95" s="63" t="n">
        <f aca="false">AB93+AB94</f>
        <v>0</v>
      </c>
      <c r="AC95" s="63" t="n">
        <f aca="false">AC93+AC94</f>
        <v>0</v>
      </c>
      <c r="AD95" s="63" t="n">
        <f aca="false">AD93+AD94</f>
        <v>0</v>
      </c>
      <c r="AE95" s="63" t="n">
        <f aca="false">AE93+AE94</f>
        <v>0</v>
      </c>
      <c r="AF95" s="63" t="n">
        <f aca="false">AF93+AF94</f>
        <v>0</v>
      </c>
      <c r="AG95" s="63" t="n">
        <f aca="false">AG93+AG94</f>
        <v>0</v>
      </c>
      <c r="AH95" s="63" t="n">
        <f aca="false">AH93+AH94</f>
        <v>0</v>
      </c>
      <c r="AI95" s="63" t="n">
        <f aca="false">AI93+AI94</f>
        <v>0</v>
      </c>
      <c r="AJ95" s="63" t="n">
        <f aca="false">AJ93+AJ94</f>
        <v>0</v>
      </c>
      <c r="AK95" s="63" t="n">
        <f aca="false">AK93+AK94</f>
        <v>0</v>
      </c>
      <c r="AL95" s="63" t="n">
        <f aca="false">AL93+AL94</f>
        <v>0</v>
      </c>
      <c r="AM95" s="63" t="n">
        <f aca="false">AM93+AM94</f>
        <v>0</v>
      </c>
      <c r="AN95" s="63" t="n">
        <f aca="false">AN93+AN94</f>
        <v>0</v>
      </c>
      <c r="AO95" s="63" t="n">
        <f aca="false">AO93+AO94</f>
        <v>0</v>
      </c>
      <c r="AP95" s="63" t="n">
        <f aca="false">AP93+AP94</f>
        <v>0</v>
      </c>
      <c r="AQ95" s="63" t="n">
        <f aca="false">AQ93+AQ94</f>
        <v>0</v>
      </c>
      <c r="AR95" s="63" t="n">
        <f aca="false">AR93+AR94</f>
        <v>0</v>
      </c>
      <c r="AS95" s="63" t="n">
        <f aca="false">AS93+AS94</f>
        <v>0</v>
      </c>
      <c r="AT95" s="63" t="n">
        <f aca="false">AT93+AT94</f>
        <v>0</v>
      </c>
      <c r="AU95" s="63" t="n">
        <f aca="false">AU93+AU94</f>
        <v>0</v>
      </c>
      <c r="AV95" s="63" t="n">
        <f aca="false">AV93+AV94</f>
        <v>0</v>
      </c>
      <c r="AW95" s="63" t="n">
        <f aca="false">AW93+AW94</f>
        <v>0</v>
      </c>
      <c r="AX95" s="63" t="n">
        <f aca="false">AX93+AX94</f>
        <v>0</v>
      </c>
      <c r="AY95" s="63" t="n">
        <f aca="false">AY93+AY94</f>
        <v>0</v>
      </c>
      <c r="AZ95" s="63" t="n">
        <f aca="false">AZ93+AZ94</f>
        <v>0</v>
      </c>
      <c r="BA95" s="63" t="n">
        <f aca="false">BA93+BA94</f>
        <v>0</v>
      </c>
      <c r="BB95" s="63" t="n">
        <f aca="false">BB93+BB94</f>
        <v>0</v>
      </c>
    </row>
    <row r="97" customFormat="false" ht="15" hidden="false" customHeight="true" outlineLevel="0" collapsed="false">
      <c r="A97" s="58" t="s">
        <v>498</v>
      </c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8"/>
      <c r="AR97" s="58"/>
      <c r="AS97" s="58"/>
      <c r="AT97" s="58"/>
      <c r="AU97" s="58"/>
      <c r="AV97" s="58"/>
      <c r="AW97" s="58"/>
      <c r="AX97" s="58"/>
      <c r="AY97" s="58"/>
      <c r="AZ97" s="58"/>
      <c r="BA97" s="58"/>
      <c r="BB97" s="58"/>
    </row>
    <row r="98" customFormat="false" ht="15" hidden="false" customHeight="true" outlineLevel="0" collapsed="false">
      <c r="C98" s="69" t="s">
        <v>262</v>
      </c>
      <c r="D98" s="69" t="s">
        <v>60</v>
      </c>
      <c r="E98" s="70" t="n">
        <f aca="false">E$46</f>
        <v>2026</v>
      </c>
      <c r="F98" s="70" t="n">
        <f aca="false">F$46</f>
        <v>2027</v>
      </c>
      <c r="G98" s="70" t="n">
        <f aca="false">G$46</f>
        <v>2028</v>
      </c>
      <c r="H98" s="70" t="n">
        <f aca="false">H$46</f>
        <v>2029</v>
      </c>
      <c r="I98" s="70" t="n">
        <f aca="false">I$46</f>
        <v>2030</v>
      </c>
      <c r="J98" s="70" t="n">
        <f aca="false">J$46</f>
        <v>2031</v>
      </c>
      <c r="K98" s="70" t="n">
        <f aca="false">K$46</f>
        <v>2032</v>
      </c>
      <c r="L98" s="70" t="n">
        <f aca="false">L$46</f>
        <v>2033</v>
      </c>
      <c r="M98" s="70" t="n">
        <f aca="false">M$46</f>
        <v>2034</v>
      </c>
      <c r="N98" s="70" t="n">
        <f aca="false">N$46</f>
        <v>2035</v>
      </c>
      <c r="O98" s="70" t="n">
        <f aca="false">O$46</f>
        <v>2036</v>
      </c>
      <c r="P98" s="70" t="n">
        <f aca="false">P$46</f>
        <v>2037</v>
      </c>
      <c r="Q98" s="70" t="n">
        <f aca="false">Q$46</f>
        <v>2038</v>
      </c>
      <c r="R98" s="70" t="n">
        <f aca="false">R$46</f>
        <v>2039</v>
      </c>
      <c r="S98" s="70" t="n">
        <f aca="false">S$46</f>
        <v>2040</v>
      </c>
      <c r="T98" s="70" t="n">
        <f aca="false">T$46</f>
        <v>2041</v>
      </c>
      <c r="U98" s="70" t="n">
        <f aca="false">U$46</f>
        <v>2042</v>
      </c>
      <c r="V98" s="70" t="n">
        <f aca="false">V$46</f>
        <v>2043</v>
      </c>
      <c r="W98" s="70" t="n">
        <f aca="false">W$46</f>
        <v>2044</v>
      </c>
      <c r="X98" s="70" t="n">
        <f aca="false">X$46</f>
        <v>2045</v>
      </c>
      <c r="Y98" s="70" t="n">
        <f aca="false">Y$46</f>
        <v>2046</v>
      </c>
      <c r="Z98" s="70" t="n">
        <f aca="false">Z$46</f>
        <v>2047</v>
      </c>
      <c r="AA98" s="70" t="n">
        <f aca="false">AA$46</f>
        <v>2048</v>
      </c>
      <c r="AB98" s="70" t="n">
        <f aca="false">AB$46</f>
        <v>2049</v>
      </c>
      <c r="AC98" s="70" t="n">
        <f aca="false">AC$46</f>
        <v>2050</v>
      </c>
      <c r="AD98" s="70" t="n">
        <f aca="false">AD$46</f>
        <v>2051</v>
      </c>
      <c r="AE98" s="70" t="n">
        <f aca="false">AE$46</f>
        <v>2052</v>
      </c>
      <c r="AF98" s="70" t="n">
        <f aca="false">AF$46</f>
        <v>2053</v>
      </c>
      <c r="AG98" s="70" t="n">
        <f aca="false">AG$46</f>
        <v>2054</v>
      </c>
      <c r="AH98" s="70" t="n">
        <f aca="false">AH$46</f>
        <v>2055</v>
      </c>
      <c r="AI98" s="70" t="n">
        <f aca="false">AI$46</f>
        <v>2056</v>
      </c>
      <c r="AJ98" s="70" t="n">
        <f aca="false">AJ$46</f>
        <v>2057</v>
      </c>
      <c r="AK98" s="70" t="n">
        <f aca="false">AK$46</f>
        <v>2058</v>
      </c>
      <c r="AL98" s="70" t="n">
        <f aca="false">AL$46</f>
        <v>2059</v>
      </c>
      <c r="AM98" s="70" t="n">
        <f aca="false">AM$46</f>
        <v>2060</v>
      </c>
      <c r="AN98" s="70" t="n">
        <f aca="false">AN$46</f>
        <v>2061</v>
      </c>
      <c r="AO98" s="70" t="n">
        <f aca="false">AO$46</f>
        <v>2062</v>
      </c>
      <c r="AP98" s="70" t="n">
        <f aca="false">AP$46</f>
        <v>2063</v>
      </c>
      <c r="AQ98" s="70" t="n">
        <f aca="false">AQ$46</f>
        <v>2064</v>
      </c>
      <c r="AR98" s="70" t="n">
        <f aca="false">AR$46</f>
        <v>2065</v>
      </c>
      <c r="AS98" s="70" t="n">
        <f aca="false">AS$46</f>
        <v>2066</v>
      </c>
      <c r="AT98" s="70" t="n">
        <f aca="false">AT$46</f>
        <v>2067</v>
      </c>
      <c r="AU98" s="70" t="n">
        <f aca="false">AU$46</f>
        <v>2068</v>
      </c>
      <c r="AV98" s="70" t="n">
        <f aca="false">AV$46</f>
        <v>2069</v>
      </c>
      <c r="AW98" s="70" t="n">
        <f aca="false">AW$46</f>
        <v>2070</v>
      </c>
      <c r="AX98" s="70" t="n">
        <f aca="false">AX$46</f>
        <v>2071</v>
      </c>
      <c r="AY98" s="70" t="n">
        <f aca="false">AY$46</f>
        <v>2072</v>
      </c>
      <c r="AZ98" s="70" t="n">
        <f aca="false">AZ$46</f>
        <v>2073</v>
      </c>
      <c r="BA98" s="70" t="n">
        <f aca="false">BA$46</f>
        <v>2074</v>
      </c>
      <c r="BB98" s="70" t="n">
        <f aca="false">BB$46</f>
        <v>2075</v>
      </c>
    </row>
    <row r="99" customFormat="false" ht="15" hidden="false" customHeight="true" outlineLevel="0" collapsed="false">
      <c r="B99" s="59" t="s">
        <v>499</v>
      </c>
      <c r="C99" s="59" t="s">
        <v>11</v>
      </c>
      <c r="D99" s="63" t="n">
        <f aca="false">SUM(E99:BB99)</f>
        <v>0</v>
      </c>
      <c r="E99" s="66" t="n">
        <f aca="false">-E56*$C$16+E93</f>
        <v>0</v>
      </c>
      <c r="F99" s="66" t="n">
        <f aca="false">-F56*$C$16+F93</f>
        <v>0</v>
      </c>
      <c r="G99" s="66" t="n">
        <f aca="false">-G56*$C$16+G93</f>
        <v>0</v>
      </c>
      <c r="H99" s="66" t="n">
        <f aca="false">-H56*$C$16+H93</f>
        <v>0</v>
      </c>
      <c r="I99" s="66" t="n">
        <f aca="false">-I56*$C$16+I93</f>
        <v>0</v>
      </c>
      <c r="J99" s="66" t="n">
        <f aca="false">-J56*$C$16+J93</f>
        <v>0</v>
      </c>
      <c r="K99" s="66" t="n">
        <f aca="false">-K56*$C$16+K93</f>
        <v>0</v>
      </c>
      <c r="L99" s="66" t="n">
        <f aca="false">-L56*$C$16+L93</f>
        <v>0</v>
      </c>
      <c r="M99" s="66" t="n">
        <f aca="false">-M56*$C$16+M93</f>
        <v>0</v>
      </c>
      <c r="N99" s="66" t="n">
        <f aca="false">-N56*$C$16+N93</f>
        <v>0</v>
      </c>
      <c r="O99" s="66" t="n">
        <f aca="false">-O56*$C$16+O93</f>
        <v>0</v>
      </c>
      <c r="P99" s="66" t="n">
        <f aca="false">-P56*$C$16+P93</f>
        <v>0</v>
      </c>
      <c r="Q99" s="66" t="n">
        <f aca="false">-Q56*$C$16+Q93</f>
        <v>0</v>
      </c>
      <c r="R99" s="66" t="n">
        <f aca="false">-R56*$C$16+R93</f>
        <v>0</v>
      </c>
      <c r="S99" s="66" t="n">
        <f aca="false">-S56*$C$16+S93</f>
        <v>0</v>
      </c>
      <c r="T99" s="66" t="n">
        <f aca="false">-T56*$C$16+T93</f>
        <v>0</v>
      </c>
      <c r="U99" s="66" t="n">
        <f aca="false">-U56*$C$16+U93</f>
        <v>0</v>
      </c>
      <c r="V99" s="66" t="n">
        <f aca="false">-V56*$C$16+V93</f>
        <v>0</v>
      </c>
      <c r="W99" s="66" t="n">
        <f aca="false">-W56*$C$16+W93</f>
        <v>0</v>
      </c>
      <c r="X99" s="66" t="n">
        <f aca="false">-X56*$C$16+X93</f>
        <v>0</v>
      </c>
      <c r="Y99" s="66" t="n">
        <f aca="false">-Y56*$C$16+Y93</f>
        <v>0</v>
      </c>
      <c r="Z99" s="66" t="n">
        <f aca="false">-Z56*$C$16+Z93</f>
        <v>0</v>
      </c>
      <c r="AA99" s="66" t="n">
        <f aca="false">-AA56*$C$16+AA93</f>
        <v>0</v>
      </c>
      <c r="AB99" s="66" t="n">
        <f aca="false">-AB56*$C$16+AB93</f>
        <v>0</v>
      </c>
      <c r="AC99" s="66" t="n">
        <f aca="false">-AC56*$C$16+AC93</f>
        <v>0</v>
      </c>
      <c r="AD99" s="66" t="n">
        <f aca="false">-AD56*$C$16+AD93</f>
        <v>0</v>
      </c>
      <c r="AE99" s="66" t="n">
        <f aca="false">-AE56*$C$16+AE93</f>
        <v>0</v>
      </c>
      <c r="AF99" s="66" t="n">
        <f aca="false">-AF56*$C$16+AF93</f>
        <v>0</v>
      </c>
      <c r="AG99" s="66" t="n">
        <f aca="false">-AG56*$C$16+AG93</f>
        <v>0</v>
      </c>
      <c r="AH99" s="66" t="n">
        <f aca="false">-AH56*$C$16+AH93</f>
        <v>0</v>
      </c>
      <c r="AI99" s="66" t="n">
        <f aca="false">-AI56*$C$16+AI93</f>
        <v>0</v>
      </c>
      <c r="AJ99" s="66" t="n">
        <f aca="false">-AJ56*$C$16+AJ93</f>
        <v>0</v>
      </c>
      <c r="AK99" s="66" t="n">
        <f aca="false">-AK56*$C$16+AK93</f>
        <v>0</v>
      </c>
      <c r="AL99" s="66" t="n">
        <f aca="false">-AL56*$C$16+AL93</f>
        <v>0</v>
      </c>
      <c r="AM99" s="66" t="n">
        <f aca="false">-AM56*$C$16+AM93</f>
        <v>0</v>
      </c>
      <c r="AN99" s="66" t="n">
        <f aca="false">-AN56*$C$16+AN93</f>
        <v>0</v>
      </c>
      <c r="AO99" s="66" t="n">
        <f aca="false">-AO56*$C$16+AO93</f>
        <v>0</v>
      </c>
      <c r="AP99" s="66" t="n">
        <f aca="false">-AP56*$C$16+AP93</f>
        <v>0</v>
      </c>
      <c r="AQ99" s="66" t="n">
        <f aca="false">-AQ56*$C$16+AQ93</f>
        <v>0</v>
      </c>
      <c r="AR99" s="66" t="n">
        <f aca="false">-AR56*$C$16+AR93</f>
        <v>0</v>
      </c>
      <c r="AS99" s="66" t="n">
        <f aca="false">-AS56*$C$16+AS93</f>
        <v>0</v>
      </c>
      <c r="AT99" s="66" t="n">
        <f aca="false">-AT56*$C$16+AT93</f>
        <v>0</v>
      </c>
      <c r="AU99" s="66" t="n">
        <f aca="false">-AU56*$C$16+AU93</f>
        <v>0</v>
      </c>
      <c r="AV99" s="66" t="n">
        <f aca="false">-AV56*$C$16+AV93</f>
        <v>0</v>
      </c>
      <c r="AW99" s="66" t="n">
        <f aca="false">-AW56*$C$16+AW93</f>
        <v>0</v>
      </c>
      <c r="AX99" s="66" t="n">
        <f aca="false">-AX56*$C$16+AX93</f>
        <v>0</v>
      </c>
      <c r="AY99" s="66" t="n">
        <f aca="false">-AY56*$C$16+AY93</f>
        <v>0</v>
      </c>
      <c r="AZ99" s="66" t="n">
        <f aca="false">-AZ56*$C$16+AZ93</f>
        <v>0</v>
      </c>
      <c r="BA99" s="66" t="n">
        <f aca="false">-BA56*$C$16+BA93</f>
        <v>0</v>
      </c>
      <c r="BB99" s="66" t="n">
        <f aca="false">-BB56*$C$16+BB93</f>
        <v>0</v>
      </c>
    </row>
    <row r="100" customFormat="false" ht="15" hidden="false" customHeight="true" outlineLevel="0" collapsed="false">
      <c r="B100" s="59" t="s">
        <v>500</v>
      </c>
      <c r="C100" s="59" t="s">
        <v>11</v>
      </c>
      <c r="E100" s="66" t="n">
        <f aca="false">E99</f>
        <v>0</v>
      </c>
      <c r="F100" s="66" t="n">
        <f aca="false">E100+F99</f>
        <v>0</v>
      </c>
      <c r="G100" s="66" t="n">
        <f aca="false">F100+G99</f>
        <v>0</v>
      </c>
      <c r="H100" s="66" t="n">
        <f aca="false">G100+H99</f>
        <v>0</v>
      </c>
      <c r="I100" s="66" t="n">
        <f aca="false">H100+I99</f>
        <v>0</v>
      </c>
      <c r="J100" s="66" t="n">
        <f aca="false">I100+J99</f>
        <v>0</v>
      </c>
      <c r="K100" s="66" t="n">
        <f aca="false">J100+K99</f>
        <v>0</v>
      </c>
      <c r="L100" s="66" t="n">
        <f aca="false">K100+L99</f>
        <v>0</v>
      </c>
      <c r="M100" s="66" t="n">
        <f aca="false">L100+M99</f>
        <v>0</v>
      </c>
      <c r="N100" s="66" t="n">
        <f aca="false">M100+N99</f>
        <v>0</v>
      </c>
      <c r="O100" s="66" t="n">
        <f aca="false">N100+O99</f>
        <v>0</v>
      </c>
      <c r="P100" s="66" t="n">
        <f aca="false">O100+P99</f>
        <v>0</v>
      </c>
      <c r="Q100" s="66" t="n">
        <f aca="false">P100+Q99</f>
        <v>0</v>
      </c>
      <c r="R100" s="66" t="n">
        <f aca="false">Q100+R99</f>
        <v>0</v>
      </c>
      <c r="S100" s="66" t="n">
        <f aca="false">R100+S99</f>
        <v>0</v>
      </c>
      <c r="T100" s="66" t="n">
        <f aca="false">S100+T99</f>
        <v>0</v>
      </c>
      <c r="U100" s="66" t="n">
        <f aca="false">T100+U99</f>
        <v>0</v>
      </c>
      <c r="V100" s="66" t="n">
        <f aca="false">U100+V99</f>
        <v>0</v>
      </c>
      <c r="W100" s="66" t="n">
        <f aca="false">V100+W99</f>
        <v>0</v>
      </c>
      <c r="X100" s="66" t="n">
        <f aca="false">W100+X99</f>
        <v>0</v>
      </c>
      <c r="Y100" s="66" t="n">
        <f aca="false">X100+Y99</f>
        <v>0</v>
      </c>
      <c r="Z100" s="66" t="n">
        <f aca="false">Y100+Z99</f>
        <v>0</v>
      </c>
      <c r="AA100" s="66" t="n">
        <f aca="false">Z100+AA99</f>
        <v>0</v>
      </c>
      <c r="AB100" s="66" t="n">
        <f aca="false">AA100+AB99</f>
        <v>0</v>
      </c>
      <c r="AC100" s="66" t="n">
        <f aca="false">AB100+AC99</f>
        <v>0</v>
      </c>
      <c r="AD100" s="66" t="n">
        <f aca="false">AC100+AD99</f>
        <v>0</v>
      </c>
      <c r="AE100" s="66" t="n">
        <f aca="false">AD100+AE99</f>
        <v>0</v>
      </c>
      <c r="AF100" s="66" t="n">
        <f aca="false">AE100+AF99</f>
        <v>0</v>
      </c>
      <c r="AG100" s="66" t="n">
        <f aca="false">AF100+AG99</f>
        <v>0</v>
      </c>
      <c r="AH100" s="66" t="n">
        <f aca="false">AG100+AH99</f>
        <v>0</v>
      </c>
      <c r="AI100" s="66" t="n">
        <f aca="false">AH100+AI99</f>
        <v>0</v>
      </c>
      <c r="AJ100" s="66" t="n">
        <f aca="false">AI100+AJ99</f>
        <v>0</v>
      </c>
      <c r="AK100" s="66" t="n">
        <f aca="false">AJ100+AK99</f>
        <v>0</v>
      </c>
      <c r="AL100" s="66" t="n">
        <f aca="false">AK100+AL99</f>
        <v>0</v>
      </c>
      <c r="AM100" s="66" t="n">
        <f aca="false">AL100+AM99</f>
        <v>0</v>
      </c>
      <c r="AN100" s="66" t="n">
        <f aca="false">AM100+AN99</f>
        <v>0</v>
      </c>
      <c r="AO100" s="66" t="n">
        <f aca="false">AN100+AO99</f>
        <v>0</v>
      </c>
      <c r="AP100" s="66" t="n">
        <f aca="false">AO100+AP99</f>
        <v>0</v>
      </c>
      <c r="AQ100" s="66" t="n">
        <f aca="false">AP100+AQ99</f>
        <v>0</v>
      </c>
      <c r="AR100" s="66" t="n">
        <f aca="false">AQ100+AR99</f>
        <v>0</v>
      </c>
      <c r="AS100" s="66" t="n">
        <f aca="false">AR100+AS99</f>
        <v>0</v>
      </c>
      <c r="AT100" s="66" t="n">
        <f aca="false">AS100+AT99</f>
        <v>0</v>
      </c>
      <c r="AU100" s="66" t="n">
        <f aca="false">AT100+AU99</f>
        <v>0</v>
      </c>
      <c r="AV100" s="66" t="n">
        <f aca="false">AU100+AV99</f>
        <v>0</v>
      </c>
      <c r="AW100" s="66" t="n">
        <f aca="false">AV100+AW99</f>
        <v>0</v>
      </c>
      <c r="AX100" s="66" t="n">
        <f aca="false">AW100+AX99</f>
        <v>0</v>
      </c>
      <c r="AY100" s="66" t="n">
        <f aca="false">AX100+AY99</f>
        <v>0</v>
      </c>
      <c r="AZ100" s="66" t="n">
        <f aca="false">AY100+AZ99</f>
        <v>0</v>
      </c>
      <c r="BA100" s="66" t="n">
        <f aca="false">AZ100+BA99</f>
        <v>0</v>
      </c>
      <c r="BB100" s="66" t="n">
        <f aca="false">BA100+BB99</f>
        <v>0</v>
      </c>
    </row>
    <row r="101" customFormat="false" ht="15" hidden="false" customHeight="true" outlineLevel="0" collapsed="false">
      <c r="B101" s="20" t="s">
        <v>501</v>
      </c>
      <c r="C101" s="59" t="s">
        <v>268</v>
      </c>
      <c r="E101" s="67" t="str">
        <f aca="false">IFERROR(IRR(E99:BB99),"-")</f>
        <v>-</v>
      </c>
    </row>
    <row r="103" customFormat="false" ht="15" hidden="false" customHeight="true" outlineLevel="0" collapsed="false">
      <c r="B103" s="59" t="s">
        <v>502</v>
      </c>
      <c r="C103" s="59" t="s">
        <v>11</v>
      </c>
      <c r="D103" s="63" t="n">
        <f aca="false">SUM(E103:BB103)</f>
        <v>0</v>
      </c>
      <c r="E103" s="66" t="n">
        <f aca="false">-E56*$C$15+E94</f>
        <v>0</v>
      </c>
      <c r="F103" s="66" t="n">
        <f aca="false">-F56*$C$15+F94</f>
        <v>0</v>
      </c>
      <c r="G103" s="66" t="n">
        <f aca="false">-G56*$C$15+G94</f>
        <v>0</v>
      </c>
      <c r="H103" s="66" t="n">
        <f aca="false">-H56*$C$15+H94</f>
        <v>0</v>
      </c>
      <c r="I103" s="66" t="n">
        <f aca="false">-I56*$C$15+I94</f>
        <v>0</v>
      </c>
      <c r="J103" s="66" t="n">
        <f aca="false">-J56*$C$15+J94</f>
        <v>0</v>
      </c>
      <c r="K103" s="66" t="n">
        <f aca="false">-K56*$C$15+K94</f>
        <v>0</v>
      </c>
      <c r="L103" s="66" t="n">
        <f aca="false">-L56*$C$15+L94</f>
        <v>0</v>
      </c>
      <c r="M103" s="66" t="n">
        <f aca="false">-M56*$C$15+M94</f>
        <v>0</v>
      </c>
      <c r="N103" s="66" t="n">
        <f aca="false">-N56*$C$15+N94</f>
        <v>0</v>
      </c>
      <c r="O103" s="66" t="n">
        <f aca="false">-O56*$C$15+O94</f>
        <v>0</v>
      </c>
      <c r="P103" s="66" t="n">
        <f aca="false">-P56*$C$15+P94</f>
        <v>0</v>
      </c>
      <c r="Q103" s="66" t="n">
        <f aca="false">-Q56*$C$15+Q94</f>
        <v>0</v>
      </c>
      <c r="R103" s="66" t="n">
        <f aca="false">-R56*$C$15+R94</f>
        <v>0</v>
      </c>
      <c r="S103" s="66" t="n">
        <f aca="false">-S56*$C$15+S94</f>
        <v>0</v>
      </c>
      <c r="T103" s="66" t="n">
        <f aca="false">-T56*$C$15+T94</f>
        <v>0</v>
      </c>
      <c r="U103" s="66" t="n">
        <f aca="false">-U56*$C$15+U94</f>
        <v>0</v>
      </c>
      <c r="V103" s="66" t="n">
        <f aca="false">-V56*$C$15+V94</f>
        <v>0</v>
      </c>
      <c r="W103" s="66" t="n">
        <f aca="false">-W56*$C$15+W94</f>
        <v>0</v>
      </c>
      <c r="X103" s="66" t="n">
        <f aca="false">-X56*$C$15+X94</f>
        <v>0</v>
      </c>
      <c r="Y103" s="66" t="n">
        <f aca="false">-Y56*$C$15+Y94</f>
        <v>0</v>
      </c>
      <c r="Z103" s="66" t="n">
        <f aca="false">-Z56*$C$15+Z94</f>
        <v>0</v>
      </c>
      <c r="AA103" s="66" t="n">
        <f aca="false">-AA56*$C$15+AA94</f>
        <v>0</v>
      </c>
      <c r="AB103" s="66" t="n">
        <f aca="false">-AB56*$C$15+AB94</f>
        <v>0</v>
      </c>
      <c r="AC103" s="66" t="n">
        <f aca="false">-AC56*$C$15+AC94</f>
        <v>0</v>
      </c>
      <c r="AD103" s="66" t="n">
        <f aca="false">-AD56*$C$15+AD94</f>
        <v>0</v>
      </c>
      <c r="AE103" s="66" t="n">
        <f aca="false">-AE56*$C$15+AE94</f>
        <v>0</v>
      </c>
      <c r="AF103" s="66" t="n">
        <f aca="false">-AF56*$C$15+AF94</f>
        <v>0</v>
      </c>
      <c r="AG103" s="66" t="n">
        <f aca="false">-AG56*$C$15+AG94</f>
        <v>0</v>
      </c>
      <c r="AH103" s="66" t="n">
        <f aca="false">-AH56*$C$15+AH94</f>
        <v>0</v>
      </c>
      <c r="AI103" s="66" t="n">
        <f aca="false">-AI56*$C$15+AI94</f>
        <v>0</v>
      </c>
      <c r="AJ103" s="66" t="n">
        <f aca="false">-AJ56*$C$15+AJ94</f>
        <v>0</v>
      </c>
      <c r="AK103" s="66" t="n">
        <f aca="false">-AK56*$C$15+AK94</f>
        <v>0</v>
      </c>
      <c r="AL103" s="66" t="n">
        <f aca="false">-AL56*$C$15+AL94</f>
        <v>0</v>
      </c>
      <c r="AM103" s="66" t="n">
        <f aca="false">-AM56*$C$15+AM94</f>
        <v>0</v>
      </c>
      <c r="AN103" s="66" t="n">
        <f aca="false">-AN56*$C$15+AN94</f>
        <v>0</v>
      </c>
      <c r="AO103" s="66" t="n">
        <f aca="false">-AO56*$C$15+AO94</f>
        <v>0</v>
      </c>
      <c r="AP103" s="66" t="n">
        <f aca="false">-AP56*$C$15+AP94</f>
        <v>0</v>
      </c>
      <c r="AQ103" s="66" t="n">
        <f aca="false">-AQ56*$C$15+AQ94</f>
        <v>0</v>
      </c>
      <c r="AR103" s="66" t="n">
        <f aca="false">-AR56*$C$15+AR94</f>
        <v>0</v>
      </c>
      <c r="AS103" s="66" t="n">
        <f aca="false">-AS56*$C$15+AS94</f>
        <v>0</v>
      </c>
      <c r="AT103" s="66" t="n">
        <f aca="false">-AT56*$C$15+AT94</f>
        <v>0</v>
      </c>
      <c r="AU103" s="66" t="n">
        <f aca="false">-AU56*$C$15+AU94</f>
        <v>0</v>
      </c>
      <c r="AV103" s="66" t="n">
        <f aca="false">-AV56*$C$15+AV94</f>
        <v>0</v>
      </c>
      <c r="AW103" s="66" t="n">
        <f aca="false">-AW56*$C$15+AW94</f>
        <v>0</v>
      </c>
      <c r="AX103" s="66" t="n">
        <f aca="false">-AX56*$C$15+AX94</f>
        <v>0</v>
      </c>
      <c r="AY103" s="66" t="n">
        <f aca="false">-AY56*$C$15+AY94</f>
        <v>0</v>
      </c>
      <c r="AZ103" s="66" t="n">
        <f aca="false">-AZ56*$C$15+AZ94</f>
        <v>0</v>
      </c>
      <c r="BA103" s="66" t="n">
        <f aca="false">-BA56*$C$15+BA94</f>
        <v>0</v>
      </c>
      <c r="BB103" s="66" t="n">
        <f aca="false">-BB56*$C$15+BB94</f>
        <v>0</v>
      </c>
    </row>
    <row r="104" customFormat="false" ht="15" hidden="false" customHeight="true" outlineLevel="0" collapsed="false">
      <c r="B104" s="20" t="s">
        <v>503</v>
      </c>
      <c r="C104" s="59" t="s">
        <v>268</v>
      </c>
      <c r="E104" s="67" t="str">
        <f aca="false">IFERROR(IRR(E103:BB103),"-")</f>
        <v>-</v>
      </c>
    </row>
    <row r="106" customFormat="false" ht="15" hidden="false" customHeight="true" outlineLevel="0" collapsed="false">
      <c r="A106" s="58" t="s">
        <v>504</v>
      </c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8"/>
      <c r="AR106" s="58"/>
      <c r="AS106" s="58"/>
      <c r="AT106" s="58"/>
      <c r="AU106" s="58"/>
      <c r="AV106" s="58"/>
      <c r="AW106" s="58"/>
      <c r="AX106" s="58"/>
      <c r="AY106" s="58"/>
      <c r="AZ106" s="58"/>
      <c r="BA106" s="58"/>
      <c r="BB106" s="58"/>
    </row>
    <row r="107" customFormat="false" ht="15" hidden="false" customHeight="true" outlineLevel="0" collapsed="false">
      <c r="B107" s="59" t="s">
        <v>505</v>
      </c>
      <c r="C107" s="71" t="str">
        <f aca="false">IFERROR(IRR(E52:BB52),"-")</f>
        <v>-</v>
      </c>
    </row>
    <row r="108" customFormat="false" ht="15" hidden="false" customHeight="true" outlineLevel="0" collapsed="false">
      <c r="B108" s="59" t="s">
        <v>501</v>
      </c>
      <c r="C108" s="71" t="str">
        <f aca="false">E101</f>
        <v>-</v>
      </c>
    </row>
    <row r="109" customFormat="false" ht="15" hidden="false" customHeight="true" outlineLevel="0" collapsed="false">
      <c r="B109" s="59" t="s">
        <v>503</v>
      </c>
      <c r="C109" s="71" t="str">
        <f aca="false">E104</f>
        <v>-</v>
      </c>
    </row>
    <row r="110" customFormat="false" ht="15" hidden="false" customHeight="true" outlineLevel="0" collapsed="false">
      <c r="B110" s="59" t="s">
        <v>399</v>
      </c>
      <c r="C110" s="72" t="str">
        <f aca="false">IFERROR(D93/(D56*$C$16),"-")</f>
        <v>-</v>
      </c>
    </row>
    <row r="111" customFormat="false" ht="15" hidden="false" customHeight="true" outlineLevel="0" collapsed="false">
      <c r="B111" s="59" t="s">
        <v>400</v>
      </c>
      <c r="C111" s="72" t="str">
        <f aca="false">IFERROR(D94/(D56*$C$15),"-")</f>
        <v>-</v>
      </c>
    </row>
    <row r="113" customFormat="false" ht="15" hidden="false" customHeight="true" outlineLevel="0" collapsed="false">
      <c r="B113" s="59" t="s">
        <v>421</v>
      </c>
      <c r="C113" s="63" t="n">
        <f aca="false">$C$14</f>
        <v>0</v>
      </c>
    </row>
    <row r="114" customFormat="false" ht="15" hidden="false" customHeight="true" outlineLevel="0" collapsed="false">
      <c r="B114" s="59" t="s">
        <v>506</v>
      </c>
      <c r="C114" s="63" t="n">
        <f aca="false">D57</f>
        <v>0</v>
      </c>
    </row>
    <row r="115" customFormat="false" ht="15" hidden="false" customHeight="true" outlineLevel="0" collapsed="false">
      <c r="B115" s="59" t="s">
        <v>507</v>
      </c>
      <c r="C115" s="63" t="n">
        <f aca="false">D69</f>
        <v>0</v>
      </c>
    </row>
    <row r="116" customFormat="false" ht="15" hidden="false" customHeight="true" outlineLevel="0" collapsed="false">
      <c r="B116" s="59" t="s">
        <v>508</v>
      </c>
      <c r="C116" s="63" t="n">
        <f aca="false">D51</f>
        <v>0</v>
      </c>
    </row>
    <row r="118" customFormat="false" ht="15" hidden="false" customHeight="true" outlineLevel="0" collapsed="false">
      <c r="A118" s="58" t="s">
        <v>509</v>
      </c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8"/>
      <c r="AR118" s="58"/>
      <c r="AS118" s="58"/>
      <c r="AT118" s="58"/>
      <c r="AU118" s="58"/>
      <c r="AV118" s="58"/>
      <c r="AW118" s="58"/>
      <c r="AX118" s="58"/>
      <c r="AY118" s="58"/>
      <c r="AZ118" s="58"/>
      <c r="BA118" s="58"/>
      <c r="BB118" s="58"/>
    </row>
    <row r="119" customFormat="false" ht="15" hidden="false" customHeight="true" outlineLevel="0" collapsed="false">
      <c r="B119" s="59" t="s">
        <v>510</v>
      </c>
      <c r="C119" s="59" t="str">
        <f aca="false">IF(ABS(D50-(D47+D48+D49))&lt;1,"✓","✗")</f>
        <v>✓</v>
      </c>
    </row>
    <row r="120" customFormat="false" ht="15" hidden="false" customHeight="true" outlineLevel="0" collapsed="false">
      <c r="B120" s="59" t="s">
        <v>511</v>
      </c>
      <c r="C120" s="59" t="str">
        <f aca="false">IF(ABS(D56-($C$14+D70))&lt;MAX(1,$C$14*0.05),"✓","✗")</f>
        <v>✓</v>
      </c>
    </row>
    <row r="121" customFormat="false" ht="15" hidden="false" customHeight="true" outlineLevel="0" collapsed="false">
      <c r="B121" s="59" t="s">
        <v>512</v>
      </c>
      <c r="C121" s="59" t="str">
        <f aca="false">IF(D95&lt;=D75+1,"✓","✗")</f>
        <v>✓</v>
      </c>
    </row>
    <row r="122" customFormat="false" ht="15" hidden="false" customHeight="true" outlineLevel="0" collapsed="false">
      <c r="B122" s="59" t="s">
        <v>513</v>
      </c>
      <c r="C122" s="59" t="str">
        <f aca="false">IF(MIN(E60:BB60)&gt;=0,"✓","✗")</f>
        <v>✓</v>
      </c>
    </row>
    <row r="123" customFormat="false" ht="15" hidden="false" customHeight="true" outlineLevel="0" collapsed="false">
      <c r="B123" s="59" t="s">
        <v>514</v>
      </c>
      <c r="C123" s="59" t="str">
        <f aca="false">IF(ABS(D95-(D93+D94))&lt;1,"✓","✗")</f>
        <v>✓</v>
      </c>
    </row>
    <row r="124" customFormat="false" ht="15" hidden="false" customHeight="true" outlineLevel="0" collapsed="false">
      <c r="B124" s="59" t="s">
        <v>515</v>
      </c>
      <c r="C124" s="59" t="str">
        <f aca="false">IF(IFERROR(VLOOKUP($C$9+$C$24,E46:BB60,MATCH($C$9+$C$24,E46:BB46,0),FALSE()),0)&lt;=1,"✓","✗")</f>
        <v>✓</v>
      </c>
    </row>
    <row r="125" customFormat="false" ht="15" hidden="false" customHeight="true" outlineLevel="0" collapsed="false">
      <c r="A125" s="58" t="s">
        <v>516</v>
      </c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8"/>
      <c r="AR125" s="58"/>
      <c r="AS125" s="58"/>
      <c r="AT125" s="58"/>
      <c r="AU125" s="58"/>
      <c r="AV125" s="58"/>
      <c r="AW125" s="58"/>
      <c r="AX125" s="58"/>
      <c r="AY125" s="58"/>
      <c r="AZ125" s="58"/>
      <c r="BA125" s="58"/>
      <c r="BB125" s="58"/>
    </row>
    <row r="127" customFormat="false" ht="15" hidden="false" customHeight="true" outlineLevel="0" collapsed="false">
      <c r="B127" s="59" t="s">
        <v>517</v>
      </c>
      <c r="C127" s="59" t="s">
        <v>518</v>
      </c>
      <c r="D127" s="66" t="n">
        <f aca="false">IFERROR(E52+NPV(0.1,F52:BB52),"-")</f>
        <v>0</v>
      </c>
    </row>
    <row r="128" customFormat="false" ht="15" hidden="false" customHeight="true" outlineLevel="0" collapsed="false">
      <c r="B128" s="59" t="s">
        <v>519</v>
      </c>
      <c r="C128" s="59" t="s">
        <v>518</v>
      </c>
      <c r="D128" s="66" t="n">
        <f aca="false">IFERROR(E99+NPV(0.1,F99:BB99),"-")</f>
        <v>0</v>
      </c>
    </row>
    <row r="129" customFormat="false" ht="15" hidden="false" customHeight="true" outlineLevel="0" collapsed="false">
      <c r="B129" s="59" t="s">
        <v>520</v>
      </c>
      <c r="C129" s="59" t="s">
        <v>518</v>
      </c>
      <c r="D129" s="66" t="n">
        <f aca="false">IFERROR(E103+NPV(0.1,F103:BB103),"-")</f>
        <v>0</v>
      </c>
    </row>
    <row r="131" customFormat="false" ht="15" hidden="false" customHeight="true" outlineLevel="0" collapsed="false">
      <c r="B131" s="59" t="s">
        <v>517</v>
      </c>
      <c r="C131" s="59" t="s">
        <v>521</v>
      </c>
      <c r="D131" s="66" t="n">
        <f aca="false">IFERROR(E52+NPV(0.12,F52:BB52),"-")</f>
        <v>0</v>
      </c>
    </row>
    <row r="132" customFormat="false" ht="15" hidden="false" customHeight="true" outlineLevel="0" collapsed="false">
      <c r="B132" s="59" t="s">
        <v>519</v>
      </c>
      <c r="C132" s="59" t="s">
        <v>521</v>
      </c>
      <c r="D132" s="66" t="n">
        <f aca="false">IFERROR(E99+NPV(0.12,F99:BB99),"-")</f>
        <v>0</v>
      </c>
    </row>
    <row r="133" customFormat="false" ht="15" hidden="false" customHeight="true" outlineLevel="0" collapsed="false">
      <c r="B133" s="59" t="s">
        <v>520</v>
      </c>
      <c r="C133" s="59" t="s">
        <v>521</v>
      </c>
      <c r="D133" s="66" t="n">
        <f aca="false">IFERROR(E103+NPV(0.12,F103:BB103),"-")</f>
        <v>0</v>
      </c>
    </row>
    <row r="135" customFormat="false" ht="15" hidden="false" customHeight="true" outlineLevel="0" collapsed="false">
      <c r="B135" s="59" t="s">
        <v>517</v>
      </c>
      <c r="C135" s="59" t="s">
        <v>522</v>
      </c>
      <c r="D135" s="66" t="n">
        <f aca="false">IFERROR(E52+NPV(0.14,F52:BB52),"-")</f>
        <v>0</v>
      </c>
    </row>
    <row r="136" customFormat="false" ht="15" hidden="false" customHeight="true" outlineLevel="0" collapsed="false">
      <c r="B136" s="59" t="s">
        <v>519</v>
      </c>
      <c r="C136" s="59" t="s">
        <v>522</v>
      </c>
      <c r="D136" s="66" t="n">
        <f aca="false">IFERROR(E99+NPV(0.14,F99:BB99),"-")</f>
        <v>0</v>
      </c>
    </row>
    <row r="137" customFormat="false" ht="15" hidden="false" customHeight="true" outlineLevel="0" collapsed="false">
      <c r="B137" s="59" t="s">
        <v>520</v>
      </c>
      <c r="C137" s="59" t="s">
        <v>522</v>
      </c>
      <c r="D137" s="66" t="n">
        <f aca="false">IFERROR(E103+NPV(0.14,F103:BB103),"-")</f>
        <v>0</v>
      </c>
    </row>
    <row r="140" customFormat="false" ht="15" hidden="false" customHeight="true" outlineLevel="0" collapsed="false">
      <c r="A140" s="58" t="s">
        <v>238</v>
      </c>
      <c r="B140" s="58"/>
      <c r="C140" s="58"/>
      <c r="D140" s="58"/>
    </row>
    <row r="141" customFormat="false" ht="15" hidden="true" customHeight="true" outlineLevel="1" collapsed="false">
      <c r="B141" s="59" t="s">
        <v>523</v>
      </c>
      <c r="C141" s="61" t="n">
        <f aca="false">C17</f>
        <v>0</v>
      </c>
    </row>
    <row r="142" customFormat="false" ht="15" hidden="true" customHeight="true" outlineLevel="1" collapsed="false">
      <c r="B142" s="59" t="s">
        <v>524</v>
      </c>
      <c r="C142" s="61" t="n">
        <f aca="false">C12</f>
        <v>0</v>
      </c>
    </row>
    <row r="143" customFormat="false" ht="15" hidden="true" customHeight="true" outlineLevel="1" collapsed="false">
      <c r="B143" s="59" t="s">
        <v>427</v>
      </c>
      <c r="C143" s="61" t="n">
        <f aca="false">C19</f>
        <v>0</v>
      </c>
    </row>
    <row r="144" customFormat="false" ht="15" hidden="true" customHeight="true" outlineLevel="1" collapsed="false">
      <c r="B144" s="59" t="s">
        <v>421</v>
      </c>
      <c r="C144" s="61" t="n">
        <f aca="false">C14</f>
        <v>0</v>
      </c>
    </row>
  </sheetData>
  <sheetProtection sheet="true" password="ce4b"/>
  <dataValidations count="1">
    <dataValidation allowBlank="false" errorStyle="stop" operator="between" showDropDown="false" showErrorMessage="false" showInputMessage="false" sqref="C2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5" topLeftCell="E26" activePane="bottomRight" state="frozen"/>
      <selection pane="topLeft" activeCell="A1" activeCellId="0" sqref="A1"/>
      <selection pane="topRight" activeCell="E1" activeCellId="0" sqref="E1"/>
      <selection pane="bottomLeft" activeCell="A26" activeCellId="0" sqref="A2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4" min="5" style="1" width="14"/>
  </cols>
  <sheetData>
    <row r="1" customFormat="false" ht="15" hidden="false" customHeight="true" outlineLevel="0" collapsed="false">
      <c r="A1" s="58" t="s">
        <v>530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</row>
    <row r="3" customFormat="false" ht="15" hidden="false" customHeight="true" outlineLevel="0" collapsed="false">
      <c r="A3" s="58" t="s">
        <v>531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</row>
    <row r="4" customFormat="false" ht="15" hidden="false" customHeight="true" outlineLevel="0" collapsed="false">
      <c r="B4" s="59" t="s">
        <v>532</v>
      </c>
      <c r="C4" s="24" t="s">
        <v>533</v>
      </c>
      <c r="D4" s="30" t="s">
        <v>534</v>
      </c>
    </row>
    <row r="5" customFormat="false" ht="15" hidden="false" customHeight="true" outlineLevel="0" collapsed="false">
      <c r="B5" s="59" t="s">
        <v>535</v>
      </c>
      <c r="C5" s="24" t="s">
        <v>536</v>
      </c>
      <c r="D5" s="30" t="s">
        <v>537</v>
      </c>
    </row>
    <row r="6" customFormat="false" ht="15" hidden="false" customHeight="true" outlineLevel="0" collapsed="false">
      <c r="B6" s="59" t="s">
        <v>538</v>
      </c>
      <c r="C6" s="17" t="n">
        <v>10</v>
      </c>
    </row>
    <row r="7" customFormat="false" ht="15" hidden="false" customHeight="true" outlineLevel="0" collapsed="false">
      <c r="B7" s="59" t="s">
        <v>4</v>
      </c>
      <c r="C7" s="22" t="str">
        <f aca="false">Inputs!C5</f>
        <v>ZAN Waterfront – Jazan</v>
      </c>
    </row>
    <row r="8" customFormat="false" ht="15" hidden="false" customHeight="true" outlineLevel="0" collapsed="false">
      <c r="B8" s="59" t="s">
        <v>10</v>
      </c>
      <c r="C8" s="22" t="str">
        <f aca="false">Inputs!C9</f>
        <v>SAR</v>
      </c>
    </row>
    <row r="10" customFormat="false" ht="15" hidden="false" customHeight="true" outlineLevel="0" collapsed="false">
      <c r="A10" s="58" t="s">
        <v>539</v>
      </c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</row>
    <row r="11" customFormat="false" ht="15" hidden="false" customHeight="true" outlineLevel="0" collapsed="false">
      <c r="B11" s="59" t="s">
        <v>540</v>
      </c>
      <c r="C11" s="61" t="n">
        <f aca="false">'Fund_ZAN 1'!C18+'Fund_ZAN 2'!C18+'Fund_ZAN 3'!C18+'Fund_ZAN 4'!C18+'Fund_ZAN 5'!C18+'Fund_ZAN 6'!C18</f>
        <v>1650626755.795</v>
      </c>
      <c r="D11" s="30" t="s">
        <v>541</v>
      </c>
    </row>
    <row r="12" customFormat="false" ht="15" hidden="false" customHeight="true" outlineLevel="0" collapsed="false">
      <c r="B12" s="59" t="s">
        <v>421</v>
      </c>
      <c r="C12" s="61" t="n">
        <f aca="false">'Fund_ZAN 1'!C14+'Fund_ZAN 2'!C14+'Fund_ZAN 3'!C14+'Fund_ZAN 4'!C14+'Fund_ZAN 5'!C14+'Fund_ZAN 6'!C14</f>
        <v>495188026.7385</v>
      </c>
      <c r="D12" s="30" t="s">
        <v>422</v>
      </c>
    </row>
    <row r="13" customFormat="false" ht="15" hidden="false" customHeight="true" outlineLevel="0" collapsed="false">
      <c r="B13" s="59" t="s">
        <v>542</v>
      </c>
      <c r="C13" s="61" t="n">
        <f aca="false">'Fund_ZAN 1'!C19+'Fund_ZAN 2'!C19+'Fund_ZAN 3'!C19+'Fund_ZAN 4'!C19+'Fund_ZAN 5'!C19+'Fund_ZAN 6'!C19</f>
        <v>1155438729.0565</v>
      </c>
      <c r="D13" s="30" t="s">
        <v>543</v>
      </c>
    </row>
    <row r="14" customFormat="false" ht="15" hidden="false" customHeight="true" outlineLevel="0" collapsed="false">
      <c r="B14" s="59" t="s">
        <v>544</v>
      </c>
      <c r="C14" s="67" t="n">
        <f aca="false">IF(C11=0,0,C12/C11)</f>
        <v>0.3</v>
      </c>
      <c r="D14" s="30" t="s">
        <v>545</v>
      </c>
    </row>
    <row r="15" customFormat="false" ht="15" hidden="false" customHeight="true" outlineLevel="0" collapsed="false">
      <c r="B15" s="59" t="s">
        <v>546</v>
      </c>
      <c r="C15" s="67" t="n">
        <f aca="false">IF(C11=0,0,C13/C11)</f>
        <v>0.7</v>
      </c>
      <c r="D15" s="30" t="s">
        <v>547</v>
      </c>
    </row>
    <row r="17" customFormat="false" ht="15" hidden="false" customHeight="true" outlineLevel="0" collapsed="false">
      <c r="A17" s="58" t="s">
        <v>548</v>
      </c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</row>
    <row r="18" customFormat="false" ht="15" hidden="false" customHeight="true" outlineLevel="0" collapsed="false">
      <c r="B18" s="59" t="s">
        <v>549</v>
      </c>
      <c r="C18" s="62" t="n">
        <f aca="false">Inputs!C126</f>
        <v>0.065</v>
      </c>
    </row>
    <row r="19" customFormat="false" ht="15" hidden="false" customHeight="true" outlineLevel="0" collapsed="false">
      <c r="B19" s="59" t="s">
        <v>550</v>
      </c>
      <c r="C19" s="65" t="n">
        <f aca="false">Inputs!C127</f>
        <v>7</v>
      </c>
    </row>
    <row r="20" customFormat="false" ht="15" hidden="false" customHeight="true" outlineLevel="0" collapsed="false">
      <c r="B20" s="59" t="s">
        <v>551</v>
      </c>
      <c r="C20" s="65" t="n">
        <f aca="false">Inputs!C128</f>
        <v>3</v>
      </c>
    </row>
    <row r="21" customFormat="false" ht="15" hidden="false" customHeight="true" outlineLevel="0" collapsed="false">
      <c r="B21" s="59" t="s">
        <v>552</v>
      </c>
      <c r="C21" s="62" t="n">
        <f aca="false">Inputs!C85</f>
        <v>0.7</v>
      </c>
    </row>
    <row r="22" customFormat="false" ht="15" hidden="false" customHeight="true" outlineLevel="0" collapsed="false">
      <c r="B22" s="59" t="s">
        <v>553</v>
      </c>
      <c r="C22" s="24" t="s">
        <v>554</v>
      </c>
    </row>
    <row r="24" customFormat="false" ht="15" hidden="false" customHeight="true" outlineLevel="0" collapsed="false">
      <c r="A24" s="58" t="s">
        <v>555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</row>
    <row r="25" customFormat="false" ht="15" hidden="false" customHeight="true" outlineLevel="0" collapsed="false">
      <c r="C25" s="69" t="s">
        <v>262</v>
      </c>
      <c r="D25" s="69" t="s">
        <v>60</v>
      </c>
      <c r="E25" s="70" t="n">
        <f aca="false">Inputs!$C$7+0</f>
        <v>2026</v>
      </c>
      <c r="F25" s="70" t="n">
        <f aca="false">Inputs!$C$7+1</f>
        <v>2027</v>
      </c>
      <c r="G25" s="70" t="n">
        <f aca="false">Inputs!$C$7+2</f>
        <v>2028</v>
      </c>
      <c r="H25" s="70" t="n">
        <f aca="false">Inputs!$C$7+3</f>
        <v>2029</v>
      </c>
      <c r="I25" s="70" t="n">
        <f aca="false">Inputs!$C$7+4</f>
        <v>2030</v>
      </c>
      <c r="J25" s="70" t="n">
        <f aca="false">Inputs!$C$7+5</f>
        <v>2031</v>
      </c>
      <c r="K25" s="70" t="n">
        <f aca="false">Inputs!$C$7+6</f>
        <v>2032</v>
      </c>
      <c r="L25" s="70" t="n">
        <f aca="false">Inputs!$C$7+7</f>
        <v>2033</v>
      </c>
      <c r="M25" s="70" t="n">
        <f aca="false">Inputs!$C$7+8</f>
        <v>2034</v>
      </c>
      <c r="N25" s="70" t="n">
        <f aca="false">Inputs!$C$7+9</f>
        <v>2035</v>
      </c>
      <c r="O25" s="70" t="n">
        <f aca="false">Inputs!$C$7+10</f>
        <v>2036</v>
      </c>
      <c r="P25" s="70" t="n">
        <f aca="false">Inputs!$C$7+11</f>
        <v>2037</v>
      </c>
      <c r="Q25" s="70" t="n">
        <f aca="false">Inputs!$C$7+12</f>
        <v>2038</v>
      </c>
      <c r="R25" s="70" t="n">
        <f aca="false">Inputs!$C$7+13</f>
        <v>2039</v>
      </c>
      <c r="S25" s="70" t="n">
        <f aca="false">Inputs!$C$7+14</f>
        <v>2040</v>
      </c>
      <c r="T25" s="70" t="n">
        <f aca="false">Inputs!$C$7+15</f>
        <v>2041</v>
      </c>
      <c r="U25" s="70" t="n">
        <f aca="false">Inputs!$C$7+16</f>
        <v>2042</v>
      </c>
      <c r="V25" s="70" t="n">
        <f aca="false">Inputs!$C$7+17</f>
        <v>2043</v>
      </c>
      <c r="W25" s="70" t="n">
        <f aca="false">Inputs!$C$7+18</f>
        <v>2044</v>
      </c>
      <c r="X25" s="70" t="n">
        <f aca="false">Inputs!$C$7+19</f>
        <v>2045</v>
      </c>
      <c r="Y25" s="70" t="n">
        <f aca="false">Inputs!$C$7+20</f>
        <v>2046</v>
      </c>
      <c r="Z25" s="70" t="n">
        <f aca="false">Inputs!$C$7+21</f>
        <v>2047</v>
      </c>
      <c r="AA25" s="70" t="n">
        <f aca="false">Inputs!$C$7+22</f>
        <v>2048</v>
      </c>
      <c r="AB25" s="70" t="n">
        <f aca="false">Inputs!$C$7+23</f>
        <v>2049</v>
      </c>
      <c r="AC25" s="70" t="n">
        <f aca="false">Inputs!$C$7+24</f>
        <v>2050</v>
      </c>
      <c r="AD25" s="70" t="n">
        <f aca="false">Inputs!$C$7+25</f>
        <v>2051</v>
      </c>
      <c r="AE25" s="70" t="n">
        <f aca="false">Inputs!$C$7+26</f>
        <v>2052</v>
      </c>
      <c r="AF25" s="70" t="n">
        <f aca="false">Inputs!$C$7+27</f>
        <v>2053</v>
      </c>
      <c r="AG25" s="70" t="n">
        <f aca="false">Inputs!$C$7+28</f>
        <v>2054</v>
      </c>
      <c r="AH25" s="70" t="n">
        <f aca="false">Inputs!$C$7+29</f>
        <v>2055</v>
      </c>
      <c r="AI25" s="70" t="n">
        <f aca="false">Inputs!$C$7+30</f>
        <v>2056</v>
      </c>
      <c r="AJ25" s="70" t="n">
        <f aca="false">Inputs!$C$7+31</f>
        <v>2057</v>
      </c>
      <c r="AK25" s="70" t="n">
        <f aca="false">Inputs!$C$7+32</f>
        <v>2058</v>
      </c>
      <c r="AL25" s="70" t="n">
        <f aca="false">Inputs!$C$7+33</f>
        <v>2059</v>
      </c>
      <c r="AM25" s="70" t="n">
        <f aca="false">Inputs!$C$7+34</f>
        <v>2060</v>
      </c>
      <c r="AN25" s="70" t="n">
        <f aca="false">Inputs!$C$7+35</f>
        <v>2061</v>
      </c>
      <c r="AO25" s="70" t="n">
        <f aca="false">Inputs!$C$7+36</f>
        <v>2062</v>
      </c>
      <c r="AP25" s="70" t="n">
        <f aca="false">Inputs!$C$7+37</f>
        <v>2063</v>
      </c>
      <c r="AQ25" s="70" t="n">
        <f aca="false">Inputs!$C$7+38</f>
        <v>2064</v>
      </c>
      <c r="AR25" s="70" t="n">
        <f aca="false">Inputs!$C$7+39</f>
        <v>2065</v>
      </c>
      <c r="AS25" s="70" t="n">
        <f aca="false">Inputs!$C$7+40</f>
        <v>2066</v>
      </c>
      <c r="AT25" s="70" t="n">
        <f aca="false">Inputs!$C$7+41</f>
        <v>2067</v>
      </c>
      <c r="AU25" s="70" t="n">
        <f aca="false">Inputs!$C$7+42</f>
        <v>2068</v>
      </c>
      <c r="AV25" s="70" t="n">
        <f aca="false">Inputs!$C$7+43</f>
        <v>2069</v>
      </c>
      <c r="AW25" s="70" t="n">
        <f aca="false">Inputs!$C$7+44</f>
        <v>2070</v>
      </c>
      <c r="AX25" s="70" t="n">
        <f aca="false">Inputs!$C$7+45</f>
        <v>2071</v>
      </c>
      <c r="AY25" s="70" t="n">
        <f aca="false">Inputs!$C$7+46</f>
        <v>2072</v>
      </c>
      <c r="AZ25" s="70" t="n">
        <f aca="false">Inputs!$C$7+47</f>
        <v>2073</v>
      </c>
      <c r="BA25" s="70" t="n">
        <f aca="false">Inputs!$C$7+48</f>
        <v>2074</v>
      </c>
      <c r="BB25" s="70" t="n">
        <f aca="false">Inputs!$C$7+49</f>
        <v>2075</v>
      </c>
    </row>
    <row r="26" customFormat="false" ht="15" hidden="false" customHeight="true" outlineLevel="0" collapsed="false">
      <c r="B26" s="59" t="s">
        <v>556</v>
      </c>
      <c r="C26" s="59" t="s">
        <v>11</v>
      </c>
      <c r="D26" s="63" t="n">
        <f aca="false">SUM(E26:BB26)</f>
        <v>12061937230.1221</v>
      </c>
      <c r="E26" s="61" t="n">
        <f aca="false">CashFlow!D110</f>
        <v>0</v>
      </c>
      <c r="F26" s="61" t="n">
        <f aca="false">CashFlow!E110</f>
        <v>0</v>
      </c>
      <c r="G26" s="61" t="n">
        <f aca="false">CashFlow!F110</f>
        <v>0</v>
      </c>
      <c r="H26" s="61" t="n">
        <f aca="false">CashFlow!G110</f>
        <v>601866</v>
      </c>
      <c r="I26" s="61" t="n">
        <f aca="false">CashFlow!H110</f>
        <v>1212759.99</v>
      </c>
      <c r="J26" s="61" t="n">
        <f aca="false">CashFlow!I110</f>
        <v>34337970.3516824</v>
      </c>
      <c r="K26" s="61" t="n">
        <f aca="false">CashFlow!J110</f>
        <v>85210050.8472408</v>
      </c>
      <c r="L26" s="61" t="n">
        <f aca="false">CashFlow!K110</f>
        <v>159181127.274432</v>
      </c>
      <c r="M26" s="61" t="n">
        <f aca="false">CashFlow!L110</f>
        <v>207261772.325418</v>
      </c>
      <c r="N26" s="61" t="n">
        <f aca="false">CashFlow!M110</f>
        <v>237343278.733009</v>
      </c>
      <c r="O26" s="61" t="n">
        <f aca="false">CashFlow!N110</f>
        <v>244082823.996984</v>
      </c>
      <c r="P26" s="61" t="n">
        <f aca="false">CashFlow!O110</f>
        <v>245913445.176962</v>
      </c>
      <c r="Q26" s="61" t="n">
        <f aca="false">CashFlow!P110</f>
        <v>247757796.015789</v>
      </c>
      <c r="R26" s="61" t="n">
        <f aca="false">CashFlow!Q110</f>
        <v>249615979.485907</v>
      </c>
      <c r="S26" s="61" t="n">
        <f aca="false">CashFlow!R110</f>
        <v>251488099.332052</v>
      </c>
      <c r="T26" s="61" t="n">
        <f aca="false">CashFlow!S110</f>
        <v>253374260.077042</v>
      </c>
      <c r="U26" s="61" t="n">
        <f aca="false">CashFlow!T110</f>
        <v>255274567.02762</v>
      </c>
      <c r="V26" s="61" t="n">
        <f aca="false">CashFlow!U110</f>
        <v>257189126.280327</v>
      </c>
      <c r="W26" s="61" t="n">
        <f aca="false">CashFlow!V110</f>
        <v>259118044.72743</v>
      </c>
      <c r="X26" s="61" t="n">
        <f aca="false">CashFlow!W110</f>
        <v>261061430.062885</v>
      </c>
      <c r="Y26" s="61" t="n">
        <f aca="false">CashFlow!X110</f>
        <v>263019390.788357</v>
      </c>
      <c r="Z26" s="61" t="n">
        <f aca="false">CashFlow!Y110</f>
        <v>264992036.21927</v>
      </c>
      <c r="AA26" s="61" t="n">
        <f aca="false">CashFlow!Z110</f>
        <v>266979476.490914</v>
      </c>
      <c r="AB26" s="61" t="n">
        <f aca="false">CashFlow!AA110</f>
        <v>268981822.564596</v>
      </c>
      <c r="AC26" s="61" t="n">
        <f aca="false">CashFlow!AB110</f>
        <v>270999186.233831</v>
      </c>
      <c r="AD26" s="61" t="n">
        <f aca="false">CashFlow!AC110</f>
        <v>273031680.130584</v>
      </c>
      <c r="AE26" s="61" t="n">
        <f aca="false">CashFlow!AD110</f>
        <v>275079417.731564</v>
      </c>
      <c r="AF26" s="61" t="n">
        <f aca="false">CashFlow!AE110</f>
        <v>277142513.364551</v>
      </c>
      <c r="AG26" s="61" t="n">
        <f aca="false">CashFlow!AF110</f>
        <v>279221082.214785</v>
      </c>
      <c r="AH26" s="61" t="n">
        <f aca="false">CashFlow!AG110</f>
        <v>281315240.331396</v>
      </c>
      <c r="AI26" s="61" t="n">
        <f aca="false">CashFlow!AH110</f>
        <v>283425104.633881</v>
      </c>
      <c r="AJ26" s="61" t="n">
        <f aca="false">CashFlow!AI110</f>
        <v>285550792.918635</v>
      </c>
      <c r="AK26" s="61" t="n">
        <f aca="false">CashFlow!AJ110</f>
        <v>287692423.865525</v>
      </c>
      <c r="AL26" s="61" t="n">
        <f aca="false">CashFlow!AK110</f>
        <v>289850117.044516</v>
      </c>
      <c r="AM26" s="61" t="n">
        <f aca="false">CashFlow!AL110</f>
        <v>292023992.92235</v>
      </c>
      <c r="AN26" s="61" t="n">
        <f aca="false">CashFlow!AM110</f>
        <v>294214172.869268</v>
      </c>
      <c r="AO26" s="61" t="n">
        <f aca="false">CashFlow!AN110</f>
        <v>296420779.165787</v>
      </c>
      <c r="AP26" s="61" t="n">
        <f aca="false">CashFlow!AO110</f>
        <v>298643935.009531</v>
      </c>
      <c r="AQ26" s="61" t="n">
        <f aca="false">CashFlow!AP110</f>
        <v>300883764.522102</v>
      </c>
      <c r="AR26" s="61" t="n">
        <f aca="false">CashFlow!AQ110</f>
        <v>303140392.756018</v>
      </c>
      <c r="AS26" s="61" t="n">
        <f aca="false">CashFlow!AR110</f>
        <v>305413945.701688</v>
      </c>
      <c r="AT26" s="61" t="n">
        <f aca="false">CashFlow!AS110</f>
        <v>307704550.294451</v>
      </c>
      <c r="AU26" s="61" t="n">
        <f aca="false">CashFlow!AT110</f>
        <v>310012334.421659</v>
      </c>
      <c r="AV26" s="61" t="n">
        <f aca="false">CashFlow!AU110</f>
        <v>312337426.929822</v>
      </c>
      <c r="AW26" s="61" t="n">
        <f aca="false">CashFlow!AV110</f>
        <v>314679957.631796</v>
      </c>
      <c r="AX26" s="61" t="n">
        <f aca="false">CashFlow!AW110</f>
        <v>317040057.314034</v>
      </c>
      <c r="AY26" s="61" t="n">
        <f aca="false">CashFlow!AX110</f>
        <v>319417857.743889</v>
      </c>
      <c r="AZ26" s="61" t="n">
        <f aca="false">CashFlow!AY110</f>
        <v>321813491.676969</v>
      </c>
      <c r="BA26" s="61" t="n">
        <f aca="false">CashFlow!AZ110</f>
        <v>324227092.864546</v>
      </c>
      <c r="BB26" s="61" t="n">
        <f aca="false">CashFlow!BA110</f>
        <v>326658796.06103</v>
      </c>
    </row>
    <row r="27" customFormat="false" ht="15" hidden="false" customHeight="true" outlineLevel="0" collapsed="false">
      <c r="B27" s="59" t="s">
        <v>557</v>
      </c>
      <c r="C27" s="59" t="s">
        <v>11</v>
      </c>
      <c r="D27" s="63" t="n">
        <f aca="false">SUM(E27:BB27)</f>
        <v>-330796929.587109</v>
      </c>
      <c r="E27" s="61" t="n">
        <f aca="false">CashFlow!D111</f>
        <v>-0</v>
      </c>
      <c r="F27" s="61" t="n">
        <f aca="false">CashFlow!E111</f>
        <v>-0</v>
      </c>
      <c r="G27" s="61" t="n">
        <f aca="false">CashFlow!F111</f>
        <v>-0</v>
      </c>
      <c r="H27" s="61" t="n">
        <f aca="false">CashFlow!G111</f>
        <v>-0</v>
      </c>
      <c r="I27" s="61" t="n">
        <f aca="false">CashFlow!H111</f>
        <v>-0</v>
      </c>
      <c r="J27" s="61" t="n">
        <f aca="false">CashFlow!I111</f>
        <v>-6000000</v>
      </c>
      <c r="K27" s="61" t="n">
        <f aca="false">CashFlow!J111</f>
        <v>-6000000</v>
      </c>
      <c r="L27" s="61" t="n">
        <f aca="false">CashFlow!K111</f>
        <v>-6000000</v>
      </c>
      <c r="M27" s="61" t="n">
        <f aca="false">CashFlow!L111</f>
        <v>-6000000</v>
      </c>
      <c r="N27" s="61" t="n">
        <f aca="false">CashFlow!M111</f>
        <v>-6000000</v>
      </c>
      <c r="O27" s="61" t="n">
        <f aca="false">CashFlow!N111</f>
        <v>-6300000</v>
      </c>
      <c r="P27" s="61" t="n">
        <f aca="false">CashFlow!O111</f>
        <v>-6300000</v>
      </c>
      <c r="Q27" s="61" t="n">
        <f aca="false">CashFlow!P111</f>
        <v>-6300000</v>
      </c>
      <c r="R27" s="61" t="n">
        <f aca="false">CashFlow!Q111</f>
        <v>-6300000</v>
      </c>
      <c r="S27" s="61" t="n">
        <f aca="false">CashFlow!R111</f>
        <v>-6300000</v>
      </c>
      <c r="T27" s="61" t="n">
        <f aca="false">CashFlow!S111</f>
        <v>-6615000</v>
      </c>
      <c r="U27" s="61" t="n">
        <f aca="false">CashFlow!T111</f>
        <v>-6615000</v>
      </c>
      <c r="V27" s="61" t="n">
        <f aca="false">CashFlow!U111</f>
        <v>-6615000</v>
      </c>
      <c r="W27" s="61" t="n">
        <f aca="false">CashFlow!V111</f>
        <v>-6615000</v>
      </c>
      <c r="X27" s="61" t="n">
        <f aca="false">CashFlow!W111</f>
        <v>-6615000</v>
      </c>
      <c r="Y27" s="61" t="n">
        <f aca="false">CashFlow!X111</f>
        <v>-6945750</v>
      </c>
      <c r="Z27" s="61" t="n">
        <f aca="false">CashFlow!Y111</f>
        <v>-6945750</v>
      </c>
      <c r="AA27" s="61" t="n">
        <f aca="false">CashFlow!Z111</f>
        <v>-6945750</v>
      </c>
      <c r="AB27" s="61" t="n">
        <f aca="false">CashFlow!AA111</f>
        <v>-6945750</v>
      </c>
      <c r="AC27" s="61" t="n">
        <f aca="false">CashFlow!AB111</f>
        <v>-6945750</v>
      </c>
      <c r="AD27" s="61" t="n">
        <f aca="false">CashFlow!AC111</f>
        <v>-7293037.5</v>
      </c>
      <c r="AE27" s="61" t="n">
        <f aca="false">CashFlow!AD111</f>
        <v>-7293037.5</v>
      </c>
      <c r="AF27" s="61" t="n">
        <f aca="false">CashFlow!AE111</f>
        <v>-7293037.5</v>
      </c>
      <c r="AG27" s="61" t="n">
        <f aca="false">CashFlow!AF111</f>
        <v>-7293037.5</v>
      </c>
      <c r="AH27" s="61" t="n">
        <f aca="false">CashFlow!AG111</f>
        <v>-7293037.5</v>
      </c>
      <c r="AI27" s="61" t="n">
        <f aca="false">CashFlow!AH111</f>
        <v>-7657689.375</v>
      </c>
      <c r="AJ27" s="61" t="n">
        <f aca="false">CashFlow!AI111</f>
        <v>-7657689.375</v>
      </c>
      <c r="AK27" s="61" t="n">
        <f aca="false">CashFlow!AJ111</f>
        <v>-7657689.375</v>
      </c>
      <c r="AL27" s="61" t="n">
        <f aca="false">CashFlow!AK111</f>
        <v>-7657689.375</v>
      </c>
      <c r="AM27" s="61" t="n">
        <f aca="false">CashFlow!AL111</f>
        <v>-7657689.375</v>
      </c>
      <c r="AN27" s="61" t="n">
        <f aca="false">CashFlow!AM111</f>
        <v>-8040573.84375</v>
      </c>
      <c r="AO27" s="61" t="n">
        <f aca="false">CashFlow!AN111</f>
        <v>-8040573.84375</v>
      </c>
      <c r="AP27" s="61" t="n">
        <f aca="false">CashFlow!AO111</f>
        <v>-8040573.84375</v>
      </c>
      <c r="AQ27" s="61" t="n">
        <f aca="false">CashFlow!AP111</f>
        <v>-8040573.84375</v>
      </c>
      <c r="AR27" s="61" t="n">
        <f aca="false">CashFlow!AQ111</f>
        <v>-8040573.84375</v>
      </c>
      <c r="AS27" s="61" t="n">
        <f aca="false">CashFlow!AR111</f>
        <v>-8442602.5359375</v>
      </c>
      <c r="AT27" s="61" t="n">
        <f aca="false">CashFlow!AS111</f>
        <v>-8442602.5359375</v>
      </c>
      <c r="AU27" s="61" t="n">
        <f aca="false">CashFlow!AT111</f>
        <v>-8442602.5359375</v>
      </c>
      <c r="AV27" s="61" t="n">
        <f aca="false">CashFlow!AU111</f>
        <v>-8442602.5359375</v>
      </c>
      <c r="AW27" s="61" t="n">
        <f aca="false">CashFlow!AV111</f>
        <v>-8442602.5359375</v>
      </c>
      <c r="AX27" s="61" t="n">
        <f aca="false">CashFlow!AW111</f>
        <v>-8864732.66273438</v>
      </c>
      <c r="AY27" s="61" t="n">
        <f aca="false">CashFlow!AX111</f>
        <v>-8864732.66273438</v>
      </c>
      <c r="AZ27" s="61" t="n">
        <f aca="false">CashFlow!AY111</f>
        <v>-8864732.66273438</v>
      </c>
      <c r="BA27" s="61" t="n">
        <f aca="false">CashFlow!AZ111</f>
        <v>-8864732.66273438</v>
      </c>
      <c r="BB27" s="61" t="n">
        <f aca="false">CashFlow!BA111</f>
        <v>-8864732.66273438</v>
      </c>
    </row>
    <row r="28" customFormat="false" ht="15" hidden="false" customHeight="true" outlineLevel="0" collapsed="false">
      <c r="B28" s="59" t="s">
        <v>558</v>
      </c>
      <c r="C28" s="59" t="s">
        <v>11</v>
      </c>
      <c r="D28" s="63" t="n">
        <f aca="false">SUM(E28:BB28)</f>
        <v>-1348153755.795</v>
      </c>
      <c r="E28" s="61" t="n">
        <f aca="false">CashFlow!D112</f>
        <v>-0</v>
      </c>
      <c r="F28" s="61" t="n">
        <f aca="false">CashFlow!E112</f>
        <v>-0</v>
      </c>
      <c r="G28" s="61" t="n">
        <f aca="false">CashFlow!F112</f>
        <v>-115257373</v>
      </c>
      <c r="H28" s="61" t="n">
        <f aca="false">CashFlow!G112</f>
        <v>-276952729.9</v>
      </c>
      <c r="I28" s="61" t="n">
        <f aca="false">CashFlow!H112</f>
        <v>-583755066.895</v>
      </c>
      <c r="J28" s="61" t="n">
        <f aca="false">CashFlow!I112</f>
        <v>-268054571.4</v>
      </c>
      <c r="K28" s="61" t="n">
        <f aca="false">CashFlow!J112</f>
        <v>-104134014.6</v>
      </c>
      <c r="L28" s="61" t="n">
        <f aca="false">CashFlow!K112</f>
        <v>-0</v>
      </c>
      <c r="M28" s="61" t="n">
        <f aca="false">CashFlow!L112</f>
        <v>-0</v>
      </c>
      <c r="N28" s="61" t="n">
        <f aca="false">CashFlow!M112</f>
        <v>-0</v>
      </c>
      <c r="O28" s="61" t="n">
        <f aca="false">CashFlow!N112</f>
        <v>-0</v>
      </c>
      <c r="P28" s="61" t="n">
        <f aca="false">CashFlow!O112</f>
        <v>-0</v>
      </c>
      <c r="Q28" s="61" t="n">
        <f aca="false">CashFlow!P112</f>
        <v>-0</v>
      </c>
      <c r="R28" s="61" t="n">
        <f aca="false">CashFlow!Q112</f>
        <v>-0</v>
      </c>
      <c r="S28" s="61" t="n">
        <f aca="false">CashFlow!R112</f>
        <v>-0</v>
      </c>
      <c r="T28" s="61" t="n">
        <f aca="false">CashFlow!S112</f>
        <v>-0</v>
      </c>
      <c r="U28" s="61" t="n">
        <f aca="false">CashFlow!T112</f>
        <v>-0</v>
      </c>
      <c r="V28" s="61" t="n">
        <f aca="false">CashFlow!U112</f>
        <v>-0</v>
      </c>
      <c r="W28" s="61" t="n">
        <f aca="false">CashFlow!V112</f>
        <v>-0</v>
      </c>
      <c r="X28" s="61" t="n">
        <f aca="false">CashFlow!W112</f>
        <v>-0</v>
      </c>
      <c r="Y28" s="61" t="n">
        <f aca="false">CashFlow!X112</f>
        <v>-0</v>
      </c>
      <c r="Z28" s="61" t="n">
        <f aca="false">CashFlow!Y112</f>
        <v>-0</v>
      </c>
      <c r="AA28" s="61" t="n">
        <f aca="false">CashFlow!Z112</f>
        <v>-0</v>
      </c>
      <c r="AB28" s="61" t="n">
        <f aca="false">CashFlow!AA112</f>
        <v>-0</v>
      </c>
      <c r="AC28" s="61" t="n">
        <f aca="false">CashFlow!AB112</f>
        <v>-0</v>
      </c>
      <c r="AD28" s="61" t="n">
        <f aca="false">CashFlow!AC112</f>
        <v>-0</v>
      </c>
      <c r="AE28" s="61" t="n">
        <f aca="false">CashFlow!AD112</f>
        <v>-0</v>
      </c>
      <c r="AF28" s="61" t="n">
        <f aca="false">CashFlow!AE112</f>
        <v>-0</v>
      </c>
      <c r="AG28" s="61" t="n">
        <f aca="false">CashFlow!AF112</f>
        <v>-0</v>
      </c>
      <c r="AH28" s="61" t="n">
        <f aca="false">CashFlow!AG112</f>
        <v>-0</v>
      </c>
      <c r="AI28" s="61" t="n">
        <f aca="false">CashFlow!AH112</f>
        <v>-0</v>
      </c>
      <c r="AJ28" s="61" t="n">
        <f aca="false">CashFlow!AI112</f>
        <v>-0</v>
      </c>
      <c r="AK28" s="61" t="n">
        <f aca="false">CashFlow!AJ112</f>
        <v>-0</v>
      </c>
      <c r="AL28" s="61" t="n">
        <f aca="false">CashFlow!AK112</f>
        <v>-0</v>
      </c>
      <c r="AM28" s="61" t="n">
        <f aca="false">CashFlow!AL112</f>
        <v>-0</v>
      </c>
      <c r="AN28" s="61" t="n">
        <f aca="false">CashFlow!AM112</f>
        <v>-0</v>
      </c>
      <c r="AO28" s="61" t="n">
        <f aca="false">CashFlow!AN112</f>
        <v>-0</v>
      </c>
      <c r="AP28" s="61" t="n">
        <f aca="false">CashFlow!AO112</f>
        <v>-0</v>
      </c>
      <c r="AQ28" s="61" t="n">
        <f aca="false">CashFlow!AP112</f>
        <v>-0</v>
      </c>
      <c r="AR28" s="61" t="n">
        <f aca="false">CashFlow!AQ112</f>
        <v>-0</v>
      </c>
      <c r="AS28" s="61" t="n">
        <f aca="false">CashFlow!AR112</f>
        <v>-0</v>
      </c>
      <c r="AT28" s="61" t="n">
        <f aca="false">CashFlow!AS112</f>
        <v>-0</v>
      </c>
      <c r="AU28" s="61" t="n">
        <f aca="false">CashFlow!AT112</f>
        <v>-0</v>
      </c>
      <c r="AV28" s="61" t="n">
        <f aca="false">CashFlow!AU112</f>
        <v>-0</v>
      </c>
      <c r="AW28" s="61" t="n">
        <f aca="false">CashFlow!AV112</f>
        <v>-0</v>
      </c>
      <c r="AX28" s="61" t="n">
        <f aca="false">CashFlow!AW112</f>
        <v>-0</v>
      </c>
      <c r="AY28" s="61" t="n">
        <f aca="false">CashFlow!AX112</f>
        <v>-0</v>
      </c>
      <c r="AZ28" s="61" t="n">
        <f aca="false">CashFlow!AY112</f>
        <v>-0</v>
      </c>
      <c r="BA28" s="61" t="n">
        <f aca="false">CashFlow!AZ112</f>
        <v>-0</v>
      </c>
      <c r="BB28" s="61" t="n">
        <f aca="false">CashFlow!BA112</f>
        <v>-0</v>
      </c>
    </row>
    <row r="29" customFormat="false" ht="15" hidden="false" customHeight="true" outlineLevel="0" collapsed="false">
      <c r="B29" s="20" t="s">
        <v>559</v>
      </c>
      <c r="C29" s="59" t="s">
        <v>11</v>
      </c>
      <c r="D29" s="63" t="n">
        <f aca="false">SUM(E29:BB29)</f>
        <v>10382986544.74</v>
      </c>
      <c r="E29" s="61" t="n">
        <f aca="false">CashFlow!D113</f>
        <v>0</v>
      </c>
      <c r="F29" s="61" t="n">
        <f aca="false">CashFlow!E113</f>
        <v>0</v>
      </c>
      <c r="G29" s="61" t="n">
        <f aca="false">CashFlow!F113</f>
        <v>-115257373</v>
      </c>
      <c r="H29" s="61" t="n">
        <f aca="false">CashFlow!G113</f>
        <v>-276350863.9</v>
      </c>
      <c r="I29" s="61" t="n">
        <f aca="false">CashFlow!H113</f>
        <v>-582542306.905</v>
      </c>
      <c r="J29" s="61" t="n">
        <f aca="false">CashFlow!I113</f>
        <v>-239716601.048318</v>
      </c>
      <c r="K29" s="61" t="n">
        <f aca="false">CashFlow!J113</f>
        <v>-24923963.7527592</v>
      </c>
      <c r="L29" s="61" t="n">
        <f aca="false">CashFlow!K113</f>
        <v>153181127.274432</v>
      </c>
      <c r="M29" s="61" t="n">
        <f aca="false">CashFlow!L113</f>
        <v>201261772.325418</v>
      </c>
      <c r="N29" s="61" t="n">
        <f aca="false">CashFlow!M113</f>
        <v>231343278.733009</v>
      </c>
      <c r="O29" s="61" t="n">
        <f aca="false">CashFlow!N113</f>
        <v>237782823.996984</v>
      </c>
      <c r="P29" s="61" t="n">
        <f aca="false">CashFlow!O113</f>
        <v>239613445.176962</v>
      </c>
      <c r="Q29" s="61" t="n">
        <f aca="false">CashFlow!P113</f>
        <v>241457796.015789</v>
      </c>
      <c r="R29" s="61" t="n">
        <f aca="false">CashFlow!Q113</f>
        <v>243315979.485907</v>
      </c>
      <c r="S29" s="61" t="n">
        <f aca="false">CashFlow!R113</f>
        <v>245188099.332052</v>
      </c>
      <c r="T29" s="61" t="n">
        <f aca="false">CashFlow!S113</f>
        <v>246759260.077042</v>
      </c>
      <c r="U29" s="61" t="n">
        <f aca="false">CashFlow!T113</f>
        <v>248659567.02762</v>
      </c>
      <c r="V29" s="61" t="n">
        <f aca="false">CashFlow!U113</f>
        <v>250574126.280327</v>
      </c>
      <c r="W29" s="61" t="n">
        <f aca="false">CashFlow!V113</f>
        <v>252503044.72743</v>
      </c>
      <c r="X29" s="61" t="n">
        <f aca="false">CashFlow!W113</f>
        <v>254446430.062885</v>
      </c>
      <c r="Y29" s="61" t="n">
        <f aca="false">CashFlow!X113</f>
        <v>256073640.788357</v>
      </c>
      <c r="Z29" s="61" t="n">
        <f aca="false">CashFlow!Y113</f>
        <v>258046286.21927</v>
      </c>
      <c r="AA29" s="61" t="n">
        <f aca="false">CashFlow!Z113</f>
        <v>260033726.490914</v>
      </c>
      <c r="AB29" s="61" t="n">
        <f aca="false">CashFlow!AA113</f>
        <v>262036072.564596</v>
      </c>
      <c r="AC29" s="61" t="n">
        <f aca="false">CashFlow!AB113</f>
        <v>264053436.233831</v>
      </c>
      <c r="AD29" s="61" t="n">
        <f aca="false">CashFlow!AC113</f>
        <v>265738642.630584</v>
      </c>
      <c r="AE29" s="61" t="n">
        <f aca="false">CashFlow!AD113</f>
        <v>267786380.231564</v>
      </c>
      <c r="AF29" s="61" t="n">
        <f aca="false">CashFlow!AE113</f>
        <v>269849475.864551</v>
      </c>
      <c r="AG29" s="61" t="n">
        <f aca="false">CashFlow!AF113</f>
        <v>271928044.714785</v>
      </c>
      <c r="AH29" s="61" t="n">
        <f aca="false">CashFlow!AG113</f>
        <v>274022202.831396</v>
      </c>
      <c r="AI29" s="61" t="n">
        <f aca="false">CashFlow!AH113</f>
        <v>275767415.258881</v>
      </c>
      <c r="AJ29" s="61" t="n">
        <f aca="false">CashFlow!AI113</f>
        <v>277893103.543635</v>
      </c>
      <c r="AK29" s="61" t="n">
        <f aca="false">CashFlow!AJ113</f>
        <v>280034734.490525</v>
      </c>
      <c r="AL29" s="61" t="n">
        <f aca="false">CashFlow!AK113</f>
        <v>282192427.669516</v>
      </c>
      <c r="AM29" s="61" t="n">
        <f aca="false">CashFlow!AL113</f>
        <v>284366303.54735</v>
      </c>
      <c r="AN29" s="61" t="n">
        <f aca="false">CashFlow!AM113</f>
        <v>286173599.025518</v>
      </c>
      <c r="AO29" s="61" t="n">
        <f aca="false">CashFlow!AN113</f>
        <v>288380205.322037</v>
      </c>
      <c r="AP29" s="61" t="n">
        <f aca="false">CashFlow!AO113</f>
        <v>290603361.165781</v>
      </c>
      <c r="AQ29" s="61" t="n">
        <f aca="false">CashFlow!AP113</f>
        <v>292843190.678352</v>
      </c>
      <c r="AR29" s="61" t="n">
        <f aca="false">CashFlow!AQ113</f>
        <v>295099818.912268</v>
      </c>
      <c r="AS29" s="61" t="n">
        <f aca="false">CashFlow!AR113</f>
        <v>296971343.165751</v>
      </c>
      <c r="AT29" s="61" t="n">
        <f aca="false">CashFlow!AS113</f>
        <v>299261947.758514</v>
      </c>
      <c r="AU29" s="61" t="n">
        <f aca="false">CashFlow!AT113</f>
        <v>301569731.885722</v>
      </c>
      <c r="AV29" s="61" t="n">
        <f aca="false">CashFlow!AU113</f>
        <v>303894824.393884</v>
      </c>
      <c r="AW29" s="61" t="n">
        <f aca="false">CashFlow!AV113</f>
        <v>306237355.095858</v>
      </c>
      <c r="AX29" s="61" t="n">
        <f aca="false">CashFlow!AW113</f>
        <v>308175324.6513</v>
      </c>
      <c r="AY29" s="61" t="n">
        <f aca="false">CashFlow!AX113</f>
        <v>310553125.081155</v>
      </c>
      <c r="AZ29" s="61" t="n">
        <f aca="false">CashFlow!AY113</f>
        <v>312948759.014234</v>
      </c>
      <c r="BA29" s="61" t="n">
        <f aca="false">CashFlow!AZ113</f>
        <v>315362360.201811</v>
      </c>
      <c r="BB29" s="61" t="n">
        <f aca="false">CashFlow!BA113</f>
        <v>317794063.398296</v>
      </c>
    </row>
    <row r="31" customFormat="false" ht="15" hidden="false" customHeight="true" outlineLevel="0" collapsed="false">
      <c r="A31" s="58" t="s">
        <v>560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</row>
    <row r="32" customFormat="false" ht="15" hidden="false" customHeight="true" outlineLevel="0" collapsed="false">
      <c r="C32" s="69" t="s">
        <v>262</v>
      </c>
      <c r="D32" s="69" t="s">
        <v>60</v>
      </c>
      <c r="E32" s="70" t="n">
        <f aca="false">E$25</f>
        <v>2026</v>
      </c>
      <c r="F32" s="70" t="n">
        <f aca="false">F$25</f>
        <v>2027</v>
      </c>
      <c r="G32" s="70" t="n">
        <f aca="false">G$25</f>
        <v>2028</v>
      </c>
      <c r="H32" s="70" t="n">
        <f aca="false">H$25</f>
        <v>2029</v>
      </c>
      <c r="I32" s="70" t="n">
        <f aca="false">I$25</f>
        <v>2030</v>
      </c>
      <c r="J32" s="70" t="n">
        <f aca="false">J$25</f>
        <v>2031</v>
      </c>
      <c r="K32" s="70" t="n">
        <f aca="false">K$25</f>
        <v>2032</v>
      </c>
      <c r="L32" s="70" t="n">
        <f aca="false">L$25</f>
        <v>2033</v>
      </c>
      <c r="M32" s="70" t="n">
        <f aca="false">M$25</f>
        <v>2034</v>
      </c>
      <c r="N32" s="70" t="n">
        <f aca="false">N$25</f>
        <v>2035</v>
      </c>
      <c r="O32" s="70" t="n">
        <f aca="false">O$25</f>
        <v>2036</v>
      </c>
      <c r="P32" s="70" t="n">
        <f aca="false">P$25</f>
        <v>2037</v>
      </c>
      <c r="Q32" s="70" t="n">
        <f aca="false">Q$25</f>
        <v>2038</v>
      </c>
      <c r="R32" s="70" t="n">
        <f aca="false">R$25</f>
        <v>2039</v>
      </c>
      <c r="S32" s="70" t="n">
        <f aca="false">S$25</f>
        <v>2040</v>
      </c>
      <c r="T32" s="70" t="n">
        <f aca="false">T$25</f>
        <v>2041</v>
      </c>
      <c r="U32" s="70" t="n">
        <f aca="false">U$25</f>
        <v>2042</v>
      </c>
      <c r="V32" s="70" t="n">
        <f aca="false">V$25</f>
        <v>2043</v>
      </c>
      <c r="W32" s="70" t="n">
        <f aca="false">W$25</f>
        <v>2044</v>
      </c>
      <c r="X32" s="70" t="n">
        <f aca="false">X$25</f>
        <v>2045</v>
      </c>
      <c r="Y32" s="70" t="n">
        <f aca="false">Y$25</f>
        <v>2046</v>
      </c>
      <c r="Z32" s="70" t="n">
        <f aca="false">Z$25</f>
        <v>2047</v>
      </c>
      <c r="AA32" s="70" t="n">
        <f aca="false">AA$25</f>
        <v>2048</v>
      </c>
      <c r="AB32" s="70" t="n">
        <f aca="false">AB$25</f>
        <v>2049</v>
      </c>
      <c r="AC32" s="70" t="n">
        <f aca="false">AC$25</f>
        <v>2050</v>
      </c>
      <c r="AD32" s="70" t="n">
        <f aca="false">AD$25</f>
        <v>2051</v>
      </c>
      <c r="AE32" s="70" t="n">
        <f aca="false">AE$25</f>
        <v>2052</v>
      </c>
      <c r="AF32" s="70" t="n">
        <f aca="false">AF$25</f>
        <v>2053</v>
      </c>
      <c r="AG32" s="70" t="n">
        <f aca="false">AG$25</f>
        <v>2054</v>
      </c>
      <c r="AH32" s="70" t="n">
        <f aca="false">AH$25</f>
        <v>2055</v>
      </c>
      <c r="AI32" s="70" t="n">
        <f aca="false">AI$25</f>
        <v>2056</v>
      </c>
      <c r="AJ32" s="70" t="n">
        <f aca="false">AJ$25</f>
        <v>2057</v>
      </c>
      <c r="AK32" s="70" t="n">
        <f aca="false">AK$25</f>
        <v>2058</v>
      </c>
      <c r="AL32" s="70" t="n">
        <f aca="false">AL$25</f>
        <v>2059</v>
      </c>
      <c r="AM32" s="70" t="n">
        <f aca="false">AM$25</f>
        <v>2060</v>
      </c>
      <c r="AN32" s="70" t="n">
        <f aca="false">AN$25</f>
        <v>2061</v>
      </c>
      <c r="AO32" s="70" t="n">
        <f aca="false">AO$25</f>
        <v>2062</v>
      </c>
      <c r="AP32" s="70" t="n">
        <f aca="false">AP$25</f>
        <v>2063</v>
      </c>
      <c r="AQ32" s="70" t="n">
        <f aca="false">AQ$25</f>
        <v>2064</v>
      </c>
      <c r="AR32" s="70" t="n">
        <f aca="false">AR$25</f>
        <v>2065</v>
      </c>
      <c r="AS32" s="70" t="n">
        <f aca="false">AS$25</f>
        <v>2066</v>
      </c>
      <c r="AT32" s="70" t="n">
        <f aca="false">AT$25</f>
        <v>2067</v>
      </c>
      <c r="AU32" s="70" t="n">
        <f aca="false">AU$25</f>
        <v>2068</v>
      </c>
      <c r="AV32" s="70" t="n">
        <f aca="false">AV$25</f>
        <v>2069</v>
      </c>
      <c r="AW32" s="70" t="n">
        <f aca="false">AW$25</f>
        <v>2070</v>
      </c>
      <c r="AX32" s="70" t="n">
        <f aca="false">AX$25</f>
        <v>2071</v>
      </c>
      <c r="AY32" s="70" t="n">
        <f aca="false">AY$25</f>
        <v>2072</v>
      </c>
      <c r="AZ32" s="70" t="n">
        <f aca="false">AZ$25</f>
        <v>2073</v>
      </c>
      <c r="BA32" s="70" t="n">
        <f aca="false">BA$25</f>
        <v>2074</v>
      </c>
      <c r="BB32" s="70" t="n">
        <f aca="false">BB$25</f>
        <v>2075</v>
      </c>
    </row>
    <row r="33" customFormat="false" ht="15" hidden="false" customHeight="true" outlineLevel="0" collapsed="false">
      <c r="B33" s="59" t="s">
        <v>561</v>
      </c>
      <c r="C33" s="59" t="s">
        <v>11</v>
      </c>
      <c r="D33" s="63" t="n">
        <f aca="false">SUM(E33:BB33)</f>
        <v>1155438729.0565</v>
      </c>
      <c r="E33" s="61" t="n">
        <f aca="false">'Fund_ZAN 1'!E57+'Fund_ZAN 2'!E57+'Fund_ZAN 3'!E57+'Fund_ZAN 4'!E57+'Fund_ZAN 5'!E57+'Fund_ZAN 6'!E57</f>
        <v>0</v>
      </c>
      <c r="F33" s="61" t="n">
        <f aca="false">'Fund_ZAN 1'!F57+'Fund_ZAN 2'!F57+'Fund_ZAN 3'!F57+'Fund_ZAN 4'!F57+'Fund_ZAN 5'!F57+'Fund_ZAN 6'!F57</f>
        <v>0</v>
      </c>
      <c r="G33" s="61" t="n">
        <f aca="false">'Fund_ZAN 1'!G57+'Fund_ZAN 2'!G57+'Fund_ZAN 3'!G57+'Fund_ZAN 4'!G57+'Fund_ZAN 5'!G57+'Fund_ZAN 6'!G57</f>
        <v>101982724.65902</v>
      </c>
      <c r="H33" s="61" t="n">
        <f aca="false">'Fund_ZAN 1'!H57+'Fund_ZAN 2'!H57+'Fund_ZAN 3'!H57+'Fund_ZAN 4'!H57+'Fund_ZAN 5'!H57+'Fund_ZAN 6'!H57</f>
        <v>241594811.150151</v>
      </c>
      <c r="I33" s="61" t="n">
        <f aca="false">'Fund_ZAN 1'!I57+'Fund_ZAN 2'!I57+'Fund_ZAN 3'!I57+'Fund_ZAN 4'!I57+'Fund_ZAN 5'!I57+'Fund_ZAN 6'!I57</f>
        <v>499769262.862711</v>
      </c>
      <c r="J33" s="61" t="n">
        <f aca="false">'Fund_ZAN 1'!J57+'Fund_ZAN 2'!J57+'Fund_ZAN 3'!J57+'Fund_ZAN 4'!J57+'Fund_ZAN 5'!J57+'Fund_ZAN 6'!J57</f>
        <v>225031025.441408</v>
      </c>
      <c r="K33" s="61" t="n">
        <f aca="false">'Fund_ZAN 1'!K57+'Fund_ZAN 2'!K57+'Fund_ZAN 3'!K57+'Fund_ZAN 4'!K57+'Fund_ZAN 5'!K57+'Fund_ZAN 6'!K57</f>
        <v>87060904.9432105</v>
      </c>
      <c r="L33" s="61" t="n">
        <f aca="false">'Fund_ZAN 1'!L57+'Fund_ZAN 2'!L57+'Fund_ZAN 3'!L57+'Fund_ZAN 4'!L57+'Fund_ZAN 5'!L57+'Fund_ZAN 6'!L57</f>
        <v>0</v>
      </c>
      <c r="M33" s="61" t="n">
        <f aca="false">'Fund_ZAN 1'!M57+'Fund_ZAN 2'!M57+'Fund_ZAN 3'!M57+'Fund_ZAN 4'!M57+'Fund_ZAN 5'!M57+'Fund_ZAN 6'!M57</f>
        <v>0</v>
      </c>
      <c r="N33" s="61" t="n">
        <f aca="false">'Fund_ZAN 1'!N57+'Fund_ZAN 2'!N57+'Fund_ZAN 3'!N57+'Fund_ZAN 4'!N57+'Fund_ZAN 5'!N57+'Fund_ZAN 6'!N57</f>
        <v>0</v>
      </c>
      <c r="O33" s="61" t="n">
        <f aca="false">'Fund_ZAN 1'!O57+'Fund_ZAN 2'!O57+'Fund_ZAN 3'!O57+'Fund_ZAN 4'!O57+'Fund_ZAN 5'!O57+'Fund_ZAN 6'!O57</f>
        <v>0</v>
      </c>
      <c r="P33" s="61" t="n">
        <f aca="false">'Fund_ZAN 1'!P57+'Fund_ZAN 2'!P57+'Fund_ZAN 3'!P57+'Fund_ZAN 4'!P57+'Fund_ZAN 5'!P57+'Fund_ZAN 6'!P57</f>
        <v>0</v>
      </c>
      <c r="Q33" s="61" t="n">
        <f aca="false">'Fund_ZAN 1'!Q57+'Fund_ZAN 2'!Q57+'Fund_ZAN 3'!Q57+'Fund_ZAN 4'!Q57+'Fund_ZAN 5'!Q57+'Fund_ZAN 6'!Q57</f>
        <v>0</v>
      </c>
      <c r="R33" s="61" t="n">
        <f aca="false">'Fund_ZAN 1'!R57+'Fund_ZAN 2'!R57+'Fund_ZAN 3'!R57+'Fund_ZAN 4'!R57+'Fund_ZAN 5'!R57+'Fund_ZAN 6'!R57</f>
        <v>0</v>
      </c>
      <c r="S33" s="61" t="n">
        <f aca="false">'Fund_ZAN 1'!S57+'Fund_ZAN 2'!S57+'Fund_ZAN 3'!S57+'Fund_ZAN 4'!S57+'Fund_ZAN 5'!S57+'Fund_ZAN 6'!S57</f>
        <v>0</v>
      </c>
      <c r="T33" s="61" t="n">
        <f aca="false">'Fund_ZAN 1'!T57+'Fund_ZAN 2'!T57+'Fund_ZAN 3'!T57+'Fund_ZAN 4'!T57+'Fund_ZAN 5'!T57+'Fund_ZAN 6'!T57</f>
        <v>0</v>
      </c>
      <c r="U33" s="61" t="n">
        <f aca="false">'Fund_ZAN 1'!U57+'Fund_ZAN 2'!U57+'Fund_ZAN 3'!U57+'Fund_ZAN 4'!U57+'Fund_ZAN 5'!U57+'Fund_ZAN 6'!U57</f>
        <v>0</v>
      </c>
      <c r="V33" s="61" t="n">
        <f aca="false">'Fund_ZAN 1'!V57+'Fund_ZAN 2'!V57+'Fund_ZAN 3'!V57+'Fund_ZAN 4'!V57+'Fund_ZAN 5'!V57+'Fund_ZAN 6'!V57</f>
        <v>0</v>
      </c>
      <c r="W33" s="61" t="n">
        <f aca="false">'Fund_ZAN 1'!W57+'Fund_ZAN 2'!W57+'Fund_ZAN 3'!W57+'Fund_ZAN 4'!W57+'Fund_ZAN 5'!W57+'Fund_ZAN 6'!W57</f>
        <v>0</v>
      </c>
      <c r="X33" s="61" t="n">
        <f aca="false">'Fund_ZAN 1'!X57+'Fund_ZAN 2'!X57+'Fund_ZAN 3'!X57+'Fund_ZAN 4'!X57+'Fund_ZAN 5'!X57+'Fund_ZAN 6'!X57</f>
        <v>0</v>
      </c>
      <c r="Y33" s="61" t="n">
        <f aca="false">'Fund_ZAN 1'!Y57+'Fund_ZAN 2'!Y57+'Fund_ZAN 3'!Y57+'Fund_ZAN 4'!Y57+'Fund_ZAN 5'!Y57+'Fund_ZAN 6'!Y57</f>
        <v>0</v>
      </c>
      <c r="Z33" s="61" t="n">
        <f aca="false">'Fund_ZAN 1'!Z57+'Fund_ZAN 2'!Z57+'Fund_ZAN 3'!Z57+'Fund_ZAN 4'!Z57+'Fund_ZAN 5'!Z57+'Fund_ZAN 6'!Z57</f>
        <v>0</v>
      </c>
      <c r="AA33" s="61" t="n">
        <f aca="false">'Fund_ZAN 1'!AA57+'Fund_ZAN 2'!AA57+'Fund_ZAN 3'!AA57+'Fund_ZAN 4'!AA57+'Fund_ZAN 5'!AA57+'Fund_ZAN 6'!AA57</f>
        <v>0</v>
      </c>
      <c r="AB33" s="61" t="n">
        <f aca="false">'Fund_ZAN 1'!AB57+'Fund_ZAN 2'!AB57+'Fund_ZAN 3'!AB57+'Fund_ZAN 4'!AB57+'Fund_ZAN 5'!AB57+'Fund_ZAN 6'!AB57</f>
        <v>0</v>
      </c>
      <c r="AC33" s="61" t="n">
        <f aca="false">'Fund_ZAN 1'!AC57+'Fund_ZAN 2'!AC57+'Fund_ZAN 3'!AC57+'Fund_ZAN 4'!AC57+'Fund_ZAN 5'!AC57+'Fund_ZAN 6'!AC57</f>
        <v>0</v>
      </c>
      <c r="AD33" s="61" t="n">
        <f aca="false">'Fund_ZAN 1'!AD57+'Fund_ZAN 2'!AD57+'Fund_ZAN 3'!AD57+'Fund_ZAN 4'!AD57+'Fund_ZAN 5'!AD57+'Fund_ZAN 6'!AD57</f>
        <v>0</v>
      </c>
      <c r="AE33" s="61" t="n">
        <f aca="false">'Fund_ZAN 1'!AE57+'Fund_ZAN 2'!AE57+'Fund_ZAN 3'!AE57+'Fund_ZAN 4'!AE57+'Fund_ZAN 5'!AE57+'Fund_ZAN 6'!AE57</f>
        <v>0</v>
      </c>
      <c r="AF33" s="61" t="n">
        <f aca="false">'Fund_ZAN 1'!AF57+'Fund_ZAN 2'!AF57+'Fund_ZAN 3'!AF57+'Fund_ZAN 4'!AF57+'Fund_ZAN 5'!AF57+'Fund_ZAN 6'!AF57</f>
        <v>0</v>
      </c>
      <c r="AG33" s="61" t="n">
        <f aca="false">'Fund_ZAN 1'!AG57+'Fund_ZAN 2'!AG57+'Fund_ZAN 3'!AG57+'Fund_ZAN 4'!AG57+'Fund_ZAN 5'!AG57+'Fund_ZAN 6'!AG57</f>
        <v>0</v>
      </c>
      <c r="AH33" s="61" t="n">
        <f aca="false">'Fund_ZAN 1'!AH57+'Fund_ZAN 2'!AH57+'Fund_ZAN 3'!AH57+'Fund_ZAN 4'!AH57+'Fund_ZAN 5'!AH57+'Fund_ZAN 6'!AH57</f>
        <v>0</v>
      </c>
      <c r="AI33" s="61" t="n">
        <f aca="false">'Fund_ZAN 1'!AI57+'Fund_ZAN 2'!AI57+'Fund_ZAN 3'!AI57+'Fund_ZAN 4'!AI57+'Fund_ZAN 5'!AI57+'Fund_ZAN 6'!AI57</f>
        <v>0</v>
      </c>
      <c r="AJ33" s="61" t="n">
        <f aca="false">'Fund_ZAN 1'!AJ57+'Fund_ZAN 2'!AJ57+'Fund_ZAN 3'!AJ57+'Fund_ZAN 4'!AJ57+'Fund_ZAN 5'!AJ57+'Fund_ZAN 6'!AJ57</f>
        <v>0</v>
      </c>
      <c r="AK33" s="61" t="n">
        <f aca="false">'Fund_ZAN 1'!AK57+'Fund_ZAN 2'!AK57+'Fund_ZAN 3'!AK57+'Fund_ZAN 4'!AK57+'Fund_ZAN 5'!AK57+'Fund_ZAN 6'!AK57</f>
        <v>0</v>
      </c>
      <c r="AL33" s="61" t="n">
        <f aca="false">'Fund_ZAN 1'!AL57+'Fund_ZAN 2'!AL57+'Fund_ZAN 3'!AL57+'Fund_ZAN 4'!AL57+'Fund_ZAN 5'!AL57+'Fund_ZAN 6'!AL57</f>
        <v>0</v>
      </c>
      <c r="AM33" s="61" t="n">
        <f aca="false">'Fund_ZAN 1'!AM57+'Fund_ZAN 2'!AM57+'Fund_ZAN 3'!AM57+'Fund_ZAN 4'!AM57+'Fund_ZAN 5'!AM57+'Fund_ZAN 6'!AM57</f>
        <v>0</v>
      </c>
      <c r="AN33" s="61" t="n">
        <f aca="false">'Fund_ZAN 1'!AN57+'Fund_ZAN 2'!AN57+'Fund_ZAN 3'!AN57+'Fund_ZAN 4'!AN57+'Fund_ZAN 5'!AN57+'Fund_ZAN 6'!AN57</f>
        <v>0</v>
      </c>
      <c r="AO33" s="61" t="n">
        <f aca="false">'Fund_ZAN 1'!AO57+'Fund_ZAN 2'!AO57+'Fund_ZAN 3'!AO57+'Fund_ZAN 4'!AO57+'Fund_ZAN 5'!AO57+'Fund_ZAN 6'!AO57</f>
        <v>0</v>
      </c>
      <c r="AP33" s="61" t="n">
        <f aca="false">'Fund_ZAN 1'!AP57+'Fund_ZAN 2'!AP57+'Fund_ZAN 3'!AP57+'Fund_ZAN 4'!AP57+'Fund_ZAN 5'!AP57+'Fund_ZAN 6'!AP57</f>
        <v>0</v>
      </c>
      <c r="AQ33" s="61" t="n">
        <f aca="false">'Fund_ZAN 1'!AQ57+'Fund_ZAN 2'!AQ57+'Fund_ZAN 3'!AQ57+'Fund_ZAN 4'!AQ57+'Fund_ZAN 5'!AQ57+'Fund_ZAN 6'!AQ57</f>
        <v>0</v>
      </c>
      <c r="AR33" s="61" t="n">
        <f aca="false">'Fund_ZAN 1'!AR57+'Fund_ZAN 2'!AR57+'Fund_ZAN 3'!AR57+'Fund_ZAN 4'!AR57+'Fund_ZAN 5'!AR57+'Fund_ZAN 6'!AR57</f>
        <v>0</v>
      </c>
      <c r="AS33" s="61" t="n">
        <f aca="false">'Fund_ZAN 1'!AS57+'Fund_ZAN 2'!AS57+'Fund_ZAN 3'!AS57+'Fund_ZAN 4'!AS57+'Fund_ZAN 5'!AS57+'Fund_ZAN 6'!AS57</f>
        <v>0</v>
      </c>
      <c r="AT33" s="61" t="n">
        <f aca="false">'Fund_ZAN 1'!AT57+'Fund_ZAN 2'!AT57+'Fund_ZAN 3'!AT57+'Fund_ZAN 4'!AT57+'Fund_ZAN 5'!AT57+'Fund_ZAN 6'!AT57</f>
        <v>0</v>
      </c>
      <c r="AU33" s="61" t="n">
        <f aca="false">'Fund_ZAN 1'!AU57+'Fund_ZAN 2'!AU57+'Fund_ZAN 3'!AU57+'Fund_ZAN 4'!AU57+'Fund_ZAN 5'!AU57+'Fund_ZAN 6'!AU57</f>
        <v>0</v>
      </c>
      <c r="AV33" s="61" t="n">
        <f aca="false">'Fund_ZAN 1'!AV57+'Fund_ZAN 2'!AV57+'Fund_ZAN 3'!AV57+'Fund_ZAN 4'!AV57+'Fund_ZAN 5'!AV57+'Fund_ZAN 6'!AV57</f>
        <v>0</v>
      </c>
      <c r="AW33" s="61" t="n">
        <f aca="false">'Fund_ZAN 1'!AW57+'Fund_ZAN 2'!AW57+'Fund_ZAN 3'!AW57+'Fund_ZAN 4'!AW57+'Fund_ZAN 5'!AW57+'Fund_ZAN 6'!AW57</f>
        <v>0</v>
      </c>
      <c r="AX33" s="61" t="n">
        <f aca="false">'Fund_ZAN 1'!AX57+'Fund_ZAN 2'!AX57+'Fund_ZAN 3'!AX57+'Fund_ZAN 4'!AX57+'Fund_ZAN 5'!AX57+'Fund_ZAN 6'!AX57</f>
        <v>0</v>
      </c>
      <c r="AY33" s="61" t="n">
        <f aca="false">'Fund_ZAN 1'!AY57+'Fund_ZAN 2'!AY57+'Fund_ZAN 3'!AY57+'Fund_ZAN 4'!AY57+'Fund_ZAN 5'!AY57+'Fund_ZAN 6'!AY57</f>
        <v>0</v>
      </c>
      <c r="AZ33" s="61" t="n">
        <f aca="false">'Fund_ZAN 1'!AZ57+'Fund_ZAN 2'!AZ57+'Fund_ZAN 3'!AZ57+'Fund_ZAN 4'!AZ57+'Fund_ZAN 5'!AZ57+'Fund_ZAN 6'!AZ57</f>
        <v>0</v>
      </c>
      <c r="BA33" s="61" t="n">
        <f aca="false">'Fund_ZAN 1'!BA57+'Fund_ZAN 2'!BA57+'Fund_ZAN 3'!BA57+'Fund_ZAN 4'!BA57+'Fund_ZAN 5'!BA57+'Fund_ZAN 6'!BA57</f>
        <v>0</v>
      </c>
      <c r="BB33" s="61" t="n">
        <f aca="false">'Fund_ZAN 1'!BB57+'Fund_ZAN 2'!BB57+'Fund_ZAN 3'!BB57+'Fund_ZAN 4'!BB57+'Fund_ZAN 5'!BB57+'Fund_ZAN 6'!BB57</f>
        <v>0</v>
      </c>
    </row>
    <row r="34" customFormat="false" ht="15" hidden="false" customHeight="true" outlineLevel="0" collapsed="false">
      <c r="B34" s="59" t="s">
        <v>562</v>
      </c>
      <c r="C34" s="59" t="s">
        <v>11</v>
      </c>
      <c r="D34" s="63" t="n">
        <f aca="false">SUM(E34:BB34)</f>
        <v>-1155438729.0565</v>
      </c>
      <c r="E34" s="61" t="n">
        <f aca="false">'Fund_ZAN 1'!E59+'Fund_ZAN 2'!E59+'Fund_ZAN 3'!E59+'Fund_ZAN 4'!E59+'Fund_ZAN 5'!E59+'Fund_ZAN 6'!E59</f>
        <v>0</v>
      </c>
      <c r="F34" s="61" t="n">
        <f aca="false">'Fund_ZAN 1'!F59+'Fund_ZAN 2'!F59+'Fund_ZAN 3'!F59+'Fund_ZAN 4'!F59+'Fund_ZAN 5'!F59+'Fund_ZAN 6'!F59</f>
        <v>0</v>
      </c>
      <c r="G34" s="61" t="n">
        <f aca="false">'Fund_ZAN 1'!G59+'Fund_ZAN 2'!G59+'Fund_ZAN 3'!G59+'Fund_ZAN 4'!G59+'Fund_ZAN 5'!G59+'Fund_ZAN 6'!G59</f>
        <v>0</v>
      </c>
      <c r="H34" s="61" t="n">
        <f aca="false">'Fund_ZAN 1'!H59+'Fund_ZAN 2'!H59+'Fund_ZAN 3'!H59+'Fund_ZAN 4'!H59+'Fund_ZAN 5'!H59+'Fund_ZAN 6'!H59</f>
        <v>0</v>
      </c>
      <c r="I34" s="61" t="n">
        <f aca="false">'Fund_ZAN 1'!I59+'Fund_ZAN 2'!I59+'Fund_ZAN 3'!I59+'Fund_ZAN 4'!I59+'Fund_ZAN 5'!I59+'Fund_ZAN 6'!I59</f>
        <v>-85464105.900213</v>
      </c>
      <c r="J34" s="61" t="n">
        <f aca="false">'Fund_ZAN 1'!J59+'Fund_ZAN 2'!J59+'Fund_ZAN 3'!J59+'Fund_ZAN 4'!J59+'Fund_ZAN 5'!J59+'Fund_ZAN 6'!J59</f>
        <v>-192653226.437959</v>
      </c>
      <c r="K34" s="61" t="n">
        <f aca="false">'Fund_ZAN 1'!K59+'Fund_ZAN 2'!K59+'Fund_ZAN 3'!K59+'Fund_ZAN 4'!K59+'Fund_ZAN 5'!K59+'Fund_ZAN 6'!K59</f>
        <v>-288859682.264125</v>
      </c>
      <c r="L34" s="61" t="n">
        <f aca="false">'Fund_ZAN 1'!L59+'Fund_ZAN 2'!L59+'Fund_ZAN 3'!L59+'Fund_ZAN 4'!L59+'Fund_ZAN 5'!L59+'Fund_ZAN 6'!L59</f>
        <v>-288859682.264125</v>
      </c>
      <c r="M34" s="61" t="n">
        <f aca="false">'Fund_ZAN 1'!M59+'Fund_ZAN 2'!M59+'Fund_ZAN 3'!M59+'Fund_ZAN 4'!M59+'Fund_ZAN 5'!M59+'Fund_ZAN 6'!M59</f>
        <v>-203395576.363912</v>
      </c>
      <c r="N34" s="61" t="n">
        <f aca="false">'Fund_ZAN 1'!N59+'Fund_ZAN 2'!N59+'Fund_ZAN 3'!N59+'Fund_ZAN 4'!N59+'Fund_ZAN 5'!N59+'Fund_ZAN 6'!N59</f>
        <v>-96206455.8261656</v>
      </c>
      <c r="O34" s="61" t="n">
        <f aca="false">'Fund_ZAN 1'!O59+'Fund_ZAN 2'!O59+'Fund_ZAN 3'!O59+'Fund_ZAN 4'!O59+'Fund_ZAN 5'!O59+'Fund_ZAN 6'!O59</f>
        <v>0</v>
      </c>
      <c r="P34" s="61" t="n">
        <f aca="false">'Fund_ZAN 1'!P59+'Fund_ZAN 2'!P59+'Fund_ZAN 3'!P59+'Fund_ZAN 4'!P59+'Fund_ZAN 5'!P59+'Fund_ZAN 6'!P59</f>
        <v>0</v>
      </c>
      <c r="Q34" s="61" t="n">
        <f aca="false">'Fund_ZAN 1'!Q59+'Fund_ZAN 2'!Q59+'Fund_ZAN 3'!Q59+'Fund_ZAN 4'!Q59+'Fund_ZAN 5'!Q59+'Fund_ZAN 6'!Q59</f>
        <v>0</v>
      </c>
      <c r="R34" s="61" t="n">
        <f aca="false">'Fund_ZAN 1'!R59+'Fund_ZAN 2'!R59+'Fund_ZAN 3'!R59+'Fund_ZAN 4'!R59+'Fund_ZAN 5'!R59+'Fund_ZAN 6'!R59</f>
        <v>0</v>
      </c>
      <c r="S34" s="61" t="n">
        <f aca="false">'Fund_ZAN 1'!S59+'Fund_ZAN 2'!S59+'Fund_ZAN 3'!S59+'Fund_ZAN 4'!S59+'Fund_ZAN 5'!S59+'Fund_ZAN 6'!S59</f>
        <v>0</v>
      </c>
      <c r="T34" s="61" t="n">
        <f aca="false">'Fund_ZAN 1'!T59+'Fund_ZAN 2'!T59+'Fund_ZAN 3'!T59+'Fund_ZAN 4'!T59+'Fund_ZAN 5'!T59+'Fund_ZAN 6'!T59</f>
        <v>0</v>
      </c>
      <c r="U34" s="61" t="n">
        <f aca="false">'Fund_ZAN 1'!U59+'Fund_ZAN 2'!U59+'Fund_ZAN 3'!U59+'Fund_ZAN 4'!U59+'Fund_ZAN 5'!U59+'Fund_ZAN 6'!U59</f>
        <v>0</v>
      </c>
      <c r="V34" s="61" t="n">
        <f aca="false">'Fund_ZAN 1'!V59+'Fund_ZAN 2'!V59+'Fund_ZAN 3'!V59+'Fund_ZAN 4'!V59+'Fund_ZAN 5'!V59+'Fund_ZAN 6'!V59</f>
        <v>0</v>
      </c>
      <c r="W34" s="61" t="n">
        <f aca="false">'Fund_ZAN 1'!W59+'Fund_ZAN 2'!W59+'Fund_ZAN 3'!W59+'Fund_ZAN 4'!W59+'Fund_ZAN 5'!W59+'Fund_ZAN 6'!W59</f>
        <v>0</v>
      </c>
      <c r="X34" s="61" t="n">
        <f aca="false">'Fund_ZAN 1'!X59+'Fund_ZAN 2'!X59+'Fund_ZAN 3'!X59+'Fund_ZAN 4'!X59+'Fund_ZAN 5'!X59+'Fund_ZAN 6'!X59</f>
        <v>0</v>
      </c>
      <c r="Y34" s="61" t="n">
        <f aca="false">'Fund_ZAN 1'!Y59+'Fund_ZAN 2'!Y59+'Fund_ZAN 3'!Y59+'Fund_ZAN 4'!Y59+'Fund_ZAN 5'!Y59+'Fund_ZAN 6'!Y59</f>
        <v>0</v>
      </c>
      <c r="Z34" s="61" t="n">
        <f aca="false">'Fund_ZAN 1'!Z59+'Fund_ZAN 2'!Z59+'Fund_ZAN 3'!Z59+'Fund_ZAN 4'!Z59+'Fund_ZAN 5'!Z59+'Fund_ZAN 6'!Z59</f>
        <v>0</v>
      </c>
      <c r="AA34" s="61" t="n">
        <f aca="false">'Fund_ZAN 1'!AA59+'Fund_ZAN 2'!AA59+'Fund_ZAN 3'!AA59+'Fund_ZAN 4'!AA59+'Fund_ZAN 5'!AA59+'Fund_ZAN 6'!AA59</f>
        <v>0</v>
      </c>
      <c r="AB34" s="61" t="n">
        <f aca="false">'Fund_ZAN 1'!AB59+'Fund_ZAN 2'!AB59+'Fund_ZAN 3'!AB59+'Fund_ZAN 4'!AB59+'Fund_ZAN 5'!AB59+'Fund_ZAN 6'!AB59</f>
        <v>0</v>
      </c>
      <c r="AC34" s="61" t="n">
        <f aca="false">'Fund_ZAN 1'!AC59+'Fund_ZAN 2'!AC59+'Fund_ZAN 3'!AC59+'Fund_ZAN 4'!AC59+'Fund_ZAN 5'!AC59+'Fund_ZAN 6'!AC59</f>
        <v>0</v>
      </c>
      <c r="AD34" s="61" t="n">
        <f aca="false">'Fund_ZAN 1'!AD59+'Fund_ZAN 2'!AD59+'Fund_ZAN 3'!AD59+'Fund_ZAN 4'!AD59+'Fund_ZAN 5'!AD59+'Fund_ZAN 6'!AD59</f>
        <v>0</v>
      </c>
      <c r="AE34" s="61" t="n">
        <f aca="false">'Fund_ZAN 1'!AE59+'Fund_ZAN 2'!AE59+'Fund_ZAN 3'!AE59+'Fund_ZAN 4'!AE59+'Fund_ZAN 5'!AE59+'Fund_ZAN 6'!AE59</f>
        <v>0</v>
      </c>
      <c r="AF34" s="61" t="n">
        <f aca="false">'Fund_ZAN 1'!AF59+'Fund_ZAN 2'!AF59+'Fund_ZAN 3'!AF59+'Fund_ZAN 4'!AF59+'Fund_ZAN 5'!AF59+'Fund_ZAN 6'!AF59</f>
        <v>0</v>
      </c>
      <c r="AG34" s="61" t="n">
        <f aca="false">'Fund_ZAN 1'!AG59+'Fund_ZAN 2'!AG59+'Fund_ZAN 3'!AG59+'Fund_ZAN 4'!AG59+'Fund_ZAN 5'!AG59+'Fund_ZAN 6'!AG59</f>
        <v>0</v>
      </c>
      <c r="AH34" s="61" t="n">
        <f aca="false">'Fund_ZAN 1'!AH59+'Fund_ZAN 2'!AH59+'Fund_ZAN 3'!AH59+'Fund_ZAN 4'!AH59+'Fund_ZAN 5'!AH59+'Fund_ZAN 6'!AH59</f>
        <v>0</v>
      </c>
      <c r="AI34" s="61" t="n">
        <f aca="false">'Fund_ZAN 1'!AI59+'Fund_ZAN 2'!AI59+'Fund_ZAN 3'!AI59+'Fund_ZAN 4'!AI59+'Fund_ZAN 5'!AI59+'Fund_ZAN 6'!AI59</f>
        <v>0</v>
      </c>
      <c r="AJ34" s="61" t="n">
        <f aca="false">'Fund_ZAN 1'!AJ59+'Fund_ZAN 2'!AJ59+'Fund_ZAN 3'!AJ59+'Fund_ZAN 4'!AJ59+'Fund_ZAN 5'!AJ59+'Fund_ZAN 6'!AJ59</f>
        <v>0</v>
      </c>
      <c r="AK34" s="61" t="n">
        <f aca="false">'Fund_ZAN 1'!AK59+'Fund_ZAN 2'!AK59+'Fund_ZAN 3'!AK59+'Fund_ZAN 4'!AK59+'Fund_ZAN 5'!AK59+'Fund_ZAN 6'!AK59</f>
        <v>0</v>
      </c>
      <c r="AL34" s="61" t="n">
        <f aca="false">'Fund_ZAN 1'!AL59+'Fund_ZAN 2'!AL59+'Fund_ZAN 3'!AL59+'Fund_ZAN 4'!AL59+'Fund_ZAN 5'!AL59+'Fund_ZAN 6'!AL59</f>
        <v>0</v>
      </c>
      <c r="AM34" s="61" t="n">
        <f aca="false">'Fund_ZAN 1'!AM59+'Fund_ZAN 2'!AM59+'Fund_ZAN 3'!AM59+'Fund_ZAN 4'!AM59+'Fund_ZAN 5'!AM59+'Fund_ZAN 6'!AM59</f>
        <v>0</v>
      </c>
      <c r="AN34" s="61" t="n">
        <f aca="false">'Fund_ZAN 1'!AN59+'Fund_ZAN 2'!AN59+'Fund_ZAN 3'!AN59+'Fund_ZAN 4'!AN59+'Fund_ZAN 5'!AN59+'Fund_ZAN 6'!AN59</f>
        <v>0</v>
      </c>
      <c r="AO34" s="61" t="n">
        <f aca="false">'Fund_ZAN 1'!AO59+'Fund_ZAN 2'!AO59+'Fund_ZAN 3'!AO59+'Fund_ZAN 4'!AO59+'Fund_ZAN 5'!AO59+'Fund_ZAN 6'!AO59</f>
        <v>0</v>
      </c>
      <c r="AP34" s="61" t="n">
        <f aca="false">'Fund_ZAN 1'!AP59+'Fund_ZAN 2'!AP59+'Fund_ZAN 3'!AP59+'Fund_ZAN 4'!AP59+'Fund_ZAN 5'!AP59+'Fund_ZAN 6'!AP59</f>
        <v>0</v>
      </c>
      <c r="AQ34" s="61" t="n">
        <f aca="false">'Fund_ZAN 1'!AQ59+'Fund_ZAN 2'!AQ59+'Fund_ZAN 3'!AQ59+'Fund_ZAN 4'!AQ59+'Fund_ZAN 5'!AQ59+'Fund_ZAN 6'!AQ59</f>
        <v>0</v>
      </c>
      <c r="AR34" s="61" t="n">
        <f aca="false">'Fund_ZAN 1'!AR59+'Fund_ZAN 2'!AR59+'Fund_ZAN 3'!AR59+'Fund_ZAN 4'!AR59+'Fund_ZAN 5'!AR59+'Fund_ZAN 6'!AR59</f>
        <v>0</v>
      </c>
      <c r="AS34" s="61" t="n">
        <f aca="false">'Fund_ZAN 1'!AS59+'Fund_ZAN 2'!AS59+'Fund_ZAN 3'!AS59+'Fund_ZAN 4'!AS59+'Fund_ZAN 5'!AS59+'Fund_ZAN 6'!AS59</f>
        <v>0</v>
      </c>
      <c r="AT34" s="61" t="n">
        <f aca="false">'Fund_ZAN 1'!AT59+'Fund_ZAN 2'!AT59+'Fund_ZAN 3'!AT59+'Fund_ZAN 4'!AT59+'Fund_ZAN 5'!AT59+'Fund_ZAN 6'!AT59</f>
        <v>0</v>
      </c>
      <c r="AU34" s="61" t="n">
        <f aca="false">'Fund_ZAN 1'!AU59+'Fund_ZAN 2'!AU59+'Fund_ZAN 3'!AU59+'Fund_ZAN 4'!AU59+'Fund_ZAN 5'!AU59+'Fund_ZAN 6'!AU59</f>
        <v>0</v>
      </c>
      <c r="AV34" s="61" t="n">
        <f aca="false">'Fund_ZAN 1'!AV59+'Fund_ZAN 2'!AV59+'Fund_ZAN 3'!AV59+'Fund_ZAN 4'!AV59+'Fund_ZAN 5'!AV59+'Fund_ZAN 6'!AV59</f>
        <v>0</v>
      </c>
      <c r="AW34" s="61" t="n">
        <f aca="false">'Fund_ZAN 1'!AW59+'Fund_ZAN 2'!AW59+'Fund_ZAN 3'!AW59+'Fund_ZAN 4'!AW59+'Fund_ZAN 5'!AW59+'Fund_ZAN 6'!AW59</f>
        <v>0</v>
      </c>
      <c r="AX34" s="61" t="n">
        <f aca="false">'Fund_ZAN 1'!AX59+'Fund_ZAN 2'!AX59+'Fund_ZAN 3'!AX59+'Fund_ZAN 4'!AX59+'Fund_ZAN 5'!AX59+'Fund_ZAN 6'!AX59</f>
        <v>0</v>
      </c>
      <c r="AY34" s="61" t="n">
        <f aca="false">'Fund_ZAN 1'!AY59+'Fund_ZAN 2'!AY59+'Fund_ZAN 3'!AY59+'Fund_ZAN 4'!AY59+'Fund_ZAN 5'!AY59+'Fund_ZAN 6'!AY59</f>
        <v>0</v>
      </c>
      <c r="AZ34" s="61" t="n">
        <f aca="false">'Fund_ZAN 1'!AZ59+'Fund_ZAN 2'!AZ59+'Fund_ZAN 3'!AZ59+'Fund_ZAN 4'!AZ59+'Fund_ZAN 5'!AZ59+'Fund_ZAN 6'!AZ59</f>
        <v>0</v>
      </c>
      <c r="BA34" s="61" t="n">
        <f aca="false">'Fund_ZAN 1'!BA59+'Fund_ZAN 2'!BA59+'Fund_ZAN 3'!BA59+'Fund_ZAN 4'!BA59+'Fund_ZAN 5'!BA59+'Fund_ZAN 6'!BA59</f>
        <v>0</v>
      </c>
      <c r="BB34" s="61" t="n">
        <f aca="false">'Fund_ZAN 1'!BB59+'Fund_ZAN 2'!BB59+'Fund_ZAN 3'!BB59+'Fund_ZAN 4'!BB59+'Fund_ZAN 5'!BB59+'Fund_ZAN 6'!BB59</f>
        <v>0</v>
      </c>
    </row>
    <row r="35" customFormat="false" ht="15" hidden="false" customHeight="true" outlineLevel="0" collapsed="false">
      <c r="B35" s="59" t="s">
        <v>563</v>
      </c>
      <c r="C35" s="59" t="s">
        <v>11</v>
      </c>
      <c r="D35" s="63" t="n">
        <f aca="false">SUM(E35:BB35)</f>
        <v>-199345480.731835</v>
      </c>
      <c r="E35" s="61" t="n">
        <f aca="false">'Fund_ZAN 1'!E61+'Fund_ZAN 2'!E61+'Fund_ZAN 3'!E61+'Fund_ZAN 4'!E61+'Fund_ZAN 5'!E61+'Fund_ZAN 6'!E61</f>
        <v>0</v>
      </c>
      <c r="F35" s="61" t="n">
        <f aca="false">'Fund_ZAN 1'!F61+'Fund_ZAN 2'!F61+'Fund_ZAN 3'!F61+'Fund_ZAN 4'!F61+'Fund_ZAN 5'!F61+'Fund_ZAN 6'!F61</f>
        <v>0</v>
      </c>
      <c r="G35" s="61" t="n">
        <f aca="false">'Fund_ZAN 1'!G61+'Fund_ZAN 2'!G61+'Fund_ZAN 3'!G61+'Fund_ZAN 4'!G61+'Fund_ZAN 5'!G61+'Fund_ZAN 6'!G61</f>
        <v>-3824352.17471323</v>
      </c>
      <c r="H35" s="61" t="n">
        <f aca="false">'Fund_ZAN 1'!H61+'Fund_ZAN 2'!H61+'Fund_ZAN 3'!H61+'Fund_ZAN 4'!H61+'Fund_ZAN 5'!H61+'Fund_ZAN 6'!H61</f>
        <v>-15688682.5209669</v>
      </c>
      <c r="I35" s="61" t="n">
        <f aca="false">'Fund_ZAN 1'!I61+'Fund_ZAN 2'!I61+'Fund_ZAN 3'!I61+'Fund_ZAN 4'!I61+'Fund_ZAN 5'!I61+'Fund_ZAN 6'!I61</f>
        <v>-38296303.7431908</v>
      </c>
      <c r="J35" s="61" t="n">
        <f aca="false">'Fund_ZAN 1'!J61+'Fund_ZAN 2'!J61+'Fund_ZAN 3'!J61+'Fund_ZAN 4'!J61+'Fund_ZAN 5'!J61+'Fund_ZAN 6'!J61</f>
        <v>-51439808.6249776</v>
      </c>
      <c r="K35" s="61" t="n">
        <f aca="false">'Fund_ZAN 1'!K61+'Fund_ZAN 2'!K61+'Fund_ZAN 3'!K61+'Fund_ZAN 4'!K61+'Fund_ZAN 5'!K61+'Fund_ZAN 6'!K61</f>
        <v>-45243776.227169</v>
      </c>
      <c r="L35" s="61" t="n">
        <f aca="false">'Fund_ZAN 1'!L61+'Fund_ZAN 2'!L61+'Fund_ZAN 3'!L61+'Fund_ZAN 4'!L61+'Fund_ZAN 5'!L61+'Fund_ZAN 6'!L61</f>
        <v>-28862071.7659391</v>
      </c>
      <c r="M35" s="61" t="n">
        <f aca="false">'Fund_ZAN 1'!M61+'Fund_ZAN 2'!M61+'Fund_ZAN 3'!M61+'Fund_ZAN 4'!M61+'Fund_ZAN 5'!M61+'Fund_ZAN 6'!M61</f>
        <v>-12863775.8605279</v>
      </c>
      <c r="N35" s="61" t="n">
        <f aca="false">'Fund_ZAN 1'!N61+'Fund_ZAN 2'!N61+'Fund_ZAN 3'!N61+'Fund_ZAN 4'!N61+'Fund_ZAN 5'!N61+'Fund_ZAN 6'!N61</f>
        <v>-3126709.81435038</v>
      </c>
      <c r="O35" s="61" t="n">
        <f aca="false">'Fund_ZAN 1'!O61+'Fund_ZAN 2'!O61+'Fund_ZAN 3'!O61+'Fund_ZAN 4'!O61+'Fund_ZAN 5'!O61+'Fund_ZAN 6'!O61</f>
        <v>0</v>
      </c>
      <c r="P35" s="61" t="n">
        <f aca="false">'Fund_ZAN 1'!P61+'Fund_ZAN 2'!P61+'Fund_ZAN 3'!P61+'Fund_ZAN 4'!P61+'Fund_ZAN 5'!P61+'Fund_ZAN 6'!P61</f>
        <v>0</v>
      </c>
      <c r="Q35" s="61" t="n">
        <f aca="false">'Fund_ZAN 1'!Q61+'Fund_ZAN 2'!Q61+'Fund_ZAN 3'!Q61+'Fund_ZAN 4'!Q61+'Fund_ZAN 5'!Q61+'Fund_ZAN 6'!Q61</f>
        <v>0</v>
      </c>
      <c r="R35" s="61" t="n">
        <f aca="false">'Fund_ZAN 1'!R61+'Fund_ZAN 2'!R61+'Fund_ZAN 3'!R61+'Fund_ZAN 4'!R61+'Fund_ZAN 5'!R61+'Fund_ZAN 6'!R61</f>
        <v>0</v>
      </c>
      <c r="S35" s="61" t="n">
        <f aca="false">'Fund_ZAN 1'!S61+'Fund_ZAN 2'!S61+'Fund_ZAN 3'!S61+'Fund_ZAN 4'!S61+'Fund_ZAN 5'!S61+'Fund_ZAN 6'!S61</f>
        <v>0</v>
      </c>
      <c r="T35" s="61" t="n">
        <f aca="false">'Fund_ZAN 1'!T61+'Fund_ZAN 2'!T61+'Fund_ZAN 3'!T61+'Fund_ZAN 4'!T61+'Fund_ZAN 5'!T61+'Fund_ZAN 6'!T61</f>
        <v>0</v>
      </c>
      <c r="U35" s="61" t="n">
        <f aca="false">'Fund_ZAN 1'!U61+'Fund_ZAN 2'!U61+'Fund_ZAN 3'!U61+'Fund_ZAN 4'!U61+'Fund_ZAN 5'!U61+'Fund_ZAN 6'!U61</f>
        <v>0</v>
      </c>
      <c r="V35" s="61" t="n">
        <f aca="false">'Fund_ZAN 1'!V61+'Fund_ZAN 2'!V61+'Fund_ZAN 3'!V61+'Fund_ZAN 4'!V61+'Fund_ZAN 5'!V61+'Fund_ZAN 6'!V61</f>
        <v>0</v>
      </c>
      <c r="W35" s="61" t="n">
        <f aca="false">'Fund_ZAN 1'!W61+'Fund_ZAN 2'!W61+'Fund_ZAN 3'!W61+'Fund_ZAN 4'!W61+'Fund_ZAN 5'!W61+'Fund_ZAN 6'!W61</f>
        <v>0</v>
      </c>
      <c r="X35" s="61" t="n">
        <f aca="false">'Fund_ZAN 1'!X61+'Fund_ZAN 2'!X61+'Fund_ZAN 3'!X61+'Fund_ZAN 4'!X61+'Fund_ZAN 5'!X61+'Fund_ZAN 6'!X61</f>
        <v>0</v>
      </c>
      <c r="Y35" s="61" t="n">
        <f aca="false">'Fund_ZAN 1'!Y61+'Fund_ZAN 2'!Y61+'Fund_ZAN 3'!Y61+'Fund_ZAN 4'!Y61+'Fund_ZAN 5'!Y61+'Fund_ZAN 6'!Y61</f>
        <v>0</v>
      </c>
      <c r="Z35" s="61" t="n">
        <f aca="false">'Fund_ZAN 1'!Z61+'Fund_ZAN 2'!Z61+'Fund_ZAN 3'!Z61+'Fund_ZAN 4'!Z61+'Fund_ZAN 5'!Z61+'Fund_ZAN 6'!Z61</f>
        <v>0</v>
      </c>
      <c r="AA35" s="61" t="n">
        <f aca="false">'Fund_ZAN 1'!AA61+'Fund_ZAN 2'!AA61+'Fund_ZAN 3'!AA61+'Fund_ZAN 4'!AA61+'Fund_ZAN 5'!AA61+'Fund_ZAN 6'!AA61</f>
        <v>0</v>
      </c>
      <c r="AB35" s="61" t="n">
        <f aca="false">'Fund_ZAN 1'!AB61+'Fund_ZAN 2'!AB61+'Fund_ZAN 3'!AB61+'Fund_ZAN 4'!AB61+'Fund_ZAN 5'!AB61+'Fund_ZAN 6'!AB61</f>
        <v>0</v>
      </c>
      <c r="AC35" s="61" t="n">
        <f aca="false">'Fund_ZAN 1'!AC61+'Fund_ZAN 2'!AC61+'Fund_ZAN 3'!AC61+'Fund_ZAN 4'!AC61+'Fund_ZAN 5'!AC61+'Fund_ZAN 6'!AC61</f>
        <v>0</v>
      </c>
      <c r="AD35" s="61" t="n">
        <f aca="false">'Fund_ZAN 1'!AD61+'Fund_ZAN 2'!AD61+'Fund_ZAN 3'!AD61+'Fund_ZAN 4'!AD61+'Fund_ZAN 5'!AD61+'Fund_ZAN 6'!AD61</f>
        <v>0</v>
      </c>
      <c r="AE35" s="61" t="n">
        <f aca="false">'Fund_ZAN 1'!AE61+'Fund_ZAN 2'!AE61+'Fund_ZAN 3'!AE61+'Fund_ZAN 4'!AE61+'Fund_ZAN 5'!AE61+'Fund_ZAN 6'!AE61</f>
        <v>0</v>
      </c>
      <c r="AF35" s="61" t="n">
        <f aca="false">'Fund_ZAN 1'!AF61+'Fund_ZAN 2'!AF61+'Fund_ZAN 3'!AF61+'Fund_ZAN 4'!AF61+'Fund_ZAN 5'!AF61+'Fund_ZAN 6'!AF61</f>
        <v>0</v>
      </c>
      <c r="AG35" s="61" t="n">
        <f aca="false">'Fund_ZAN 1'!AG61+'Fund_ZAN 2'!AG61+'Fund_ZAN 3'!AG61+'Fund_ZAN 4'!AG61+'Fund_ZAN 5'!AG61+'Fund_ZAN 6'!AG61</f>
        <v>0</v>
      </c>
      <c r="AH35" s="61" t="n">
        <f aca="false">'Fund_ZAN 1'!AH61+'Fund_ZAN 2'!AH61+'Fund_ZAN 3'!AH61+'Fund_ZAN 4'!AH61+'Fund_ZAN 5'!AH61+'Fund_ZAN 6'!AH61</f>
        <v>0</v>
      </c>
      <c r="AI35" s="61" t="n">
        <f aca="false">'Fund_ZAN 1'!AI61+'Fund_ZAN 2'!AI61+'Fund_ZAN 3'!AI61+'Fund_ZAN 4'!AI61+'Fund_ZAN 5'!AI61+'Fund_ZAN 6'!AI61</f>
        <v>0</v>
      </c>
      <c r="AJ35" s="61" t="n">
        <f aca="false">'Fund_ZAN 1'!AJ61+'Fund_ZAN 2'!AJ61+'Fund_ZAN 3'!AJ61+'Fund_ZAN 4'!AJ61+'Fund_ZAN 5'!AJ61+'Fund_ZAN 6'!AJ61</f>
        <v>0</v>
      </c>
      <c r="AK35" s="61" t="n">
        <f aca="false">'Fund_ZAN 1'!AK61+'Fund_ZAN 2'!AK61+'Fund_ZAN 3'!AK61+'Fund_ZAN 4'!AK61+'Fund_ZAN 5'!AK61+'Fund_ZAN 6'!AK61</f>
        <v>0</v>
      </c>
      <c r="AL35" s="61" t="n">
        <f aca="false">'Fund_ZAN 1'!AL61+'Fund_ZAN 2'!AL61+'Fund_ZAN 3'!AL61+'Fund_ZAN 4'!AL61+'Fund_ZAN 5'!AL61+'Fund_ZAN 6'!AL61</f>
        <v>0</v>
      </c>
      <c r="AM35" s="61" t="n">
        <f aca="false">'Fund_ZAN 1'!AM61+'Fund_ZAN 2'!AM61+'Fund_ZAN 3'!AM61+'Fund_ZAN 4'!AM61+'Fund_ZAN 5'!AM61+'Fund_ZAN 6'!AM61</f>
        <v>0</v>
      </c>
      <c r="AN35" s="61" t="n">
        <f aca="false">'Fund_ZAN 1'!AN61+'Fund_ZAN 2'!AN61+'Fund_ZAN 3'!AN61+'Fund_ZAN 4'!AN61+'Fund_ZAN 5'!AN61+'Fund_ZAN 6'!AN61</f>
        <v>0</v>
      </c>
      <c r="AO35" s="61" t="n">
        <f aca="false">'Fund_ZAN 1'!AO61+'Fund_ZAN 2'!AO61+'Fund_ZAN 3'!AO61+'Fund_ZAN 4'!AO61+'Fund_ZAN 5'!AO61+'Fund_ZAN 6'!AO61</f>
        <v>0</v>
      </c>
      <c r="AP35" s="61" t="n">
        <f aca="false">'Fund_ZAN 1'!AP61+'Fund_ZAN 2'!AP61+'Fund_ZAN 3'!AP61+'Fund_ZAN 4'!AP61+'Fund_ZAN 5'!AP61+'Fund_ZAN 6'!AP61</f>
        <v>0</v>
      </c>
      <c r="AQ35" s="61" t="n">
        <f aca="false">'Fund_ZAN 1'!AQ61+'Fund_ZAN 2'!AQ61+'Fund_ZAN 3'!AQ61+'Fund_ZAN 4'!AQ61+'Fund_ZAN 5'!AQ61+'Fund_ZAN 6'!AQ61</f>
        <v>0</v>
      </c>
      <c r="AR35" s="61" t="n">
        <f aca="false">'Fund_ZAN 1'!AR61+'Fund_ZAN 2'!AR61+'Fund_ZAN 3'!AR61+'Fund_ZAN 4'!AR61+'Fund_ZAN 5'!AR61+'Fund_ZAN 6'!AR61</f>
        <v>0</v>
      </c>
      <c r="AS35" s="61" t="n">
        <f aca="false">'Fund_ZAN 1'!AS61+'Fund_ZAN 2'!AS61+'Fund_ZAN 3'!AS61+'Fund_ZAN 4'!AS61+'Fund_ZAN 5'!AS61+'Fund_ZAN 6'!AS61</f>
        <v>0</v>
      </c>
      <c r="AT35" s="61" t="n">
        <f aca="false">'Fund_ZAN 1'!AT61+'Fund_ZAN 2'!AT61+'Fund_ZAN 3'!AT61+'Fund_ZAN 4'!AT61+'Fund_ZAN 5'!AT61+'Fund_ZAN 6'!AT61</f>
        <v>0</v>
      </c>
      <c r="AU35" s="61" t="n">
        <f aca="false">'Fund_ZAN 1'!AU61+'Fund_ZAN 2'!AU61+'Fund_ZAN 3'!AU61+'Fund_ZAN 4'!AU61+'Fund_ZAN 5'!AU61+'Fund_ZAN 6'!AU61</f>
        <v>0</v>
      </c>
      <c r="AV35" s="61" t="n">
        <f aca="false">'Fund_ZAN 1'!AV61+'Fund_ZAN 2'!AV61+'Fund_ZAN 3'!AV61+'Fund_ZAN 4'!AV61+'Fund_ZAN 5'!AV61+'Fund_ZAN 6'!AV61</f>
        <v>0</v>
      </c>
      <c r="AW35" s="61" t="n">
        <f aca="false">'Fund_ZAN 1'!AW61+'Fund_ZAN 2'!AW61+'Fund_ZAN 3'!AW61+'Fund_ZAN 4'!AW61+'Fund_ZAN 5'!AW61+'Fund_ZAN 6'!AW61</f>
        <v>0</v>
      </c>
      <c r="AX35" s="61" t="n">
        <f aca="false">'Fund_ZAN 1'!AX61+'Fund_ZAN 2'!AX61+'Fund_ZAN 3'!AX61+'Fund_ZAN 4'!AX61+'Fund_ZAN 5'!AX61+'Fund_ZAN 6'!AX61</f>
        <v>0</v>
      </c>
      <c r="AY35" s="61" t="n">
        <f aca="false">'Fund_ZAN 1'!AY61+'Fund_ZAN 2'!AY61+'Fund_ZAN 3'!AY61+'Fund_ZAN 4'!AY61+'Fund_ZAN 5'!AY61+'Fund_ZAN 6'!AY61</f>
        <v>0</v>
      </c>
      <c r="AZ35" s="61" t="n">
        <f aca="false">'Fund_ZAN 1'!AZ61+'Fund_ZAN 2'!AZ61+'Fund_ZAN 3'!AZ61+'Fund_ZAN 4'!AZ61+'Fund_ZAN 5'!AZ61+'Fund_ZAN 6'!AZ61</f>
        <v>0</v>
      </c>
      <c r="BA35" s="61" t="n">
        <f aca="false">'Fund_ZAN 1'!BA61+'Fund_ZAN 2'!BA61+'Fund_ZAN 3'!BA61+'Fund_ZAN 4'!BA61+'Fund_ZAN 5'!BA61+'Fund_ZAN 6'!BA61</f>
        <v>0</v>
      </c>
      <c r="BB35" s="61" t="n">
        <f aca="false">'Fund_ZAN 1'!BB61+'Fund_ZAN 2'!BB61+'Fund_ZAN 3'!BB61+'Fund_ZAN 4'!BB61+'Fund_ZAN 5'!BB61+'Fund_ZAN 6'!BB61</f>
        <v>0</v>
      </c>
    </row>
    <row r="36" customFormat="false" ht="15" hidden="false" customHeight="true" outlineLevel="0" collapsed="false">
      <c r="B36" s="20" t="s">
        <v>472</v>
      </c>
      <c r="C36" s="59" t="s">
        <v>11</v>
      </c>
      <c r="D36" s="63" t="n">
        <f aca="false">SUM(E36:BB36)</f>
        <v>-1354784209.78833</v>
      </c>
      <c r="E36" s="61" t="n">
        <f aca="false">'Fund_ZAN 1'!E62+'Fund_ZAN 2'!E62+'Fund_ZAN 3'!E62+'Fund_ZAN 4'!E62+'Fund_ZAN 5'!E62+'Fund_ZAN 6'!E62</f>
        <v>0</v>
      </c>
      <c r="F36" s="61" t="n">
        <f aca="false">'Fund_ZAN 1'!F62+'Fund_ZAN 2'!F62+'Fund_ZAN 3'!F62+'Fund_ZAN 4'!F62+'Fund_ZAN 5'!F62+'Fund_ZAN 6'!F62</f>
        <v>0</v>
      </c>
      <c r="G36" s="61" t="n">
        <f aca="false">'Fund_ZAN 1'!G62+'Fund_ZAN 2'!G62+'Fund_ZAN 3'!G62+'Fund_ZAN 4'!G62+'Fund_ZAN 5'!G62+'Fund_ZAN 6'!G62</f>
        <v>-3824352.17471323</v>
      </c>
      <c r="H36" s="61" t="n">
        <f aca="false">'Fund_ZAN 1'!H62+'Fund_ZAN 2'!H62+'Fund_ZAN 3'!H62+'Fund_ZAN 4'!H62+'Fund_ZAN 5'!H62+'Fund_ZAN 6'!H62</f>
        <v>-15688682.5209669</v>
      </c>
      <c r="I36" s="61" t="n">
        <f aca="false">'Fund_ZAN 1'!I62+'Fund_ZAN 2'!I62+'Fund_ZAN 3'!I62+'Fund_ZAN 4'!I62+'Fund_ZAN 5'!I62+'Fund_ZAN 6'!I62</f>
        <v>-123760409.643404</v>
      </c>
      <c r="J36" s="61" t="n">
        <f aca="false">'Fund_ZAN 1'!J62+'Fund_ZAN 2'!J62+'Fund_ZAN 3'!J62+'Fund_ZAN 4'!J62+'Fund_ZAN 5'!J62+'Fund_ZAN 6'!J62</f>
        <v>-244093035.062937</v>
      </c>
      <c r="K36" s="61" t="n">
        <f aca="false">'Fund_ZAN 1'!K62+'Fund_ZAN 2'!K62+'Fund_ZAN 3'!K62+'Fund_ZAN 4'!K62+'Fund_ZAN 5'!K62+'Fund_ZAN 6'!K62</f>
        <v>-334103458.491294</v>
      </c>
      <c r="L36" s="61" t="n">
        <f aca="false">'Fund_ZAN 1'!L62+'Fund_ZAN 2'!L62+'Fund_ZAN 3'!L62+'Fund_ZAN 4'!L62+'Fund_ZAN 5'!L62+'Fund_ZAN 6'!L62</f>
        <v>-317721754.030064</v>
      </c>
      <c r="M36" s="61" t="n">
        <f aca="false">'Fund_ZAN 1'!M62+'Fund_ZAN 2'!M62+'Fund_ZAN 3'!M62+'Fund_ZAN 4'!M62+'Fund_ZAN 5'!M62+'Fund_ZAN 6'!M62</f>
        <v>-216259352.22444</v>
      </c>
      <c r="N36" s="61" t="n">
        <f aca="false">'Fund_ZAN 1'!N62+'Fund_ZAN 2'!N62+'Fund_ZAN 3'!N62+'Fund_ZAN 4'!N62+'Fund_ZAN 5'!N62+'Fund_ZAN 6'!N62</f>
        <v>-99333165.640516</v>
      </c>
      <c r="O36" s="61" t="n">
        <f aca="false">'Fund_ZAN 1'!O62+'Fund_ZAN 2'!O62+'Fund_ZAN 3'!O62+'Fund_ZAN 4'!O62+'Fund_ZAN 5'!O62+'Fund_ZAN 6'!O62</f>
        <v>0</v>
      </c>
      <c r="P36" s="61" t="n">
        <f aca="false">'Fund_ZAN 1'!P62+'Fund_ZAN 2'!P62+'Fund_ZAN 3'!P62+'Fund_ZAN 4'!P62+'Fund_ZAN 5'!P62+'Fund_ZAN 6'!P62</f>
        <v>0</v>
      </c>
      <c r="Q36" s="61" t="n">
        <f aca="false">'Fund_ZAN 1'!Q62+'Fund_ZAN 2'!Q62+'Fund_ZAN 3'!Q62+'Fund_ZAN 4'!Q62+'Fund_ZAN 5'!Q62+'Fund_ZAN 6'!Q62</f>
        <v>0</v>
      </c>
      <c r="R36" s="61" t="n">
        <f aca="false">'Fund_ZAN 1'!R62+'Fund_ZAN 2'!R62+'Fund_ZAN 3'!R62+'Fund_ZAN 4'!R62+'Fund_ZAN 5'!R62+'Fund_ZAN 6'!R62</f>
        <v>0</v>
      </c>
      <c r="S36" s="61" t="n">
        <f aca="false">'Fund_ZAN 1'!S62+'Fund_ZAN 2'!S62+'Fund_ZAN 3'!S62+'Fund_ZAN 4'!S62+'Fund_ZAN 5'!S62+'Fund_ZAN 6'!S62</f>
        <v>0</v>
      </c>
      <c r="T36" s="61" t="n">
        <f aca="false">'Fund_ZAN 1'!T62+'Fund_ZAN 2'!T62+'Fund_ZAN 3'!T62+'Fund_ZAN 4'!T62+'Fund_ZAN 5'!T62+'Fund_ZAN 6'!T62</f>
        <v>0</v>
      </c>
      <c r="U36" s="61" t="n">
        <f aca="false">'Fund_ZAN 1'!U62+'Fund_ZAN 2'!U62+'Fund_ZAN 3'!U62+'Fund_ZAN 4'!U62+'Fund_ZAN 5'!U62+'Fund_ZAN 6'!U62</f>
        <v>0</v>
      </c>
      <c r="V36" s="61" t="n">
        <f aca="false">'Fund_ZAN 1'!V62+'Fund_ZAN 2'!V62+'Fund_ZAN 3'!V62+'Fund_ZAN 4'!V62+'Fund_ZAN 5'!V62+'Fund_ZAN 6'!V62</f>
        <v>0</v>
      </c>
      <c r="W36" s="61" t="n">
        <f aca="false">'Fund_ZAN 1'!W62+'Fund_ZAN 2'!W62+'Fund_ZAN 3'!W62+'Fund_ZAN 4'!W62+'Fund_ZAN 5'!W62+'Fund_ZAN 6'!W62</f>
        <v>0</v>
      </c>
      <c r="X36" s="61" t="n">
        <f aca="false">'Fund_ZAN 1'!X62+'Fund_ZAN 2'!X62+'Fund_ZAN 3'!X62+'Fund_ZAN 4'!X62+'Fund_ZAN 5'!X62+'Fund_ZAN 6'!X62</f>
        <v>0</v>
      </c>
      <c r="Y36" s="61" t="n">
        <f aca="false">'Fund_ZAN 1'!Y62+'Fund_ZAN 2'!Y62+'Fund_ZAN 3'!Y62+'Fund_ZAN 4'!Y62+'Fund_ZAN 5'!Y62+'Fund_ZAN 6'!Y62</f>
        <v>0</v>
      </c>
      <c r="Z36" s="61" t="n">
        <f aca="false">'Fund_ZAN 1'!Z62+'Fund_ZAN 2'!Z62+'Fund_ZAN 3'!Z62+'Fund_ZAN 4'!Z62+'Fund_ZAN 5'!Z62+'Fund_ZAN 6'!Z62</f>
        <v>0</v>
      </c>
      <c r="AA36" s="61" t="n">
        <f aca="false">'Fund_ZAN 1'!AA62+'Fund_ZAN 2'!AA62+'Fund_ZAN 3'!AA62+'Fund_ZAN 4'!AA62+'Fund_ZAN 5'!AA62+'Fund_ZAN 6'!AA62</f>
        <v>0</v>
      </c>
      <c r="AB36" s="61" t="n">
        <f aca="false">'Fund_ZAN 1'!AB62+'Fund_ZAN 2'!AB62+'Fund_ZAN 3'!AB62+'Fund_ZAN 4'!AB62+'Fund_ZAN 5'!AB62+'Fund_ZAN 6'!AB62</f>
        <v>0</v>
      </c>
      <c r="AC36" s="61" t="n">
        <f aca="false">'Fund_ZAN 1'!AC62+'Fund_ZAN 2'!AC62+'Fund_ZAN 3'!AC62+'Fund_ZAN 4'!AC62+'Fund_ZAN 5'!AC62+'Fund_ZAN 6'!AC62</f>
        <v>0</v>
      </c>
      <c r="AD36" s="61" t="n">
        <f aca="false">'Fund_ZAN 1'!AD62+'Fund_ZAN 2'!AD62+'Fund_ZAN 3'!AD62+'Fund_ZAN 4'!AD62+'Fund_ZAN 5'!AD62+'Fund_ZAN 6'!AD62</f>
        <v>0</v>
      </c>
      <c r="AE36" s="61" t="n">
        <f aca="false">'Fund_ZAN 1'!AE62+'Fund_ZAN 2'!AE62+'Fund_ZAN 3'!AE62+'Fund_ZAN 4'!AE62+'Fund_ZAN 5'!AE62+'Fund_ZAN 6'!AE62</f>
        <v>0</v>
      </c>
      <c r="AF36" s="61" t="n">
        <f aca="false">'Fund_ZAN 1'!AF62+'Fund_ZAN 2'!AF62+'Fund_ZAN 3'!AF62+'Fund_ZAN 4'!AF62+'Fund_ZAN 5'!AF62+'Fund_ZAN 6'!AF62</f>
        <v>0</v>
      </c>
      <c r="AG36" s="61" t="n">
        <f aca="false">'Fund_ZAN 1'!AG62+'Fund_ZAN 2'!AG62+'Fund_ZAN 3'!AG62+'Fund_ZAN 4'!AG62+'Fund_ZAN 5'!AG62+'Fund_ZAN 6'!AG62</f>
        <v>0</v>
      </c>
      <c r="AH36" s="61" t="n">
        <f aca="false">'Fund_ZAN 1'!AH62+'Fund_ZAN 2'!AH62+'Fund_ZAN 3'!AH62+'Fund_ZAN 4'!AH62+'Fund_ZAN 5'!AH62+'Fund_ZAN 6'!AH62</f>
        <v>0</v>
      </c>
      <c r="AI36" s="61" t="n">
        <f aca="false">'Fund_ZAN 1'!AI62+'Fund_ZAN 2'!AI62+'Fund_ZAN 3'!AI62+'Fund_ZAN 4'!AI62+'Fund_ZAN 5'!AI62+'Fund_ZAN 6'!AI62</f>
        <v>0</v>
      </c>
      <c r="AJ36" s="61" t="n">
        <f aca="false">'Fund_ZAN 1'!AJ62+'Fund_ZAN 2'!AJ62+'Fund_ZAN 3'!AJ62+'Fund_ZAN 4'!AJ62+'Fund_ZAN 5'!AJ62+'Fund_ZAN 6'!AJ62</f>
        <v>0</v>
      </c>
      <c r="AK36" s="61" t="n">
        <f aca="false">'Fund_ZAN 1'!AK62+'Fund_ZAN 2'!AK62+'Fund_ZAN 3'!AK62+'Fund_ZAN 4'!AK62+'Fund_ZAN 5'!AK62+'Fund_ZAN 6'!AK62</f>
        <v>0</v>
      </c>
      <c r="AL36" s="61" t="n">
        <f aca="false">'Fund_ZAN 1'!AL62+'Fund_ZAN 2'!AL62+'Fund_ZAN 3'!AL62+'Fund_ZAN 4'!AL62+'Fund_ZAN 5'!AL62+'Fund_ZAN 6'!AL62</f>
        <v>0</v>
      </c>
      <c r="AM36" s="61" t="n">
        <f aca="false">'Fund_ZAN 1'!AM62+'Fund_ZAN 2'!AM62+'Fund_ZAN 3'!AM62+'Fund_ZAN 4'!AM62+'Fund_ZAN 5'!AM62+'Fund_ZAN 6'!AM62</f>
        <v>0</v>
      </c>
      <c r="AN36" s="61" t="n">
        <f aca="false">'Fund_ZAN 1'!AN62+'Fund_ZAN 2'!AN62+'Fund_ZAN 3'!AN62+'Fund_ZAN 4'!AN62+'Fund_ZAN 5'!AN62+'Fund_ZAN 6'!AN62</f>
        <v>0</v>
      </c>
      <c r="AO36" s="61" t="n">
        <f aca="false">'Fund_ZAN 1'!AO62+'Fund_ZAN 2'!AO62+'Fund_ZAN 3'!AO62+'Fund_ZAN 4'!AO62+'Fund_ZAN 5'!AO62+'Fund_ZAN 6'!AO62</f>
        <v>0</v>
      </c>
      <c r="AP36" s="61" t="n">
        <f aca="false">'Fund_ZAN 1'!AP62+'Fund_ZAN 2'!AP62+'Fund_ZAN 3'!AP62+'Fund_ZAN 4'!AP62+'Fund_ZAN 5'!AP62+'Fund_ZAN 6'!AP62</f>
        <v>0</v>
      </c>
      <c r="AQ36" s="61" t="n">
        <f aca="false">'Fund_ZAN 1'!AQ62+'Fund_ZAN 2'!AQ62+'Fund_ZAN 3'!AQ62+'Fund_ZAN 4'!AQ62+'Fund_ZAN 5'!AQ62+'Fund_ZAN 6'!AQ62</f>
        <v>0</v>
      </c>
      <c r="AR36" s="61" t="n">
        <f aca="false">'Fund_ZAN 1'!AR62+'Fund_ZAN 2'!AR62+'Fund_ZAN 3'!AR62+'Fund_ZAN 4'!AR62+'Fund_ZAN 5'!AR62+'Fund_ZAN 6'!AR62</f>
        <v>0</v>
      </c>
      <c r="AS36" s="61" t="n">
        <f aca="false">'Fund_ZAN 1'!AS62+'Fund_ZAN 2'!AS62+'Fund_ZAN 3'!AS62+'Fund_ZAN 4'!AS62+'Fund_ZAN 5'!AS62+'Fund_ZAN 6'!AS62</f>
        <v>0</v>
      </c>
      <c r="AT36" s="61" t="n">
        <f aca="false">'Fund_ZAN 1'!AT62+'Fund_ZAN 2'!AT62+'Fund_ZAN 3'!AT62+'Fund_ZAN 4'!AT62+'Fund_ZAN 5'!AT62+'Fund_ZAN 6'!AT62</f>
        <v>0</v>
      </c>
      <c r="AU36" s="61" t="n">
        <f aca="false">'Fund_ZAN 1'!AU62+'Fund_ZAN 2'!AU62+'Fund_ZAN 3'!AU62+'Fund_ZAN 4'!AU62+'Fund_ZAN 5'!AU62+'Fund_ZAN 6'!AU62</f>
        <v>0</v>
      </c>
      <c r="AV36" s="61" t="n">
        <f aca="false">'Fund_ZAN 1'!AV62+'Fund_ZAN 2'!AV62+'Fund_ZAN 3'!AV62+'Fund_ZAN 4'!AV62+'Fund_ZAN 5'!AV62+'Fund_ZAN 6'!AV62</f>
        <v>0</v>
      </c>
      <c r="AW36" s="61" t="n">
        <f aca="false">'Fund_ZAN 1'!AW62+'Fund_ZAN 2'!AW62+'Fund_ZAN 3'!AW62+'Fund_ZAN 4'!AW62+'Fund_ZAN 5'!AW62+'Fund_ZAN 6'!AW62</f>
        <v>0</v>
      </c>
      <c r="AX36" s="61" t="n">
        <f aca="false">'Fund_ZAN 1'!AX62+'Fund_ZAN 2'!AX62+'Fund_ZAN 3'!AX62+'Fund_ZAN 4'!AX62+'Fund_ZAN 5'!AX62+'Fund_ZAN 6'!AX62</f>
        <v>0</v>
      </c>
      <c r="AY36" s="61" t="n">
        <f aca="false">'Fund_ZAN 1'!AY62+'Fund_ZAN 2'!AY62+'Fund_ZAN 3'!AY62+'Fund_ZAN 4'!AY62+'Fund_ZAN 5'!AY62+'Fund_ZAN 6'!AY62</f>
        <v>0</v>
      </c>
      <c r="AZ36" s="61" t="n">
        <f aca="false">'Fund_ZAN 1'!AZ62+'Fund_ZAN 2'!AZ62+'Fund_ZAN 3'!AZ62+'Fund_ZAN 4'!AZ62+'Fund_ZAN 5'!AZ62+'Fund_ZAN 6'!AZ62</f>
        <v>0</v>
      </c>
      <c r="BA36" s="61" t="n">
        <f aca="false">'Fund_ZAN 1'!BA62+'Fund_ZAN 2'!BA62+'Fund_ZAN 3'!BA62+'Fund_ZAN 4'!BA62+'Fund_ZAN 5'!BA62+'Fund_ZAN 6'!BA62</f>
        <v>0</v>
      </c>
      <c r="BB36" s="61" t="n">
        <f aca="false">'Fund_ZAN 1'!BB62+'Fund_ZAN 2'!BB62+'Fund_ZAN 3'!BB62+'Fund_ZAN 4'!BB62+'Fund_ZAN 5'!BB62+'Fund_ZAN 6'!BB62</f>
        <v>0</v>
      </c>
    </row>
    <row r="38" customFormat="false" ht="15" hidden="false" customHeight="true" outlineLevel="0" collapsed="false">
      <c r="B38" s="20" t="s">
        <v>564</v>
      </c>
      <c r="C38" s="59" t="s">
        <v>11</v>
      </c>
      <c r="E38" s="61" t="n">
        <f aca="false">'Fund_ZAN 1'!E60+'Fund_ZAN 2'!E60+'Fund_ZAN 3'!E60+'Fund_ZAN 4'!E60+'Fund_ZAN 5'!E60+'Fund_ZAN 6'!E60</f>
        <v>0</v>
      </c>
      <c r="F38" s="61" t="n">
        <f aca="false">'Fund_ZAN 1'!F60+'Fund_ZAN 2'!F60+'Fund_ZAN 3'!F60+'Fund_ZAN 4'!F60+'Fund_ZAN 5'!F60+'Fund_ZAN 6'!F60</f>
        <v>0</v>
      </c>
      <c r="G38" s="61" t="n">
        <f aca="false">'Fund_ZAN 1'!G60+'Fund_ZAN 2'!G60+'Fund_ZAN 3'!G60+'Fund_ZAN 4'!G60+'Fund_ZAN 5'!G60+'Fund_ZAN 6'!G60</f>
        <v>101982724.65902</v>
      </c>
      <c r="H38" s="61" t="n">
        <f aca="false">'Fund_ZAN 1'!H60+'Fund_ZAN 2'!H60+'Fund_ZAN 3'!H60+'Fund_ZAN 4'!H60+'Fund_ZAN 5'!H60+'Fund_ZAN 6'!H60</f>
        <v>343577535.809171</v>
      </c>
      <c r="I38" s="61" t="n">
        <f aca="false">'Fund_ZAN 1'!I60+'Fund_ZAN 2'!I60+'Fund_ZAN 3'!I60+'Fund_ZAN 4'!I60+'Fund_ZAN 5'!I60+'Fund_ZAN 6'!I60</f>
        <v>757882692.771668</v>
      </c>
      <c r="J38" s="61" t="n">
        <f aca="false">'Fund_ZAN 1'!J60+'Fund_ZAN 2'!J60+'Fund_ZAN 3'!J60+'Fund_ZAN 4'!J60+'Fund_ZAN 5'!J60+'Fund_ZAN 6'!J60</f>
        <v>790260491.775117</v>
      </c>
      <c r="K38" s="61" t="n">
        <f aca="false">'Fund_ZAN 1'!K60+'Fund_ZAN 2'!K60+'Fund_ZAN 3'!K60+'Fund_ZAN 4'!K60+'Fund_ZAN 5'!K60+'Fund_ZAN 6'!K60</f>
        <v>588461714.454203</v>
      </c>
      <c r="L38" s="61" t="n">
        <f aca="false">'Fund_ZAN 1'!L60+'Fund_ZAN 2'!L60+'Fund_ZAN 3'!L60+'Fund_ZAN 4'!L60+'Fund_ZAN 5'!L60+'Fund_ZAN 6'!L60</f>
        <v>299602032.190078</v>
      </c>
      <c r="M38" s="61" t="n">
        <f aca="false">'Fund_ZAN 1'!M60+'Fund_ZAN 2'!M60+'Fund_ZAN 3'!M60+'Fund_ZAN 4'!M60+'Fund_ZAN 5'!M60+'Fund_ZAN 6'!M60</f>
        <v>96206455.8261656</v>
      </c>
      <c r="N38" s="61" t="n">
        <f aca="false">'Fund_ZAN 1'!N60+'Fund_ZAN 2'!N60+'Fund_ZAN 3'!N60+'Fund_ZAN 4'!N60+'Fund_ZAN 5'!N60+'Fund_ZAN 6'!N60</f>
        <v>0</v>
      </c>
      <c r="O38" s="61" t="n">
        <f aca="false">'Fund_ZAN 1'!O60+'Fund_ZAN 2'!O60+'Fund_ZAN 3'!O60+'Fund_ZAN 4'!O60+'Fund_ZAN 5'!O60+'Fund_ZAN 6'!O60</f>
        <v>0</v>
      </c>
      <c r="P38" s="61" t="n">
        <f aca="false">'Fund_ZAN 1'!P60+'Fund_ZAN 2'!P60+'Fund_ZAN 3'!P60+'Fund_ZAN 4'!P60+'Fund_ZAN 5'!P60+'Fund_ZAN 6'!P60</f>
        <v>0</v>
      </c>
      <c r="Q38" s="61" t="n">
        <f aca="false">'Fund_ZAN 1'!Q60+'Fund_ZAN 2'!Q60+'Fund_ZAN 3'!Q60+'Fund_ZAN 4'!Q60+'Fund_ZAN 5'!Q60+'Fund_ZAN 6'!Q60</f>
        <v>0</v>
      </c>
      <c r="R38" s="61" t="n">
        <f aca="false">'Fund_ZAN 1'!R60+'Fund_ZAN 2'!R60+'Fund_ZAN 3'!R60+'Fund_ZAN 4'!R60+'Fund_ZAN 5'!R60+'Fund_ZAN 6'!R60</f>
        <v>0</v>
      </c>
      <c r="S38" s="61" t="n">
        <f aca="false">'Fund_ZAN 1'!S60+'Fund_ZAN 2'!S60+'Fund_ZAN 3'!S60+'Fund_ZAN 4'!S60+'Fund_ZAN 5'!S60+'Fund_ZAN 6'!S60</f>
        <v>0</v>
      </c>
      <c r="T38" s="61" t="n">
        <f aca="false">'Fund_ZAN 1'!T60+'Fund_ZAN 2'!T60+'Fund_ZAN 3'!T60+'Fund_ZAN 4'!T60+'Fund_ZAN 5'!T60+'Fund_ZAN 6'!T60</f>
        <v>0</v>
      </c>
      <c r="U38" s="61" t="n">
        <f aca="false">'Fund_ZAN 1'!U60+'Fund_ZAN 2'!U60+'Fund_ZAN 3'!U60+'Fund_ZAN 4'!U60+'Fund_ZAN 5'!U60+'Fund_ZAN 6'!U60</f>
        <v>0</v>
      </c>
      <c r="V38" s="61" t="n">
        <f aca="false">'Fund_ZAN 1'!V60+'Fund_ZAN 2'!V60+'Fund_ZAN 3'!V60+'Fund_ZAN 4'!V60+'Fund_ZAN 5'!V60+'Fund_ZAN 6'!V60</f>
        <v>0</v>
      </c>
      <c r="W38" s="61" t="n">
        <f aca="false">'Fund_ZAN 1'!W60+'Fund_ZAN 2'!W60+'Fund_ZAN 3'!W60+'Fund_ZAN 4'!W60+'Fund_ZAN 5'!W60+'Fund_ZAN 6'!W60</f>
        <v>0</v>
      </c>
      <c r="X38" s="61" t="n">
        <f aca="false">'Fund_ZAN 1'!X60+'Fund_ZAN 2'!X60+'Fund_ZAN 3'!X60+'Fund_ZAN 4'!X60+'Fund_ZAN 5'!X60+'Fund_ZAN 6'!X60</f>
        <v>0</v>
      </c>
      <c r="Y38" s="61" t="n">
        <f aca="false">'Fund_ZAN 1'!Y60+'Fund_ZAN 2'!Y60+'Fund_ZAN 3'!Y60+'Fund_ZAN 4'!Y60+'Fund_ZAN 5'!Y60+'Fund_ZAN 6'!Y60</f>
        <v>0</v>
      </c>
      <c r="Z38" s="61" t="n">
        <f aca="false">'Fund_ZAN 1'!Z60+'Fund_ZAN 2'!Z60+'Fund_ZAN 3'!Z60+'Fund_ZAN 4'!Z60+'Fund_ZAN 5'!Z60+'Fund_ZAN 6'!Z60</f>
        <v>0</v>
      </c>
      <c r="AA38" s="61" t="n">
        <f aca="false">'Fund_ZAN 1'!AA60+'Fund_ZAN 2'!AA60+'Fund_ZAN 3'!AA60+'Fund_ZAN 4'!AA60+'Fund_ZAN 5'!AA60+'Fund_ZAN 6'!AA60</f>
        <v>0</v>
      </c>
      <c r="AB38" s="61" t="n">
        <f aca="false">'Fund_ZAN 1'!AB60+'Fund_ZAN 2'!AB60+'Fund_ZAN 3'!AB60+'Fund_ZAN 4'!AB60+'Fund_ZAN 5'!AB60+'Fund_ZAN 6'!AB60</f>
        <v>0</v>
      </c>
      <c r="AC38" s="61" t="n">
        <f aca="false">'Fund_ZAN 1'!AC60+'Fund_ZAN 2'!AC60+'Fund_ZAN 3'!AC60+'Fund_ZAN 4'!AC60+'Fund_ZAN 5'!AC60+'Fund_ZAN 6'!AC60</f>
        <v>0</v>
      </c>
      <c r="AD38" s="61" t="n">
        <f aca="false">'Fund_ZAN 1'!AD60+'Fund_ZAN 2'!AD60+'Fund_ZAN 3'!AD60+'Fund_ZAN 4'!AD60+'Fund_ZAN 5'!AD60+'Fund_ZAN 6'!AD60</f>
        <v>0</v>
      </c>
      <c r="AE38" s="61" t="n">
        <f aca="false">'Fund_ZAN 1'!AE60+'Fund_ZAN 2'!AE60+'Fund_ZAN 3'!AE60+'Fund_ZAN 4'!AE60+'Fund_ZAN 5'!AE60+'Fund_ZAN 6'!AE60</f>
        <v>0</v>
      </c>
      <c r="AF38" s="61" t="n">
        <f aca="false">'Fund_ZAN 1'!AF60+'Fund_ZAN 2'!AF60+'Fund_ZAN 3'!AF60+'Fund_ZAN 4'!AF60+'Fund_ZAN 5'!AF60+'Fund_ZAN 6'!AF60</f>
        <v>0</v>
      </c>
      <c r="AG38" s="61" t="n">
        <f aca="false">'Fund_ZAN 1'!AG60+'Fund_ZAN 2'!AG60+'Fund_ZAN 3'!AG60+'Fund_ZAN 4'!AG60+'Fund_ZAN 5'!AG60+'Fund_ZAN 6'!AG60</f>
        <v>0</v>
      </c>
      <c r="AH38" s="61" t="n">
        <f aca="false">'Fund_ZAN 1'!AH60+'Fund_ZAN 2'!AH60+'Fund_ZAN 3'!AH60+'Fund_ZAN 4'!AH60+'Fund_ZAN 5'!AH60+'Fund_ZAN 6'!AH60</f>
        <v>0</v>
      </c>
      <c r="AI38" s="61" t="n">
        <f aca="false">'Fund_ZAN 1'!AI60+'Fund_ZAN 2'!AI60+'Fund_ZAN 3'!AI60+'Fund_ZAN 4'!AI60+'Fund_ZAN 5'!AI60+'Fund_ZAN 6'!AI60</f>
        <v>0</v>
      </c>
      <c r="AJ38" s="61" t="n">
        <f aca="false">'Fund_ZAN 1'!AJ60+'Fund_ZAN 2'!AJ60+'Fund_ZAN 3'!AJ60+'Fund_ZAN 4'!AJ60+'Fund_ZAN 5'!AJ60+'Fund_ZAN 6'!AJ60</f>
        <v>0</v>
      </c>
      <c r="AK38" s="61" t="n">
        <f aca="false">'Fund_ZAN 1'!AK60+'Fund_ZAN 2'!AK60+'Fund_ZAN 3'!AK60+'Fund_ZAN 4'!AK60+'Fund_ZAN 5'!AK60+'Fund_ZAN 6'!AK60</f>
        <v>0</v>
      </c>
      <c r="AL38" s="61" t="n">
        <f aca="false">'Fund_ZAN 1'!AL60+'Fund_ZAN 2'!AL60+'Fund_ZAN 3'!AL60+'Fund_ZAN 4'!AL60+'Fund_ZAN 5'!AL60+'Fund_ZAN 6'!AL60</f>
        <v>0</v>
      </c>
      <c r="AM38" s="61" t="n">
        <f aca="false">'Fund_ZAN 1'!AM60+'Fund_ZAN 2'!AM60+'Fund_ZAN 3'!AM60+'Fund_ZAN 4'!AM60+'Fund_ZAN 5'!AM60+'Fund_ZAN 6'!AM60</f>
        <v>0</v>
      </c>
      <c r="AN38" s="61" t="n">
        <f aca="false">'Fund_ZAN 1'!AN60+'Fund_ZAN 2'!AN60+'Fund_ZAN 3'!AN60+'Fund_ZAN 4'!AN60+'Fund_ZAN 5'!AN60+'Fund_ZAN 6'!AN60</f>
        <v>0</v>
      </c>
      <c r="AO38" s="61" t="n">
        <f aca="false">'Fund_ZAN 1'!AO60+'Fund_ZAN 2'!AO60+'Fund_ZAN 3'!AO60+'Fund_ZAN 4'!AO60+'Fund_ZAN 5'!AO60+'Fund_ZAN 6'!AO60</f>
        <v>0</v>
      </c>
      <c r="AP38" s="61" t="n">
        <f aca="false">'Fund_ZAN 1'!AP60+'Fund_ZAN 2'!AP60+'Fund_ZAN 3'!AP60+'Fund_ZAN 4'!AP60+'Fund_ZAN 5'!AP60+'Fund_ZAN 6'!AP60</f>
        <v>0</v>
      </c>
      <c r="AQ38" s="61" t="n">
        <f aca="false">'Fund_ZAN 1'!AQ60+'Fund_ZAN 2'!AQ60+'Fund_ZAN 3'!AQ60+'Fund_ZAN 4'!AQ60+'Fund_ZAN 5'!AQ60+'Fund_ZAN 6'!AQ60</f>
        <v>0</v>
      </c>
      <c r="AR38" s="61" t="n">
        <f aca="false">'Fund_ZAN 1'!AR60+'Fund_ZAN 2'!AR60+'Fund_ZAN 3'!AR60+'Fund_ZAN 4'!AR60+'Fund_ZAN 5'!AR60+'Fund_ZAN 6'!AR60</f>
        <v>0</v>
      </c>
      <c r="AS38" s="61" t="n">
        <f aca="false">'Fund_ZAN 1'!AS60+'Fund_ZAN 2'!AS60+'Fund_ZAN 3'!AS60+'Fund_ZAN 4'!AS60+'Fund_ZAN 5'!AS60+'Fund_ZAN 6'!AS60</f>
        <v>0</v>
      </c>
      <c r="AT38" s="61" t="n">
        <f aca="false">'Fund_ZAN 1'!AT60+'Fund_ZAN 2'!AT60+'Fund_ZAN 3'!AT60+'Fund_ZAN 4'!AT60+'Fund_ZAN 5'!AT60+'Fund_ZAN 6'!AT60</f>
        <v>0</v>
      </c>
      <c r="AU38" s="61" t="n">
        <f aca="false">'Fund_ZAN 1'!AU60+'Fund_ZAN 2'!AU60+'Fund_ZAN 3'!AU60+'Fund_ZAN 4'!AU60+'Fund_ZAN 5'!AU60+'Fund_ZAN 6'!AU60</f>
        <v>0</v>
      </c>
      <c r="AV38" s="61" t="n">
        <f aca="false">'Fund_ZAN 1'!AV60+'Fund_ZAN 2'!AV60+'Fund_ZAN 3'!AV60+'Fund_ZAN 4'!AV60+'Fund_ZAN 5'!AV60+'Fund_ZAN 6'!AV60</f>
        <v>0</v>
      </c>
      <c r="AW38" s="61" t="n">
        <f aca="false">'Fund_ZAN 1'!AW60+'Fund_ZAN 2'!AW60+'Fund_ZAN 3'!AW60+'Fund_ZAN 4'!AW60+'Fund_ZAN 5'!AW60+'Fund_ZAN 6'!AW60</f>
        <v>0</v>
      </c>
      <c r="AX38" s="61" t="n">
        <f aca="false">'Fund_ZAN 1'!AX60+'Fund_ZAN 2'!AX60+'Fund_ZAN 3'!AX60+'Fund_ZAN 4'!AX60+'Fund_ZAN 5'!AX60+'Fund_ZAN 6'!AX60</f>
        <v>0</v>
      </c>
      <c r="AY38" s="61" t="n">
        <f aca="false">'Fund_ZAN 1'!AY60+'Fund_ZAN 2'!AY60+'Fund_ZAN 3'!AY60+'Fund_ZAN 4'!AY60+'Fund_ZAN 5'!AY60+'Fund_ZAN 6'!AY60</f>
        <v>0</v>
      </c>
      <c r="AZ38" s="61" t="n">
        <f aca="false">'Fund_ZAN 1'!AZ60+'Fund_ZAN 2'!AZ60+'Fund_ZAN 3'!AZ60+'Fund_ZAN 4'!AZ60+'Fund_ZAN 5'!AZ60+'Fund_ZAN 6'!AZ60</f>
        <v>0</v>
      </c>
      <c r="BA38" s="61" t="n">
        <f aca="false">'Fund_ZAN 1'!BA60+'Fund_ZAN 2'!BA60+'Fund_ZAN 3'!BA60+'Fund_ZAN 4'!BA60+'Fund_ZAN 5'!BA60+'Fund_ZAN 6'!BA60</f>
        <v>0</v>
      </c>
      <c r="BB38" s="61" t="n">
        <f aca="false">'Fund_ZAN 1'!BB60+'Fund_ZAN 2'!BB60+'Fund_ZAN 3'!BB60+'Fund_ZAN 4'!BB60+'Fund_ZAN 5'!BB60+'Fund_ZAN 6'!BB60</f>
        <v>0</v>
      </c>
    </row>
    <row r="40" customFormat="false" ht="15" hidden="false" customHeight="true" outlineLevel="0" collapsed="false">
      <c r="B40" s="20" t="s">
        <v>565</v>
      </c>
      <c r="C40" s="59" t="s">
        <v>11</v>
      </c>
      <c r="D40" s="63" t="n">
        <f aca="false">SUM(E40:BB40)</f>
        <v>11731140300.535</v>
      </c>
      <c r="E40" s="66" t="n">
        <f aca="false">E26+E27</f>
        <v>0</v>
      </c>
      <c r="F40" s="66" t="n">
        <f aca="false">F26+F27</f>
        <v>0</v>
      </c>
      <c r="G40" s="66" t="n">
        <f aca="false">G26+G27</f>
        <v>0</v>
      </c>
      <c r="H40" s="66" t="n">
        <f aca="false">H26+H27</f>
        <v>601866</v>
      </c>
      <c r="I40" s="66" t="n">
        <f aca="false">I26+I27</f>
        <v>1212759.99</v>
      </c>
      <c r="J40" s="66" t="n">
        <f aca="false">J26+J27</f>
        <v>28337970.3516824</v>
      </c>
      <c r="K40" s="66" t="n">
        <f aca="false">K26+K27</f>
        <v>79210050.8472408</v>
      </c>
      <c r="L40" s="66" t="n">
        <f aca="false">L26+L27</f>
        <v>153181127.274432</v>
      </c>
      <c r="M40" s="66" t="n">
        <f aca="false">M26+M27</f>
        <v>201261772.325418</v>
      </c>
      <c r="N40" s="66" t="n">
        <f aca="false">N26+N27</f>
        <v>231343278.733009</v>
      </c>
      <c r="O40" s="66" t="n">
        <f aca="false">O26+O27</f>
        <v>237782823.996984</v>
      </c>
      <c r="P40" s="66" t="n">
        <f aca="false">P26+P27</f>
        <v>239613445.176962</v>
      </c>
      <c r="Q40" s="66" t="n">
        <f aca="false">Q26+Q27</f>
        <v>241457796.015789</v>
      </c>
      <c r="R40" s="66" t="n">
        <f aca="false">R26+R27</f>
        <v>243315979.485907</v>
      </c>
      <c r="S40" s="66" t="n">
        <f aca="false">S26+S27</f>
        <v>245188099.332052</v>
      </c>
      <c r="T40" s="66" t="n">
        <f aca="false">T26+T27</f>
        <v>246759260.077042</v>
      </c>
      <c r="U40" s="66" t="n">
        <f aca="false">U26+U27</f>
        <v>248659567.02762</v>
      </c>
      <c r="V40" s="66" t="n">
        <f aca="false">V26+V27</f>
        <v>250574126.280327</v>
      </c>
      <c r="W40" s="66" t="n">
        <f aca="false">W26+W27</f>
        <v>252503044.72743</v>
      </c>
      <c r="X40" s="66" t="n">
        <f aca="false">X26+X27</f>
        <v>254446430.062885</v>
      </c>
      <c r="Y40" s="66" t="n">
        <f aca="false">Y26+Y27</f>
        <v>256073640.788357</v>
      </c>
      <c r="Z40" s="66" t="n">
        <f aca="false">Z26+Z27</f>
        <v>258046286.21927</v>
      </c>
      <c r="AA40" s="66" t="n">
        <f aca="false">AA26+AA27</f>
        <v>260033726.490914</v>
      </c>
      <c r="AB40" s="66" t="n">
        <f aca="false">AB26+AB27</f>
        <v>262036072.564596</v>
      </c>
      <c r="AC40" s="66" t="n">
        <f aca="false">AC26+AC27</f>
        <v>264053436.233831</v>
      </c>
      <c r="AD40" s="66" t="n">
        <f aca="false">AD26+AD27</f>
        <v>265738642.630584</v>
      </c>
      <c r="AE40" s="66" t="n">
        <f aca="false">AE26+AE27</f>
        <v>267786380.231564</v>
      </c>
      <c r="AF40" s="66" t="n">
        <f aca="false">AF26+AF27</f>
        <v>269849475.864551</v>
      </c>
      <c r="AG40" s="66" t="n">
        <f aca="false">AG26+AG27</f>
        <v>271928044.714785</v>
      </c>
      <c r="AH40" s="66" t="n">
        <f aca="false">AH26+AH27</f>
        <v>274022202.831396</v>
      </c>
      <c r="AI40" s="66" t="n">
        <f aca="false">AI26+AI27</f>
        <v>275767415.258881</v>
      </c>
      <c r="AJ40" s="66" t="n">
        <f aca="false">AJ26+AJ27</f>
        <v>277893103.543635</v>
      </c>
      <c r="AK40" s="66" t="n">
        <f aca="false">AK26+AK27</f>
        <v>280034734.490525</v>
      </c>
      <c r="AL40" s="66" t="n">
        <f aca="false">AL26+AL27</f>
        <v>282192427.669516</v>
      </c>
      <c r="AM40" s="66" t="n">
        <f aca="false">AM26+AM27</f>
        <v>284366303.54735</v>
      </c>
      <c r="AN40" s="66" t="n">
        <f aca="false">AN26+AN27</f>
        <v>286173599.025518</v>
      </c>
      <c r="AO40" s="66" t="n">
        <f aca="false">AO26+AO27</f>
        <v>288380205.322037</v>
      </c>
      <c r="AP40" s="66" t="n">
        <f aca="false">AP26+AP27</f>
        <v>290603361.165781</v>
      </c>
      <c r="AQ40" s="66" t="n">
        <f aca="false">AQ26+AQ27</f>
        <v>292843190.678352</v>
      </c>
      <c r="AR40" s="66" t="n">
        <f aca="false">AR26+AR27</f>
        <v>295099818.912268</v>
      </c>
      <c r="AS40" s="66" t="n">
        <f aca="false">AS26+AS27</f>
        <v>296971343.165751</v>
      </c>
      <c r="AT40" s="66" t="n">
        <f aca="false">AT26+AT27</f>
        <v>299261947.758514</v>
      </c>
      <c r="AU40" s="66" t="n">
        <f aca="false">AU26+AU27</f>
        <v>301569731.885722</v>
      </c>
      <c r="AV40" s="66" t="n">
        <f aca="false">AV26+AV27</f>
        <v>303894824.393884</v>
      </c>
      <c r="AW40" s="66" t="n">
        <f aca="false">AW26+AW27</f>
        <v>306237355.095858</v>
      </c>
      <c r="AX40" s="66" t="n">
        <f aca="false">AX26+AX27</f>
        <v>308175324.6513</v>
      </c>
      <c r="AY40" s="66" t="n">
        <f aca="false">AY26+AY27</f>
        <v>310553125.081155</v>
      </c>
      <c r="AZ40" s="66" t="n">
        <f aca="false">AZ26+AZ27</f>
        <v>312948759.014234</v>
      </c>
      <c r="BA40" s="66" t="n">
        <f aca="false">BA26+BA27</f>
        <v>315362360.201811</v>
      </c>
      <c r="BB40" s="66" t="n">
        <f aca="false">BB26+BB27</f>
        <v>317794063.398296</v>
      </c>
    </row>
    <row r="41" customFormat="false" ht="15" hidden="false" customHeight="true" outlineLevel="0" collapsed="false">
      <c r="B41" s="20" t="s">
        <v>566</v>
      </c>
      <c r="C41" s="59" t="s">
        <v>567</v>
      </c>
      <c r="E41" s="73" t="n">
        <f aca="false">IF(ABS(E36)&lt;1,9999,E40/ABS(E36))</f>
        <v>9999</v>
      </c>
      <c r="F41" s="73" t="n">
        <f aca="false">IF(ABS(F36)&lt;1,9999,F40/ABS(F36))</f>
        <v>9999</v>
      </c>
      <c r="G41" s="73" t="n">
        <f aca="false">IF(ABS(G36)&lt;1,9999,G40/ABS(G36))</f>
        <v>0</v>
      </c>
      <c r="H41" s="73" t="n">
        <f aca="false">IF(ABS(H36)&lt;1,9999,H40/ABS(H36))</f>
        <v>0.0383630683580756</v>
      </c>
      <c r="I41" s="73" t="n">
        <f aca="false">IF(ABS(I36)&lt;1,9999,I40/ABS(I36))</f>
        <v>0.00979925643018133</v>
      </c>
      <c r="J41" s="73" t="n">
        <f aca="false">IF(ABS(J36)&lt;1,9999,J40/ABS(J36))</f>
        <v>0.116094956762596</v>
      </c>
      <c r="K41" s="73" t="n">
        <f aca="false">IF(ABS(K36)&lt;1,9999,K40/ABS(K36))</f>
        <v>0.237082403172145</v>
      </c>
      <c r="L41" s="73" t="n">
        <f aca="false">IF(ABS(L36)&lt;1,9999,L40/ABS(L36))</f>
        <v>0.48212351005697</v>
      </c>
      <c r="M41" s="73" t="n">
        <f aca="false">IF(ABS(M36)&lt;1,9999,M40/ABS(M36))</f>
        <v>0.930650028566364</v>
      </c>
      <c r="N41" s="73" t="n">
        <f aca="false">IF(ABS(N36)&lt;1,9999,N40/ABS(N36))</f>
        <v>2.32896311359123</v>
      </c>
      <c r="O41" s="73" t="n">
        <f aca="false">IF(ABS(O36)&lt;1,9999,O40/ABS(O36))</f>
        <v>9999</v>
      </c>
      <c r="P41" s="73" t="n">
        <f aca="false">IF(ABS(P36)&lt;1,9999,P40/ABS(P36))</f>
        <v>9999</v>
      </c>
      <c r="Q41" s="73" t="n">
        <f aca="false">IF(ABS(Q36)&lt;1,9999,Q40/ABS(Q36))</f>
        <v>9999</v>
      </c>
      <c r="R41" s="73" t="n">
        <f aca="false">IF(ABS(R36)&lt;1,9999,R40/ABS(R36))</f>
        <v>9999</v>
      </c>
      <c r="S41" s="73" t="n">
        <f aca="false">IF(ABS(S36)&lt;1,9999,S40/ABS(S36))</f>
        <v>9999</v>
      </c>
      <c r="T41" s="73" t="n">
        <f aca="false">IF(ABS(T36)&lt;1,9999,T40/ABS(T36))</f>
        <v>9999</v>
      </c>
      <c r="U41" s="73" t="n">
        <f aca="false">IF(ABS(U36)&lt;1,9999,U40/ABS(U36))</f>
        <v>9999</v>
      </c>
      <c r="V41" s="73" t="n">
        <f aca="false">IF(ABS(V36)&lt;1,9999,V40/ABS(V36))</f>
        <v>9999</v>
      </c>
      <c r="W41" s="73" t="n">
        <f aca="false">IF(ABS(W36)&lt;1,9999,W40/ABS(W36))</f>
        <v>9999</v>
      </c>
      <c r="X41" s="73" t="n">
        <f aca="false">IF(ABS(X36)&lt;1,9999,X40/ABS(X36))</f>
        <v>9999</v>
      </c>
      <c r="Y41" s="73" t="n">
        <f aca="false">IF(ABS(Y36)&lt;1,9999,Y40/ABS(Y36))</f>
        <v>9999</v>
      </c>
      <c r="Z41" s="73" t="n">
        <f aca="false">IF(ABS(Z36)&lt;1,9999,Z40/ABS(Z36))</f>
        <v>9999</v>
      </c>
      <c r="AA41" s="73" t="n">
        <f aca="false">IF(ABS(AA36)&lt;1,9999,AA40/ABS(AA36))</f>
        <v>9999</v>
      </c>
      <c r="AB41" s="73" t="n">
        <f aca="false">IF(ABS(AB36)&lt;1,9999,AB40/ABS(AB36))</f>
        <v>9999</v>
      </c>
      <c r="AC41" s="73" t="n">
        <f aca="false">IF(ABS(AC36)&lt;1,9999,AC40/ABS(AC36))</f>
        <v>9999</v>
      </c>
      <c r="AD41" s="73" t="n">
        <f aca="false">IF(ABS(AD36)&lt;1,9999,AD40/ABS(AD36))</f>
        <v>9999</v>
      </c>
      <c r="AE41" s="73" t="n">
        <f aca="false">IF(ABS(AE36)&lt;1,9999,AE40/ABS(AE36))</f>
        <v>9999</v>
      </c>
      <c r="AF41" s="73" t="n">
        <f aca="false">IF(ABS(AF36)&lt;1,9999,AF40/ABS(AF36))</f>
        <v>9999</v>
      </c>
      <c r="AG41" s="73" t="n">
        <f aca="false">IF(ABS(AG36)&lt;1,9999,AG40/ABS(AG36))</f>
        <v>9999</v>
      </c>
      <c r="AH41" s="73" t="n">
        <f aca="false">IF(ABS(AH36)&lt;1,9999,AH40/ABS(AH36))</f>
        <v>9999</v>
      </c>
      <c r="AI41" s="73" t="n">
        <f aca="false">IF(ABS(AI36)&lt;1,9999,AI40/ABS(AI36))</f>
        <v>9999</v>
      </c>
      <c r="AJ41" s="73" t="n">
        <f aca="false">IF(ABS(AJ36)&lt;1,9999,AJ40/ABS(AJ36))</f>
        <v>9999</v>
      </c>
      <c r="AK41" s="73" t="n">
        <f aca="false">IF(ABS(AK36)&lt;1,9999,AK40/ABS(AK36))</f>
        <v>9999</v>
      </c>
      <c r="AL41" s="73" t="n">
        <f aca="false">IF(ABS(AL36)&lt;1,9999,AL40/ABS(AL36))</f>
        <v>9999</v>
      </c>
      <c r="AM41" s="73" t="n">
        <f aca="false">IF(ABS(AM36)&lt;1,9999,AM40/ABS(AM36))</f>
        <v>9999</v>
      </c>
      <c r="AN41" s="73" t="n">
        <f aca="false">IF(ABS(AN36)&lt;1,9999,AN40/ABS(AN36))</f>
        <v>9999</v>
      </c>
      <c r="AO41" s="73" t="n">
        <f aca="false">IF(ABS(AO36)&lt;1,9999,AO40/ABS(AO36))</f>
        <v>9999</v>
      </c>
      <c r="AP41" s="73" t="n">
        <f aca="false">IF(ABS(AP36)&lt;1,9999,AP40/ABS(AP36))</f>
        <v>9999</v>
      </c>
      <c r="AQ41" s="73" t="n">
        <f aca="false">IF(ABS(AQ36)&lt;1,9999,AQ40/ABS(AQ36))</f>
        <v>9999</v>
      </c>
      <c r="AR41" s="73" t="n">
        <f aca="false">IF(ABS(AR36)&lt;1,9999,AR40/ABS(AR36))</f>
        <v>9999</v>
      </c>
      <c r="AS41" s="73" t="n">
        <f aca="false">IF(ABS(AS36)&lt;1,9999,AS40/ABS(AS36))</f>
        <v>9999</v>
      </c>
      <c r="AT41" s="73" t="n">
        <f aca="false">IF(ABS(AT36)&lt;1,9999,AT40/ABS(AT36))</f>
        <v>9999</v>
      </c>
      <c r="AU41" s="73" t="n">
        <f aca="false">IF(ABS(AU36)&lt;1,9999,AU40/ABS(AU36))</f>
        <v>9999</v>
      </c>
      <c r="AV41" s="73" t="n">
        <f aca="false">IF(ABS(AV36)&lt;1,9999,AV40/ABS(AV36))</f>
        <v>9999</v>
      </c>
      <c r="AW41" s="73" t="n">
        <f aca="false">IF(ABS(AW36)&lt;1,9999,AW40/ABS(AW36))</f>
        <v>9999</v>
      </c>
      <c r="AX41" s="73" t="n">
        <f aca="false">IF(ABS(AX36)&lt;1,9999,AX40/ABS(AX36))</f>
        <v>9999</v>
      </c>
      <c r="AY41" s="73" t="n">
        <f aca="false">IF(ABS(AY36)&lt;1,9999,AY40/ABS(AY36))</f>
        <v>9999</v>
      </c>
      <c r="AZ41" s="73" t="n">
        <f aca="false">IF(ABS(AZ36)&lt;1,9999,AZ40/ABS(AZ36))</f>
        <v>9999</v>
      </c>
      <c r="BA41" s="73" t="n">
        <f aca="false">IF(ABS(BA36)&lt;1,9999,BA40/ABS(BA36))</f>
        <v>9999</v>
      </c>
      <c r="BB41" s="73" t="n">
        <f aca="false">IF(ABS(BB36)&lt;1,9999,BB40/ABS(BB36))</f>
        <v>9999</v>
      </c>
    </row>
    <row r="42" customFormat="false" ht="15" hidden="false" customHeight="true" outlineLevel="0" collapsed="false">
      <c r="B42" s="20" t="s">
        <v>568</v>
      </c>
      <c r="C42" s="72" t="n">
        <f aca="false">MIN(E41:BB41)</f>
        <v>0</v>
      </c>
    </row>
    <row r="43" customFormat="false" ht="15" hidden="false" customHeight="true" outlineLevel="0" collapsed="false">
      <c r="B43" s="20" t="s">
        <v>569</v>
      </c>
      <c r="C43" s="72" t="n">
        <f aca="false">AVERAGEIF(E41:BB41,"&lt;9999")</f>
        <v>0.517884542117195</v>
      </c>
    </row>
    <row r="45" customFormat="false" ht="15" hidden="false" customHeight="true" outlineLevel="0" collapsed="false">
      <c r="A45" s="58" t="s">
        <v>570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</row>
    <row r="47" customFormat="false" ht="15" hidden="false" customHeight="true" outlineLevel="0" collapsed="false">
      <c r="B47" s="20" t="s">
        <v>571</v>
      </c>
    </row>
    <row r="48" customFormat="false" ht="15" hidden="false" customHeight="true" outlineLevel="0" collapsed="false">
      <c r="B48" s="59" t="s">
        <v>572</v>
      </c>
      <c r="C48" s="61" t="n">
        <f aca="false">C13</f>
        <v>1155438729.0565</v>
      </c>
      <c r="D48" s="67" t="n">
        <f aca="false">IF(C50=0,0,C48/C50)</f>
        <v>0.7</v>
      </c>
    </row>
    <row r="49" customFormat="false" ht="15" hidden="false" customHeight="true" outlineLevel="0" collapsed="false">
      <c r="B49" s="59" t="s">
        <v>573</v>
      </c>
      <c r="C49" s="61" t="n">
        <f aca="false">C12</f>
        <v>495188026.7385</v>
      </c>
      <c r="D49" s="67" t="n">
        <f aca="false">IF(C50=0,0,C49/C50)</f>
        <v>0.3</v>
      </c>
    </row>
    <row r="50" customFormat="false" ht="15" hidden="false" customHeight="true" outlineLevel="0" collapsed="false">
      <c r="B50" s="20" t="s">
        <v>574</v>
      </c>
      <c r="C50" s="63" t="n">
        <f aca="false">C48+C49</f>
        <v>1650626755.795</v>
      </c>
      <c r="D50" s="71" t="n">
        <f aca="false">D48+D49</f>
        <v>1</v>
      </c>
    </row>
    <row r="52" customFormat="false" ht="15" hidden="false" customHeight="true" outlineLevel="0" collapsed="false">
      <c r="B52" s="20" t="s">
        <v>575</v>
      </c>
    </row>
    <row r="53" customFormat="false" ht="15" hidden="false" customHeight="true" outlineLevel="0" collapsed="false">
      <c r="B53" s="59" t="s">
        <v>425</v>
      </c>
      <c r="C53" s="61" t="n">
        <f aca="false">C11</f>
        <v>1650626755.795</v>
      </c>
      <c r="D53" s="67" t="n">
        <f aca="false">IF(C55=0,0,C53/C55)</f>
        <v>1</v>
      </c>
    </row>
    <row r="54" customFormat="false" ht="15" hidden="false" customHeight="true" outlineLevel="0" collapsed="false">
      <c r="B54" s="74" t="s">
        <v>576</v>
      </c>
      <c r="C54" s="61" t="n">
        <f aca="false">'Fund_ZAN 1'!D69+'Fund_ZAN 2'!D69+'Fund_ZAN 3'!D69+'Fund_ZAN 4'!D69+'Fund_ZAN 5'!D69+'Fund_ZAN 6'!D69</f>
        <v>249555936.266741</v>
      </c>
    </row>
    <row r="55" customFormat="false" ht="15" hidden="false" customHeight="true" outlineLevel="0" collapsed="false">
      <c r="B55" s="20" t="s">
        <v>577</v>
      </c>
      <c r="C55" s="63" t="n">
        <f aca="false">C53</f>
        <v>1650626755.795</v>
      </c>
      <c r="D55" s="71" t="n">
        <f aca="false">SUM(D53)</f>
        <v>1</v>
      </c>
    </row>
    <row r="57" customFormat="false" ht="15" hidden="false" customHeight="true" outlineLevel="0" collapsed="false">
      <c r="A57" s="58" t="s">
        <v>578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</row>
    <row r="58" customFormat="false" ht="15" hidden="false" customHeight="true" outlineLevel="0" collapsed="false">
      <c r="B58" s="59" t="s">
        <v>579</v>
      </c>
      <c r="C58" s="59" t="str">
        <f aca="false">IF(C15&lt;=C21+0.001,"✓","✗")</f>
        <v>✓</v>
      </c>
    </row>
    <row r="59" customFormat="false" ht="15" hidden="false" customHeight="true" outlineLevel="0" collapsed="false">
      <c r="B59" s="59" t="s">
        <v>580</v>
      </c>
      <c r="C59" s="59" t="str">
        <f aca="false">IF(ABS(C50-C55)&lt;C50*0.01,"✓","✗")</f>
        <v>✓</v>
      </c>
    </row>
    <row r="60" customFormat="false" ht="15" hidden="false" customHeight="true" outlineLevel="0" collapsed="false">
      <c r="B60" s="59" t="s">
        <v>581</v>
      </c>
      <c r="C60" s="59" t="str">
        <f aca="false">IF(IFERROR(LOOKUP(2,1/(E41:BB41&lt;9999),E41:BB41),0)&gt;=1,"✓","✗")</f>
        <v>✓</v>
      </c>
    </row>
    <row r="61" customFormat="false" ht="15" hidden="false" customHeight="true" outlineLevel="0" collapsed="false">
      <c r="B61" s="59" t="s">
        <v>582</v>
      </c>
      <c r="C61" s="59" t="str">
        <f aca="false">IF(IFERROR(MIN(E38:BB38),0)&gt;=0,"✓","✗")</f>
        <v>✓</v>
      </c>
    </row>
  </sheetData>
  <sheetProtection sheet="true" password="ce4b"/>
  <dataValidations count="2">
    <dataValidation allowBlank="false" errorStyle="stop" operator="between" showDropDown="false" showErrorMessage="false" showInputMessage="false" sqref="C5" type="list">
      <formula1>"All,ZAN 1,ZAN 2,ZAN 3,ZAN 4,ZAN 5,ZAN 6"</formula1>
      <formula2>0</formula2>
    </dataValidation>
    <dataValidation allowBlank="false" errorStyle="stop" operator="between" showDropDown="false" showErrorMessage="false" showInputMessage="false" sqref="C22" type="list">
      <formula1>"Equal Installment,Bullet,Balloon"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5"/>
    <col collapsed="false" customWidth="true" hidden="false" outlineLevel="0" max="3" min="3" style="1" width="12"/>
    <col collapsed="false" customWidth="true" hidden="false" outlineLevel="0" max="4" min="4" style="1" width="50"/>
    <col collapsed="false" customWidth="true" hidden="false" outlineLevel="0" max="5" min="5" style="1" width="14"/>
  </cols>
  <sheetData>
    <row r="1" customFormat="false" ht="16.5" hidden="false" customHeight="true" outlineLevel="0" collapsed="false">
      <c r="A1" s="75" t="s">
        <v>583</v>
      </c>
    </row>
    <row r="2" customFormat="false" ht="15" hidden="false" customHeight="true" outlineLevel="0" collapsed="false">
      <c r="A2" s="30" t="s">
        <v>584</v>
      </c>
    </row>
    <row r="4" customFormat="false" ht="15" hidden="false" customHeight="true" outlineLevel="0" collapsed="false">
      <c r="A4" s="58" t="s">
        <v>585</v>
      </c>
      <c r="B4" s="58"/>
      <c r="C4" s="58"/>
      <c r="D4" s="58"/>
      <c r="E4" s="58"/>
      <c r="F4" s="58"/>
    </row>
    <row r="5" customFormat="false" ht="15" hidden="false" customHeight="true" outlineLevel="0" collapsed="false">
      <c r="A5" s="76" t="s">
        <v>229</v>
      </c>
      <c r="B5" s="76" t="s">
        <v>586</v>
      </c>
      <c r="C5" s="76" t="s">
        <v>587</v>
      </c>
      <c r="D5" s="76" t="s">
        <v>588</v>
      </c>
      <c r="E5" s="76" t="s">
        <v>589</v>
      </c>
    </row>
    <row r="6" customFormat="false" ht="15" hidden="false" customHeight="true" outlineLevel="0" collapsed="false">
      <c r="A6" s="59" t="n">
        <v>1</v>
      </c>
      <c r="B6" s="59" t="s">
        <v>590</v>
      </c>
      <c r="C6" s="59" t="str">
        <f aca="false">IF(ABS(Program!H34-SUMPRODUCT(Program!H4:H33))&lt;=1,"PASS","FAIL")</f>
        <v>PASS</v>
      </c>
      <c r="D6" s="30" t="s">
        <v>591</v>
      </c>
    </row>
    <row r="7" customFormat="false" ht="15" hidden="false" customHeight="true" outlineLevel="0" collapsed="false">
      <c r="A7" s="59" t="n">
        <v>2</v>
      </c>
      <c r="B7" s="59" t="s">
        <v>592</v>
      </c>
      <c r="C7" s="59" t="str">
        <f aca="false">IF(MIN(Program!H4:H33)&gt;=0,"PASS","FAIL")</f>
        <v>PASS</v>
      </c>
      <c r="D7" s="30" t="s">
        <v>593</v>
      </c>
    </row>
    <row r="8" customFormat="false" ht="15" hidden="false" customHeight="true" outlineLevel="0" collapsed="false">
      <c r="A8" s="59" t="n">
        <v>3</v>
      </c>
      <c r="B8" s="59" t="s">
        <v>594</v>
      </c>
      <c r="C8" s="59" t="str">
        <f aca="false">IF(ABS(Inputs!E60-1)&lt;0.001,"PASS","FAIL")</f>
        <v>PASS</v>
      </c>
      <c r="D8" s="30" t="s">
        <v>595</v>
      </c>
    </row>
    <row r="9" customFormat="false" ht="15" hidden="false" customHeight="true" outlineLevel="0" collapsed="false">
      <c r="A9" s="59" t="n">
        <v>4</v>
      </c>
      <c r="B9" s="59" t="s">
        <v>596</v>
      </c>
      <c r="C9" s="59" t="str">
        <f aca="false">IF(ABS(CAPEX!D52-Program!T34)&lt;1,"PASS","FAIL")</f>
        <v>PASS</v>
      </c>
      <c r="D9" s="30" t="s">
        <v>597</v>
      </c>
    </row>
    <row r="10" customFormat="false" ht="15" hidden="false" customHeight="true" outlineLevel="0" collapsed="false">
      <c r="A10" s="59" t="n">
        <v>5</v>
      </c>
      <c r="B10" s="59" t="s">
        <v>598</v>
      </c>
      <c r="C10" s="59" t="str">
        <f aca="false">IF(Revenue!D36&gt;0,"PASS","FAIL")</f>
        <v>PASS</v>
      </c>
      <c r="D10" s="30" t="s">
        <v>599</v>
      </c>
    </row>
    <row r="11" customFormat="false" ht="15" hidden="false" customHeight="true" outlineLevel="0" collapsed="false">
      <c r="A11" s="59" t="n">
        <v>6</v>
      </c>
      <c r="B11" s="59" t="s">
        <v>600</v>
      </c>
      <c r="C11" s="59" t="str">
        <f aca="false">IF(ABS(CashFlow!C113-(CashFlow!C110+CashFlow!C111+CashFlow!C112))&lt;1,"PASS","FAIL")</f>
        <v>PASS</v>
      </c>
      <c r="D11" s="30" t="s">
        <v>601</v>
      </c>
    </row>
    <row r="12" customFormat="false" ht="15" hidden="false" customHeight="true" outlineLevel="0" collapsed="false">
      <c r="A12" s="59" t="n">
        <v>7</v>
      </c>
      <c r="B12" s="59" t="s">
        <v>602</v>
      </c>
      <c r="C12" s="59" t="str">
        <f aca="false">IF(ISNUMBER(CashFlow!C115),"PASS","FAIL")</f>
        <v>PASS</v>
      </c>
      <c r="D12" s="30" t="s">
        <v>603</v>
      </c>
    </row>
    <row r="13" customFormat="false" ht="15" hidden="false" customHeight="true" outlineLevel="0" collapsed="false">
      <c r="A13" s="59" t="n">
        <v>8</v>
      </c>
      <c r="B13" s="59" t="s">
        <v>604</v>
      </c>
      <c r="C13" s="59" t="str">
        <f aca="false">IF(ISNUMBER(CashFlow!C119),"PASS","FAIL")</f>
        <v>PASS</v>
      </c>
      <c r="D13" s="30" t="s">
        <v>605</v>
      </c>
    </row>
    <row r="14" customFormat="false" ht="15" hidden="false" customHeight="true" outlineLevel="0" collapsed="false">
      <c r="A14" s="59" t="n">
        <v>9</v>
      </c>
      <c r="B14" s="59" t="s">
        <v>606</v>
      </c>
      <c r="C14" s="59" t="str">
        <f aca="false">IF(AND(ISNUMBER(CashFlow!C123),CashFlow!C123&gt;0,CashFlow!C123&lt;=50),"PASS","FAIL")</f>
        <v>PASS</v>
      </c>
      <c r="D14" s="30" t="s">
        <v>607</v>
      </c>
    </row>
    <row r="16" customFormat="false" ht="15" hidden="false" customHeight="true" outlineLevel="0" collapsed="false">
      <c r="A16" s="58" t="s">
        <v>608</v>
      </c>
      <c r="B16" s="58"/>
      <c r="C16" s="58"/>
      <c r="D16" s="58"/>
      <c r="E16" s="58"/>
      <c r="F16" s="58"/>
    </row>
    <row r="17" customFormat="false" ht="15" hidden="false" customHeight="true" outlineLevel="0" collapsed="false">
      <c r="A17" s="76" t="s">
        <v>229</v>
      </c>
      <c r="B17" s="76" t="s">
        <v>586</v>
      </c>
      <c r="C17" s="76" t="s">
        <v>45</v>
      </c>
      <c r="D17" s="76" t="s">
        <v>46</v>
      </c>
      <c r="E17" s="76" t="s">
        <v>47</v>
      </c>
      <c r="F17" s="76" t="s">
        <v>48</v>
      </c>
      <c r="G17" s="76" t="s">
        <v>49</v>
      </c>
      <c r="H17" s="76" t="s">
        <v>50</v>
      </c>
    </row>
    <row r="18" customFormat="false" ht="15" hidden="false" customHeight="true" outlineLevel="0" collapsed="false">
      <c r="A18" s="59" t="n">
        <v>1</v>
      </c>
      <c r="B18" s="59" t="s">
        <v>510</v>
      </c>
      <c r="C18" s="22" t="str">
        <f aca="false">'Fund_ZAN 1'!C119</f>
        <v>✓</v>
      </c>
      <c r="D18" s="22" t="str">
        <f aca="false">'Fund_ZAN 2'!C119</f>
        <v>✓</v>
      </c>
      <c r="E18" s="22" t="str">
        <f aca="false">'Fund_ZAN 3'!C119</f>
        <v>✓</v>
      </c>
      <c r="F18" s="22" t="str">
        <f aca="false">'Fund_ZAN 4'!C119</f>
        <v>✓</v>
      </c>
      <c r="G18" s="22" t="str">
        <f aca="false">'Fund_ZAN 5'!C119</f>
        <v>✓</v>
      </c>
      <c r="H18" s="22" t="str">
        <f aca="false">'Fund_ZAN 6'!C119</f>
        <v>✓</v>
      </c>
    </row>
    <row r="19" customFormat="false" ht="15" hidden="false" customHeight="true" outlineLevel="0" collapsed="false">
      <c r="A19" s="59" t="n">
        <v>2</v>
      </c>
      <c r="B19" s="59" t="s">
        <v>609</v>
      </c>
      <c r="C19" s="22" t="str">
        <f aca="false">'Fund_ZAN 1'!C120</f>
        <v>✓</v>
      </c>
      <c r="D19" s="22" t="str">
        <f aca="false">'Fund_ZAN 2'!C120</f>
        <v>✓</v>
      </c>
      <c r="E19" s="22" t="str">
        <f aca="false">'Fund_ZAN 3'!C120</f>
        <v>✓</v>
      </c>
      <c r="F19" s="22" t="str">
        <f aca="false">'Fund_ZAN 4'!C120</f>
        <v>✓</v>
      </c>
      <c r="G19" s="22" t="str">
        <f aca="false">'Fund_ZAN 5'!C120</f>
        <v>✓</v>
      </c>
      <c r="H19" s="22" t="str">
        <f aca="false">'Fund_ZAN 6'!C120</f>
        <v>✓</v>
      </c>
    </row>
    <row r="20" customFormat="false" ht="15" hidden="false" customHeight="true" outlineLevel="0" collapsed="false">
      <c r="A20" s="59" t="n">
        <v>3</v>
      </c>
      <c r="B20" s="59" t="s">
        <v>610</v>
      </c>
      <c r="C20" s="22" t="str">
        <f aca="false">'Fund_ZAN 1'!C121</f>
        <v>✓</v>
      </c>
      <c r="D20" s="22" t="str">
        <f aca="false">'Fund_ZAN 2'!C121</f>
        <v>✓</v>
      </c>
      <c r="E20" s="22" t="str">
        <f aca="false">'Fund_ZAN 3'!C121</f>
        <v>✓</v>
      </c>
      <c r="F20" s="22" t="str">
        <f aca="false">'Fund_ZAN 4'!C121</f>
        <v>✓</v>
      </c>
      <c r="G20" s="22" t="str">
        <f aca="false">'Fund_ZAN 5'!C121</f>
        <v>✓</v>
      </c>
      <c r="H20" s="22" t="str">
        <f aca="false">'Fund_ZAN 6'!C121</f>
        <v>✓</v>
      </c>
    </row>
    <row r="21" customFormat="false" ht="15" hidden="false" customHeight="true" outlineLevel="0" collapsed="false">
      <c r="A21" s="59" t="n">
        <v>4</v>
      </c>
      <c r="B21" s="59" t="s">
        <v>513</v>
      </c>
      <c r="C21" s="22" t="str">
        <f aca="false">'Fund_ZAN 1'!C122</f>
        <v>✓</v>
      </c>
      <c r="D21" s="22" t="str">
        <f aca="false">'Fund_ZAN 2'!C122</f>
        <v>✓</v>
      </c>
      <c r="E21" s="22" t="str">
        <f aca="false">'Fund_ZAN 3'!C122</f>
        <v>✓</v>
      </c>
      <c r="F21" s="22" t="str">
        <f aca="false">'Fund_ZAN 4'!C122</f>
        <v>✓</v>
      </c>
      <c r="G21" s="22" t="str">
        <f aca="false">'Fund_ZAN 5'!C122</f>
        <v>✓</v>
      </c>
      <c r="H21" s="22" t="str">
        <f aca="false">'Fund_ZAN 6'!C122</f>
        <v>✓</v>
      </c>
    </row>
    <row r="22" customFormat="false" ht="15" hidden="false" customHeight="true" outlineLevel="0" collapsed="false">
      <c r="A22" s="59" t="n">
        <v>5</v>
      </c>
      <c r="B22" s="59" t="s">
        <v>514</v>
      </c>
      <c r="C22" s="22" t="str">
        <f aca="false">'Fund_ZAN 1'!C123</f>
        <v>✓</v>
      </c>
      <c r="D22" s="22" t="str">
        <f aca="false">'Fund_ZAN 2'!C123</f>
        <v>✓</v>
      </c>
      <c r="E22" s="22" t="str">
        <f aca="false">'Fund_ZAN 3'!C123</f>
        <v>✓</v>
      </c>
      <c r="F22" s="22" t="str">
        <f aca="false">'Fund_ZAN 4'!C123</f>
        <v>✓</v>
      </c>
      <c r="G22" s="22" t="str">
        <f aca="false">'Fund_ZAN 5'!C123</f>
        <v>✓</v>
      </c>
      <c r="H22" s="22" t="str">
        <f aca="false">'Fund_ZAN 6'!C123</f>
        <v>✓</v>
      </c>
    </row>
    <row r="23" customFormat="false" ht="15" hidden="false" customHeight="true" outlineLevel="0" collapsed="false">
      <c r="A23" s="59" t="n">
        <v>6</v>
      </c>
      <c r="B23" s="59" t="s">
        <v>611</v>
      </c>
      <c r="C23" s="22" t="str">
        <f aca="false">'Fund_ZAN 1'!C124</f>
        <v>✓</v>
      </c>
      <c r="D23" s="22" t="str">
        <f aca="false">'Fund_ZAN 2'!C124</f>
        <v>✓</v>
      </c>
      <c r="E23" s="22" t="str">
        <f aca="false">'Fund_ZAN 3'!C124</f>
        <v>✓</v>
      </c>
      <c r="F23" s="22" t="str">
        <f aca="false">'Fund_ZAN 4'!C124</f>
        <v>✓</v>
      </c>
      <c r="G23" s="22" t="str">
        <f aca="false">'Fund_ZAN 5'!C124</f>
        <v>✓</v>
      </c>
      <c r="H23" s="22" t="str">
        <f aca="false">'Fund_ZAN 6'!C124</f>
        <v>✓</v>
      </c>
    </row>
    <row r="25" customFormat="false" ht="15" hidden="false" customHeight="true" outlineLevel="0" collapsed="false">
      <c r="A25" s="58" t="s">
        <v>612</v>
      </c>
      <c r="B25" s="58"/>
      <c r="C25" s="58"/>
      <c r="D25" s="58"/>
      <c r="E25" s="58"/>
      <c r="F25" s="58"/>
    </row>
    <row r="26" customFormat="false" ht="15" hidden="false" customHeight="true" outlineLevel="0" collapsed="false">
      <c r="A26" s="76" t="s">
        <v>229</v>
      </c>
      <c r="B26" s="76" t="s">
        <v>586</v>
      </c>
      <c r="C26" s="76" t="s">
        <v>587</v>
      </c>
      <c r="D26" s="76" t="s">
        <v>588</v>
      </c>
    </row>
    <row r="27" customFormat="false" ht="15" hidden="false" customHeight="true" outlineLevel="0" collapsed="false">
      <c r="A27" s="59" t="n">
        <v>1</v>
      </c>
      <c r="B27" s="59" t="s">
        <v>579</v>
      </c>
      <c r="C27" s="22" t="str">
        <f aca="false">Bank!C58</f>
        <v>✓</v>
      </c>
      <c r="D27" s="30" t="s">
        <v>613</v>
      </c>
    </row>
    <row r="28" customFormat="false" ht="15" hidden="false" customHeight="true" outlineLevel="0" collapsed="false">
      <c r="A28" s="59" t="n">
        <v>2</v>
      </c>
      <c r="B28" s="59" t="s">
        <v>614</v>
      </c>
      <c r="C28" s="22" t="str">
        <f aca="false">Bank!C59</f>
        <v>✓</v>
      </c>
      <c r="D28" s="30" t="s">
        <v>615</v>
      </c>
    </row>
    <row r="29" customFormat="false" ht="15" hidden="false" customHeight="true" outlineLevel="0" collapsed="false">
      <c r="A29" s="59" t="n">
        <v>3</v>
      </c>
      <c r="B29" s="59" t="s">
        <v>616</v>
      </c>
      <c r="C29" s="22" t="str">
        <f aca="false">Bank!C60</f>
        <v>✓</v>
      </c>
      <c r="D29" s="30" t="s">
        <v>617</v>
      </c>
    </row>
    <row r="30" customFormat="false" ht="15" hidden="false" customHeight="true" outlineLevel="0" collapsed="false">
      <c r="A30" s="59" t="n">
        <v>4</v>
      </c>
      <c r="B30" s="59" t="s">
        <v>618</v>
      </c>
      <c r="C30" s="22" t="str">
        <f aca="false">Bank!C61</f>
        <v>✓</v>
      </c>
      <c r="D30" s="30" t="s">
        <v>619</v>
      </c>
    </row>
    <row r="32" customFormat="false" ht="15" hidden="false" customHeight="true" outlineLevel="0" collapsed="false">
      <c r="A32" s="58" t="s">
        <v>620</v>
      </c>
      <c r="B32" s="58"/>
      <c r="C32" s="58"/>
      <c r="D32" s="58"/>
      <c r="E32" s="58"/>
      <c r="F32" s="58"/>
    </row>
    <row r="33" customFormat="false" ht="15" hidden="false" customHeight="true" outlineLevel="0" collapsed="false">
      <c r="A33" s="76" t="s">
        <v>229</v>
      </c>
      <c r="B33" s="76" t="s">
        <v>586</v>
      </c>
      <c r="C33" s="76" t="s">
        <v>587</v>
      </c>
      <c r="D33" s="76" t="s">
        <v>588</v>
      </c>
    </row>
    <row r="34" customFormat="false" ht="15" hidden="false" customHeight="true" outlineLevel="0" collapsed="false">
      <c r="A34" s="59" t="n">
        <v>1</v>
      </c>
      <c r="B34" s="59" t="s">
        <v>621</v>
      </c>
      <c r="C34" s="59" t="str">
        <f aca="false">IF(ABS('Fund_ZAN 1'!C14+'Fund_ZAN 2'!C14+'Fund_ZAN 3'!C14+'Fund_ZAN 4'!C14+'Fund_ZAN 5'!C14+'Fund_ZAN 6'!C14-Fund_Summary!D14)&lt;1,"PASS","FAIL")</f>
        <v>PASS</v>
      </c>
      <c r="D34" s="30" t="s">
        <v>622</v>
      </c>
    </row>
    <row r="35" customFormat="false" ht="15" hidden="false" customHeight="true" outlineLevel="0" collapsed="false">
      <c r="A35" s="59" t="n">
        <v>2</v>
      </c>
      <c r="B35" s="59" t="s">
        <v>623</v>
      </c>
      <c r="C35" s="59" t="str">
        <f aca="false">IF(ABS(Bank!C13-('Fund_ZAN 1'!C19+'Fund_ZAN 2'!C19+'Fund_ZAN 3'!C19+'Fund_ZAN 4'!C19+'Fund_ZAN 5'!C19+'Fund_ZAN 6'!C19))&lt;1,"PASS","FAIL")</f>
        <v>PASS</v>
      </c>
      <c r="D35" s="30" t="s">
        <v>624</v>
      </c>
    </row>
    <row r="36" customFormat="false" ht="15" hidden="false" customHeight="true" outlineLevel="0" collapsed="false">
      <c r="A36" s="59" t="n">
        <v>3</v>
      </c>
      <c r="B36" s="59" t="s">
        <v>625</v>
      </c>
      <c r="C36" s="59" t="str">
        <f aca="false">IF(ABS(Bank!C11-('Fund_ZAN 1'!C18+'Fund_ZAN 2'!C18+'Fund_ZAN 3'!C18+'Fund_ZAN 4'!C18+'Fund_ZAN 5'!C18+'Fund_ZAN 6'!C18))&lt;1,"PASS","FAIL")</f>
        <v>PASS</v>
      </c>
      <c r="D36" s="30" t="s">
        <v>626</v>
      </c>
    </row>
    <row r="37" customFormat="false" ht="15" hidden="false" customHeight="true" outlineLevel="0" collapsed="false">
      <c r="A37" s="59" t="n">
        <v>4</v>
      </c>
      <c r="B37" s="59" t="s">
        <v>627</v>
      </c>
      <c r="C37" s="59" t="str">
        <f aca="false">IF(ABS(CAPEX!D52-ABS(CashFlow!C112))&lt;1,"PASS","FAIL")</f>
        <v>PASS</v>
      </c>
      <c r="D37" s="30" t="s">
        <v>628</v>
      </c>
    </row>
    <row r="38" customFormat="false" ht="15" hidden="false" customHeight="true" outlineLevel="0" collapsed="false">
      <c r="A38" s="59" t="n">
        <v>5</v>
      </c>
      <c r="B38" s="59" t="s">
        <v>629</v>
      </c>
      <c r="C38" s="59" t="str">
        <f aca="false">IF(ABS((Revenue!D36+Revenue!D37+Revenue!D38)-CashFlow!C110)&lt;CashFlow!C110*0.001,"PASS","FAIL")</f>
        <v>PASS</v>
      </c>
      <c r="D38" s="30" t="s">
        <v>630</v>
      </c>
    </row>
    <row r="40" customFormat="false" ht="15" hidden="false" customHeight="true" outlineLevel="0" collapsed="false">
      <c r="A40" s="58" t="s">
        <v>631</v>
      </c>
      <c r="B40" s="58"/>
      <c r="C40" s="58"/>
      <c r="D40" s="58"/>
      <c r="E40" s="58"/>
      <c r="F40" s="58"/>
    </row>
    <row r="41" customFormat="false" ht="15" hidden="false" customHeight="true" outlineLevel="0" collapsed="false">
      <c r="B41" s="20" t="s">
        <v>632</v>
      </c>
      <c r="C41" s="20" t="str">
        <f aca="false">IF(COUNTIF(C6:C14,"FAIL")=0,"ALL PASS ✓","ERRORS: "&amp;COUNTIF(C6:C14,"FAIL"))</f>
        <v>ALL PASS ✓</v>
      </c>
    </row>
    <row r="42" customFormat="false" ht="15" hidden="false" customHeight="true" outlineLevel="0" collapsed="false">
      <c r="B42" s="20" t="s">
        <v>633</v>
      </c>
      <c r="C42" s="20" t="str">
        <f aca="false">IF(COUNTIF(C18:E23,"✗")=0,"ALL PASS ✓","ERRORS: "&amp;COUNTIF(C18:E23,"✗"))</f>
        <v>ALL PASS ✓</v>
      </c>
    </row>
    <row r="43" customFormat="false" ht="15" hidden="false" customHeight="true" outlineLevel="0" collapsed="false">
      <c r="B43" s="20" t="s">
        <v>634</v>
      </c>
      <c r="C43" s="20" t="str">
        <f aca="false">IF(COUNTIF(C27:C30,"✗")=0,"ALL PASS ✓","ERRORS: "&amp;COUNTIF(C27:C30,"✗"))</f>
        <v>ALL PASS ✓</v>
      </c>
    </row>
    <row r="44" customFormat="false" ht="15" hidden="false" customHeight="true" outlineLevel="0" collapsed="false">
      <c r="B44" s="20" t="s">
        <v>635</v>
      </c>
      <c r="C44" s="20" t="str">
        <f aca="false">IF(COUNTIF(C34:C38,"FAIL")=0,"ALL PASS ✓","ERRORS: "&amp;COUNTIF(C34:C38,"FAIL"))</f>
        <v>ALL PASS ✓</v>
      </c>
    </row>
    <row r="46" customFormat="false" ht="15" hidden="false" customHeight="true" outlineLevel="0" collapsed="false">
      <c r="B46" s="77" t="s">
        <v>636</v>
      </c>
      <c r="C46" s="78" t="str">
        <f aca="false">IF(AND(C41="ALL PASS ✓",C42="ALL PASS ✓",C43="ALL PASS ✓",C44="ALL PASS ✓"),"✓ MODEL CLEAN","✗ ERRORS FOUND")</f>
        <v>✓ MODEL CLEAN</v>
      </c>
    </row>
  </sheetData>
  <sheetProtection sheet="true" password="ce4b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2026-03-23T19:30:33Z</dcterms:created>
  <dc:creator>openpyxl</dc:creator>
  <dc:description/>
  <dc:language>en-US</dc:language>
  <cp:lastModifiedBy/>
  <dcterms:modified xsi:type="dcterms:W3CDTF">2026-03-23T22:25:57Z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