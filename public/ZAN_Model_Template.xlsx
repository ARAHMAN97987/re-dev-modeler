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ogram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Operating_PL" sheetId="6" state="visible" r:id="rId6"/>
    <sheet xmlns:r="http://schemas.openxmlformats.org/officeDocument/2006/relationships" name="Fund_Summary" sheetId="7" state="visible" r:id="rId7"/>
    <sheet xmlns:r="http://schemas.openxmlformats.org/officeDocument/2006/relationships" name="Fund_ZAN 1" sheetId="8" state="visible" r:id="rId8"/>
    <sheet xmlns:r="http://schemas.openxmlformats.org/officeDocument/2006/relationships" name="Fund_ZAN 2" sheetId="9" state="visible" r:id="rId9"/>
    <sheet xmlns:r="http://schemas.openxmlformats.org/officeDocument/2006/relationships" name="Fund_ZAN 3" sheetId="10" state="visible" r:id="rId10"/>
    <sheet xmlns:r="http://schemas.openxmlformats.org/officeDocument/2006/relationships" name="Fund_ZAN 4" sheetId="11" state="visible" r:id="rId11"/>
    <sheet xmlns:r="http://schemas.openxmlformats.org/officeDocument/2006/relationships" name="Fund_ZAN 5" sheetId="12" state="visible" r:id="rId12"/>
    <sheet xmlns:r="http://schemas.openxmlformats.org/officeDocument/2006/relationships" name="Fund_ZAN 6" sheetId="13" state="visible" r:id="rId13"/>
    <sheet xmlns:r="http://schemas.openxmlformats.org/officeDocument/2006/relationships" name="Bank" sheetId="14" state="visible" r:id="rId14"/>
    <sheet xmlns:r="http://schemas.openxmlformats.org/officeDocument/2006/relationships" name="9_Checks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[RED]\(#,##0\);\-"/>
    <numFmt numFmtId="165" formatCode="0.0"/>
    <numFmt numFmtId="166" formatCode="0.00\x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6B728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F2937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6B7280"/>
      <sz val="9"/>
    </font>
    <font>
      <name val="Arial"/>
      <charset val="1"/>
      <family val="0"/>
      <color rgb="FF9CA3AF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1B4F72"/>
      <sz val="11"/>
    </font>
    <font>
      <name val="Arial"/>
      <charset val="1"/>
      <family val="0"/>
      <color rgb="FF808080"/>
      <sz val="10"/>
    </font>
    <font>
      <name val="Arial"/>
      <charset val="1"/>
      <family val="0"/>
      <color rgb="FF808080"/>
      <sz val="9"/>
    </font>
    <font>
      <name val="Arial"/>
      <charset val="1"/>
      <family val="0"/>
      <i val="1"/>
      <color rgb="FF808080"/>
      <sz val="9"/>
    </font>
    <font>
      <name val="Calibri"/>
      <charset val="1"/>
      <family val="0"/>
      <sz val="10"/>
    </font>
    <font>
      <name val="Calibri"/>
      <charset val="1"/>
      <family val="0"/>
      <color rgb="FF0000FF"/>
      <sz val="11"/>
    </font>
    <font>
      <name val="Arial"/>
      <charset val="1"/>
      <family val="0"/>
      <color rgb="FF000000"/>
      <sz val="9"/>
    </font>
    <font>
      <name val="Arial"/>
      <charset val="1"/>
      <family val="0"/>
      <color rgb="FF008000"/>
      <sz val="9"/>
    </font>
    <font>
      <name val="Arial"/>
      <charset val="1"/>
      <family val="0"/>
      <b val="1"/>
      <color rgb="FF1F2937"/>
      <sz val="10"/>
    </font>
    <font>
      <name val="Arial"/>
      <charset val="1"/>
      <family val="0"/>
      <b val="1"/>
      <sz val="9"/>
    </font>
    <font>
      <name val="Arial"/>
      <charset val="1"/>
      <family val="0"/>
      <b val="1"/>
      <color rgb="FF001E39"/>
      <sz val="10"/>
    </font>
    <font>
      <name val="Arial"/>
      <charset val="1"/>
      <family val="0"/>
      <b val="1"/>
      <color rgb="FF2E7D32"/>
      <sz val="8"/>
    </font>
    <font>
      <name val="Arial"/>
      <charset val="1"/>
      <family val="0"/>
      <color rgb="FF008000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B4F72"/>
      <sz val="10"/>
    </font>
    <font>
      <name val="FreeSans"/>
      <family val="2"/>
      <color theme="1"/>
      <sz val="11"/>
    </font>
    <font>
      <name val="FreeSans"/>
      <charset val="1"/>
      <family val="2"/>
      <color theme="1"/>
      <sz val="11"/>
    </font>
    <font>
      <name val="Calibri"/>
      <charset val="1"/>
      <family val="0"/>
      <b val="1"/>
      <sz val="11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1B4F72"/>
      <sz val="14"/>
    </font>
    <font>
      <name val="Arial"/>
      <charset val="1"/>
      <family val="0"/>
      <b val="1"/>
      <color rgb="FF1B4F72"/>
      <sz val="12"/>
    </font>
    <font>
      <name val="Arial"/>
      <charset val="1"/>
      <family val="0"/>
      <b val="1"/>
      <sz val="12"/>
    </font>
  </fonts>
  <fills count="9">
    <fill>
      <patternFill/>
    </fill>
    <fill>
      <patternFill patternType="gray125"/>
    </fill>
    <fill>
      <patternFill patternType="solid">
        <fgColor rgb="FF001E39"/>
        <bgColor rgb="FF1F2937"/>
      </patternFill>
    </fill>
    <fill>
      <patternFill patternType="solid">
        <fgColor rgb="FF1F2937"/>
        <bgColor rgb="FF001E39"/>
      </patternFill>
    </fill>
    <fill>
      <patternFill patternType="solid">
        <fgColor rgb="FFEBF5FB"/>
        <bgColor rgb="FFF0FDF4"/>
      </patternFill>
    </fill>
    <fill>
      <patternFill patternType="solid">
        <fgColor rgb="FFD6EAF8"/>
        <bgColor rgb="FFEBF5FB"/>
      </patternFill>
    </fill>
    <fill>
      <patternFill patternType="solid">
        <fgColor rgb="FFF0FDF4"/>
        <bgColor rgb="FFEBF5FB"/>
      </patternFill>
    </fill>
    <fill>
      <patternFill patternType="solid">
        <fgColor rgb="FF2E7D32"/>
        <bgColor rgb="FF008000"/>
      </patternFill>
    </fill>
    <fill>
      <patternFill patternType="solid">
        <fgColor rgb="FF1B4F72"/>
        <bgColor rgb="FF1F2937"/>
      </patternFill>
    </fill>
  </fills>
  <borders count="2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4" borderId="1" applyAlignment="1" applyProtection="1" pivotButton="0" quotePrefix="0" xfId="0">
      <alignment horizontal="right" vertical="center"/>
      <protection locked="0" hidden="0"/>
    </xf>
    <xf numFmtId="1" fontId="8" fillId="4" borderId="1" applyAlignment="1" applyProtection="1" pivotButton="0" quotePrefix="0" xfId="0">
      <alignment horizontal="right" vertical="center"/>
      <protection locked="0" hidden="0"/>
    </xf>
    <xf numFmtId="10" fontId="8" fillId="4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applyProtection="1" pivotButton="0" quotePrefix="0" xfId="0">
      <alignment horizontal="right" vertical="center"/>
      <protection locked="0" hidden="0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right" vertical="center"/>
    </xf>
    <xf numFmtId="1" fontId="11" fillId="0" borderId="0" applyAlignment="1" pivotButton="0" quotePrefix="0" xfId="0">
      <alignment horizontal="right" vertical="center"/>
    </xf>
    <xf numFmtId="10" fontId="11" fillId="0" borderId="0" applyAlignment="1" pivotButton="0" quotePrefix="0" xfId="0">
      <alignment horizontal="right" vertical="center"/>
    </xf>
    <xf numFmtId="0" fontId="12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1" fontId="8" fillId="4" borderId="1" applyAlignment="1" applyProtection="1" pivotButton="0" quotePrefix="0" xfId="0">
      <alignment horizontal="general" vertical="bottom"/>
      <protection locked="0" hidden="0"/>
    </xf>
    <xf numFmtId="3" fontId="11" fillId="0" borderId="0" applyAlignment="1" pivotButton="0" quotePrefix="0" xfId="0">
      <alignment horizontal="general" vertical="bottom"/>
    </xf>
    <xf numFmtId="1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8" fillId="4" borderId="1" applyAlignment="1" applyProtection="1" pivotButton="0" quotePrefix="0" xfId="0">
      <alignment horizontal="general" vertical="bottom"/>
      <protection locked="0" hidden="0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10" fontId="8" fillId="4" borderId="1" applyAlignment="1" applyProtection="1" pivotButton="0" quotePrefix="0" xfId="0">
      <alignment horizontal="general" vertical="bottom"/>
      <protection locked="0" hidden="0"/>
    </xf>
    <xf numFmtId="165" fontId="8" fillId="4" borderId="1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3" fontId="8" fillId="4" borderId="1" applyAlignment="1" applyProtection="1" pivotButton="0" quotePrefix="0" xfId="0">
      <alignment horizontal="general" vertical="bottom"/>
      <protection locked="0" hidden="0"/>
    </xf>
    <xf numFmtId="0" fontId="19" fillId="0" borderId="0" applyAlignment="1" pivotButton="0" quotePrefix="0" xfId="0">
      <alignment horizontal="general" vertical="bottom"/>
    </xf>
    <xf numFmtId="10" fontId="20" fillId="4" borderId="1" applyAlignment="1" pivotButton="0" quotePrefix="0" xfId="0">
      <alignment horizontal="general" vertical="bottom"/>
    </xf>
    <xf numFmtId="3" fontId="20" fillId="4" borderId="1" applyAlignment="1" pivotButton="0" quotePrefix="0" xfId="0">
      <alignment horizontal="general" vertical="bottom"/>
    </xf>
    <xf numFmtId="0" fontId="20" fillId="4" borderId="1" applyAlignment="1" pivotButton="0" quotePrefix="0" xfId="0">
      <alignment horizontal="general" vertical="bottom"/>
    </xf>
    <xf numFmtId="3" fontId="20" fillId="4" borderId="1" applyAlignment="1" pivotButton="0" quotePrefix="0" xfId="0">
      <alignment horizontal="general" vertical="bottom"/>
    </xf>
    <xf numFmtId="10" fontId="20" fillId="4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3" fontId="22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3" fontId="21" fillId="0" borderId="0" applyAlignment="1" pivotButton="0" quotePrefix="0" xfId="0">
      <alignment horizontal="general" vertical="bottom"/>
    </xf>
    <xf numFmtId="10" fontId="2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center" vertical="bottom"/>
    </xf>
    <xf numFmtId="164" fontId="21" fillId="0" borderId="0" applyAlignment="1" pivotButton="0" quotePrefix="0" xfId="0">
      <alignment horizontal="general" vertical="bottom"/>
    </xf>
    <xf numFmtId="0" fontId="23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2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general" vertical="bottom"/>
    </xf>
    <xf numFmtId="164" fontId="25" fillId="0" borderId="0" applyAlignment="1" pivotButton="0" quotePrefix="0" xfId="0">
      <alignment horizontal="general" vertical="bottom"/>
    </xf>
    <xf numFmtId="0" fontId="6" fillId="8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center" vertical="bottom" wrapText="1"/>
    </xf>
    <xf numFmtId="164" fontId="14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1" fontId="14" fillId="0" borderId="0" applyAlignment="1" pivotButton="0" quotePrefix="0" xfId="0">
      <alignment horizontal="general" vertical="bottom"/>
    </xf>
    <xf numFmtId="164" fontId="29" fillId="0" borderId="0" applyAlignment="1" pivotButton="0" quotePrefix="0" xfId="0">
      <alignment horizontal="general" vertical="bottom"/>
    </xf>
    <xf numFmtId="10" fontId="29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0" fontId="6" fillId="8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" fontId="29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33" fillId="8" borderId="0" applyAlignment="1" pivotButton="0" quotePrefix="0" xfId="0">
      <alignment horizontal="general" vertical="bottom"/>
    </xf>
    <xf numFmtId="166" fontId="29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4" borderId="1" applyAlignment="1" applyProtection="1" pivotButton="0" quotePrefix="0" xfId="0">
      <alignment horizontal="right" vertical="center"/>
      <protection locked="0" hidden="0"/>
    </xf>
    <xf numFmtId="1" fontId="8" fillId="4" borderId="1" applyAlignment="1" applyProtection="1" pivotButton="0" quotePrefix="0" xfId="0">
      <alignment horizontal="right" vertical="center"/>
      <protection locked="0" hidden="0"/>
    </xf>
    <xf numFmtId="10" fontId="8" fillId="4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applyProtection="1" pivotButton="0" quotePrefix="0" xfId="0">
      <alignment horizontal="right" vertical="center"/>
      <protection locked="0" hidden="0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right" vertical="center"/>
    </xf>
    <xf numFmtId="1" fontId="11" fillId="0" borderId="0" applyAlignment="1" pivotButton="0" quotePrefix="0" xfId="0">
      <alignment horizontal="right" vertical="center"/>
    </xf>
    <xf numFmtId="10" fontId="11" fillId="0" borderId="0" applyAlignment="1" pivotButton="0" quotePrefix="0" xfId="0">
      <alignment horizontal="right" vertical="center"/>
    </xf>
    <xf numFmtId="0" fontId="12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1" fontId="8" fillId="4" borderId="1" applyAlignment="1" applyProtection="1" pivotButton="0" quotePrefix="0" xfId="0">
      <alignment horizontal="general" vertical="bottom"/>
      <protection locked="0" hidden="0"/>
    </xf>
    <xf numFmtId="3" fontId="11" fillId="0" borderId="0" applyAlignment="1" pivotButton="0" quotePrefix="0" xfId="0">
      <alignment horizontal="general" vertical="bottom"/>
    </xf>
    <xf numFmtId="1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8" fillId="4" borderId="1" applyAlignment="1" applyProtection="1" pivotButton="0" quotePrefix="0" xfId="0">
      <alignment horizontal="general" vertical="bottom"/>
      <protection locked="0" hidden="0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10" fontId="8" fillId="4" borderId="1" applyAlignment="1" applyProtection="1" pivotButton="0" quotePrefix="0" xfId="0">
      <alignment horizontal="general" vertical="bottom"/>
      <protection locked="0" hidden="0"/>
    </xf>
    <xf numFmtId="165" fontId="8" fillId="4" borderId="1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3" fontId="8" fillId="4" borderId="1" applyAlignment="1" applyProtection="1" pivotButton="0" quotePrefix="0" xfId="0">
      <alignment horizontal="general" vertical="bottom"/>
      <protection locked="0" hidden="0"/>
    </xf>
    <xf numFmtId="0" fontId="19" fillId="0" borderId="0" applyAlignment="1" pivotButton="0" quotePrefix="0" xfId="0">
      <alignment horizontal="general" vertical="bottom"/>
    </xf>
    <xf numFmtId="10" fontId="20" fillId="4" borderId="1" applyAlignment="1" pivotButton="0" quotePrefix="0" xfId="0">
      <alignment horizontal="general" vertical="bottom"/>
    </xf>
    <xf numFmtId="3" fontId="20" fillId="4" borderId="1" applyAlignment="1" pivotButton="0" quotePrefix="0" xfId="0">
      <alignment horizontal="general" vertical="bottom"/>
    </xf>
    <xf numFmtId="0" fontId="20" fillId="4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3" fontId="22" fillId="0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" fontId="21" fillId="0" borderId="0" applyAlignment="1" pivotButton="0" quotePrefix="0" xfId="0">
      <alignment horizontal="general" vertical="bottom"/>
    </xf>
    <xf numFmtId="3" fontId="21" fillId="0" borderId="0" applyAlignment="1" pivotButton="0" quotePrefix="0" xfId="0">
      <alignment horizontal="general" vertical="bottom"/>
    </xf>
    <xf numFmtId="10" fontId="2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center" vertical="bottom"/>
    </xf>
    <xf numFmtId="164" fontId="21" fillId="0" borderId="0" applyAlignment="1" pivotButton="0" quotePrefix="0" xfId="0">
      <alignment horizontal="general" vertical="bottom"/>
    </xf>
    <xf numFmtId="0" fontId="23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2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8" fillId="3" borderId="0" applyAlignment="1" pivotButton="0" quotePrefix="0" xfId="0">
      <alignment horizontal="general" vertical="bottom"/>
    </xf>
    <xf numFmtId="164" fontId="25" fillId="0" borderId="0" applyAlignment="1" pivotButton="0" quotePrefix="0" xfId="0">
      <alignment horizontal="general" vertical="bottom"/>
    </xf>
    <xf numFmtId="0" fontId="6" fillId="8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center" vertical="bottom" wrapText="1"/>
    </xf>
    <xf numFmtId="164" fontId="14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6" fontId="14" fillId="0" borderId="0" applyAlignment="1" pivotButton="0" quotePrefix="0" xfId="0">
      <alignment horizontal="general" vertical="bottom"/>
    </xf>
    <xf numFmtId="1" fontId="14" fillId="0" borderId="0" applyAlignment="1" pivotButton="0" quotePrefix="0" xfId="0">
      <alignment horizontal="general" vertical="bottom"/>
    </xf>
    <xf numFmtId="164" fontId="29" fillId="0" borderId="0" applyAlignment="1" pivotButton="0" quotePrefix="0" xfId="0">
      <alignment horizontal="general" vertical="bottom"/>
    </xf>
    <xf numFmtId="10" fontId="29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0" fontId="6" fillId="8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" fontId="29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33" fillId="8" borderId="0" applyAlignment="1" pivotButton="0" quotePrefix="0" xfId="0">
      <alignment horizontal="general" vertical="bottom"/>
    </xf>
    <xf numFmtId="166" fontId="29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0" fillId="5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CA3AF"/>
      <rgbColor rgb="FF001E39"/>
      <rgbColor rgb="FF2E7D32"/>
      <rgbColor rgb="FF003300"/>
      <rgbColor rgb="FF333300"/>
      <rgbColor rgb="FF993300"/>
      <rgbColor rgb="FF993366"/>
      <rgbColor rgb="FF1B4F72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5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90" min="1" max="1"/>
    <col width="38" customWidth="1" style="90" min="2" max="2"/>
    <col width="18" customWidth="1" style="90" min="3" max="3"/>
    <col width="38" customWidth="1" style="90" min="4" max="4"/>
    <col width="18" customWidth="1" style="90" min="5" max="5"/>
  </cols>
  <sheetData>
    <row r="1" ht="36" customHeight="1" s="91">
      <c r="A1" s="92" t="inlineStr">
        <is>
          <t>ZAN FINANCIAL MODEL  النموذج المالي لزان</t>
        </is>
      </c>
    </row>
    <row r="2" ht="15" customHeight="1" s="91">
      <c r="B2" s="93" t="inlineStr">
        <is>
          <t>Model Inputs &amp; Assumptions</t>
        </is>
      </c>
      <c r="D2" s="93" t="inlineStr">
        <is>
          <t>المدخلات والافتراضات</t>
        </is>
      </c>
    </row>
    <row r="4" ht="24" customHeight="1" s="91">
      <c r="A4" s="94" t="inlineStr">
        <is>
          <t>1  GENERAL ASSUMPTIONS  الافتراضات العامة</t>
        </is>
      </c>
    </row>
    <row r="5" ht="15" customHeight="1" s="91">
      <c r="B5" s="95" t="inlineStr">
        <is>
          <t>Project Name</t>
        </is>
      </c>
      <c r="C5" s="96" t="inlineStr">
        <is>
          <t>ZAN Waterfront – Jazan</t>
        </is>
      </c>
    </row>
    <row r="6" ht="15" customHeight="1" s="91">
      <c r="B6" s="95" t="inlineStr">
        <is>
          <t>Location</t>
        </is>
      </c>
      <c r="C6" s="96" t="inlineStr">
        <is>
          <t>Jazan, North Corniche</t>
        </is>
      </c>
    </row>
    <row r="7" ht="15" customHeight="1" s="91">
      <c r="B7" s="95" t="inlineStr">
        <is>
          <t>Model Start Year</t>
        </is>
      </c>
      <c r="C7" s="97" t="n">
        <v>2026</v>
      </c>
    </row>
    <row r="8" ht="15" customHeight="1" s="91">
      <c r="B8" s="95" t="inlineStr">
        <is>
          <t>Projection Horizon (years)</t>
        </is>
      </c>
      <c r="C8" s="97" t="n">
        <v>50</v>
      </c>
    </row>
    <row r="9" ht="15" customHeight="1" s="91">
      <c r="B9" s="95" t="inlineStr">
        <is>
          <t>Currency</t>
        </is>
      </c>
      <c r="C9" s="96" t="inlineStr">
        <is>
          <t>SAR</t>
        </is>
      </c>
    </row>
    <row r="11" ht="24" customHeight="1" s="91">
      <c r="A11" s="94" t="inlineStr">
        <is>
          <t>2  RENT ASSUMPTIONS  افتراضات الإيجار</t>
        </is>
      </c>
    </row>
    <row r="12" ht="15" customHeight="1" s="91">
      <c r="B12" s="95" t="inlineStr">
        <is>
          <t>Annual Rent Escalation (%)</t>
        </is>
      </c>
      <c r="C12" s="98" t="n">
        <v>0.0075</v>
      </c>
    </row>
    <row r="13" ht="15" customHeight="1" s="91">
      <c r="B13" s="95" t="inlineStr">
        <is>
          <t>Flexible Block Efficiency %</t>
        </is>
      </c>
      <c r="C13" s="98" t="n">
        <v>0.85</v>
      </c>
    </row>
    <row r="14" ht="15" customHeight="1" s="91">
      <c r="B14" s="95" t="inlineStr">
        <is>
          <t>Flexible Block Lease Rate (SAR/m²)</t>
        </is>
      </c>
      <c r="C14" s="99" t="n">
        <v>700</v>
      </c>
    </row>
    <row r="15" ht="15" customHeight="1" s="91">
      <c r="B15" s="95" t="inlineStr">
        <is>
          <t>Flexible Block Cost/m² (SAR)</t>
        </is>
      </c>
      <c r="C15" s="99" t="n">
        <v>3500</v>
      </c>
    </row>
    <row r="17" ht="24" customHeight="1" s="91">
      <c r="A17" s="94" t="inlineStr">
        <is>
          <t>3  LAND RENT  إيجار الأرض</t>
        </is>
      </c>
    </row>
    <row r="18" ht="15" customHeight="1" s="91">
      <c r="B18" s="95" t="inlineStr">
        <is>
          <t>Annual Land Rent (SAR)</t>
        </is>
      </c>
      <c r="C18" s="99" t="n">
        <v>6000000</v>
      </c>
    </row>
    <row r="19" ht="15" customHeight="1" s="91">
      <c r="B19" s="95" t="inlineStr">
        <is>
          <t>Escalation Every N Years</t>
        </is>
      </c>
      <c r="C19" s="97" t="n">
        <v>5</v>
      </c>
    </row>
    <row r="20" ht="15" customHeight="1" s="91">
      <c r="B20" s="95" t="inlineStr">
        <is>
          <t>Land Rent Escalation (%)</t>
        </is>
      </c>
      <c r="C20" s="98" t="n">
        <v>0.05</v>
      </c>
    </row>
    <row r="21" ht="15" customHeight="1" s="91">
      <c r="B21" s="95" t="inlineStr">
        <is>
          <t>Grace Period (years)</t>
        </is>
      </c>
      <c r="C21" s="97" t="n">
        <v>5</v>
      </c>
    </row>
    <row r="22" ht="15" customHeight="1" s="91">
      <c r="B22" s="95" t="inlineStr">
        <is>
          <t>Land Rent Term (years)</t>
        </is>
      </c>
      <c r="C22" s="97" t="n">
        <v>50</v>
      </c>
    </row>
    <row r="24" ht="24" customHeight="1" s="91">
      <c r="A24" s="94" t="inlineStr">
        <is>
          <t>4  CAPEX ASSUMPTIONS  افتراضات التكاليف</t>
        </is>
      </c>
    </row>
    <row r="25" ht="15" customHeight="1" s="91">
      <c r="B25" s="95" t="inlineStr">
        <is>
          <t>Soft Cost (%)</t>
        </is>
      </c>
      <c r="C25" s="98" t="n">
        <v>0.1</v>
      </c>
    </row>
    <row r="26" ht="15" customHeight="1" s="91">
      <c r="B26" s="95" t="inlineStr">
        <is>
          <t>Contingency (%)</t>
        </is>
      </c>
      <c r="C26" s="98" t="n">
        <v>0.05</v>
      </c>
    </row>
    <row r="28" ht="24" customHeight="1" s="91">
      <c r="A28" s="94" t="inlineStr">
        <is>
          <t>5  SCENARIO SELECTOR  اختيار السيناريو</t>
        </is>
      </c>
    </row>
    <row r="29" ht="15" customHeight="1" s="91">
      <c r="B29" s="95" t="inlineStr">
        <is>
          <t>Active Scenario</t>
        </is>
      </c>
      <c r="C29" s="96" t="inlineStr">
        <is>
          <t>Base Case</t>
        </is>
      </c>
    </row>
    <row r="30" ht="15" customHeight="1" s="91">
      <c r="B30" s="100" t="inlineStr">
        <is>
          <t>Options:</t>
        </is>
      </c>
      <c r="C30" s="101" t="inlineStr">
        <is>
          <t>Base Case</t>
        </is>
      </c>
    </row>
    <row r="31" ht="15" customHeight="1" s="91">
      <c r="C31" s="101" t="inlineStr">
        <is>
          <t>CAPEX +10%</t>
        </is>
      </c>
    </row>
    <row r="32" ht="15" customHeight="1" s="91">
      <c r="C32" s="101" t="inlineStr">
        <is>
          <t>Rent -10%</t>
        </is>
      </c>
    </row>
    <row r="33" ht="15" customHeight="1" s="91">
      <c r="C33" s="101" t="inlineStr">
        <is>
          <t>Delay +6 months</t>
        </is>
      </c>
    </row>
    <row r="34" ht="15" customHeight="1" s="91">
      <c r="C34" s="101" t="inlineStr">
        <is>
          <t>Escalation +0.5%</t>
        </is>
      </c>
    </row>
    <row r="35" ht="15" customHeight="1" s="91">
      <c r="C35" s="101" t="inlineStr">
        <is>
          <t>Escalation -0.5%</t>
        </is>
      </c>
    </row>
    <row r="37" ht="15" customHeight="1" s="91">
      <c r="B37" s="95" t="inlineStr">
        <is>
          <t>CAPEX Multiplier (calculated)</t>
        </is>
      </c>
      <c r="C37" s="102">
        <f>IF(C29="CAPEX +10%",1.1,1)</f>
        <v/>
      </c>
    </row>
    <row r="38" ht="15" customHeight="1" s="91">
      <c r="B38" s="95" t="inlineStr">
        <is>
          <t>Rent Multiplier (calculated)</t>
        </is>
      </c>
      <c r="C38" s="102">
        <f>IF(C29="Rent -10%",0.9,1)</f>
        <v/>
      </c>
    </row>
    <row r="39" ht="15" customHeight="1" s="91">
      <c r="B39" s="95" t="inlineStr">
        <is>
          <t>Delay (months)</t>
        </is>
      </c>
      <c r="C39" s="103">
        <f>IF(C29="Delay +6 months",6,0)</f>
        <v/>
      </c>
    </row>
    <row r="40" ht="15" customHeight="1" s="91">
      <c r="B40" s="95" t="inlineStr">
        <is>
          <t>Escalation Adjustment</t>
        </is>
      </c>
      <c r="C40" s="104">
        <f>IF(C29="Escalation +0.5%",0.005,IF(C29="Escalation -0.5%",-0.005,0))</f>
        <v/>
      </c>
    </row>
    <row r="41" ht="15" customHeight="1" s="91">
      <c r="B41" s="95" t="inlineStr">
        <is>
          <t>Effective Rent Escalation</t>
        </is>
      </c>
      <c r="C41" s="104">
        <f>C12+C40</f>
        <v/>
      </c>
    </row>
    <row r="43" ht="24" customHeight="1" s="91">
      <c r="A43" s="94" t="inlineStr">
        <is>
          <t>6  PHASES &amp; PHASING  المراحل</t>
        </is>
      </c>
    </row>
    <row r="44" ht="27.75" customHeight="1" s="91">
      <c r="A44" s="105" t="n"/>
      <c r="B44" s="105" t="inlineStr">
        <is>
          <t>Phase / المرحلة</t>
        </is>
      </c>
      <c r="C44" s="105" t="inlineStr">
        <is>
          <t>Start Year Offset</t>
        </is>
      </c>
      <c r="D44" s="105" t="inlineStr">
        <is>
          <t>Phase Footprint</t>
        </is>
      </c>
      <c r="E44" s="105" t="inlineStr">
        <is>
          <t>Land Rent Alloc. %</t>
        </is>
      </c>
    </row>
    <row r="45" ht="15" customHeight="1" s="91">
      <c r="B45" s="106" t="inlineStr">
        <is>
          <t>ZAN 1</t>
        </is>
      </c>
      <c r="C45" s="107" t="n">
        <v>2</v>
      </c>
      <c r="D45" s="108">
        <f>SUMPRODUCT((Program!A4:A50=B45)*(Program!G4:G50))</f>
        <v/>
      </c>
      <c r="E45" s="109">
        <f>IF(D$60=0,0,D45/D$60)</f>
        <v/>
      </c>
    </row>
    <row r="46" ht="15" customHeight="1" s="91">
      <c r="B46" s="106" t="inlineStr">
        <is>
          <t>ZAN 2</t>
        </is>
      </c>
      <c r="C46" s="107" t="n">
        <v>3</v>
      </c>
      <c r="D46" s="108">
        <f>SUMPRODUCT((Program!A4:A50=B46)*(Program!G4:G50))</f>
        <v/>
      </c>
      <c r="E46" s="109">
        <f>IF(D$60=0,0,D46/D$60)</f>
        <v/>
      </c>
    </row>
    <row r="47" ht="15" customHeight="1" s="91">
      <c r="B47" s="106" t="inlineStr">
        <is>
          <t>ZAN 3</t>
        </is>
      </c>
      <c r="C47" s="107" t="n">
        <v>4</v>
      </c>
      <c r="D47" s="108">
        <f>SUMPRODUCT((Program!A4:A50=B47)*(Program!G4:G50))</f>
        <v/>
      </c>
      <c r="E47" s="109">
        <f>IF(D$60=0,0,D47/D$60)</f>
        <v/>
      </c>
    </row>
    <row r="48" ht="15" customHeight="1" s="91">
      <c r="B48" s="106" t="inlineStr">
        <is>
          <t>ZAN 4</t>
        </is>
      </c>
      <c r="C48" s="107" t="n">
        <v>5</v>
      </c>
      <c r="D48" s="108">
        <f>SUMPRODUCT((Program!A4:A50=B48)*(Program!G4:G50))</f>
        <v/>
      </c>
      <c r="E48" s="109">
        <f>IF(D$60=0,0,D48/D$60)</f>
        <v/>
      </c>
    </row>
    <row r="49" ht="15" customHeight="1" s="91">
      <c r="B49" s="106" t="inlineStr">
        <is>
          <t>ZAN 5</t>
        </is>
      </c>
      <c r="C49" s="107" t="n">
        <v>7</v>
      </c>
      <c r="D49" s="108">
        <f>SUMPRODUCT((Program!A4:A50=B49)*(Program!G4:G50))</f>
        <v/>
      </c>
      <c r="E49" s="109">
        <f>IF(D$60=0,0,D49/D$60)</f>
        <v/>
      </c>
    </row>
    <row r="50" ht="15" customHeight="1" s="91">
      <c r="B50" s="106" t="inlineStr">
        <is>
          <t>ZAN 6</t>
        </is>
      </c>
      <c r="C50" s="107" t="n">
        <v>7</v>
      </c>
      <c r="D50" s="108">
        <f>SUMPRODUCT((Program!A4:A50=B50)*(Program!G4:G50))</f>
        <v/>
      </c>
      <c r="E50" s="109">
        <f>IF(D$60=0,0,D50/D$60)</f>
        <v/>
      </c>
    </row>
    <row r="51" ht="15" customHeight="1" s="91">
      <c r="B51" s="106" t="inlineStr">
        <is>
          <t>ZAN 7</t>
        </is>
      </c>
      <c r="C51" s="107" t="n">
        <v>0</v>
      </c>
      <c r="D51" s="108">
        <f>SUMPRODUCT((Program!A4:A50=B51)*(Program!G4:G50))</f>
        <v/>
      </c>
      <c r="E51" s="109">
        <f>IF(D$60=0,0,D51/D$60)</f>
        <v/>
      </c>
    </row>
    <row r="52" ht="15" customHeight="1" s="91">
      <c r="B52" s="106" t="inlineStr">
        <is>
          <t>ZAN 8</t>
        </is>
      </c>
      <c r="C52" s="107" t="n">
        <v>0</v>
      </c>
      <c r="D52" s="108">
        <f>SUMPRODUCT((Program!A4:A50=B52)*(Program!G4:G50))</f>
        <v/>
      </c>
      <c r="E52" s="109">
        <f>IF(D$60=0,0,D52/D$60)</f>
        <v/>
      </c>
    </row>
    <row r="53" ht="15" customHeight="1" s="91">
      <c r="B53" s="106" t="inlineStr">
        <is>
          <t>ZAN 9</t>
        </is>
      </c>
      <c r="C53" s="107" t="n">
        <v>0</v>
      </c>
      <c r="D53" s="108">
        <f>SUMPRODUCT((Program!A4:A50=B53)*(Program!G4:G50))</f>
        <v/>
      </c>
      <c r="E53" s="109">
        <f>IF(D$60=0,0,D53/D$60)</f>
        <v/>
      </c>
    </row>
    <row r="54" ht="15" customHeight="1" s="91">
      <c r="B54" s="106" t="inlineStr">
        <is>
          <t>ZAN 10</t>
        </is>
      </c>
      <c r="C54" s="107" t="n">
        <v>0</v>
      </c>
      <c r="D54" s="108">
        <f>SUMPRODUCT((Program!A4:A50=B54)*(Program!G4:G50))</f>
        <v/>
      </c>
      <c r="E54" s="109">
        <f>IF(D$60=0,0,D54/D$60)</f>
        <v/>
      </c>
    </row>
    <row r="55" ht="15" customHeight="1" s="91">
      <c r="B55" s="106" t="inlineStr">
        <is>
          <t>ZAN 11</t>
        </is>
      </c>
      <c r="C55" s="107" t="n">
        <v>0</v>
      </c>
      <c r="D55" s="108">
        <f>SUMPRODUCT((Program!A4:A50=B55)*(Program!G4:G50))</f>
        <v/>
      </c>
      <c r="E55" s="109">
        <f>IF(D$60=0,0,D55/D$60)</f>
        <v/>
      </c>
    </row>
    <row r="56" ht="15" customHeight="1" s="91">
      <c r="B56" s="106" t="inlineStr">
        <is>
          <t>ZAN 12</t>
        </is>
      </c>
      <c r="C56" s="107" t="n">
        <v>0</v>
      </c>
      <c r="D56" s="108">
        <f>SUMPRODUCT((Program!A4:A50=B56)*(Program!G4:G50))</f>
        <v/>
      </c>
      <c r="E56" s="109">
        <f>IF(D$60=0,0,D56/D$60)</f>
        <v/>
      </c>
    </row>
    <row r="57" ht="15" customHeight="1" s="91">
      <c r="B57" s="106" t="inlineStr">
        <is>
          <t>ZAN 13</t>
        </is>
      </c>
      <c r="C57" s="107" t="n">
        <v>0</v>
      </c>
      <c r="D57" s="108">
        <f>SUMPRODUCT((Program!A4:A50=B57)*(Program!G4:G50))</f>
        <v/>
      </c>
      <c r="E57" s="109">
        <f>IF(D$60=0,0,D57/D$60)</f>
        <v/>
      </c>
    </row>
    <row r="58" ht="15" customHeight="1" s="91">
      <c r="B58" s="106" t="inlineStr">
        <is>
          <t>ZAN 14</t>
        </is>
      </c>
      <c r="C58" s="107" t="n">
        <v>0</v>
      </c>
      <c r="D58" s="108">
        <f>SUMPRODUCT((Program!A4:A50=B58)*(Program!G4:G50))</f>
        <v/>
      </c>
      <c r="E58" s="109">
        <f>IF(D$60=0,0,D58/D$60)</f>
        <v/>
      </c>
    </row>
    <row r="59" ht="15" customHeight="1" s="91">
      <c r="B59" s="106" t="inlineStr">
        <is>
          <t>ZAN 15</t>
        </is>
      </c>
      <c r="C59" s="107" t="n">
        <v>0</v>
      </c>
      <c r="D59" s="108">
        <f>SUMPRODUCT((Program!A4:A50=B59)*(Program!G4:G50))</f>
        <v/>
      </c>
      <c r="E59" s="109">
        <f>IF(D$60=0,0,D59/D$60)</f>
        <v/>
      </c>
    </row>
    <row r="60" ht="15" customHeight="1" s="91">
      <c r="B60" s="110" t="inlineStr">
        <is>
          <t>Total</t>
        </is>
      </c>
      <c r="D60" s="108">
        <f>SUM(D45:D59)</f>
        <v/>
      </c>
      <c r="E60" s="109">
        <f>SUM(E45:E59)</f>
        <v/>
      </c>
    </row>
    <row r="62" ht="24" customHeight="1" s="91">
      <c r="A62" s="94" t="inlineStr">
        <is>
          <t>7  LAND CAPITALIZATION  تقييم حق المنفعة</t>
        </is>
      </c>
    </row>
    <row r="63" ht="15" customHeight="1" s="91">
      <c r="B63" s="95" t="inlineStr">
        <is>
          <t>Total Land Area (m²)</t>
        </is>
      </c>
      <c r="C63" s="99" t="n">
        <v>302473</v>
      </c>
    </row>
    <row r="64" ht="15" customHeight="1" s="91">
      <c r="B64" s="95" t="inlineStr">
        <is>
          <t>Capitalization of Leasehold Right (SAR)</t>
        </is>
      </c>
      <c r="C64" s="111">
        <f>C63*1000</f>
        <v/>
      </c>
    </row>
    <row r="66" ht="27.75" customHeight="1" s="91">
      <c r="A66" s="105" t="n"/>
      <c r="B66" s="105" t="inlineStr">
        <is>
          <t>Phase</t>
        </is>
      </c>
      <c r="C66" s="105" t="inlineStr">
        <is>
          <t>Footprint</t>
        </is>
      </c>
      <c r="D66" s="105" t="inlineStr">
        <is>
          <t>Alloc. %</t>
        </is>
      </c>
      <c r="E66" s="105" t="inlineStr">
        <is>
          <t>Capitalization (SAR)</t>
        </is>
      </c>
    </row>
    <row r="67" ht="15" customHeight="1" s="91">
      <c r="B67" s="112">
        <f>B45</f>
        <v/>
      </c>
      <c r="C67" s="108">
        <f>D45</f>
        <v/>
      </c>
      <c r="D67" s="109">
        <f>E45</f>
        <v/>
      </c>
      <c r="E67" s="108">
        <f>D67*$C$64</f>
        <v/>
      </c>
    </row>
    <row r="68" ht="15" customHeight="1" s="91">
      <c r="B68" s="112">
        <f>B46</f>
        <v/>
      </c>
      <c r="C68" s="108">
        <f>D46</f>
        <v/>
      </c>
      <c r="D68" s="109">
        <f>E46</f>
        <v/>
      </c>
      <c r="E68" s="108">
        <f>D68*$C$64</f>
        <v/>
      </c>
    </row>
    <row r="69" ht="15" customHeight="1" s="91">
      <c r="B69" s="112">
        <f>B47</f>
        <v/>
      </c>
      <c r="C69" s="108">
        <f>D47</f>
        <v/>
      </c>
      <c r="D69" s="109">
        <f>E47</f>
        <v/>
      </c>
      <c r="E69" s="108">
        <f>D69*$C$64</f>
        <v/>
      </c>
    </row>
    <row r="70" ht="15" customHeight="1" s="91">
      <c r="B70" s="112">
        <f>B48</f>
        <v/>
      </c>
      <c r="C70" s="108">
        <f>D48</f>
        <v/>
      </c>
      <c r="D70" s="109">
        <f>E48</f>
        <v/>
      </c>
      <c r="E70" s="108">
        <f>D70*$C$64</f>
        <v/>
      </c>
    </row>
    <row r="71" ht="15" customHeight="1" s="91">
      <c r="B71" s="112">
        <f>B49</f>
        <v/>
      </c>
      <c r="C71" s="108">
        <f>D49</f>
        <v/>
      </c>
      <c r="D71" s="109">
        <f>E49</f>
        <v/>
      </c>
      <c r="E71" s="108">
        <f>D71*$C$64</f>
        <v/>
      </c>
    </row>
    <row r="72" ht="15" customHeight="1" s="91">
      <c r="B72" s="112">
        <f>B50</f>
        <v/>
      </c>
      <c r="C72" s="108">
        <f>D50</f>
        <v/>
      </c>
      <c r="D72" s="109">
        <f>E50</f>
        <v/>
      </c>
      <c r="E72" s="108">
        <f>D72*$C$64</f>
        <v/>
      </c>
    </row>
    <row r="73" ht="15" customHeight="1" s="91">
      <c r="B73" s="112">
        <f>B51</f>
        <v/>
      </c>
      <c r="C73" s="108">
        <f>D51</f>
        <v/>
      </c>
      <c r="D73" s="109">
        <f>E51</f>
        <v/>
      </c>
      <c r="E73" s="108">
        <f>D73*$C$64</f>
        <v/>
      </c>
    </row>
    <row r="74" ht="15" customHeight="1" s="91">
      <c r="B74" s="112">
        <f>B52</f>
        <v/>
      </c>
      <c r="C74" s="108">
        <f>D52</f>
        <v/>
      </c>
      <c r="D74" s="109">
        <f>E52</f>
        <v/>
      </c>
      <c r="E74" s="108">
        <f>D74*$C$64</f>
        <v/>
      </c>
    </row>
    <row r="75" ht="15" customHeight="1" s="91">
      <c r="B75" s="112">
        <f>B53</f>
        <v/>
      </c>
      <c r="C75" s="108">
        <f>D53</f>
        <v/>
      </c>
      <c r="D75" s="109">
        <f>E53</f>
        <v/>
      </c>
      <c r="E75" s="108">
        <f>D75*$C$64</f>
        <v/>
      </c>
    </row>
    <row r="76" ht="15" customHeight="1" s="91">
      <c r="B76" s="112">
        <f>B54</f>
        <v/>
      </c>
      <c r="C76" s="108">
        <f>D54</f>
        <v/>
      </c>
      <c r="D76" s="109">
        <f>E54</f>
        <v/>
      </c>
      <c r="E76" s="108">
        <f>D76*$C$64</f>
        <v/>
      </c>
    </row>
    <row r="77" ht="15" customHeight="1" s="91">
      <c r="B77" s="112">
        <f>B55</f>
        <v/>
      </c>
      <c r="C77" s="108">
        <f>D55</f>
        <v/>
      </c>
      <c r="D77" s="109">
        <f>E55</f>
        <v/>
      </c>
      <c r="E77" s="108">
        <f>D77*$C$64</f>
        <v/>
      </c>
    </row>
    <row r="78" ht="15" customHeight="1" s="91">
      <c r="B78" s="112">
        <f>B56</f>
        <v/>
      </c>
      <c r="C78" s="108">
        <f>D56</f>
        <v/>
      </c>
      <c r="D78" s="109">
        <f>E56</f>
        <v/>
      </c>
      <c r="E78" s="108">
        <f>D78*$C$64</f>
        <v/>
      </c>
    </row>
    <row r="79" ht="15" customHeight="1" s="91">
      <c r="B79" s="112">
        <f>B57</f>
        <v/>
      </c>
      <c r="C79" s="108">
        <f>D57</f>
        <v/>
      </c>
      <c r="D79" s="109">
        <f>E57</f>
        <v/>
      </c>
      <c r="E79" s="108">
        <f>D79*$C$64</f>
        <v/>
      </c>
    </row>
    <row r="80" ht="15" customHeight="1" s="91">
      <c r="B80" s="112">
        <f>B58</f>
        <v/>
      </c>
      <c r="C80" s="108">
        <f>D58</f>
        <v/>
      </c>
      <c r="D80" s="109">
        <f>E58</f>
        <v/>
      </c>
      <c r="E80" s="108">
        <f>D80*$C$64</f>
        <v/>
      </c>
    </row>
    <row r="81" ht="15" customHeight="1" s="91">
      <c r="B81" s="112">
        <f>B59</f>
        <v/>
      </c>
      <c r="C81" s="108">
        <f>D59</f>
        <v/>
      </c>
      <c r="D81" s="109">
        <f>E59</f>
        <v/>
      </c>
      <c r="E81" s="108">
        <f>D81*$C$64</f>
        <v/>
      </c>
    </row>
    <row r="82" ht="15" customHeight="1" s="91">
      <c r="B82" s="110" t="inlineStr">
        <is>
          <t>Total</t>
        </is>
      </c>
      <c r="C82" s="108">
        <f>SUM(C67:C81)</f>
        <v/>
      </c>
      <c r="D82" s="109">
        <f>SUM(D67:D81)</f>
        <v/>
      </c>
      <c r="E82" s="108">
        <f>SUM(E67:E81)</f>
        <v/>
      </c>
    </row>
    <row r="84" ht="24" customHeight="1" s="91">
      <c r="A84" s="94" t="inlineStr">
        <is>
          <t>8  DEBT PARAMETERS  معايير الدين</t>
        </is>
      </c>
    </row>
    <row r="85" ht="15" customHeight="1" s="91">
      <c r="B85" s="95" t="inlineStr">
        <is>
          <t>Max Debt (% of Dev Cost incl. Land)</t>
        </is>
      </c>
      <c r="C85" s="98" t="n">
        <v>0.7</v>
      </c>
    </row>
    <row r="87" ht="24" customHeight="1" s="91">
      <c r="A87" s="113" t="inlineStr">
        <is>
          <t>9  LAND ACQUISITION TYPE  نوع تملك الأرض</t>
        </is>
      </c>
    </row>
    <row r="88" ht="15" customHeight="1" s="91">
      <c r="B88" s="106" t="inlineStr">
        <is>
          <t>Land Type</t>
        </is>
      </c>
      <c r="C88" s="114" t="inlineStr">
        <is>
          <t>Lease</t>
        </is>
      </c>
      <c r="D88" s="100" t="inlineStr">
        <is>
          <t>نوع تملك الأرض</t>
        </is>
      </c>
    </row>
    <row r="89" ht="15" customHeight="1" s="91">
      <c r="B89" s="101" t="inlineStr">
        <is>
          <t>Options:</t>
        </is>
      </c>
      <c r="C89" s="101" t="inlineStr">
        <is>
          <t>Lease</t>
        </is>
      </c>
    </row>
    <row r="90" ht="15" customHeight="1" s="91">
      <c r="C90" s="101" t="inlineStr">
        <is>
          <t>Purchase</t>
        </is>
      </c>
    </row>
    <row r="91" ht="15" customHeight="1" s="91">
      <c r="C91" s="101" t="inlineStr">
        <is>
          <t>Partner</t>
        </is>
      </c>
    </row>
    <row r="92" ht="15" customHeight="1" s="91">
      <c r="C92" s="101" t="inlineStr">
        <is>
          <t>BOT</t>
        </is>
      </c>
    </row>
    <row r="93" ht="15" customHeight="1" s="91">
      <c r="B93" s="106" t="inlineStr">
        <is>
          <t>Land Purchase Price (SAR)</t>
        </is>
      </c>
      <c r="C93" s="115" t="n">
        <v>0</v>
      </c>
      <c r="D93" s="100" t="inlineStr">
        <is>
          <t>سعر شراء الأرض</t>
        </is>
      </c>
    </row>
    <row r="94" ht="15" customHeight="1" s="91">
      <c r="B94" s="106" t="inlineStr">
        <is>
          <t>Partner Land Equity %</t>
        </is>
      </c>
      <c r="C94" s="116" t="n">
        <v>0</v>
      </c>
      <c r="D94" s="100" t="inlineStr">
        <is>
          <t>نسبة ملكية شريك الأرض</t>
        </is>
      </c>
    </row>
    <row r="95" ht="15" customHeight="1" s="91">
      <c r="B95" s="106" t="inlineStr">
        <is>
          <t>BOT Operation Period (years)</t>
        </is>
      </c>
      <c r="C95" s="107" t="n">
        <v>0</v>
      </c>
      <c r="D95" s="100" t="inlineStr">
        <is>
          <t>فترة التشغيل BOT</t>
        </is>
      </c>
    </row>
    <row r="97" ht="15" customHeight="1" s="91">
      <c r="B97" s="106" t="inlineStr">
        <is>
          <t>Effective Land Cost (calculated)</t>
        </is>
      </c>
      <c r="C97" s="108">
        <f>IF(C88="Purchase",C93,IF(C88="Lease",C64,0))</f>
        <v/>
      </c>
    </row>
    <row r="98" ht="15" customHeight="1" s="91">
      <c r="B98" s="106" t="inlineStr">
        <is>
          <t>Annual Land Cost (calculated)</t>
        </is>
      </c>
      <c r="C98" s="108">
        <f>IF(C88="Lease",C18,0)</f>
        <v/>
      </c>
    </row>
    <row r="100" ht="24" customHeight="1" s="91">
      <c r="A100" s="113" t="inlineStr">
        <is>
          <t>10  FINANCING MODE  هيكل التمويل</t>
        </is>
      </c>
    </row>
    <row r="101" ht="15" customHeight="1" s="91">
      <c r="B101" s="106" t="inlineStr">
        <is>
          <t>Financing Mode</t>
        </is>
      </c>
      <c r="C101" s="114" t="inlineStr">
        <is>
          <t>Fund</t>
        </is>
      </c>
      <c r="D101" s="100" t="inlineStr">
        <is>
          <t>نمط التمويل</t>
        </is>
      </c>
    </row>
    <row r="102" ht="15" customHeight="1" s="91">
      <c r="B102" s="101" t="inlineStr">
        <is>
          <t>Options:</t>
        </is>
      </c>
      <c r="C102" s="101" t="inlineStr">
        <is>
          <t>Self</t>
        </is>
      </c>
    </row>
    <row r="103" ht="15" customHeight="1" s="91">
      <c r="C103" s="101" t="inlineStr">
        <is>
          <t>Bank</t>
        </is>
      </c>
    </row>
    <row r="104" ht="15" customHeight="1" s="91">
      <c r="C104" s="101" t="inlineStr">
        <is>
          <t>Fund</t>
        </is>
      </c>
    </row>
    <row r="105" ht="15" customHeight="1" s="91">
      <c r="C105" s="101" t="inlineStr">
        <is>
          <t>JV</t>
        </is>
      </c>
    </row>
    <row r="106" ht="24" customHeight="1" s="91">
      <c r="A106" s="113" t="inlineStr">
        <is>
          <t>11  EXIT STRATEGY  استراتيجية التخارج</t>
        </is>
      </c>
    </row>
    <row r="107" ht="15" customHeight="1" s="91">
      <c r="B107" s="106" t="inlineStr">
        <is>
          <t>Exit Type</t>
        </is>
      </c>
      <c r="C107" s="114" t="inlineStr">
        <is>
          <t>Sale</t>
        </is>
      </c>
      <c r="D107" s="100" t="inlineStr">
        <is>
          <t>نوع التخارج</t>
        </is>
      </c>
    </row>
    <row r="108" ht="15" customHeight="1" s="91">
      <c r="B108" s="101" t="inlineStr">
        <is>
          <t>Options:</t>
        </is>
      </c>
      <c r="C108" s="101" t="inlineStr">
        <is>
          <t>Sale</t>
        </is>
      </c>
    </row>
    <row r="109" ht="15" customHeight="1" s="91">
      <c r="C109" s="101" t="inlineStr">
        <is>
          <t>Hold</t>
        </is>
      </c>
    </row>
    <row r="110" ht="15" customHeight="1" s="91">
      <c r="C110" s="101" t="inlineStr">
        <is>
          <t>REIT</t>
        </is>
      </c>
    </row>
    <row r="111" ht="15" customHeight="1" s="91">
      <c r="C111" s="101" t="inlineStr">
        <is>
          <t>Refinance</t>
        </is>
      </c>
    </row>
    <row r="112" ht="15" customHeight="1" s="91">
      <c r="C112" s="101" t="inlineStr">
        <is>
          <t>Partial</t>
        </is>
      </c>
    </row>
    <row r="113" ht="15" customHeight="1" s="91">
      <c r="B113" s="106" t="inlineStr">
        <is>
          <t>Exit Year</t>
        </is>
      </c>
      <c r="C113" s="107" t="n">
        <v>2032</v>
      </c>
    </row>
    <row r="114" ht="15" customHeight="1" s="91">
      <c r="B114" s="106" t="inlineStr">
        <is>
          <t>Exit Multiple (x rent)</t>
        </is>
      </c>
      <c r="C114" s="117" t="n">
        <v>10</v>
      </c>
    </row>
    <row r="115" ht="15" customHeight="1" s="91">
      <c r="B115" s="106" t="inlineStr">
        <is>
          <t>Exit Cost %</t>
        </is>
      </c>
      <c r="C115" s="116" t="n">
        <v>0.02</v>
      </c>
    </row>
    <row r="117" ht="15" customHeight="1" s="91">
      <c r="A117" s="118" t="inlineStr">
        <is>
          <t>12  FUND SETTINGS  إعدادات الصندوق</t>
        </is>
      </c>
    </row>
    <row r="118" ht="15" customHeight="1" s="91">
      <c r="B118" s="119" t="inlineStr">
        <is>
          <t>Fund Settings Mode</t>
        </is>
      </c>
      <c r="C118" s="114" t="inlineStr">
        <is>
          <t>Unified</t>
        </is>
      </c>
      <c r="D118" s="120" t="inlineStr">
        <is>
          <t>إعدادات الصندوق (موحدة / مستقلة)</t>
        </is>
      </c>
    </row>
    <row r="119" ht="15" customHeight="1" s="91">
      <c r="B119" s="119" t="inlineStr">
        <is>
          <t>Options:</t>
        </is>
      </c>
      <c r="C119" s="121" t="inlineStr">
        <is>
          <t>Unified</t>
        </is>
      </c>
    </row>
    <row r="120" ht="15" customHeight="1" s="91">
      <c r="C120" s="121" t="inlineStr">
        <is>
          <t>Per-Phase</t>
        </is>
      </c>
    </row>
    <row r="122" ht="15" customHeight="1" s="91">
      <c r="A122" s="118" t="inlineStr">
        <is>
          <t>13  PER-PHASE FUND OVERRIDES  إعدادات مستقلة لكل مرحلة</t>
        </is>
      </c>
    </row>
    <row r="123" ht="15" customHeight="1" s="91">
      <c r="B123" s="122" t="inlineStr">
        <is>
          <t>(Only active when Fund Settings = Per-Phase)</t>
        </is>
      </c>
    </row>
    <row r="125" ht="15" customHeight="1" s="91">
      <c r="B125" s="123" t="inlineStr">
        <is>
          <t>Parameter  المعيار</t>
        </is>
      </c>
      <c r="C125" s="123" t="inlineStr">
        <is>
          <t>ZAN 1</t>
        </is>
      </c>
      <c r="D125" s="123" t="inlineStr">
        <is>
          <t>ZAN 2</t>
        </is>
      </c>
      <c r="E125" s="123" t="inlineStr">
        <is>
          <t>ZAN 3</t>
        </is>
      </c>
      <c r="F125" s="123" t="inlineStr">
        <is>
          <t>ZAN 4</t>
        </is>
      </c>
      <c r="G125" s="123" t="inlineStr">
        <is>
          <t>ZAN 5</t>
        </is>
      </c>
      <c r="H125" s="123" t="inlineStr">
        <is>
          <t>ZAN 6</t>
        </is>
      </c>
    </row>
    <row r="126" ht="15" customHeight="1" s="91">
      <c r="B126" s="119" t="inlineStr">
        <is>
          <t>Financing Rate %</t>
        </is>
      </c>
      <c r="C126" s="116" t="n">
        <v>0.065</v>
      </c>
      <c r="D126" s="116" t="n">
        <v>0.065</v>
      </c>
      <c r="E126" s="116" t="n">
        <v>0.065</v>
      </c>
      <c r="F126" s="116" t="n">
        <v>0.065</v>
      </c>
      <c r="G126" s="116" t="n">
        <v>0.065</v>
      </c>
      <c r="H126" s="116" t="n">
        <v>0.065</v>
      </c>
    </row>
    <row r="127" ht="15" customHeight="1" s="91">
      <c r="B127" s="119" t="inlineStr">
        <is>
          <t>Loan Tenor (yrs)</t>
        </is>
      </c>
      <c r="C127" s="107" t="n">
        <v>7</v>
      </c>
      <c r="D127" s="107" t="n">
        <v>7</v>
      </c>
      <c r="E127" s="107" t="n">
        <v>7</v>
      </c>
      <c r="F127" s="107" t="n">
        <v>7</v>
      </c>
      <c r="G127" s="107" t="n">
        <v>7</v>
      </c>
      <c r="H127" s="107" t="n">
        <v>7</v>
      </c>
    </row>
    <row r="128" ht="15" customHeight="1" s="91">
      <c r="B128" s="119" t="inlineStr">
        <is>
          <t>Grace Period (yrs)</t>
        </is>
      </c>
      <c r="C128" s="107" t="n">
        <v>3</v>
      </c>
      <c r="D128" s="107" t="n">
        <v>3</v>
      </c>
      <c r="E128" s="107" t="n">
        <v>3</v>
      </c>
      <c r="F128" s="107" t="n">
        <v>3</v>
      </c>
      <c r="G128" s="107" t="n">
        <v>3</v>
      </c>
      <c r="H128" s="107" t="n">
        <v>3</v>
      </c>
    </row>
    <row r="129" ht="15" customHeight="1" s="91">
      <c r="B129" s="119" t="inlineStr">
        <is>
          <t>Upfront Fee %</t>
        </is>
      </c>
      <c r="C129" s="116" t="n">
        <v>0.005</v>
      </c>
      <c r="D129" s="116" t="n">
        <v>0.005</v>
      </c>
      <c r="E129" s="116" t="n">
        <v>0.005</v>
      </c>
      <c r="F129" s="116" t="n">
        <v>0.005</v>
      </c>
      <c r="G129" s="116" t="n">
        <v>0.005</v>
      </c>
      <c r="H129" s="116" t="n">
        <v>0.005</v>
      </c>
    </row>
    <row r="130" ht="15" customHeight="1" s="91">
      <c r="B130" s="119" t="inlineStr">
        <is>
          <t>Subscription Fee %</t>
        </is>
      </c>
      <c r="C130" s="116" t="n">
        <v>0.02</v>
      </c>
      <c r="D130" s="116" t="n">
        <v>0.02</v>
      </c>
      <c r="E130" s="116" t="n">
        <v>0.02</v>
      </c>
      <c r="F130" s="116" t="n">
        <v>0.02</v>
      </c>
      <c r="G130" s="116" t="n">
        <v>0.02</v>
      </c>
      <c r="H130" s="116" t="n">
        <v>0.02</v>
      </c>
    </row>
    <row r="131" ht="15" customHeight="1" s="91">
      <c r="B131" s="119" t="inlineStr">
        <is>
          <t>Management Fee %</t>
        </is>
      </c>
      <c r="C131" s="116" t="n">
        <v>0.008999999999999999</v>
      </c>
      <c r="D131" s="116" t="n">
        <v>0.008999999999999999</v>
      </c>
      <c r="E131" s="116" t="n">
        <v>0.008999999999999999</v>
      </c>
      <c r="F131" s="116" t="n">
        <v>0.008999999999999999</v>
      </c>
      <c r="G131" s="116" t="n">
        <v>0.008999999999999999</v>
      </c>
      <c r="H131" s="116" t="n">
        <v>0.008999999999999999</v>
      </c>
    </row>
    <row r="132" ht="15" customHeight="1" s="91">
      <c r="B132" s="119" t="inlineStr">
        <is>
          <t>Custody Fee (SAR)</t>
        </is>
      </c>
      <c r="C132" s="124" t="n">
        <v>130000</v>
      </c>
      <c r="D132" s="124" t="n">
        <v>130000</v>
      </c>
      <c r="E132" s="124" t="n">
        <v>130000</v>
      </c>
      <c r="F132" s="124" t="n">
        <v>130000</v>
      </c>
      <c r="G132" s="124" t="n">
        <v>130000</v>
      </c>
      <c r="H132" s="124" t="n">
        <v>130000</v>
      </c>
    </row>
    <row r="133" ht="15" customHeight="1" s="91">
      <c r="B133" s="119" t="inlineStr">
        <is>
          <t>Developer Fee %</t>
        </is>
      </c>
      <c r="C133" s="116" t="n">
        <v>0.12</v>
      </c>
      <c r="D133" s="116" t="n">
        <v>0.12</v>
      </c>
      <c r="E133" s="116" t="n">
        <v>0.12</v>
      </c>
      <c r="F133" s="116" t="n">
        <v>0.12</v>
      </c>
      <c r="G133" s="116" t="n">
        <v>0.12</v>
      </c>
      <c r="H133" s="116" t="n">
        <v>0.12</v>
      </c>
    </row>
    <row r="134" ht="15" customHeight="1" s="91">
      <c r="B134" s="119" t="inlineStr">
        <is>
          <t>Structuring Fee %</t>
        </is>
      </c>
      <c r="C134" s="116" t="n">
        <v>0.01</v>
      </c>
      <c r="D134" s="116" t="n">
        <v>0.01</v>
      </c>
      <c r="E134" s="116" t="n">
        <v>0.01</v>
      </c>
      <c r="F134" s="116" t="n">
        <v>0.01</v>
      </c>
      <c r="G134" s="116" t="n">
        <v>0.01</v>
      </c>
      <c r="H134" s="116" t="n">
        <v>0.01</v>
      </c>
    </row>
    <row r="135" ht="15" customHeight="1" s="91">
      <c r="B135" s="119" t="inlineStr">
        <is>
          <t>Preferred Return %</t>
        </is>
      </c>
      <c r="C135" s="116" t="n">
        <v>0.15</v>
      </c>
      <c r="D135" s="116" t="n">
        <v>0.15</v>
      </c>
      <c r="E135" s="116" t="n">
        <v>0.15</v>
      </c>
      <c r="F135" s="116" t="n">
        <v>0.15</v>
      </c>
      <c r="G135" s="116" t="n">
        <v>0.15</v>
      </c>
      <c r="H135" s="116" t="n">
        <v>0.15</v>
      </c>
    </row>
    <row r="136" ht="15" customHeight="1" s="91">
      <c r="B136" s="119" t="inlineStr">
        <is>
          <t>GP Catch-up (Y/N)</t>
        </is>
      </c>
      <c r="C136" s="114" t="inlineStr">
        <is>
          <t>Y</t>
        </is>
      </c>
      <c r="D136" s="114" t="inlineStr">
        <is>
          <t>Y</t>
        </is>
      </c>
      <c r="E136" s="114" t="inlineStr">
        <is>
          <t>Y</t>
        </is>
      </c>
      <c r="F136" s="114" t="inlineStr">
        <is>
          <t>Y</t>
        </is>
      </c>
      <c r="G136" s="114" t="inlineStr">
        <is>
          <t>Y</t>
        </is>
      </c>
      <c r="H136" s="114" t="inlineStr">
        <is>
          <t>Y</t>
        </is>
      </c>
    </row>
    <row r="137" ht="15" customHeight="1" s="91">
      <c r="B137" s="119" t="inlineStr">
        <is>
          <t>Carry %</t>
        </is>
      </c>
      <c r="C137" s="116" t="n">
        <v>0.3</v>
      </c>
      <c r="D137" s="116" t="n">
        <v>0.3</v>
      </c>
      <c r="E137" s="116" t="n">
        <v>0.3</v>
      </c>
      <c r="F137" s="116" t="n">
        <v>0.3</v>
      </c>
      <c r="G137" s="116" t="n">
        <v>0.3</v>
      </c>
      <c r="H137" s="116" t="n">
        <v>0.3</v>
      </c>
    </row>
    <row r="138" ht="15" customHeight="1" s="91">
      <c r="B138" s="119" t="inlineStr">
        <is>
          <t>Exit Year</t>
        </is>
      </c>
      <c r="C138" s="107" t="n">
        <v>2033</v>
      </c>
      <c r="D138" s="107" t="n">
        <v>2034</v>
      </c>
      <c r="E138" s="107" t="n">
        <v>2035</v>
      </c>
      <c r="F138" s="107" t="n">
        <v>2036</v>
      </c>
      <c r="G138" s="107" t="n">
        <v>2039</v>
      </c>
      <c r="H138" s="107" t="n">
        <v>2039</v>
      </c>
    </row>
    <row r="139" ht="15" customHeight="1" s="91">
      <c r="B139" s="119" t="inlineStr">
        <is>
          <t>Exit Multiple (x)</t>
        </is>
      </c>
      <c r="C139" s="117" t="n">
        <v>10</v>
      </c>
      <c r="D139" s="117" t="n">
        <v>10</v>
      </c>
      <c r="E139" s="117" t="n">
        <v>10</v>
      </c>
      <c r="F139" s="117" t="n">
        <v>10</v>
      </c>
      <c r="G139" s="117" t="n">
        <v>10</v>
      </c>
      <c r="H139" s="117" t="n">
        <v>10</v>
      </c>
    </row>
    <row r="140" ht="15" customHeight="1" s="91">
      <c r="B140" s="119" t="inlineStr">
        <is>
          <t>Exit Cost %</t>
        </is>
      </c>
      <c r="C140" s="116" t="n">
        <v>0.02</v>
      </c>
      <c r="D140" s="116" t="n">
        <v>0.02</v>
      </c>
      <c r="E140" s="116" t="n">
        <v>0.02</v>
      </c>
      <c r="F140" s="116" t="n">
        <v>0.02</v>
      </c>
      <c r="G140" s="116" t="n">
        <v>0.02</v>
      </c>
      <c r="H140" s="116" t="n">
        <v>0.02</v>
      </c>
    </row>
    <row r="141" ht="15" customHeight="1" s="91">
      <c r="B141" s="125" t="inlineStr">
        <is>
          <t>Exit Cap Rate %</t>
        </is>
      </c>
      <c r="C141" s="126" t="n">
        <v>0.1</v>
      </c>
      <c r="D141" s="126" t="n">
        <v>0.1</v>
      </c>
      <c r="E141" s="126" t="n">
        <v>0.1</v>
      </c>
      <c r="F141" s="126" t="n">
        <v>0.1</v>
      </c>
      <c r="G141" s="126" t="n">
        <v>0.1</v>
      </c>
      <c r="H141" s="126" t="n">
        <v>0.1</v>
      </c>
    </row>
    <row r="142" ht="15" customHeight="1" s="91">
      <c r="B142" s="90" t="inlineStr">
        <is>
          <t>Mgmt Fee Cap (annual)</t>
        </is>
      </c>
      <c r="C142" s="127" t="n">
        <v>2000000</v>
      </c>
      <c r="D142" s="127" t="n">
        <v>2000000</v>
      </c>
      <c r="E142" s="127" t="n">
        <v>2000000</v>
      </c>
      <c r="F142" s="127" t="n">
        <v>2000000</v>
      </c>
      <c r="G142" s="127" t="n">
        <v>2000000</v>
      </c>
      <c r="H142" s="127" t="n">
        <v>2000000</v>
      </c>
    </row>
    <row r="143" ht="15" customHeight="1" s="91">
      <c r="B143" s="90" t="inlineStr">
        <is>
          <t>Structuring Fee Cap</t>
        </is>
      </c>
      <c r="C143" s="127" t="n">
        <v>300000</v>
      </c>
      <c r="D143" s="127" t="n">
        <v>300000</v>
      </c>
      <c r="E143" s="127" t="n">
        <v>300000</v>
      </c>
      <c r="F143" s="127" t="n">
        <v>300000</v>
      </c>
      <c r="G143" s="127" t="n">
        <v>300000</v>
      </c>
      <c r="H143" s="127" t="n">
        <v>300000</v>
      </c>
    </row>
    <row r="144" ht="15" customHeight="1" s="91">
      <c r="B144" s="90" t="inlineStr">
        <is>
          <t>Debt Tranche Mode</t>
        </is>
      </c>
      <c r="C144" s="128" t="inlineStr">
        <is>
          <t>single</t>
        </is>
      </c>
      <c r="D144" s="128" t="inlineStr">
        <is>
          <t>single</t>
        </is>
      </c>
      <c r="E144" s="128" t="inlineStr">
        <is>
          <t>single</t>
        </is>
      </c>
      <c r="F144" s="128" t="inlineStr">
        <is>
          <t>single</t>
        </is>
      </c>
      <c r="G144" s="128" t="inlineStr">
        <is>
          <t>single</t>
        </is>
      </c>
      <c r="H144" s="128" t="inlineStr">
        <is>
          <t>single</t>
        </is>
      </c>
    </row>
    <row r="145" ht="15" customHeight="1" s="91">
      <c r="B145" s="90" t="inlineStr">
        <is>
          <t>Pre-Establishment Fee</t>
        </is>
      </c>
      <c r="C145" s="127" t="n">
        <v>200000</v>
      </c>
      <c r="D145" s="127" t="n">
        <v>200000</v>
      </c>
      <c r="E145" s="127" t="n">
        <v>200000</v>
      </c>
      <c r="F145" s="127" t="n">
        <v>200000</v>
      </c>
      <c r="G145" s="127" t="n">
        <v>200000</v>
      </c>
      <c r="H145" s="127" t="n">
        <v>200000</v>
      </c>
    </row>
    <row r="146" ht="15" customHeight="1" s="91">
      <c r="B146" s="90" t="inlineStr">
        <is>
          <t>SPV Setup Fee</t>
        </is>
      </c>
      <c r="C146" s="127" t="n">
        <v>20000</v>
      </c>
      <c r="D146" s="127" t="n">
        <v>20000</v>
      </c>
      <c r="E146" s="127" t="n">
        <v>20000</v>
      </c>
      <c r="F146" s="127" t="n">
        <v>20000</v>
      </c>
      <c r="G146" s="127" t="n">
        <v>20000</v>
      </c>
      <c r="H146" s="127" t="n">
        <v>20000</v>
      </c>
    </row>
    <row r="147" ht="15" customHeight="1" s="91">
      <c r="B147" s="90" t="inlineStr">
        <is>
          <t>Auditor Fee (Annual)</t>
        </is>
      </c>
      <c r="C147" s="127" t="n">
        <v>50000</v>
      </c>
      <c r="D147" s="127" t="n">
        <v>50000</v>
      </c>
      <c r="E147" s="127" t="n">
        <v>50000</v>
      </c>
      <c r="F147" s="127" t="n">
        <v>50000</v>
      </c>
      <c r="G147" s="127" t="n">
        <v>50000</v>
      </c>
      <c r="H147" s="127" t="n">
        <v>50000</v>
      </c>
    </row>
    <row r="148" ht="15" customHeight="1" s="91">
      <c r="B148" s="90" t="inlineStr">
        <is>
          <t>Operator Fee %</t>
        </is>
      </c>
      <c r="C148" s="126" t="n">
        <v>0.0015</v>
      </c>
      <c r="D148" s="126" t="n">
        <v>0.0015</v>
      </c>
      <c r="E148" s="126" t="n">
        <v>0.0015</v>
      </c>
      <c r="F148" s="126" t="n">
        <v>0.0015</v>
      </c>
      <c r="G148" s="126" t="n">
        <v>0.0015</v>
      </c>
      <c r="H148" s="126" t="n">
        <v>0.0015</v>
      </c>
    </row>
    <row r="149" ht="15" customHeight="1" s="91">
      <c r="B149" s="90" t="inlineStr">
        <is>
          <t>Operator Fee Cap</t>
        </is>
      </c>
      <c r="C149" s="127" t="n">
        <v>600000</v>
      </c>
      <c r="D149" s="127" t="n">
        <v>600000</v>
      </c>
      <c r="E149" s="127" t="n">
        <v>600000</v>
      </c>
      <c r="F149" s="127" t="n">
        <v>600000</v>
      </c>
      <c r="G149" s="127" t="n">
        <v>600000</v>
      </c>
      <c r="H149" s="127" t="n">
        <v>600000</v>
      </c>
    </row>
    <row r="150" ht="15" customHeight="1" s="91">
      <c r="B150" s="90" t="inlineStr">
        <is>
          <t>Misc Expense %</t>
        </is>
      </c>
      <c r="C150" s="126" t="n">
        <v>0.005</v>
      </c>
      <c r="D150" s="126" t="n">
        <v>0.005</v>
      </c>
      <c r="E150" s="126" t="n">
        <v>0.005</v>
      </c>
      <c r="F150" s="126" t="n">
        <v>0.005</v>
      </c>
      <c r="G150" s="126" t="n">
        <v>0.005</v>
      </c>
      <c r="H150" s="126" t="n">
        <v>0.005</v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e4b"/>
  <mergeCells count="12">
    <mergeCell ref="A87:E87"/>
    <mergeCell ref="A4:E4"/>
    <mergeCell ref="A62:E62"/>
    <mergeCell ref="A43:E43"/>
    <mergeCell ref="A24:E24"/>
    <mergeCell ref="A100:E100"/>
    <mergeCell ref="A28:E28"/>
    <mergeCell ref="A11:E11"/>
    <mergeCell ref="A1:E1"/>
    <mergeCell ref="A84:E84"/>
    <mergeCell ref="A17:E17"/>
    <mergeCell ref="A106:E106"/>
  </mergeCells>
  <dataValidations count="11">
    <dataValidation sqref="C118" showDropDown="0" showInputMessage="0" showErrorMessage="0" allowBlank="0" error="Choose Unified or Per-Phase" type="list" errorStyle="stop" operator="between">
      <formula1>"Unified,Per-Phase"</formula1>
      <formula2>0</formula2>
    </dataValidation>
    <dataValidation sqref="C29" showDropDown="0" showInputMessage="0" showErrorMessage="0" allowBlank="0" type="list" errorStyle="stop" operator="between">
      <formula1>"Base Case,CAPEX +10%,Rent -10%,Delay +6 months,Escalation +0.5%,Escalation -0.5%"</formula1>
      <formula2>0</formula2>
    </dataValidation>
    <dataValidation sqref="C88" showDropDown="0" showInputMessage="0" showErrorMessage="0" allowBlank="0" type="list" errorStyle="stop" operator="between">
      <formula1>"Lease,Purchase,Partner,BOT"</formula1>
      <formula2>0</formula2>
    </dataValidation>
    <dataValidation sqref="C101" showDropDown="0" showInputMessage="0" showErrorMessage="0" allowBlank="0" type="list" errorStyle="stop" operator="between">
      <formula1>"Self,Bank,Fund,JV"</formula1>
      <formula2>0</formula2>
    </dataValidation>
    <dataValidation sqref="C107" showDropDown="0" showInputMessage="0" showErrorMessage="0" allowBlank="0" type="list" errorStyle="stop" operator="between">
      <formula1>"Sale,Hold,REIT,Refinance,Partial"</formula1>
      <formula2>0</formula2>
    </dataValidation>
    <dataValidation sqref="C136" showDropDown="0" showInputMessage="0" showErrorMessage="0" allowBlank="0" type="list" errorStyle="stop" operator="between">
      <formula1>"Y,N"</formula1>
      <formula2>0</formula2>
    </dataValidation>
    <dataValidation sqref="D136" showDropDown="0" showInputMessage="0" showErrorMessage="0" allowBlank="0" type="list" errorStyle="stop" operator="between">
      <formula1>"Y,N"</formula1>
      <formula2>0</formula2>
    </dataValidation>
    <dataValidation sqref="E136" showDropDown="0" showInputMessage="0" showErrorMessage="0" allowBlank="0" type="list" errorStyle="stop" operator="between">
      <formula1>"Y,N"</formula1>
      <formula2>0</formula2>
    </dataValidation>
    <dataValidation sqref="F136" showDropDown="0" showInputMessage="0" showErrorMessage="0" allowBlank="0" type="list" errorStyle="stop" operator="between">
      <formula1>"Y,N"</formula1>
      <formula2>0</formula2>
    </dataValidation>
    <dataValidation sqref="G136" showDropDown="0" showInputMessage="0" showErrorMessage="0" allowBlank="0" type="list" errorStyle="stop" operator="between">
      <formula1>"Y,N"</formula1>
      <formula2>0</formula2>
    </dataValidation>
    <dataValidation sqref="H136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90" min="1" max="2"/>
    <col width="22" customWidth="1" style="90" min="3" max="3"/>
    <col width="6" customWidth="1" style="90" min="4" max="4"/>
    <col width="14" customWidth="1" style="90" min="5" max="5"/>
    <col width="12" customWidth="1" style="90" min="6" max="8"/>
    <col width="10" customWidth="1" style="90" min="9" max="9"/>
    <col width="8" customWidth="1" style="90" min="10" max="10"/>
    <col width="12" customWidth="1" style="90" min="11" max="11"/>
    <col width="10" customWidth="1" style="90" min="12" max="12"/>
    <col width="12" customWidth="1" style="90" min="13" max="13"/>
    <col width="10" customWidth="1" style="90" min="14" max="14"/>
    <col width="8" customWidth="1" style="90" min="15" max="16"/>
    <col width="10" customWidth="1" style="90" min="17" max="19"/>
    <col width="14" customWidth="1" style="90" min="20" max="20"/>
    <col width="12" customWidth="1" style="90" min="21" max="22"/>
    <col width="14" customWidth="1" style="90" min="23" max="23"/>
    <col width="10" customWidth="1" style="90" min="24" max="24"/>
  </cols>
  <sheetData>
    <row r="1" ht="36" customHeight="1" s="91">
      <c r="A1" s="92" t="inlineStr">
        <is>
          <t>ASSET PROGRAM TABLE  جدول الأصول</t>
        </is>
      </c>
    </row>
    <row r="3" ht="27.75" customHeight="1" s="91">
      <c r="A3" s="105" t="inlineStr">
        <is>
          <t>Phase
المرحلة</t>
        </is>
      </c>
      <c r="B3" s="105" t="inlineStr">
        <is>
          <t>Category
التصنيف</t>
        </is>
      </c>
      <c r="C3" s="105" t="inlineStr">
        <is>
          <t>Asset Name
اسم الأصل</t>
        </is>
      </c>
      <c r="D3" s="105" t="inlineStr">
        <is>
          <t>Code
الرمز</t>
        </is>
      </c>
      <c r="E3" s="105" t="inlineStr">
        <is>
          <t>Notes
ملاحظات</t>
        </is>
      </c>
      <c r="F3" s="105" t="inlineStr">
        <is>
          <t>Plot Area
مساحة القطعة</t>
        </is>
      </c>
      <c r="G3" s="105" t="inlineStr">
        <is>
          <t>Bldg Footprint
مساحة الدور</t>
        </is>
      </c>
      <c r="H3" s="105" t="inlineStr">
        <is>
          <t>GFA
إجمالي المساحات</t>
        </is>
      </c>
      <c r="I3" s="105" t="inlineStr">
        <is>
          <t>Rev Type
نوع الإيراد</t>
        </is>
      </c>
      <c r="J3" s="105" t="inlineStr">
        <is>
          <t>Eff %
الكفاءة</t>
        </is>
      </c>
      <c r="K3" s="105" t="inlineStr">
        <is>
          <t>Leasable Area
المساحة التأجيرية</t>
        </is>
      </c>
      <c r="L3" s="105" t="inlineStr">
        <is>
          <t>Lease Rate
إيجار المتر</t>
        </is>
      </c>
      <c r="M3" s="105" t="inlineStr">
        <is>
          <t>Op EBITDA
إيراد تشغيلي</t>
        </is>
      </c>
      <c r="N3" s="105" t="inlineStr">
        <is>
          <t>Escalation %
الزيادة السنوية</t>
        </is>
      </c>
      <c r="O3" s="105" t="inlineStr">
        <is>
          <t>Ramp Up Yrs
سنوات النمو</t>
        </is>
      </c>
      <c r="P3" s="105" t="inlineStr">
        <is>
          <t>Stab Occ %
إشغال مستقر</t>
        </is>
      </c>
      <c r="Q3" s="105" t="inlineStr">
        <is>
          <t>Cost/m²
تكلفة المتر</t>
        </is>
      </c>
      <c r="R3" s="105" t="inlineStr">
        <is>
          <t>Constr Start
بداية البناء</t>
        </is>
      </c>
      <c r="S3" s="105" t="inlineStr">
        <is>
          <t>Constr Duration
مدة البناء (شهر)</t>
        </is>
      </c>
      <c r="T3" s="105" t="inlineStr">
        <is>
          <t>Total CAPEX
إجمالي التكلفة</t>
        </is>
      </c>
      <c r="U3" s="105" t="inlineStr">
        <is>
          <t>Constr Start Yr
سنة بداية البناء</t>
        </is>
      </c>
      <c r="V3" s="105" t="inlineStr">
        <is>
          <t>Revenue Start Yr
سنة بداية الإيراد</t>
        </is>
      </c>
      <c r="W3" s="105" t="inlineStr">
        <is>
          <t>Base Revenue
الإيراد الأساسي</t>
        </is>
      </c>
      <c r="X3" s="105" t="inlineStr">
        <is>
          <t>Ramp Target
هدف النمو</t>
        </is>
      </c>
    </row>
    <row r="4" ht="15" customHeight="1" s="91">
      <c r="A4" s="129" t="inlineStr">
        <is>
          <t>ZAN 1</t>
        </is>
      </c>
      <c r="B4" s="129" t="inlineStr">
        <is>
          <t>Hospitality</t>
        </is>
      </c>
      <c r="C4" s="114" t="inlineStr">
        <is>
          <t>Hotel</t>
        </is>
      </c>
      <c r="D4" s="129" t="inlineStr">
        <is>
          <t>H</t>
        </is>
      </c>
      <c r="E4" s="129" t="inlineStr">
        <is>
          <t>Anchor (Hotel)</t>
        </is>
      </c>
      <c r="F4" s="124" t="n">
        <v>5133</v>
      </c>
      <c r="G4" s="124" t="n">
        <v>2072</v>
      </c>
      <c r="H4" s="124" t="n">
        <v>16577</v>
      </c>
      <c r="I4" s="114" t="inlineStr">
        <is>
          <t>Operating</t>
        </is>
      </c>
      <c r="J4" s="116" t="n">
        <v>0</v>
      </c>
      <c r="K4" s="108">
        <f>H4*J4</f>
        <v/>
      </c>
      <c r="L4" s="124" t="n">
        <v>0</v>
      </c>
      <c r="M4" s="130">
        <f>Operating_PL!C44</f>
        <v/>
      </c>
      <c r="N4" s="109">
        <f>Inputs!C41</f>
        <v/>
      </c>
      <c r="O4" s="107" t="n">
        <v>4</v>
      </c>
      <c r="P4" s="116" t="n">
        <v>1</v>
      </c>
      <c r="Q4" s="124" t="n">
        <v>8000</v>
      </c>
      <c r="R4" s="131">
        <f>IFERROR(VLOOKUP(A4,Inputs!B45:C59,2,FALSE())+ROUND(Inputs!C39/12,0),0)</f>
        <v/>
      </c>
      <c r="S4" s="107" t="n">
        <v>36</v>
      </c>
      <c r="T4" s="132">
        <f>H4*Q4*(1+Inputs!$C$25)*(1+Inputs!$C$26)*Inputs!$C$37</f>
        <v/>
      </c>
      <c r="U4" s="133">
        <f>Inputs!$C$7+R4</f>
        <v/>
      </c>
      <c r="V4" s="133">
        <f>IF(S4=0,U4,U4+CEILING(S4/12,1))</f>
        <v/>
      </c>
      <c r="W4" s="134">
        <f>IF(I4="Lease",K4*L4,IF(I4="Operating",M4,0))</f>
        <v/>
      </c>
      <c r="X4" s="135">
        <f>IF(I4="Lease",P4,1)</f>
        <v/>
      </c>
    </row>
    <row r="5" ht="15" customHeight="1" s="91">
      <c r="A5" s="129" t="inlineStr">
        <is>
          <t>ZAN 1</t>
        </is>
      </c>
      <c r="B5" s="129" t="inlineStr">
        <is>
          <t>Retail</t>
        </is>
      </c>
      <c r="C5" s="114" t="inlineStr">
        <is>
          <t>Retail - Sport Complex</t>
        </is>
      </c>
      <c r="D5" s="129" t="inlineStr">
        <is>
          <t>S</t>
        </is>
      </c>
      <c r="E5" s="129" t="n"/>
      <c r="F5" s="124" t="n">
        <v>6000</v>
      </c>
      <c r="G5" s="124" t="n">
        <v>6000</v>
      </c>
      <c r="H5" s="124" t="n">
        <v>6000</v>
      </c>
      <c r="I5" s="114" t="inlineStr">
        <is>
          <t>Lease</t>
        </is>
      </c>
      <c r="J5" s="116" t="n">
        <v>1</v>
      </c>
      <c r="K5" s="108">
        <f>H5*J5</f>
        <v/>
      </c>
      <c r="L5" s="124" t="n">
        <v>173</v>
      </c>
      <c r="M5" s="134">
        <f>IF(I5="Operating",0,0)</f>
        <v/>
      </c>
      <c r="N5" s="109">
        <f>Inputs!C41</f>
        <v/>
      </c>
      <c r="O5" s="107" t="n">
        <v>3</v>
      </c>
      <c r="P5" s="116" t="n">
        <v>0.9</v>
      </c>
      <c r="Q5" s="124" t="n">
        <v>240</v>
      </c>
      <c r="R5" s="131">
        <f>IFERROR(VLOOKUP(A5,Inputs!B45:C59,2,FALSE())+ROUND(Inputs!C39/12,0),0)</f>
        <v/>
      </c>
      <c r="S5" s="107" t="n">
        <v>6</v>
      </c>
      <c r="T5" s="132">
        <f>H5*Q5*(1+Inputs!$C$25)*(1+Inputs!$C$26)*Inputs!$C$37</f>
        <v/>
      </c>
      <c r="U5" s="133">
        <f>Inputs!$C$7+R5</f>
        <v/>
      </c>
      <c r="V5" s="133">
        <f>IF(S5=0,U5,U5+CEILING(S5/12,1))</f>
        <v/>
      </c>
      <c r="W5" s="134">
        <f>IF(I5="Lease",K5*L5,IF(I5="Operating",M5,0))</f>
        <v/>
      </c>
      <c r="X5" s="135">
        <f>IF(I5="Lease",P5,1)</f>
        <v/>
      </c>
    </row>
    <row r="6" ht="15" customHeight="1" s="91">
      <c r="A6" s="129" t="inlineStr">
        <is>
          <t>ZAN 1</t>
        </is>
      </c>
      <c r="B6" s="129" t="inlineStr">
        <is>
          <t>Utilities</t>
        </is>
      </c>
      <c r="C6" s="114" t="inlineStr">
        <is>
          <t>Parking &amp; Landscaping ZAN1</t>
        </is>
      </c>
      <c r="D6" s="129" t="inlineStr">
        <is>
          <t>(N/A)</t>
        </is>
      </c>
      <c r="E6" s="129" t="inlineStr">
        <is>
          <t>Parking &amp; Landscaping</t>
        </is>
      </c>
      <c r="F6" s="129">
        <f>0</f>
        <v/>
      </c>
      <c r="G6" s="124" t="n">
        <v>0</v>
      </c>
      <c r="H6" s="108">
        <f>(Inputs!C63-Program!G34)*Inputs!E45</f>
        <v/>
      </c>
      <c r="I6" s="114" t="inlineStr">
        <is>
          <t>Lease</t>
        </is>
      </c>
      <c r="J6" s="116" t="n">
        <v>0</v>
      </c>
      <c r="K6" s="108">
        <f>H6*J6</f>
        <v/>
      </c>
      <c r="L6" s="124" t="n">
        <v>0</v>
      </c>
      <c r="M6" s="134">
        <f>IF(I6="Operating",0,0)</f>
        <v/>
      </c>
      <c r="N6" s="135">
        <f>0</f>
        <v/>
      </c>
      <c r="O6" s="107" t="n">
        <v>0</v>
      </c>
      <c r="P6" s="116" t="n">
        <v>0</v>
      </c>
      <c r="Q6" s="124" t="n">
        <v>500</v>
      </c>
      <c r="R6" s="107" t="n">
        <v>4</v>
      </c>
      <c r="S6" s="107" t="n">
        <v>12</v>
      </c>
      <c r="T6" s="132">
        <f>H6*Q6*(1+Inputs!$C$25)*(1+Inputs!$C$26)*Inputs!$C$37</f>
        <v/>
      </c>
      <c r="U6" s="133">
        <f>Inputs!$C$7+R6</f>
        <v/>
      </c>
      <c r="V6" s="133">
        <f>IF(S6=0,U6,U6+CEILING(S6/12,1))</f>
        <v/>
      </c>
      <c r="W6" s="134">
        <f>IF(I6="Lease",K6*L6,IF(I6="Operating",M6,0))</f>
        <v/>
      </c>
      <c r="X6" s="135">
        <f>IF(I6="Lease",P6,1)</f>
        <v/>
      </c>
    </row>
    <row r="7" ht="15" customHeight="1" s="91">
      <c r="A7" s="129" t="inlineStr">
        <is>
          <t>ZAN 1</t>
        </is>
      </c>
      <c r="B7" s="129" t="inlineStr">
        <is>
          <t>Retail</t>
        </is>
      </c>
      <c r="C7" s="114" t="inlineStr">
        <is>
          <t>Fuel Station</t>
        </is>
      </c>
      <c r="D7" s="129" t="inlineStr">
        <is>
          <t>F</t>
        </is>
      </c>
      <c r="E7" s="129" t="inlineStr">
        <is>
          <t>Shared utility</t>
        </is>
      </c>
      <c r="F7" s="124" t="n">
        <v>6920</v>
      </c>
      <c r="G7" s="124" t="n">
        <v>3586</v>
      </c>
      <c r="H7" s="124" t="n">
        <v>3586</v>
      </c>
      <c r="I7" s="114" t="inlineStr">
        <is>
          <t>Lease</t>
        </is>
      </c>
      <c r="J7" s="116" t="n">
        <v>0.3</v>
      </c>
      <c r="K7" s="108">
        <f>H7*J7</f>
        <v/>
      </c>
      <c r="L7" s="124" t="n">
        <v>900</v>
      </c>
      <c r="M7" s="134">
        <f>IF(I7="Operating",0,0)</f>
        <v/>
      </c>
      <c r="N7" s="109">
        <f>Inputs!C41</f>
        <v/>
      </c>
      <c r="O7" s="107" t="n">
        <v>3</v>
      </c>
      <c r="P7" s="116" t="n">
        <v>0.9</v>
      </c>
      <c r="Q7" s="124" t="n">
        <v>1500</v>
      </c>
      <c r="R7" s="131">
        <f>IFERROR(VLOOKUP(A7,Inputs!B45:C59,2,FALSE())+ROUND(Inputs!C39/12,0),0)</f>
        <v/>
      </c>
      <c r="S7" s="107" t="n">
        <v>12</v>
      </c>
      <c r="T7" s="132">
        <f>H7*Q7*(1+Inputs!$C$25)*(1+Inputs!$C$26)*Inputs!$C$37</f>
        <v/>
      </c>
      <c r="U7" s="133">
        <f>Inputs!$C$7+R7</f>
        <v/>
      </c>
      <c r="V7" s="133">
        <f>IF(S7=0,U7,U7+CEILING(S7/12,1))</f>
        <v/>
      </c>
      <c r="W7" s="134">
        <f>IF(I7="Lease",K7*L7,IF(I7="Operating",M7,0))</f>
        <v/>
      </c>
      <c r="X7" s="135">
        <f>IF(I7="Lease",P7,1)</f>
        <v/>
      </c>
    </row>
    <row r="8" ht="15" customHeight="1" s="91">
      <c r="A8" s="129" t="inlineStr">
        <is>
          <t>ZAN 1</t>
        </is>
      </c>
      <c r="B8" s="129" t="inlineStr">
        <is>
          <t>Marina</t>
        </is>
      </c>
      <c r="C8" s="114" t="inlineStr">
        <is>
          <t>Marina Berths</t>
        </is>
      </c>
      <c r="D8" s="129" t="inlineStr">
        <is>
          <t>MAR</t>
        </is>
      </c>
      <c r="E8" s="129" t="inlineStr">
        <is>
          <t>Anchor</t>
        </is>
      </c>
      <c r="F8" s="124" t="n">
        <v>3000</v>
      </c>
      <c r="G8" s="124" t="n">
        <v>0</v>
      </c>
      <c r="H8" s="124" t="n">
        <v>2400</v>
      </c>
      <c r="I8" s="114" t="inlineStr">
        <is>
          <t>Operating</t>
        </is>
      </c>
      <c r="J8" s="116" t="n">
        <v>0</v>
      </c>
      <c r="K8" s="108">
        <f>H8*J8</f>
        <v/>
      </c>
      <c r="L8" s="124" t="n">
        <v>0</v>
      </c>
      <c r="M8" s="130">
        <f>Operating_PL!C80</f>
        <v/>
      </c>
      <c r="N8" s="109">
        <f>Inputs!C41</f>
        <v/>
      </c>
      <c r="O8" s="107" t="n">
        <v>4</v>
      </c>
      <c r="P8" s="116" t="n">
        <v>0.9</v>
      </c>
      <c r="Q8" s="124" t="n">
        <v>16000</v>
      </c>
      <c r="R8" s="107" t="n">
        <v>4</v>
      </c>
      <c r="S8" s="107" t="n">
        <v>12</v>
      </c>
      <c r="T8" s="132">
        <f>H8*Q8*(1+Inputs!$C$25)*(1+Inputs!$C$26)*Inputs!$C$37</f>
        <v/>
      </c>
      <c r="U8" s="133">
        <f>Inputs!$C$7+R8</f>
        <v/>
      </c>
      <c r="V8" s="133">
        <f>IF(S8=0,U8,U8+CEILING(S8/12,1))</f>
        <v/>
      </c>
      <c r="W8" s="134">
        <f>IF(I8="Lease",K8*L8,IF(I8="Operating",M8,0))</f>
        <v/>
      </c>
      <c r="X8" s="135">
        <f>IF(I8="Lease",P8,1)</f>
        <v/>
      </c>
    </row>
    <row r="9" ht="15" customHeight="1" s="91">
      <c r="A9" s="129" t="inlineStr">
        <is>
          <t>ZAN 1</t>
        </is>
      </c>
      <c r="B9" s="129" t="inlineStr">
        <is>
          <t>Retail</t>
        </is>
      </c>
      <c r="C9" s="114" t="inlineStr">
        <is>
          <t>Marina Mall</t>
        </is>
      </c>
      <c r="D9" s="129" t="inlineStr">
        <is>
          <t>C1</t>
        </is>
      </c>
      <c r="E9" s="129" t="inlineStr">
        <is>
          <t>Anchor (Mall)</t>
        </is>
      </c>
      <c r="F9" s="124" t="n">
        <v>28947</v>
      </c>
      <c r="G9" s="124" t="n">
        <v>20840</v>
      </c>
      <c r="H9" s="124" t="n">
        <v>31260</v>
      </c>
      <c r="I9" s="114" t="inlineStr">
        <is>
          <t>Lease</t>
        </is>
      </c>
      <c r="J9" s="116" t="n">
        <v>0.8</v>
      </c>
      <c r="K9" s="108">
        <f>H9*J9</f>
        <v/>
      </c>
      <c r="L9" s="124" t="n">
        <v>2100</v>
      </c>
      <c r="M9" s="134">
        <f>IF(I9="Operating",0,0)</f>
        <v/>
      </c>
      <c r="N9" s="109">
        <f>Inputs!C41</f>
        <v/>
      </c>
      <c r="O9" s="107" t="n">
        <v>3</v>
      </c>
      <c r="P9" s="116" t="n">
        <v>0.9</v>
      </c>
      <c r="Q9" s="124" t="n">
        <v>3900</v>
      </c>
      <c r="R9" s="131">
        <f>IFERROR(VLOOKUP(A9,Inputs!B45:C59,2,FALSE())+ROUND(Inputs!C39/12,0),0)</f>
        <v/>
      </c>
      <c r="S9" s="107" t="n">
        <v>30</v>
      </c>
      <c r="T9" s="132">
        <f>H9*Q9*(1+Inputs!$C$25)*(1+Inputs!$C$26)*Inputs!$C$37</f>
        <v/>
      </c>
      <c r="U9" s="133">
        <f>Inputs!$C$7+R9</f>
        <v/>
      </c>
      <c r="V9" s="133">
        <f>IF(S9=0,U9,U9+CEILING(S9/12,1))</f>
        <v/>
      </c>
      <c r="W9" s="134">
        <f>IF(I9="Lease",K9*L9,IF(I9="Operating",M9,0))</f>
        <v/>
      </c>
      <c r="X9" s="135">
        <f>IF(I9="Lease",P9,1)</f>
        <v/>
      </c>
    </row>
    <row r="10" ht="15" customHeight="1" s="91">
      <c r="A10" s="129" t="inlineStr">
        <is>
          <t>ZAN 2</t>
        </is>
      </c>
      <c r="B10" s="129" t="inlineStr">
        <is>
          <t>Retail</t>
        </is>
      </c>
      <c r="C10" s="114" t="inlineStr">
        <is>
          <t>Seafront Mall</t>
        </is>
      </c>
      <c r="D10" s="129" t="inlineStr">
        <is>
          <t>C2</t>
        </is>
      </c>
      <c r="E10" s="129" t="inlineStr">
        <is>
          <t>Supporting anchor</t>
        </is>
      </c>
      <c r="F10" s="124" t="n">
        <v>4718</v>
      </c>
      <c r="G10" s="124" t="n">
        <v>4511</v>
      </c>
      <c r="H10" s="124" t="n">
        <v>8918</v>
      </c>
      <c r="I10" s="114" t="inlineStr">
        <is>
          <t>Lease</t>
        </is>
      </c>
      <c r="J10" s="116" t="n">
        <v>0.9</v>
      </c>
      <c r="K10" s="108">
        <f>H10*J10</f>
        <v/>
      </c>
      <c r="L10" s="124" t="n">
        <v>2000</v>
      </c>
      <c r="M10" s="134">
        <f>IF(I10="Operating",0,0)</f>
        <v/>
      </c>
      <c r="N10" s="109">
        <f>Inputs!C41</f>
        <v/>
      </c>
      <c r="O10" s="107" t="n">
        <v>3</v>
      </c>
      <c r="P10" s="116" t="n">
        <v>0.9</v>
      </c>
      <c r="Q10" s="124" t="n">
        <v>3500</v>
      </c>
      <c r="R10" s="131">
        <f>IFERROR(VLOOKUP(A10,Inputs!B45:C59,2,FALSE())+ROUND(Inputs!C39/12,0),0)</f>
        <v/>
      </c>
      <c r="S10" s="107" t="n">
        <v>24</v>
      </c>
      <c r="T10" s="132">
        <f>H10*Q10*(1+Inputs!$C$25)*(1+Inputs!$C$26)*Inputs!$C$37</f>
        <v/>
      </c>
      <c r="U10" s="133">
        <f>Inputs!$C$7+R10</f>
        <v/>
      </c>
      <c r="V10" s="133">
        <f>IF(S10=0,U10,U10+CEILING(S10/12,1))</f>
        <v/>
      </c>
      <c r="W10" s="134">
        <f>IF(I10="Lease",K10*L10,IF(I10="Operating",M10,0))</f>
        <v/>
      </c>
      <c r="X10" s="135">
        <f>IF(I10="Lease",P10,1)</f>
        <v/>
      </c>
    </row>
    <row r="11" ht="15" customHeight="1" s="91">
      <c r="A11" s="129" t="inlineStr">
        <is>
          <t>ZAN 2</t>
        </is>
      </c>
      <c r="B11" s="129" t="inlineStr">
        <is>
          <t>Office</t>
        </is>
      </c>
      <c r="C11" s="114" t="inlineStr">
        <is>
          <t>Flexible Block (Office)</t>
        </is>
      </c>
      <c r="D11" s="129" t="inlineStr">
        <is>
          <t>R1</t>
        </is>
      </c>
      <c r="E11" s="129" t="inlineStr">
        <is>
          <t>Flexible</t>
        </is>
      </c>
      <c r="F11" s="124" t="n">
        <v>4781</v>
      </c>
      <c r="G11" s="124" t="n">
        <v>2367</v>
      </c>
      <c r="H11" s="124" t="n">
        <v>11168</v>
      </c>
      <c r="I11" s="114" t="inlineStr">
        <is>
          <t>Lease</t>
        </is>
      </c>
      <c r="J11" s="109">
        <f>Inputs!C13</f>
        <v/>
      </c>
      <c r="K11" s="108">
        <f>H11*J11</f>
        <v/>
      </c>
      <c r="L11" s="124" t="n">
        <v>850</v>
      </c>
      <c r="M11" s="134">
        <f>IF(I11="Operating",0,0)</f>
        <v/>
      </c>
      <c r="N11" s="109">
        <f>Inputs!C41</f>
        <v/>
      </c>
      <c r="O11" s="107" t="n">
        <v>3</v>
      </c>
      <c r="P11" s="116" t="n">
        <v>0.9</v>
      </c>
      <c r="Q11" s="124" t="n">
        <v>2600</v>
      </c>
      <c r="R11" s="131">
        <f>IFERROR(VLOOKUP(A11,Inputs!B45:C59,2,FALSE())+ROUND(Inputs!C39/12,0),0)</f>
        <v/>
      </c>
      <c r="S11" s="107" t="n">
        <v>30</v>
      </c>
      <c r="T11" s="132">
        <f>H11*Q11*(1+Inputs!$C$25)*(1+Inputs!$C$26)*Inputs!$C$37</f>
        <v/>
      </c>
      <c r="U11" s="133">
        <f>Inputs!$C$7+R11</f>
        <v/>
      </c>
      <c r="V11" s="133">
        <f>IF(S11=0,U11,U11+CEILING(S11/12,1))</f>
        <v/>
      </c>
      <c r="W11" s="134">
        <f>IF(I11="Lease",K11*L11,IF(I11="Operating",M11,0))</f>
        <v/>
      </c>
      <c r="X11" s="135">
        <f>IF(I11="Lease",P11,1)</f>
        <v/>
      </c>
    </row>
    <row r="12" ht="15" customHeight="1" s="91">
      <c r="A12" s="129" t="inlineStr">
        <is>
          <t>ZAN 2</t>
        </is>
      </c>
      <c r="B12" s="129" t="inlineStr">
        <is>
          <t>Hospitality</t>
        </is>
      </c>
      <c r="C12" s="114" t="inlineStr">
        <is>
          <t>Resort</t>
        </is>
      </c>
      <c r="D12" s="129" t="inlineStr">
        <is>
          <t>Resort</t>
        </is>
      </c>
      <c r="E12" s="129" t="inlineStr">
        <is>
          <t>Core resort</t>
        </is>
      </c>
      <c r="F12" s="124" t="n">
        <v>33000</v>
      </c>
      <c r="G12" s="124" t="n">
        <v>15877</v>
      </c>
      <c r="H12" s="124" t="n">
        <v>16296</v>
      </c>
      <c r="I12" s="114" t="inlineStr">
        <is>
          <t>Operating</t>
        </is>
      </c>
      <c r="J12" s="116" t="n">
        <v>0</v>
      </c>
      <c r="K12" s="108">
        <f>H12*J12</f>
        <v/>
      </c>
      <c r="L12" s="124" t="n">
        <v>0</v>
      </c>
      <c r="M12" s="130">
        <f>Operating_PL!D44</f>
        <v/>
      </c>
      <c r="N12" s="109">
        <f>Inputs!C41</f>
        <v/>
      </c>
      <c r="O12" s="107" t="n">
        <v>4</v>
      </c>
      <c r="P12" s="116" t="n">
        <v>0.9</v>
      </c>
      <c r="Q12" s="124" t="n">
        <v>10000</v>
      </c>
      <c r="R12" s="131">
        <f>IFERROR(VLOOKUP(A12,Inputs!B45:C59,2,FALSE())+ROUND(Inputs!C39/12,0),0)</f>
        <v/>
      </c>
      <c r="S12" s="107" t="n">
        <v>42</v>
      </c>
      <c r="T12" s="132">
        <f>H12*Q12*(1+Inputs!$C$25)*(1+Inputs!$C$26)*Inputs!$C$37</f>
        <v/>
      </c>
      <c r="U12" s="133">
        <f>Inputs!$C$7+R12</f>
        <v/>
      </c>
      <c r="V12" s="133">
        <f>IF(S12=0,U12,U12+CEILING(S12/12,1))</f>
        <v/>
      </c>
      <c r="W12" s="134">
        <f>IF(I12="Lease",K12*L12,IF(I12="Operating",M12,0))</f>
        <v/>
      </c>
      <c r="X12" s="135">
        <f>IF(I12="Lease",P12,1)</f>
        <v/>
      </c>
    </row>
    <row r="13" ht="15" customHeight="1" s="91">
      <c r="A13" s="129" t="inlineStr">
        <is>
          <t>ZAN 2</t>
        </is>
      </c>
      <c r="B13" s="129" t="inlineStr">
        <is>
          <t>Retail</t>
        </is>
      </c>
      <c r="C13" s="114" t="inlineStr">
        <is>
          <t>Supermarket</t>
        </is>
      </c>
      <c r="D13" s="129" t="inlineStr">
        <is>
          <t>C4</t>
        </is>
      </c>
      <c r="E13" s="129" t="inlineStr">
        <is>
          <t>Daily needs</t>
        </is>
      </c>
      <c r="F13" s="124" t="n">
        <v>2023</v>
      </c>
      <c r="G13" s="124" t="n">
        <v>2023</v>
      </c>
      <c r="H13" s="124" t="n">
        <v>4044</v>
      </c>
      <c r="I13" s="114" t="inlineStr">
        <is>
          <t>Lease</t>
        </is>
      </c>
      <c r="J13" s="116" t="n">
        <v>0.9</v>
      </c>
      <c r="K13" s="108">
        <f>H13*J13</f>
        <v/>
      </c>
      <c r="L13" s="124" t="n">
        <v>500</v>
      </c>
      <c r="M13" s="134">
        <f>IF(I13="Operating",0,0)</f>
        <v/>
      </c>
      <c r="N13" s="109">
        <f>Inputs!C41</f>
        <v/>
      </c>
      <c r="O13" s="107" t="n">
        <v>2</v>
      </c>
      <c r="P13" s="116" t="n">
        <v>0.9</v>
      </c>
      <c r="Q13" s="124" t="n">
        <v>1500</v>
      </c>
      <c r="R13" s="131">
        <f>IFERROR(VLOOKUP(A13,Inputs!B45:C59,2,FALSE())+ROUND(Inputs!C39/12,0),0)</f>
        <v/>
      </c>
      <c r="S13" s="107" t="n">
        <v>18</v>
      </c>
      <c r="T13" s="132">
        <f>H13*Q13*(1+Inputs!$C$25)*(1+Inputs!$C$26)*Inputs!$C$37</f>
        <v/>
      </c>
      <c r="U13" s="133">
        <f>Inputs!$C$7+R13</f>
        <v/>
      </c>
      <c r="V13" s="133">
        <f>IF(S13=0,U13,U13+CEILING(S13/12,1))</f>
        <v/>
      </c>
      <c r="W13" s="134">
        <f>IF(I13="Lease",K13*L13,IF(I13="Operating",M13,0))</f>
        <v/>
      </c>
      <c r="X13" s="135">
        <f>IF(I13="Lease",P13,1)</f>
        <v/>
      </c>
    </row>
    <row r="14" ht="15" customHeight="1" s="91">
      <c r="A14" s="129" t="inlineStr">
        <is>
          <t>ZAN 2</t>
        </is>
      </c>
      <c r="B14" s="129" t="inlineStr">
        <is>
          <t>Retail</t>
        </is>
      </c>
      <c r="C14" s="114" t="inlineStr">
        <is>
          <t>Shops / Cafes</t>
        </is>
      </c>
      <c r="D14" s="129" t="inlineStr">
        <is>
          <t>C5</t>
        </is>
      </c>
      <c r="E14" s="129" t="inlineStr">
        <is>
          <t>F&amp;B support</t>
        </is>
      </c>
      <c r="F14" s="124" t="n">
        <v>7439</v>
      </c>
      <c r="G14" s="124" t="n">
        <v>1167</v>
      </c>
      <c r="H14" s="124" t="n">
        <v>1167</v>
      </c>
      <c r="I14" s="114" t="inlineStr">
        <is>
          <t>Lease</t>
        </is>
      </c>
      <c r="J14" s="116" t="n">
        <v>0.9</v>
      </c>
      <c r="K14" s="108">
        <f>H14*J14</f>
        <v/>
      </c>
      <c r="L14" s="124" t="n">
        <v>2000</v>
      </c>
      <c r="M14" s="134">
        <f>IF(I14="Operating",0,0)</f>
        <v/>
      </c>
      <c r="N14" s="109">
        <f>Inputs!C41</f>
        <v/>
      </c>
      <c r="O14" s="107" t="n">
        <v>2</v>
      </c>
      <c r="P14" s="116" t="n">
        <v>0.9</v>
      </c>
      <c r="Q14" s="124" t="n">
        <v>3000</v>
      </c>
      <c r="R14" s="131">
        <f>IFERROR(VLOOKUP(A14,Inputs!B45:C59,2,FALSE())+ROUND(Inputs!C39/12,0),0)</f>
        <v/>
      </c>
      <c r="S14" s="107" t="n">
        <v>18</v>
      </c>
      <c r="T14" s="132">
        <f>H14*Q14*(1+Inputs!$C$25)*(1+Inputs!$C$26)*Inputs!$C$37</f>
        <v/>
      </c>
      <c r="U14" s="133">
        <f>Inputs!$C$7+R14</f>
        <v/>
      </c>
      <c r="V14" s="133">
        <f>IF(S14=0,U14,U14+CEILING(S14/12,1))</f>
        <v/>
      </c>
      <c r="W14" s="134">
        <f>IF(I14="Lease",K14*L14,IF(I14="Operating",M14,0))</f>
        <v/>
      </c>
      <c r="X14" s="135">
        <f>IF(I14="Lease",P14,1)</f>
        <v/>
      </c>
    </row>
    <row r="15" ht="15" customHeight="1" s="91">
      <c r="A15" s="129" t="inlineStr">
        <is>
          <t>ZAN 2</t>
        </is>
      </c>
      <c r="B15" s="129" t="inlineStr">
        <is>
          <t>Retail</t>
        </is>
      </c>
      <c r="C15" s="114" t="inlineStr">
        <is>
          <t>Shopping Area</t>
        </is>
      </c>
      <c r="D15" s="129" t="inlineStr">
        <is>
          <t>C3</t>
        </is>
      </c>
      <c r="E15" s="129" t="inlineStr">
        <is>
          <t>Convenience</t>
        </is>
      </c>
      <c r="F15" s="124" t="n">
        <v>1567</v>
      </c>
      <c r="G15" s="124" t="n">
        <v>917</v>
      </c>
      <c r="H15" s="124" t="n">
        <v>3668</v>
      </c>
      <c r="I15" s="114" t="inlineStr">
        <is>
          <t>Lease</t>
        </is>
      </c>
      <c r="J15" s="116" t="n">
        <v>0.9</v>
      </c>
      <c r="K15" s="108">
        <f>H15*J15</f>
        <v/>
      </c>
      <c r="L15" s="124" t="n">
        <v>2000</v>
      </c>
      <c r="M15" s="134">
        <f>IF(I15="Operating",0,0)</f>
        <v/>
      </c>
      <c r="N15" s="109">
        <f>Inputs!C41</f>
        <v/>
      </c>
      <c r="O15" s="107" t="n">
        <v>2</v>
      </c>
      <c r="P15" s="116" t="n">
        <v>0.9</v>
      </c>
      <c r="Q15" s="124" t="n">
        <v>3000</v>
      </c>
      <c r="R15" s="131">
        <f>IFERROR(VLOOKUP(A15,Inputs!B45:C59,2,FALSE())+ROUND(Inputs!C39/12,0),0)</f>
        <v/>
      </c>
      <c r="S15" s="107" t="n">
        <v>18</v>
      </c>
      <c r="T15" s="132">
        <f>H15*Q15*(1+Inputs!$C$25)*(1+Inputs!$C$26)*Inputs!$C$37</f>
        <v/>
      </c>
      <c r="U15" s="133">
        <f>Inputs!$C$7+R15</f>
        <v/>
      </c>
      <c r="V15" s="133">
        <f>IF(S15=0,U15,U15+CEILING(S15/12,1))</f>
        <v/>
      </c>
      <c r="W15" s="134">
        <f>IF(I15="Lease",K15*L15,IF(I15="Operating",M15,0))</f>
        <v/>
      </c>
      <c r="X15" s="135">
        <f>IF(I15="Lease",P15,1)</f>
        <v/>
      </c>
    </row>
    <row r="16" ht="15" customHeight="1" s="91">
      <c r="A16" s="129" t="inlineStr">
        <is>
          <t>ZAN 2</t>
        </is>
      </c>
      <c r="B16" s="129" t="inlineStr">
        <is>
          <t>Retail</t>
        </is>
      </c>
      <c r="C16" s="114" t="inlineStr">
        <is>
          <t>Shops / Cafes</t>
        </is>
      </c>
      <c r="D16" s="129" t="inlineStr">
        <is>
          <t>C10</t>
        </is>
      </c>
      <c r="E16" s="129" t="inlineStr">
        <is>
          <t>F&amp;B support</t>
        </is>
      </c>
      <c r="F16" s="124" t="n">
        <v>6990</v>
      </c>
      <c r="G16" s="124" t="n">
        <v>1167</v>
      </c>
      <c r="H16" s="124" t="n">
        <v>1167</v>
      </c>
      <c r="I16" s="114" t="inlineStr">
        <is>
          <t>Lease</t>
        </is>
      </c>
      <c r="J16" s="116" t="n">
        <v>0.9</v>
      </c>
      <c r="K16" s="108">
        <f>H16*J16</f>
        <v/>
      </c>
      <c r="L16" s="124" t="n">
        <v>2000</v>
      </c>
      <c r="M16" s="134">
        <f>IF(I16="Operating",0,0)</f>
        <v/>
      </c>
      <c r="N16" s="109">
        <f>Inputs!C41</f>
        <v/>
      </c>
      <c r="O16" s="107" t="n">
        <v>2</v>
      </c>
      <c r="P16" s="116" t="n">
        <v>0.9</v>
      </c>
      <c r="Q16" s="124" t="n">
        <v>3000</v>
      </c>
      <c r="R16" s="131">
        <f>IFERROR(VLOOKUP(A16,Inputs!B45:C59,2,FALSE())+ROUND(Inputs!C39/12,0),0)</f>
        <v/>
      </c>
      <c r="S16" s="107" t="n">
        <v>18</v>
      </c>
      <c r="T16" s="132">
        <f>H16*Q16*(1+Inputs!$C$25)*(1+Inputs!$C$26)*Inputs!$C$37</f>
        <v/>
      </c>
      <c r="U16" s="133">
        <f>Inputs!$C$7+R16</f>
        <v/>
      </c>
      <c r="V16" s="133">
        <f>IF(S16=0,U16,U16+CEILING(S16/12,1))</f>
        <v/>
      </c>
      <c r="W16" s="134">
        <f>IF(I16="Lease",K16*L16,IF(I16="Operating",M16,0))</f>
        <v/>
      </c>
      <c r="X16" s="135">
        <f>IF(I16="Lease",P16,1)</f>
        <v/>
      </c>
    </row>
    <row r="17" ht="15" customHeight="1" s="91">
      <c r="A17" s="129" t="inlineStr">
        <is>
          <t>ZAN 2</t>
        </is>
      </c>
      <c r="B17" s="129" t="inlineStr">
        <is>
          <t>Utilities</t>
        </is>
      </c>
      <c r="C17" s="114" t="inlineStr">
        <is>
          <t>Parking &amp; Landscaping ZAN2</t>
        </is>
      </c>
      <c r="D17" s="129" t="inlineStr">
        <is>
          <t>(N/A)</t>
        </is>
      </c>
      <c r="E17" s="129" t="inlineStr">
        <is>
          <t>Parking &amp; Landscaping</t>
        </is>
      </c>
      <c r="F17" s="129">
        <f>0</f>
        <v/>
      </c>
      <c r="G17" s="124" t="n">
        <v>0</v>
      </c>
      <c r="H17" s="108">
        <f>(Inputs!C63-Program!G34)*Inputs!E46</f>
        <v/>
      </c>
      <c r="I17" s="114" t="inlineStr">
        <is>
          <t>Lease</t>
        </is>
      </c>
      <c r="J17" s="116" t="n">
        <v>0</v>
      </c>
      <c r="K17" s="108">
        <f>H17*J17</f>
        <v/>
      </c>
      <c r="L17" s="124" t="n">
        <v>0</v>
      </c>
      <c r="M17" s="134">
        <f>IF(I17="Operating",0,0)</f>
        <v/>
      </c>
      <c r="N17" s="135">
        <f>0</f>
        <v/>
      </c>
      <c r="O17" s="107" t="n">
        <v>0</v>
      </c>
      <c r="P17" s="116" t="n">
        <v>0</v>
      </c>
      <c r="Q17" s="124" t="n">
        <v>500</v>
      </c>
      <c r="R17" s="107" t="n">
        <v>4</v>
      </c>
      <c r="S17" s="107" t="n">
        <v>12</v>
      </c>
      <c r="T17" s="132">
        <f>H17*Q17*(1+Inputs!$C$25)*(1+Inputs!$C$26)*Inputs!$C$37</f>
        <v/>
      </c>
      <c r="U17" s="133">
        <f>Inputs!$C$7+R17</f>
        <v/>
      </c>
      <c r="V17" s="133">
        <f>IF(S17=0,U17,U17+CEILING(S17/12,1))</f>
        <v/>
      </c>
      <c r="W17" s="134">
        <f>IF(I17="Lease",K17*L17,IF(I17="Operating",M17,0))</f>
        <v/>
      </c>
      <c r="X17" s="135">
        <f>IF(I17="Lease",P17,1)</f>
        <v/>
      </c>
    </row>
    <row r="18" ht="15" customHeight="1" s="91">
      <c r="A18" s="129" t="inlineStr">
        <is>
          <t>ZAN 2</t>
        </is>
      </c>
      <c r="B18" s="129" t="inlineStr">
        <is>
          <t>Office</t>
        </is>
      </c>
      <c r="C18" s="114" t="inlineStr">
        <is>
          <t>Office Block</t>
        </is>
      </c>
      <c r="D18" s="129" t="inlineStr">
        <is>
          <t>O1</t>
        </is>
      </c>
      <c r="E18" s="129" t="inlineStr">
        <is>
          <t>Office</t>
        </is>
      </c>
      <c r="F18" s="124" t="n">
        <v>5497</v>
      </c>
      <c r="G18" s="124" t="n">
        <v>2710</v>
      </c>
      <c r="H18" s="124" t="n">
        <v>16429</v>
      </c>
      <c r="I18" s="114" t="inlineStr">
        <is>
          <t>Lease</t>
        </is>
      </c>
      <c r="J18" s="116" t="n">
        <v>0.9</v>
      </c>
      <c r="K18" s="108">
        <f>H18*J18</f>
        <v/>
      </c>
      <c r="L18" s="124" t="n">
        <v>900</v>
      </c>
      <c r="M18" s="134">
        <f>IF(I18="Operating",0,0)</f>
        <v/>
      </c>
      <c r="N18" s="109">
        <f>Inputs!C41</f>
        <v/>
      </c>
      <c r="O18" s="107" t="n">
        <v>3</v>
      </c>
      <c r="P18" s="116" t="n">
        <v>0.9</v>
      </c>
      <c r="Q18" s="124" t="n">
        <v>2600</v>
      </c>
      <c r="R18" s="131">
        <f>IFERROR(VLOOKUP(A18,Inputs!B45:C59,2,FALSE())+ROUND(Inputs!C39/12,0),0)</f>
        <v/>
      </c>
      <c r="S18" s="107" t="n">
        <v>30</v>
      </c>
      <c r="T18" s="132">
        <f>H18*Q18*(1+Inputs!$C$25)*(1+Inputs!$C$26)*Inputs!$C$37</f>
        <v/>
      </c>
      <c r="U18" s="133">
        <f>Inputs!$C$7+R18</f>
        <v/>
      </c>
      <c r="V18" s="133">
        <f>IF(S18=0,U18,U18+CEILING(S18/12,1))</f>
        <v/>
      </c>
      <c r="W18" s="134">
        <f>IF(I18="Lease",K18*L18,IF(I18="Operating",M18,0))</f>
        <v/>
      </c>
      <c r="X18" s="135">
        <f>IF(I18="Lease",P18,1)</f>
        <v/>
      </c>
    </row>
    <row r="19" ht="15" customHeight="1" s="91">
      <c r="A19" s="129" t="inlineStr">
        <is>
          <t>ZAN 2</t>
        </is>
      </c>
      <c r="B19" s="129" t="inlineStr">
        <is>
          <t>Flexible</t>
        </is>
      </c>
      <c r="C19" s="114" t="inlineStr">
        <is>
          <t>Flexible Block (Residential)</t>
        </is>
      </c>
      <c r="D19" s="129" t="inlineStr">
        <is>
          <t>R3</t>
        </is>
      </c>
      <c r="E19" s="129" t="inlineStr">
        <is>
          <t>Flexible</t>
        </is>
      </c>
      <c r="F19" s="124" t="n">
        <v>6664</v>
      </c>
      <c r="G19" s="124" t="n">
        <v>3066</v>
      </c>
      <c r="H19" s="124" t="n">
        <v>17153</v>
      </c>
      <c r="I19" s="114" t="inlineStr">
        <is>
          <t>Lease</t>
        </is>
      </c>
      <c r="J19" s="109">
        <f>Inputs!C13</f>
        <v/>
      </c>
      <c r="K19" s="108">
        <f>H19*J19</f>
        <v/>
      </c>
      <c r="L19" s="124" t="n">
        <v>750</v>
      </c>
      <c r="M19" s="134">
        <f>IF(I19="Operating",0,0)</f>
        <v/>
      </c>
      <c r="N19" s="109">
        <f>Inputs!C41</f>
        <v/>
      </c>
      <c r="O19" s="107" t="n">
        <v>3</v>
      </c>
      <c r="P19" s="116" t="n">
        <v>0.9</v>
      </c>
      <c r="Q19" s="124" t="n">
        <v>3000</v>
      </c>
      <c r="R19" s="131">
        <f>IFERROR(VLOOKUP(A19,Inputs!B45:C59,2,FALSE())+ROUND(Inputs!C39/12,0),0)</f>
        <v/>
      </c>
      <c r="S19" s="107" t="n">
        <v>30</v>
      </c>
      <c r="T19" s="132">
        <f>H19*Q19*(1+Inputs!$C$25)*(1+Inputs!$C$26)*Inputs!$C$37</f>
        <v/>
      </c>
      <c r="U19" s="133">
        <f>Inputs!$C$7+R19</f>
        <v/>
      </c>
      <c r="V19" s="133">
        <f>IF(S19=0,U19,U19+CEILING(S19/12,1))</f>
        <v/>
      </c>
      <c r="W19" s="134">
        <f>IF(I19="Lease",K19*L19,IF(I19="Operating",M19,0))</f>
        <v/>
      </c>
      <c r="X19" s="135">
        <f>IF(I19="Lease",P19,1)</f>
        <v/>
      </c>
    </row>
    <row r="20" ht="15" customHeight="1" s="91">
      <c r="A20" s="129" t="inlineStr">
        <is>
          <t>ZAN 2</t>
        </is>
      </c>
      <c r="B20" s="129" t="inlineStr">
        <is>
          <t>Flexible</t>
        </is>
      </c>
      <c r="C20" s="114" t="inlineStr">
        <is>
          <t>Flexible Block</t>
        </is>
      </c>
      <c r="D20" s="129" t="inlineStr">
        <is>
          <t>R4</t>
        </is>
      </c>
      <c r="E20" s="129" t="inlineStr">
        <is>
          <t>Flexible</t>
        </is>
      </c>
      <c r="F20" s="124" t="n">
        <v>7558</v>
      </c>
      <c r="G20" s="124" t="n">
        <v>3310</v>
      </c>
      <c r="H20" s="124" t="n">
        <v>19316</v>
      </c>
      <c r="I20" s="114" t="inlineStr">
        <is>
          <t>Lease</t>
        </is>
      </c>
      <c r="J20" s="109">
        <f>Inputs!C13</f>
        <v/>
      </c>
      <c r="K20" s="108">
        <f>H20*J20</f>
        <v/>
      </c>
      <c r="L20" s="124" t="n">
        <v>800</v>
      </c>
      <c r="M20" s="134">
        <f>IF(I20="Operating",0,0)</f>
        <v/>
      </c>
      <c r="N20" s="109">
        <f>Inputs!C41</f>
        <v/>
      </c>
      <c r="O20" s="107" t="n">
        <v>3</v>
      </c>
      <c r="P20" s="116" t="n">
        <v>0.9</v>
      </c>
      <c r="Q20" s="124" t="n">
        <v>2500</v>
      </c>
      <c r="R20" s="131">
        <f>IFERROR(VLOOKUP(A20,Inputs!B45:C59,2,FALSE())+ROUND(Inputs!C39/12,0),0)</f>
        <v/>
      </c>
      <c r="S20" s="107" t="n">
        <v>30</v>
      </c>
      <c r="T20" s="132">
        <f>H20*Q20*(1+Inputs!$C$25)*(1+Inputs!$C$26)*Inputs!$C$37</f>
        <v/>
      </c>
      <c r="U20" s="133">
        <f>Inputs!$C$7+R20</f>
        <v/>
      </c>
      <c r="V20" s="133">
        <f>IF(S20=0,U20,U20+CEILING(S20/12,1))</f>
        <v/>
      </c>
      <c r="W20" s="134">
        <f>IF(I20="Lease",K20*L20,IF(I20="Operating",M20,0))</f>
        <v/>
      </c>
      <c r="X20" s="135">
        <f>IF(I20="Lease",P20,1)</f>
        <v/>
      </c>
    </row>
    <row r="21" ht="15" customHeight="1" s="91">
      <c r="A21" s="129" t="inlineStr">
        <is>
          <t>ZAN 3</t>
        </is>
      </c>
      <c r="B21" s="129" t="inlineStr">
        <is>
          <t>Residential</t>
        </is>
      </c>
      <c r="C21" s="114" t="inlineStr">
        <is>
          <t>Flexible Block</t>
        </is>
      </c>
      <c r="D21" s="129" t="inlineStr">
        <is>
          <t>R2</t>
        </is>
      </c>
      <c r="E21" s="129" t="inlineStr">
        <is>
          <t>Flexible</t>
        </is>
      </c>
      <c r="F21" s="124" t="n">
        <v>6031</v>
      </c>
      <c r="G21" s="124" t="n">
        <v>2867</v>
      </c>
      <c r="H21" s="124" t="n">
        <v>14453</v>
      </c>
      <c r="I21" s="114" t="inlineStr">
        <is>
          <t>Lease</t>
        </is>
      </c>
      <c r="J21" s="109">
        <f>Inputs!C13</f>
        <v/>
      </c>
      <c r="K21" s="108">
        <f>H21*J21</f>
        <v/>
      </c>
      <c r="L21" s="124" t="n">
        <v>800</v>
      </c>
      <c r="M21" s="134">
        <f>IF(I21="Operating",0,0)</f>
        <v/>
      </c>
      <c r="N21" s="109">
        <f>Inputs!C41</f>
        <v/>
      </c>
      <c r="O21" s="107" t="n">
        <v>3</v>
      </c>
      <c r="P21" s="116" t="n">
        <v>0.9</v>
      </c>
      <c r="Q21" s="124" t="n">
        <v>2500</v>
      </c>
      <c r="R21" s="131">
        <f>IFERROR(VLOOKUP(A21,Inputs!B45:C59,2,FALSE())+ROUND(Inputs!C39/12,0),0)</f>
        <v/>
      </c>
      <c r="S21" s="107" t="n">
        <v>30</v>
      </c>
      <c r="T21" s="132">
        <f>H21*Q21*(1+Inputs!$C$25)*(1+Inputs!$C$26)*Inputs!$C$37</f>
        <v/>
      </c>
      <c r="U21" s="133">
        <f>Inputs!$C$7+R21</f>
        <v/>
      </c>
      <c r="V21" s="133">
        <f>IF(S21=0,U21,U21+CEILING(S21/12,1))</f>
        <v/>
      </c>
      <c r="W21" s="134">
        <f>IF(I21="Lease",K21*L21,IF(I21="Operating",M21,0))</f>
        <v/>
      </c>
      <c r="X21" s="135">
        <f>IF(I21="Lease",P21,1)</f>
        <v/>
      </c>
    </row>
    <row r="22" ht="15" customHeight="1" s="91">
      <c r="A22" s="129" t="inlineStr">
        <is>
          <t>ZAN 3</t>
        </is>
      </c>
      <c r="B22" s="129" t="inlineStr">
        <is>
          <t>Cultural</t>
        </is>
      </c>
      <c r="C22" s="114" t="inlineStr">
        <is>
          <t>Multi-Purpose Hall</t>
        </is>
      </c>
      <c r="D22" s="129" t="inlineStr">
        <is>
          <t>M</t>
        </is>
      </c>
      <c r="E22" s="129" t="inlineStr">
        <is>
          <t>Events/MICE</t>
        </is>
      </c>
      <c r="F22" s="124" t="n">
        <v>5376</v>
      </c>
      <c r="G22" s="124" t="n">
        <v>1624</v>
      </c>
      <c r="H22" s="124" t="n">
        <v>3248</v>
      </c>
      <c r="I22" s="114" t="inlineStr">
        <is>
          <t>Lease</t>
        </is>
      </c>
      <c r="J22" s="116" t="n">
        <v>1</v>
      </c>
      <c r="K22" s="108">
        <f>H22*J22</f>
        <v/>
      </c>
      <c r="L22" s="124" t="n">
        <v>900</v>
      </c>
      <c r="M22" s="134">
        <f>IF(I22="Operating",0,0)</f>
        <v/>
      </c>
      <c r="N22" s="109">
        <f>Inputs!C41</f>
        <v/>
      </c>
      <c r="O22" s="107" t="n">
        <v>3</v>
      </c>
      <c r="P22" s="116" t="n">
        <v>0.9</v>
      </c>
      <c r="Q22" s="124" t="n">
        <v>7500</v>
      </c>
      <c r="R22" s="131">
        <f>IFERROR(VLOOKUP(A22,Inputs!B45:C59,2,FALSE())+ROUND(Inputs!C39/12,0),0)</f>
        <v/>
      </c>
      <c r="S22" s="107" t="n">
        <v>24</v>
      </c>
      <c r="T22" s="132">
        <f>H22*Q22*(1+Inputs!$C$25)*(1+Inputs!$C$26)*Inputs!$C$37</f>
        <v/>
      </c>
      <c r="U22" s="133">
        <f>Inputs!$C$7+R22</f>
        <v/>
      </c>
      <c r="V22" s="133">
        <f>IF(S22=0,U22,U22+CEILING(S22/12,1))</f>
        <v/>
      </c>
      <c r="W22" s="134">
        <f>IF(I22="Lease",K22*L22,IF(I22="Operating",M22,0))</f>
        <v/>
      </c>
      <c r="X22" s="135">
        <f>IF(I22="Lease",P22,1)</f>
        <v/>
      </c>
    </row>
    <row r="23" ht="15" customHeight="1" s="91">
      <c r="A23" s="129" t="inlineStr">
        <is>
          <t>ZAN 3</t>
        </is>
      </c>
      <c r="B23" s="129" t="inlineStr">
        <is>
          <t>Open Space</t>
        </is>
      </c>
      <c r="C23" s="114" t="inlineStr">
        <is>
          <t>Unallocated / Open Area</t>
        </is>
      </c>
      <c r="D23" s="129" t="inlineStr">
        <is>
          <t>Area</t>
        </is>
      </c>
      <c r="E23" s="129" t="inlineStr">
        <is>
          <t>Future plots</t>
        </is>
      </c>
      <c r="F23" s="124" t="n">
        <v>16642</v>
      </c>
      <c r="G23" s="124" t="n">
        <v>0</v>
      </c>
      <c r="H23" s="108">
        <f>F23*0.01</f>
        <v/>
      </c>
      <c r="I23" s="114" t="inlineStr">
        <is>
          <t>Lease</t>
        </is>
      </c>
      <c r="J23" s="116" t="n">
        <v>1</v>
      </c>
      <c r="K23" s="108">
        <f>H23*J23</f>
        <v/>
      </c>
      <c r="L23" s="124" t="n">
        <v>15000</v>
      </c>
      <c r="M23" s="134">
        <f>IF(I23="Operating",0,0)</f>
        <v/>
      </c>
      <c r="N23" s="109">
        <f>Inputs!C41</f>
        <v/>
      </c>
      <c r="O23" s="107" t="n">
        <v>1</v>
      </c>
      <c r="P23" s="116" t="n">
        <v>1</v>
      </c>
      <c r="Q23" s="124" t="n">
        <v>450</v>
      </c>
      <c r="R23" s="131">
        <f>IFERROR(VLOOKUP(A23,Inputs!B45:C59,2,FALSE())+ROUND(Inputs!C39/12,0),0)</f>
        <v/>
      </c>
      <c r="S23" s="107" t="n">
        <v>12</v>
      </c>
      <c r="T23" s="132">
        <f>H23*Q23*(1+Inputs!$C$25)*(1+Inputs!$C$26)*Inputs!$C$37</f>
        <v/>
      </c>
      <c r="U23" s="133">
        <f>Inputs!$C$7+R23</f>
        <v/>
      </c>
      <c r="V23" s="133">
        <f>IF(S23=0,U23,U23+CEILING(S23/12,1))</f>
        <v/>
      </c>
      <c r="W23" s="134">
        <f>IF(I23="Lease",K23*L23,IF(I23="Operating",M23,0))</f>
        <v/>
      </c>
      <c r="X23" s="135">
        <f>IF(I23="Lease",P23,1)</f>
        <v/>
      </c>
    </row>
    <row r="24" ht="15" customHeight="1" s="91">
      <c r="A24" s="129" t="inlineStr">
        <is>
          <t>ZAN 3</t>
        </is>
      </c>
      <c r="B24" s="129" t="inlineStr">
        <is>
          <t>Retail</t>
        </is>
      </c>
      <c r="C24" s="114" t="inlineStr">
        <is>
          <t>Shops / Cafes</t>
        </is>
      </c>
      <c r="D24" s="129" t="inlineStr">
        <is>
          <t>C6</t>
        </is>
      </c>
      <c r="E24" s="129" t="inlineStr">
        <is>
          <t>Secondary</t>
        </is>
      </c>
      <c r="F24" s="124" t="n">
        <v>7121</v>
      </c>
      <c r="G24" s="124" t="n">
        <v>1005</v>
      </c>
      <c r="H24" s="124" t="n">
        <v>1005</v>
      </c>
      <c r="I24" s="114" t="inlineStr">
        <is>
          <t>Lease</t>
        </is>
      </c>
      <c r="J24" s="116" t="n">
        <v>0.9</v>
      </c>
      <c r="K24" s="108">
        <f>H24*J24</f>
        <v/>
      </c>
      <c r="L24" s="124" t="n">
        <v>2200</v>
      </c>
      <c r="M24" s="134">
        <f>IF(I24="Operating",0,0)</f>
        <v/>
      </c>
      <c r="N24" s="109">
        <f>Inputs!C41</f>
        <v/>
      </c>
      <c r="O24" s="107" t="n">
        <v>2</v>
      </c>
      <c r="P24" s="116" t="n">
        <v>0.9</v>
      </c>
      <c r="Q24" s="124" t="n">
        <v>3000</v>
      </c>
      <c r="R24" s="131">
        <f>IFERROR(VLOOKUP(A24,Inputs!B45:C59,2,FALSE())+ROUND(Inputs!C39/12,0),0)</f>
        <v/>
      </c>
      <c r="S24" s="107" t="n">
        <v>18</v>
      </c>
      <c r="T24" s="132">
        <f>H24*Q24*(1+Inputs!$C$25)*(1+Inputs!$C$26)*Inputs!$C$37</f>
        <v/>
      </c>
      <c r="U24" s="133">
        <f>Inputs!$C$7+R24</f>
        <v/>
      </c>
      <c r="V24" s="133">
        <f>IF(S24=0,U24,U24+CEILING(S24/12,1))</f>
        <v/>
      </c>
      <c r="W24" s="134">
        <f>IF(I24="Lease",K24*L24,IF(I24="Operating",M24,0))</f>
        <v/>
      </c>
      <c r="X24" s="135">
        <f>IF(I24="Lease",P24,1)</f>
        <v/>
      </c>
    </row>
    <row r="25" ht="15" customHeight="1" s="91">
      <c r="A25" s="129" t="inlineStr">
        <is>
          <t>ZAN 3</t>
        </is>
      </c>
      <c r="B25" s="129" t="inlineStr">
        <is>
          <t>Retail</t>
        </is>
      </c>
      <c r="C25" s="114" t="inlineStr">
        <is>
          <t>Small Market</t>
        </is>
      </c>
      <c r="D25" s="129" t="inlineStr">
        <is>
          <t>C8</t>
        </is>
      </c>
      <c r="E25" s="129" t="inlineStr">
        <is>
          <t>Micro retail</t>
        </is>
      </c>
      <c r="F25" s="124" t="n">
        <v>616</v>
      </c>
      <c r="G25" s="124" t="n">
        <v>328</v>
      </c>
      <c r="H25" s="124" t="n">
        <v>314</v>
      </c>
      <c r="I25" s="114" t="inlineStr">
        <is>
          <t>Lease</t>
        </is>
      </c>
      <c r="J25" s="116" t="n">
        <v>0.9</v>
      </c>
      <c r="K25" s="108">
        <f>H25*J25</f>
        <v/>
      </c>
      <c r="L25" s="124" t="n">
        <v>2000</v>
      </c>
      <c r="M25" s="134">
        <f>IF(I25="Operating",0,0)</f>
        <v/>
      </c>
      <c r="N25" s="109">
        <f>Inputs!C41</f>
        <v/>
      </c>
      <c r="O25" s="107" t="n">
        <v>2</v>
      </c>
      <c r="P25" s="116" t="n">
        <v>0.9</v>
      </c>
      <c r="Q25" s="124" t="n">
        <v>2000</v>
      </c>
      <c r="R25" s="131">
        <f>IFERROR(VLOOKUP(A25,Inputs!B45:C59,2,FALSE())+ROUND(Inputs!C39/12,0),0)</f>
        <v/>
      </c>
      <c r="S25" s="107" t="n">
        <v>18</v>
      </c>
      <c r="T25" s="132">
        <f>H25*Q25*(1+Inputs!$C$25)*(1+Inputs!$C$26)*Inputs!$C$37</f>
        <v/>
      </c>
      <c r="U25" s="133">
        <f>Inputs!$C$7+R25</f>
        <v/>
      </c>
      <c r="V25" s="133">
        <f>IF(S25=0,U25,U25+CEILING(S25/12,1))</f>
        <v/>
      </c>
      <c r="W25" s="134">
        <f>IF(I25="Lease",K25*L25,IF(I25="Operating",M25,0))</f>
        <v/>
      </c>
      <c r="X25" s="135">
        <f>IF(I25="Lease",P25,1)</f>
        <v/>
      </c>
    </row>
    <row r="26" ht="15" customHeight="1" s="91">
      <c r="A26" s="129" t="inlineStr">
        <is>
          <t>ZAN 3</t>
        </is>
      </c>
      <c r="B26" s="129" t="inlineStr">
        <is>
          <t>Amenity</t>
        </is>
      </c>
      <c r="C26" s="114" t="inlineStr">
        <is>
          <t>Small Pavilions / Shops</t>
        </is>
      </c>
      <c r="D26" s="129" t="inlineStr">
        <is>
          <t>A1</t>
        </is>
      </c>
      <c r="E26" s="129" t="inlineStr">
        <is>
          <t>Activation</t>
        </is>
      </c>
      <c r="F26" s="124" t="n">
        <v>15371</v>
      </c>
      <c r="G26" s="124" t="n">
        <v>4251</v>
      </c>
      <c r="H26" s="124" t="n">
        <v>3791</v>
      </c>
      <c r="I26" s="114" t="inlineStr">
        <is>
          <t>Lease</t>
        </is>
      </c>
      <c r="J26" s="116" t="n">
        <v>0.9</v>
      </c>
      <c r="K26" s="108">
        <f>H26*J26</f>
        <v/>
      </c>
      <c r="L26" s="124" t="n">
        <v>2200</v>
      </c>
      <c r="M26" s="134">
        <f>IF(I26="Operating",0,0)</f>
        <v/>
      </c>
      <c r="N26" s="109">
        <f>Inputs!C41</f>
        <v/>
      </c>
      <c r="O26" s="107" t="n">
        <v>2</v>
      </c>
      <c r="P26" s="116" t="n">
        <v>0.9</v>
      </c>
      <c r="Q26" s="124" t="n">
        <v>2000</v>
      </c>
      <c r="R26" s="131">
        <f>IFERROR(VLOOKUP(A26,Inputs!B45:C59,2,FALSE())+ROUND(Inputs!C39/12,0),0)</f>
        <v/>
      </c>
      <c r="S26" s="107" t="n">
        <v>18</v>
      </c>
      <c r="T26" s="132">
        <f>H26*Q26*(1+Inputs!$C$25)*(1+Inputs!$C$26)*Inputs!$C$37</f>
        <v/>
      </c>
      <c r="U26" s="133">
        <f>Inputs!$C$7+R26</f>
        <v/>
      </c>
      <c r="V26" s="133">
        <f>IF(S26=0,U26,U26+CEILING(S26/12,1))</f>
        <v/>
      </c>
      <c r="W26" s="134">
        <f>IF(I26="Lease",K26*L26,IF(I26="Operating",M26,0))</f>
        <v/>
      </c>
      <c r="X26" s="135">
        <f>IF(I26="Lease",P26,1)</f>
        <v/>
      </c>
    </row>
    <row r="27" ht="15" customHeight="1" s="91">
      <c r="A27" s="129" t="inlineStr">
        <is>
          <t>ZAN 3</t>
        </is>
      </c>
      <c r="B27" s="129" t="inlineStr">
        <is>
          <t>Flexible</t>
        </is>
      </c>
      <c r="C27" s="114" t="inlineStr">
        <is>
          <t>Flexible Block</t>
        </is>
      </c>
      <c r="D27" s="129" t="inlineStr">
        <is>
          <t>R5</t>
        </is>
      </c>
      <c r="E27" s="129" t="inlineStr">
        <is>
          <t>Flexible</t>
        </is>
      </c>
      <c r="F27" s="124" t="n">
        <v>6016</v>
      </c>
      <c r="G27" s="124" t="n">
        <v>4321</v>
      </c>
      <c r="H27" s="124" t="n">
        <v>25927</v>
      </c>
      <c r="I27" s="114" t="inlineStr">
        <is>
          <t>Lease</t>
        </is>
      </c>
      <c r="J27" s="109">
        <f>Inputs!C13</f>
        <v/>
      </c>
      <c r="K27" s="108">
        <f>H27*J27</f>
        <v/>
      </c>
      <c r="L27" s="124" t="n">
        <v>800</v>
      </c>
      <c r="M27" s="134">
        <f>IF(I27="Operating",0,0)</f>
        <v/>
      </c>
      <c r="N27" s="109">
        <f>Inputs!C41</f>
        <v/>
      </c>
      <c r="O27" s="107" t="n">
        <v>3</v>
      </c>
      <c r="P27" s="116" t="n">
        <v>0.9</v>
      </c>
      <c r="Q27" s="124" t="n">
        <v>2800</v>
      </c>
      <c r="R27" s="131">
        <f>IFERROR(VLOOKUP(A27,Inputs!B45:C59,2,FALSE())+ROUND(Inputs!C39/12,0),0)</f>
        <v/>
      </c>
      <c r="S27" s="107" t="n">
        <v>30</v>
      </c>
      <c r="T27" s="132">
        <f>H27*Q27*(1+Inputs!$C$25)*(1+Inputs!$C$26)*Inputs!$C$37</f>
        <v/>
      </c>
      <c r="U27" s="133">
        <f>Inputs!$C$7+R27</f>
        <v/>
      </c>
      <c r="V27" s="133">
        <f>IF(S27=0,U27,U27+CEILING(S27/12,1))</f>
        <v/>
      </c>
      <c r="W27" s="134">
        <f>IF(I27="Lease",K27*L27,IF(I27="Operating",M27,0))</f>
        <v/>
      </c>
      <c r="X27" s="135">
        <f>IF(I27="Lease",P27,1)</f>
        <v/>
      </c>
    </row>
    <row r="28" ht="15" customHeight="1" s="91">
      <c r="A28" s="129" t="inlineStr">
        <is>
          <t>ZAN 3</t>
        </is>
      </c>
      <c r="B28" s="129" t="inlineStr">
        <is>
          <t>Retail</t>
        </is>
      </c>
      <c r="C28" s="114" t="inlineStr">
        <is>
          <t>Shops / Cafes</t>
        </is>
      </c>
      <c r="D28" s="129" t="inlineStr">
        <is>
          <t>C7</t>
        </is>
      </c>
      <c r="E28" s="129" t="inlineStr">
        <is>
          <t>Secondary</t>
        </is>
      </c>
      <c r="F28" s="124" t="n">
        <v>11401</v>
      </c>
      <c r="G28" s="124" t="n">
        <v>1310</v>
      </c>
      <c r="H28" s="124" t="n">
        <v>1310</v>
      </c>
      <c r="I28" s="114" t="inlineStr">
        <is>
          <t>Lease</t>
        </is>
      </c>
      <c r="J28" s="116" t="n">
        <v>0.9</v>
      </c>
      <c r="K28" s="108">
        <f>H28*J28</f>
        <v/>
      </c>
      <c r="L28" s="124" t="n">
        <v>2000</v>
      </c>
      <c r="M28" s="134">
        <f>IF(I28="Operating",0,0)</f>
        <v/>
      </c>
      <c r="N28" s="109">
        <f>Inputs!C41</f>
        <v/>
      </c>
      <c r="O28" s="107" t="n">
        <v>2</v>
      </c>
      <c r="P28" s="116" t="n">
        <v>0.9</v>
      </c>
      <c r="Q28" s="124" t="n">
        <v>3000</v>
      </c>
      <c r="R28" s="131">
        <f>IFERROR(VLOOKUP(A28,Inputs!B45:C59,2,FALSE())+ROUND(Inputs!C39/12,0),0)</f>
        <v/>
      </c>
      <c r="S28" s="107" t="n">
        <v>18</v>
      </c>
      <c r="T28" s="132">
        <f>H28*Q28*(1+Inputs!$C$25)*(1+Inputs!$C$26)*Inputs!$C$37</f>
        <v/>
      </c>
      <c r="U28" s="133">
        <f>Inputs!$C$7+R28</f>
        <v/>
      </c>
      <c r="V28" s="133">
        <f>IF(S28=0,U28,U28+CEILING(S28/12,1))</f>
        <v/>
      </c>
      <c r="W28" s="134">
        <f>IF(I28="Lease",K28*L28,IF(I28="Operating",M28,0))</f>
        <v/>
      </c>
      <c r="X28" s="135">
        <f>IF(I28="Lease",P28,1)</f>
        <v/>
      </c>
    </row>
    <row r="29" ht="15" customHeight="1" s="91">
      <c r="A29" s="129" t="inlineStr">
        <is>
          <t>ZAN 3</t>
        </is>
      </c>
      <c r="B29" s="129" t="inlineStr">
        <is>
          <t>Retail</t>
        </is>
      </c>
      <c r="C29" s="114" t="inlineStr">
        <is>
          <t>Small Market</t>
        </is>
      </c>
      <c r="D29" s="129" t="inlineStr">
        <is>
          <t>C9</t>
        </is>
      </c>
      <c r="E29" s="129" t="inlineStr">
        <is>
          <t>Micro retail</t>
        </is>
      </c>
      <c r="F29" s="124" t="n">
        <v>619</v>
      </c>
      <c r="G29" s="124" t="n">
        <v>362</v>
      </c>
      <c r="H29" s="124" t="n">
        <v>347</v>
      </c>
      <c r="I29" s="114" t="inlineStr">
        <is>
          <t>Lease</t>
        </is>
      </c>
      <c r="J29" s="116" t="n">
        <v>0.9</v>
      </c>
      <c r="K29" s="108">
        <f>H29*J29</f>
        <v/>
      </c>
      <c r="L29" s="124" t="n">
        <v>2000</v>
      </c>
      <c r="M29" s="134">
        <f>IF(I29="Operating",0,0)</f>
        <v/>
      </c>
      <c r="N29" s="109">
        <f>Inputs!C41</f>
        <v/>
      </c>
      <c r="O29" s="107" t="n">
        <v>2</v>
      </c>
      <c r="P29" s="116" t="n">
        <v>0.9</v>
      </c>
      <c r="Q29" s="124" t="n">
        <v>2000</v>
      </c>
      <c r="R29" s="131">
        <f>IFERROR(VLOOKUP(A29,Inputs!B45:C59,2,FALSE())+ROUND(Inputs!C39/12,0),0)</f>
        <v/>
      </c>
      <c r="S29" s="107" t="n">
        <v>18</v>
      </c>
      <c r="T29" s="132">
        <f>H29*Q29*(1+Inputs!$C$25)*(1+Inputs!$C$26)*Inputs!$C$37</f>
        <v/>
      </c>
      <c r="U29" s="133">
        <f>Inputs!$C$7+R29</f>
        <v/>
      </c>
      <c r="V29" s="133">
        <f>IF(S29=0,U29,U29+CEILING(S29/12,1))</f>
        <v/>
      </c>
      <c r="W29" s="134">
        <f>IF(I29="Lease",K29*L29,IF(I29="Operating",M29,0))</f>
        <v/>
      </c>
      <c r="X29" s="135">
        <f>IF(I29="Lease",P29,1)</f>
        <v/>
      </c>
    </row>
    <row r="30" ht="15" customHeight="1" s="91">
      <c r="A30" s="129" t="inlineStr">
        <is>
          <t>ZAN 3</t>
        </is>
      </c>
      <c r="B30" s="129" t="inlineStr">
        <is>
          <t>Residential</t>
        </is>
      </c>
      <c r="C30" s="114" t="inlineStr">
        <is>
          <t>Flexible Block  (Branded)</t>
        </is>
      </c>
      <c r="D30" s="129" t="inlineStr">
        <is>
          <t>R6</t>
        </is>
      </c>
      <c r="E30" s="129" t="inlineStr">
        <is>
          <t>Flexible</t>
        </is>
      </c>
      <c r="F30" s="124" t="n">
        <v>7411</v>
      </c>
      <c r="G30" s="124" t="n">
        <v>7430</v>
      </c>
      <c r="H30" s="124" t="n">
        <v>44218</v>
      </c>
      <c r="I30" s="114" t="inlineStr">
        <is>
          <t>Lease</t>
        </is>
      </c>
      <c r="J30" s="109">
        <f>Inputs!C13</f>
        <v/>
      </c>
      <c r="K30" s="108">
        <f>H30*J30</f>
        <v/>
      </c>
      <c r="L30" s="124" t="n">
        <v>1200</v>
      </c>
      <c r="M30" s="134">
        <f>IF(I30="Operating",0,0)</f>
        <v/>
      </c>
      <c r="N30" s="109">
        <f>Inputs!C41</f>
        <v/>
      </c>
      <c r="O30" s="107" t="n">
        <v>3</v>
      </c>
      <c r="P30" s="116" t="n">
        <v>0.9</v>
      </c>
      <c r="Q30" s="124" t="n">
        <v>4500</v>
      </c>
      <c r="R30" s="131">
        <f>IFERROR(VLOOKUP(A30,Inputs!B45:C59,2,FALSE())+ROUND(Inputs!C39/12,0),0)</f>
        <v/>
      </c>
      <c r="S30" s="107" t="n">
        <v>30</v>
      </c>
      <c r="T30" s="132">
        <f>H30*Q30*(1+Inputs!$C$25)*(1+Inputs!$C$26)*Inputs!$C$37</f>
        <v/>
      </c>
      <c r="U30" s="133">
        <f>Inputs!$C$7+R30</f>
        <v/>
      </c>
      <c r="V30" s="133">
        <f>IF(S30=0,U30,U30+CEILING(S30/12,1))</f>
        <v/>
      </c>
      <c r="W30" s="134">
        <f>IF(I30="Lease",K30*L30,IF(I30="Operating",M30,0))</f>
        <v/>
      </c>
      <c r="X30" s="135">
        <f>IF(I30="Lease",P30,1)</f>
        <v/>
      </c>
    </row>
    <row r="31" ht="15" customHeight="1" s="91">
      <c r="A31" s="129" t="inlineStr">
        <is>
          <t>ZAN 3</t>
        </is>
      </c>
      <c r="B31" s="129" t="inlineStr">
        <is>
          <t>Retail</t>
        </is>
      </c>
      <c r="C31" s="114" t="inlineStr">
        <is>
          <t>Flexible Block</t>
        </is>
      </c>
      <c r="D31" s="129" t="inlineStr">
        <is>
          <t>R7</t>
        </is>
      </c>
      <c r="E31" s="129" t="inlineStr">
        <is>
          <t>Branded/Flex</t>
        </is>
      </c>
      <c r="F31" s="124" t="n">
        <v>3806</v>
      </c>
      <c r="G31" s="124" t="n">
        <v>1774</v>
      </c>
      <c r="H31" s="108">
        <f>G31*2.5</f>
        <v/>
      </c>
      <c r="I31" s="114" t="inlineStr">
        <is>
          <t>Lease</t>
        </is>
      </c>
      <c r="J31" s="109">
        <f>Inputs!C13</f>
        <v/>
      </c>
      <c r="K31" s="108">
        <f>H31*J31</f>
        <v/>
      </c>
      <c r="L31" s="124" t="n">
        <v>800</v>
      </c>
      <c r="M31" s="134">
        <f>IF(I31="Operating",0,0)</f>
        <v/>
      </c>
      <c r="N31" s="109">
        <f>Inputs!C41</f>
        <v/>
      </c>
      <c r="O31" s="107" t="n">
        <v>3</v>
      </c>
      <c r="P31" s="116" t="n">
        <v>0.9</v>
      </c>
      <c r="Q31" s="124" t="n">
        <v>2500</v>
      </c>
      <c r="R31" s="131">
        <f>IFERROR(VLOOKUP(A31,Inputs!B45:C59,2,FALSE())+ROUND(Inputs!C39/12,0),0)</f>
        <v/>
      </c>
      <c r="S31" s="107" t="n">
        <v>30</v>
      </c>
      <c r="T31" s="132">
        <f>H31*Q31*(1+Inputs!$C$25)*(1+Inputs!$C$26)*Inputs!$C$37</f>
        <v/>
      </c>
      <c r="U31" s="133">
        <f>Inputs!$C$7+R31</f>
        <v/>
      </c>
      <c r="V31" s="133">
        <f>IF(S31=0,U31,U31+CEILING(S31/12,1))</f>
        <v/>
      </c>
      <c r="W31" s="134">
        <f>IF(I31="Lease",K31*L31,IF(I31="Operating",M31,0))</f>
        <v/>
      </c>
      <c r="X31" s="135">
        <f>IF(I31="Lease",P31,1)</f>
        <v/>
      </c>
    </row>
    <row r="32" ht="15" customHeight="1" s="91">
      <c r="A32" s="129" t="inlineStr">
        <is>
          <t>ZAN 3</t>
        </is>
      </c>
      <c r="B32" s="129" t="inlineStr">
        <is>
          <t>Marina</t>
        </is>
      </c>
      <c r="C32" s="114" t="inlineStr">
        <is>
          <t>Yacht Club</t>
        </is>
      </c>
      <c r="D32" s="129" t="inlineStr">
        <is>
          <t>Yacht Club</t>
        </is>
      </c>
      <c r="E32" s="129" t="inlineStr">
        <is>
          <t>Marina anchor</t>
        </is>
      </c>
      <c r="F32" s="124" t="n">
        <v>3186</v>
      </c>
      <c r="G32" s="124" t="n">
        <v>1474</v>
      </c>
      <c r="H32" s="124" t="n">
        <v>2400</v>
      </c>
      <c r="I32" s="114" t="inlineStr">
        <is>
          <t>Lease</t>
        </is>
      </c>
      <c r="J32" s="116" t="n">
        <v>0.85</v>
      </c>
      <c r="K32" s="108">
        <f>H32*J32</f>
        <v/>
      </c>
      <c r="L32" s="124" t="n">
        <v>950</v>
      </c>
      <c r="M32" s="134">
        <f>IF(I32="Operating",0,0)</f>
        <v/>
      </c>
      <c r="N32" s="109">
        <f>Inputs!C41</f>
        <v/>
      </c>
      <c r="O32" s="107" t="n">
        <v>3</v>
      </c>
      <c r="P32" s="116" t="n">
        <v>0.9</v>
      </c>
      <c r="Q32" s="124" t="n">
        <v>6500</v>
      </c>
      <c r="R32" s="131">
        <f>IFERROR(VLOOKUP(A32,Inputs!B45:C59,2,FALSE())+ROUND(Inputs!C39/12,0),0)</f>
        <v/>
      </c>
      <c r="S32" s="107" t="n">
        <v>30</v>
      </c>
      <c r="T32" s="132">
        <f>H32*Q32*(1+Inputs!$C$25)*(1+Inputs!$C$26)*Inputs!$C$37</f>
        <v/>
      </c>
      <c r="U32" s="133">
        <f>Inputs!$C$7+R32</f>
        <v/>
      </c>
      <c r="V32" s="133">
        <f>IF(S32=0,U32,U32+CEILING(S32/12,1))</f>
        <v/>
      </c>
      <c r="W32" s="134">
        <f>IF(I32="Lease",K32*L32,IF(I32="Operating",M32,0))</f>
        <v/>
      </c>
      <c r="X32" s="135">
        <f>IF(I32="Lease",P32,1)</f>
        <v/>
      </c>
    </row>
    <row r="33" ht="15" customHeight="1" s="91">
      <c r="A33" s="129" t="inlineStr">
        <is>
          <t>ZAN 3</t>
        </is>
      </c>
      <c r="B33" s="129" t="inlineStr">
        <is>
          <t>Utilities</t>
        </is>
      </c>
      <c r="C33" s="114" t="inlineStr">
        <is>
          <t>Parking &amp; Landscaping ZAN3</t>
        </is>
      </c>
      <c r="D33" s="129" t="inlineStr">
        <is>
          <t>(N/A)</t>
        </is>
      </c>
      <c r="E33" s="129" t="inlineStr">
        <is>
          <t>Parking &amp; Landscaping</t>
        </is>
      </c>
      <c r="F33" s="129">
        <f>0</f>
        <v/>
      </c>
      <c r="G33" s="124" t="n">
        <v>0</v>
      </c>
      <c r="H33" s="108">
        <f>(Inputs!C63-Program!G34)*Inputs!E47</f>
        <v/>
      </c>
      <c r="I33" s="114" t="inlineStr">
        <is>
          <t>Lease</t>
        </is>
      </c>
      <c r="J33" s="116" t="n">
        <v>0</v>
      </c>
      <c r="K33" s="108">
        <f>H33*J33</f>
        <v/>
      </c>
      <c r="L33" s="124" t="n">
        <v>0</v>
      </c>
      <c r="M33" s="134">
        <f>IF(I33="Operating",0,0)</f>
        <v/>
      </c>
      <c r="N33" s="135">
        <f>0</f>
        <v/>
      </c>
      <c r="O33" s="107" t="n">
        <v>0</v>
      </c>
      <c r="P33" s="116" t="n">
        <v>0</v>
      </c>
      <c r="Q33" s="124" t="n">
        <v>500</v>
      </c>
      <c r="R33" s="107" t="n">
        <v>4</v>
      </c>
      <c r="S33" s="107" t="n">
        <v>12</v>
      </c>
      <c r="T33" s="132">
        <f>H33*Q33*(1+Inputs!$C$25)*(1+Inputs!$C$26)*Inputs!$C$37</f>
        <v/>
      </c>
      <c r="U33" s="133">
        <f>Inputs!$C$7+R33</f>
        <v/>
      </c>
      <c r="V33" s="133">
        <f>IF(S33=0,U33,U33+CEILING(S33/12,1))</f>
        <v/>
      </c>
      <c r="W33" s="134">
        <f>IF(I33="Lease",K33*L33,IF(I33="Operating",M33,0))</f>
        <v/>
      </c>
      <c r="X33" s="135">
        <f>IF(I33="Lease",P33,1)</f>
        <v/>
      </c>
    </row>
    <row r="34" ht="15" customHeight="1" s="91">
      <c r="C34" s="110" t="inlineStr">
        <is>
          <t>TOTAL</t>
        </is>
      </c>
      <c r="F34" s="108">
        <f>SUM(F4:F33)</f>
        <v/>
      </c>
      <c r="G34" s="108">
        <f>SUM(G4:G33)</f>
        <v/>
      </c>
      <c r="H34" s="108">
        <f>SUM(H4:H33)</f>
        <v/>
      </c>
      <c r="K34" s="108">
        <f>SUM(K4:K33)</f>
        <v/>
      </c>
      <c r="T34" s="132">
        <f>SUM(T4:T33)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22" customWidth="1" style="90" min="2" max="2"/>
    <col width="8" customWidth="1" style="90" min="3" max="3"/>
    <col width="14" customWidth="1" style="90" min="4" max="4"/>
    <col width="12" customWidth="1" style="90" min="5" max="54"/>
  </cols>
  <sheetData>
    <row r="1" ht="36" customHeight="1" s="91">
      <c r="A1" s="136" t="inlineStr">
        <is>
          <t>CAPEX SCHEDULE  جدول توزيع التكاليف</t>
        </is>
      </c>
    </row>
    <row r="3" ht="15" customHeight="1" s="91">
      <c r="A3" s="105" t="inlineStr">
        <is>
          <t>#</t>
        </is>
      </c>
      <c r="B3" s="105" t="inlineStr">
        <is>
          <t>Asset</t>
        </is>
      </c>
      <c r="C3" s="105" t="inlineStr">
        <is>
          <t>Phase</t>
        </is>
      </c>
      <c r="D3" s="105" t="inlineStr">
        <is>
          <t>Total</t>
        </is>
      </c>
      <c r="E3" s="137">
        <f>$C63+0</f>
        <v/>
      </c>
      <c r="F3" s="137">
        <f>$C63+1</f>
        <v/>
      </c>
      <c r="G3" s="137">
        <f>$C63+2</f>
        <v/>
      </c>
      <c r="H3" s="137">
        <f>$C63+3</f>
        <v/>
      </c>
      <c r="I3" s="137">
        <f>$C63+4</f>
        <v/>
      </c>
      <c r="J3" s="137">
        <f>$C63+5</f>
        <v/>
      </c>
      <c r="K3" s="137">
        <f>$C63+6</f>
        <v/>
      </c>
      <c r="L3" s="137">
        <f>$C63+7</f>
        <v/>
      </c>
      <c r="M3" s="137">
        <f>$C63+8</f>
        <v/>
      </c>
      <c r="N3" s="137">
        <f>$C63+9</f>
        <v/>
      </c>
      <c r="O3" s="137">
        <f>$C63+10</f>
        <v/>
      </c>
      <c r="P3" s="137">
        <f>$C63+11</f>
        <v/>
      </c>
      <c r="Q3" s="137">
        <f>$C63+12</f>
        <v/>
      </c>
      <c r="R3" s="137">
        <f>$C63+13</f>
        <v/>
      </c>
      <c r="S3" s="137">
        <f>$C63+14</f>
        <v/>
      </c>
      <c r="T3" s="137">
        <f>$C63+15</f>
        <v/>
      </c>
      <c r="U3" s="137">
        <f>$C63+16</f>
        <v/>
      </c>
      <c r="V3" s="137">
        <f>$C63+17</f>
        <v/>
      </c>
      <c r="W3" s="137">
        <f>$C63+18</f>
        <v/>
      </c>
      <c r="X3" s="137">
        <f>$C63+19</f>
        <v/>
      </c>
      <c r="Y3" s="137">
        <f>$C63+20</f>
        <v/>
      </c>
      <c r="Z3" s="137">
        <f>$C63+21</f>
        <v/>
      </c>
      <c r="AA3" s="137">
        <f>$C63+22</f>
        <v/>
      </c>
      <c r="AB3" s="137">
        <f>$C63+23</f>
        <v/>
      </c>
      <c r="AC3" s="137">
        <f>$C63+24</f>
        <v/>
      </c>
      <c r="AD3" s="137">
        <f>$C63+25</f>
        <v/>
      </c>
      <c r="AE3" s="137">
        <f>$C63+26</f>
        <v/>
      </c>
      <c r="AF3" s="137">
        <f>$C63+27</f>
        <v/>
      </c>
      <c r="AG3" s="137">
        <f>$C63+28</f>
        <v/>
      </c>
      <c r="AH3" s="137">
        <f>$C63+29</f>
        <v/>
      </c>
      <c r="AI3" s="137">
        <f>$C63+30</f>
        <v/>
      </c>
      <c r="AJ3" s="137">
        <f>$C63+31</f>
        <v/>
      </c>
      <c r="AK3" s="137">
        <f>$C63+32</f>
        <v/>
      </c>
      <c r="AL3" s="137">
        <f>$C63+33</f>
        <v/>
      </c>
      <c r="AM3" s="137">
        <f>$C63+34</f>
        <v/>
      </c>
      <c r="AN3" s="137">
        <f>$C63+35</f>
        <v/>
      </c>
      <c r="AO3" s="137">
        <f>$C63+36</f>
        <v/>
      </c>
      <c r="AP3" s="137">
        <f>$C63+37</f>
        <v/>
      </c>
      <c r="AQ3" s="137">
        <f>$C63+38</f>
        <v/>
      </c>
      <c r="AR3" s="137">
        <f>$C63+39</f>
        <v/>
      </c>
      <c r="AS3" s="137">
        <f>$C63+40</f>
        <v/>
      </c>
      <c r="AT3" s="137">
        <f>$C63+41</f>
        <v/>
      </c>
      <c r="AU3" s="137">
        <f>$C63+42</f>
        <v/>
      </c>
      <c r="AV3" s="137">
        <f>$C63+43</f>
        <v/>
      </c>
      <c r="AW3" s="137">
        <f>$C63+44</f>
        <v/>
      </c>
      <c r="AX3" s="137">
        <f>$C63+45</f>
        <v/>
      </c>
      <c r="AY3" s="137">
        <f>$C63+46</f>
        <v/>
      </c>
      <c r="AZ3" s="137">
        <f>$C63+47</f>
        <v/>
      </c>
      <c r="BA3" s="137">
        <f>$C63+48</f>
        <v/>
      </c>
      <c r="BB3" s="137">
        <f>$C63+49</f>
        <v/>
      </c>
    </row>
    <row r="4" ht="15" customHeight="1" s="91">
      <c r="A4" s="138">
        <f>A66</f>
        <v/>
      </c>
      <c r="B4" s="138">
        <f>B66</f>
        <v/>
      </c>
      <c r="C4" s="138">
        <f>C66</f>
        <v/>
      </c>
      <c r="D4" s="138">
        <f>SUM(E4:BB4)</f>
        <v/>
      </c>
      <c r="E4" s="138">
        <f>IF(OR(D66=0,E66=0,F66=0),0,IF(AND(E$3&gt;=G66,E$3&lt;H66),F66*MIN(12,E66-(E$3-G66)*12)/E66,0))</f>
        <v/>
      </c>
      <c r="F4" s="138">
        <f>IF(OR(D66=0,E66=0,F66=0),0,IF(AND(F$3&gt;=G66,F$3&lt;H66),F66*MIN(12,E66-(F$3-G66)*12)/E66,0))</f>
        <v/>
      </c>
      <c r="G4" s="138">
        <f>IF(OR(D66=0,E66=0,F66=0),0,IF(AND(G$3&gt;=G66,G$3&lt;H66),F66*MIN(12,E66-(G$3-G66)*12)/E66,0))</f>
        <v/>
      </c>
      <c r="H4" s="138">
        <f>IF(OR(D66=0,E66=0,F66=0),0,IF(AND(H$3&gt;=G66,H$3&lt;H66),F66*MIN(12,E66-(H$3-G66)*12)/E66,0))</f>
        <v/>
      </c>
      <c r="I4" s="138">
        <f>IF(OR(D66=0,E66=0,F66=0),0,IF(AND(I$3&gt;=G66,I$3&lt;H66),F66*MIN(12,E66-(I$3-G66)*12)/E66,0))</f>
        <v/>
      </c>
      <c r="J4" s="138">
        <f>IF(OR(D66=0,E66=0,F66=0),0,IF(AND(J$3&gt;=G66,J$3&lt;H66),F66*MIN(12,E66-(J$3-G66)*12)/E66,0))</f>
        <v/>
      </c>
      <c r="K4" s="138">
        <f>IF(OR(D66=0,E66=0,F66=0),0,IF(AND(K$3&gt;=G66,K$3&lt;H66),F66*MIN(12,E66-(K$3-G66)*12)/E66,0))</f>
        <v/>
      </c>
      <c r="L4" s="138">
        <f>IF(OR(D66=0,E66=0,F66=0),0,IF(AND(L$3&gt;=G66,L$3&lt;H66),F66*MIN(12,E66-(L$3-G66)*12)/E66,0))</f>
        <v/>
      </c>
      <c r="M4" s="138">
        <f>IF(OR(D66=0,E66=0,F66=0),0,IF(AND(M$3&gt;=G66,M$3&lt;H66),F66*MIN(12,E66-(M$3-G66)*12)/E66,0))</f>
        <v/>
      </c>
      <c r="N4" s="138">
        <f>IF(OR(D66=0,E66=0,F66=0),0,IF(AND(N$3&gt;=G66,N$3&lt;H66),F66*MIN(12,E66-(N$3-G66)*12)/E66,0))</f>
        <v/>
      </c>
      <c r="O4" s="138">
        <f>IF(OR(D66=0,E66=0,F66=0),0,IF(AND(O$3&gt;=G66,O$3&lt;H66),F66*MIN(12,E66-(O$3-G66)*12)/E66,0))</f>
        <v/>
      </c>
      <c r="P4" s="138">
        <f>IF(OR(D66=0,E66=0,F66=0),0,IF(AND(P$3&gt;=G66,P$3&lt;H66),F66*MIN(12,E66-(P$3-G66)*12)/E66,0))</f>
        <v/>
      </c>
      <c r="Q4" s="138">
        <f>IF(OR(D66=0,E66=0,F66=0),0,IF(AND(Q$3&gt;=G66,Q$3&lt;H66),F66*MIN(12,E66-(Q$3-G66)*12)/E66,0))</f>
        <v/>
      </c>
      <c r="R4" s="138">
        <f>IF(OR(D66=0,E66=0,F66=0),0,IF(AND(R$3&gt;=G66,R$3&lt;H66),F66*MIN(12,E66-(R$3-G66)*12)/E66,0))</f>
        <v/>
      </c>
      <c r="S4" s="138">
        <f>IF(OR(D66=0,E66=0,F66=0),0,IF(AND(S$3&gt;=G66,S$3&lt;H66),F66*MIN(12,E66-(S$3-G66)*12)/E66,0))</f>
        <v/>
      </c>
      <c r="T4" s="138">
        <f>IF(OR(D66=0,E66=0,F66=0),0,IF(AND(T$3&gt;=G66,T$3&lt;H66),F66*MIN(12,E66-(T$3-G66)*12)/E66,0))</f>
        <v/>
      </c>
      <c r="U4" s="138">
        <f>IF(OR(D66=0,E66=0,F66=0),0,IF(AND(U$3&gt;=G66,U$3&lt;H66),F66*MIN(12,E66-(U$3-G66)*12)/E66,0))</f>
        <v/>
      </c>
      <c r="V4" s="138">
        <f>IF(OR(D66=0,E66=0,F66=0),0,IF(AND(V$3&gt;=G66,V$3&lt;H66),F66*MIN(12,E66-(V$3-G66)*12)/E66,0))</f>
        <v/>
      </c>
      <c r="W4" s="138">
        <f>IF(OR(D66=0,E66=0,F66=0),0,IF(AND(W$3&gt;=G66,W$3&lt;H66),F66*MIN(12,E66-(W$3-G66)*12)/E66,0))</f>
        <v/>
      </c>
      <c r="X4" s="138">
        <f>IF(OR(D66=0,E66=0,F66=0),0,IF(AND(X$3&gt;=G66,X$3&lt;H66),F66*MIN(12,E66-(X$3-G66)*12)/E66,0))</f>
        <v/>
      </c>
      <c r="Y4" s="138">
        <f>IF(OR(D66=0,E66=0,F66=0),0,IF(AND(Y$3&gt;=G66,Y$3&lt;H66),F66*MIN(12,E66-(Y$3-G66)*12)/E66,0))</f>
        <v/>
      </c>
      <c r="Z4" s="138">
        <f>IF(OR(D66=0,E66=0,F66=0),0,IF(AND(Z$3&gt;=G66,Z$3&lt;H66),F66*MIN(12,E66-(Z$3-G66)*12)/E66,0))</f>
        <v/>
      </c>
      <c r="AA4" s="138">
        <f>IF(OR(D66=0,E66=0,F66=0),0,IF(AND(AA$3&gt;=G66,AA$3&lt;H66),F66*MIN(12,E66-(AA$3-G66)*12)/E66,0))</f>
        <v/>
      </c>
      <c r="AB4" s="138">
        <f>IF(OR(D66=0,E66=0,F66=0),0,IF(AND(AB$3&gt;=G66,AB$3&lt;H66),F66*MIN(12,E66-(AB$3-G66)*12)/E66,0))</f>
        <v/>
      </c>
      <c r="AC4" s="138">
        <f>IF(OR(D66=0,E66=0,F66=0),0,IF(AND(AC$3&gt;=G66,AC$3&lt;H66),F66*MIN(12,E66-(AC$3-G66)*12)/E66,0))</f>
        <v/>
      </c>
      <c r="AD4" s="138">
        <f>IF(OR(D66=0,E66=0,F66=0),0,IF(AND(AD$3&gt;=G66,AD$3&lt;H66),F66*MIN(12,E66-(AD$3-G66)*12)/E66,0))</f>
        <v/>
      </c>
      <c r="AE4" s="138">
        <f>IF(OR(D66=0,E66=0,F66=0),0,IF(AND(AE$3&gt;=G66,AE$3&lt;H66),F66*MIN(12,E66-(AE$3-G66)*12)/E66,0))</f>
        <v/>
      </c>
      <c r="AF4" s="138">
        <f>IF(OR(D66=0,E66=0,F66=0),0,IF(AND(AF$3&gt;=G66,AF$3&lt;H66),F66*MIN(12,E66-(AF$3-G66)*12)/E66,0))</f>
        <v/>
      </c>
      <c r="AG4" s="138">
        <f>IF(OR(D66=0,E66=0,F66=0),0,IF(AND(AG$3&gt;=G66,AG$3&lt;H66),F66*MIN(12,E66-(AG$3-G66)*12)/E66,0))</f>
        <v/>
      </c>
      <c r="AH4" s="138">
        <f>IF(OR(D66=0,E66=0,F66=0),0,IF(AND(AH$3&gt;=G66,AH$3&lt;H66),F66*MIN(12,E66-(AH$3-G66)*12)/E66,0))</f>
        <v/>
      </c>
      <c r="AI4" s="138">
        <f>IF(OR(D66=0,E66=0,F66=0),0,IF(AND(AI$3&gt;=G66,AI$3&lt;H66),F66*MIN(12,E66-(AI$3-G66)*12)/E66,0))</f>
        <v/>
      </c>
      <c r="AJ4" s="138">
        <f>IF(OR(D66=0,E66=0,F66=0),0,IF(AND(AJ$3&gt;=G66,AJ$3&lt;H66),F66*MIN(12,E66-(AJ$3-G66)*12)/E66,0))</f>
        <v/>
      </c>
      <c r="AK4" s="138">
        <f>IF(OR(D66=0,E66=0,F66=0),0,IF(AND(AK$3&gt;=G66,AK$3&lt;H66),F66*MIN(12,E66-(AK$3-G66)*12)/E66,0))</f>
        <v/>
      </c>
      <c r="AL4" s="138">
        <f>IF(OR(D66=0,E66=0,F66=0),0,IF(AND(AL$3&gt;=G66,AL$3&lt;H66),F66*MIN(12,E66-(AL$3-G66)*12)/E66,0))</f>
        <v/>
      </c>
      <c r="AM4" s="138">
        <f>IF(OR(D66=0,E66=0,F66=0),0,IF(AND(AM$3&gt;=G66,AM$3&lt;H66),F66*MIN(12,E66-(AM$3-G66)*12)/E66,0))</f>
        <v/>
      </c>
      <c r="AN4" s="138">
        <f>IF(OR(D66=0,E66=0,F66=0),0,IF(AND(AN$3&gt;=G66,AN$3&lt;H66),F66*MIN(12,E66-(AN$3-G66)*12)/E66,0))</f>
        <v/>
      </c>
      <c r="AO4" s="138">
        <f>IF(OR(D66=0,E66=0,F66=0),0,IF(AND(AO$3&gt;=G66,AO$3&lt;H66),F66*MIN(12,E66-(AO$3-G66)*12)/E66,0))</f>
        <v/>
      </c>
      <c r="AP4" s="138">
        <f>IF(OR(D66=0,E66=0,F66=0),0,IF(AND(AP$3&gt;=G66,AP$3&lt;H66),F66*MIN(12,E66-(AP$3-G66)*12)/E66,0))</f>
        <v/>
      </c>
      <c r="AQ4" s="138">
        <f>IF(OR(D66=0,E66=0,F66=0),0,IF(AND(AQ$3&gt;=G66,AQ$3&lt;H66),F66*MIN(12,E66-(AQ$3-G66)*12)/E66,0))</f>
        <v/>
      </c>
      <c r="AR4" s="138">
        <f>IF(OR(D66=0,E66=0,F66=0),0,IF(AND(AR$3&gt;=G66,AR$3&lt;H66),F66*MIN(12,E66-(AR$3-G66)*12)/E66,0))</f>
        <v/>
      </c>
      <c r="AS4" s="138">
        <f>IF(OR(D66=0,E66=0,F66=0),0,IF(AND(AS$3&gt;=G66,AS$3&lt;H66),F66*MIN(12,E66-(AS$3-G66)*12)/E66,0))</f>
        <v/>
      </c>
      <c r="AT4" s="138">
        <f>IF(OR(D66=0,E66=0,F66=0),0,IF(AND(AT$3&gt;=G66,AT$3&lt;H66),F66*MIN(12,E66-(AT$3-G66)*12)/E66,0))</f>
        <v/>
      </c>
      <c r="AU4" s="138">
        <f>IF(OR(D66=0,E66=0,F66=0),0,IF(AND(AU$3&gt;=G66,AU$3&lt;H66),F66*MIN(12,E66-(AU$3-G66)*12)/E66,0))</f>
        <v/>
      </c>
      <c r="AV4" s="138">
        <f>IF(OR(D66=0,E66=0,F66=0),0,IF(AND(AV$3&gt;=G66,AV$3&lt;H66),F66*MIN(12,E66-(AV$3-G66)*12)/E66,0))</f>
        <v/>
      </c>
      <c r="AW4" s="138">
        <f>IF(OR(D66=0,E66=0,F66=0),0,IF(AND(AW$3&gt;=G66,AW$3&lt;H66),F66*MIN(12,E66-(AW$3-G66)*12)/E66,0))</f>
        <v/>
      </c>
      <c r="AX4" s="138">
        <f>IF(OR(D66=0,E66=0,F66=0),0,IF(AND(AX$3&gt;=G66,AX$3&lt;H66),F66*MIN(12,E66-(AX$3-G66)*12)/E66,0))</f>
        <v/>
      </c>
      <c r="AY4" s="138">
        <f>IF(OR(D66=0,E66=0,F66=0),0,IF(AND(AY$3&gt;=G66,AY$3&lt;H66),F66*MIN(12,E66-(AY$3-G66)*12)/E66,0))</f>
        <v/>
      </c>
      <c r="AZ4" s="138">
        <f>IF(OR(D66=0,E66=0,F66=0),0,IF(AND(AZ$3&gt;=G66,AZ$3&lt;H66),F66*MIN(12,E66-(AZ$3-G66)*12)/E66,0))</f>
        <v/>
      </c>
      <c r="BA4" s="138">
        <f>IF(OR(D66=0,E66=0,F66=0),0,IF(AND(BA$3&gt;=G66,BA$3&lt;H66),F66*MIN(12,E66-(BA$3-G66)*12)/E66,0))</f>
        <v/>
      </c>
      <c r="BB4" s="138">
        <f>IF(OR(D66=0,E66=0,F66=0),0,IF(AND(BB$3&gt;=G66,BB$3&lt;H66),F66*MIN(12,E66-(BB$3-G66)*12)/E66,0))</f>
        <v/>
      </c>
    </row>
    <row r="5" ht="15" customHeight="1" s="91">
      <c r="A5" s="138">
        <f>A67</f>
        <v/>
      </c>
      <c r="B5" s="138">
        <f>B67</f>
        <v/>
      </c>
      <c r="C5" s="138">
        <f>C67</f>
        <v/>
      </c>
      <c r="D5" s="138">
        <f>SUM(E5:BB5)</f>
        <v/>
      </c>
      <c r="E5" s="138">
        <f>IF(OR(D67=0,E67=0,F67=0),0,IF(AND(E$3&gt;=G67,E$3&lt;H67),F67*MIN(12,E67-(E$3-G67)*12)/E67,0))</f>
        <v/>
      </c>
      <c r="F5" s="138">
        <f>IF(OR(D67=0,E67=0,F67=0),0,IF(AND(F$3&gt;=G67,F$3&lt;H67),F67*MIN(12,E67-(F$3-G67)*12)/E67,0))</f>
        <v/>
      </c>
      <c r="G5" s="138">
        <f>IF(OR(D67=0,E67=0,F67=0),0,IF(AND(G$3&gt;=G67,G$3&lt;H67),F67*MIN(12,E67-(G$3-G67)*12)/E67,0))</f>
        <v/>
      </c>
      <c r="H5" s="138">
        <f>IF(OR(D67=0,E67=0,F67=0),0,IF(AND(H$3&gt;=G67,H$3&lt;H67),F67*MIN(12,E67-(H$3-G67)*12)/E67,0))</f>
        <v/>
      </c>
      <c r="I5" s="138">
        <f>IF(OR(D67=0,E67=0,F67=0),0,IF(AND(I$3&gt;=G67,I$3&lt;H67),F67*MIN(12,E67-(I$3-G67)*12)/E67,0))</f>
        <v/>
      </c>
      <c r="J5" s="138">
        <f>IF(OR(D67=0,E67=0,F67=0),0,IF(AND(J$3&gt;=G67,J$3&lt;H67),F67*MIN(12,E67-(J$3-G67)*12)/E67,0))</f>
        <v/>
      </c>
      <c r="K5" s="138">
        <f>IF(OR(D67=0,E67=0,F67=0),0,IF(AND(K$3&gt;=G67,K$3&lt;H67),F67*MIN(12,E67-(K$3-G67)*12)/E67,0))</f>
        <v/>
      </c>
      <c r="L5" s="138">
        <f>IF(OR(D67=0,E67=0,F67=0),0,IF(AND(L$3&gt;=G67,L$3&lt;H67),F67*MIN(12,E67-(L$3-G67)*12)/E67,0))</f>
        <v/>
      </c>
      <c r="M5" s="138">
        <f>IF(OR(D67=0,E67=0,F67=0),0,IF(AND(M$3&gt;=G67,M$3&lt;H67),F67*MIN(12,E67-(M$3-G67)*12)/E67,0))</f>
        <v/>
      </c>
      <c r="N5" s="138">
        <f>IF(OR(D67=0,E67=0,F67=0),0,IF(AND(N$3&gt;=G67,N$3&lt;H67),F67*MIN(12,E67-(N$3-G67)*12)/E67,0))</f>
        <v/>
      </c>
      <c r="O5" s="138">
        <f>IF(OR(D67=0,E67=0,F67=0),0,IF(AND(O$3&gt;=G67,O$3&lt;H67),F67*MIN(12,E67-(O$3-G67)*12)/E67,0))</f>
        <v/>
      </c>
      <c r="P5" s="138">
        <f>IF(OR(D67=0,E67=0,F67=0),0,IF(AND(P$3&gt;=G67,P$3&lt;H67),F67*MIN(12,E67-(P$3-G67)*12)/E67,0))</f>
        <v/>
      </c>
      <c r="Q5" s="138">
        <f>IF(OR(D67=0,E67=0,F67=0),0,IF(AND(Q$3&gt;=G67,Q$3&lt;H67),F67*MIN(12,E67-(Q$3-G67)*12)/E67,0))</f>
        <v/>
      </c>
      <c r="R5" s="138">
        <f>IF(OR(D67=0,E67=0,F67=0),0,IF(AND(R$3&gt;=G67,R$3&lt;H67),F67*MIN(12,E67-(R$3-G67)*12)/E67,0))</f>
        <v/>
      </c>
      <c r="S5" s="138">
        <f>IF(OR(D67=0,E67=0,F67=0),0,IF(AND(S$3&gt;=G67,S$3&lt;H67),F67*MIN(12,E67-(S$3-G67)*12)/E67,0))</f>
        <v/>
      </c>
      <c r="T5" s="138">
        <f>IF(OR(D67=0,E67=0,F67=0),0,IF(AND(T$3&gt;=G67,T$3&lt;H67),F67*MIN(12,E67-(T$3-G67)*12)/E67,0))</f>
        <v/>
      </c>
      <c r="U5" s="138">
        <f>IF(OR(D67=0,E67=0,F67=0),0,IF(AND(U$3&gt;=G67,U$3&lt;H67),F67*MIN(12,E67-(U$3-G67)*12)/E67,0))</f>
        <v/>
      </c>
      <c r="V5" s="138">
        <f>IF(OR(D67=0,E67=0,F67=0),0,IF(AND(V$3&gt;=G67,V$3&lt;H67),F67*MIN(12,E67-(V$3-G67)*12)/E67,0))</f>
        <v/>
      </c>
      <c r="W5" s="138">
        <f>IF(OR(D67=0,E67=0,F67=0),0,IF(AND(W$3&gt;=G67,W$3&lt;H67),F67*MIN(12,E67-(W$3-G67)*12)/E67,0))</f>
        <v/>
      </c>
      <c r="X5" s="138">
        <f>IF(OR(D67=0,E67=0,F67=0),0,IF(AND(X$3&gt;=G67,X$3&lt;H67),F67*MIN(12,E67-(X$3-G67)*12)/E67,0))</f>
        <v/>
      </c>
      <c r="Y5" s="138">
        <f>IF(OR(D67=0,E67=0,F67=0),0,IF(AND(Y$3&gt;=G67,Y$3&lt;H67),F67*MIN(12,E67-(Y$3-G67)*12)/E67,0))</f>
        <v/>
      </c>
      <c r="Z5" s="138">
        <f>IF(OR(D67=0,E67=0,F67=0),0,IF(AND(Z$3&gt;=G67,Z$3&lt;H67),F67*MIN(12,E67-(Z$3-G67)*12)/E67,0))</f>
        <v/>
      </c>
      <c r="AA5" s="138">
        <f>IF(OR(D67=0,E67=0,F67=0),0,IF(AND(AA$3&gt;=G67,AA$3&lt;H67),F67*MIN(12,E67-(AA$3-G67)*12)/E67,0))</f>
        <v/>
      </c>
      <c r="AB5" s="138">
        <f>IF(OR(D67=0,E67=0,F67=0),0,IF(AND(AB$3&gt;=G67,AB$3&lt;H67),F67*MIN(12,E67-(AB$3-G67)*12)/E67,0))</f>
        <v/>
      </c>
      <c r="AC5" s="138">
        <f>IF(OR(D67=0,E67=0,F67=0),0,IF(AND(AC$3&gt;=G67,AC$3&lt;H67),F67*MIN(12,E67-(AC$3-G67)*12)/E67,0))</f>
        <v/>
      </c>
      <c r="AD5" s="138">
        <f>IF(OR(D67=0,E67=0,F67=0),0,IF(AND(AD$3&gt;=G67,AD$3&lt;H67),F67*MIN(12,E67-(AD$3-G67)*12)/E67,0))</f>
        <v/>
      </c>
      <c r="AE5" s="138">
        <f>IF(OR(D67=0,E67=0,F67=0),0,IF(AND(AE$3&gt;=G67,AE$3&lt;H67),F67*MIN(12,E67-(AE$3-G67)*12)/E67,0))</f>
        <v/>
      </c>
      <c r="AF5" s="138">
        <f>IF(OR(D67=0,E67=0,F67=0),0,IF(AND(AF$3&gt;=G67,AF$3&lt;H67),F67*MIN(12,E67-(AF$3-G67)*12)/E67,0))</f>
        <v/>
      </c>
      <c r="AG5" s="138">
        <f>IF(OR(D67=0,E67=0,F67=0),0,IF(AND(AG$3&gt;=G67,AG$3&lt;H67),F67*MIN(12,E67-(AG$3-G67)*12)/E67,0))</f>
        <v/>
      </c>
      <c r="AH5" s="138">
        <f>IF(OR(D67=0,E67=0,F67=0),0,IF(AND(AH$3&gt;=G67,AH$3&lt;H67),F67*MIN(12,E67-(AH$3-G67)*12)/E67,0))</f>
        <v/>
      </c>
      <c r="AI5" s="138">
        <f>IF(OR(D67=0,E67=0,F67=0),0,IF(AND(AI$3&gt;=G67,AI$3&lt;H67),F67*MIN(12,E67-(AI$3-G67)*12)/E67,0))</f>
        <v/>
      </c>
      <c r="AJ5" s="138">
        <f>IF(OR(D67=0,E67=0,F67=0),0,IF(AND(AJ$3&gt;=G67,AJ$3&lt;H67),F67*MIN(12,E67-(AJ$3-G67)*12)/E67,0))</f>
        <v/>
      </c>
      <c r="AK5" s="138">
        <f>IF(OR(D67=0,E67=0,F67=0),0,IF(AND(AK$3&gt;=G67,AK$3&lt;H67),F67*MIN(12,E67-(AK$3-G67)*12)/E67,0))</f>
        <v/>
      </c>
      <c r="AL5" s="138">
        <f>IF(OR(D67=0,E67=0,F67=0),0,IF(AND(AL$3&gt;=G67,AL$3&lt;H67),F67*MIN(12,E67-(AL$3-G67)*12)/E67,0))</f>
        <v/>
      </c>
      <c r="AM5" s="138">
        <f>IF(OR(D67=0,E67=0,F67=0),0,IF(AND(AM$3&gt;=G67,AM$3&lt;H67),F67*MIN(12,E67-(AM$3-G67)*12)/E67,0))</f>
        <v/>
      </c>
      <c r="AN5" s="138">
        <f>IF(OR(D67=0,E67=0,F67=0),0,IF(AND(AN$3&gt;=G67,AN$3&lt;H67),F67*MIN(12,E67-(AN$3-G67)*12)/E67,0))</f>
        <v/>
      </c>
      <c r="AO5" s="138">
        <f>IF(OR(D67=0,E67=0,F67=0),0,IF(AND(AO$3&gt;=G67,AO$3&lt;H67),F67*MIN(12,E67-(AO$3-G67)*12)/E67,0))</f>
        <v/>
      </c>
      <c r="AP5" s="138">
        <f>IF(OR(D67=0,E67=0,F67=0),0,IF(AND(AP$3&gt;=G67,AP$3&lt;H67),F67*MIN(12,E67-(AP$3-G67)*12)/E67,0))</f>
        <v/>
      </c>
      <c r="AQ5" s="138">
        <f>IF(OR(D67=0,E67=0,F67=0),0,IF(AND(AQ$3&gt;=G67,AQ$3&lt;H67),F67*MIN(12,E67-(AQ$3-G67)*12)/E67,0))</f>
        <v/>
      </c>
      <c r="AR5" s="138">
        <f>IF(OR(D67=0,E67=0,F67=0),0,IF(AND(AR$3&gt;=G67,AR$3&lt;H67),F67*MIN(12,E67-(AR$3-G67)*12)/E67,0))</f>
        <v/>
      </c>
      <c r="AS5" s="138">
        <f>IF(OR(D67=0,E67=0,F67=0),0,IF(AND(AS$3&gt;=G67,AS$3&lt;H67),F67*MIN(12,E67-(AS$3-G67)*12)/E67,0))</f>
        <v/>
      </c>
      <c r="AT5" s="138">
        <f>IF(OR(D67=0,E67=0,F67=0),0,IF(AND(AT$3&gt;=G67,AT$3&lt;H67),F67*MIN(12,E67-(AT$3-G67)*12)/E67,0))</f>
        <v/>
      </c>
      <c r="AU5" s="138">
        <f>IF(OR(D67=0,E67=0,F67=0),0,IF(AND(AU$3&gt;=G67,AU$3&lt;H67),F67*MIN(12,E67-(AU$3-G67)*12)/E67,0))</f>
        <v/>
      </c>
      <c r="AV5" s="138">
        <f>IF(OR(D67=0,E67=0,F67=0),0,IF(AND(AV$3&gt;=G67,AV$3&lt;H67),F67*MIN(12,E67-(AV$3-G67)*12)/E67,0))</f>
        <v/>
      </c>
      <c r="AW5" s="138">
        <f>IF(OR(D67=0,E67=0,F67=0),0,IF(AND(AW$3&gt;=G67,AW$3&lt;H67),F67*MIN(12,E67-(AW$3-G67)*12)/E67,0))</f>
        <v/>
      </c>
      <c r="AX5" s="138">
        <f>IF(OR(D67=0,E67=0,F67=0),0,IF(AND(AX$3&gt;=G67,AX$3&lt;H67),F67*MIN(12,E67-(AX$3-G67)*12)/E67,0))</f>
        <v/>
      </c>
      <c r="AY5" s="138">
        <f>IF(OR(D67=0,E67=0,F67=0),0,IF(AND(AY$3&gt;=G67,AY$3&lt;H67),F67*MIN(12,E67-(AY$3-G67)*12)/E67,0))</f>
        <v/>
      </c>
      <c r="AZ5" s="138">
        <f>IF(OR(D67=0,E67=0,F67=0),0,IF(AND(AZ$3&gt;=G67,AZ$3&lt;H67),F67*MIN(12,E67-(AZ$3-G67)*12)/E67,0))</f>
        <v/>
      </c>
      <c r="BA5" s="138">
        <f>IF(OR(D67=0,E67=0,F67=0),0,IF(AND(BA$3&gt;=G67,BA$3&lt;H67),F67*MIN(12,E67-(BA$3-G67)*12)/E67,0))</f>
        <v/>
      </c>
      <c r="BB5" s="138">
        <f>IF(OR(D67=0,E67=0,F67=0),0,IF(AND(BB$3&gt;=G67,BB$3&lt;H67),F67*MIN(12,E67-(BB$3-G67)*12)/E67,0))</f>
        <v/>
      </c>
    </row>
    <row r="6" ht="15" customHeight="1" s="91">
      <c r="A6" s="138">
        <f>A68</f>
        <v/>
      </c>
      <c r="B6" s="138">
        <f>B68</f>
        <v/>
      </c>
      <c r="C6" s="138">
        <f>C68</f>
        <v/>
      </c>
      <c r="D6" s="138">
        <f>SUM(E6:BB6)</f>
        <v/>
      </c>
      <c r="E6" s="138">
        <f>IF(OR(D68=0,E68=0,F68=0),0,IF(AND(E$3&gt;=G68,E$3&lt;H68),F68*MIN(12,E68-(E$3-G68)*12)/E68,0))</f>
        <v/>
      </c>
      <c r="F6" s="138">
        <f>IF(OR(D68=0,E68=0,F68=0),0,IF(AND(F$3&gt;=G68,F$3&lt;H68),F68*MIN(12,E68-(F$3-G68)*12)/E68,0))</f>
        <v/>
      </c>
      <c r="G6" s="138">
        <f>IF(OR(D68=0,E68=0,F68=0),0,IF(AND(G$3&gt;=G68,G$3&lt;H68),F68*MIN(12,E68-(G$3-G68)*12)/E68,0))</f>
        <v/>
      </c>
      <c r="H6" s="138">
        <f>IF(OR(D68=0,E68=0,F68=0),0,IF(AND(H$3&gt;=G68,H$3&lt;H68),F68*MIN(12,E68-(H$3-G68)*12)/E68,0))</f>
        <v/>
      </c>
      <c r="I6" s="138">
        <f>IF(OR(D68=0,E68=0,F68=0),0,IF(AND(I$3&gt;=G68,I$3&lt;H68),F68*MIN(12,E68-(I$3-G68)*12)/E68,0))</f>
        <v/>
      </c>
      <c r="J6" s="138">
        <f>IF(OR(D68=0,E68=0,F68=0),0,IF(AND(J$3&gt;=G68,J$3&lt;H68),F68*MIN(12,E68-(J$3-G68)*12)/E68,0))</f>
        <v/>
      </c>
      <c r="K6" s="138">
        <f>IF(OR(D68=0,E68=0,F68=0),0,IF(AND(K$3&gt;=G68,K$3&lt;H68),F68*MIN(12,E68-(K$3-G68)*12)/E68,0))</f>
        <v/>
      </c>
      <c r="L6" s="138">
        <f>IF(OR(D68=0,E68=0,F68=0),0,IF(AND(L$3&gt;=G68,L$3&lt;H68),F68*MIN(12,E68-(L$3-G68)*12)/E68,0))</f>
        <v/>
      </c>
      <c r="M6" s="138">
        <f>IF(OR(D68=0,E68=0,F68=0),0,IF(AND(M$3&gt;=G68,M$3&lt;H68),F68*MIN(12,E68-(M$3-G68)*12)/E68,0))</f>
        <v/>
      </c>
      <c r="N6" s="138">
        <f>IF(OR(D68=0,E68=0,F68=0),0,IF(AND(N$3&gt;=G68,N$3&lt;H68),F68*MIN(12,E68-(N$3-G68)*12)/E68,0))</f>
        <v/>
      </c>
      <c r="O6" s="138">
        <f>IF(OR(D68=0,E68=0,F68=0),0,IF(AND(O$3&gt;=G68,O$3&lt;H68),F68*MIN(12,E68-(O$3-G68)*12)/E68,0))</f>
        <v/>
      </c>
      <c r="P6" s="138">
        <f>IF(OR(D68=0,E68=0,F68=0),0,IF(AND(P$3&gt;=G68,P$3&lt;H68),F68*MIN(12,E68-(P$3-G68)*12)/E68,0))</f>
        <v/>
      </c>
      <c r="Q6" s="138">
        <f>IF(OR(D68=0,E68=0,F68=0),0,IF(AND(Q$3&gt;=G68,Q$3&lt;H68),F68*MIN(12,E68-(Q$3-G68)*12)/E68,0))</f>
        <v/>
      </c>
      <c r="R6" s="138">
        <f>IF(OR(D68=0,E68=0,F68=0),0,IF(AND(R$3&gt;=G68,R$3&lt;H68),F68*MIN(12,E68-(R$3-G68)*12)/E68,0))</f>
        <v/>
      </c>
      <c r="S6" s="138">
        <f>IF(OR(D68=0,E68=0,F68=0),0,IF(AND(S$3&gt;=G68,S$3&lt;H68),F68*MIN(12,E68-(S$3-G68)*12)/E68,0))</f>
        <v/>
      </c>
      <c r="T6" s="138">
        <f>IF(OR(D68=0,E68=0,F68=0),0,IF(AND(T$3&gt;=G68,T$3&lt;H68),F68*MIN(12,E68-(T$3-G68)*12)/E68,0))</f>
        <v/>
      </c>
      <c r="U6" s="138">
        <f>IF(OR(D68=0,E68=0,F68=0),0,IF(AND(U$3&gt;=G68,U$3&lt;H68),F68*MIN(12,E68-(U$3-G68)*12)/E68,0))</f>
        <v/>
      </c>
      <c r="V6" s="138">
        <f>IF(OR(D68=0,E68=0,F68=0),0,IF(AND(V$3&gt;=G68,V$3&lt;H68),F68*MIN(12,E68-(V$3-G68)*12)/E68,0))</f>
        <v/>
      </c>
      <c r="W6" s="138">
        <f>IF(OR(D68=0,E68=0,F68=0),0,IF(AND(W$3&gt;=G68,W$3&lt;H68),F68*MIN(12,E68-(W$3-G68)*12)/E68,0))</f>
        <v/>
      </c>
      <c r="X6" s="138">
        <f>IF(OR(D68=0,E68=0,F68=0),0,IF(AND(X$3&gt;=G68,X$3&lt;H68),F68*MIN(12,E68-(X$3-G68)*12)/E68,0))</f>
        <v/>
      </c>
      <c r="Y6" s="138">
        <f>IF(OR(D68=0,E68=0,F68=0),0,IF(AND(Y$3&gt;=G68,Y$3&lt;H68),F68*MIN(12,E68-(Y$3-G68)*12)/E68,0))</f>
        <v/>
      </c>
      <c r="Z6" s="138">
        <f>IF(OR(D68=0,E68=0,F68=0),0,IF(AND(Z$3&gt;=G68,Z$3&lt;H68),F68*MIN(12,E68-(Z$3-G68)*12)/E68,0))</f>
        <v/>
      </c>
      <c r="AA6" s="138">
        <f>IF(OR(D68=0,E68=0,F68=0),0,IF(AND(AA$3&gt;=G68,AA$3&lt;H68),F68*MIN(12,E68-(AA$3-G68)*12)/E68,0))</f>
        <v/>
      </c>
      <c r="AB6" s="138">
        <f>IF(OR(D68=0,E68=0,F68=0),0,IF(AND(AB$3&gt;=G68,AB$3&lt;H68),F68*MIN(12,E68-(AB$3-G68)*12)/E68,0))</f>
        <v/>
      </c>
      <c r="AC6" s="138">
        <f>IF(OR(D68=0,E68=0,F68=0),0,IF(AND(AC$3&gt;=G68,AC$3&lt;H68),F68*MIN(12,E68-(AC$3-G68)*12)/E68,0))</f>
        <v/>
      </c>
      <c r="AD6" s="138">
        <f>IF(OR(D68=0,E68=0,F68=0),0,IF(AND(AD$3&gt;=G68,AD$3&lt;H68),F68*MIN(12,E68-(AD$3-G68)*12)/E68,0))</f>
        <v/>
      </c>
      <c r="AE6" s="138">
        <f>IF(OR(D68=0,E68=0,F68=0),0,IF(AND(AE$3&gt;=G68,AE$3&lt;H68),F68*MIN(12,E68-(AE$3-G68)*12)/E68,0))</f>
        <v/>
      </c>
      <c r="AF6" s="138">
        <f>IF(OR(D68=0,E68=0,F68=0),0,IF(AND(AF$3&gt;=G68,AF$3&lt;H68),F68*MIN(12,E68-(AF$3-G68)*12)/E68,0))</f>
        <v/>
      </c>
      <c r="AG6" s="138">
        <f>IF(OR(D68=0,E68=0,F68=0),0,IF(AND(AG$3&gt;=G68,AG$3&lt;H68),F68*MIN(12,E68-(AG$3-G68)*12)/E68,0))</f>
        <v/>
      </c>
      <c r="AH6" s="138">
        <f>IF(OR(D68=0,E68=0,F68=0),0,IF(AND(AH$3&gt;=G68,AH$3&lt;H68),F68*MIN(12,E68-(AH$3-G68)*12)/E68,0))</f>
        <v/>
      </c>
      <c r="AI6" s="138">
        <f>IF(OR(D68=0,E68=0,F68=0),0,IF(AND(AI$3&gt;=G68,AI$3&lt;H68),F68*MIN(12,E68-(AI$3-G68)*12)/E68,0))</f>
        <v/>
      </c>
      <c r="AJ6" s="138">
        <f>IF(OR(D68=0,E68=0,F68=0),0,IF(AND(AJ$3&gt;=G68,AJ$3&lt;H68),F68*MIN(12,E68-(AJ$3-G68)*12)/E68,0))</f>
        <v/>
      </c>
      <c r="AK6" s="138">
        <f>IF(OR(D68=0,E68=0,F68=0),0,IF(AND(AK$3&gt;=G68,AK$3&lt;H68),F68*MIN(12,E68-(AK$3-G68)*12)/E68,0))</f>
        <v/>
      </c>
      <c r="AL6" s="138">
        <f>IF(OR(D68=0,E68=0,F68=0),0,IF(AND(AL$3&gt;=G68,AL$3&lt;H68),F68*MIN(12,E68-(AL$3-G68)*12)/E68,0))</f>
        <v/>
      </c>
      <c r="AM6" s="138">
        <f>IF(OR(D68=0,E68=0,F68=0),0,IF(AND(AM$3&gt;=G68,AM$3&lt;H68),F68*MIN(12,E68-(AM$3-G68)*12)/E68,0))</f>
        <v/>
      </c>
      <c r="AN6" s="138">
        <f>IF(OR(D68=0,E68=0,F68=0),0,IF(AND(AN$3&gt;=G68,AN$3&lt;H68),F68*MIN(12,E68-(AN$3-G68)*12)/E68,0))</f>
        <v/>
      </c>
      <c r="AO6" s="138">
        <f>IF(OR(D68=0,E68=0,F68=0),0,IF(AND(AO$3&gt;=G68,AO$3&lt;H68),F68*MIN(12,E68-(AO$3-G68)*12)/E68,0))</f>
        <v/>
      </c>
      <c r="AP6" s="138">
        <f>IF(OR(D68=0,E68=0,F68=0),0,IF(AND(AP$3&gt;=G68,AP$3&lt;H68),F68*MIN(12,E68-(AP$3-G68)*12)/E68,0))</f>
        <v/>
      </c>
      <c r="AQ6" s="138">
        <f>IF(OR(D68=0,E68=0,F68=0),0,IF(AND(AQ$3&gt;=G68,AQ$3&lt;H68),F68*MIN(12,E68-(AQ$3-G68)*12)/E68,0))</f>
        <v/>
      </c>
      <c r="AR6" s="138">
        <f>IF(OR(D68=0,E68=0,F68=0),0,IF(AND(AR$3&gt;=G68,AR$3&lt;H68),F68*MIN(12,E68-(AR$3-G68)*12)/E68,0))</f>
        <v/>
      </c>
      <c r="AS6" s="138">
        <f>IF(OR(D68=0,E68=0,F68=0),0,IF(AND(AS$3&gt;=G68,AS$3&lt;H68),F68*MIN(12,E68-(AS$3-G68)*12)/E68,0))</f>
        <v/>
      </c>
      <c r="AT6" s="138">
        <f>IF(OR(D68=0,E68=0,F68=0),0,IF(AND(AT$3&gt;=G68,AT$3&lt;H68),F68*MIN(12,E68-(AT$3-G68)*12)/E68,0))</f>
        <v/>
      </c>
      <c r="AU6" s="138">
        <f>IF(OR(D68=0,E68=0,F68=0),0,IF(AND(AU$3&gt;=G68,AU$3&lt;H68),F68*MIN(12,E68-(AU$3-G68)*12)/E68,0))</f>
        <v/>
      </c>
      <c r="AV6" s="138">
        <f>IF(OR(D68=0,E68=0,F68=0),0,IF(AND(AV$3&gt;=G68,AV$3&lt;H68),F68*MIN(12,E68-(AV$3-G68)*12)/E68,0))</f>
        <v/>
      </c>
      <c r="AW6" s="138">
        <f>IF(OR(D68=0,E68=0,F68=0),0,IF(AND(AW$3&gt;=G68,AW$3&lt;H68),F68*MIN(12,E68-(AW$3-G68)*12)/E68,0))</f>
        <v/>
      </c>
      <c r="AX6" s="138">
        <f>IF(OR(D68=0,E68=0,F68=0),0,IF(AND(AX$3&gt;=G68,AX$3&lt;H68),F68*MIN(12,E68-(AX$3-G68)*12)/E68,0))</f>
        <v/>
      </c>
      <c r="AY6" s="138">
        <f>IF(OR(D68=0,E68=0,F68=0),0,IF(AND(AY$3&gt;=G68,AY$3&lt;H68),F68*MIN(12,E68-(AY$3-G68)*12)/E68,0))</f>
        <v/>
      </c>
      <c r="AZ6" s="138">
        <f>IF(OR(D68=0,E68=0,F68=0),0,IF(AND(AZ$3&gt;=G68,AZ$3&lt;H68),F68*MIN(12,E68-(AZ$3-G68)*12)/E68,0))</f>
        <v/>
      </c>
      <c r="BA6" s="138">
        <f>IF(OR(D68=0,E68=0,F68=0),0,IF(AND(BA$3&gt;=G68,BA$3&lt;H68),F68*MIN(12,E68-(BA$3-G68)*12)/E68,0))</f>
        <v/>
      </c>
      <c r="BB6" s="138">
        <f>IF(OR(D68=0,E68=0,F68=0),0,IF(AND(BB$3&gt;=G68,BB$3&lt;H68),F68*MIN(12,E68-(BB$3-G68)*12)/E68,0))</f>
        <v/>
      </c>
    </row>
    <row r="7" ht="15" customHeight="1" s="91">
      <c r="A7" s="138">
        <f>A69</f>
        <v/>
      </c>
      <c r="B7" s="138">
        <f>B69</f>
        <v/>
      </c>
      <c r="C7" s="138">
        <f>C69</f>
        <v/>
      </c>
      <c r="D7" s="138">
        <f>SUM(E7:BB7)</f>
        <v/>
      </c>
      <c r="E7" s="138">
        <f>IF(OR(D69=0,E69=0,F69=0),0,IF(AND(E$3&gt;=G69,E$3&lt;H69),F69*MIN(12,E69-(E$3-G69)*12)/E69,0))</f>
        <v/>
      </c>
      <c r="F7" s="138">
        <f>IF(OR(D69=0,E69=0,F69=0),0,IF(AND(F$3&gt;=G69,F$3&lt;H69),F69*MIN(12,E69-(F$3-G69)*12)/E69,0))</f>
        <v/>
      </c>
      <c r="G7" s="138">
        <f>IF(OR(D69=0,E69=0,F69=0),0,IF(AND(G$3&gt;=G69,G$3&lt;H69),F69*MIN(12,E69-(G$3-G69)*12)/E69,0))</f>
        <v/>
      </c>
      <c r="H7" s="138">
        <f>IF(OR(D69=0,E69=0,F69=0),0,IF(AND(H$3&gt;=G69,H$3&lt;H69),F69*MIN(12,E69-(H$3-G69)*12)/E69,0))</f>
        <v/>
      </c>
      <c r="I7" s="138">
        <f>IF(OR(D69=0,E69=0,F69=0),0,IF(AND(I$3&gt;=G69,I$3&lt;H69),F69*MIN(12,E69-(I$3-G69)*12)/E69,0))</f>
        <v/>
      </c>
      <c r="J7" s="138">
        <f>IF(OR(D69=0,E69=0,F69=0),0,IF(AND(J$3&gt;=G69,J$3&lt;H69),F69*MIN(12,E69-(J$3-G69)*12)/E69,0))</f>
        <v/>
      </c>
      <c r="K7" s="138">
        <f>IF(OR(D69=0,E69=0,F69=0),0,IF(AND(K$3&gt;=G69,K$3&lt;H69),F69*MIN(12,E69-(K$3-G69)*12)/E69,0))</f>
        <v/>
      </c>
      <c r="L7" s="138">
        <f>IF(OR(D69=0,E69=0,F69=0),0,IF(AND(L$3&gt;=G69,L$3&lt;H69),F69*MIN(12,E69-(L$3-G69)*12)/E69,0))</f>
        <v/>
      </c>
      <c r="M7" s="138">
        <f>IF(OR(D69=0,E69=0,F69=0),0,IF(AND(M$3&gt;=G69,M$3&lt;H69),F69*MIN(12,E69-(M$3-G69)*12)/E69,0))</f>
        <v/>
      </c>
      <c r="N7" s="138">
        <f>IF(OR(D69=0,E69=0,F69=0),0,IF(AND(N$3&gt;=G69,N$3&lt;H69),F69*MIN(12,E69-(N$3-G69)*12)/E69,0))</f>
        <v/>
      </c>
      <c r="O7" s="138">
        <f>IF(OR(D69=0,E69=0,F69=0),0,IF(AND(O$3&gt;=G69,O$3&lt;H69),F69*MIN(12,E69-(O$3-G69)*12)/E69,0))</f>
        <v/>
      </c>
      <c r="P7" s="138">
        <f>IF(OR(D69=0,E69=0,F69=0),0,IF(AND(P$3&gt;=G69,P$3&lt;H69),F69*MIN(12,E69-(P$3-G69)*12)/E69,0))</f>
        <v/>
      </c>
      <c r="Q7" s="138">
        <f>IF(OR(D69=0,E69=0,F69=0),0,IF(AND(Q$3&gt;=G69,Q$3&lt;H69),F69*MIN(12,E69-(Q$3-G69)*12)/E69,0))</f>
        <v/>
      </c>
      <c r="R7" s="138">
        <f>IF(OR(D69=0,E69=0,F69=0),0,IF(AND(R$3&gt;=G69,R$3&lt;H69),F69*MIN(12,E69-(R$3-G69)*12)/E69,0))</f>
        <v/>
      </c>
      <c r="S7" s="138">
        <f>IF(OR(D69=0,E69=0,F69=0),0,IF(AND(S$3&gt;=G69,S$3&lt;H69),F69*MIN(12,E69-(S$3-G69)*12)/E69,0))</f>
        <v/>
      </c>
      <c r="T7" s="138">
        <f>IF(OR(D69=0,E69=0,F69=0),0,IF(AND(T$3&gt;=G69,T$3&lt;H69),F69*MIN(12,E69-(T$3-G69)*12)/E69,0))</f>
        <v/>
      </c>
      <c r="U7" s="138">
        <f>IF(OR(D69=0,E69=0,F69=0),0,IF(AND(U$3&gt;=G69,U$3&lt;H69),F69*MIN(12,E69-(U$3-G69)*12)/E69,0))</f>
        <v/>
      </c>
      <c r="V7" s="138">
        <f>IF(OR(D69=0,E69=0,F69=0),0,IF(AND(V$3&gt;=G69,V$3&lt;H69),F69*MIN(12,E69-(V$3-G69)*12)/E69,0))</f>
        <v/>
      </c>
      <c r="W7" s="138">
        <f>IF(OR(D69=0,E69=0,F69=0),0,IF(AND(W$3&gt;=G69,W$3&lt;H69),F69*MIN(12,E69-(W$3-G69)*12)/E69,0))</f>
        <v/>
      </c>
      <c r="X7" s="138">
        <f>IF(OR(D69=0,E69=0,F69=0),0,IF(AND(X$3&gt;=G69,X$3&lt;H69),F69*MIN(12,E69-(X$3-G69)*12)/E69,0))</f>
        <v/>
      </c>
      <c r="Y7" s="138">
        <f>IF(OR(D69=0,E69=0,F69=0),0,IF(AND(Y$3&gt;=G69,Y$3&lt;H69),F69*MIN(12,E69-(Y$3-G69)*12)/E69,0))</f>
        <v/>
      </c>
      <c r="Z7" s="138">
        <f>IF(OR(D69=0,E69=0,F69=0),0,IF(AND(Z$3&gt;=G69,Z$3&lt;H69),F69*MIN(12,E69-(Z$3-G69)*12)/E69,0))</f>
        <v/>
      </c>
      <c r="AA7" s="138">
        <f>IF(OR(D69=0,E69=0,F69=0),0,IF(AND(AA$3&gt;=G69,AA$3&lt;H69),F69*MIN(12,E69-(AA$3-G69)*12)/E69,0))</f>
        <v/>
      </c>
      <c r="AB7" s="138">
        <f>IF(OR(D69=0,E69=0,F69=0),0,IF(AND(AB$3&gt;=G69,AB$3&lt;H69),F69*MIN(12,E69-(AB$3-G69)*12)/E69,0))</f>
        <v/>
      </c>
      <c r="AC7" s="138">
        <f>IF(OR(D69=0,E69=0,F69=0),0,IF(AND(AC$3&gt;=G69,AC$3&lt;H69),F69*MIN(12,E69-(AC$3-G69)*12)/E69,0))</f>
        <v/>
      </c>
      <c r="AD7" s="138">
        <f>IF(OR(D69=0,E69=0,F69=0),0,IF(AND(AD$3&gt;=G69,AD$3&lt;H69),F69*MIN(12,E69-(AD$3-G69)*12)/E69,0))</f>
        <v/>
      </c>
      <c r="AE7" s="138">
        <f>IF(OR(D69=0,E69=0,F69=0),0,IF(AND(AE$3&gt;=G69,AE$3&lt;H69),F69*MIN(12,E69-(AE$3-G69)*12)/E69,0))</f>
        <v/>
      </c>
      <c r="AF7" s="138">
        <f>IF(OR(D69=0,E69=0,F69=0),0,IF(AND(AF$3&gt;=G69,AF$3&lt;H69),F69*MIN(12,E69-(AF$3-G69)*12)/E69,0))</f>
        <v/>
      </c>
      <c r="AG7" s="138">
        <f>IF(OR(D69=0,E69=0,F69=0),0,IF(AND(AG$3&gt;=G69,AG$3&lt;H69),F69*MIN(12,E69-(AG$3-G69)*12)/E69,0))</f>
        <v/>
      </c>
      <c r="AH7" s="138">
        <f>IF(OR(D69=0,E69=0,F69=0),0,IF(AND(AH$3&gt;=G69,AH$3&lt;H69),F69*MIN(12,E69-(AH$3-G69)*12)/E69,0))</f>
        <v/>
      </c>
      <c r="AI7" s="138">
        <f>IF(OR(D69=0,E69=0,F69=0),0,IF(AND(AI$3&gt;=G69,AI$3&lt;H69),F69*MIN(12,E69-(AI$3-G69)*12)/E69,0))</f>
        <v/>
      </c>
      <c r="AJ7" s="138">
        <f>IF(OR(D69=0,E69=0,F69=0),0,IF(AND(AJ$3&gt;=G69,AJ$3&lt;H69),F69*MIN(12,E69-(AJ$3-G69)*12)/E69,0))</f>
        <v/>
      </c>
      <c r="AK7" s="138">
        <f>IF(OR(D69=0,E69=0,F69=0),0,IF(AND(AK$3&gt;=G69,AK$3&lt;H69),F69*MIN(12,E69-(AK$3-G69)*12)/E69,0))</f>
        <v/>
      </c>
      <c r="AL7" s="138">
        <f>IF(OR(D69=0,E69=0,F69=0),0,IF(AND(AL$3&gt;=G69,AL$3&lt;H69),F69*MIN(12,E69-(AL$3-G69)*12)/E69,0))</f>
        <v/>
      </c>
      <c r="AM7" s="138">
        <f>IF(OR(D69=0,E69=0,F69=0),0,IF(AND(AM$3&gt;=G69,AM$3&lt;H69),F69*MIN(12,E69-(AM$3-G69)*12)/E69,0))</f>
        <v/>
      </c>
      <c r="AN7" s="138">
        <f>IF(OR(D69=0,E69=0,F69=0),0,IF(AND(AN$3&gt;=G69,AN$3&lt;H69),F69*MIN(12,E69-(AN$3-G69)*12)/E69,0))</f>
        <v/>
      </c>
      <c r="AO7" s="138">
        <f>IF(OR(D69=0,E69=0,F69=0),0,IF(AND(AO$3&gt;=G69,AO$3&lt;H69),F69*MIN(12,E69-(AO$3-G69)*12)/E69,0))</f>
        <v/>
      </c>
      <c r="AP7" s="138">
        <f>IF(OR(D69=0,E69=0,F69=0),0,IF(AND(AP$3&gt;=G69,AP$3&lt;H69),F69*MIN(12,E69-(AP$3-G69)*12)/E69,0))</f>
        <v/>
      </c>
      <c r="AQ7" s="138">
        <f>IF(OR(D69=0,E69=0,F69=0),0,IF(AND(AQ$3&gt;=G69,AQ$3&lt;H69),F69*MIN(12,E69-(AQ$3-G69)*12)/E69,0))</f>
        <v/>
      </c>
      <c r="AR7" s="138">
        <f>IF(OR(D69=0,E69=0,F69=0),0,IF(AND(AR$3&gt;=G69,AR$3&lt;H69),F69*MIN(12,E69-(AR$3-G69)*12)/E69,0))</f>
        <v/>
      </c>
      <c r="AS7" s="138">
        <f>IF(OR(D69=0,E69=0,F69=0),0,IF(AND(AS$3&gt;=G69,AS$3&lt;H69),F69*MIN(12,E69-(AS$3-G69)*12)/E69,0))</f>
        <v/>
      </c>
      <c r="AT7" s="138">
        <f>IF(OR(D69=0,E69=0,F69=0),0,IF(AND(AT$3&gt;=G69,AT$3&lt;H69),F69*MIN(12,E69-(AT$3-G69)*12)/E69,0))</f>
        <v/>
      </c>
      <c r="AU7" s="138">
        <f>IF(OR(D69=0,E69=0,F69=0),0,IF(AND(AU$3&gt;=G69,AU$3&lt;H69),F69*MIN(12,E69-(AU$3-G69)*12)/E69,0))</f>
        <v/>
      </c>
      <c r="AV7" s="138">
        <f>IF(OR(D69=0,E69=0,F69=0),0,IF(AND(AV$3&gt;=G69,AV$3&lt;H69),F69*MIN(12,E69-(AV$3-G69)*12)/E69,0))</f>
        <v/>
      </c>
      <c r="AW7" s="138">
        <f>IF(OR(D69=0,E69=0,F69=0),0,IF(AND(AW$3&gt;=G69,AW$3&lt;H69),F69*MIN(12,E69-(AW$3-G69)*12)/E69,0))</f>
        <v/>
      </c>
      <c r="AX7" s="138">
        <f>IF(OR(D69=0,E69=0,F69=0),0,IF(AND(AX$3&gt;=G69,AX$3&lt;H69),F69*MIN(12,E69-(AX$3-G69)*12)/E69,0))</f>
        <v/>
      </c>
      <c r="AY7" s="138">
        <f>IF(OR(D69=0,E69=0,F69=0),0,IF(AND(AY$3&gt;=G69,AY$3&lt;H69),F69*MIN(12,E69-(AY$3-G69)*12)/E69,0))</f>
        <v/>
      </c>
      <c r="AZ7" s="138">
        <f>IF(OR(D69=0,E69=0,F69=0),0,IF(AND(AZ$3&gt;=G69,AZ$3&lt;H69),F69*MIN(12,E69-(AZ$3-G69)*12)/E69,0))</f>
        <v/>
      </c>
      <c r="BA7" s="138">
        <f>IF(OR(D69=0,E69=0,F69=0),0,IF(AND(BA$3&gt;=G69,BA$3&lt;H69),F69*MIN(12,E69-(BA$3-G69)*12)/E69,0))</f>
        <v/>
      </c>
      <c r="BB7" s="138">
        <f>IF(OR(D69=0,E69=0,F69=0),0,IF(AND(BB$3&gt;=G69,BB$3&lt;H69),F69*MIN(12,E69-(BB$3-G69)*12)/E69,0))</f>
        <v/>
      </c>
    </row>
    <row r="8" ht="15" customHeight="1" s="91">
      <c r="A8" s="138">
        <f>A70</f>
        <v/>
      </c>
      <c r="B8" s="138">
        <f>B70</f>
        <v/>
      </c>
      <c r="C8" s="138">
        <f>C70</f>
        <v/>
      </c>
      <c r="D8" s="138">
        <f>SUM(E8:BB8)</f>
        <v/>
      </c>
      <c r="E8" s="138">
        <f>IF(OR(D70=0,E70=0,F70=0),0,IF(AND(E$3&gt;=G70,E$3&lt;H70),F70*MIN(12,E70-(E$3-G70)*12)/E70,0))</f>
        <v/>
      </c>
      <c r="F8" s="138">
        <f>IF(OR(D70=0,E70=0,F70=0),0,IF(AND(F$3&gt;=G70,F$3&lt;H70),F70*MIN(12,E70-(F$3-G70)*12)/E70,0))</f>
        <v/>
      </c>
      <c r="G8" s="138">
        <f>IF(OR(D70=0,E70=0,F70=0),0,IF(AND(G$3&gt;=G70,G$3&lt;H70),F70*MIN(12,E70-(G$3-G70)*12)/E70,0))</f>
        <v/>
      </c>
      <c r="H8" s="138">
        <f>IF(OR(D70=0,E70=0,F70=0),0,IF(AND(H$3&gt;=G70,H$3&lt;H70),F70*MIN(12,E70-(H$3-G70)*12)/E70,0))</f>
        <v/>
      </c>
      <c r="I8" s="138">
        <f>IF(OR(D70=0,E70=0,F70=0),0,IF(AND(I$3&gt;=G70,I$3&lt;H70),F70*MIN(12,E70-(I$3-G70)*12)/E70,0))</f>
        <v/>
      </c>
      <c r="J8" s="138">
        <f>IF(OR(D70=0,E70=0,F70=0),0,IF(AND(J$3&gt;=G70,J$3&lt;H70),F70*MIN(12,E70-(J$3-G70)*12)/E70,0))</f>
        <v/>
      </c>
      <c r="K8" s="138">
        <f>IF(OR(D70=0,E70=0,F70=0),0,IF(AND(K$3&gt;=G70,K$3&lt;H70),F70*MIN(12,E70-(K$3-G70)*12)/E70,0))</f>
        <v/>
      </c>
      <c r="L8" s="138">
        <f>IF(OR(D70=0,E70=0,F70=0),0,IF(AND(L$3&gt;=G70,L$3&lt;H70),F70*MIN(12,E70-(L$3-G70)*12)/E70,0))</f>
        <v/>
      </c>
      <c r="M8" s="138">
        <f>IF(OR(D70=0,E70=0,F70=0),0,IF(AND(M$3&gt;=G70,M$3&lt;H70),F70*MIN(12,E70-(M$3-G70)*12)/E70,0))</f>
        <v/>
      </c>
      <c r="N8" s="138">
        <f>IF(OR(D70=0,E70=0,F70=0),0,IF(AND(N$3&gt;=G70,N$3&lt;H70),F70*MIN(12,E70-(N$3-G70)*12)/E70,0))</f>
        <v/>
      </c>
      <c r="O8" s="138">
        <f>IF(OR(D70=0,E70=0,F70=0),0,IF(AND(O$3&gt;=G70,O$3&lt;H70),F70*MIN(12,E70-(O$3-G70)*12)/E70,0))</f>
        <v/>
      </c>
      <c r="P8" s="138">
        <f>IF(OR(D70=0,E70=0,F70=0),0,IF(AND(P$3&gt;=G70,P$3&lt;H70),F70*MIN(12,E70-(P$3-G70)*12)/E70,0))</f>
        <v/>
      </c>
      <c r="Q8" s="138">
        <f>IF(OR(D70=0,E70=0,F70=0),0,IF(AND(Q$3&gt;=G70,Q$3&lt;H70),F70*MIN(12,E70-(Q$3-G70)*12)/E70,0))</f>
        <v/>
      </c>
      <c r="R8" s="138">
        <f>IF(OR(D70=0,E70=0,F70=0),0,IF(AND(R$3&gt;=G70,R$3&lt;H70),F70*MIN(12,E70-(R$3-G70)*12)/E70,0))</f>
        <v/>
      </c>
      <c r="S8" s="138">
        <f>IF(OR(D70=0,E70=0,F70=0),0,IF(AND(S$3&gt;=G70,S$3&lt;H70),F70*MIN(12,E70-(S$3-G70)*12)/E70,0))</f>
        <v/>
      </c>
      <c r="T8" s="138">
        <f>IF(OR(D70=0,E70=0,F70=0),0,IF(AND(T$3&gt;=G70,T$3&lt;H70),F70*MIN(12,E70-(T$3-G70)*12)/E70,0))</f>
        <v/>
      </c>
      <c r="U8" s="138">
        <f>IF(OR(D70=0,E70=0,F70=0),0,IF(AND(U$3&gt;=G70,U$3&lt;H70),F70*MIN(12,E70-(U$3-G70)*12)/E70,0))</f>
        <v/>
      </c>
      <c r="V8" s="138">
        <f>IF(OR(D70=0,E70=0,F70=0),0,IF(AND(V$3&gt;=G70,V$3&lt;H70),F70*MIN(12,E70-(V$3-G70)*12)/E70,0))</f>
        <v/>
      </c>
      <c r="W8" s="138">
        <f>IF(OR(D70=0,E70=0,F70=0),0,IF(AND(W$3&gt;=G70,W$3&lt;H70),F70*MIN(12,E70-(W$3-G70)*12)/E70,0))</f>
        <v/>
      </c>
      <c r="X8" s="138">
        <f>IF(OR(D70=0,E70=0,F70=0),0,IF(AND(X$3&gt;=G70,X$3&lt;H70),F70*MIN(12,E70-(X$3-G70)*12)/E70,0))</f>
        <v/>
      </c>
      <c r="Y8" s="138">
        <f>IF(OR(D70=0,E70=0,F70=0),0,IF(AND(Y$3&gt;=G70,Y$3&lt;H70),F70*MIN(12,E70-(Y$3-G70)*12)/E70,0))</f>
        <v/>
      </c>
      <c r="Z8" s="138">
        <f>IF(OR(D70=0,E70=0,F70=0),0,IF(AND(Z$3&gt;=G70,Z$3&lt;H70),F70*MIN(12,E70-(Z$3-G70)*12)/E70,0))</f>
        <v/>
      </c>
      <c r="AA8" s="138">
        <f>IF(OR(D70=0,E70=0,F70=0),0,IF(AND(AA$3&gt;=G70,AA$3&lt;H70),F70*MIN(12,E70-(AA$3-G70)*12)/E70,0))</f>
        <v/>
      </c>
      <c r="AB8" s="138">
        <f>IF(OR(D70=0,E70=0,F70=0),0,IF(AND(AB$3&gt;=G70,AB$3&lt;H70),F70*MIN(12,E70-(AB$3-G70)*12)/E70,0))</f>
        <v/>
      </c>
      <c r="AC8" s="138">
        <f>IF(OR(D70=0,E70=0,F70=0),0,IF(AND(AC$3&gt;=G70,AC$3&lt;H70),F70*MIN(12,E70-(AC$3-G70)*12)/E70,0))</f>
        <v/>
      </c>
      <c r="AD8" s="138">
        <f>IF(OR(D70=0,E70=0,F70=0),0,IF(AND(AD$3&gt;=G70,AD$3&lt;H70),F70*MIN(12,E70-(AD$3-G70)*12)/E70,0))</f>
        <v/>
      </c>
      <c r="AE8" s="138">
        <f>IF(OR(D70=0,E70=0,F70=0),0,IF(AND(AE$3&gt;=G70,AE$3&lt;H70),F70*MIN(12,E70-(AE$3-G70)*12)/E70,0))</f>
        <v/>
      </c>
      <c r="AF8" s="138">
        <f>IF(OR(D70=0,E70=0,F70=0),0,IF(AND(AF$3&gt;=G70,AF$3&lt;H70),F70*MIN(12,E70-(AF$3-G70)*12)/E70,0))</f>
        <v/>
      </c>
      <c r="AG8" s="138">
        <f>IF(OR(D70=0,E70=0,F70=0),0,IF(AND(AG$3&gt;=G70,AG$3&lt;H70),F70*MIN(12,E70-(AG$3-G70)*12)/E70,0))</f>
        <v/>
      </c>
      <c r="AH8" s="138">
        <f>IF(OR(D70=0,E70=0,F70=0),0,IF(AND(AH$3&gt;=G70,AH$3&lt;H70),F70*MIN(12,E70-(AH$3-G70)*12)/E70,0))</f>
        <v/>
      </c>
      <c r="AI8" s="138">
        <f>IF(OR(D70=0,E70=0,F70=0),0,IF(AND(AI$3&gt;=G70,AI$3&lt;H70),F70*MIN(12,E70-(AI$3-G70)*12)/E70,0))</f>
        <v/>
      </c>
      <c r="AJ8" s="138">
        <f>IF(OR(D70=0,E70=0,F70=0),0,IF(AND(AJ$3&gt;=G70,AJ$3&lt;H70),F70*MIN(12,E70-(AJ$3-G70)*12)/E70,0))</f>
        <v/>
      </c>
      <c r="AK8" s="138">
        <f>IF(OR(D70=0,E70=0,F70=0),0,IF(AND(AK$3&gt;=G70,AK$3&lt;H70),F70*MIN(12,E70-(AK$3-G70)*12)/E70,0))</f>
        <v/>
      </c>
      <c r="AL8" s="138">
        <f>IF(OR(D70=0,E70=0,F70=0),0,IF(AND(AL$3&gt;=G70,AL$3&lt;H70),F70*MIN(12,E70-(AL$3-G70)*12)/E70,0))</f>
        <v/>
      </c>
      <c r="AM8" s="138">
        <f>IF(OR(D70=0,E70=0,F70=0),0,IF(AND(AM$3&gt;=G70,AM$3&lt;H70),F70*MIN(12,E70-(AM$3-G70)*12)/E70,0))</f>
        <v/>
      </c>
      <c r="AN8" s="138">
        <f>IF(OR(D70=0,E70=0,F70=0),0,IF(AND(AN$3&gt;=G70,AN$3&lt;H70),F70*MIN(12,E70-(AN$3-G70)*12)/E70,0))</f>
        <v/>
      </c>
      <c r="AO8" s="138">
        <f>IF(OR(D70=0,E70=0,F70=0),0,IF(AND(AO$3&gt;=G70,AO$3&lt;H70),F70*MIN(12,E70-(AO$3-G70)*12)/E70,0))</f>
        <v/>
      </c>
      <c r="AP8" s="138">
        <f>IF(OR(D70=0,E70=0,F70=0),0,IF(AND(AP$3&gt;=G70,AP$3&lt;H70),F70*MIN(12,E70-(AP$3-G70)*12)/E70,0))</f>
        <v/>
      </c>
      <c r="AQ8" s="138">
        <f>IF(OR(D70=0,E70=0,F70=0),0,IF(AND(AQ$3&gt;=G70,AQ$3&lt;H70),F70*MIN(12,E70-(AQ$3-G70)*12)/E70,0))</f>
        <v/>
      </c>
      <c r="AR8" s="138">
        <f>IF(OR(D70=0,E70=0,F70=0),0,IF(AND(AR$3&gt;=G70,AR$3&lt;H70),F70*MIN(12,E70-(AR$3-G70)*12)/E70,0))</f>
        <v/>
      </c>
      <c r="AS8" s="138">
        <f>IF(OR(D70=0,E70=0,F70=0),0,IF(AND(AS$3&gt;=G70,AS$3&lt;H70),F70*MIN(12,E70-(AS$3-G70)*12)/E70,0))</f>
        <v/>
      </c>
      <c r="AT8" s="138">
        <f>IF(OR(D70=0,E70=0,F70=0),0,IF(AND(AT$3&gt;=G70,AT$3&lt;H70),F70*MIN(12,E70-(AT$3-G70)*12)/E70,0))</f>
        <v/>
      </c>
      <c r="AU8" s="138">
        <f>IF(OR(D70=0,E70=0,F70=0),0,IF(AND(AU$3&gt;=G70,AU$3&lt;H70),F70*MIN(12,E70-(AU$3-G70)*12)/E70,0))</f>
        <v/>
      </c>
      <c r="AV8" s="138">
        <f>IF(OR(D70=0,E70=0,F70=0),0,IF(AND(AV$3&gt;=G70,AV$3&lt;H70),F70*MIN(12,E70-(AV$3-G70)*12)/E70,0))</f>
        <v/>
      </c>
      <c r="AW8" s="138">
        <f>IF(OR(D70=0,E70=0,F70=0),0,IF(AND(AW$3&gt;=G70,AW$3&lt;H70),F70*MIN(12,E70-(AW$3-G70)*12)/E70,0))</f>
        <v/>
      </c>
      <c r="AX8" s="138">
        <f>IF(OR(D70=0,E70=0,F70=0),0,IF(AND(AX$3&gt;=G70,AX$3&lt;H70),F70*MIN(12,E70-(AX$3-G70)*12)/E70,0))</f>
        <v/>
      </c>
      <c r="AY8" s="138">
        <f>IF(OR(D70=0,E70=0,F70=0),0,IF(AND(AY$3&gt;=G70,AY$3&lt;H70),F70*MIN(12,E70-(AY$3-G70)*12)/E70,0))</f>
        <v/>
      </c>
      <c r="AZ8" s="138">
        <f>IF(OR(D70=0,E70=0,F70=0),0,IF(AND(AZ$3&gt;=G70,AZ$3&lt;H70),F70*MIN(12,E70-(AZ$3-G70)*12)/E70,0))</f>
        <v/>
      </c>
      <c r="BA8" s="138">
        <f>IF(OR(D70=0,E70=0,F70=0),0,IF(AND(BA$3&gt;=G70,BA$3&lt;H70),F70*MIN(12,E70-(BA$3-G70)*12)/E70,0))</f>
        <v/>
      </c>
      <c r="BB8" s="138">
        <f>IF(OR(D70=0,E70=0,F70=0),0,IF(AND(BB$3&gt;=G70,BB$3&lt;H70),F70*MIN(12,E70-(BB$3-G70)*12)/E70,0))</f>
        <v/>
      </c>
    </row>
    <row r="9" ht="15" customHeight="1" s="91">
      <c r="A9" s="138">
        <f>A71</f>
        <v/>
      </c>
      <c r="B9" s="138">
        <f>B71</f>
        <v/>
      </c>
      <c r="C9" s="138">
        <f>C71</f>
        <v/>
      </c>
      <c r="D9" s="138">
        <f>SUM(E9:BB9)</f>
        <v/>
      </c>
      <c r="E9" s="138">
        <f>IF(OR(D71=0,E71=0,F71=0),0,IF(AND(E$3&gt;=G71,E$3&lt;H71),F71*MIN(12,E71-(E$3-G71)*12)/E71,0))</f>
        <v/>
      </c>
      <c r="F9" s="138">
        <f>IF(OR(D71=0,E71=0,F71=0),0,IF(AND(F$3&gt;=G71,F$3&lt;H71),F71*MIN(12,E71-(F$3-G71)*12)/E71,0))</f>
        <v/>
      </c>
      <c r="G9" s="138">
        <f>IF(OR(D71=0,E71=0,F71=0),0,IF(AND(G$3&gt;=G71,G$3&lt;H71),F71*MIN(12,E71-(G$3-G71)*12)/E71,0))</f>
        <v/>
      </c>
      <c r="H9" s="138">
        <f>IF(OR(D71=0,E71=0,F71=0),0,IF(AND(H$3&gt;=G71,H$3&lt;H71),F71*MIN(12,E71-(H$3-G71)*12)/E71,0))</f>
        <v/>
      </c>
      <c r="I9" s="138">
        <f>IF(OR(D71=0,E71=0,F71=0),0,IF(AND(I$3&gt;=G71,I$3&lt;H71),F71*MIN(12,E71-(I$3-G71)*12)/E71,0))</f>
        <v/>
      </c>
      <c r="J9" s="138">
        <f>IF(OR(D71=0,E71=0,F71=0),0,IF(AND(J$3&gt;=G71,J$3&lt;H71),F71*MIN(12,E71-(J$3-G71)*12)/E71,0))</f>
        <v/>
      </c>
      <c r="K9" s="138">
        <f>IF(OR(D71=0,E71=0,F71=0),0,IF(AND(K$3&gt;=G71,K$3&lt;H71),F71*MIN(12,E71-(K$3-G71)*12)/E71,0))</f>
        <v/>
      </c>
      <c r="L9" s="138">
        <f>IF(OR(D71=0,E71=0,F71=0),0,IF(AND(L$3&gt;=G71,L$3&lt;H71),F71*MIN(12,E71-(L$3-G71)*12)/E71,0))</f>
        <v/>
      </c>
      <c r="M9" s="138">
        <f>IF(OR(D71=0,E71=0,F71=0),0,IF(AND(M$3&gt;=G71,M$3&lt;H71),F71*MIN(12,E71-(M$3-G71)*12)/E71,0))</f>
        <v/>
      </c>
      <c r="N9" s="138">
        <f>IF(OR(D71=0,E71=0,F71=0),0,IF(AND(N$3&gt;=G71,N$3&lt;H71),F71*MIN(12,E71-(N$3-G71)*12)/E71,0))</f>
        <v/>
      </c>
      <c r="O9" s="138">
        <f>IF(OR(D71=0,E71=0,F71=0),0,IF(AND(O$3&gt;=G71,O$3&lt;H71),F71*MIN(12,E71-(O$3-G71)*12)/E71,0))</f>
        <v/>
      </c>
      <c r="P9" s="138">
        <f>IF(OR(D71=0,E71=0,F71=0),0,IF(AND(P$3&gt;=G71,P$3&lt;H71),F71*MIN(12,E71-(P$3-G71)*12)/E71,0))</f>
        <v/>
      </c>
      <c r="Q9" s="138">
        <f>IF(OR(D71=0,E71=0,F71=0),0,IF(AND(Q$3&gt;=G71,Q$3&lt;H71),F71*MIN(12,E71-(Q$3-G71)*12)/E71,0))</f>
        <v/>
      </c>
      <c r="R9" s="138">
        <f>IF(OR(D71=0,E71=0,F71=0),0,IF(AND(R$3&gt;=G71,R$3&lt;H71),F71*MIN(12,E71-(R$3-G71)*12)/E71,0))</f>
        <v/>
      </c>
      <c r="S9" s="138">
        <f>IF(OR(D71=0,E71=0,F71=0),0,IF(AND(S$3&gt;=G71,S$3&lt;H71),F71*MIN(12,E71-(S$3-G71)*12)/E71,0))</f>
        <v/>
      </c>
      <c r="T9" s="138">
        <f>IF(OR(D71=0,E71=0,F71=0),0,IF(AND(T$3&gt;=G71,T$3&lt;H71),F71*MIN(12,E71-(T$3-G71)*12)/E71,0))</f>
        <v/>
      </c>
      <c r="U9" s="138">
        <f>IF(OR(D71=0,E71=0,F71=0),0,IF(AND(U$3&gt;=G71,U$3&lt;H71),F71*MIN(12,E71-(U$3-G71)*12)/E71,0))</f>
        <v/>
      </c>
      <c r="V9" s="138">
        <f>IF(OR(D71=0,E71=0,F71=0),0,IF(AND(V$3&gt;=G71,V$3&lt;H71),F71*MIN(12,E71-(V$3-G71)*12)/E71,0))</f>
        <v/>
      </c>
      <c r="W9" s="138">
        <f>IF(OR(D71=0,E71=0,F71=0),0,IF(AND(W$3&gt;=G71,W$3&lt;H71),F71*MIN(12,E71-(W$3-G71)*12)/E71,0))</f>
        <v/>
      </c>
      <c r="X9" s="138">
        <f>IF(OR(D71=0,E71=0,F71=0),0,IF(AND(X$3&gt;=G71,X$3&lt;H71),F71*MIN(12,E71-(X$3-G71)*12)/E71,0))</f>
        <v/>
      </c>
      <c r="Y9" s="138">
        <f>IF(OR(D71=0,E71=0,F71=0),0,IF(AND(Y$3&gt;=G71,Y$3&lt;H71),F71*MIN(12,E71-(Y$3-G71)*12)/E71,0))</f>
        <v/>
      </c>
      <c r="Z9" s="138">
        <f>IF(OR(D71=0,E71=0,F71=0),0,IF(AND(Z$3&gt;=G71,Z$3&lt;H71),F71*MIN(12,E71-(Z$3-G71)*12)/E71,0))</f>
        <v/>
      </c>
      <c r="AA9" s="138">
        <f>IF(OR(D71=0,E71=0,F71=0),0,IF(AND(AA$3&gt;=G71,AA$3&lt;H71),F71*MIN(12,E71-(AA$3-G71)*12)/E71,0))</f>
        <v/>
      </c>
      <c r="AB9" s="138">
        <f>IF(OR(D71=0,E71=0,F71=0),0,IF(AND(AB$3&gt;=G71,AB$3&lt;H71),F71*MIN(12,E71-(AB$3-G71)*12)/E71,0))</f>
        <v/>
      </c>
      <c r="AC9" s="138">
        <f>IF(OR(D71=0,E71=0,F71=0),0,IF(AND(AC$3&gt;=G71,AC$3&lt;H71),F71*MIN(12,E71-(AC$3-G71)*12)/E71,0))</f>
        <v/>
      </c>
      <c r="AD9" s="138">
        <f>IF(OR(D71=0,E71=0,F71=0),0,IF(AND(AD$3&gt;=G71,AD$3&lt;H71),F71*MIN(12,E71-(AD$3-G71)*12)/E71,0))</f>
        <v/>
      </c>
      <c r="AE9" s="138">
        <f>IF(OR(D71=0,E71=0,F71=0),0,IF(AND(AE$3&gt;=G71,AE$3&lt;H71),F71*MIN(12,E71-(AE$3-G71)*12)/E71,0))</f>
        <v/>
      </c>
      <c r="AF9" s="138">
        <f>IF(OR(D71=0,E71=0,F71=0),0,IF(AND(AF$3&gt;=G71,AF$3&lt;H71),F71*MIN(12,E71-(AF$3-G71)*12)/E71,0))</f>
        <v/>
      </c>
      <c r="AG9" s="138">
        <f>IF(OR(D71=0,E71=0,F71=0),0,IF(AND(AG$3&gt;=G71,AG$3&lt;H71),F71*MIN(12,E71-(AG$3-G71)*12)/E71,0))</f>
        <v/>
      </c>
      <c r="AH9" s="138">
        <f>IF(OR(D71=0,E71=0,F71=0),0,IF(AND(AH$3&gt;=G71,AH$3&lt;H71),F71*MIN(12,E71-(AH$3-G71)*12)/E71,0))</f>
        <v/>
      </c>
      <c r="AI9" s="138">
        <f>IF(OR(D71=0,E71=0,F71=0),0,IF(AND(AI$3&gt;=G71,AI$3&lt;H71),F71*MIN(12,E71-(AI$3-G71)*12)/E71,0))</f>
        <v/>
      </c>
      <c r="AJ9" s="138">
        <f>IF(OR(D71=0,E71=0,F71=0),0,IF(AND(AJ$3&gt;=G71,AJ$3&lt;H71),F71*MIN(12,E71-(AJ$3-G71)*12)/E71,0))</f>
        <v/>
      </c>
      <c r="AK9" s="138">
        <f>IF(OR(D71=0,E71=0,F71=0),0,IF(AND(AK$3&gt;=G71,AK$3&lt;H71),F71*MIN(12,E71-(AK$3-G71)*12)/E71,0))</f>
        <v/>
      </c>
      <c r="AL9" s="138">
        <f>IF(OR(D71=0,E71=0,F71=0),0,IF(AND(AL$3&gt;=G71,AL$3&lt;H71),F71*MIN(12,E71-(AL$3-G71)*12)/E71,0))</f>
        <v/>
      </c>
      <c r="AM9" s="138">
        <f>IF(OR(D71=0,E71=0,F71=0),0,IF(AND(AM$3&gt;=G71,AM$3&lt;H71),F71*MIN(12,E71-(AM$3-G71)*12)/E71,0))</f>
        <v/>
      </c>
      <c r="AN9" s="138">
        <f>IF(OR(D71=0,E71=0,F71=0),0,IF(AND(AN$3&gt;=G71,AN$3&lt;H71),F71*MIN(12,E71-(AN$3-G71)*12)/E71,0))</f>
        <v/>
      </c>
      <c r="AO9" s="138">
        <f>IF(OR(D71=0,E71=0,F71=0),0,IF(AND(AO$3&gt;=G71,AO$3&lt;H71),F71*MIN(12,E71-(AO$3-G71)*12)/E71,0))</f>
        <v/>
      </c>
      <c r="AP9" s="138">
        <f>IF(OR(D71=0,E71=0,F71=0),0,IF(AND(AP$3&gt;=G71,AP$3&lt;H71),F71*MIN(12,E71-(AP$3-G71)*12)/E71,0))</f>
        <v/>
      </c>
      <c r="AQ9" s="138">
        <f>IF(OR(D71=0,E71=0,F71=0),0,IF(AND(AQ$3&gt;=G71,AQ$3&lt;H71),F71*MIN(12,E71-(AQ$3-G71)*12)/E71,0))</f>
        <v/>
      </c>
      <c r="AR9" s="138">
        <f>IF(OR(D71=0,E71=0,F71=0),0,IF(AND(AR$3&gt;=G71,AR$3&lt;H71),F71*MIN(12,E71-(AR$3-G71)*12)/E71,0))</f>
        <v/>
      </c>
      <c r="AS9" s="138">
        <f>IF(OR(D71=0,E71=0,F71=0),0,IF(AND(AS$3&gt;=G71,AS$3&lt;H71),F71*MIN(12,E71-(AS$3-G71)*12)/E71,0))</f>
        <v/>
      </c>
      <c r="AT9" s="138">
        <f>IF(OR(D71=0,E71=0,F71=0),0,IF(AND(AT$3&gt;=G71,AT$3&lt;H71),F71*MIN(12,E71-(AT$3-G71)*12)/E71,0))</f>
        <v/>
      </c>
      <c r="AU9" s="138">
        <f>IF(OR(D71=0,E71=0,F71=0),0,IF(AND(AU$3&gt;=G71,AU$3&lt;H71),F71*MIN(12,E71-(AU$3-G71)*12)/E71,0))</f>
        <v/>
      </c>
      <c r="AV9" s="138">
        <f>IF(OR(D71=0,E71=0,F71=0),0,IF(AND(AV$3&gt;=G71,AV$3&lt;H71),F71*MIN(12,E71-(AV$3-G71)*12)/E71,0))</f>
        <v/>
      </c>
      <c r="AW9" s="138">
        <f>IF(OR(D71=0,E71=0,F71=0),0,IF(AND(AW$3&gt;=G71,AW$3&lt;H71),F71*MIN(12,E71-(AW$3-G71)*12)/E71,0))</f>
        <v/>
      </c>
      <c r="AX9" s="138">
        <f>IF(OR(D71=0,E71=0,F71=0),0,IF(AND(AX$3&gt;=G71,AX$3&lt;H71),F71*MIN(12,E71-(AX$3-G71)*12)/E71,0))</f>
        <v/>
      </c>
      <c r="AY9" s="138">
        <f>IF(OR(D71=0,E71=0,F71=0),0,IF(AND(AY$3&gt;=G71,AY$3&lt;H71),F71*MIN(12,E71-(AY$3-G71)*12)/E71,0))</f>
        <v/>
      </c>
      <c r="AZ9" s="138">
        <f>IF(OR(D71=0,E71=0,F71=0),0,IF(AND(AZ$3&gt;=G71,AZ$3&lt;H71),F71*MIN(12,E71-(AZ$3-G71)*12)/E71,0))</f>
        <v/>
      </c>
      <c r="BA9" s="138">
        <f>IF(OR(D71=0,E71=0,F71=0),0,IF(AND(BA$3&gt;=G71,BA$3&lt;H71),F71*MIN(12,E71-(BA$3-G71)*12)/E71,0))</f>
        <v/>
      </c>
      <c r="BB9" s="138">
        <f>IF(OR(D71=0,E71=0,F71=0),0,IF(AND(BB$3&gt;=G71,BB$3&lt;H71),F71*MIN(12,E71-(BB$3-G71)*12)/E71,0))</f>
        <v/>
      </c>
    </row>
    <row r="10" ht="15" customHeight="1" s="91">
      <c r="A10" s="138">
        <f>A72</f>
        <v/>
      </c>
      <c r="B10" s="138">
        <f>B72</f>
        <v/>
      </c>
      <c r="C10" s="138">
        <f>C72</f>
        <v/>
      </c>
      <c r="D10" s="138">
        <f>SUM(E10:BB10)</f>
        <v/>
      </c>
      <c r="E10" s="138">
        <f>IF(OR(D72=0,E72=0,F72=0),0,IF(AND(E$3&gt;=G72,E$3&lt;H72),F72*MIN(12,E72-(E$3-G72)*12)/E72,0))</f>
        <v/>
      </c>
      <c r="F10" s="138">
        <f>IF(OR(D72=0,E72=0,F72=0),0,IF(AND(F$3&gt;=G72,F$3&lt;H72),F72*MIN(12,E72-(F$3-G72)*12)/E72,0))</f>
        <v/>
      </c>
      <c r="G10" s="138">
        <f>IF(OR(D72=0,E72=0,F72=0),0,IF(AND(G$3&gt;=G72,G$3&lt;H72),F72*MIN(12,E72-(G$3-G72)*12)/E72,0))</f>
        <v/>
      </c>
      <c r="H10" s="138">
        <f>IF(OR(D72=0,E72=0,F72=0),0,IF(AND(H$3&gt;=G72,H$3&lt;H72),F72*MIN(12,E72-(H$3-G72)*12)/E72,0))</f>
        <v/>
      </c>
      <c r="I10" s="138">
        <f>IF(OR(D72=0,E72=0,F72=0),0,IF(AND(I$3&gt;=G72,I$3&lt;H72),F72*MIN(12,E72-(I$3-G72)*12)/E72,0))</f>
        <v/>
      </c>
      <c r="J10" s="138">
        <f>IF(OR(D72=0,E72=0,F72=0),0,IF(AND(J$3&gt;=G72,J$3&lt;H72),F72*MIN(12,E72-(J$3-G72)*12)/E72,0))</f>
        <v/>
      </c>
      <c r="K10" s="138">
        <f>IF(OR(D72=0,E72=0,F72=0),0,IF(AND(K$3&gt;=G72,K$3&lt;H72),F72*MIN(12,E72-(K$3-G72)*12)/E72,0))</f>
        <v/>
      </c>
      <c r="L10" s="138">
        <f>IF(OR(D72=0,E72=0,F72=0),0,IF(AND(L$3&gt;=G72,L$3&lt;H72),F72*MIN(12,E72-(L$3-G72)*12)/E72,0))</f>
        <v/>
      </c>
      <c r="M10" s="138">
        <f>IF(OR(D72=0,E72=0,F72=0),0,IF(AND(M$3&gt;=G72,M$3&lt;H72),F72*MIN(12,E72-(M$3-G72)*12)/E72,0))</f>
        <v/>
      </c>
      <c r="N10" s="138">
        <f>IF(OR(D72=0,E72=0,F72=0),0,IF(AND(N$3&gt;=G72,N$3&lt;H72),F72*MIN(12,E72-(N$3-G72)*12)/E72,0))</f>
        <v/>
      </c>
      <c r="O10" s="138">
        <f>IF(OR(D72=0,E72=0,F72=0),0,IF(AND(O$3&gt;=G72,O$3&lt;H72),F72*MIN(12,E72-(O$3-G72)*12)/E72,0))</f>
        <v/>
      </c>
      <c r="P10" s="138">
        <f>IF(OR(D72=0,E72=0,F72=0),0,IF(AND(P$3&gt;=G72,P$3&lt;H72),F72*MIN(12,E72-(P$3-G72)*12)/E72,0))</f>
        <v/>
      </c>
      <c r="Q10" s="138">
        <f>IF(OR(D72=0,E72=0,F72=0),0,IF(AND(Q$3&gt;=G72,Q$3&lt;H72),F72*MIN(12,E72-(Q$3-G72)*12)/E72,0))</f>
        <v/>
      </c>
      <c r="R10" s="138">
        <f>IF(OR(D72=0,E72=0,F72=0),0,IF(AND(R$3&gt;=G72,R$3&lt;H72),F72*MIN(12,E72-(R$3-G72)*12)/E72,0))</f>
        <v/>
      </c>
      <c r="S10" s="138">
        <f>IF(OR(D72=0,E72=0,F72=0),0,IF(AND(S$3&gt;=G72,S$3&lt;H72),F72*MIN(12,E72-(S$3-G72)*12)/E72,0))</f>
        <v/>
      </c>
      <c r="T10" s="138">
        <f>IF(OR(D72=0,E72=0,F72=0),0,IF(AND(T$3&gt;=G72,T$3&lt;H72),F72*MIN(12,E72-(T$3-G72)*12)/E72,0))</f>
        <v/>
      </c>
      <c r="U10" s="138">
        <f>IF(OR(D72=0,E72=0,F72=0),0,IF(AND(U$3&gt;=G72,U$3&lt;H72),F72*MIN(12,E72-(U$3-G72)*12)/E72,0))</f>
        <v/>
      </c>
      <c r="V10" s="138">
        <f>IF(OR(D72=0,E72=0,F72=0),0,IF(AND(V$3&gt;=G72,V$3&lt;H72),F72*MIN(12,E72-(V$3-G72)*12)/E72,0))</f>
        <v/>
      </c>
      <c r="W10" s="138">
        <f>IF(OR(D72=0,E72=0,F72=0),0,IF(AND(W$3&gt;=G72,W$3&lt;H72),F72*MIN(12,E72-(W$3-G72)*12)/E72,0))</f>
        <v/>
      </c>
      <c r="X10" s="138">
        <f>IF(OR(D72=0,E72=0,F72=0),0,IF(AND(X$3&gt;=G72,X$3&lt;H72),F72*MIN(12,E72-(X$3-G72)*12)/E72,0))</f>
        <v/>
      </c>
      <c r="Y10" s="138">
        <f>IF(OR(D72=0,E72=0,F72=0),0,IF(AND(Y$3&gt;=G72,Y$3&lt;H72),F72*MIN(12,E72-(Y$3-G72)*12)/E72,0))</f>
        <v/>
      </c>
      <c r="Z10" s="138">
        <f>IF(OR(D72=0,E72=0,F72=0),0,IF(AND(Z$3&gt;=G72,Z$3&lt;H72),F72*MIN(12,E72-(Z$3-G72)*12)/E72,0))</f>
        <v/>
      </c>
      <c r="AA10" s="138">
        <f>IF(OR(D72=0,E72=0,F72=0),0,IF(AND(AA$3&gt;=G72,AA$3&lt;H72),F72*MIN(12,E72-(AA$3-G72)*12)/E72,0))</f>
        <v/>
      </c>
      <c r="AB10" s="138">
        <f>IF(OR(D72=0,E72=0,F72=0),0,IF(AND(AB$3&gt;=G72,AB$3&lt;H72),F72*MIN(12,E72-(AB$3-G72)*12)/E72,0))</f>
        <v/>
      </c>
      <c r="AC10" s="138">
        <f>IF(OR(D72=0,E72=0,F72=0),0,IF(AND(AC$3&gt;=G72,AC$3&lt;H72),F72*MIN(12,E72-(AC$3-G72)*12)/E72,0))</f>
        <v/>
      </c>
      <c r="AD10" s="138">
        <f>IF(OR(D72=0,E72=0,F72=0),0,IF(AND(AD$3&gt;=G72,AD$3&lt;H72),F72*MIN(12,E72-(AD$3-G72)*12)/E72,0))</f>
        <v/>
      </c>
      <c r="AE10" s="138">
        <f>IF(OR(D72=0,E72=0,F72=0),0,IF(AND(AE$3&gt;=G72,AE$3&lt;H72),F72*MIN(12,E72-(AE$3-G72)*12)/E72,0))</f>
        <v/>
      </c>
      <c r="AF10" s="138">
        <f>IF(OR(D72=0,E72=0,F72=0),0,IF(AND(AF$3&gt;=G72,AF$3&lt;H72),F72*MIN(12,E72-(AF$3-G72)*12)/E72,0))</f>
        <v/>
      </c>
      <c r="AG10" s="138">
        <f>IF(OR(D72=0,E72=0,F72=0),0,IF(AND(AG$3&gt;=G72,AG$3&lt;H72),F72*MIN(12,E72-(AG$3-G72)*12)/E72,0))</f>
        <v/>
      </c>
      <c r="AH10" s="138">
        <f>IF(OR(D72=0,E72=0,F72=0),0,IF(AND(AH$3&gt;=G72,AH$3&lt;H72),F72*MIN(12,E72-(AH$3-G72)*12)/E72,0))</f>
        <v/>
      </c>
      <c r="AI10" s="138">
        <f>IF(OR(D72=0,E72=0,F72=0),0,IF(AND(AI$3&gt;=G72,AI$3&lt;H72),F72*MIN(12,E72-(AI$3-G72)*12)/E72,0))</f>
        <v/>
      </c>
      <c r="AJ10" s="138">
        <f>IF(OR(D72=0,E72=0,F72=0),0,IF(AND(AJ$3&gt;=G72,AJ$3&lt;H72),F72*MIN(12,E72-(AJ$3-G72)*12)/E72,0))</f>
        <v/>
      </c>
      <c r="AK10" s="138">
        <f>IF(OR(D72=0,E72=0,F72=0),0,IF(AND(AK$3&gt;=G72,AK$3&lt;H72),F72*MIN(12,E72-(AK$3-G72)*12)/E72,0))</f>
        <v/>
      </c>
      <c r="AL10" s="138">
        <f>IF(OR(D72=0,E72=0,F72=0),0,IF(AND(AL$3&gt;=G72,AL$3&lt;H72),F72*MIN(12,E72-(AL$3-G72)*12)/E72,0))</f>
        <v/>
      </c>
      <c r="AM10" s="138">
        <f>IF(OR(D72=0,E72=0,F72=0),0,IF(AND(AM$3&gt;=G72,AM$3&lt;H72),F72*MIN(12,E72-(AM$3-G72)*12)/E72,0))</f>
        <v/>
      </c>
      <c r="AN10" s="138">
        <f>IF(OR(D72=0,E72=0,F72=0),0,IF(AND(AN$3&gt;=G72,AN$3&lt;H72),F72*MIN(12,E72-(AN$3-G72)*12)/E72,0))</f>
        <v/>
      </c>
      <c r="AO10" s="138">
        <f>IF(OR(D72=0,E72=0,F72=0),0,IF(AND(AO$3&gt;=G72,AO$3&lt;H72),F72*MIN(12,E72-(AO$3-G72)*12)/E72,0))</f>
        <v/>
      </c>
      <c r="AP10" s="138">
        <f>IF(OR(D72=0,E72=0,F72=0),0,IF(AND(AP$3&gt;=G72,AP$3&lt;H72),F72*MIN(12,E72-(AP$3-G72)*12)/E72,0))</f>
        <v/>
      </c>
      <c r="AQ10" s="138">
        <f>IF(OR(D72=0,E72=0,F72=0),0,IF(AND(AQ$3&gt;=G72,AQ$3&lt;H72),F72*MIN(12,E72-(AQ$3-G72)*12)/E72,0))</f>
        <v/>
      </c>
      <c r="AR10" s="138">
        <f>IF(OR(D72=0,E72=0,F72=0),0,IF(AND(AR$3&gt;=G72,AR$3&lt;H72),F72*MIN(12,E72-(AR$3-G72)*12)/E72,0))</f>
        <v/>
      </c>
      <c r="AS10" s="138">
        <f>IF(OR(D72=0,E72=0,F72=0),0,IF(AND(AS$3&gt;=G72,AS$3&lt;H72),F72*MIN(12,E72-(AS$3-G72)*12)/E72,0))</f>
        <v/>
      </c>
      <c r="AT10" s="138">
        <f>IF(OR(D72=0,E72=0,F72=0),0,IF(AND(AT$3&gt;=G72,AT$3&lt;H72),F72*MIN(12,E72-(AT$3-G72)*12)/E72,0))</f>
        <v/>
      </c>
      <c r="AU10" s="138">
        <f>IF(OR(D72=0,E72=0,F72=0),0,IF(AND(AU$3&gt;=G72,AU$3&lt;H72),F72*MIN(12,E72-(AU$3-G72)*12)/E72,0))</f>
        <v/>
      </c>
      <c r="AV10" s="138">
        <f>IF(OR(D72=0,E72=0,F72=0),0,IF(AND(AV$3&gt;=G72,AV$3&lt;H72),F72*MIN(12,E72-(AV$3-G72)*12)/E72,0))</f>
        <v/>
      </c>
      <c r="AW10" s="138">
        <f>IF(OR(D72=0,E72=0,F72=0),0,IF(AND(AW$3&gt;=G72,AW$3&lt;H72),F72*MIN(12,E72-(AW$3-G72)*12)/E72,0))</f>
        <v/>
      </c>
      <c r="AX10" s="138">
        <f>IF(OR(D72=0,E72=0,F72=0),0,IF(AND(AX$3&gt;=G72,AX$3&lt;H72),F72*MIN(12,E72-(AX$3-G72)*12)/E72,0))</f>
        <v/>
      </c>
      <c r="AY10" s="138">
        <f>IF(OR(D72=0,E72=0,F72=0),0,IF(AND(AY$3&gt;=G72,AY$3&lt;H72),F72*MIN(12,E72-(AY$3-G72)*12)/E72,0))</f>
        <v/>
      </c>
      <c r="AZ10" s="138">
        <f>IF(OR(D72=0,E72=0,F72=0),0,IF(AND(AZ$3&gt;=G72,AZ$3&lt;H72),F72*MIN(12,E72-(AZ$3-G72)*12)/E72,0))</f>
        <v/>
      </c>
      <c r="BA10" s="138">
        <f>IF(OR(D72=0,E72=0,F72=0),0,IF(AND(BA$3&gt;=G72,BA$3&lt;H72),F72*MIN(12,E72-(BA$3-G72)*12)/E72,0))</f>
        <v/>
      </c>
      <c r="BB10" s="138">
        <f>IF(OR(D72=0,E72=0,F72=0),0,IF(AND(BB$3&gt;=G72,BB$3&lt;H72),F72*MIN(12,E72-(BB$3-G72)*12)/E72,0))</f>
        <v/>
      </c>
    </row>
    <row r="11" ht="15" customHeight="1" s="91">
      <c r="A11" s="138">
        <f>A73</f>
        <v/>
      </c>
      <c r="B11" s="138">
        <f>B73</f>
        <v/>
      </c>
      <c r="C11" s="138">
        <f>C73</f>
        <v/>
      </c>
      <c r="D11" s="138">
        <f>SUM(E11:BB11)</f>
        <v/>
      </c>
      <c r="E11" s="138">
        <f>IF(OR(D73=0,E73=0,F73=0),0,IF(AND(E$3&gt;=G73,E$3&lt;H73),F73*MIN(12,E73-(E$3-G73)*12)/E73,0))</f>
        <v/>
      </c>
      <c r="F11" s="138">
        <f>IF(OR(D73=0,E73=0,F73=0),0,IF(AND(F$3&gt;=G73,F$3&lt;H73),F73*MIN(12,E73-(F$3-G73)*12)/E73,0))</f>
        <v/>
      </c>
      <c r="G11" s="138">
        <f>IF(OR(D73=0,E73=0,F73=0),0,IF(AND(G$3&gt;=G73,G$3&lt;H73),F73*MIN(12,E73-(G$3-G73)*12)/E73,0))</f>
        <v/>
      </c>
      <c r="H11" s="138">
        <f>IF(OR(D73=0,E73=0,F73=0),0,IF(AND(H$3&gt;=G73,H$3&lt;H73),F73*MIN(12,E73-(H$3-G73)*12)/E73,0))</f>
        <v/>
      </c>
      <c r="I11" s="138">
        <f>IF(OR(D73=0,E73=0,F73=0),0,IF(AND(I$3&gt;=G73,I$3&lt;H73),F73*MIN(12,E73-(I$3-G73)*12)/E73,0))</f>
        <v/>
      </c>
      <c r="J11" s="138">
        <f>IF(OR(D73=0,E73=0,F73=0),0,IF(AND(J$3&gt;=G73,J$3&lt;H73),F73*MIN(12,E73-(J$3-G73)*12)/E73,0))</f>
        <v/>
      </c>
      <c r="K11" s="138">
        <f>IF(OR(D73=0,E73=0,F73=0),0,IF(AND(K$3&gt;=G73,K$3&lt;H73),F73*MIN(12,E73-(K$3-G73)*12)/E73,0))</f>
        <v/>
      </c>
      <c r="L11" s="138">
        <f>IF(OR(D73=0,E73=0,F73=0),0,IF(AND(L$3&gt;=G73,L$3&lt;H73),F73*MIN(12,E73-(L$3-G73)*12)/E73,0))</f>
        <v/>
      </c>
      <c r="M11" s="138">
        <f>IF(OR(D73=0,E73=0,F73=0),0,IF(AND(M$3&gt;=G73,M$3&lt;H73),F73*MIN(12,E73-(M$3-G73)*12)/E73,0))</f>
        <v/>
      </c>
      <c r="N11" s="138">
        <f>IF(OR(D73=0,E73=0,F73=0),0,IF(AND(N$3&gt;=G73,N$3&lt;H73),F73*MIN(12,E73-(N$3-G73)*12)/E73,0))</f>
        <v/>
      </c>
      <c r="O11" s="138">
        <f>IF(OR(D73=0,E73=0,F73=0),0,IF(AND(O$3&gt;=G73,O$3&lt;H73),F73*MIN(12,E73-(O$3-G73)*12)/E73,0))</f>
        <v/>
      </c>
      <c r="P11" s="138">
        <f>IF(OR(D73=0,E73=0,F73=0),0,IF(AND(P$3&gt;=G73,P$3&lt;H73),F73*MIN(12,E73-(P$3-G73)*12)/E73,0))</f>
        <v/>
      </c>
      <c r="Q11" s="138">
        <f>IF(OR(D73=0,E73=0,F73=0),0,IF(AND(Q$3&gt;=G73,Q$3&lt;H73),F73*MIN(12,E73-(Q$3-G73)*12)/E73,0))</f>
        <v/>
      </c>
      <c r="R11" s="138">
        <f>IF(OR(D73=0,E73=0,F73=0),0,IF(AND(R$3&gt;=G73,R$3&lt;H73),F73*MIN(12,E73-(R$3-G73)*12)/E73,0))</f>
        <v/>
      </c>
      <c r="S11" s="138">
        <f>IF(OR(D73=0,E73=0,F73=0),0,IF(AND(S$3&gt;=G73,S$3&lt;H73),F73*MIN(12,E73-(S$3-G73)*12)/E73,0))</f>
        <v/>
      </c>
      <c r="T11" s="138">
        <f>IF(OR(D73=0,E73=0,F73=0),0,IF(AND(T$3&gt;=G73,T$3&lt;H73),F73*MIN(12,E73-(T$3-G73)*12)/E73,0))</f>
        <v/>
      </c>
      <c r="U11" s="138">
        <f>IF(OR(D73=0,E73=0,F73=0),0,IF(AND(U$3&gt;=G73,U$3&lt;H73),F73*MIN(12,E73-(U$3-G73)*12)/E73,0))</f>
        <v/>
      </c>
      <c r="V11" s="138">
        <f>IF(OR(D73=0,E73=0,F73=0),0,IF(AND(V$3&gt;=G73,V$3&lt;H73),F73*MIN(12,E73-(V$3-G73)*12)/E73,0))</f>
        <v/>
      </c>
      <c r="W11" s="138">
        <f>IF(OR(D73=0,E73=0,F73=0),0,IF(AND(W$3&gt;=G73,W$3&lt;H73),F73*MIN(12,E73-(W$3-G73)*12)/E73,0))</f>
        <v/>
      </c>
      <c r="X11" s="138">
        <f>IF(OR(D73=0,E73=0,F73=0),0,IF(AND(X$3&gt;=G73,X$3&lt;H73),F73*MIN(12,E73-(X$3-G73)*12)/E73,0))</f>
        <v/>
      </c>
      <c r="Y11" s="138">
        <f>IF(OR(D73=0,E73=0,F73=0),0,IF(AND(Y$3&gt;=G73,Y$3&lt;H73),F73*MIN(12,E73-(Y$3-G73)*12)/E73,0))</f>
        <v/>
      </c>
      <c r="Z11" s="138">
        <f>IF(OR(D73=0,E73=0,F73=0),0,IF(AND(Z$3&gt;=G73,Z$3&lt;H73),F73*MIN(12,E73-(Z$3-G73)*12)/E73,0))</f>
        <v/>
      </c>
      <c r="AA11" s="138">
        <f>IF(OR(D73=0,E73=0,F73=0),0,IF(AND(AA$3&gt;=G73,AA$3&lt;H73),F73*MIN(12,E73-(AA$3-G73)*12)/E73,0))</f>
        <v/>
      </c>
      <c r="AB11" s="138">
        <f>IF(OR(D73=0,E73=0,F73=0),0,IF(AND(AB$3&gt;=G73,AB$3&lt;H73),F73*MIN(12,E73-(AB$3-G73)*12)/E73,0))</f>
        <v/>
      </c>
      <c r="AC11" s="138">
        <f>IF(OR(D73=0,E73=0,F73=0),0,IF(AND(AC$3&gt;=G73,AC$3&lt;H73),F73*MIN(12,E73-(AC$3-G73)*12)/E73,0))</f>
        <v/>
      </c>
      <c r="AD11" s="138">
        <f>IF(OR(D73=0,E73=0,F73=0),0,IF(AND(AD$3&gt;=G73,AD$3&lt;H73),F73*MIN(12,E73-(AD$3-G73)*12)/E73,0))</f>
        <v/>
      </c>
      <c r="AE11" s="138">
        <f>IF(OR(D73=0,E73=0,F73=0),0,IF(AND(AE$3&gt;=G73,AE$3&lt;H73),F73*MIN(12,E73-(AE$3-G73)*12)/E73,0))</f>
        <v/>
      </c>
      <c r="AF11" s="138">
        <f>IF(OR(D73=0,E73=0,F73=0),0,IF(AND(AF$3&gt;=G73,AF$3&lt;H73),F73*MIN(12,E73-(AF$3-G73)*12)/E73,0))</f>
        <v/>
      </c>
      <c r="AG11" s="138">
        <f>IF(OR(D73=0,E73=0,F73=0),0,IF(AND(AG$3&gt;=G73,AG$3&lt;H73),F73*MIN(12,E73-(AG$3-G73)*12)/E73,0))</f>
        <v/>
      </c>
      <c r="AH11" s="138">
        <f>IF(OR(D73=0,E73=0,F73=0),0,IF(AND(AH$3&gt;=G73,AH$3&lt;H73),F73*MIN(12,E73-(AH$3-G73)*12)/E73,0))</f>
        <v/>
      </c>
      <c r="AI11" s="138">
        <f>IF(OR(D73=0,E73=0,F73=0),0,IF(AND(AI$3&gt;=G73,AI$3&lt;H73),F73*MIN(12,E73-(AI$3-G73)*12)/E73,0))</f>
        <v/>
      </c>
      <c r="AJ11" s="138">
        <f>IF(OR(D73=0,E73=0,F73=0),0,IF(AND(AJ$3&gt;=G73,AJ$3&lt;H73),F73*MIN(12,E73-(AJ$3-G73)*12)/E73,0))</f>
        <v/>
      </c>
      <c r="AK11" s="138">
        <f>IF(OR(D73=0,E73=0,F73=0),0,IF(AND(AK$3&gt;=G73,AK$3&lt;H73),F73*MIN(12,E73-(AK$3-G73)*12)/E73,0))</f>
        <v/>
      </c>
      <c r="AL11" s="138">
        <f>IF(OR(D73=0,E73=0,F73=0),0,IF(AND(AL$3&gt;=G73,AL$3&lt;H73),F73*MIN(12,E73-(AL$3-G73)*12)/E73,0))</f>
        <v/>
      </c>
      <c r="AM11" s="138">
        <f>IF(OR(D73=0,E73=0,F73=0),0,IF(AND(AM$3&gt;=G73,AM$3&lt;H73),F73*MIN(12,E73-(AM$3-G73)*12)/E73,0))</f>
        <v/>
      </c>
      <c r="AN11" s="138">
        <f>IF(OR(D73=0,E73=0,F73=0),0,IF(AND(AN$3&gt;=G73,AN$3&lt;H73),F73*MIN(12,E73-(AN$3-G73)*12)/E73,0))</f>
        <v/>
      </c>
      <c r="AO11" s="138">
        <f>IF(OR(D73=0,E73=0,F73=0),0,IF(AND(AO$3&gt;=G73,AO$3&lt;H73),F73*MIN(12,E73-(AO$3-G73)*12)/E73,0))</f>
        <v/>
      </c>
      <c r="AP11" s="138">
        <f>IF(OR(D73=0,E73=0,F73=0),0,IF(AND(AP$3&gt;=G73,AP$3&lt;H73),F73*MIN(12,E73-(AP$3-G73)*12)/E73,0))</f>
        <v/>
      </c>
      <c r="AQ11" s="138">
        <f>IF(OR(D73=0,E73=0,F73=0),0,IF(AND(AQ$3&gt;=G73,AQ$3&lt;H73),F73*MIN(12,E73-(AQ$3-G73)*12)/E73,0))</f>
        <v/>
      </c>
      <c r="AR11" s="138">
        <f>IF(OR(D73=0,E73=0,F73=0),0,IF(AND(AR$3&gt;=G73,AR$3&lt;H73),F73*MIN(12,E73-(AR$3-G73)*12)/E73,0))</f>
        <v/>
      </c>
      <c r="AS11" s="138">
        <f>IF(OR(D73=0,E73=0,F73=0),0,IF(AND(AS$3&gt;=G73,AS$3&lt;H73),F73*MIN(12,E73-(AS$3-G73)*12)/E73,0))</f>
        <v/>
      </c>
      <c r="AT11" s="138">
        <f>IF(OR(D73=0,E73=0,F73=0),0,IF(AND(AT$3&gt;=G73,AT$3&lt;H73),F73*MIN(12,E73-(AT$3-G73)*12)/E73,0))</f>
        <v/>
      </c>
      <c r="AU11" s="138">
        <f>IF(OR(D73=0,E73=0,F73=0),0,IF(AND(AU$3&gt;=G73,AU$3&lt;H73),F73*MIN(12,E73-(AU$3-G73)*12)/E73,0))</f>
        <v/>
      </c>
      <c r="AV11" s="138">
        <f>IF(OR(D73=0,E73=0,F73=0),0,IF(AND(AV$3&gt;=G73,AV$3&lt;H73),F73*MIN(12,E73-(AV$3-G73)*12)/E73,0))</f>
        <v/>
      </c>
      <c r="AW11" s="138">
        <f>IF(OR(D73=0,E73=0,F73=0),0,IF(AND(AW$3&gt;=G73,AW$3&lt;H73),F73*MIN(12,E73-(AW$3-G73)*12)/E73,0))</f>
        <v/>
      </c>
      <c r="AX11" s="138">
        <f>IF(OR(D73=0,E73=0,F73=0),0,IF(AND(AX$3&gt;=G73,AX$3&lt;H73),F73*MIN(12,E73-(AX$3-G73)*12)/E73,0))</f>
        <v/>
      </c>
      <c r="AY11" s="138">
        <f>IF(OR(D73=0,E73=0,F73=0),0,IF(AND(AY$3&gt;=G73,AY$3&lt;H73),F73*MIN(12,E73-(AY$3-G73)*12)/E73,0))</f>
        <v/>
      </c>
      <c r="AZ11" s="138">
        <f>IF(OR(D73=0,E73=0,F73=0),0,IF(AND(AZ$3&gt;=G73,AZ$3&lt;H73),F73*MIN(12,E73-(AZ$3-G73)*12)/E73,0))</f>
        <v/>
      </c>
      <c r="BA11" s="138">
        <f>IF(OR(D73=0,E73=0,F73=0),0,IF(AND(BA$3&gt;=G73,BA$3&lt;H73),F73*MIN(12,E73-(BA$3-G73)*12)/E73,0))</f>
        <v/>
      </c>
      <c r="BB11" s="138">
        <f>IF(OR(D73=0,E73=0,F73=0),0,IF(AND(BB$3&gt;=G73,BB$3&lt;H73),F73*MIN(12,E73-(BB$3-G73)*12)/E73,0))</f>
        <v/>
      </c>
    </row>
    <row r="12" ht="15" customHeight="1" s="91">
      <c r="A12" s="138">
        <f>A74</f>
        <v/>
      </c>
      <c r="B12" s="138">
        <f>B74</f>
        <v/>
      </c>
      <c r="C12" s="138">
        <f>C74</f>
        <v/>
      </c>
      <c r="D12" s="138">
        <f>SUM(E12:BB12)</f>
        <v/>
      </c>
      <c r="E12" s="138">
        <f>IF(OR(D74=0,E74=0,F74=0),0,IF(AND(E$3&gt;=G74,E$3&lt;H74),F74*MIN(12,E74-(E$3-G74)*12)/E74,0))</f>
        <v/>
      </c>
      <c r="F12" s="138">
        <f>IF(OR(D74=0,E74=0,F74=0),0,IF(AND(F$3&gt;=G74,F$3&lt;H74),F74*MIN(12,E74-(F$3-G74)*12)/E74,0))</f>
        <v/>
      </c>
      <c r="G12" s="138">
        <f>IF(OR(D74=0,E74=0,F74=0),0,IF(AND(G$3&gt;=G74,G$3&lt;H74),F74*MIN(12,E74-(G$3-G74)*12)/E74,0))</f>
        <v/>
      </c>
      <c r="H12" s="138">
        <f>IF(OR(D74=0,E74=0,F74=0),0,IF(AND(H$3&gt;=G74,H$3&lt;H74),F74*MIN(12,E74-(H$3-G74)*12)/E74,0))</f>
        <v/>
      </c>
      <c r="I12" s="138">
        <f>IF(OR(D74=0,E74=0,F74=0),0,IF(AND(I$3&gt;=G74,I$3&lt;H74),F74*MIN(12,E74-(I$3-G74)*12)/E74,0))</f>
        <v/>
      </c>
      <c r="J12" s="138">
        <f>IF(OR(D74=0,E74=0,F74=0),0,IF(AND(J$3&gt;=G74,J$3&lt;H74),F74*MIN(12,E74-(J$3-G74)*12)/E74,0))</f>
        <v/>
      </c>
      <c r="K12" s="138">
        <f>IF(OR(D74=0,E74=0,F74=0),0,IF(AND(K$3&gt;=G74,K$3&lt;H74),F74*MIN(12,E74-(K$3-G74)*12)/E74,0))</f>
        <v/>
      </c>
      <c r="L12" s="138">
        <f>IF(OR(D74=0,E74=0,F74=0),0,IF(AND(L$3&gt;=G74,L$3&lt;H74),F74*MIN(12,E74-(L$3-G74)*12)/E74,0))</f>
        <v/>
      </c>
      <c r="M12" s="138">
        <f>IF(OR(D74=0,E74=0,F74=0),0,IF(AND(M$3&gt;=G74,M$3&lt;H74),F74*MIN(12,E74-(M$3-G74)*12)/E74,0))</f>
        <v/>
      </c>
      <c r="N12" s="138">
        <f>IF(OR(D74=0,E74=0,F74=0),0,IF(AND(N$3&gt;=G74,N$3&lt;H74),F74*MIN(12,E74-(N$3-G74)*12)/E74,0))</f>
        <v/>
      </c>
      <c r="O12" s="138">
        <f>IF(OR(D74=0,E74=0,F74=0),0,IF(AND(O$3&gt;=G74,O$3&lt;H74),F74*MIN(12,E74-(O$3-G74)*12)/E74,0))</f>
        <v/>
      </c>
      <c r="P12" s="138">
        <f>IF(OR(D74=0,E74=0,F74=0),0,IF(AND(P$3&gt;=G74,P$3&lt;H74),F74*MIN(12,E74-(P$3-G74)*12)/E74,0))</f>
        <v/>
      </c>
      <c r="Q12" s="138">
        <f>IF(OR(D74=0,E74=0,F74=0),0,IF(AND(Q$3&gt;=G74,Q$3&lt;H74),F74*MIN(12,E74-(Q$3-G74)*12)/E74,0))</f>
        <v/>
      </c>
      <c r="R12" s="138">
        <f>IF(OR(D74=0,E74=0,F74=0),0,IF(AND(R$3&gt;=G74,R$3&lt;H74),F74*MIN(12,E74-(R$3-G74)*12)/E74,0))</f>
        <v/>
      </c>
      <c r="S12" s="138">
        <f>IF(OR(D74=0,E74=0,F74=0),0,IF(AND(S$3&gt;=G74,S$3&lt;H74),F74*MIN(12,E74-(S$3-G74)*12)/E74,0))</f>
        <v/>
      </c>
      <c r="T12" s="138">
        <f>IF(OR(D74=0,E74=0,F74=0),0,IF(AND(T$3&gt;=G74,T$3&lt;H74),F74*MIN(12,E74-(T$3-G74)*12)/E74,0))</f>
        <v/>
      </c>
      <c r="U12" s="138">
        <f>IF(OR(D74=0,E74=0,F74=0),0,IF(AND(U$3&gt;=G74,U$3&lt;H74),F74*MIN(12,E74-(U$3-G74)*12)/E74,0))</f>
        <v/>
      </c>
      <c r="V12" s="138">
        <f>IF(OR(D74=0,E74=0,F74=0),0,IF(AND(V$3&gt;=G74,V$3&lt;H74),F74*MIN(12,E74-(V$3-G74)*12)/E74,0))</f>
        <v/>
      </c>
      <c r="W12" s="138">
        <f>IF(OR(D74=0,E74=0,F74=0),0,IF(AND(W$3&gt;=G74,W$3&lt;H74),F74*MIN(12,E74-(W$3-G74)*12)/E74,0))</f>
        <v/>
      </c>
      <c r="X12" s="138">
        <f>IF(OR(D74=0,E74=0,F74=0),0,IF(AND(X$3&gt;=G74,X$3&lt;H74),F74*MIN(12,E74-(X$3-G74)*12)/E74,0))</f>
        <v/>
      </c>
      <c r="Y12" s="138">
        <f>IF(OR(D74=0,E74=0,F74=0),0,IF(AND(Y$3&gt;=G74,Y$3&lt;H74),F74*MIN(12,E74-(Y$3-G74)*12)/E74,0))</f>
        <v/>
      </c>
      <c r="Z12" s="138">
        <f>IF(OR(D74=0,E74=0,F74=0),0,IF(AND(Z$3&gt;=G74,Z$3&lt;H74),F74*MIN(12,E74-(Z$3-G74)*12)/E74,0))</f>
        <v/>
      </c>
      <c r="AA12" s="138">
        <f>IF(OR(D74=0,E74=0,F74=0),0,IF(AND(AA$3&gt;=G74,AA$3&lt;H74),F74*MIN(12,E74-(AA$3-G74)*12)/E74,0))</f>
        <v/>
      </c>
      <c r="AB12" s="138">
        <f>IF(OR(D74=0,E74=0,F74=0),0,IF(AND(AB$3&gt;=G74,AB$3&lt;H74),F74*MIN(12,E74-(AB$3-G74)*12)/E74,0))</f>
        <v/>
      </c>
      <c r="AC12" s="138">
        <f>IF(OR(D74=0,E74=0,F74=0),0,IF(AND(AC$3&gt;=G74,AC$3&lt;H74),F74*MIN(12,E74-(AC$3-G74)*12)/E74,0))</f>
        <v/>
      </c>
      <c r="AD12" s="138">
        <f>IF(OR(D74=0,E74=0,F74=0),0,IF(AND(AD$3&gt;=G74,AD$3&lt;H74),F74*MIN(12,E74-(AD$3-G74)*12)/E74,0))</f>
        <v/>
      </c>
      <c r="AE12" s="138">
        <f>IF(OR(D74=0,E74=0,F74=0),0,IF(AND(AE$3&gt;=G74,AE$3&lt;H74),F74*MIN(12,E74-(AE$3-G74)*12)/E74,0))</f>
        <v/>
      </c>
      <c r="AF12" s="138">
        <f>IF(OR(D74=0,E74=0,F74=0),0,IF(AND(AF$3&gt;=G74,AF$3&lt;H74),F74*MIN(12,E74-(AF$3-G74)*12)/E74,0))</f>
        <v/>
      </c>
      <c r="AG12" s="138">
        <f>IF(OR(D74=0,E74=0,F74=0),0,IF(AND(AG$3&gt;=G74,AG$3&lt;H74),F74*MIN(12,E74-(AG$3-G74)*12)/E74,0))</f>
        <v/>
      </c>
      <c r="AH12" s="138">
        <f>IF(OR(D74=0,E74=0,F74=0),0,IF(AND(AH$3&gt;=G74,AH$3&lt;H74),F74*MIN(12,E74-(AH$3-G74)*12)/E74,0))</f>
        <v/>
      </c>
      <c r="AI12" s="138">
        <f>IF(OR(D74=0,E74=0,F74=0),0,IF(AND(AI$3&gt;=G74,AI$3&lt;H74),F74*MIN(12,E74-(AI$3-G74)*12)/E74,0))</f>
        <v/>
      </c>
      <c r="AJ12" s="138">
        <f>IF(OR(D74=0,E74=0,F74=0),0,IF(AND(AJ$3&gt;=G74,AJ$3&lt;H74),F74*MIN(12,E74-(AJ$3-G74)*12)/E74,0))</f>
        <v/>
      </c>
      <c r="AK12" s="138">
        <f>IF(OR(D74=0,E74=0,F74=0),0,IF(AND(AK$3&gt;=G74,AK$3&lt;H74),F74*MIN(12,E74-(AK$3-G74)*12)/E74,0))</f>
        <v/>
      </c>
      <c r="AL12" s="138">
        <f>IF(OR(D74=0,E74=0,F74=0),0,IF(AND(AL$3&gt;=G74,AL$3&lt;H74),F74*MIN(12,E74-(AL$3-G74)*12)/E74,0))</f>
        <v/>
      </c>
      <c r="AM12" s="138">
        <f>IF(OR(D74=0,E74=0,F74=0),0,IF(AND(AM$3&gt;=G74,AM$3&lt;H74),F74*MIN(12,E74-(AM$3-G74)*12)/E74,0))</f>
        <v/>
      </c>
      <c r="AN12" s="138">
        <f>IF(OR(D74=0,E74=0,F74=0),0,IF(AND(AN$3&gt;=G74,AN$3&lt;H74),F74*MIN(12,E74-(AN$3-G74)*12)/E74,0))</f>
        <v/>
      </c>
      <c r="AO12" s="138">
        <f>IF(OR(D74=0,E74=0,F74=0),0,IF(AND(AO$3&gt;=G74,AO$3&lt;H74),F74*MIN(12,E74-(AO$3-G74)*12)/E74,0))</f>
        <v/>
      </c>
      <c r="AP12" s="138">
        <f>IF(OR(D74=0,E74=0,F74=0),0,IF(AND(AP$3&gt;=G74,AP$3&lt;H74),F74*MIN(12,E74-(AP$3-G74)*12)/E74,0))</f>
        <v/>
      </c>
      <c r="AQ12" s="138">
        <f>IF(OR(D74=0,E74=0,F74=0),0,IF(AND(AQ$3&gt;=G74,AQ$3&lt;H74),F74*MIN(12,E74-(AQ$3-G74)*12)/E74,0))</f>
        <v/>
      </c>
      <c r="AR12" s="138">
        <f>IF(OR(D74=0,E74=0,F74=0),0,IF(AND(AR$3&gt;=G74,AR$3&lt;H74),F74*MIN(12,E74-(AR$3-G74)*12)/E74,0))</f>
        <v/>
      </c>
      <c r="AS12" s="138">
        <f>IF(OR(D74=0,E74=0,F74=0),0,IF(AND(AS$3&gt;=G74,AS$3&lt;H74),F74*MIN(12,E74-(AS$3-G74)*12)/E74,0))</f>
        <v/>
      </c>
      <c r="AT12" s="138">
        <f>IF(OR(D74=0,E74=0,F74=0),0,IF(AND(AT$3&gt;=G74,AT$3&lt;H74),F74*MIN(12,E74-(AT$3-G74)*12)/E74,0))</f>
        <v/>
      </c>
      <c r="AU12" s="138">
        <f>IF(OR(D74=0,E74=0,F74=0),0,IF(AND(AU$3&gt;=G74,AU$3&lt;H74),F74*MIN(12,E74-(AU$3-G74)*12)/E74,0))</f>
        <v/>
      </c>
      <c r="AV12" s="138">
        <f>IF(OR(D74=0,E74=0,F74=0),0,IF(AND(AV$3&gt;=G74,AV$3&lt;H74),F74*MIN(12,E74-(AV$3-G74)*12)/E74,0))</f>
        <v/>
      </c>
      <c r="AW12" s="138">
        <f>IF(OR(D74=0,E74=0,F74=0),0,IF(AND(AW$3&gt;=G74,AW$3&lt;H74),F74*MIN(12,E74-(AW$3-G74)*12)/E74,0))</f>
        <v/>
      </c>
      <c r="AX12" s="138">
        <f>IF(OR(D74=0,E74=0,F74=0),0,IF(AND(AX$3&gt;=G74,AX$3&lt;H74),F74*MIN(12,E74-(AX$3-G74)*12)/E74,0))</f>
        <v/>
      </c>
      <c r="AY12" s="138">
        <f>IF(OR(D74=0,E74=0,F74=0),0,IF(AND(AY$3&gt;=G74,AY$3&lt;H74),F74*MIN(12,E74-(AY$3-G74)*12)/E74,0))</f>
        <v/>
      </c>
      <c r="AZ12" s="138">
        <f>IF(OR(D74=0,E74=0,F74=0),0,IF(AND(AZ$3&gt;=G74,AZ$3&lt;H74),F74*MIN(12,E74-(AZ$3-G74)*12)/E74,0))</f>
        <v/>
      </c>
      <c r="BA12" s="138">
        <f>IF(OR(D74=0,E74=0,F74=0),0,IF(AND(BA$3&gt;=G74,BA$3&lt;H74),F74*MIN(12,E74-(BA$3-G74)*12)/E74,0))</f>
        <v/>
      </c>
      <c r="BB12" s="138">
        <f>IF(OR(D74=0,E74=0,F74=0),0,IF(AND(BB$3&gt;=G74,BB$3&lt;H74),F74*MIN(12,E74-(BB$3-G74)*12)/E74,0))</f>
        <v/>
      </c>
    </row>
    <row r="13" ht="15" customHeight="1" s="91">
      <c r="A13" s="138">
        <f>A75</f>
        <v/>
      </c>
      <c r="B13" s="138">
        <f>B75</f>
        <v/>
      </c>
      <c r="C13" s="138">
        <f>C75</f>
        <v/>
      </c>
      <c r="D13" s="138">
        <f>SUM(E13:BB13)</f>
        <v/>
      </c>
      <c r="E13" s="138">
        <f>IF(OR(D75=0,E75=0,F75=0),0,IF(AND(E$3&gt;=G75,E$3&lt;H75),F75*MIN(12,E75-(E$3-G75)*12)/E75,0))</f>
        <v/>
      </c>
      <c r="F13" s="138">
        <f>IF(OR(D75=0,E75=0,F75=0),0,IF(AND(F$3&gt;=G75,F$3&lt;H75),F75*MIN(12,E75-(F$3-G75)*12)/E75,0))</f>
        <v/>
      </c>
      <c r="G13" s="138">
        <f>IF(OR(D75=0,E75=0,F75=0),0,IF(AND(G$3&gt;=G75,G$3&lt;H75),F75*MIN(12,E75-(G$3-G75)*12)/E75,0))</f>
        <v/>
      </c>
      <c r="H13" s="138">
        <f>IF(OR(D75=0,E75=0,F75=0),0,IF(AND(H$3&gt;=G75,H$3&lt;H75),F75*MIN(12,E75-(H$3-G75)*12)/E75,0))</f>
        <v/>
      </c>
      <c r="I13" s="138">
        <f>IF(OR(D75=0,E75=0,F75=0),0,IF(AND(I$3&gt;=G75,I$3&lt;H75),F75*MIN(12,E75-(I$3-G75)*12)/E75,0))</f>
        <v/>
      </c>
      <c r="J13" s="138">
        <f>IF(OR(D75=0,E75=0,F75=0),0,IF(AND(J$3&gt;=G75,J$3&lt;H75),F75*MIN(12,E75-(J$3-G75)*12)/E75,0))</f>
        <v/>
      </c>
      <c r="K13" s="138">
        <f>IF(OR(D75=0,E75=0,F75=0),0,IF(AND(K$3&gt;=G75,K$3&lt;H75),F75*MIN(12,E75-(K$3-G75)*12)/E75,0))</f>
        <v/>
      </c>
      <c r="L13" s="138">
        <f>IF(OR(D75=0,E75=0,F75=0),0,IF(AND(L$3&gt;=G75,L$3&lt;H75),F75*MIN(12,E75-(L$3-G75)*12)/E75,0))</f>
        <v/>
      </c>
      <c r="M13" s="138">
        <f>IF(OR(D75=0,E75=0,F75=0),0,IF(AND(M$3&gt;=G75,M$3&lt;H75),F75*MIN(12,E75-(M$3-G75)*12)/E75,0))</f>
        <v/>
      </c>
      <c r="N13" s="138">
        <f>IF(OR(D75=0,E75=0,F75=0),0,IF(AND(N$3&gt;=G75,N$3&lt;H75),F75*MIN(12,E75-(N$3-G75)*12)/E75,0))</f>
        <v/>
      </c>
      <c r="O13" s="138">
        <f>IF(OR(D75=0,E75=0,F75=0),0,IF(AND(O$3&gt;=G75,O$3&lt;H75),F75*MIN(12,E75-(O$3-G75)*12)/E75,0))</f>
        <v/>
      </c>
      <c r="P13" s="138">
        <f>IF(OR(D75=0,E75=0,F75=0),0,IF(AND(P$3&gt;=G75,P$3&lt;H75),F75*MIN(12,E75-(P$3-G75)*12)/E75,0))</f>
        <v/>
      </c>
      <c r="Q13" s="138">
        <f>IF(OR(D75=0,E75=0,F75=0),0,IF(AND(Q$3&gt;=G75,Q$3&lt;H75),F75*MIN(12,E75-(Q$3-G75)*12)/E75,0))</f>
        <v/>
      </c>
      <c r="R13" s="138">
        <f>IF(OR(D75=0,E75=0,F75=0),0,IF(AND(R$3&gt;=G75,R$3&lt;H75),F75*MIN(12,E75-(R$3-G75)*12)/E75,0))</f>
        <v/>
      </c>
      <c r="S13" s="138">
        <f>IF(OR(D75=0,E75=0,F75=0),0,IF(AND(S$3&gt;=G75,S$3&lt;H75),F75*MIN(12,E75-(S$3-G75)*12)/E75,0))</f>
        <v/>
      </c>
      <c r="T13" s="138">
        <f>IF(OR(D75=0,E75=0,F75=0),0,IF(AND(T$3&gt;=G75,T$3&lt;H75),F75*MIN(12,E75-(T$3-G75)*12)/E75,0))</f>
        <v/>
      </c>
      <c r="U13" s="138">
        <f>IF(OR(D75=0,E75=0,F75=0),0,IF(AND(U$3&gt;=G75,U$3&lt;H75),F75*MIN(12,E75-(U$3-G75)*12)/E75,0))</f>
        <v/>
      </c>
      <c r="V13" s="138">
        <f>IF(OR(D75=0,E75=0,F75=0),0,IF(AND(V$3&gt;=G75,V$3&lt;H75),F75*MIN(12,E75-(V$3-G75)*12)/E75,0))</f>
        <v/>
      </c>
      <c r="W13" s="138">
        <f>IF(OR(D75=0,E75=0,F75=0),0,IF(AND(W$3&gt;=G75,W$3&lt;H75),F75*MIN(12,E75-(W$3-G75)*12)/E75,0))</f>
        <v/>
      </c>
      <c r="X13" s="138">
        <f>IF(OR(D75=0,E75=0,F75=0),0,IF(AND(X$3&gt;=G75,X$3&lt;H75),F75*MIN(12,E75-(X$3-G75)*12)/E75,0))</f>
        <v/>
      </c>
      <c r="Y13" s="138">
        <f>IF(OR(D75=0,E75=0,F75=0),0,IF(AND(Y$3&gt;=G75,Y$3&lt;H75),F75*MIN(12,E75-(Y$3-G75)*12)/E75,0))</f>
        <v/>
      </c>
      <c r="Z13" s="138">
        <f>IF(OR(D75=0,E75=0,F75=0),0,IF(AND(Z$3&gt;=G75,Z$3&lt;H75),F75*MIN(12,E75-(Z$3-G75)*12)/E75,0))</f>
        <v/>
      </c>
      <c r="AA13" s="138">
        <f>IF(OR(D75=0,E75=0,F75=0),0,IF(AND(AA$3&gt;=G75,AA$3&lt;H75),F75*MIN(12,E75-(AA$3-G75)*12)/E75,0))</f>
        <v/>
      </c>
      <c r="AB13" s="138">
        <f>IF(OR(D75=0,E75=0,F75=0),0,IF(AND(AB$3&gt;=G75,AB$3&lt;H75),F75*MIN(12,E75-(AB$3-G75)*12)/E75,0))</f>
        <v/>
      </c>
      <c r="AC13" s="138">
        <f>IF(OR(D75=0,E75=0,F75=0),0,IF(AND(AC$3&gt;=G75,AC$3&lt;H75),F75*MIN(12,E75-(AC$3-G75)*12)/E75,0))</f>
        <v/>
      </c>
      <c r="AD13" s="138">
        <f>IF(OR(D75=0,E75=0,F75=0),0,IF(AND(AD$3&gt;=G75,AD$3&lt;H75),F75*MIN(12,E75-(AD$3-G75)*12)/E75,0))</f>
        <v/>
      </c>
      <c r="AE13" s="138">
        <f>IF(OR(D75=0,E75=0,F75=0),0,IF(AND(AE$3&gt;=G75,AE$3&lt;H75),F75*MIN(12,E75-(AE$3-G75)*12)/E75,0))</f>
        <v/>
      </c>
      <c r="AF13" s="138">
        <f>IF(OR(D75=0,E75=0,F75=0),0,IF(AND(AF$3&gt;=G75,AF$3&lt;H75),F75*MIN(12,E75-(AF$3-G75)*12)/E75,0))</f>
        <v/>
      </c>
      <c r="AG13" s="138">
        <f>IF(OR(D75=0,E75=0,F75=0),0,IF(AND(AG$3&gt;=G75,AG$3&lt;H75),F75*MIN(12,E75-(AG$3-G75)*12)/E75,0))</f>
        <v/>
      </c>
      <c r="AH13" s="138">
        <f>IF(OR(D75=0,E75=0,F75=0),0,IF(AND(AH$3&gt;=G75,AH$3&lt;H75),F75*MIN(12,E75-(AH$3-G75)*12)/E75,0))</f>
        <v/>
      </c>
      <c r="AI13" s="138">
        <f>IF(OR(D75=0,E75=0,F75=0),0,IF(AND(AI$3&gt;=G75,AI$3&lt;H75),F75*MIN(12,E75-(AI$3-G75)*12)/E75,0))</f>
        <v/>
      </c>
      <c r="AJ13" s="138">
        <f>IF(OR(D75=0,E75=0,F75=0),0,IF(AND(AJ$3&gt;=G75,AJ$3&lt;H75),F75*MIN(12,E75-(AJ$3-G75)*12)/E75,0))</f>
        <v/>
      </c>
      <c r="AK13" s="138">
        <f>IF(OR(D75=0,E75=0,F75=0),0,IF(AND(AK$3&gt;=G75,AK$3&lt;H75),F75*MIN(12,E75-(AK$3-G75)*12)/E75,0))</f>
        <v/>
      </c>
      <c r="AL13" s="138">
        <f>IF(OR(D75=0,E75=0,F75=0),0,IF(AND(AL$3&gt;=G75,AL$3&lt;H75),F75*MIN(12,E75-(AL$3-G75)*12)/E75,0))</f>
        <v/>
      </c>
      <c r="AM13" s="138">
        <f>IF(OR(D75=0,E75=0,F75=0),0,IF(AND(AM$3&gt;=G75,AM$3&lt;H75),F75*MIN(12,E75-(AM$3-G75)*12)/E75,0))</f>
        <v/>
      </c>
      <c r="AN13" s="138">
        <f>IF(OR(D75=0,E75=0,F75=0),0,IF(AND(AN$3&gt;=G75,AN$3&lt;H75),F75*MIN(12,E75-(AN$3-G75)*12)/E75,0))</f>
        <v/>
      </c>
      <c r="AO13" s="138">
        <f>IF(OR(D75=0,E75=0,F75=0),0,IF(AND(AO$3&gt;=G75,AO$3&lt;H75),F75*MIN(12,E75-(AO$3-G75)*12)/E75,0))</f>
        <v/>
      </c>
      <c r="AP13" s="138">
        <f>IF(OR(D75=0,E75=0,F75=0),0,IF(AND(AP$3&gt;=G75,AP$3&lt;H75),F75*MIN(12,E75-(AP$3-G75)*12)/E75,0))</f>
        <v/>
      </c>
      <c r="AQ13" s="138">
        <f>IF(OR(D75=0,E75=0,F75=0),0,IF(AND(AQ$3&gt;=G75,AQ$3&lt;H75),F75*MIN(12,E75-(AQ$3-G75)*12)/E75,0))</f>
        <v/>
      </c>
      <c r="AR13" s="138">
        <f>IF(OR(D75=0,E75=0,F75=0),0,IF(AND(AR$3&gt;=G75,AR$3&lt;H75),F75*MIN(12,E75-(AR$3-G75)*12)/E75,0))</f>
        <v/>
      </c>
      <c r="AS13" s="138">
        <f>IF(OR(D75=0,E75=0,F75=0),0,IF(AND(AS$3&gt;=G75,AS$3&lt;H75),F75*MIN(12,E75-(AS$3-G75)*12)/E75,0))</f>
        <v/>
      </c>
      <c r="AT13" s="138">
        <f>IF(OR(D75=0,E75=0,F75=0),0,IF(AND(AT$3&gt;=G75,AT$3&lt;H75),F75*MIN(12,E75-(AT$3-G75)*12)/E75,0))</f>
        <v/>
      </c>
      <c r="AU13" s="138">
        <f>IF(OR(D75=0,E75=0,F75=0),0,IF(AND(AU$3&gt;=G75,AU$3&lt;H75),F75*MIN(12,E75-(AU$3-G75)*12)/E75,0))</f>
        <v/>
      </c>
      <c r="AV13" s="138">
        <f>IF(OR(D75=0,E75=0,F75=0),0,IF(AND(AV$3&gt;=G75,AV$3&lt;H75),F75*MIN(12,E75-(AV$3-G75)*12)/E75,0))</f>
        <v/>
      </c>
      <c r="AW13" s="138">
        <f>IF(OR(D75=0,E75=0,F75=0),0,IF(AND(AW$3&gt;=G75,AW$3&lt;H75),F75*MIN(12,E75-(AW$3-G75)*12)/E75,0))</f>
        <v/>
      </c>
      <c r="AX13" s="138">
        <f>IF(OR(D75=0,E75=0,F75=0),0,IF(AND(AX$3&gt;=G75,AX$3&lt;H75),F75*MIN(12,E75-(AX$3-G75)*12)/E75,0))</f>
        <v/>
      </c>
      <c r="AY13" s="138">
        <f>IF(OR(D75=0,E75=0,F75=0),0,IF(AND(AY$3&gt;=G75,AY$3&lt;H75),F75*MIN(12,E75-(AY$3-G75)*12)/E75,0))</f>
        <v/>
      </c>
      <c r="AZ13" s="138">
        <f>IF(OR(D75=0,E75=0,F75=0),0,IF(AND(AZ$3&gt;=G75,AZ$3&lt;H75),F75*MIN(12,E75-(AZ$3-G75)*12)/E75,0))</f>
        <v/>
      </c>
      <c r="BA13" s="138">
        <f>IF(OR(D75=0,E75=0,F75=0),0,IF(AND(BA$3&gt;=G75,BA$3&lt;H75),F75*MIN(12,E75-(BA$3-G75)*12)/E75,0))</f>
        <v/>
      </c>
      <c r="BB13" s="138">
        <f>IF(OR(D75=0,E75=0,F75=0),0,IF(AND(BB$3&gt;=G75,BB$3&lt;H75),F75*MIN(12,E75-(BB$3-G75)*12)/E75,0))</f>
        <v/>
      </c>
    </row>
    <row r="14" ht="15" customHeight="1" s="91">
      <c r="A14" s="138">
        <f>A76</f>
        <v/>
      </c>
      <c r="B14" s="138">
        <f>B76</f>
        <v/>
      </c>
      <c r="C14" s="138">
        <f>C76</f>
        <v/>
      </c>
      <c r="D14" s="138">
        <f>SUM(E14:BB14)</f>
        <v/>
      </c>
      <c r="E14" s="138">
        <f>IF(OR(D76=0,E76=0,F76=0),0,IF(AND(E$3&gt;=G76,E$3&lt;H76),F76*MIN(12,E76-(E$3-G76)*12)/E76,0))</f>
        <v/>
      </c>
      <c r="F14" s="138">
        <f>IF(OR(D76=0,E76=0,F76=0),0,IF(AND(F$3&gt;=G76,F$3&lt;H76),F76*MIN(12,E76-(F$3-G76)*12)/E76,0))</f>
        <v/>
      </c>
      <c r="G14" s="138">
        <f>IF(OR(D76=0,E76=0,F76=0),0,IF(AND(G$3&gt;=G76,G$3&lt;H76),F76*MIN(12,E76-(G$3-G76)*12)/E76,0))</f>
        <v/>
      </c>
      <c r="H14" s="138">
        <f>IF(OR(D76=0,E76=0,F76=0),0,IF(AND(H$3&gt;=G76,H$3&lt;H76),F76*MIN(12,E76-(H$3-G76)*12)/E76,0))</f>
        <v/>
      </c>
      <c r="I14" s="138">
        <f>IF(OR(D76=0,E76=0,F76=0),0,IF(AND(I$3&gt;=G76,I$3&lt;H76),F76*MIN(12,E76-(I$3-G76)*12)/E76,0))</f>
        <v/>
      </c>
      <c r="J14" s="138">
        <f>IF(OR(D76=0,E76=0,F76=0),0,IF(AND(J$3&gt;=G76,J$3&lt;H76),F76*MIN(12,E76-(J$3-G76)*12)/E76,0))</f>
        <v/>
      </c>
      <c r="K14" s="138">
        <f>IF(OR(D76=0,E76=0,F76=0),0,IF(AND(K$3&gt;=G76,K$3&lt;H76),F76*MIN(12,E76-(K$3-G76)*12)/E76,0))</f>
        <v/>
      </c>
      <c r="L14" s="138">
        <f>IF(OR(D76=0,E76=0,F76=0),0,IF(AND(L$3&gt;=G76,L$3&lt;H76),F76*MIN(12,E76-(L$3-G76)*12)/E76,0))</f>
        <v/>
      </c>
      <c r="M14" s="138">
        <f>IF(OR(D76=0,E76=0,F76=0),0,IF(AND(M$3&gt;=G76,M$3&lt;H76),F76*MIN(12,E76-(M$3-G76)*12)/E76,0))</f>
        <v/>
      </c>
      <c r="N14" s="138">
        <f>IF(OR(D76=0,E76=0,F76=0),0,IF(AND(N$3&gt;=G76,N$3&lt;H76),F76*MIN(12,E76-(N$3-G76)*12)/E76,0))</f>
        <v/>
      </c>
      <c r="O14" s="138">
        <f>IF(OR(D76=0,E76=0,F76=0),0,IF(AND(O$3&gt;=G76,O$3&lt;H76),F76*MIN(12,E76-(O$3-G76)*12)/E76,0))</f>
        <v/>
      </c>
      <c r="P14" s="138">
        <f>IF(OR(D76=0,E76=0,F76=0),0,IF(AND(P$3&gt;=G76,P$3&lt;H76),F76*MIN(12,E76-(P$3-G76)*12)/E76,0))</f>
        <v/>
      </c>
      <c r="Q14" s="138">
        <f>IF(OR(D76=0,E76=0,F76=0),0,IF(AND(Q$3&gt;=G76,Q$3&lt;H76),F76*MIN(12,E76-(Q$3-G76)*12)/E76,0))</f>
        <v/>
      </c>
      <c r="R14" s="138">
        <f>IF(OR(D76=0,E76=0,F76=0),0,IF(AND(R$3&gt;=G76,R$3&lt;H76),F76*MIN(12,E76-(R$3-G76)*12)/E76,0))</f>
        <v/>
      </c>
      <c r="S14" s="138">
        <f>IF(OR(D76=0,E76=0,F76=0),0,IF(AND(S$3&gt;=G76,S$3&lt;H76),F76*MIN(12,E76-(S$3-G76)*12)/E76,0))</f>
        <v/>
      </c>
      <c r="T14" s="138">
        <f>IF(OR(D76=0,E76=0,F76=0),0,IF(AND(T$3&gt;=G76,T$3&lt;H76),F76*MIN(12,E76-(T$3-G76)*12)/E76,0))</f>
        <v/>
      </c>
      <c r="U14" s="138">
        <f>IF(OR(D76=0,E76=0,F76=0),0,IF(AND(U$3&gt;=G76,U$3&lt;H76),F76*MIN(12,E76-(U$3-G76)*12)/E76,0))</f>
        <v/>
      </c>
      <c r="V14" s="138">
        <f>IF(OR(D76=0,E76=0,F76=0),0,IF(AND(V$3&gt;=G76,V$3&lt;H76),F76*MIN(12,E76-(V$3-G76)*12)/E76,0))</f>
        <v/>
      </c>
      <c r="W14" s="138">
        <f>IF(OR(D76=0,E76=0,F76=0),0,IF(AND(W$3&gt;=G76,W$3&lt;H76),F76*MIN(12,E76-(W$3-G76)*12)/E76,0))</f>
        <v/>
      </c>
      <c r="X14" s="138">
        <f>IF(OR(D76=0,E76=0,F76=0),0,IF(AND(X$3&gt;=G76,X$3&lt;H76),F76*MIN(12,E76-(X$3-G76)*12)/E76,0))</f>
        <v/>
      </c>
      <c r="Y14" s="138">
        <f>IF(OR(D76=0,E76=0,F76=0),0,IF(AND(Y$3&gt;=G76,Y$3&lt;H76),F76*MIN(12,E76-(Y$3-G76)*12)/E76,0))</f>
        <v/>
      </c>
      <c r="Z14" s="138">
        <f>IF(OR(D76=0,E76=0,F76=0),0,IF(AND(Z$3&gt;=G76,Z$3&lt;H76),F76*MIN(12,E76-(Z$3-G76)*12)/E76,0))</f>
        <v/>
      </c>
      <c r="AA14" s="138">
        <f>IF(OR(D76=0,E76=0,F76=0),0,IF(AND(AA$3&gt;=G76,AA$3&lt;H76),F76*MIN(12,E76-(AA$3-G76)*12)/E76,0))</f>
        <v/>
      </c>
      <c r="AB14" s="138">
        <f>IF(OR(D76=0,E76=0,F76=0),0,IF(AND(AB$3&gt;=G76,AB$3&lt;H76),F76*MIN(12,E76-(AB$3-G76)*12)/E76,0))</f>
        <v/>
      </c>
      <c r="AC14" s="138">
        <f>IF(OR(D76=0,E76=0,F76=0),0,IF(AND(AC$3&gt;=G76,AC$3&lt;H76),F76*MIN(12,E76-(AC$3-G76)*12)/E76,0))</f>
        <v/>
      </c>
      <c r="AD14" s="138">
        <f>IF(OR(D76=0,E76=0,F76=0),0,IF(AND(AD$3&gt;=G76,AD$3&lt;H76),F76*MIN(12,E76-(AD$3-G76)*12)/E76,0))</f>
        <v/>
      </c>
      <c r="AE14" s="138">
        <f>IF(OR(D76=0,E76=0,F76=0),0,IF(AND(AE$3&gt;=G76,AE$3&lt;H76),F76*MIN(12,E76-(AE$3-G76)*12)/E76,0))</f>
        <v/>
      </c>
      <c r="AF14" s="138">
        <f>IF(OR(D76=0,E76=0,F76=0),0,IF(AND(AF$3&gt;=G76,AF$3&lt;H76),F76*MIN(12,E76-(AF$3-G76)*12)/E76,0))</f>
        <v/>
      </c>
      <c r="AG14" s="138">
        <f>IF(OR(D76=0,E76=0,F76=0),0,IF(AND(AG$3&gt;=G76,AG$3&lt;H76),F76*MIN(12,E76-(AG$3-G76)*12)/E76,0))</f>
        <v/>
      </c>
      <c r="AH14" s="138">
        <f>IF(OR(D76=0,E76=0,F76=0),0,IF(AND(AH$3&gt;=G76,AH$3&lt;H76),F76*MIN(12,E76-(AH$3-G76)*12)/E76,0))</f>
        <v/>
      </c>
      <c r="AI14" s="138">
        <f>IF(OR(D76=0,E76=0,F76=0),0,IF(AND(AI$3&gt;=G76,AI$3&lt;H76),F76*MIN(12,E76-(AI$3-G76)*12)/E76,0))</f>
        <v/>
      </c>
      <c r="AJ14" s="138">
        <f>IF(OR(D76=0,E76=0,F76=0),0,IF(AND(AJ$3&gt;=G76,AJ$3&lt;H76),F76*MIN(12,E76-(AJ$3-G76)*12)/E76,0))</f>
        <v/>
      </c>
      <c r="AK14" s="138">
        <f>IF(OR(D76=0,E76=0,F76=0),0,IF(AND(AK$3&gt;=G76,AK$3&lt;H76),F76*MIN(12,E76-(AK$3-G76)*12)/E76,0))</f>
        <v/>
      </c>
      <c r="AL14" s="138">
        <f>IF(OR(D76=0,E76=0,F76=0),0,IF(AND(AL$3&gt;=G76,AL$3&lt;H76),F76*MIN(12,E76-(AL$3-G76)*12)/E76,0))</f>
        <v/>
      </c>
      <c r="AM14" s="138">
        <f>IF(OR(D76=0,E76=0,F76=0),0,IF(AND(AM$3&gt;=G76,AM$3&lt;H76),F76*MIN(12,E76-(AM$3-G76)*12)/E76,0))</f>
        <v/>
      </c>
      <c r="AN14" s="138">
        <f>IF(OR(D76=0,E76=0,F76=0),0,IF(AND(AN$3&gt;=G76,AN$3&lt;H76),F76*MIN(12,E76-(AN$3-G76)*12)/E76,0))</f>
        <v/>
      </c>
      <c r="AO14" s="138">
        <f>IF(OR(D76=0,E76=0,F76=0),0,IF(AND(AO$3&gt;=G76,AO$3&lt;H76),F76*MIN(12,E76-(AO$3-G76)*12)/E76,0))</f>
        <v/>
      </c>
      <c r="AP14" s="138">
        <f>IF(OR(D76=0,E76=0,F76=0),0,IF(AND(AP$3&gt;=G76,AP$3&lt;H76),F76*MIN(12,E76-(AP$3-G76)*12)/E76,0))</f>
        <v/>
      </c>
      <c r="AQ14" s="138">
        <f>IF(OR(D76=0,E76=0,F76=0),0,IF(AND(AQ$3&gt;=G76,AQ$3&lt;H76),F76*MIN(12,E76-(AQ$3-G76)*12)/E76,0))</f>
        <v/>
      </c>
      <c r="AR14" s="138">
        <f>IF(OR(D76=0,E76=0,F76=0),0,IF(AND(AR$3&gt;=G76,AR$3&lt;H76),F76*MIN(12,E76-(AR$3-G76)*12)/E76,0))</f>
        <v/>
      </c>
      <c r="AS14" s="138">
        <f>IF(OR(D76=0,E76=0,F76=0),0,IF(AND(AS$3&gt;=G76,AS$3&lt;H76),F76*MIN(12,E76-(AS$3-G76)*12)/E76,0))</f>
        <v/>
      </c>
      <c r="AT14" s="138">
        <f>IF(OR(D76=0,E76=0,F76=0),0,IF(AND(AT$3&gt;=G76,AT$3&lt;H76),F76*MIN(12,E76-(AT$3-G76)*12)/E76,0))</f>
        <v/>
      </c>
      <c r="AU14" s="138">
        <f>IF(OR(D76=0,E76=0,F76=0),0,IF(AND(AU$3&gt;=G76,AU$3&lt;H76),F76*MIN(12,E76-(AU$3-G76)*12)/E76,0))</f>
        <v/>
      </c>
      <c r="AV14" s="138">
        <f>IF(OR(D76=0,E76=0,F76=0),0,IF(AND(AV$3&gt;=G76,AV$3&lt;H76),F76*MIN(12,E76-(AV$3-G76)*12)/E76,0))</f>
        <v/>
      </c>
      <c r="AW14" s="138">
        <f>IF(OR(D76=0,E76=0,F76=0),0,IF(AND(AW$3&gt;=G76,AW$3&lt;H76),F76*MIN(12,E76-(AW$3-G76)*12)/E76,0))</f>
        <v/>
      </c>
      <c r="AX14" s="138">
        <f>IF(OR(D76=0,E76=0,F76=0),0,IF(AND(AX$3&gt;=G76,AX$3&lt;H76),F76*MIN(12,E76-(AX$3-G76)*12)/E76,0))</f>
        <v/>
      </c>
      <c r="AY14" s="138">
        <f>IF(OR(D76=0,E76=0,F76=0),0,IF(AND(AY$3&gt;=G76,AY$3&lt;H76),F76*MIN(12,E76-(AY$3-G76)*12)/E76,0))</f>
        <v/>
      </c>
      <c r="AZ14" s="138">
        <f>IF(OR(D76=0,E76=0,F76=0),0,IF(AND(AZ$3&gt;=G76,AZ$3&lt;H76),F76*MIN(12,E76-(AZ$3-G76)*12)/E76,0))</f>
        <v/>
      </c>
      <c r="BA14" s="138">
        <f>IF(OR(D76=0,E76=0,F76=0),0,IF(AND(BA$3&gt;=G76,BA$3&lt;H76),F76*MIN(12,E76-(BA$3-G76)*12)/E76,0))</f>
        <v/>
      </c>
      <c r="BB14" s="138">
        <f>IF(OR(D76=0,E76=0,F76=0),0,IF(AND(BB$3&gt;=G76,BB$3&lt;H76),F76*MIN(12,E76-(BB$3-G76)*12)/E76,0))</f>
        <v/>
      </c>
    </row>
    <row r="15" ht="15" customHeight="1" s="91">
      <c r="A15" s="138">
        <f>A77</f>
        <v/>
      </c>
      <c r="B15" s="138">
        <f>B77</f>
        <v/>
      </c>
      <c r="C15" s="138">
        <f>C77</f>
        <v/>
      </c>
      <c r="D15" s="138">
        <f>SUM(E15:BB15)</f>
        <v/>
      </c>
      <c r="E15" s="138">
        <f>IF(OR(D77=0,E77=0,F77=0),0,IF(AND(E$3&gt;=G77,E$3&lt;H77),F77*MIN(12,E77-(E$3-G77)*12)/E77,0))</f>
        <v/>
      </c>
      <c r="F15" s="138">
        <f>IF(OR(D77=0,E77=0,F77=0),0,IF(AND(F$3&gt;=G77,F$3&lt;H77),F77*MIN(12,E77-(F$3-G77)*12)/E77,0))</f>
        <v/>
      </c>
      <c r="G15" s="138">
        <f>IF(OR(D77=0,E77=0,F77=0),0,IF(AND(G$3&gt;=G77,G$3&lt;H77),F77*MIN(12,E77-(G$3-G77)*12)/E77,0))</f>
        <v/>
      </c>
      <c r="H15" s="138">
        <f>IF(OR(D77=0,E77=0,F77=0),0,IF(AND(H$3&gt;=G77,H$3&lt;H77),F77*MIN(12,E77-(H$3-G77)*12)/E77,0))</f>
        <v/>
      </c>
      <c r="I15" s="138">
        <f>IF(OR(D77=0,E77=0,F77=0),0,IF(AND(I$3&gt;=G77,I$3&lt;H77),F77*MIN(12,E77-(I$3-G77)*12)/E77,0))</f>
        <v/>
      </c>
      <c r="J15" s="138">
        <f>IF(OR(D77=0,E77=0,F77=0),0,IF(AND(J$3&gt;=G77,J$3&lt;H77),F77*MIN(12,E77-(J$3-G77)*12)/E77,0))</f>
        <v/>
      </c>
      <c r="K15" s="138">
        <f>IF(OR(D77=0,E77=0,F77=0),0,IF(AND(K$3&gt;=G77,K$3&lt;H77),F77*MIN(12,E77-(K$3-G77)*12)/E77,0))</f>
        <v/>
      </c>
      <c r="L15" s="138">
        <f>IF(OR(D77=0,E77=0,F77=0),0,IF(AND(L$3&gt;=G77,L$3&lt;H77),F77*MIN(12,E77-(L$3-G77)*12)/E77,0))</f>
        <v/>
      </c>
      <c r="M15" s="138">
        <f>IF(OR(D77=0,E77=0,F77=0),0,IF(AND(M$3&gt;=G77,M$3&lt;H77),F77*MIN(12,E77-(M$3-G77)*12)/E77,0))</f>
        <v/>
      </c>
      <c r="N15" s="138">
        <f>IF(OR(D77=0,E77=0,F77=0),0,IF(AND(N$3&gt;=G77,N$3&lt;H77),F77*MIN(12,E77-(N$3-G77)*12)/E77,0))</f>
        <v/>
      </c>
      <c r="O15" s="138">
        <f>IF(OR(D77=0,E77=0,F77=0),0,IF(AND(O$3&gt;=G77,O$3&lt;H77),F77*MIN(12,E77-(O$3-G77)*12)/E77,0))</f>
        <v/>
      </c>
      <c r="P15" s="138">
        <f>IF(OR(D77=0,E77=0,F77=0),0,IF(AND(P$3&gt;=G77,P$3&lt;H77),F77*MIN(12,E77-(P$3-G77)*12)/E77,0))</f>
        <v/>
      </c>
      <c r="Q15" s="138">
        <f>IF(OR(D77=0,E77=0,F77=0),0,IF(AND(Q$3&gt;=G77,Q$3&lt;H77),F77*MIN(12,E77-(Q$3-G77)*12)/E77,0))</f>
        <v/>
      </c>
      <c r="R15" s="138">
        <f>IF(OR(D77=0,E77=0,F77=0),0,IF(AND(R$3&gt;=G77,R$3&lt;H77),F77*MIN(12,E77-(R$3-G77)*12)/E77,0))</f>
        <v/>
      </c>
      <c r="S15" s="138">
        <f>IF(OR(D77=0,E77=0,F77=0),0,IF(AND(S$3&gt;=G77,S$3&lt;H77),F77*MIN(12,E77-(S$3-G77)*12)/E77,0))</f>
        <v/>
      </c>
      <c r="T15" s="138">
        <f>IF(OR(D77=0,E77=0,F77=0),0,IF(AND(T$3&gt;=G77,T$3&lt;H77),F77*MIN(12,E77-(T$3-G77)*12)/E77,0))</f>
        <v/>
      </c>
      <c r="U15" s="138">
        <f>IF(OR(D77=0,E77=0,F77=0),0,IF(AND(U$3&gt;=G77,U$3&lt;H77),F77*MIN(12,E77-(U$3-G77)*12)/E77,0))</f>
        <v/>
      </c>
      <c r="V15" s="138">
        <f>IF(OR(D77=0,E77=0,F77=0),0,IF(AND(V$3&gt;=G77,V$3&lt;H77),F77*MIN(12,E77-(V$3-G77)*12)/E77,0))</f>
        <v/>
      </c>
      <c r="W15" s="138">
        <f>IF(OR(D77=0,E77=0,F77=0),0,IF(AND(W$3&gt;=G77,W$3&lt;H77),F77*MIN(12,E77-(W$3-G77)*12)/E77,0))</f>
        <v/>
      </c>
      <c r="X15" s="138">
        <f>IF(OR(D77=0,E77=0,F77=0),0,IF(AND(X$3&gt;=G77,X$3&lt;H77),F77*MIN(12,E77-(X$3-G77)*12)/E77,0))</f>
        <v/>
      </c>
      <c r="Y15" s="138">
        <f>IF(OR(D77=0,E77=0,F77=0),0,IF(AND(Y$3&gt;=G77,Y$3&lt;H77),F77*MIN(12,E77-(Y$3-G77)*12)/E77,0))</f>
        <v/>
      </c>
      <c r="Z15" s="138">
        <f>IF(OR(D77=0,E77=0,F77=0),0,IF(AND(Z$3&gt;=G77,Z$3&lt;H77),F77*MIN(12,E77-(Z$3-G77)*12)/E77,0))</f>
        <v/>
      </c>
      <c r="AA15" s="138">
        <f>IF(OR(D77=0,E77=0,F77=0),0,IF(AND(AA$3&gt;=G77,AA$3&lt;H77),F77*MIN(12,E77-(AA$3-G77)*12)/E77,0))</f>
        <v/>
      </c>
      <c r="AB15" s="138">
        <f>IF(OR(D77=0,E77=0,F77=0),0,IF(AND(AB$3&gt;=G77,AB$3&lt;H77),F77*MIN(12,E77-(AB$3-G77)*12)/E77,0))</f>
        <v/>
      </c>
      <c r="AC15" s="138">
        <f>IF(OR(D77=0,E77=0,F77=0),0,IF(AND(AC$3&gt;=G77,AC$3&lt;H77),F77*MIN(12,E77-(AC$3-G77)*12)/E77,0))</f>
        <v/>
      </c>
      <c r="AD15" s="138">
        <f>IF(OR(D77=0,E77=0,F77=0),0,IF(AND(AD$3&gt;=G77,AD$3&lt;H77),F77*MIN(12,E77-(AD$3-G77)*12)/E77,0))</f>
        <v/>
      </c>
      <c r="AE15" s="138">
        <f>IF(OR(D77=0,E77=0,F77=0),0,IF(AND(AE$3&gt;=G77,AE$3&lt;H77),F77*MIN(12,E77-(AE$3-G77)*12)/E77,0))</f>
        <v/>
      </c>
      <c r="AF15" s="138">
        <f>IF(OR(D77=0,E77=0,F77=0),0,IF(AND(AF$3&gt;=G77,AF$3&lt;H77),F77*MIN(12,E77-(AF$3-G77)*12)/E77,0))</f>
        <v/>
      </c>
      <c r="AG15" s="138">
        <f>IF(OR(D77=0,E77=0,F77=0),0,IF(AND(AG$3&gt;=G77,AG$3&lt;H77),F77*MIN(12,E77-(AG$3-G77)*12)/E77,0))</f>
        <v/>
      </c>
      <c r="AH15" s="138">
        <f>IF(OR(D77=0,E77=0,F77=0),0,IF(AND(AH$3&gt;=G77,AH$3&lt;H77),F77*MIN(12,E77-(AH$3-G77)*12)/E77,0))</f>
        <v/>
      </c>
      <c r="AI15" s="138">
        <f>IF(OR(D77=0,E77=0,F77=0),0,IF(AND(AI$3&gt;=G77,AI$3&lt;H77),F77*MIN(12,E77-(AI$3-G77)*12)/E77,0))</f>
        <v/>
      </c>
      <c r="AJ15" s="138">
        <f>IF(OR(D77=0,E77=0,F77=0),0,IF(AND(AJ$3&gt;=G77,AJ$3&lt;H77),F77*MIN(12,E77-(AJ$3-G77)*12)/E77,0))</f>
        <v/>
      </c>
      <c r="AK15" s="138">
        <f>IF(OR(D77=0,E77=0,F77=0),0,IF(AND(AK$3&gt;=G77,AK$3&lt;H77),F77*MIN(12,E77-(AK$3-G77)*12)/E77,0))</f>
        <v/>
      </c>
      <c r="AL15" s="138">
        <f>IF(OR(D77=0,E77=0,F77=0),0,IF(AND(AL$3&gt;=G77,AL$3&lt;H77),F77*MIN(12,E77-(AL$3-G77)*12)/E77,0))</f>
        <v/>
      </c>
      <c r="AM15" s="138">
        <f>IF(OR(D77=0,E77=0,F77=0),0,IF(AND(AM$3&gt;=G77,AM$3&lt;H77),F77*MIN(12,E77-(AM$3-G77)*12)/E77,0))</f>
        <v/>
      </c>
      <c r="AN15" s="138">
        <f>IF(OR(D77=0,E77=0,F77=0),0,IF(AND(AN$3&gt;=G77,AN$3&lt;H77),F77*MIN(12,E77-(AN$3-G77)*12)/E77,0))</f>
        <v/>
      </c>
      <c r="AO15" s="138">
        <f>IF(OR(D77=0,E77=0,F77=0),0,IF(AND(AO$3&gt;=G77,AO$3&lt;H77),F77*MIN(12,E77-(AO$3-G77)*12)/E77,0))</f>
        <v/>
      </c>
      <c r="AP15" s="138">
        <f>IF(OR(D77=0,E77=0,F77=0),0,IF(AND(AP$3&gt;=G77,AP$3&lt;H77),F77*MIN(12,E77-(AP$3-G77)*12)/E77,0))</f>
        <v/>
      </c>
      <c r="AQ15" s="138">
        <f>IF(OR(D77=0,E77=0,F77=0),0,IF(AND(AQ$3&gt;=G77,AQ$3&lt;H77),F77*MIN(12,E77-(AQ$3-G77)*12)/E77,0))</f>
        <v/>
      </c>
      <c r="AR15" s="138">
        <f>IF(OR(D77=0,E77=0,F77=0),0,IF(AND(AR$3&gt;=G77,AR$3&lt;H77),F77*MIN(12,E77-(AR$3-G77)*12)/E77,0))</f>
        <v/>
      </c>
      <c r="AS15" s="138">
        <f>IF(OR(D77=0,E77=0,F77=0),0,IF(AND(AS$3&gt;=G77,AS$3&lt;H77),F77*MIN(12,E77-(AS$3-G77)*12)/E77,0))</f>
        <v/>
      </c>
      <c r="AT15" s="138">
        <f>IF(OR(D77=0,E77=0,F77=0),0,IF(AND(AT$3&gt;=G77,AT$3&lt;H77),F77*MIN(12,E77-(AT$3-G77)*12)/E77,0))</f>
        <v/>
      </c>
      <c r="AU15" s="138">
        <f>IF(OR(D77=0,E77=0,F77=0),0,IF(AND(AU$3&gt;=G77,AU$3&lt;H77),F77*MIN(12,E77-(AU$3-G77)*12)/E77,0))</f>
        <v/>
      </c>
      <c r="AV15" s="138">
        <f>IF(OR(D77=0,E77=0,F77=0),0,IF(AND(AV$3&gt;=G77,AV$3&lt;H77),F77*MIN(12,E77-(AV$3-G77)*12)/E77,0))</f>
        <v/>
      </c>
      <c r="AW15" s="138">
        <f>IF(OR(D77=0,E77=0,F77=0),0,IF(AND(AW$3&gt;=G77,AW$3&lt;H77),F77*MIN(12,E77-(AW$3-G77)*12)/E77,0))</f>
        <v/>
      </c>
      <c r="AX15" s="138">
        <f>IF(OR(D77=0,E77=0,F77=0),0,IF(AND(AX$3&gt;=G77,AX$3&lt;H77),F77*MIN(12,E77-(AX$3-G77)*12)/E77,0))</f>
        <v/>
      </c>
      <c r="AY15" s="138">
        <f>IF(OR(D77=0,E77=0,F77=0),0,IF(AND(AY$3&gt;=G77,AY$3&lt;H77),F77*MIN(12,E77-(AY$3-G77)*12)/E77,0))</f>
        <v/>
      </c>
      <c r="AZ15" s="138">
        <f>IF(OR(D77=0,E77=0,F77=0),0,IF(AND(AZ$3&gt;=G77,AZ$3&lt;H77),F77*MIN(12,E77-(AZ$3-G77)*12)/E77,0))</f>
        <v/>
      </c>
      <c r="BA15" s="138">
        <f>IF(OR(D77=0,E77=0,F77=0),0,IF(AND(BA$3&gt;=G77,BA$3&lt;H77),F77*MIN(12,E77-(BA$3-G77)*12)/E77,0))</f>
        <v/>
      </c>
      <c r="BB15" s="138">
        <f>IF(OR(D77=0,E77=0,F77=0),0,IF(AND(BB$3&gt;=G77,BB$3&lt;H77),F77*MIN(12,E77-(BB$3-G77)*12)/E77,0))</f>
        <v/>
      </c>
    </row>
    <row r="16" ht="15" customHeight="1" s="91">
      <c r="A16" s="138">
        <f>A78</f>
        <v/>
      </c>
      <c r="B16" s="138">
        <f>B78</f>
        <v/>
      </c>
      <c r="C16" s="138">
        <f>C78</f>
        <v/>
      </c>
      <c r="D16" s="138">
        <f>SUM(E16:BB16)</f>
        <v/>
      </c>
      <c r="E16" s="138">
        <f>IF(OR(D78=0,E78=0,F78=0),0,IF(AND(E$3&gt;=G78,E$3&lt;H78),F78*MIN(12,E78-(E$3-G78)*12)/E78,0))</f>
        <v/>
      </c>
      <c r="F16" s="138">
        <f>IF(OR(D78=0,E78=0,F78=0),0,IF(AND(F$3&gt;=G78,F$3&lt;H78),F78*MIN(12,E78-(F$3-G78)*12)/E78,0))</f>
        <v/>
      </c>
      <c r="G16" s="138">
        <f>IF(OR(D78=0,E78=0,F78=0),0,IF(AND(G$3&gt;=G78,G$3&lt;H78),F78*MIN(12,E78-(G$3-G78)*12)/E78,0))</f>
        <v/>
      </c>
      <c r="H16" s="138">
        <f>IF(OR(D78=0,E78=0,F78=0),0,IF(AND(H$3&gt;=G78,H$3&lt;H78),F78*MIN(12,E78-(H$3-G78)*12)/E78,0))</f>
        <v/>
      </c>
      <c r="I16" s="138">
        <f>IF(OR(D78=0,E78=0,F78=0),0,IF(AND(I$3&gt;=G78,I$3&lt;H78),F78*MIN(12,E78-(I$3-G78)*12)/E78,0))</f>
        <v/>
      </c>
      <c r="J16" s="138">
        <f>IF(OR(D78=0,E78=0,F78=0),0,IF(AND(J$3&gt;=G78,J$3&lt;H78),F78*MIN(12,E78-(J$3-G78)*12)/E78,0))</f>
        <v/>
      </c>
      <c r="K16" s="138">
        <f>IF(OR(D78=0,E78=0,F78=0),0,IF(AND(K$3&gt;=G78,K$3&lt;H78),F78*MIN(12,E78-(K$3-G78)*12)/E78,0))</f>
        <v/>
      </c>
      <c r="L16" s="138">
        <f>IF(OR(D78=0,E78=0,F78=0),0,IF(AND(L$3&gt;=G78,L$3&lt;H78),F78*MIN(12,E78-(L$3-G78)*12)/E78,0))</f>
        <v/>
      </c>
      <c r="M16" s="138">
        <f>IF(OR(D78=0,E78=0,F78=0),0,IF(AND(M$3&gt;=G78,M$3&lt;H78),F78*MIN(12,E78-(M$3-G78)*12)/E78,0))</f>
        <v/>
      </c>
      <c r="N16" s="138">
        <f>IF(OR(D78=0,E78=0,F78=0),0,IF(AND(N$3&gt;=G78,N$3&lt;H78),F78*MIN(12,E78-(N$3-G78)*12)/E78,0))</f>
        <v/>
      </c>
      <c r="O16" s="138">
        <f>IF(OR(D78=0,E78=0,F78=0),0,IF(AND(O$3&gt;=G78,O$3&lt;H78),F78*MIN(12,E78-(O$3-G78)*12)/E78,0))</f>
        <v/>
      </c>
      <c r="P16" s="138">
        <f>IF(OR(D78=0,E78=0,F78=0),0,IF(AND(P$3&gt;=G78,P$3&lt;H78),F78*MIN(12,E78-(P$3-G78)*12)/E78,0))</f>
        <v/>
      </c>
      <c r="Q16" s="138">
        <f>IF(OR(D78=0,E78=0,F78=0),0,IF(AND(Q$3&gt;=G78,Q$3&lt;H78),F78*MIN(12,E78-(Q$3-G78)*12)/E78,0))</f>
        <v/>
      </c>
      <c r="R16" s="138">
        <f>IF(OR(D78=0,E78=0,F78=0),0,IF(AND(R$3&gt;=G78,R$3&lt;H78),F78*MIN(12,E78-(R$3-G78)*12)/E78,0))</f>
        <v/>
      </c>
      <c r="S16" s="138">
        <f>IF(OR(D78=0,E78=0,F78=0),0,IF(AND(S$3&gt;=G78,S$3&lt;H78),F78*MIN(12,E78-(S$3-G78)*12)/E78,0))</f>
        <v/>
      </c>
      <c r="T16" s="138">
        <f>IF(OR(D78=0,E78=0,F78=0),0,IF(AND(T$3&gt;=G78,T$3&lt;H78),F78*MIN(12,E78-(T$3-G78)*12)/E78,0))</f>
        <v/>
      </c>
      <c r="U16" s="138">
        <f>IF(OR(D78=0,E78=0,F78=0),0,IF(AND(U$3&gt;=G78,U$3&lt;H78),F78*MIN(12,E78-(U$3-G78)*12)/E78,0))</f>
        <v/>
      </c>
      <c r="V16" s="138">
        <f>IF(OR(D78=0,E78=0,F78=0),0,IF(AND(V$3&gt;=G78,V$3&lt;H78),F78*MIN(12,E78-(V$3-G78)*12)/E78,0))</f>
        <v/>
      </c>
      <c r="W16" s="138">
        <f>IF(OR(D78=0,E78=0,F78=0),0,IF(AND(W$3&gt;=G78,W$3&lt;H78),F78*MIN(12,E78-(W$3-G78)*12)/E78,0))</f>
        <v/>
      </c>
      <c r="X16" s="138">
        <f>IF(OR(D78=0,E78=0,F78=0),0,IF(AND(X$3&gt;=G78,X$3&lt;H78),F78*MIN(12,E78-(X$3-G78)*12)/E78,0))</f>
        <v/>
      </c>
      <c r="Y16" s="138">
        <f>IF(OR(D78=0,E78=0,F78=0),0,IF(AND(Y$3&gt;=G78,Y$3&lt;H78),F78*MIN(12,E78-(Y$3-G78)*12)/E78,0))</f>
        <v/>
      </c>
      <c r="Z16" s="138">
        <f>IF(OR(D78=0,E78=0,F78=0),0,IF(AND(Z$3&gt;=G78,Z$3&lt;H78),F78*MIN(12,E78-(Z$3-G78)*12)/E78,0))</f>
        <v/>
      </c>
      <c r="AA16" s="138">
        <f>IF(OR(D78=0,E78=0,F78=0),0,IF(AND(AA$3&gt;=G78,AA$3&lt;H78),F78*MIN(12,E78-(AA$3-G78)*12)/E78,0))</f>
        <v/>
      </c>
      <c r="AB16" s="138">
        <f>IF(OR(D78=0,E78=0,F78=0),0,IF(AND(AB$3&gt;=G78,AB$3&lt;H78),F78*MIN(12,E78-(AB$3-G78)*12)/E78,0))</f>
        <v/>
      </c>
      <c r="AC16" s="138">
        <f>IF(OR(D78=0,E78=0,F78=0),0,IF(AND(AC$3&gt;=G78,AC$3&lt;H78),F78*MIN(12,E78-(AC$3-G78)*12)/E78,0))</f>
        <v/>
      </c>
      <c r="AD16" s="138">
        <f>IF(OR(D78=0,E78=0,F78=0),0,IF(AND(AD$3&gt;=G78,AD$3&lt;H78),F78*MIN(12,E78-(AD$3-G78)*12)/E78,0))</f>
        <v/>
      </c>
      <c r="AE16" s="138">
        <f>IF(OR(D78=0,E78=0,F78=0),0,IF(AND(AE$3&gt;=G78,AE$3&lt;H78),F78*MIN(12,E78-(AE$3-G78)*12)/E78,0))</f>
        <v/>
      </c>
      <c r="AF16" s="138">
        <f>IF(OR(D78=0,E78=0,F78=0),0,IF(AND(AF$3&gt;=G78,AF$3&lt;H78),F78*MIN(12,E78-(AF$3-G78)*12)/E78,0))</f>
        <v/>
      </c>
      <c r="AG16" s="138">
        <f>IF(OR(D78=0,E78=0,F78=0),0,IF(AND(AG$3&gt;=G78,AG$3&lt;H78),F78*MIN(12,E78-(AG$3-G78)*12)/E78,0))</f>
        <v/>
      </c>
      <c r="AH16" s="138">
        <f>IF(OR(D78=0,E78=0,F78=0),0,IF(AND(AH$3&gt;=G78,AH$3&lt;H78),F78*MIN(12,E78-(AH$3-G78)*12)/E78,0))</f>
        <v/>
      </c>
      <c r="AI16" s="138">
        <f>IF(OR(D78=0,E78=0,F78=0),0,IF(AND(AI$3&gt;=G78,AI$3&lt;H78),F78*MIN(12,E78-(AI$3-G78)*12)/E78,0))</f>
        <v/>
      </c>
      <c r="AJ16" s="138">
        <f>IF(OR(D78=0,E78=0,F78=0),0,IF(AND(AJ$3&gt;=G78,AJ$3&lt;H78),F78*MIN(12,E78-(AJ$3-G78)*12)/E78,0))</f>
        <v/>
      </c>
      <c r="AK16" s="138">
        <f>IF(OR(D78=0,E78=0,F78=0),0,IF(AND(AK$3&gt;=G78,AK$3&lt;H78),F78*MIN(12,E78-(AK$3-G78)*12)/E78,0))</f>
        <v/>
      </c>
      <c r="AL16" s="138">
        <f>IF(OR(D78=0,E78=0,F78=0),0,IF(AND(AL$3&gt;=G78,AL$3&lt;H78),F78*MIN(12,E78-(AL$3-G78)*12)/E78,0))</f>
        <v/>
      </c>
      <c r="AM16" s="138">
        <f>IF(OR(D78=0,E78=0,F78=0),0,IF(AND(AM$3&gt;=G78,AM$3&lt;H78),F78*MIN(12,E78-(AM$3-G78)*12)/E78,0))</f>
        <v/>
      </c>
      <c r="AN16" s="138">
        <f>IF(OR(D78=0,E78=0,F78=0),0,IF(AND(AN$3&gt;=G78,AN$3&lt;H78),F78*MIN(12,E78-(AN$3-G78)*12)/E78,0))</f>
        <v/>
      </c>
      <c r="AO16" s="138">
        <f>IF(OR(D78=0,E78=0,F78=0),0,IF(AND(AO$3&gt;=G78,AO$3&lt;H78),F78*MIN(12,E78-(AO$3-G78)*12)/E78,0))</f>
        <v/>
      </c>
      <c r="AP16" s="138">
        <f>IF(OR(D78=0,E78=0,F78=0),0,IF(AND(AP$3&gt;=G78,AP$3&lt;H78),F78*MIN(12,E78-(AP$3-G78)*12)/E78,0))</f>
        <v/>
      </c>
      <c r="AQ16" s="138">
        <f>IF(OR(D78=0,E78=0,F78=0),0,IF(AND(AQ$3&gt;=G78,AQ$3&lt;H78),F78*MIN(12,E78-(AQ$3-G78)*12)/E78,0))</f>
        <v/>
      </c>
      <c r="AR16" s="138">
        <f>IF(OR(D78=0,E78=0,F78=0),0,IF(AND(AR$3&gt;=G78,AR$3&lt;H78),F78*MIN(12,E78-(AR$3-G78)*12)/E78,0))</f>
        <v/>
      </c>
      <c r="AS16" s="138">
        <f>IF(OR(D78=0,E78=0,F78=0),0,IF(AND(AS$3&gt;=G78,AS$3&lt;H78),F78*MIN(12,E78-(AS$3-G78)*12)/E78,0))</f>
        <v/>
      </c>
      <c r="AT16" s="138">
        <f>IF(OR(D78=0,E78=0,F78=0),0,IF(AND(AT$3&gt;=G78,AT$3&lt;H78),F78*MIN(12,E78-(AT$3-G78)*12)/E78,0))</f>
        <v/>
      </c>
      <c r="AU16" s="138">
        <f>IF(OR(D78=0,E78=0,F78=0),0,IF(AND(AU$3&gt;=G78,AU$3&lt;H78),F78*MIN(12,E78-(AU$3-G78)*12)/E78,0))</f>
        <v/>
      </c>
      <c r="AV16" s="138">
        <f>IF(OR(D78=0,E78=0,F78=0),0,IF(AND(AV$3&gt;=G78,AV$3&lt;H78),F78*MIN(12,E78-(AV$3-G78)*12)/E78,0))</f>
        <v/>
      </c>
      <c r="AW16" s="138">
        <f>IF(OR(D78=0,E78=0,F78=0),0,IF(AND(AW$3&gt;=G78,AW$3&lt;H78),F78*MIN(12,E78-(AW$3-G78)*12)/E78,0))</f>
        <v/>
      </c>
      <c r="AX16" s="138">
        <f>IF(OR(D78=0,E78=0,F78=0),0,IF(AND(AX$3&gt;=G78,AX$3&lt;H78),F78*MIN(12,E78-(AX$3-G78)*12)/E78,0))</f>
        <v/>
      </c>
      <c r="AY16" s="138">
        <f>IF(OR(D78=0,E78=0,F78=0),0,IF(AND(AY$3&gt;=G78,AY$3&lt;H78),F78*MIN(12,E78-(AY$3-G78)*12)/E78,0))</f>
        <v/>
      </c>
      <c r="AZ16" s="138">
        <f>IF(OR(D78=0,E78=0,F78=0),0,IF(AND(AZ$3&gt;=G78,AZ$3&lt;H78),F78*MIN(12,E78-(AZ$3-G78)*12)/E78,0))</f>
        <v/>
      </c>
      <c r="BA16" s="138">
        <f>IF(OR(D78=0,E78=0,F78=0),0,IF(AND(BA$3&gt;=G78,BA$3&lt;H78),F78*MIN(12,E78-(BA$3-G78)*12)/E78,0))</f>
        <v/>
      </c>
      <c r="BB16" s="138">
        <f>IF(OR(D78=0,E78=0,F78=0),0,IF(AND(BB$3&gt;=G78,BB$3&lt;H78),F78*MIN(12,E78-(BB$3-G78)*12)/E78,0))</f>
        <v/>
      </c>
    </row>
    <row r="17" ht="15" customHeight="1" s="91">
      <c r="A17" s="138">
        <f>A79</f>
        <v/>
      </c>
      <c r="B17" s="138">
        <f>B79</f>
        <v/>
      </c>
      <c r="C17" s="138">
        <f>C79</f>
        <v/>
      </c>
      <c r="D17" s="138">
        <f>SUM(E17:BB17)</f>
        <v/>
      </c>
      <c r="E17" s="138">
        <f>IF(OR(D79=0,E79=0,F79=0),0,IF(AND(E$3&gt;=G79,E$3&lt;H79),F79*MIN(12,E79-(E$3-G79)*12)/E79,0))</f>
        <v/>
      </c>
      <c r="F17" s="138">
        <f>IF(OR(D79=0,E79=0,F79=0),0,IF(AND(F$3&gt;=G79,F$3&lt;H79),F79*MIN(12,E79-(F$3-G79)*12)/E79,0))</f>
        <v/>
      </c>
      <c r="G17" s="138">
        <f>IF(OR(D79=0,E79=0,F79=0),0,IF(AND(G$3&gt;=G79,G$3&lt;H79),F79*MIN(12,E79-(G$3-G79)*12)/E79,0))</f>
        <v/>
      </c>
      <c r="H17" s="138">
        <f>IF(OR(D79=0,E79=0,F79=0),0,IF(AND(H$3&gt;=G79,H$3&lt;H79),F79*MIN(12,E79-(H$3-G79)*12)/E79,0))</f>
        <v/>
      </c>
      <c r="I17" s="138">
        <f>IF(OR(D79=0,E79=0,F79=0),0,IF(AND(I$3&gt;=G79,I$3&lt;H79),F79*MIN(12,E79-(I$3-G79)*12)/E79,0))</f>
        <v/>
      </c>
      <c r="J17" s="138">
        <f>IF(OR(D79=0,E79=0,F79=0),0,IF(AND(J$3&gt;=G79,J$3&lt;H79),F79*MIN(12,E79-(J$3-G79)*12)/E79,0))</f>
        <v/>
      </c>
      <c r="K17" s="138">
        <f>IF(OR(D79=0,E79=0,F79=0),0,IF(AND(K$3&gt;=G79,K$3&lt;H79),F79*MIN(12,E79-(K$3-G79)*12)/E79,0))</f>
        <v/>
      </c>
      <c r="L17" s="138">
        <f>IF(OR(D79=0,E79=0,F79=0),0,IF(AND(L$3&gt;=G79,L$3&lt;H79),F79*MIN(12,E79-(L$3-G79)*12)/E79,0))</f>
        <v/>
      </c>
      <c r="M17" s="138">
        <f>IF(OR(D79=0,E79=0,F79=0),0,IF(AND(M$3&gt;=G79,M$3&lt;H79),F79*MIN(12,E79-(M$3-G79)*12)/E79,0))</f>
        <v/>
      </c>
      <c r="N17" s="138">
        <f>IF(OR(D79=0,E79=0,F79=0),0,IF(AND(N$3&gt;=G79,N$3&lt;H79),F79*MIN(12,E79-(N$3-G79)*12)/E79,0))</f>
        <v/>
      </c>
      <c r="O17" s="138">
        <f>IF(OR(D79=0,E79=0,F79=0),0,IF(AND(O$3&gt;=G79,O$3&lt;H79),F79*MIN(12,E79-(O$3-G79)*12)/E79,0))</f>
        <v/>
      </c>
      <c r="P17" s="138">
        <f>IF(OR(D79=0,E79=0,F79=0),0,IF(AND(P$3&gt;=G79,P$3&lt;H79),F79*MIN(12,E79-(P$3-G79)*12)/E79,0))</f>
        <v/>
      </c>
      <c r="Q17" s="138">
        <f>IF(OR(D79=0,E79=0,F79=0),0,IF(AND(Q$3&gt;=G79,Q$3&lt;H79),F79*MIN(12,E79-(Q$3-G79)*12)/E79,0))</f>
        <v/>
      </c>
      <c r="R17" s="138">
        <f>IF(OR(D79=0,E79=0,F79=0),0,IF(AND(R$3&gt;=G79,R$3&lt;H79),F79*MIN(12,E79-(R$3-G79)*12)/E79,0))</f>
        <v/>
      </c>
      <c r="S17" s="138">
        <f>IF(OR(D79=0,E79=0,F79=0),0,IF(AND(S$3&gt;=G79,S$3&lt;H79),F79*MIN(12,E79-(S$3-G79)*12)/E79,0))</f>
        <v/>
      </c>
      <c r="T17" s="138">
        <f>IF(OR(D79=0,E79=0,F79=0),0,IF(AND(T$3&gt;=G79,T$3&lt;H79),F79*MIN(12,E79-(T$3-G79)*12)/E79,0))</f>
        <v/>
      </c>
      <c r="U17" s="138">
        <f>IF(OR(D79=0,E79=0,F79=0),0,IF(AND(U$3&gt;=G79,U$3&lt;H79),F79*MIN(12,E79-(U$3-G79)*12)/E79,0))</f>
        <v/>
      </c>
      <c r="V17" s="138">
        <f>IF(OR(D79=0,E79=0,F79=0),0,IF(AND(V$3&gt;=G79,V$3&lt;H79),F79*MIN(12,E79-(V$3-G79)*12)/E79,0))</f>
        <v/>
      </c>
      <c r="W17" s="138">
        <f>IF(OR(D79=0,E79=0,F79=0),0,IF(AND(W$3&gt;=G79,W$3&lt;H79),F79*MIN(12,E79-(W$3-G79)*12)/E79,0))</f>
        <v/>
      </c>
      <c r="X17" s="138">
        <f>IF(OR(D79=0,E79=0,F79=0),0,IF(AND(X$3&gt;=G79,X$3&lt;H79),F79*MIN(12,E79-(X$3-G79)*12)/E79,0))</f>
        <v/>
      </c>
      <c r="Y17" s="138">
        <f>IF(OR(D79=0,E79=0,F79=0),0,IF(AND(Y$3&gt;=G79,Y$3&lt;H79),F79*MIN(12,E79-(Y$3-G79)*12)/E79,0))</f>
        <v/>
      </c>
      <c r="Z17" s="138">
        <f>IF(OR(D79=0,E79=0,F79=0),0,IF(AND(Z$3&gt;=G79,Z$3&lt;H79),F79*MIN(12,E79-(Z$3-G79)*12)/E79,0))</f>
        <v/>
      </c>
      <c r="AA17" s="138">
        <f>IF(OR(D79=0,E79=0,F79=0),0,IF(AND(AA$3&gt;=G79,AA$3&lt;H79),F79*MIN(12,E79-(AA$3-G79)*12)/E79,0))</f>
        <v/>
      </c>
      <c r="AB17" s="138">
        <f>IF(OR(D79=0,E79=0,F79=0),0,IF(AND(AB$3&gt;=G79,AB$3&lt;H79),F79*MIN(12,E79-(AB$3-G79)*12)/E79,0))</f>
        <v/>
      </c>
      <c r="AC17" s="138">
        <f>IF(OR(D79=0,E79=0,F79=0),0,IF(AND(AC$3&gt;=G79,AC$3&lt;H79),F79*MIN(12,E79-(AC$3-G79)*12)/E79,0))</f>
        <v/>
      </c>
      <c r="AD17" s="138">
        <f>IF(OR(D79=0,E79=0,F79=0),0,IF(AND(AD$3&gt;=G79,AD$3&lt;H79),F79*MIN(12,E79-(AD$3-G79)*12)/E79,0))</f>
        <v/>
      </c>
      <c r="AE17" s="138">
        <f>IF(OR(D79=0,E79=0,F79=0),0,IF(AND(AE$3&gt;=G79,AE$3&lt;H79),F79*MIN(12,E79-(AE$3-G79)*12)/E79,0))</f>
        <v/>
      </c>
      <c r="AF17" s="138">
        <f>IF(OR(D79=0,E79=0,F79=0),0,IF(AND(AF$3&gt;=G79,AF$3&lt;H79),F79*MIN(12,E79-(AF$3-G79)*12)/E79,0))</f>
        <v/>
      </c>
      <c r="AG17" s="138">
        <f>IF(OR(D79=0,E79=0,F79=0),0,IF(AND(AG$3&gt;=G79,AG$3&lt;H79),F79*MIN(12,E79-(AG$3-G79)*12)/E79,0))</f>
        <v/>
      </c>
      <c r="AH17" s="138">
        <f>IF(OR(D79=0,E79=0,F79=0),0,IF(AND(AH$3&gt;=G79,AH$3&lt;H79),F79*MIN(12,E79-(AH$3-G79)*12)/E79,0))</f>
        <v/>
      </c>
      <c r="AI17" s="138">
        <f>IF(OR(D79=0,E79=0,F79=0),0,IF(AND(AI$3&gt;=G79,AI$3&lt;H79),F79*MIN(12,E79-(AI$3-G79)*12)/E79,0))</f>
        <v/>
      </c>
      <c r="AJ17" s="138">
        <f>IF(OR(D79=0,E79=0,F79=0),0,IF(AND(AJ$3&gt;=G79,AJ$3&lt;H79),F79*MIN(12,E79-(AJ$3-G79)*12)/E79,0))</f>
        <v/>
      </c>
      <c r="AK17" s="138">
        <f>IF(OR(D79=0,E79=0,F79=0),0,IF(AND(AK$3&gt;=G79,AK$3&lt;H79),F79*MIN(12,E79-(AK$3-G79)*12)/E79,0))</f>
        <v/>
      </c>
      <c r="AL17" s="138">
        <f>IF(OR(D79=0,E79=0,F79=0),0,IF(AND(AL$3&gt;=G79,AL$3&lt;H79),F79*MIN(12,E79-(AL$3-G79)*12)/E79,0))</f>
        <v/>
      </c>
      <c r="AM17" s="138">
        <f>IF(OR(D79=0,E79=0,F79=0),0,IF(AND(AM$3&gt;=G79,AM$3&lt;H79),F79*MIN(12,E79-(AM$3-G79)*12)/E79,0))</f>
        <v/>
      </c>
      <c r="AN17" s="138">
        <f>IF(OR(D79=0,E79=0,F79=0),0,IF(AND(AN$3&gt;=G79,AN$3&lt;H79),F79*MIN(12,E79-(AN$3-G79)*12)/E79,0))</f>
        <v/>
      </c>
      <c r="AO17" s="138">
        <f>IF(OR(D79=0,E79=0,F79=0),0,IF(AND(AO$3&gt;=G79,AO$3&lt;H79),F79*MIN(12,E79-(AO$3-G79)*12)/E79,0))</f>
        <v/>
      </c>
      <c r="AP17" s="138">
        <f>IF(OR(D79=0,E79=0,F79=0),0,IF(AND(AP$3&gt;=G79,AP$3&lt;H79),F79*MIN(12,E79-(AP$3-G79)*12)/E79,0))</f>
        <v/>
      </c>
      <c r="AQ17" s="138">
        <f>IF(OR(D79=0,E79=0,F79=0),0,IF(AND(AQ$3&gt;=G79,AQ$3&lt;H79),F79*MIN(12,E79-(AQ$3-G79)*12)/E79,0))</f>
        <v/>
      </c>
      <c r="AR17" s="138">
        <f>IF(OR(D79=0,E79=0,F79=0),0,IF(AND(AR$3&gt;=G79,AR$3&lt;H79),F79*MIN(12,E79-(AR$3-G79)*12)/E79,0))</f>
        <v/>
      </c>
      <c r="AS17" s="138">
        <f>IF(OR(D79=0,E79=0,F79=0),0,IF(AND(AS$3&gt;=G79,AS$3&lt;H79),F79*MIN(12,E79-(AS$3-G79)*12)/E79,0))</f>
        <v/>
      </c>
      <c r="AT17" s="138">
        <f>IF(OR(D79=0,E79=0,F79=0),0,IF(AND(AT$3&gt;=G79,AT$3&lt;H79),F79*MIN(12,E79-(AT$3-G79)*12)/E79,0))</f>
        <v/>
      </c>
      <c r="AU17" s="138">
        <f>IF(OR(D79=0,E79=0,F79=0),0,IF(AND(AU$3&gt;=G79,AU$3&lt;H79),F79*MIN(12,E79-(AU$3-G79)*12)/E79,0))</f>
        <v/>
      </c>
      <c r="AV17" s="138">
        <f>IF(OR(D79=0,E79=0,F79=0),0,IF(AND(AV$3&gt;=G79,AV$3&lt;H79),F79*MIN(12,E79-(AV$3-G79)*12)/E79,0))</f>
        <v/>
      </c>
      <c r="AW17" s="138">
        <f>IF(OR(D79=0,E79=0,F79=0),0,IF(AND(AW$3&gt;=G79,AW$3&lt;H79),F79*MIN(12,E79-(AW$3-G79)*12)/E79,0))</f>
        <v/>
      </c>
      <c r="AX17" s="138">
        <f>IF(OR(D79=0,E79=0,F79=0),0,IF(AND(AX$3&gt;=G79,AX$3&lt;H79),F79*MIN(12,E79-(AX$3-G79)*12)/E79,0))</f>
        <v/>
      </c>
      <c r="AY17" s="138">
        <f>IF(OR(D79=0,E79=0,F79=0),0,IF(AND(AY$3&gt;=G79,AY$3&lt;H79),F79*MIN(12,E79-(AY$3-G79)*12)/E79,0))</f>
        <v/>
      </c>
      <c r="AZ17" s="138">
        <f>IF(OR(D79=0,E79=0,F79=0),0,IF(AND(AZ$3&gt;=G79,AZ$3&lt;H79),F79*MIN(12,E79-(AZ$3-G79)*12)/E79,0))</f>
        <v/>
      </c>
      <c r="BA17" s="138">
        <f>IF(OR(D79=0,E79=0,F79=0),0,IF(AND(BA$3&gt;=G79,BA$3&lt;H79),F79*MIN(12,E79-(BA$3-G79)*12)/E79,0))</f>
        <v/>
      </c>
      <c r="BB17" s="138">
        <f>IF(OR(D79=0,E79=0,F79=0),0,IF(AND(BB$3&gt;=G79,BB$3&lt;H79),F79*MIN(12,E79-(BB$3-G79)*12)/E79,0))</f>
        <v/>
      </c>
    </row>
    <row r="18" ht="15" customHeight="1" s="91">
      <c r="A18" s="138">
        <f>A80</f>
        <v/>
      </c>
      <c r="B18" s="138">
        <f>B80</f>
        <v/>
      </c>
      <c r="C18" s="138">
        <f>C80</f>
        <v/>
      </c>
      <c r="D18" s="138">
        <f>SUM(E18:BB18)</f>
        <v/>
      </c>
      <c r="E18" s="138">
        <f>IF(OR(D80=0,E80=0,F80=0),0,IF(AND(E$3&gt;=G80,E$3&lt;H80),F80*MIN(12,E80-(E$3-G80)*12)/E80,0))</f>
        <v/>
      </c>
      <c r="F18" s="138">
        <f>IF(OR(D80=0,E80=0,F80=0),0,IF(AND(F$3&gt;=G80,F$3&lt;H80),F80*MIN(12,E80-(F$3-G80)*12)/E80,0))</f>
        <v/>
      </c>
      <c r="G18" s="138">
        <f>IF(OR(D80=0,E80=0,F80=0),0,IF(AND(G$3&gt;=G80,G$3&lt;H80),F80*MIN(12,E80-(G$3-G80)*12)/E80,0))</f>
        <v/>
      </c>
      <c r="H18" s="138">
        <f>IF(OR(D80=0,E80=0,F80=0),0,IF(AND(H$3&gt;=G80,H$3&lt;H80),F80*MIN(12,E80-(H$3-G80)*12)/E80,0))</f>
        <v/>
      </c>
      <c r="I18" s="138">
        <f>IF(OR(D80=0,E80=0,F80=0),0,IF(AND(I$3&gt;=G80,I$3&lt;H80),F80*MIN(12,E80-(I$3-G80)*12)/E80,0))</f>
        <v/>
      </c>
      <c r="J18" s="138">
        <f>IF(OR(D80=0,E80=0,F80=0),0,IF(AND(J$3&gt;=G80,J$3&lt;H80),F80*MIN(12,E80-(J$3-G80)*12)/E80,0))</f>
        <v/>
      </c>
      <c r="K18" s="138">
        <f>IF(OR(D80=0,E80=0,F80=0),0,IF(AND(K$3&gt;=G80,K$3&lt;H80),F80*MIN(12,E80-(K$3-G80)*12)/E80,0))</f>
        <v/>
      </c>
      <c r="L18" s="138">
        <f>IF(OR(D80=0,E80=0,F80=0),0,IF(AND(L$3&gt;=G80,L$3&lt;H80),F80*MIN(12,E80-(L$3-G80)*12)/E80,0))</f>
        <v/>
      </c>
      <c r="M18" s="138">
        <f>IF(OR(D80=0,E80=0,F80=0),0,IF(AND(M$3&gt;=G80,M$3&lt;H80),F80*MIN(12,E80-(M$3-G80)*12)/E80,0))</f>
        <v/>
      </c>
      <c r="N18" s="138">
        <f>IF(OR(D80=0,E80=0,F80=0),0,IF(AND(N$3&gt;=G80,N$3&lt;H80),F80*MIN(12,E80-(N$3-G80)*12)/E80,0))</f>
        <v/>
      </c>
      <c r="O18" s="138">
        <f>IF(OR(D80=0,E80=0,F80=0),0,IF(AND(O$3&gt;=G80,O$3&lt;H80),F80*MIN(12,E80-(O$3-G80)*12)/E80,0))</f>
        <v/>
      </c>
      <c r="P18" s="138">
        <f>IF(OR(D80=0,E80=0,F80=0),0,IF(AND(P$3&gt;=G80,P$3&lt;H80),F80*MIN(12,E80-(P$3-G80)*12)/E80,0))</f>
        <v/>
      </c>
      <c r="Q18" s="138">
        <f>IF(OR(D80=0,E80=0,F80=0),0,IF(AND(Q$3&gt;=G80,Q$3&lt;H80),F80*MIN(12,E80-(Q$3-G80)*12)/E80,0))</f>
        <v/>
      </c>
      <c r="R18" s="138">
        <f>IF(OR(D80=0,E80=0,F80=0),0,IF(AND(R$3&gt;=G80,R$3&lt;H80),F80*MIN(12,E80-(R$3-G80)*12)/E80,0))</f>
        <v/>
      </c>
      <c r="S18" s="138">
        <f>IF(OR(D80=0,E80=0,F80=0),0,IF(AND(S$3&gt;=G80,S$3&lt;H80),F80*MIN(12,E80-(S$3-G80)*12)/E80,0))</f>
        <v/>
      </c>
      <c r="T18" s="138">
        <f>IF(OR(D80=0,E80=0,F80=0),0,IF(AND(T$3&gt;=G80,T$3&lt;H80),F80*MIN(12,E80-(T$3-G80)*12)/E80,0))</f>
        <v/>
      </c>
      <c r="U18" s="138">
        <f>IF(OR(D80=0,E80=0,F80=0),0,IF(AND(U$3&gt;=G80,U$3&lt;H80),F80*MIN(12,E80-(U$3-G80)*12)/E80,0))</f>
        <v/>
      </c>
      <c r="V18" s="138">
        <f>IF(OR(D80=0,E80=0,F80=0),0,IF(AND(V$3&gt;=G80,V$3&lt;H80),F80*MIN(12,E80-(V$3-G80)*12)/E80,0))</f>
        <v/>
      </c>
      <c r="W18" s="138">
        <f>IF(OR(D80=0,E80=0,F80=0),0,IF(AND(W$3&gt;=G80,W$3&lt;H80),F80*MIN(12,E80-(W$3-G80)*12)/E80,0))</f>
        <v/>
      </c>
      <c r="X18" s="138">
        <f>IF(OR(D80=0,E80=0,F80=0),0,IF(AND(X$3&gt;=G80,X$3&lt;H80),F80*MIN(12,E80-(X$3-G80)*12)/E80,0))</f>
        <v/>
      </c>
      <c r="Y18" s="138">
        <f>IF(OR(D80=0,E80=0,F80=0),0,IF(AND(Y$3&gt;=G80,Y$3&lt;H80),F80*MIN(12,E80-(Y$3-G80)*12)/E80,0))</f>
        <v/>
      </c>
      <c r="Z18" s="138">
        <f>IF(OR(D80=0,E80=0,F80=0),0,IF(AND(Z$3&gt;=G80,Z$3&lt;H80),F80*MIN(12,E80-(Z$3-G80)*12)/E80,0))</f>
        <v/>
      </c>
      <c r="AA18" s="138">
        <f>IF(OR(D80=0,E80=0,F80=0),0,IF(AND(AA$3&gt;=G80,AA$3&lt;H80),F80*MIN(12,E80-(AA$3-G80)*12)/E80,0))</f>
        <v/>
      </c>
      <c r="AB18" s="138">
        <f>IF(OR(D80=0,E80=0,F80=0),0,IF(AND(AB$3&gt;=G80,AB$3&lt;H80),F80*MIN(12,E80-(AB$3-G80)*12)/E80,0))</f>
        <v/>
      </c>
      <c r="AC18" s="138">
        <f>IF(OR(D80=0,E80=0,F80=0),0,IF(AND(AC$3&gt;=G80,AC$3&lt;H80),F80*MIN(12,E80-(AC$3-G80)*12)/E80,0))</f>
        <v/>
      </c>
      <c r="AD18" s="138">
        <f>IF(OR(D80=0,E80=0,F80=0),0,IF(AND(AD$3&gt;=G80,AD$3&lt;H80),F80*MIN(12,E80-(AD$3-G80)*12)/E80,0))</f>
        <v/>
      </c>
      <c r="AE18" s="138">
        <f>IF(OR(D80=0,E80=0,F80=0),0,IF(AND(AE$3&gt;=G80,AE$3&lt;H80),F80*MIN(12,E80-(AE$3-G80)*12)/E80,0))</f>
        <v/>
      </c>
      <c r="AF18" s="138">
        <f>IF(OR(D80=0,E80=0,F80=0),0,IF(AND(AF$3&gt;=G80,AF$3&lt;H80),F80*MIN(12,E80-(AF$3-G80)*12)/E80,0))</f>
        <v/>
      </c>
      <c r="AG18" s="138">
        <f>IF(OR(D80=0,E80=0,F80=0),0,IF(AND(AG$3&gt;=G80,AG$3&lt;H80),F80*MIN(12,E80-(AG$3-G80)*12)/E80,0))</f>
        <v/>
      </c>
      <c r="AH18" s="138">
        <f>IF(OR(D80=0,E80=0,F80=0),0,IF(AND(AH$3&gt;=G80,AH$3&lt;H80),F80*MIN(12,E80-(AH$3-G80)*12)/E80,0))</f>
        <v/>
      </c>
      <c r="AI18" s="138">
        <f>IF(OR(D80=0,E80=0,F80=0),0,IF(AND(AI$3&gt;=G80,AI$3&lt;H80),F80*MIN(12,E80-(AI$3-G80)*12)/E80,0))</f>
        <v/>
      </c>
      <c r="AJ18" s="138">
        <f>IF(OR(D80=0,E80=0,F80=0),0,IF(AND(AJ$3&gt;=G80,AJ$3&lt;H80),F80*MIN(12,E80-(AJ$3-G80)*12)/E80,0))</f>
        <v/>
      </c>
      <c r="AK18" s="138">
        <f>IF(OR(D80=0,E80=0,F80=0),0,IF(AND(AK$3&gt;=G80,AK$3&lt;H80),F80*MIN(12,E80-(AK$3-G80)*12)/E80,0))</f>
        <v/>
      </c>
      <c r="AL18" s="138">
        <f>IF(OR(D80=0,E80=0,F80=0),0,IF(AND(AL$3&gt;=G80,AL$3&lt;H80),F80*MIN(12,E80-(AL$3-G80)*12)/E80,0))</f>
        <v/>
      </c>
      <c r="AM18" s="138">
        <f>IF(OR(D80=0,E80=0,F80=0),0,IF(AND(AM$3&gt;=G80,AM$3&lt;H80),F80*MIN(12,E80-(AM$3-G80)*12)/E80,0))</f>
        <v/>
      </c>
      <c r="AN18" s="138">
        <f>IF(OR(D80=0,E80=0,F80=0),0,IF(AND(AN$3&gt;=G80,AN$3&lt;H80),F80*MIN(12,E80-(AN$3-G80)*12)/E80,0))</f>
        <v/>
      </c>
      <c r="AO18" s="138">
        <f>IF(OR(D80=0,E80=0,F80=0),0,IF(AND(AO$3&gt;=G80,AO$3&lt;H80),F80*MIN(12,E80-(AO$3-G80)*12)/E80,0))</f>
        <v/>
      </c>
      <c r="AP18" s="138">
        <f>IF(OR(D80=0,E80=0,F80=0),0,IF(AND(AP$3&gt;=G80,AP$3&lt;H80),F80*MIN(12,E80-(AP$3-G80)*12)/E80,0))</f>
        <v/>
      </c>
      <c r="AQ18" s="138">
        <f>IF(OR(D80=0,E80=0,F80=0),0,IF(AND(AQ$3&gt;=G80,AQ$3&lt;H80),F80*MIN(12,E80-(AQ$3-G80)*12)/E80,0))</f>
        <v/>
      </c>
      <c r="AR18" s="138">
        <f>IF(OR(D80=0,E80=0,F80=0),0,IF(AND(AR$3&gt;=G80,AR$3&lt;H80),F80*MIN(12,E80-(AR$3-G80)*12)/E80,0))</f>
        <v/>
      </c>
      <c r="AS18" s="138">
        <f>IF(OR(D80=0,E80=0,F80=0),0,IF(AND(AS$3&gt;=G80,AS$3&lt;H80),F80*MIN(12,E80-(AS$3-G80)*12)/E80,0))</f>
        <v/>
      </c>
      <c r="AT18" s="138">
        <f>IF(OR(D80=0,E80=0,F80=0),0,IF(AND(AT$3&gt;=G80,AT$3&lt;H80),F80*MIN(12,E80-(AT$3-G80)*12)/E80,0))</f>
        <v/>
      </c>
      <c r="AU18" s="138">
        <f>IF(OR(D80=0,E80=0,F80=0),0,IF(AND(AU$3&gt;=G80,AU$3&lt;H80),F80*MIN(12,E80-(AU$3-G80)*12)/E80,0))</f>
        <v/>
      </c>
      <c r="AV18" s="138">
        <f>IF(OR(D80=0,E80=0,F80=0),0,IF(AND(AV$3&gt;=G80,AV$3&lt;H80),F80*MIN(12,E80-(AV$3-G80)*12)/E80,0))</f>
        <v/>
      </c>
      <c r="AW18" s="138">
        <f>IF(OR(D80=0,E80=0,F80=0),0,IF(AND(AW$3&gt;=G80,AW$3&lt;H80),F80*MIN(12,E80-(AW$3-G80)*12)/E80,0))</f>
        <v/>
      </c>
      <c r="AX18" s="138">
        <f>IF(OR(D80=0,E80=0,F80=0),0,IF(AND(AX$3&gt;=G80,AX$3&lt;H80),F80*MIN(12,E80-(AX$3-G80)*12)/E80,0))</f>
        <v/>
      </c>
      <c r="AY18" s="138">
        <f>IF(OR(D80=0,E80=0,F80=0),0,IF(AND(AY$3&gt;=G80,AY$3&lt;H80),F80*MIN(12,E80-(AY$3-G80)*12)/E80,0))</f>
        <v/>
      </c>
      <c r="AZ18" s="138">
        <f>IF(OR(D80=0,E80=0,F80=0),0,IF(AND(AZ$3&gt;=G80,AZ$3&lt;H80),F80*MIN(12,E80-(AZ$3-G80)*12)/E80,0))</f>
        <v/>
      </c>
      <c r="BA18" s="138">
        <f>IF(OR(D80=0,E80=0,F80=0),0,IF(AND(BA$3&gt;=G80,BA$3&lt;H80),F80*MIN(12,E80-(BA$3-G80)*12)/E80,0))</f>
        <v/>
      </c>
      <c r="BB18" s="138">
        <f>IF(OR(D80=0,E80=0,F80=0),0,IF(AND(BB$3&gt;=G80,BB$3&lt;H80),F80*MIN(12,E80-(BB$3-G80)*12)/E80,0))</f>
        <v/>
      </c>
    </row>
    <row r="19" ht="15" customHeight="1" s="91">
      <c r="A19" s="138">
        <f>A81</f>
        <v/>
      </c>
      <c r="B19" s="138">
        <f>B81</f>
        <v/>
      </c>
      <c r="C19" s="138">
        <f>C81</f>
        <v/>
      </c>
      <c r="D19" s="138">
        <f>SUM(E19:BB19)</f>
        <v/>
      </c>
      <c r="E19" s="138">
        <f>IF(OR(D81=0,E81=0,F81=0),0,IF(AND(E$3&gt;=G81,E$3&lt;H81),F81*MIN(12,E81-(E$3-G81)*12)/E81,0))</f>
        <v/>
      </c>
      <c r="F19" s="138">
        <f>IF(OR(D81=0,E81=0,F81=0),0,IF(AND(F$3&gt;=G81,F$3&lt;H81),F81*MIN(12,E81-(F$3-G81)*12)/E81,0))</f>
        <v/>
      </c>
      <c r="G19" s="138">
        <f>IF(OR(D81=0,E81=0,F81=0),0,IF(AND(G$3&gt;=G81,G$3&lt;H81),F81*MIN(12,E81-(G$3-G81)*12)/E81,0))</f>
        <v/>
      </c>
      <c r="H19" s="138">
        <f>IF(OR(D81=0,E81=0,F81=0),0,IF(AND(H$3&gt;=G81,H$3&lt;H81),F81*MIN(12,E81-(H$3-G81)*12)/E81,0))</f>
        <v/>
      </c>
      <c r="I19" s="138">
        <f>IF(OR(D81=0,E81=0,F81=0),0,IF(AND(I$3&gt;=G81,I$3&lt;H81),F81*MIN(12,E81-(I$3-G81)*12)/E81,0))</f>
        <v/>
      </c>
      <c r="J19" s="138">
        <f>IF(OR(D81=0,E81=0,F81=0),0,IF(AND(J$3&gt;=G81,J$3&lt;H81),F81*MIN(12,E81-(J$3-G81)*12)/E81,0))</f>
        <v/>
      </c>
      <c r="K19" s="138">
        <f>IF(OR(D81=0,E81=0,F81=0),0,IF(AND(K$3&gt;=G81,K$3&lt;H81),F81*MIN(12,E81-(K$3-G81)*12)/E81,0))</f>
        <v/>
      </c>
      <c r="L19" s="138">
        <f>IF(OR(D81=0,E81=0,F81=0),0,IF(AND(L$3&gt;=G81,L$3&lt;H81),F81*MIN(12,E81-(L$3-G81)*12)/E81,0))</f>
        <v/>
      </c>
      <c r="M19" s="138">
        <f>IF(OR(D81=0,E81=0,F81=0),0,IF(AND(M$3&gt;=G81,M$3&lt;H81),F81*MIN(12,E81-(M$3-G81)*12)/E81,0))</f>
        <v/>
      </c>
      <c r="N19" s="138">
        <f>IF(OR(D81=0,E81=0,F81=0),0,IF(AND(N$3&gt;=G81,N$3&lt;H81),F81*MIN(12,E81-(N$3-G81)*12)/E81,0))</f>
        <v/>
      </c>
      <c r="O19" s="138">
        <f>IF(OR(D81=0,E81=0,F81=0),0,IF(AND(O$3&gt;=G81,O$3&lt;H81),F81*MIN(12,E81-(O$3-G81)*12)/E81,0))</f>
        <v/>
      </c>
      <c r="P19" s="138">
        <f>IF(OR(D81=0,E81=0,F81=0),0,IF(AND(P$3&gt;=G81,P$3&lt;H81),F81*MIN(12,E81-(P$3-G81)*12)/E81,0))</f>
        <v/>
      </c>
      <c r="Q19" s="138">
        <f>IF(OR(D81=0,E81=0,F81=0),0,IF(AND(Q$3&gt;=G81,Q$3&lt;H81),F81*MIN(12,E81-(Q$3-G81)*12)/E81,0))</f>
        <v/>
      </c>
      <c r="R19" s="138">
        <f>IF(OR(D81=0,E81=0,F81=0),0,IF(AND(R$3&gt;=G81,R$3&lt;H81),F81*MIN(12,E81-(R$3-G81)*12)/E81,0))</f>
        <v/>
      </c>
      <c r="S19" s="138">
        <f>IF(OR(D81=0,E81=0,F81=0),0,IF(AND(S$3&gt;=G81,S$3&lt;H81),F81*MIN(12,E81-(S$3-G81)*12)/E81,0))</f>
        <v/>
      </c>
      <c r="T19" s="138">
        <f>IF(OR(D81=0,E81=0,F81=0),0,IF(AND(T$3&gt;=G81,T$3&lt;H81),F81*MIN(12,E81-(T$3-G81)*12)/E81,0))</f>
        <v/>
      </c>
      <c r="U19" s="138">
        <f>IF(OR(D81=0,E81=0,F81=0),0,IF(AND(U$3&gt;=G81,U$3&lt;H81),F81*MIN(12,E81-(U$3-G81)*12)/E81,0))</f>
        <v/>
      </c>
      <c r="V19" s="138">
        <f>IF(OR(D81=0,E81=0,F81=0),0,IF(AND(V$3&gt;=G81,V$3&lt;H81),F81*MIN(12,E81-(V$3-G81)*12)/E81,0))</f>
        <v/>
      </c>
      <c r="W19" s="138">
        <f>IF(OR(D81=0,E81=0,F81=0),0,IF(AND(W$3&gt;=G81,W$3&lt;H81),F81*MIN(12,E81-(W$3-G81)*12)/E81,0))</f>
        <v/>
      </c>
      <c r="X19" s="138">
        <f>IF(OR(D81=0,E81=0,F81=0),0,IF(AND(X$3&gt;=G81,X$3&lt;H81),F81*MIN(12,E81-(X$3-G81)*12)/E81,0))</f>
        <v/>
      </c>
      <c r="Y19" s="138">
        <f>IF(OR(D81=0,E81=0,F81=0),0,IF(AND(Y$3&gt;=G81,Y$3&lt;H81),F81*MIN(12,E81-(Y$3-G81)*12)/E81,0))</f>
        <v/>
      </c>
      <c r="Z19" s="138">
        <f>IF(OR(D81=0,E81=0,F81=0),0,IF(AND(Z$3&gt;=G81,Z$3&lt;H81),F81*MIN(12,E81-(Z$3-G81)*12)/E81,0))</f>
        <v/>
      </c>
      <c r="AA19" s="138">
        <f>IF(OR(D81=0,E81=0,F81=0),0,IF(AND(AA$3&gt;=G81,AA$3&lt;H81),F81*MIN(12,E81-(AA$3-G81)*12)/E81,0))</f>
        <v/>
      </c>
      <c r="AB19" s="138">
        <f>IF(OR(D81=0,E81=0,F81=0),0,IF(AND(AB$3&gt;=G81,AB$3&lt;H81),F81*MIN(12,E81-(AB$3-G81)*12)/E81,0))</f>
        <v/>
      </c>
      <c r="AC19" s="138">
        <f>IF(OR(D81=0,E81=0,F81=0),0,IF(AND(AC$3&gt;=G81,AC$3&lt;H81),F81*MIN(12,E81-(AC$3-G81)*12)/E81,0))</f>
        <v/>
      </c>
      <c r="AD19" s="138">
        <f>IF(OR(D81=0,E81=0,F81=0),0,IF(AND(AD$3&gt;=G81,AD$3&lt;H81),F81*MIN(12,E81-(AD$3-G81)*12)/E81,0))</f>
        <v/>
      </c>
      <c r="AE19" s="138">
        <f>IF(OR(D81=0,E81=0,F81=0),0,IF(AND(AE$3&gt;=G81,AE$3&lt;H81),F81*MIN(12,E81-(AE$3-G81)*12)/E81,0))</f>
        <v/>
      </c>
      <c r="AF19" s="138">
        <f>IF(OR(D81=0,E81=0,F81=0),0,IF(AND(AF$3&gt;=G81,AF$3&lt;H81),F81*MIN(12,E81-(AF$3-G81)*12)/E81,0))</f>
        <v/>
      </c>
      <c r="AG19" s="138">
        <f>IF(OR(D81=0,E81=0,F81=0),0,IF(AND(AG$3&gt;=G81,AG$3&lt;H81),F81*MIN(12,E81-(AG$3-G81)*12)/E81,0))</f>
        <v/>
      </c>
      <c r="AH19" s="138">
        <f>IF(OR(D81=0,E81=0,F81=0),0,IF(AND(AH$3&gt;=G81,AH$3&lt;H81),F81*MIN(12,E81-(AH$3-G81)*12)/E81,0))</f>
        <v/>
      </c>
      <c r="AI19" s="138">
        <f>IF(OR(D81=0,E81=0,F81=0),0,IF(AND(AI$3&gt;=G81,AI$3&lt;H81),F81*MIN(12,E81-(AI$3-G81)*12)/E81,0))</f>
        <v/>
      </c>
      <c r="AJ19" s="138">
        <f>IF(OR(D81=0,E81=0,F81=0),0,IF(AND(AJ$3&gt;=G81,AJ$3&lt;H81),F81*MIN(12,E81-(AJ$3-G81)*12)/E81,0))</f>
        <v/>
      </c>
      <c r="AK19" s="138">
        <f>IF(OR(D81=0,E81=0,F81=0),0,IF(AND(AK$3&gt;=G81,AK$3&lt;H81),F81*MIN(12,E81-(AK$3-G81)*12)/E81,0))</f>
        <v/>
      </c>
      <c r="AL19" s="138">
        <f>IF(OR(D81=0,E81=0,F81=0),0,IF(AND(AL$3&gt;=G81,AL$3&lt;H81),F81*MIN(12,E81-(AL$3-G81)*12)/E81,0))</f>
        <v/>
      </c>
      <c r="AM19" s="138">
        <f>IF(OR(D81=0,E81=0,F81=0),0,IF(AND(AM$3&gt;=G81,AM$3&lt;H81),F81*MIN(12,E81-(AM$3-G81)*12)/E81,0))</f>
        <v/>
      </c>
      <c r="AN19" s="138">
        <f>IF(OR(D81=0,E81=0,F81=0),0,IF(AND(AN$3&gt;=G81,AN$3&lt;H81),F81*MIN(12,E81-(AN$3-G81)*12)/E81,0))</f>
        <v/>
      </c>
      <c r="AO19" s="138">
        <f>IF(OR(D81=0,E81=0,F81=0),0,IF(AND(AO$3&gt;=G81,AO$3&lt;H81),F81*MIN(12,E81-(AO$3-G81)*12)/E81,0))</f>
        <v/>
      </c>
      <c r="AP19" s="138">
        <f>IF(OR(D81=0,E81=0,F81=0),0,IF(AND(AP$3&gt;=G81,AP$3&lt;H81),F81*MIN(12,E81-(AP$3-G81)*12)/E81,0))</f>
        <v/>
      </c>
      <c r="AQ19" s="138">
        <f>IF(OR(D81=0,E81=0,F81=0),0,IF(AND(AQ$3&gt;=G81,AQ$3&lt;H81),F81*MIN(12,E81-(AQ$3-G81)*12)/E81,0))</f>
        <v/>
      </c>
      <c r="AR19" s="138">
        <f>IF(OR(D81=0,E81=0,F81=0),0,IF(AND(AR$3&gt;=G81,AR$3&lt;H81),F81*MIN(12,E81-(AR$3-G81)*12)/E81,0))</f>
        <v/>
      </c>
      <c r="AS19" s="138">
        <f>IF(OR(D81=0,E81=0,F81=0),0,IF(AND(AS$3&gt;=G81,AS$3&lt;H81),F81*MIN(12,E81-(AS$3-G81)*12)/E81,0))</f>
        <v/>
      </c>
      <c r="AT19" s="138">
        <f>IF(OR(D81=0,E81=0,F81=0),0,IF(AND(AT$3&gt;=G81,AT$3&lt;H81),F81*MIN(12,E81-(AT$3-G81)*12)/E81,0))</f>
        <v/>
      </c>
      <c r="AU19" s="138">
        <f>IF(OR(D81=0,E81=0,F81=0),0,IF(AND(AU$3&gt;=G81,AU$3&lt;H81),F81*MIN(12,E81-(AU$3-G81)*12)/E81,0))</f>
        <v/>
      </c>
      <c r="AV19" s="138">
        <f>IF(OR(D81=0,E81=0,F81=0),0,IF(AND(AV$3&gt;=G81,AV$3&lt;H81),F81*MIN(12,E81-(AV$3-G81)*12)/E81,0))</f>
        <v/>
      </c>
      <c r="AW19" s="138">
        <f>IF(OR(D81=0,E81=0,F81=0),0,IF(AND(AW$3&gt;=G81,AW$3&lt;H81),F81*MIN(12,E81-(AW$3-G81)*12)/E81,0))</f>
        <v/>
      </c>
      <c r="AX19" s="138">
        <f>IF(OR(D81=0,E81=0,F81=0),0,IF(AND(AX$3&gt;=G81,AX$3&lt;H81),F81*MIN(12,E81-(AX$3-G81)*12)/E81,0))</f>
        <v/>
      </c>
      <c r="AY19" s="138">
        <f>IF(OR(D81=0,E81=0,F81=0),0,IF(AND(AY$3&gt;=G81,AY$3&lt;H81),F81*MIN(12,E81-(AY$3-G81)*12)/E81,0))</f>
        <v/>
      </c>
      <c r="AZ19" s="138">
        <f>IF(OR(D81=0,E81=0,F81=0),0,IF(AND(AZ$3&gt;=G81,AZ$3&lt;H81),F81*MIN(12,E81-(AZ$3-G81)*12)/E81,0))</f>
        <v/>
      </c>
      <c r="BA19" s="138">
        <f>IF(OR(D81=0,E81=0,F81=0),0,IF(AND(BA$3&gt;=G81,BA$3&lt;H81),F81*MIN(12,E81-(BA$3-G81)*12)/E81,0))</f>
        <v/>
      </c>
      <c r="BB19" s="138">
        <f>IF(OR(D81=0,E81=0,F81=0),0,IF(AND(BB$3&gt;=G81,BB$3&lt;H81),F81*MIN(12,E81-(BB$3-G81)*12)/E81,0))</f>
        <v/>
      </c>
    </row>
    <row r="20" ht="15" customHeight="1" s="91">
      <c r="A20" s="138">
        <f>A82</f>
        <v/>
      </c>
      <c r="B20" s="138">
        <f>B82</f>
        <v/>
      </c>
      <c r="C20" s="138">
        <f>C82</f>
        <v/>
      </c>
      <c r="D20" s="138">
        <f>SUM(E20:BB20)</f>
        <v/>
      </c>
      <c r="E20" s="138">
        <f>IF(OR(D82=0,E82=0,F82=0),0,IF(AND(E$3&gt;=G82,E$3&lt;H82),F82*MIN(12,E82-(E$3-G82)*12)/E82,0))</f>
        <v/>
      </c>
      <c r="F20" s="138">
        <f>IF(OR(D82=0,E82=0,F82=0),0,IF(AND(F$3&gt;=G82,F$3&lt;H82),F82*MIN(12,E82-(F$3-G82)*12)/E82,0))</f>
        <v/>
      </c>
      <c r="G20" s="138">
        <f>IF(OR(D82=0,E82=0,F82=0),0,IF(AND(G$3&gt;=G82,G$3&lt;H82),F82*MIN(12,E82-(G$3-G82)*12)/E82,0))</f>
        <v/>
      </c>
      <c r="H20" s="138">
        <f>IF(OR(D82=0,E82=0,F82=0),0,IF(AND(H$3&gt;=G82,H$3&lt;H82),F82*MIN(12,E82-(H$3-G82)*12)/E82,0))</f>
        <v/>
      </c>
      <c r="I20" s="138">
        <f>IF(OR(D82=0,E82=0,F82=0),0,IF(AND(I$3&gt;=G82,I$3&lt;H82),F82*MIN(12,E82-(I$3-G82)*12)/E82,0))</f>
        <v/>
      </c>
      <c r="J20" s="138">
        <f>IF(OR(D82=0,E82=0,F82=0),0,IF(AND(J$3&gt;=G82,J$3&lt;H82),F82*MIN(12,E82-(J$3-G82)*12)/E82,0))</f>
        <v/>
      </c>
      <c r="K20" s="138">
        <f>IF(OR(D82=0,E82=0,F82=0),0,IF(AND(K$3&gt;=G82,K$3&lt;H82),F82*MIN(12,E82-(K$3-G82)*12)/E82,0))</f>
        <v/>
      </c>
      <c r="L20" s="138">
        <f>IF(OR(D82=0,E82=0,F82=0),0,IF(AND(L$3&gt;=G82,L$3&lt;H82),F82*MIN(12,E82-(L$3-G82)*12)/E82,0))</f>
        <v/>
      </c>
      <c r="M20" s="138">
        <f>IF(OR(D82=0,E82=0,F82=0),0,IF(AND(M$3&gt;=G82,M$3&lt;H82),F82*MIN(12,E82-(M$3-G82)*12)/E82,0))</f>
        <v/>
      </c>
      <c r="N20" s="138">
        <f>IF(OR(D82=0,E82=0,F82=0),0,IF(AND(N$3&gt;=G82,N$3&lt;H82),F82*MIN(12,E82-(N$3-G82)*12)/E82,0))</f>
        <v/>
      </c>
      <c r="O20" s="138">
        <f>IF(OR(D82=0,E82=0,F82=0),0,IF(AND(O$3&gt;=G82,O$3&lt;H82),F82*MIN(12,E82-(O$3-G82)*12)/E82,0))</f>
        <v/>
      </c>
      <c r="P20" s="138">
        <f>IF(OR(D82=0,E82=0,F82=0),0,IF(AND(P$3&gt;=G82,P$3&lt;H82),F82*MIN(12,E82-(P$3-G82)*12)/E82,0))</f>
        <v/>
      </c>
      <c r="Q20" s="138">
        <f>IF(OR(D82=0,E82=0,F82=0),0,IF(AND(Q$3&gt;=G82,Q$3&lt;H82),F82*MIN(12,E82-(Q$3-G82)*12)/E82,0))</f>
        <v/>
      </c>
      <c r="R20" s="138">
        <f>IF(OR(D82=0,E82=0,F82=0),0,IF(AND(R$3&gt;=G82,R$3&lt;H82),F82*MIN(12,E82-(R$3-G82)*12)/E82,0))</f>
        <v/>
      </c>
      <c r="S20" s="138">
        <f>IF(OR(D82=0,E82=0,F82=0),0,IF(AND(S$3&gt;=G82,S$3&lt;H82),F82*MIN(12,E82-(S$3-G82)*12)/E82,0))</f>
        <v/>
      </c>
      <c r="T20" s="138">
        <f>IF(OR(D82=0,E82=0,F82=0),0,IF(AND(T$3&gt;=G82,T$3&lt;H82),F82*MIN(12,E82-(T$3-G82)*12)/E82,0))</f>
        <v/>
      </c>
      <c r="U20" s="138">
        <f>IF(OR(D82=0,E82=0,F82=0),0,IF(AND(U$3&gt;=G82,U$3&lt;H82),F82*MIN(12,E82-(U$3-G82)*12)/E82,0))</f>
        <v/>
      </c>
      <c r="V20" s="138">
        <f>IF(OR(D82=0,E82=0,F82=0),0,IF(AND(V$3&gt;=G82,V$3&lt;H82),F82*MIN(12,E82-(V$3-G82)*12)/E82,0))</f>
        <v/>
      </c>
      <c r="W20" s="138">
        <f>IF(OR(D82=0,E82=0,F82=0),0,IF(AND(W$3&gt;=G82,W$3&lt;H82),F82*MIN(12,E82-(W$3-G82)*12)/E82,0))</f>
        <v/>
      </c>
      <c r="X20" s="138">
        <f>IF(OR(D82=0,E82=0,F82=0),0,IF(AND(X$3&gt;=G82,X$3&lt;H82),F82*MIN(12,E82-(X$3-G82)*12)/E82,0))</f>
        <v/>
      </c>
      <c r="Y20" s="138">
        <f>IF(OR(D82=0,E82=0,F82=0),0,IF(AND(Y$3&gt;=G82,Y$3&lt;H82),F82*MIN(12,E82-(Y$3-G82)*12)/E82,0))</f>
        <v/>
      </c>
      <c r="Z20" s="138">
        <f>IF(OR(D82=0,E82=0,F82=0),0,IF(AND(Z$3&gt;=G82,Z$3&lt;H82),F82*MIN(12,E82-(Z$3-G82)*12)/E82,0))</f>
        <v/>
      </c>
      <c r="AA20" s="138">
        <f>IF(OR(D82=0,E82=0,F82=0),0,IF(AND(AA$3&gt;=G82,AA$3&lt;H82),F82*MIN(12,E82-(AA$3-G82)*12)/E82,0))</f>
        <v/>
      </c>
      <c r="AB20" s="138">
        <f>IF(OR(D82=0,E82=0,F82=0),0,IF(AND(AB$3&gt;=G82,AB$3&lt;H82),F82*MIN(12,E82-(AB$3-G82)*12)/E82,0))</f>
        <v/>
      </c>
      <c r="AC20" s="138">
        <f>IF(OR(D82=0,E82=0,F82=0),0,IF(AND(AC$3&gt;=G82,AC$3&lt;H82),F82*MIN(12,E82-(AC$3-G82)*12)/E82,0))</f>
        <v/>
      </c>
      <c r="AD20" s="138">
        <f>IF(OR(D82=0,E82=0,F82=0),0,IF(AND(AD$3&gt;=G82,AD$3&lt;H82),F82*MIN(12,E82-(AD$3-G82)*12)/E82,0))</f>
        <v/>
      </c>
      <c r="AE20" s="138">
        <f>IF(OR(D82=0,E82=0,F82=0),0,IF(AND(AE$3&gt;=G82,AE$3&lt;H82),F82*MIN(12,E82-(AE$3-G82)*12)/E82,0))</f>
        <v/>
      </c>
      <c r="AF20" s="138">
        <f>IF(OR(D82=0,E82=0,F82=0),0,IF(AND(AF$3&gt;=G82,AF$3&lt;H82),F82*MIN(12,E82-(AF$3-G82)*12)/E82,0))</f>
        <v/>
      </c>
      <c r="AG20" s="138">
        <f>IF(OR(D82=0,E82=0,F82=0),0,IF(AND(AG$3&gt;=G82,AG$3&lt;H82),F82*MIN(12,E82-(AG$3-G82)*12)/E82,0))</f>
        <v/>
      </c>
      <c r="AH20" s="138">
        <f>IF(OR(D82=0,E82=0,F82=0),0,IF(AND(AH$3&gt;=G82,AH$3&lt;H82),F82*MIN(12,E82-(AH$3-G82)*12)/E82,0))</f>
        <v/>
      </c>
      <c r="AI20" s="138">
        <f>IF(OR(D82=0,E82=0,F82=0),0,IF(AND(AI$3&gt;=G82,AI$3&lt;H82),F82*MIN(12,E82-(AI$3-G82)*12)/E82,0))</f>
        <v/>
      </c>
      <c r="AJ20" s="138">
        <f>IF(OR(D82=0,E82=0,F82=0),0,IF(AND(AJ$3&gt;=G82,AJ$3&lt;H82),F82*MIN(12,E82-(AJ$3-G82)*12)/E82,0))</f>
        <v/>
      </c>
      <c r="AK20" s="138">
        <f>IF(OR(D82=0,E82=0,F82=0),0,IF(AND(AK$3&gt;=G82,AK$3&lt;H82),F82*MIN(12,E82-(AK$3-G82)*12)/E82,0))</f>
        <v/>
      </c>
      <c r="AL20" s="138">
        <f>IF(OR(D82=0,E82=0,F82=0),0,IF(AND(AL$3&gt;=G82,AL$3&lt;H82),F82*MIN(12,E82-(AL$3-G82)*12)/E82,0))</f>
        <v/>
      </c>
      <c r="AM20" s="138">
        <f>IF(OR(D82=0,E82=0,F82=0),0,IF(AND(AM$3&gt;=G82,AM$3&lt;H82),F82*MIN(12,E82-(AM$3-G82)*12)/E82,0))</f>
        <v/>
      </c>
      <c r="AN20" s="138">
        <f>IF(OR(D82=0,E82=0,F82=0),0,IF(AND(AN$3&gt;=G82,AN$3&lt;H82),F82*MIN(12,E82-(AN$3-G82)*12)/E82,0))</f>
        <v/>
      </c>
      <c r="AO20" s="138">
        <f>IF(OR(D82=0,E82=0,F82=0),0,IF(AND(AO$3&gt;=G82,AO$3&lt;H82),F82*MIN(12,E82-(AO$3-G82)*12)/E82,0))</f>
        <v/>
      </c>
      <c r="AP20" s="138">
        <f>IF(OR(D82=0,E82=0,F82=0),0,IF(AND(AP$3&gt;=G82,AP$3&lt;H82),F82*MIN(12,E82-(AP$3-G82)*12)/E82,0))</f>
        <v/>
      </c>
      <c r="AQ20" s="138">
        <f>IF(OR(D82=0,E82=0,F82=0),0,IF(AND(AQ$3&gt;=G82,AQ$3&lt;H82),F82*MIN(12,E82-(AQ$3-G82)*12)/E82,0))</f>
        <v/>
      </c>
      <c r="AR20" s="138">
        <f>IF(OR(D82=0,E82=0,F82=0),0,IF(AND(AR$3&gt;=G82,AR$3&lt;H82),F82*MIN(12,E82-(AR$3-G82)*12)/E82,0))</f>
        <v/>
      </c>
      <c r="AS20" s="138">
        <f>IF(OR(D82=0,E82=0,F82=0),0,IF(AND(AS$3&gt;=G82,AS$3&lt;H82),F82*MIN(12,E82-(AS$3-G82)*12)/E82,0))</f>
        <v/>
      </c>
      <c r="AT20" s="138">
        <f>IF(OR(D82=0,E82=0,F82=0),0,IF(AND(AT$3&gt;=G82,AT$3&lt;H82),F82*MIN(12,E82-(AT$3-G82)*12)/E82,0))</f>
        <v/>
      </c>
      <c r="AU20" s="138">
        <f>IF(OR(D82=0,E82=0,F82=0),0,IF(AND(AU$3&gt;=G82,AU$3&lt;H82),F82*MIN(12,E82-(AU$3-G82)*12)/E82,0))</f>
        <v/>
      </c>
      <c r="AV20" s="138">
        <f>IF(OR(D82=0,E82=0,F82=0),0,IF(AND(AV$3&gt;=G82,AV$3&lt;H82),F82*MIN(12,E82-(AV$3-G82)*12)/E82,0))</f>
        <v/>
      </c>
      <c r="AW20" s="138">
        <f>IF(OR(D82=0,E82=0,F82=0),0,IF(AND(AW$3&gt;=G82,AW$3&lt;H82),F82*MIN(12,E82-(AW$3-G82)*12)/E82,0))</f>
        <v/>
      </c>
      <c r="AX20" s="138">
        <f>IF(OR(D82=0,E82=0,F82=0),0,IF(AND(AX$3&gt;=G82,AX$3&lt;H82),F82*MIN(12,E82-(AX$3-G82)*12)/E82,0))</f>
        <v/>
      </c>
      <c r="AY20" s="138">
        <f>IF(OR(D82=0,E82=0,F82=0),0,IF(AND(AY$3&gt;=G82,AY$3&lt;H82),F82*MIN(12,E82-(AY$3-G82)*12)/E82,0))</f>
        <v/>
      </c>
      <c r="AZ20" s="138">
        <f>IF(OR(D82=0,E82=0,F82=0),0,IF(AND(AZ$3&gt;=G82,AZ$3&lt;H82),F82*MIN(12,E82-(AZ$3-G82)*12)/E82,0))</f>
        <v/>
      </c>
      <c r="BA20" s="138">
        <f>IF(OR(D82=0,E82=0,F82=0),0,IF(AND(BA$3&gt;=G82,BA$3&lt;H82),F82*MIN(12,E82-(BA$3-G82)*12)/E82,0))</f>
        <v/>
      </c>
      <c r="BB20" s="138">
        <f>IF(OR(D82=0,E82=0,F82=0),0,IF(AND(BB$3&gt;=G82,BB$3&lt;H82),F82*MIN(12,E82-(BB$3-G82)*12)/E82,0))</f>
        <v/>
      </c>
    </row>
    <row r="21" ht="15" customHeight="1" s="91">
      <c r="A21" s="138">
        <f>A83</f>
        <v/>
      </c>
      <c r="B21" s="138">
        <f>B83</f>
        <v/>
      </c>
      <c r="C21" s="138">
        <f>C83</f>
        <v/>
      </c>
      <c r="D21" s="138">
        <f>SUM(E21:BB21)</f>
        <v/>
      </c>
      <c r="E21" s="138">
        <f>IF(OR(D83=0,E83=0,F83=0),0,IF(AND(E$3&gt;=G83,E$3&lt;H83),F83*MIN(12,E83-(E$3-G83)*12)/E83,0))</f>
        <v/>
      </c>
      <c r="F21" s="138">
        <f>IF(OR(D83=0,E83=0,F83=0),0,IF(AND(F$3&gt;=G83,F$3&lt;H83),F83*MIN(12,E83-(F$3-G83)*12)/E83,0))</f>
        <v/>
      </c>
      <c r="G21" s="138">
        <f>IF(OR(D83=0,E83=0,F83=0),0,IF(AND(G$3&gt;=G83,G$3&lt;H83),F83*MIN(12,E83-(G$3-G83)*12)/E83,0))</f>
        <v/>
      </c>
      <c r="H21" s="138">
        <f>IF(OR(D83=0,E83=0,F83=0),0,IF(AND(H$3&gt;=G83,H$3&lt;H83),F83*MIN(12,E83-(H$3-G83)*12)/E83,0))</f>
        <v/>
      </c>
      <c r="I21" s="138">
        <f>IF(OR(D83=0,E83=0,F83=0),0,IF(AND(I$3&gt;=G83,I$3&lt;H83),F83*MIN(12,E83-(I$3-G83)*12)/E83,0))</f>
        <v/>
      </c>
      <c r="J21" s="138">
        <f>IF(OR(D83=0,E83=0,F83=0),0,IF(AND(J$3&gt;=G83,J$3&lt;H83),F83*MIN(12,E83-(J$3-G83)*12)/E83,0))</f>
        <v/>
      </c>
      <c r="K21" s="138">
        <f>IF(OR(D83=0,E83=0,F83=0),0,IF(AND(K$3&gt;=G83,K$3&lt;H83),F83*MIN(12,E83-(K$3-G83)*12)/E83,0))</f>
        <v/>
      </c>
      <c r="L21" s="138">
        <f>IF(OR(D83=0,E83=0,F83=0),0,IF(AND(L$3&gt;=G83,L$3&lt;H83),F83*MIN(12,E83-(L$3-G83)*12)/E83,0))</f>
        <v/>
      </c>
      <c r="M21" s="138">
        <f>IF(OR(D83=0,E83=0,F83=0),0,IF(AND(M$3&gt;=G83,M$3&lt;H83),F83*MIN(12,E83-(M$3-G83)*12)/E83,0))</f>
        <v/>
      </c>
      <c r="N21" s="138">
        <f>IF(OR(D83=0,E83=0,F83=0),0,IF(AND(N$3&gt;=G83,N$3&lt;H83),F83*MIN(12,E83-(N$3-G83)*12)/E83,0))</f>
        <v/>
      </c>
      <c r="O21" s="138">
        <f>IF(OR(D83=0,E83=0,F83=0),0,IF(AND(O$3&gt;=G83,O$3&lt;H83),F83*MIN(12,E83-(O$3-G83)*12)/E83,0))</f>
        <v/>
      </c>
      <c r="P21" s="138">
        <f>IF(OR(D83=0,E83=0,F83=0),0,IF(AND(P$3&gt;=G83,P$3&lt;H83),F83*MIN(12,E83-(P$3-G83)*12)/E83,0))</f>
        <v/>
      </c>
      <c r="Q21" s="138">
        <f>IF(OR(D83=0,E83=0,F83=0),0,IF(AND(Q$3&gt;=G83,Q$3&lt;H83),F83*MIN(12,E83-(Q$3-G83)*12)/E83,0))</f>
        <v/>
      </c>
      <c r="R21" s="138">
        <f>IF(OR(D83=0,E83=0,F83=0),0,IF(AND(R$3&gt;=G83,R$3&lt;H83),F83*MIN(12,E83-(R$3-G83)*12)/E83,0))</f>
        <v/>
      </c>
      <c r="S21" s="138">
        <f>IF(OR(D83=0,E83=0,F83=0),0,IF(AND(S$3&gt;=G83,S$3&lt;H83),F83*MIN(12,E83-(S$3-G83)*12)/E83,0))</f>
        <v/>
      </c>
      <c r="T21" s="138">
        <f>IF(OR(D83=0,E83=0,F83=0),0,IF(AND(T$3&gt;=G83,T$3&lt;H83),F83*MIN(12,E83-(T$3-G83)*12)/E83,0))</f>
        <v/>
      </c>
      <c r="U21" s="138">
        <f>IF(OR(D83=0,E83=0,F83=0),0,IF(AND(U$3&gt;=G83,U$3&lt;H83),F83*MIN(12,E83-(U$3-G83)*12)/E83,0))</f>
        <v/>
      </c>
      <c r="V21" s="138">
        <f>IF(OR(D83=0,E83=0,F83=0),0,IF(AND(V$3&gt;=G83,V$3&lt;H83),F83*MIN(12,E83-(V$3-G83)*12)/E83,0))</f>
        <v/>
      </c>
      <c r="W21" s="138">
        <f>IF(OR(D83=0,E83=0,F83=0),0,IF(AND(W$3&gt;=G83,W$3&lt;H83),F83*MIN(12,E83-(W$3-G83)*12)/E83,0))</f>
        <v/>
      </c>
      <c r="X21" s="138">
        <f>IF(OR(D83=0,E83=0,F83=0),0,IF(AND(X$3&gt;=G83,X$3&lt;H83),F83*MIN(12,E83-(X$3-G83)*12)/E83,0))</f>
        <v/>
      </c>
      <c r="Y21" s="138">
        <f>IF(OR(D83=0,E83=0,F83=0),0,IF(AND(Y$3&gt;=G83,Y$3&lt;H83),F83*MIN(12,E83-(Y$3-G83)*12)/E83,0))</f>
        <v/>
      </c>
      <c r="Z21" s="138">
        <f>IF(OR(D83=0,E83=0,F83=0),0,IF(AND(Z$3&gt;=G83,Z$3&lt;H83),F83*MIN(12,E83-(Z$3-G83)*12)/E83,0))</f>
        <v/>
      </c>
      <c r="AA21" s="138">
        <f>IF(OR(D83=0,E83=0,F83=0),0,IF(AND(AA$3&gt;=G83,AA$3&lt;H83),F83*MIN(12,E83-(AA$3-G83)*12)/E83,0))</f>
        <v/>
      </c>
      <c r="AB21" s="138">
        <f>IF(OR(D83=0,E83=0,F83=0),0,IF(AND(AB$3&gt;=G83,AB$3&lt;H83),F83*MIN(12,E83-(AB$3-G83)*12)/E83,0))</f>
        <v/>
      </c>
      <c r="AC21" s="138">
        <f>IF(OR(D83=0,E83=0,F83=0),0,IF(AND(AC$3&gt;=G83,AC$3&lt;H83),F83*MIN(12,E83-(AC$3-G83)*12)/E83,0))</f>
        <v/>
      </c>
      <c r="AD21" s="138">
        <f>IF(OR(D83=0,E83=0,F83=0),0,IF(AND(AD$3&gt;=G83,AD$3&lt;H83),F83*MIN(12,E83-(AD$3-G83)*12)/E83,0))</f>
        <v/>
      </c>
      <c r="AE21" s="138">
        <f>IF(OR(D83=0,E83=0,F83=0),0,IF(AND(AE$3&gt;=G83,AE$3&lt;H83),F83*MIN(12,E83-(AE$3-G83)*12)/E83,0))</f>
        <v/>
      </c>
      <c r="AF21" s="138">
        <f>IF(OR(D83=0,E83=0,F83=0),0,IF(AND(AF$3&gt;=G83,AF$3&lt;H83),F83*MIN(12,E83-(AF$3-G83)*12)/E83,0))</f>
        <v/>
      </c>
      <c r="AG21" s="138">
        <f>IF(OR(D83=0,E83=0,F83=0),0,IF(AND(AG$3&gt;=G83,AG$3&lt;H83),F83*MIN(12,E83-(AG$3-G83)*12)/E83,0))</f>
        <v/>
      </c>
      <c r="AH21" s="138">
        <f>IF(OR(D83=0,E83=0,F83=0),0,IF(AND(AH$3&gt;=G83,AH$3&lt;H83),F83*MIN(12,E83-(AH$3-G83)*12)/E83,0))</f>
        <v/>
      </c>
      <c r="AI21" s="138">
        <f>IF(OR(D83=0,E83=0,F83=0),0,IF(AND(AI$3&gt;=G83,AI$3&lt;H83),F83*MIN(12,E83-(AI$3-G83)*12)/E83,0))</f>
        <v/>
      </c>
      <c r="AJ21" s="138">
        <f>IF(OR(D83=0,E83=0,F83=0),0,IF(AND(AJ$3&gt;=G83,AJ$3&lt;H83),F83*MIN(12,E83-(AJ$3-G83)*12)/E83,0))</f>
        <v/>
      </c>
      <c r="AK21" s="138">
        <f>IF(OR(D83=0,E83=0,F83=0),0,IF(AND(AK$3&gt;=G83,AK$3&lt;H83),F83*MIN(12,E83-(AK$3-G83)*12)/E83,0))</f>
        <v/>
      </c>
      <c r="AL21" s="138">
        <f>IF(OR(D83=0,E83=0,F83=0),0,IF(AND(AL$3&gt;=G83,AL$3&lt;H83),F83*MIN(12,E83-(AL$3-G83)*12)/E83,0))</f>
        <v/>
      </c>
      <c r="AM21" s="138">
        <f>IF(OR(D83=0,E83=0,F83=0),0,IF(AND(AM$3&gt;=G83,AM$3&lt;H83),F83*MIN(12,E83-(AM$3-G83)*12)/E83,0))</f>
        <v/>
      </c>
      <c r="AN21" s="138">
        <f>IF(OR(D83=0,E83=0,F83=0),0,IF(AND(AN$3&gt;=G83,AN$3&lt;H83),F83*MIN(12,E83-(AN$3-G83)*12)/E83,0))</f>
        <v/>
      </c>
      <c r="AO21" s="138">
        <f>IF(OR(D83=0,E83=0,F83=0),0,IF(AND(AO$3&gt;=G83,AO$3&lt;H83),F83*MIN(12,E83-(AO$3-G83)*12)/E83,0))</f>
        <v/>
      </c>
      <c r="AP21" s="138">
        <f>IF(OR(D83=0,E83=0,F83=0),0,IF(AND(AP$3&gt;=G83,AP$3&lt;H83),F83*MIN(12,E83-(AP$3-G83)*12)/E83,0))</f>
        <v/>
      </c>
      <c r="AQ21" s="138">
        <f>IF(OR(D83=0,E83=0,F83=0),0,IF(AND(AQ$3&gt;=G83,AQ$3&lt;H83),F83*MIN(12,E83-(AQ$3-G83)*12)/E83,0))</f>
        <v/>
      </c>
      <c r="AR21" s="138">
        <f>IF(OR(D83=0,E83=0,F83=0),0,IF(AND(AR$3&gt;=G83,AR$3&lt;H83),F83*MIN(12,E83-(AR$3-G83)*12)/E83,0))</f>
        <v/>
      </c>
      <c r="AS21" s="138">
        <f>IF(OR(D83=0,E83=0,F83=0),0,IF(AND(AS$3&gt;=G83,AS$3&lt;H83),F83*MIN(12,E83-(AS$3-G83)*12)/E83,0))</f>
        <v/>
      </c>
      <c r="AT21" s="138">
        <f>IF(OR(D83=0,E83=0,F83=0),0,IF(AND(AT$3&gt;=G83,AT$3&lt;H83),F83*MIN(12,E83-(AT$3-G83)*12)/E83,0))</f>
        <v/>
      </c>
      <c r="AU21" s="138">
        <f>IF(OR(D83=0,E83=0,F83=0),0,IF(AND(AU$3&gt;=G83,AU$3&lt;H83),F83*MIN(12,E83-(AU$3-G83)*12)/E83,0))</f>
        <v/>
      </c>
      <c r="AV21" s="138">
        <f>IF(OR(D83=0,E83=0,F83=0),0,IF(AND(AV$3&gt;=G83,AV$3&lt;H83),F83*MIN(12,E83-(AV$3-G83)*12)/E83,0))</f>
        <v/>
      </c>
      <c r="AW21" s="138">
        <f>IF(OR(D83=0,E83=0,F83=0),0,IF(AND(AW$3&gt;=G83,AW$3&lt;H83),F83*MIN(12,E83-(AW$3-G83)*12)/E83,0))</f>
        <v/>
      </c>
      <c r="AX21" s="138">
        <f>IF(OR(D83=0,E83=0,F83=0),0,IF(AND(AX$3&gt;=G83,AX$3&lt;H83),F83*MIN(12,E83-(AX$3-G83)*12)/E83,0))</f>
        <v/>
      </c>
      <c r="AY21" s="138">
        <f>IF(OR(D83=0,E83=0,F83=0),0,IF(AND(AY$3&gt;=G83,AY$3&lt;H83),F83*MIN(12,E83-(AY$3-G83)*12)/E83,0))</f>
        <v/>
      </c>
      <c r="AZ21" s="138">
        <f>IF(OR(D83=0,E83=0,F83=0),0,IF(AND(AZ$3&gt;=G83,AZ$3&lt;H83),F83*MIN(12,E83-(AZ$3-G83)*12)/E83,0))</f>
        <v/>
      </c>
      <c r="BA21" s="138">
        <f>IF(OR(D83=0,E83=0,F83=0),0,IF(AND(BA$3&gt;=G83,BA$3&lt;H83),F83*MIN(12,E83-(BA$3-G83)*12)/E83,0))</f>
        <v/>
      </c>
      <c r="BB21" s="138">
        <f>IF(OR(D83=0,E83=0,F83=0),0,IF(AND(BB$3&gt;=G83,BB$3&lt;H83),F83*MIN(12,E83-(BB$3-G83)*12)/E83,0))</f>
        <v/>
      </c>
    </row>
    <row r="22" ht="15" customHeight="1" s="91">
      <c r="A22" s="138">
        <f>A84</f>
        <v/>
      </c>
      <c r="B22" s="138">
        <f>B84</f>
        <v/>
      </c>
      <c r="C22" s="138">
        <f>C84</f>
        <v/>
      </c>
      <c r="D22" s="138">
        <f>SUM(E22:BB22)</f>
        <v/>
      </c>
      <c r="E22" s="138">
        <f>IF(OR(D84=0,E84=0,F84=0),0,IF(AND(E$3&gt;=G84,E$3&lt;H84),F84*MIN(12,E84-(E$3-G84)*12)/E84,0))</f>
        <v/>
      </c>
      <c r="F22" s="138">
        <f>IF(OR(D84=0,E84=0,F84=0),0,IF(AND(F$3&gt;=G84,F$3&lt;H84),F84*MIN(12,E84-(F$3-G84)*12)/E84,0))</f>
        <v/>
      </c>
      <c r="G22" s="138">
        <f>IF(OR(D84=0,E84=0,F84=0),0,IF(AND(G$3&gt;=G84,G$3&lt;H84),F84*MIN(12,E84-(G$3-G84)*12)/E84,0))</f>
        <v/>
      </c>
      <c r="H22" s="138">
        <f>IF(OR(D84=0,E84=0,F84=0),0,IF(AND(H$3&gt;=G84,H$3&lt;H84),F84*MIN(12,E84-(H$3-G84)*12)/E84,0))</f>
        <v/>
      </c>
      <c r="I22" s="138">
        <f>IF(OR(D84=0,E84=0,F84=0),0,IF(AND(I$3&gt;=G84,I$3&lt;H84),F84*MIN(12,E84-(I$3-G84)*12)/E84,0))</f>
        <v/>
      </c>
      <c r="J22" s="138">
        <f>IF(OR(D84=0,E84=0,F84=0),0,IF(AND(J$3&gt;=G84,J$3&lt;H84),F84*MIN(12,E84-(J$3-G84)*12)/E84,0))</f>
        <v/>
      </c>
      <c r="K22" s="138">
        <f>IF(OR(D84=0,E84=0,F84=0),0,IF(AND(K$3&gt;=G84,K$3&lt;H84),F84*MIN(12,E84-(K$3-G84)*12)/E84,0))</f>
        <v/>
      </c>
      <c r="L22" s="138">
        <f>IF(OR(D84=0,E84=0,F84=0),0,IF(AND(L$3&gt;=G84,L$3&lt;H84),F84*MIN(12,E84-(L$3-G84)*12)/E84,0))</f>
        <v/>
      </c>
      <c r="M22" s="138">
        <f>IF(OR(D84=0,E84=0,F84=0),0,IF(AND(M$3&gt;=G84,M$3&lt;H84),F84*MIN(12,E84-(M$3-G84)*12)/E84,0))</f>
        <v/>
      </c>
      <c r="N22" s="138">
        <f>IF(OR(D84=0,E84=0,F84=0),0,IF(AND(N$3&gt;=G84,N$3&lt;H84),F84*MIN(12,E84-(N$3-G84)*12)/E84,0))</f>
        <v/>
      </c>
      <c r="O22" s="138">
        <f>IF(OR(D84=0,E84=0,F84=0),0,IF(AND(O$3&gt;=G84,O$3&lt;H84),F84*MIN(12,E84-(O$3-G84)*12)/E84,0))</f>
        <v/>
      </c>
      <c r="P22" s="138">
        <f>IF(OR(D84=0,E84=0,F84=0),0,IF(AND(P$3&gt;=G84,P$3&lt;H84),F84*MIN(12,E84-(P$3-G84)*12)/E84,0))</f>
        <v/>
      </c>
      <c r="Q22" s="138">
        <f>IF(OR(D84=0,E84=0,F84=0),0,IF(AND(Q$3&gt;=G84,Q$3&lt;H84),F84*MIN(12,E84-(Q$3-G84)*12)/E84,0))</f>
        <v/>
      </c>
      <c r="R22" s="138">
        <f>IF(OR(D84=0,E84=0,F84=0),0,IF(AND(R$3&gt;=G84,R$3&lt;H84),F84*MIN(12,E84-(R$3-G84)*12)/E84,0))</f>
        <v/>
      </c>
      <c r="S22" s="138">
        <f>IF(OR(D84=0,E84=0,F84=0),0,IF(AND(S$3&gt;=G84,S$3&lt;H84),F84*MIN(12,E84-(S$3-G84)*12)/E84,0))</f>
        <v/>
      </c>
      <c r="T22" s="138">
        <f>IF(OR(D84=0,E84=0,F84=0),0,IF(AND(T$3&gt;=G84,T$3&lt;H84),F84*MIN(12,E84-(T$3-G84)*12)/E84,0))</f>
        <v/>
      </c>
      <c r="U22" s="138">
        <f>IF(OR(D84=0,E84=0,F84=0),0,IF(AND(U$3&gt;=G84,U$3&lt;H84),F84*MIN(12,E84-(U$3-G84)*12)/E84,0))</f>
        <v/>
      </c>
      <c r="V22" s="138">
        <f>IF(OR(D84=0,E84=0,F84=0),0,IF(AND(V$3&gt;=G84,V$3&lt;H84),F84*MIN(12,E84-(V$3-G84)*12)/E84,0))</f>
        <v/>
      </c>
      <c r="W22" s="138">
        <f>IF(OR(D84=0,E84=0,F84=0),0,IF(AND(W$3&gt;=G84,W$3&lt;H84),F84*MIN(12,E84-(W$3-G84)*12)/E84,0))</f>
        <v/>
      </c>
      <c r="X22" s="138">
        <f>IF(OR(D84=0,E84=0,F84=0),0,IF(AND(X$3&gt;=G84,X$3&lt;H84),F84*MIN(12,E84-(X$3-G84)*12)/E84,0))</f>
        <v/>
      </c>
      <c r="Y22" s="138">
        <f>IF(OR(D84=0,E84=0,F84=0),0,IF(AND(Y$3&gt;=G84,Y$3&lt;H84),F84*MIN(12,E84-(Y$3-G84)*12)/E84,0))</f>
        <v/>
      </c>
      <c r="Z22" s="138">
        <f>IF(OR(D84=0,E84=0,F84=0),0,IF(AND(Z$3&gt;=G84,Z$3&lt;H84),F84*MIN(12,E84-(Z$3-G84)*12)/E84,0))</f>
        <v/>
      </c>
      <c r="AA22" s="138">
        <f>IF(OR(D84=0,E84=0,F84=0),0,IF(AND(AA$3&gt;=G84,AA$3&lt;H84),F84*MIN(12,E84-(AA$3-G84)*12)/E84,0))</f>
        <v/>
      </c>
      <c r="AB22" s="138">
        <f>IF(OR(D84=0,E84=0,F84=0),0,IF(AND(AB$3&gt;=G84,AB$3&lt;H84),F84*MIN(12,E84-(AB$3-G84)*12)/E84,0))</f>
        <v/>
      </c>
      <c r="AC22" s="138">
        <f>IF(OR(D84=0,E84=0,F84=0),0,IF(AND(AC$3&gt;=G84,AC$3&lt;H84),F84*MIN(12,E84-(AC$3-G84)*12)/E84,0))</f>
        <v/>
      </c>
      <c r="AD22" s="138">
        <f>IF(OR(D84=0,E84=0,F84=0),0,IF(AND(AD$3&gt;=G84,AD$3&lt;H84),F84*MIN(12,E84-(AD$3-G84)*12)/E84,0))</f>
        <v/>
      </c>
      <c r="AE22" s="138">
        <f>IF(OR(D84=0,E84=0,F84=0),0,IF(AND(AE$3&gt;=G84,AE$3&lt;H84),F84*MIN(12,E84-(AE$3-G84)*12)/E84,0))</f>
        <v/>
      </c>
      <c r="AF22" s="138">
        <f>IF(OR(D84=0,E84=0,F84=0),0,IF(AND(AF$3&gt;=G84,AF$3&lt;H84),F84*MIN(12,E84-(AF$3-G84)*12)/E84,0))</f>
        <v/>
      </c>
      <c r="AG22" s="138">
        <f>IF(OR(D84=0,E84=0,F84=0),0,IF(AND(AG$3&gt;=G84,AG$3&lt;H84),F84*MIN(12,E84-(AG$3-G84)*12)/E84,0))</f>
        <v/>
      </c>
      <c r="AH22" s="138">
        <f>IF(OR(D84=0,E84=0,F84=0),0,IF(AND(AH$3&gt;=G84,AH$3&lt;H84),F84*MIN(12,E84-(AH$3-G84)*12)/E84,0))</f>
        <v/>
      </c>
      <c r="AI22" s="138">
        <f>IF(OR(D84=0,E84=0,F84=0),0,IF(AND(AI$3&gt;=G84,AI$3&lt;H84),F84*MIN(12,E84-(AI$3-G84)*12)/E84,0))</f>
        <v/>
      </c>
      <c r="AJ22" s="138">
        <f>IF(OR(D84=0,E84=0,F84=0),0,IF(AND(AJ$3&gt;=G84,AJ$3&lt;H84),F84*MIN(12,E84-(AJ$3-G84)*12)/E84,0))</f>
        <v/>
      </c>
      <c r="AK22" s="138">
        <f>IF(OR(D84=0,E84=0,F84=0),0,IF(AND(AK$3&gt;=G84,AK$3&lt;H84),F84*MIN(12,E84-(AK$3-G84)*12)/E84,0))</f>
        <v/>
      </c>
      <c r="AL22" s="138">
        <f>IF(OR(D84=0,E84=0,F84=0),0,IF(AND(AL$3&gt;=G84,AL$3&lt;H84),F84*MIN(12,E84-(AL$3-G84)*12)/E84,0))</f>
        <v/>
      </c>
      <c r="AM22" s="138">
        <f>IF(OR(D84=0,E84=0,F84=0),0,IF(AND(AM$3&gt;=G84,AM$3&lt;H84),F84*MIN(12,E84-(AM$3-G84)*12)/E84,0))</f>
        <v/>
      </c>
      <c r="AN22" s="138">
        <f>IF(OR(D84=0,E84=0,F84=0),0,IF(AND(AN$3&gt;=G84,AN$3&lt;H84),F84*MIN(12,E84-(AN$3-G84)*12)/E84,0))</f>
        <v/>
      </c>
      <c r="AO22" s="138">
        <f>IF(OR(D84=0,E84=0,F84=0),0,IF(AND(AO$3&gt;=G84,AO$3&lt;H84),F84*MIN(12,E84-(AO$3-G84)*12)/E84,0))</f>
        <v/>
      </c>
      <c r="AP22" s="138">
        <f>IF(OR(D84=0,E84=0,F84=0),0,IF(AND(AP$3&gt;=G84,AP$3&lt;H84),F84*MIN(12,E84-(AP$3-G84)*12)/E84,0))</f>
        <v/>
      </c>
      <c r="AQ22" s="138">
        <f>IF(OR(D84=0,E84=0,F84=0),0,IF(AND(AQ$3&gt;=G84,AQ$3&lt;H84),F84*MIN(12,E84-(AQ$3-G84)*12)/E84,0))</f>
        <v/>
      </c>
      <c r="AR22" s="138">
        <f>IF(OR(D84=0,E84=0,F84=0),0,IF(AND(AR$3&gt;=G84,AR$3&lt;H84),F84*MIN(12,E84-(AR$3-G84)*12)/E84,0))</f>
        <v/>
      </c>
      <c r="AS22" s="138">
        <f>IF(OR(D84=0,E84=0,F84=0),0,IF(AND(AS$3&gt;=G84,AS$3&lt;H84),F84*MIN(12,E84-(AS$3-G84)*12)/E84,0))</f>
        <v/>
      </c>
      <c r="AT22" s="138">
        <f>IF(OR(D84=0,E84=0,F84=0),0,IF(AND(AT$3&gt;=G84,AT$3&lt;H84),F84*MIN(12,E84-(AT$3-G84)*12)/E84,0))</f>
        <v/>
      </c>
      <c r="AU22" s="138">
        <f>IF(OR(D84=0,E84=0,F84=0),0,IF(AND(AU$3&gt;=G84,AU$3&lt;H84),F84*MIN(12,E84-(AU$3-G84)*12)/E84,0))</f>
        <v/>
      </c>
      <c r="AV22" s="138">
        <f>IF(OR(D84=0,E84=0,F84=0),0,IF(AND(AV$3&gt;=G84,AV$3&lt;H84),F84*MIN(12,E84-(AV$3-G84)*12)/E84,0))</f>
        <v/>
      </c>
      <c r="AW22" s="138">
        <f>IF(OR(D84=0,E84=0,F84=0),0,IF(AND(AW$3&gt;=G84,AW$3&lt;H84),F84*MIN(12,E84-(AW$3-G84)*12)/E84,0))</f>
        <v/>
      </c>
      <c r="AX22" s="138">
        <f>IF(OR(D84=0,E84=0,F84=0),0,IF(AND(AX$3&gt;=G84,AX$3&lt;H84),F84*MIN(12,E84-(AX$3-G84)*12)/E84,0))</f>
        <v/>
      </c>
      <c r="AY22" s="138">
        <f>IF(OR(D84=0,E84=0,F84=0),0,IF(AND(AY$3&gt;=G84,AY$3&lt;H84),F84*MIN(12,E84-(AY$3-G84)*12)/E84,0))</f>
        <v/>
      </c>
      <c r="AZ22" s="138">
        <f>IF(OR(D84=0,E84=0,F84=0),0,IF(AND(AZ$3&gt;=G84,AZ$3&lt;H84),F84*MIN(12,E84-(AZ$3-G84)*12)/E84,0))</f>
        <v/>
      </c>
      <c r="BA22" s="138">
        <f>IF(OR(D84=0,E84=0,F84=0),0,IF(AND(BA$3&gt;=G84,BA$3&lt;H84),F84*MIN(12,E84-(BA$3-G84)*12)/E84,0))</f>
        <v/>
      </c>
      <c r="BB22" s="138">
        <f>IF(OR(D84=0,E84=0,F84=0),0,IF(AND(BB$3&gt;=G84,BB$3&lt;H84),F84*MIN(12,E84-(BB$3-G84)*12)/E84,0))</f>
        <v/>
      </c>
    </row>
    <row r="23" ht="15" customHeight="1" s="91">
      <c r="A23" s="138">
        <f>A85</f>
        <v/>
      </c>
      <c r="B23" s="138">
        <f>B85</f>
        <v/>
      </c>
      <c r="C23" s="138">
        <f>C85</f>
        <v/>
      </c>
      <c r="D23" s="138">
        <f>SUM(E23:BB23)</f>
        <v/>
      </c>
      <c r="E23" s="138">
        <f>IF(OR(D85=0,E85=0,F85=0),0,IF(AND(E$3&gt;=G85,E$3&lt;H85),F85*MIN(12,E85-(E$3-G85)*12)/E85,0))</f>
        <v/>
      </c>
      <c r="F23" s="138">
        <f>IF(OR(D85=0,E85=0,F85=0),0,IF(AND(F$3&gt;=G85,F$3&lt;H85),F85*MIN(12,E85-(F$3-G85)*12)/E85,0))</f>
        <v/>
      </c>
      <c r="G23" s="138">
        <f>IF(OR(D85=0,E85=0,F85=0),0,IF(AND(G$3&gt;=G85,G$3&lt;H85),F85*MIN(12,E85-(G$3-G85)*12)/E85,0))</f>
        <v/>
      </c>
      <c r="H23" s="138">
        <f>IF(OR(D85=0,E85=0,F85=0),0,IF(AND(H$3&gt;=G85,H$3&lt;H85),F85*MIN(12,E85-(H$3-G85)*12)/E85,0))</f>
        <v/>
      </c>
      <c r="I23" s="138">
        <f>IF(OR(D85=0,E85=0,F85=0),0,IF(AND(I$3&gt;=G85,I$3&lt;H85),F85*MIN(12,E85-(I$3-G85)*12)/E85,0))</f>
        <v/>
      </c>
      <c r="J23" s="138">
        <f>IF(OR(D85=0,E85=0,F85=0),0,IF(AND(J$3&gt;=G85,J$3&lt;H85),F85*MIN(12,E85-(J$3-G85)*12)/E85,0))</f>
        <v/>
      </c>
      <c r="K23" s="138">
        <f>IF(OR(D85=0,E85=0,F85=0),0,IF(AND(K$3&gt;=G85,K$3&lt;H85),F85*MIN(12,E85-(K$3-G85)*12)/E85,0))</f>
        <v/>
      </c>
      <c r="L23" s="138">
        <f>IF(OR(D85=0,E85=0,F85=0),0,IF(AND(L$3&gt;=G85,L$3&lt;H85),F85*MIN(12,E85-(L$3-G85)*12)/E85,0))</f>
        <v/>
      </c>
      <c r="M23" s="138">
        <f>IF(OR(D85=0,E85=0,F85=0),0,IF(AND(M$3&gt;=G85,M$3&lt;H85),F85*MIN(12,E85-(M$3-G85)*12)/E85,0))</f>
        <v/>
      </c>
      <c r="N23" s="138">
        <f>IF(OR(D85=0,E85=0,F85=0),0,IF(AND(N$3&gt;=G85,N$3&lt;H85),F85*MIN(12,E85-(N$3-G85)*12)/E85,0))</f>
        <v/>
      </c>
      <c r="O23" s="138">
        <f>IF(OR(D85=0,E85=0,F85=0),0,IF(AND(O$3&gt;=G85,O$3&lt;H85),F85*MIN(12,E85-(O$3-G85)*12)/E85,0))</f>
        <v/>
      </c>
      <c r="P23" s="138">
        <f>IF(OR(D85=0,E85=0,F85=0),0,IF(AND(P$3&gt;=G85,P$3&lt;H85),F85*MIN(12,E85-(P$3-G85)*12)/E85,0))</f>
        <v/>
      </c>
      <c r="Q23" s="138">
        <f>IF(OR(D85=0,E85=0,F85=0),0,IF(AND(Q$3&gt;=G85,Q$3&lt;H85),F85*MIN(12,E85-(Q$3-G85)*12)/E85,0))</f>
        <v/>
      </c>
      <c r="R23" s="138">
        <f>IF(OR(D85=0,E85=0,F85=0),0,IF(AND(R$3&gt;=G85,R$3&lt;H85),F85*MIN(12,E85-(R$3-G85)*12)/E85,0))</f>
        <v/>
      </c>
      <c r="S23" s="138">
        <f>IF(OR(D85=0,E85=0,F85=0),0,IF(AND(S$3&gt;=G85,S$3&lt;H85),F85*MIN(12,E85-(S$3-G85)*12)/E85,0))</f>
        <v/>
      </c>
      <c r="T23" s="138">
        <f>IF(OR(D85=0,E85=0,F85=0),0,IF(AND(T$3&gt;=G85,T$3&lt;H85),F85*MIN(12,E85-(T$3-G85)*12)/E85,0))</f>
        <v/>
      </c>
      <c r="U23" s="138">
        <f>IF(OR(D85=0,E85=0,F85=0),0,IF(AND(U$3&gt;=G85,U$3&lt;H85),F85*MIN(12,E85-(U$3-G85)*12)/E85,0))</f>
        <v/>
      </c>
      <c r="V23" s="138">
        <f>IF(OR(D85=0,E85=0,F85=0),0,IF(AND(V$3&gt;=G85,V$3&lt;H85),F85*MIN(12,E85-(V$3-G85)*12)/E85,0))</f>
        <v/>
      </c>
      <c r="W23" s="138">
        <f>IF(OR(D85=0,E85=0,F85=0),0,IF(AND(W$3&gt;=G85,W$3&lt;H85),F85*MIN(12,E85-(W$3-G85)*12)/E85,0))</f>
        <v/>
      </c>
      <c r="X23" s="138">
        <f>IF(OR(D85=0,E85=0,F85=0),0,IF(AND(X$3&gt;=G85,X$3&lt;H85),F85*MIN(12,E85-(X$3-G85)*12)/E85,0))</f>
        <v/>
      </c>
      <c r="Y23" s="138">
        <f>IF(OR(D85=0,E85=0,F85=0),0,IF(AND(Y$3&gt;=G85,Y$3&lt;H85),F85*MIN(12,E85-(Y$3-G85)*12)/E85,0))</f>
        <v/>
      </c>
      <c r="Z23" s="138">
        <f>IF(OR(D85=0,E85=0,F85=0),0,IF(AND(Z$3&gt;=G85,Z$3&lt;H85),F85*MIN(12,E85-(Z$3-G85)*12)/E85,0))</f>
        <v/>
      </c>
      <c r="AA23" s="138">
        <f>IF(OR(D85=0,E85=0,F85=0),0,IF(AND(AA$3&gt;=G85,AA$3&lt;H85),F85*MIN(12,E85-(AA$3-G85)*12)/E85,0))</f>
        <v/>
      </c>
      <c r="AB23" s="138">
        <f>IF(OR(D85=0,E85=0,F85=0),0,IF(AND(AB$3&gt;=G85,AB$3&lt;H85),F85*MIN(12,E85-(AB$3-G85)*12)/E85,0))</f>
        <v/>
      </c>
      <c r="AC23" s="138">
        <f>IF(OR(D85=0,E85=0,F85=0),0,IF(AND(AC$3&gt;=G85,AC$3&lt;H85),F85*MIN(12,E85-(AC$3-G85)*12)/E85,0))</f>
        <v/>
      </c>
      <c r="AD23" s="138">
        <f>IF(OR(D85=0,E85=0,F85=0),0,IF(AND(AD$3&gt;=G85,AD$3&lt;H85),F85*MIN(12,E85-(AD$3-G85)*12)/E85,0))</f>
        <v/>
      </c>
      <c r="AE23" s="138">
        <f>IF(OR(D85=0,E85=0,F85=0),0,IF(AND(AE$3&gt;=G85,AE$3&lt;H85),F85*MIN(12,E85-(AE$3-G85)*12)/E85,0))</f>
        <v/>
      </c>
      <c r="AF23" s="138">
        <f>IF(OR(D85=0,E85=0,F85=0),0,IF(AND(AF$3&gt;=G85,AF$3&lt;H85),F85*MIN(12,E85-(AF$3-G85)*12)/E85,0))</f>
        <v/>
      </c>
      <c r="AG23" s="138">
        <f>IF(OR(D85=0,E85=0,F85=0),0,IF(AND(AG$3&gt;=G85,AG$3&lt;H85),F85*MIN(12,E85-(AG$3-G85)*12)/E85,0))</f>
        <v/>
      </c>
      <c r="AH23" s="138">
        <f>IF(OR(D85=0,E85=0,F85=0),0,IF(AND(AH$3&gt;=G85,AH$3&lt;H85),F85*MIN(12,E85-(AH$3-G85)*12)/E85,0))</f>
        <v/>
      </c>
      <c r="AI23" s="138">
        <f>IF(OR(D85=0,E85=0,F85=0),0,IF(AND(AI$3&gt;=G85,AI$3&lt;H85),F85*MIN(12,E85-(AI$3-G85)*12)/E85,0))</f>
        <v/>
      </c>
      <c r="AJ23" s="138">
        <f>IF(OR(D85=0,E85=0,F85=0),0,IF(AND(AJ$3&gt;=G85,AJ$3&lt;H85),F85*MIN(12,E85-(AJ$3-G85)*12)/E85,0))</f>
        <v/>
      </c>
      <c r="AK23" s="138">
        <f>IF(OR(D85=0,E85=0,F85=0),0,IF(AND(AK$3&gt;=G85,AK$3&lt;H85),F85*MIN(12,E85-(AK$3-G85)*12)/E85,0))</f>
        <v/>
      </c>
      <c r="AL23" s="138">
        <f>IF(OR(D85=0,E85=0,F85=0),0,IF(AND(AL$3&gt;=G85,AL$3&lt;H85),F85*MIN(12,E85-(AL$3-G85)*12)/E85,0))</f>
        <v/>
      </c>
      <c r="AM23" s="138">
        <f>IF(OR(D85=0,E85=0,F85=0),0,IF(AND(AM$3&gt;=G85,AM$3&lt;H85),F85*MIN(12,E85-(AM$3-G85)*12)/E85,0))</f>
        <v/>
      </c>
      <c r="AN23" s="138">
        <f>IF(OR(D85=0,E85=0,F85=0),0,IF(AND(AN$3&gt;=G85,AN$3&lt;H85),F85*MIN(12,E85-(AN$3-G85)*12)/E85,0))</f>
        <v/>
      </c>
      <c r="AO23" s="138">
        <f>IF(OR(D85=0,E85=0,F85=0),0,IF(AND(AO$3&gt;=G85,AO$3&lt;H85),F85*MIN(12,E85-(AO$3-G85)*12)/E85,0))</f>
        <v/>
      </c>
      <c r="AP23" s="138">
        <f>IF(OR(D85=0,E85=0,F85=0),0,IF(AND(AP$3&gt;=G85,AP$3&lt;H85),F85*MIN(12,E85-(AP$3-G85)*12)/E85,0))</f>
        <v/>
      </c>
      <c r="AQ23" s="138">
        <f>IF(OR(D85=0,E85=0,F85=0),0,IF(AND(AQ$3&gt;=G85,AQ$3&lt;H85),F85*MIN(12,E85-(AQ$3-G85)*12)/E85,0))</f>
        <v/>
      </c>
      <c r="AR23" s="138">
        <f>IF(OR(D85=0,E85=0,F85=0),0,IF(AND(AR$3&gt;=G85,AR$3&lt;H85),F85*MIN(12,E85-(AR$3-G85)*12)/E85,0))</f>
        <v/>
      </c>
      <c r="AS23" s="138">
        <f>IF(OR(D85=0,E85=0,F85=0),0,IF(AND(AS$3&gt;=G85,AS$3&lt;H85),F85*MIN(12,E85-(AS$3-G85)*12)/E85,0))</f>
        <v/>
      </c>
      <c r="AT23" s="138">
        <f>IF(OR(D85=0,E85=0,F85=0),0,IF(AND(AT$3&gt;=G85,AT$3&lt;H85),F85*MIN(12,E85-(AT$3-G85)*12)/E85,0))</f>
        <v/>
      </c>
      <c r="AU23" s="138">
        <f>IF(OR(D85=0,E85=0,F85=0),0,IF(AND(AU$3&gt;=G85,AU$3&lt;H85),F85*MIN(12,E85-(AU$3-G85)*12)/E85,0))</f>
        <v/>
      </c>
      <c r="AV23" s="138">
        <f>IF(OR(D85=0,E85=0,F85=0),0,IF(AND(AV$3&gt;=G85,AV$3&lt;H85),F85*MIN(12,E85-(AV$3-G85)*12)/E85,0))</f>
        <v/>
      </c>
      <c r="AW23" s="138">
        <f>IF(OR(D85=0,E85=0,F85=0),0,IF(AND(AW$3&gt;=G85,AW$3&lt;H85),F85*MIN(12,E85-(AW$3-G85)*12)/E85,0))</f>
        <v/>
      </c>
      <c r="AX23" s="138">
        <f>IF(OR(D85=0,E85=0,F85=0),0,IF(AND(AX$3&gt;=G85,AX$3&lt;H85),F85*MIN(12,E85-(AX$3-G85)*12)/E85,0))</f>
        <v/>
      </c>
      <c r="AY23" s="138">
        <f>IF(OR(D85=0,E85=0,F85=0),0,IF(AND(AY$3&gt;=G85,AY$3&lt;H85),F85*MIN(12,E85-(AY$3-G85)*12)/E85,0))</f>
        <v/>
      </c>
      <c r="AZ23" s="138">
        <f>IF(OR(D85=0,E85=0,F85=0),0,IF(AND(AZ$3&gt;=G85,AZ$3&lt;H85),F85*MIN(12,E85-(AZ$3-G85)*12)/E85,0))</f>
        <v/>
      </c>
      <c r="BA23" s="138">
        <f>IF(OR(D85=0,E85=0,F85=0),0,IF(AND(BA$3&gt;=G85,BA$3&lt;H85),F85*MIN(12,E85-(BA$3-G85)*12)/E85,0))</f>
        <v/>
      </c>
      <c r="BB23" s="138">
        <f>IF(OR(D85=0,E85=0,F85=0),0,IF(AND(BB$3&gt;=G85,BB$3&lt;H85),F85*MIN(12,E85-(BB$3-G85)*12)/E85,0))</f>
        <v/>
      </c>
    </row>
    <row r="24" ht="15" customHeight="1" s="91">
      <c r="A24" s="138">
        <f>A86</f>
        <v/>
      </c>
      <c r="B24" s="138">
        <f>B86</f>
        <v/>
      </c>
      <c r="C24" s="138">
        <f>C86</f>
        <v/>
      </c>
      <c r="D24" s="138">
        <f>SUM(E24:BB24)</f>
        <v/>
      </c>
      <c r="E24" s="138">
        <f>IF(OR(D86=0,E86=0,F86=0),0,IF(AND(E$3&gt;=G86,E$3&lt;H86),F86*MIN(12,E86-(E$3-G86)*12)/E86,0))</f>
        <v/>
      </c>
      <c r="F24" s="138">
        <f>IF(OR(D86=0,E86=0,F86=0),0,IF(AND(F$3&gt;=G86,F$3&lt;H86),F86*MIN(12,E86-(F$3-G86)*12)/E86,0))</f>
        <v/>
      </c>
      <c r="G24" s="138">
        <f>IF(OR(D86=0,E86=0,F86=0),0,IF(AND(G$3&gt;=G86,G$3&lt;H86),F86*MIN(12,E86-(G$3-G86)*12)/E86,0))</f>
        <v/>
      </c>
      <c r="H24" s="138">
        <f>IF(OR(D86=0,E86=0,F86=0),0,IF(AND(H$3&gt;=G86,H$3&lt;H86),F86*MIN(12,E86-(H$3-G86)*12)/E86,0))</f>
        <v/>
      </c>
      <c r="I24" s="138">
        <f>IF(OR(D86=0,E86=0,F86=0),0,IF(AND(I$3&gt;=G86,I$3&lt;H86),F86*MIN(12,E86-(I$3-G86)*12)/E86,0))</f>
        <v/>
      </c>
      <c r="J24" s="138">
        <f>IF(OR(D86=0,E86=0,F86=0),0,IF(AND(J$3&gt;=G86,J$3&lt;H86),F86*MIN(12,E86-(J$3-G86)*12)/E86,0))</f>
        <v/>
      </c>
      <c r="K24" s="138">
        <f>IF(OR(D86=0,E86=0,F86=0),0,IF(AND(K$3&gt;=G86,K$3&lt;H86),F86*MIN(12,E86-(K$3-G86)*12)/E86,0))</f>
        <v/>
      </c>
      <c r="L24" s="138">
        <f>IF(OR(D86=0,E86=0,F86=0),0,IF(AND(L$3&gt;=G86,L$3&lt;H86),F86*MIN(12,E86-(L$3-G86)*12)/E86,0))</f>
        <v/>
      </c>
      <c r="M24" s="138">
        <f>IF(OR(D86=0,E86=0,F86=0),0,IF(AND(M$3&gt;=G86,M$3&lt;H86),F86*MIN(12,E86-(M$3-G86)*12)/E86,0))</f>
        <v/>
      </c>
      <c r="N24" s="138">
        <f>IF(OR(D86=0,E86=0,F86=0),0,IF(AND(N$3&gt;=G86,N$3&lt;H86),F86*MIN(12,E86-(N$3-G86)*12)/E86,0))</f>
        <v/>
      </c>
      <c r="O24" s="138">
        <f>IF(OR(D86=0,E86=0,F86=0),0,IF(AND(O$3&gt;=G86,O$3&lt;H86),F86*MIN(12,E86-(O$3-G86)*12)/E86,0))</f>
        <v/>
      </c>
      <c r="P24" s="138">
        <f>IF(OR(D86=0,E86=0,F86=0),0,IF(AND(P$3&gt;=G86,P$3&lt;H86),F86*MIN(12,E86-(P$3-G86)*12)/E86,0))</f>
        <v/>
      </c>
      <c r="Q24" s="138">
        <f>IF(OR(D86=0,E86=0,F86=0),0,IF(AND(Q$3&gt;=G86,Q$3&lt;H86),F86*MIN(12,E86-(Q$3-G86)*12)/E86,0))</f>
        <v/>
      </c>
      <c r="R24" s="138">
        <f>IF(OR(D86=0,E86=0,F86=0),0,IF(AND(R$3&gt;=G86,R$3&lt;H86),F86*MIN(12,E86-(R$3-G86)*12)/E86,0))</f>
        <v/>
      </c>
      <c r="S24" s="138">
        <f>IF(OR(D86=0,E86=0,F86=0),0,IF(AND(S$3&gt;=G86,S$3&lt;H86),F86*MIN(12,E86-(S$3-G86)*12)/E86,0))</f>
        <v/>
      </c>
      <c r="T24" s="138">
        <f>IF(OR(D86=0,E86=0,F86=0),0,IF(AND(T$3&gt;=G86,T$3&lt;H86),F86*MIN(12,E86-(T$3-G86)*12)/E86,0))</f>
        <v/>
      </c>
      <c r="U24" s="138">
        <f>IF(OR(D86=0,E86=0,F86=0),0,IF(AND(U$3&gt;=G86,U$3&lt;H86),F86*MIN(12,E86-(U$3-G86)*12)/E86,0))</f>
        <v/>
      </c>
      <c r="V24" s="138">
        <f>IF(OR(D86=0,E86=0,F86=0),0,IF(AND(V$3&gt;=G86,V$3&lt;H86),F86*MIN(12,E86-(V$3-G86)*12)/E86,0))</f>
        <v/>
      </c>
      <c r="W24" s="138">
        <f>IF(OR(D86=0,E86=0,F86=0),0,IF(AND(W$3&gt;=G86,W$3&lt;H86),F86*MIN(12,E86-(W$3-G86)*12)/E86,0))</f>
        <v/>
      </c>
      <c r="X24" s="138">
        <f>IF(OR(D86=0,E86=0,F86=0),0,IF(AND(X$3&gt;=G86,X$3&lt;H86),F86*MIN(12,E86-(X$3-G86)*12)/E86,0))</f>
        <v/>
      </c>
      <c r="Y24" s="138">
        <f>IF(OR(D86=0,E86=0,F86=0),0,IF(AND(Y$3&gt;=G86,Y$3&lt;H86),F86*MIN(12,E86-(Y$3-G86)*12)/E86,0))</f>
        <v/>
      </c>
      <c r="Z24" s="138">
        <f>IF(OR(D86=0,E86=0,F86=0),0,IF(AND(Z$3&gt;=G86,Z$3&lt;H86),F86*MIN(12,E86-(Z$3-G86)*12)/E86,0))</f>
        <v/>
      </c>
      <c r="AA24" s="138">
        <f>IF(OR(D86=0,E86=0,F86=0),0,IF(AND(AA$3&gt;=G86,AA$3&lt;H86),F86*MIN(12,E86-(AA$3-G86)*12)/E86,0))</f>
        <v/>
      </c>
      <c r="AB24" s="138">
        <f>IF(OR(D86=0,E86=0,F86=0),0,IF(AND(AB$3&gt;=G86,AB$3&lt;H86),F86*MIN(12,E86-(AB$3-G86)*12)/E86,0))</f>
        <v/>
      </c>
      <c r="AC24" s="138">
        <f>IF(OR(D86=0,E86=0,F86=0),0,IF(AND(AC$3&gt;=G86,AC$3&lt;H86),F86*MIN(12,E86-(AC$3-G86)*12)/E86,0))</f>
        <v/>
      </c>
      <c r="AD24" s="138">
        <f>IF(OR(D86=0,E86=0,F86=0),0,IF(AND(AD$3&gt;=G86,AD$3&lt;H86),F86*MIN(12,E86-(AD$3-G86)*12)/E86,0))</f>
        <v/>
      </c>
      <c r="AE24" s="138">
        <f>IF(OR(D86=0,E86=0,F86=0),0,IF(AND(AE$3&gt;=G86,AE$3&lt;H86),F86*MIN(12,E86-(AE$3-G86)*12)/E86,0))</f>
        <v/>
      </c>
      <c r="AF24" s="138">
        <f>IF(OR(D86=0,E86=0,F86=0),0,IF(AND(AF$3&gt;=G86,AF$3&lt;H86),F86*MIN(12,E86-(AF$3-G86)*12)/E86,0))</f>
        <v/>
      </c>
      <c r="AG24" s="138">
        <f>IF(OR(D86=0,E86=0,F86=0),0,IF(AND(AG$3&gt;=G86,AG$3&lt;H86),F86*MIN(12,E86-(AG$3-G86)*12)/E86,0))</f>
        <v/>
      </c>
      <c r="AH24" s="138">
        <f>IF(OR(D86=0,E86=0,F86=0),0,IF(AND(AH$3&gt;=G86,AH$3&lt;H86),F86*MIN(12,E86-(AH$3-G86)*12)/E86,0))</f>
        <v/>
      </c>
      <c r="AI24" s="138">
        <f>IF(OR(D86=0,E86=0,F86=0),0,IF(AND(AI$3&gt;=G86,AI$3&lt;H86),F86*MIN(12,E86-(AI$3-G86)*12)/E86,0))</f>
        <v/>
      </c>
      <c r="AJ24" s="138">
        <f>IF(OR(D86=0,E86=0,F86=0),0,IF(AND(AJ$3&gt;=G86,AJ$3&lt;H86),F86*MIN(12,E86-(AJ$3-G86)*12)/E86,0))</f>
        <v/>
      </c>
      <c r="AK24" s="138">
        <f>IF(OR(D86=0,E86=0,F86=0),0,IF(AND(AK$3&gt;=G86,AK$3&lt;H86),F86*MIN(12,E86-(AK$3-G86)*12)/E86,0))</f>
        <v/>
      </c>
      <c r="AL24" s="138">
        <f>IF(OR(D86=0,E86=0,F86=0),0,IF(AND(AL$3&gt;=G86,AL$3&lt;H86),F86*MIN(12,E86-(AL$3-G86)*12)/E86,0))</f>
        <v/>
      </c>
      <c r="AM24" s="138">
        <f>IF(OR(D86=0,E86=0,F86=0),0,IF(AND(AM$3&gt;=G86,AM$3&lt;H86),F86*MIN(12,E86-(AM$3-G86)*12)/E86,0))</f>
        <v/>
      </c>
      <c r="AN24" s="138">
        <f>IF(OR(D86=0,E86=0,F86=0),0,IF(AND(AN$3&gt;=G86,AN$3&lt;H86),F86*MIN(12,E86-(AN$3-G86)*12)/E86,0))</f>
        <v/>
      </c>
      <c r="AO24" s="138">
        <f>IF(OR(D86=0,E86=0,F86=0),0,IF(AND(AO$3&gt;=G86,AO$3&lt;H86),F86*MIN(12,E86-(AO$3-G86)*12)/E86,0))</f>
        <v/>
      </c>
      <c r="AP24" s="138">
        <f>IF(OR(D86=0,E86=0,F86=0),0,IF(AND(AP$3&gt;=G86,AP$3&lt;H86),F86*MIN(12,E86-(AP$3-G86)*12)/E86,0))</f>
        <v/>
      </c>
      <c r="AQ24" s="138">
        <f>IF(OR(D86=0,E86=0,F86=0),0,IF(AND(AQ$3&gt;=G86,AQ$3&lt;H86),F86*MIN(12,E86-(AQ$3-G86)*12)/E86,0))</f>
        <v/>
      </c>
      <c r="AR24" s="138">
        <f>IF(OR(D86=0,E86=0,F86=0),0,IF(AND(AR$3&gt;=G86,AR$3&lt;H86),F86*MIN(12,E86-(AR$3-G86)*12)/E86,0))</f>
        <v/>
      </c>
      <c r="AS24" s="138">
        <f>IF(OR(D86=0,E86=0,F86=0),0,IF(AND(AS$3&gt;=G86,AS$3&lt;H86),F86*MIN(12,E86-(AS$3-G86)*12)/E86,0))</f>
        <v/>
      </c>
      <c r="AT24" s="138">
        <f>IF(OR(D86=0,E86=0,F86=0),0,IF(AND(AT$3&gt;=G86,AT$3&lt;H86),F86*MIN(12,E86-(AT$3-G86)*12)/E86,0))</f>
        <v/>
      </c>
      <c r="AU24" s="138">
        <f>IF(OR(D86=0,E86=0,F86=0),0,IF(AND(AU$3&gt;=G86,AU$3&lt;H86),F86*MIN(12,E86-(AU$3-G86)*12)/E86,0))</f>
        <v/>
      </c>
      <c r="AV24" s="138">
        <f>IF(OR(D86=0,E86=0,F86=0),0,IF(AND(AV$3&gt;=G86,AV$3&lt;H86),F86*MIN(12,E86-(AV$3-G86)*12)/E86,0))</f>
        <v/>
      </c>
      <c r="AW24" s="138">
        <f>IF(OR(D86=0,E86=0,F86=0),0,IF(AND(AW$3&gt;=G86,AW$3&lt;H86),F86*MIN(12,E86-(AW$3-G86)*12)/E86,0))</f>
        <v/>
      </c>
      <c r="AX24" s="138">
        <f>IF(OR(D86=0,E86=0,F86=0),0,IF(AND(AX$3&gt;=G86,AX$3&lt;H86),F86*MIN(12,E86-(AX$3-G86)*12)/E86,0))</f>
        <v/>
      </c>
      <c r="AY24" s="138">
        <f>IF(OR(D86=0,E86=0,F86=0),0,IF(AND(AY$3&gt;=G86,AY$3&lt;H86),F86*MIN(12,E86-(AY$3-G86)*12)/E86,0))</f>
        <v/>
      </c>
      <c r="AZ24" s="138">
        <f>IF(OR(D86=0,E86=0,F86=0),0,IF(AND(AZ$3&gt;=G86,AZ$3&lt;H86),F86*MIN(12,E86-(AZ$3-G86)*12)/E86,0))</f>
        <v/>
      </c>
      <c r="BA24" s="138">
        <f>IF(OR(D86=0,E86=0,F86=0),0,IF(AND(BA$3&gt;=G86,BA$3&lt;H86),F86*MIN(12,E86-(BA$3-G86)*12)/E86,0))</f>
        <v/>
      </c>
      <c r="BB24" s="138">
        <f>IF(OR(D86=0,E86=0,F86=0),0,IF(AND(BB$3&gt;=G86,BB$3&lt;H86),F86*MIN(12,E86-(BB$3-G86)*12)/E86,0))</f>
        <v/>
      </c>
    </row>
    <row r="25" ht="15" customHeight="1" s="91">
      <c r="A25" s="138">
        <f>A87</f>
        <v/>
      </c>
      <c r="B25" s="138">
        <f>B87</f>
        <v/>
      </c>
      <c r="C25" s="138">
        <f>C87</f>
        <v/>
      </c>
      <c r="D25" s="138">
        <f>SUM(E25:BB25)</f>
        <v/>
      </c>
      <c r="E25" s="138">
        <f>IF(OR(D87=0,E87=0,F87=0),0,IF(AND(E$3&gt;=G87,E$3&lt;H87),F87*MIN(12,E87-(E$3-G87)*12)/E87,0))</f>
        <v/>
      </c>
      <c r="F25" s="138">
        <f>IF(OR(D87=0,E87=0,F87=0),0,IF(AND(F$3&gt;=G87,F$3&lt;H87),F87*MIN(12,E87-(F$3-G87)*12)/E87,0))</f>
        <v/>
      </c>
      <c r="G25" s="138">
        <f>IF(OR(D87=0,E87=0,F87=0),0,IF(AND(G$3&gt;=G87,G$3&lt;H87),F87*MIN(12,E87-(G$3-G87)*12)/E87,0))</f>
        <v/>
      </c>
      <c r="H25" s="138">
        <f>IF(OR(D87=0,E87=0,F87=0),0,IF(AND(H$3&gt;=G87,H$3&lt;H87),F87*MIN(12,E87-(H$3-G87)*12)/E87,0))</f>
        <v/>
      </c>
      <c r="I25" s="138">
        <f>IF(OR(D87=0,E87=0,F87=0),0,IF(AND(I$3&gt;=G87,I$3&lt;H87),F87*MIN(12,E87-(I$3-G87)*12)/E87,0))</f>
        <v/>
      </c>
      <c r="J25" s="138">
        <f>IF(OR(D87=0,E87=0,F87=0),0,IF(AND(J$3&gt;=G87,J$3&lt;H87),F87*MIN(12,E87-(J$3-G87)*12)/E87,0))</f>
        <v/>
      </c>
      <c r="K25" s="138">
        <f>IF(OR(D87=0,E87=0,F87=0),0,IF(AND(K$3&gt;=G87,K$3&lt;H87),F87*MIN(12,E87-(K$3-G87)*12)/E87,0))</f>
        <v/>
      </c>
      <c r="L25" s="138">
        <f>IF(OR(D87=0,E87=0,F87=0),0,IF(AND(L$3&gt;=G87,L$3&lt;H87),F87*MIN(12,E87-(L$3-G87)*12)/E87,0))</f>
        <v/>
      </c>
      <c r="M25" s="138">
        <f>IF(OR(D87=0,E87=0,F87=0),0,IF(AND(M$3&gt;=G87,M$3&lt;H87),F87*MIN(12,E87-(M$3-G87)*12)/E87,0))</f>
        <v/>
      </c>
      <c r="N25" s="138">
        <f>IF(OR(D87=0,E87=0,F87=0),0,IF(AND(N$3&gt;=G87,N$3&lt;H87),F87*MIN(12,E87-(N$3-G87)*12)/E87,0))</f>
        <v/>
      </c>
      <c r="O25" s="138">
        <f>IF(OR(D87=0,E87=0,F87=0),0,IF(AND(O$3&gt;=G87,O$3&lt;H87),F87*MIN(12,E87-(O$3-G87)*12)/E87,0))</f>
        <v/>
      </c>
      <c r="P25" s="138">
        <f>IF(OR(D87=0,E87=0,F87=0),0,IF(AND(P$3&gt;=G87,P$3&lt;H87),F87*MIN(12,E87-(P$3-G87)*12)/E87,0))</f>
        <v/>
      </c>
      <c r="Q25" s="138">
        <f>IF(OR(D87=0,E87=0,F87=0),0,IF(AND(Q$3&gt;=G87,Q$3&lt;H87),F87*MIN(12,E87-(Q$3-G87)*12)/E87,0))</f>
        <v/>
      </c>
      <c r="R25" s="138">
        <f>IF(OR(D87=0,E87=0,F87=0),0,IF(AND(R$3&gt;=G87,R$3&lt;H87),F87*MIN(12,E87-(R$3-G87)*12)/E87,0))</f>
        <v/>
      </c>
      <c r="S25" s="138">
        <f>IF(OR(D87=0,E87=0,F87=0),0,IF(AND(S$3&gt;=G87,S$3&lt;H87),F87*MIN(12,E87-(S$3-G87)*12)/E87,0))</f>
        <v/>
      </c>
      <c r="T25" s="138">
        <f>IF(OR(D87=0,E87=0,F87=0),0,IF(AND(T$3&gt;=G87,T$3&lt;H87),F87*MIN(12,E87-(T$3-G87)*12)/E87,0))</f>
        <v/>
      </c>
      <c r="U25" s="138">
        <f>IF(OR(D87=0,E87=0,F87=0),0,IF(AND(U$3&gt;=G87,U$3&lt;H87),F87*MIN(12,E87-(U$3-G87)*12)/E87,0))</f>
        <v/>
      </c>
      <c r="V25" s="138">
        <f>IF(OR(D87=0,E87=0,F87=0),0,IF(AND(V$3&gt;=G87,V$3&lt;H87),F87*MIN(12,E87-(V$3-G87)*12)/E87,0))</f>
        <v/>
      </c>
      <c r="W25" s="138">
        <f>IF(OR(D87=0,E87=0,F87=0),0,IF(AND(W$3&gt;=G87,W$3&lt;H87),F87*MIN(12,E87-(W$3-G87)*12)/E87,0))</f>
        <v/>
      </c>
      <c r="X25" s="138">
        <f>IF(OR(D87=0,E87=0,F87=0),0,IF(AND(X$3&gt;=G87,X$3&lt;H87),F87*MIN(12,E87-(X$3-G87)*12)/E87,0))</f>
        <v/>
      </c>
      <c r="Y25" s="138">
        <f>IF(OR(D87=0,E87=0,F87=0),0,IF(AND(Y$3&gt;=G87,Y$3&lt;H87),F87*MIN(12,E87-(Y$3-G87)*12)/E87,0))</f>
        <v/>
      </c>
      <c r="Z25" s="138">
        <f>IF(OR(D87=0,E87=0,F87=0),0,IF(AND(Z$3&gt;=G87,Z$3&lt;H87),F87*MIN(12,E87-(Z$3-G87)*12)/E87,0))</f>
        <v/>
      </c>
      <c r="AA25" s="138">
        <f>IF(OR(D87=0,E87=0,F87=0),0,IF(AND(AA$3&gt;=G87,AA$3&lt;H87),F87*MIN(12,E87-(AA$3-G87)*12)/E87,0))</f>
        <v/>
      </c>
      <c r="AB25" s="138">
        <f>IF(OR(D87=0,E87=0,F87=0),0,IF(AND(AB$3&gt;=G87,AB$3&lt;H87),F87*MIN(12,E87-(AB$3-G87)*12)/E87,0))</f>
        <v/>
      </c>
      <c r="AC25" s="138">
        <f>IF(OR(D87=0,E87=0,F87=0),0,IF(AND(AC$3&gt;=G87,AC$3&lt;H87),F87*MIN(12,E87-(AC$3-G87)*12)/E87,0))</f>
        <v/>
      </c>
      <c r="AD25" s="138">
        <f>IF(OR(D87=0,E87=0,F87=0),0,IF(AND(AD$3&gt;=G87,AD$3&lt;H87),F87*MIN(12,E87-(AD$3-G87)*12)/E87,0))</f>
        <v/>
      </c>
      <c r="AE25" s="138">
        <f>IF(OR(D87=0,E87=0,F87=0),0,IF(AND(AE$3&gt;=G87,AE$3&lt;H87),F87*MIN(12,E87-(AE$3-G87)*12)/E87,0))</f>
        <v/>
      </c>
      <c r="AF25" s="138">
        <f>IF(OR(D87=0,E87=0,F87=0),0,IF(AND(AF$3&gt;=G87,AF$3&lt;H87),F87*MIN(12,E87-(AF$3-G87)*12)/E87,0))</f>
        <v/>
      </c>
      <c r="AG25" s="138">
        <f>IF(OR(D87=0,E87=0,F87=0),0,IF(AND(AG$3&gt;=G87,AG$3&lt;H87),F87*MIN(12,E87-(AG$3-G87)*12)/E87,0))</f>
        <v/>
      </c>
      <c r="AH25" s="138">
        <f>IF(OR(D87=0,E87=0,F87=0),0,IF(AND(AH$3&gt;=G87,AH$3&lt;H87),F87*MIN(12,E87-(AH$3-G87)*12)/E87,0))</f>
        <v/>
      </c>
      <c r="AI25" s="138">
        <f>IF(OR(D87=0,E87=0,F87=0),0,IF(AND(AI$3&gt;=G87,AI$3&lt;H87),F87*MIN(12,E87-(AI$3-G87)*12)/E87,0))</f>
        <v/>
      </c>
      <c r="AJ25" s="138">
        <f>IF(OR(D87=0,E87=0,F87=0),0,IF(AND(AJ$3&gt;=G87,AJ$3&lt;H87),F87*MIN(12,E87-(AJ$3-G87)*12)/E87,0))</f>
        <v/>
      </c>
      <c r="AK25" s="138">
        <f>IF(OR(D87=0,E87=0,F87=0),0,IF(AND(AK$3&gt;=G87,AK$3&lt;H87),F87*MIN(12,E87-(AK$3-G87)*12)/E87,0))</f>
        <v/>
      </c>
      <c r="AL25" s="138">
        <f>IF(OR(D87=0,E87=0,F87=0),0,IF(AND(AL$3&gt;=G87,AL$3&lt;H87),F87*MIN(12,E87-(AL$3-G87)*12)/E87,0))</f>
        <v/>
      </c>
      <c r="AM25" s="138">
        <f>IF(OR(D87=0,E87=0,F87=0),0,IF(AND(AM$3&gt;=G87,AM$3&lt;H87),F87*MIN(12,E87-(AM$3-G87)*12)/E87,0))</f>
        <v/>
      </c>
      <c r="AN25" s="138">
        <f>IF(OR(D87=0,E87=0,F87=0),0,IF(AND(AN$3&gt;=G87,AN$3&lt;H87),F87*MIN(12,E87-(AN$3-G87)*12)/E87,0))</f>
        <v/>
      </c>
      <c r="AO25" s="138">
        <f>IF(OR(D87=0,E87=0,F87=0),0,IF(AND(AO$3&gt;=G87,AO$3&lt;H87),F87*MIN(12,E87-(AO$3-G87)*12)/E87,0))</f>
        <v/>
      </c>
      <c r="AP25" s="138">
        <f>IF(OR(D87=0,E87=0,F87=0),0,IF(AND(AP$3&gt;=G87,AP$3&lt;H87),F87*MIN(12,E87-(AP$3-G87)*12)/E87,0))</f>
        <v/>
      </c>
      <c r="AQ25" s="138">
        <f>IF(OR(D87=0,E87=0,F87=0),0,IF(AND(AQ$3&gt;=G87,AQ$3&lt;H87),F87*MIN(12,E87-(AQ$3-G87)*12)/E87,0))</f>
        <v/>
      </c>
      <c r="AR25" s="138">
        <f>IF(OR(D87=0,E87=0,F87=0),0,IF(AND(AR$3&gt;=G87,AR$3&lt;H87),F87*MIN(12,E87-(AR$3-G87)*12)/E87,0))</f>
        <v/>
      </c>
      <c r="AS25" s="138">
        <f>IF(OR(D87=0,E87=0,F87=0),0,IF(AND(AS$3&gt;=G87,AS$3&lt;H87),F87*MIN(12,E87-(AS$3-G87)*12)/E87,0))</f>
        <v/>
      </c>
      <c r="AT25" s="138">
        <f>IF(OR(D87=0,E87=0,F87=0),0,IF(AND(AT$3&gt;=G87,AT$3&lt;H87),F87*MIN(12,E87-(AT$3-G87)*12)/E87,0))</f>
        <v/>
      </c>
      <c r="AU25" s="138">
        <f>IF(OR(D87=0,E87=0,F87=0),0,IF(AND(AU$3&gt;=G87,AU$3&lt;H87),F87*MIN(12,E87-(AU$3-G87)*12)/E87,0))</f>
        <v/>
      </c>
      <c r="AV25" s="138">
        <f>IF(OR(D87=0,E87=0,F87=0),0,IF(AND(AV$3&gt;=G87,AV$3&lt;H87),F87*MIN(12,E87-(AV$3-G87)*12)/E87,0))</f>
        <v/>
      </c>
      <c r="AW25" s="138">
        <f>IF(OR(D87=0,E87=0,F87=0),0,IF(AND(AW$3&gt;=G87,AW$3&lt;H87),F87*MIN(12,E87-(AW$3-G87)*12)/E87,0))</f>
        <v/>
      </c>
      <c r="AX25" s="138">
        <f>IF(OR(D87=0,E87=0,F87=0),0,IF(AND(AX$3&gt;=G87,AX$3&lt;H87),F87*MIN(12,E87-(AX$3-G87)*12)/E87,0))</f>
        <v/>
      </c>
      <c r="AY25" s="138">
        <f>IF(OR(D87=0,E87=0,F87=0),0,IF(AND(AY$3&gt;=G87,AY$3&lt;H87),F87*MIN(12,E87-(AY$3-G87)*12)/E87,0))</f>
        <v/>
      </c>
      <c r="AZ25" s="138">
        <f>IF(OR(D87=0,E87=0,F87=0),0,IF(AND(AZ$3&gt;=G87,AZ$3&lt;H87),F87*MIN(12,E87-(AZ$3-G87)*12)/E87,0))</f>
        <v/>
      </c>
      <c r="BA25" s="138">
        <f>IF(OR(D87=0,E87=0,F87=0),0,IF(AND(BA$3&gt;=G87,BA$3&lt;H87),F87*MIN(12,E87-(BA$3-G87)*12)/E87,0))</f>
        <v/>
      </c>
      <c r="BB25" s="138">
        <f>IF(OR(D87=0,E87=0,F87=0),0,IF(AND(BB$3&gt;=G87,BB$3&lt;H87),F87*MIN(12,E87-(BB$3-G87)*12)/E87,0))</f>
        <v/>
      </c>
    </row>
    <row r="26" ht="15" customHeight="1" s="91">
      <c r="A26" s="138">
        <f>A88</f>
        <v/>
      </c>
      <c r="B26" s="138">
        <f>B88</f>
        <v/>
      </c>
      <c r="C26" s="138">
        <f>C88</f>
        <v/>
      </c>
      <c r="D26" s="138">
        <f>SUM(E26:BB26)</f>
        <v/>
      </c>
      <c r="E26" s="138">
        <f>IF(OR(D88=0,E88=0,F88=0),0,IF(AND(E$3&gt;=G88,E$3&lt;H88),F88*MIN(12,E88-(E$3-G88)*12)/E88,0))</f>
        <v/>
      </c>
      <c r="F26" s="138">
        <f>IF(OR(D88=0,E88=0,F88=0),0,IF(AND(F$3&gt;=G88,F$3&lt;H88),F88*MIN(12,E88-(F$3-G88)*12)/E88,0))</f>
        <v/>
      </c>
      <c r="G26" s="138">
        <f>IF(OR(D88=0,E88=0,F88=0),0,IF(AND(G$3&gt;=G88,G$3&lt;H88),F88*MIN(12,E88-(G$3-G88)*12)/E88,0))</f>
        <v/>
      </c>
      <c r="H26" s="138">
        <f>IF(OR(D88=0,E88=0,F88=0),0,IF(AND(H$3&gt;=G88,H$3&lt;H88),F88*MIN(12,E88-(H$3-G88)*12)/E88,0))</f>
        <v/>
      </c>
      <c r="I26" s="138">
        <f>IF(OR(D88=0,E88=0,F88=0),0,IF(AND(I$3&gt;=G88,I$3&lt;H88),F88*MIN(12,E88-(I$3-G88)*12)/E88,0))</f>
        <v/>
      </c>
      <c r="J26" s="138">
        <f>IF(OR(D88=0,E88=0,F88=0),0,IF(AND(J$3&gt;=G88,J$3&lt;H88),F88*MIN(12,E88-(J$3-G88)*12)/E88,0))</f>
        <v/>
      </c>
      <c r="K26" s="138">
        <f>IF(OR(D88=0,E88=0,F88=0),0,IF(AND(K$3&gt;=G88,K$3&lt;H88),F88*MIN(12,E88-(K$3-G88)*12)/E88,0))</f>
        <v/>
      </c>
      <c r="L26" s="138">
        <f>IF(OR(D88=0,E88=0,F88=0),0,IF(AND(L$3&gt;=G88,L$3&lt;H88),F88*MIN(12,E88-(L$3-G88)*12)/E88,0))</f>
        <v/>
      </c>
      <c r="M26" s="138">
        <f>IF(OR(D88=0,E88=0,F88=0),0,IF(AND(M$3&gt;=G88,M$3&lt;H88),F88*MIN(12,E88-(M$3-G88)*12)/E88,0))</f>
        <v/>
      </c>
      <c r="N26" s="138">
        <f>IF(OR(D88=0,E88=0,F88=0),0,IF(AND(N$3&gt;=G88,N$3&lt;H88),F88*MIN(12,E88-(N$3-G88)*12)/E88,0))</f>
        <v/>
      </c>
      <c r="O26" s="138">
        <f>IF(OR(D88=0,E88=0,F88=0),0,IF(AND(O$3&gt;=G88,O$3&lt;H88),F88*MIN(12,E88-(O$3-G88)*12)/E88,0))</f>
        <v/>
      </c>
      <c r="P26" s="138">
        <f>IF(OR(D88=0,E88=0,F88=0),0,IF(AND(P$3&gt;=G88,P$3&lt;H88),F88*MIN(12,E88-(P$3-G88)*12)/E88,0))</f>
        <v/>
      </c>
      <c r="Q26" s="138">
        <f>IF(OR(D88=0,E88=0,F88=0),0,IF(AND(Q$3&gt;=G88,Q$3&lt;H88),F88*MIN(12,E88-(Q$3-G88)*12)/E88,0))</f>
        <v/>
      </c>
      <c r="R26" s="138">
        <f>IF(OR(D88=0,E88=0,F88=0),0,IF(AND(R$3&gt;=G88,R$3&lt;H88),F88*MIN(12,E88-(R$3-G88)*12)/E88,0))</f>
        <v/>
      </c>
      <c r="S26" s="138">
        <f>IF(OR(D88=0,E88=0,F88=0),0,IF(AND(S$3&gt;=G88,S$3&lt;H88),F88*MIN(12,E88-(S$3-G88)*12)/E88,0))</f>
        <v/>
      </c>
      <c r="T26" s="138">
        <f>IF(OR(D88=0,E88=0,F88=0),0,IF(AND(T$3&gt;=G88,T$3&lt;H88),F88*MIN(12,E88-(T$3-G88)*12)/E88,0))</f>
        <v/>
      </c>
      <c r="U26" s="138">
        <f>IF(OR(D88=0,E88=0,F88=0),0,IF(AND(U$3&gt;=G88,U$3&lt;H88),F88*MIN(12,E88-(U$3-G88)*12)/E88,0))</f>
        <v/>
      </c>
      <c r="V26" s="138">
        <f>IF(OR(D88=0,E88=0,F88=0),0,IF(AND(V$3&gt;=G88,V$3&lt;H88),F88*MIN(12,E88-(V$3-G88)*12)/E88,0))</f>
        <v/>
      </c>
      <c r="W26" s="138">
        <f>IF(OR(D88=0,E88=0,F88=0),0,IF(AND(W$3&gt;=G88,W$3&lt;H88),F88*MIN(12,E88-(W$3-G88)*12)/E88,0))</f>
        <v/>
      </c>
      <c r="X26" s="138">
        <f>IF(OR(D88=0,E88=0,F88=0),0,IF(AND(X$3&gt;=G88,X$3&lt;H88),F88*MIN(12,E88-(X$3-G88)*12)/E88,0))</f>
        <v/>
      </c>
      <c r="Y26" s="138">
        <f>IF(OR(D88=0,E88=0,F88=0),0,IF(AND(Y$3&gt;=G88,Y$3&lt;H88),F88*MIN(12,E88-(Y$3-G88)*12)/E88,0))</f>
        <v/>
      </c>
      <c r="Z26" s="138">
        <f>IF(OR(D88=0,E88=0,F88=0),0,IF(AND(Z$3&gt;=G88,Z$3&lt;H88),F88*MIN(12,E88-(Z$3-G88)*12)/E88,0))</f>
        <v/>
      </c>
      <c r="AA26" s="138">
        <f>IF(OR(D88=0,E88=0,F88=0),0,IF(AND(AA$3&gt;=G88,AA$3&lt;H88),F88*MIN(12,E88-(AA$3-G88)*12)/E88,0))</f>
        <v/>
      </c>
      <c r="AB26" s="138">
        <f>IF(OR(D88=0,E88=0,F88=0),0,IF(AND(AB$3&gt;=G88,AB$3&lt;H88),F88*MIN(12,E88-(AB$3-G88)*12)/E88,0))</f>
        <v/>
      </c>
      <c r="AC26" s="138">
        <f>IF(OR(D88=0,E88=0,F88=0),0,IF(AND(AC$3&gt;=G88,AC$3&lt;H88),F88*MIN(12,E88-(AC$3-G88)*12)/E88,0))</f>
        <v/>
      </c>
      <c r="AD26" s="138">
        <f>IF(OR(D88=0,E88=0,F88=0),0,IF(AND(AD$3&gt;=G88,AD$3&lt;H88),F88*MIN(12,E88-(AD$3-G88)*12)/E88,0))</f>
        <v/>
      </c>
      <c r="AE26" s="138">
        <f>IF(OR(D88=0,E88=0,F88=0),0,IF(AND(AE$3&gt;=G88,AE$3&lt;H88),F88*MIN(12,E88-(AE$3-G88)*12)/E88,0))</f>
        <v/>
      </c>
      <c r="AF26" s="138">
        <f>IF(OR(D88=0,E88=0,F88=0),0,IF(AND(AF$3&gt;=G88,AF$3&lt;H88),F88*MIN(12,E88-(AF$3-G88)*12)/E88,0))</f>
        <v/>
      </c>
      <c r="AG26" s="138">
        <f>IF(OR(D88=0,E88=0,F88=0),0,IF(AND(AG$3&gt;=G88,AG$3&lt;H88),F88*MIN(12,E88-(AG$3-G88)*12)/E88,0))</f>
        <v/>
      </c>
      <c r="AH26" s="138">
        <f>IF(OR(D88=0,E88=0,F88=0),0,IF(AND(AH$3&gt;=G88,AH$3&lt;H88),F88*MIN(12,E88-(AH$3-G88)*12)/E88,0))</f>
        <v/>
      </c>
      <c r="AI26" s="138">
        <f>IF(OR(D88=0,E88=0,F88=0),0,IF(AND(AI$3&gt;=G88,AI$3&lt;H88),F88*MIN(12,E88-(AI$3-G88)*12)/E88,0))</f>
        <v/>
      </c>
      <c r="AJ26" s="138">
        <f>IF(OR(D88=0,E88=0,F88=0),0,IF(AND(AJ$3&gt;=G88,AJ$3&lt;H88),F88*MIN(12,E88-(AJ$3-G88)*12)/E88,0))</f>
        <v/>
      </c>
      <c r="AK26" s="138">
        <f>IF(OR(D88=0,E88=0,F88=0),0,IF(AND(AK$3&gt;=G88,AK$3&lt;H88),F88*MIN(12,E88-(AK$3-G88)*12)/E88,0))</f>
        <v/>
      </c>
      <c r="AL26" s="138">
        <f>IF(OR(D88=0,E88=0,F88=0),0,IF(AND(AL$3&gt;=G88,AL$3&lt;H88),F88*MIN(12,E88-(AL$3-G88)*12)/E88,0))</f>
        <v/>
      </c>
      <c r="AM26" s="138">
        <f>IF(OR(D88=0,E88=0,F88=0),0,IF(AND(AM$3&gt;=G88,AM$3&lt;H88),F88*MIN(12,E88-(AM$3-G88)*12)/E88,0))</f>
        <v/>
      </c>
      <c r="AN26" s="138">
        <f>IF(OR(D88=0,E88=0,F88=0),0,IF(AND(AN$3&gt;=G88,AN$3&lt;H88),F88*MIN(12,E88-(AN$3-G88)*12)/E88,0))</f>
        <v/>
      </c>
      <c r="AO26" s="138">
        <f>IF(OR(D88=0,E88=0,F88=0),0,IF(AND(AO$3&gt;=G88,AO$3&lt;H88),F88*MIN(12,E88-(AO$3-G88)*12)/E88,0))</f>
        <v/>
      </c>
      <c r="AP26" s="138">
        <f>IF(OR(D88=0,E88=0,F88=0),0,IF(AND(AP$3&gt;=G88,AP$3&lt;H88),F88*MIN(12,E88-(AP$3-G88)*12)/E88,0))</f>
        <v/>
      </c>
      <c r="AQ26" s="138">
        <f>IF(OR(D88=0,E88=0,F88=0),0,IF(AND(AQ$3&gt;=G88,AQ$3&lt;H88),F88*MIN(12,E88-(AQ$3-G88)*12)/E88,0))</f>
        <v/>
      </c>
      <c r="AR26" s="138">
        <f>IF(OR(D88=0,E88=0,F88=0),0,IF(AND(AR$3&gt;=G88,AR$3&lt;H88),F88*MIN(12,E88-(AR$3-G88)*12)/E88,0))</f>
        <v/>
      </c>
      <c r="AS26" s="138">
        <f>IF(OR(D88=0,E88=0,F88=0),0,IF(AND(AS$3&gt;=G88,AS$3&lt;H88),F88*MIN(12,E88-(AS$3-G88)*12)/E88,0))</f>
        <v/>
      </c>
      <c r="AT26" s="138">
        <f>IF(OR(D88=0,E88=0,F88=0),0,IF(AND(AT$3&gt;=G88,AT$3&lt;H88),F88*MIN(12,E88-(AT$3-G88)*12)/E88,0))</f>
        <v/>
      </c>
      <c r="AU26" s="138">
        <f>IF(OR(D88=0,E88=0,F88=0),0,IF(AND(AU$3&gt;=G88,AU$3&lt;H88),F88*MIN(12,E88-(AU$3-G88)*12)/E88,0))</f>
        <v/>
      </c>
      <c r="AV26" s="138">
        <f>IF(OR(D88=0,E88=0,F88=0),0,IF(AND(AV$3&gt;=G88,AV$3&lt;H88),F88*MIN(12,E88-(AV$3-G88)*12)/E88,0))</f>
        <v/>
      </c>
      <c r="AW26" s="138">
        <f>IF(OR(D88=0,E88=0,F88=0),0,IF(AND(AW$3&gt;=G88,AW$3&lt;H88),F88*MIN(12,E88-(AW$3-G88)*12)/E88,0))</f>
        <v/>
      </c>
      <c r="AX26" s="138">
        <f>IF(OR(D88=0,E88=0,F88=0),0,IF(AND(AX$3&gt;=G88,AX$3&lt;H88),F88*MIN(12,E88-(AX$3-G88)*12)/E88,0))</f>
        <v/>
      </c>
      <c r="AY26" s="138">
        <f>IF(OR(D88=0,E88=0,F88=0),0,IF(AND(AY$3&gt;=G88,AY$3&lt;H88),F88*MIN(12,E88-(AY$3-G88)*12)/E88,0))</f>
        <v/>
      </c>
      <c r="AZ26" s="138">
        <f>IF(OR(D88=0,E88=0,F88=0),0,IF(AND(AZ$3&gt;=G88,AZ$3&lt;H88),F88*MIN(12,E88-(AZ$3-G88)*12)/E88,0))</f>
        <v/>
      </c>
      <c r="BA26" s="138">
        <f>IF(OR(D88=0,E88=0,F88=0),0,IF(AND(BA$3&gt;=G88,BA$3&lt;H88),F88*MIN(12,E88-(BA$3-G88)*12)/E88,0))</f>
        <v/>
      </c>
      <c r="BB26" s="138">
        <f>IF(OR(D88=0,E88=0,F88=0),0,IF(AND(BB$3&gt;=G88,BB$3&lt;H88),F88*MIN(12,E88-(BB$3-G88)*12)/E88,0))</f>
        <v/>
      </c>
    </row>
    <row r="27" ht="15" customHeight="1" s="91">
      <c r="A27" s="138">
        <f>A89</f>
        <v/>
      </c>
      <c r="B27" s="138">
        <f>B89</f>
        <v/>
      </c>
      <c r="C27" s="138">
        <f>C89</f>
        <v/>
      </c>
      <c r="D27" s="138">
        <f>SUM(E27:BB27)</f>
        <v/>
      </c>
      <c r="E27" s="138">
        <f>IF(OR(D89=0,E89=0,F89=0),0,IF(AND(E$3&gt;=G89,E$3&lt;H89),F89*MIN(12,E89-(E$3-G89)*12)/E89,0))</f>
        <v/>
      </c>
      <c r="F27" s="138">
        <f>IF(OR(D89=0,E89=0,F89=0),0,IF(AND(F$3&gt;=G89,F$3&lt;H89),F89*MIN(12,E89-(F$3-G89)*12)/E89,0))</f>
        <v/>
      </c>
      <c r="G27" s="138">
        <f>IF(OR(D89=0,E89=0,F89=0),0,IF(AND(G$3&gt;=G89,G$3&lt;H89),F89*MIN(12,E89-(G$3-G89)*12)/E89,0))</f>
        <v/>
      </c>
      <c r="H27" s="138">
        <f>IF(OR(D89=0,E89=0,F89=0),0,IF(AND(H$3&gt;=G89,H$3&lt;H89),F89*MIN(12,E89-(H$3-G89)*12)/E89,0))</f>
        <v/>
      </c>
      <c r="I27" s="138">
        <f>IF(OR(D89=0,E89=0,F89=0),0,IF(AND(I$3&gt;=G89,I$3&lt;H89),F89*MIN(12,E89-(I$3-G89)*12)/E89,0))</f>
        <v/>
      </c>
      <c r="J27" s="138">
        <f>IF(OR(D89=0,E89=0,F89=0),0,IF(AND(J$3&gt;=G89,J$3&lt;H89),F89*MIN(12,E89-(J$3-G89)*12)/E89,0))</f>
        <v/>
      </c>
      <c r="K27" s="138">
        <f>IF(OR(D89=0,E89=0,F89=0),0,IF(AND(K$3&gt;=G89,K$3&lt;H89),F89*MIN(12,E89-(K$3-G89)*12)/E89,0))</f>
        <v/>
      </c>
      <c r="L27" s="138">
        <f>IF(OR(D89=0,E89=0,F89=0),0,IF(AND(L$3&gt;=G89,L$3&lt;H89),F89*MIN(12,E89-(L$3-G89)*12)/E89,0))</f>
        <v/>
      </c>
      <c r="M27" s="138">
        <f>IF(OR(D89=0,E89=0,F89=0),0,IF(AND(M$3&gt;=G89,M$3&lt;H89),F89*MIN(12,E89-(M$3-G89)*12)/E89,0))</f>
        <v/>
      </c>
      <c r="N27" s="138">
        <f>IF(OR(D89=0,E89=0,F89=0),0,IF(AND(N$3&gt;=G89,N$3&lt;H89),F89*MIN(12,E89-(N$3-G89)*12)/E89,0))</f>
        <v/>
      </c>
      <c r="O27" s="138">
        <f>IF(OR(D89=0,E89=0,F89=0),0,IF(AND(O$3&gt;=G89,O$3&lt;H89),F89*MIN(12,E89-(O$3-G89)*12)/E89,0))</f>
        <v/>
      </c>
      <c r="P27" s="138">
        <f>IF(OR(D89=0,E89=0,F89=0),0,IF(AND(P$3&gt;=G89,P$3&lt;H89),F89*MIN(12,E89-(P$3-G89)*12)/E89,0))</f>
        <v/>
      </c>
      <c r="Q27" s="138">
        <f>IF(OR(D89=0,E89=0,F89=0),0,IF(AND(Q$3&gt;=G89,Q$3&lt;H89),F89*MIN(12,E89-(Q$3-G89)*12)/E89,0))</f>
        <v/>
      </c>
      <c r="R27" s="138">
        <f>IF(OR(D89=0,E89=0,F89=0),0,IF(AND(R$3&gt;=G89,R$3&lt;H89),F89*MIN(12,E89-(R$3-G89)*12)/E89,0))</f>
        <v/>
      </c>
      <c r="S27" s="138">
        <f>IF(OR(D89=0,E89=0,F89=0),0,IF(AND(S$3&gt;=G89,S$3&lt;H89),F89*MIN(12,E89-(S$3-G89)*12)/E89,0))</f>
        <v/>
      </c>
      <c r="T27" s="138">
        <f>IF(OR(D89=0,E89=0,F89=0),0,IF(AND(T$3&gt;=G89,T$3&lt;H89),F89*MIN(12,E89-(T$3-G89)*12)/E89,0))</f>
        <v/>
      </c>
      <c r="U27" s="138">
        <f>IF(OR(D89=0,E89=0,F89=0),0,IF(AND(U$3&gt;=G89,U$3&lt;H89),F89*MIN(12,E89-(U$3-G89)*12)/E89,0))</f>
        <v/>
      </c>
      <c r="V27" s="138">
        <f>IF(OR(D89=0,E89=0,F89=0),0,IF(AND(V$3&gt;=G89,V$3&lt;H89),F89*MIN(12,E89-(V$3-G89)*12)/E89,0))</f>
        <v/>
      </c>
      <c r="W27" s="138">
        <f>IF(OR(D89=0,E89=0,F89=0),0,IF(AND(W$3&gt;=G89,W$3&lt;H89),F89*MIN(12,E89-(W$3-G89)*12)/E89,0))</f>
        <v/>
      </c>
      <c r="X27" s="138">
        <f>IF(OR(D89=0,E89=0,F89=0),0,IF(AND(X$3&gt;=G89,X$3&lt;H89),F89*MIN(12,E89-(X$3-G89)*12)/E89,0))</f>
        <v/>
      </c>
      <c r="Y27" s="138">
        <f>IF(OR(D89=0,E89=0,F89=0),0,IF(AND(Y$3&gt;=G89,Y$3&lt;H89),F89*MIN(12,E89-(Y$3-G89)*12)/E89,0))</f>
        <v/>
      </c>
      <c r="Z27" s="138">
        <f>IF(OR(D89=0,E89=0,F89=0),0,IF(AND(Z$3&gt;=G89,Z$3&lt;H89),F89*MIN(12,E89-(Z$3-G89)*12)/E89,0))</f>
        <v/>
      </c>
      <c r="AA27" s="138">
        <f>IF(OR(D89=0,E89=0,F89=0),0,IF(AND(AA$3&gt;=G89,AA$3&lt;H89),F89*MIN(12,E89-(AA$3-G89)*12)/E89,0))</f>
        <v/>
      </c>
      <c r="AB27" s="138">
        <f>IF(OR(D89=0,E89=0,F89=0),0,IF(AND(AB$3&gt;=G89,AB$3&lt;H89),F89*MIN(12,E89-(AB$3-G89)*12)/E89,0))</f>
        <v/>
      </c>
      <c r="AC27" s="138">
        <f>IF(OR(D89=0,E89=0,F89=0),0,IF(AND(AC$3&gt;=G89,AC$3&lt;H89),F89*MIN(12,E89-(AC$3-G89)*12)/E89,0))</f>
        <v/>
      </c>
      <c r="AD27" s="138">
        <f>IF(OR(D89=0,E89=0,F89=0),0,IF(AND(AD$3&gt;=G89,AD$3&lt;H89),F89*MIN(12,E89-(AD$3-G89)*12)/E89,0))</f>
        <v/>
      </c>
      <c r="AE27" s="138">
        <f>IF(OR(D89=0,E89=0,F89=0),0,IF(AND(AE$3&gt;=G89,AE$3&lt;H89),F89*MIN(12,E89-(AE$3-G89)*12)/E89,0))</f>
        <v/>
      </c>
      <c r="AF27" s="138">
        <f>IF(OR(D89=0,E89=0,F89=0),0,IF(AND(AF$3&gt;=G89,AF$3&lt;H89),F89*MIN(12,E89-(AF$3-G89)*12)/E89,0))</f>
        <v/>
      </c>
      <c r="AG27" s="138">
        <f>IF(OR(D89=0,E89=0,F89=0),0,IF(AND(AG$3&gt;=G89,AG$3&lt;H89),F89*MIN(12,E89-(AG$3-G89)*12)/E89,0))</f>
        <v/>
      </c>
      <c r="AH27" s="138">
        <f>IF(OR(D89=0,E89=0,F89=0),0,IF(AND(AH$3&gt;=G89,AH$3&lt;H89),F89*MIN(12,E89-(AH$3-G89)*12)/E89,0))</f>
        <v/>
      </c>
      <c r="AI27" s="138">
        <f>IF(OR(D89=0,E89=0,F89=0),0,IF(AND(AI$3&gt;=G89,AI$3&lt;H89),F89*MIN(12,E89-(AI$3-G89)*12)/E89,0))</f>
        <v/>
      </c>
      <c r="AJ27" s="138">
        <f>IF(OR(D89=0,E89=0,F89=0),0,IF(AND(AJ$3&gt;=G89,AJ$3&lt;H89),F89*MIN(12,E89-(AJ$3-G89)*12)/E89,0))</f>
        <v/>
      </c>
      <c r="AK27" s="138">
        <f>IF(OR(D89=0,E89=0,F89=0),0,IF(AND(AK$3&gt;=G89,AK$3&lt;H89),F89*MIN(12,E89-(AK$3-G89)*12)/E89,0))</f>
        <v/>
      </c>
      <c r="AL27" s="138">
        <f>IF(OR(D89=0,E89=0,F89=0),0,IF(AND(AL$3&gt;=G89,AL$3&lt;H89),F89*MIN(12,E89-(AL$3-G89)*12)/E89,0))</f>
        <v/>
      </c>
      <c r="AM27" s="138">
        <f>IF(OR(D89=0,E89=0,F89=0),0,IF(AND(AM$3&gt;=G89,AM$3&lt;H89),F89*MIN(12,E89-(AM$3-G89)*12)/E89,0))</f>
        <v/>
      </c>
      <c r="AN27" s="138">
        <f>IF(OR(D89=0,E89=0,F89=0),0,IF(AND(AN$3&gt;=G89,AN$3&lt;H89),F89*MIN(12,E89-(AN$3-G89)*12)/E89,0))</f>
        <v/>
      </c>
      <c r="AO27" s="138">
        <f>IF(OR(D89=0,E89=0,F89=0),0,IF(AND(AO$3&gt;=G89,AO$3&lt;H89),F89*MIN(12,E89-(AO$3-G89)*12)/E89,0))</f>
        <v/>
      </c>
      <c r="AP27" s="138">
        <f>IF(OR(D89=0,E89=0,F89=0),0,IF(AND(AP$3&gt;=G89,AP$3&lt;H89),F89*MIN(12,E89-(AP$3-G89)*12)/E89,0))</f>
        <v/>
      </c>
      <c r="AQ27" s="138">
        <f>IF(OR(D89=0,E89=0,F89=0),0,IF(AND(AQ$3&gt;=G89,AQ$3&lt;H89),F89*MIN(12,E89-(AQ$3-G89)*12)/E89,0))</f>
        <v/>
      </c>
      <c r="AR27" s="138">
        <f>IF(OR(D89=0,E89=0,F89=0),0,IF(AND(AR$3&gt;=G89,AR$3&lt;H89),F89*MIN(12,E89-(AR$3-G89)*12)/E89,0))</f>
        <v/>
      </c>
      <c r="AS27" s="138">
        <f>IF(OR(D89=0,E89=0,F89=0),0,IF(AND(AS$3&gt;=G89,AS$3&lt;H89),F89*MIN(12,E89-(AS$3-G89)*12)/E89,0))</f>
        <v/>
      </c>
      <c r="AT27" s="138">
        <f>IF(OR(D89=0,E89=0,F89=0),0,IF(AND(AT$3&gt;=G89,AT$3&lt;H89),F89*MIN(12,E89-(AT$3-G89)*12)/E89,0))</f>
        <v/>
      </c>
      <c r="AU27" s="138">
        <f>IF(OR(D89=0,E89=0,F89=0),0,IF(AND(AU$3&gt;=G89,AU$3&lt;H89),F89*MIN(12,E89-(AU$3-G89)*12)/E89,0))</f>
        <v/>
      </c>
      <c r="AV27" s="138">
        <f>IF(OR(D89=0,E89=0,F89=0),0,IF(AND(AV$3&gt;=G89,AV$3&lt;H89),F89*MIN(12,E89-(AV$3-G89)*12)/E89,0))</f>
        <v/>
      </c>
      <c r="AW27" s="138">
        <f>IF(OR(D89=0,E89=0,F89=0),0,IF(AND(AW$3&gt;=G89,AW$3&lt;H89),F89*MIN(12,E89-(AW$3-G89)*12)/E89,0))</f>
        <v/>
      </c>
      <c r="AX27" s="138">
        <f>IF(OR(D89=0,E89=0,F89=0),0,IF(AND(AX$3&gt;=G89,AX$3&lt;H89),F89*MIN(12,E89-(AX$3-G89)*12)/E89,0))</f>
        <v/>
      </c>
      <c r="AY27" s="138">
        <f>IF(OR(D89=0,E89=0,F89=0),0,IF(AND(AY$3&gt;=G89,AY$3&lt;H89),F89*MIN(12,E89-(AY$3-G89)*12)/E89,0))</f>
        <v/>
      </c>
      <c r="AZ27" s="138">
        <f>IF(OR(D89=0,E89=0,F89=0),0,IF(AND(AZ$3&gt;=G89,AZ$3&lt;H89),F89*MIN(12,E89-(AZ$3-G89)*12)/E89,0))</f>
        <v/>
      </c>
      <c r="BA27" s="138">
        <f>IF(OR(D89=0,E89=0,F89=0),0,IF(AND(BA$3&gt;=G89,BA$3&lt;H89),F89*MIN(12,E89-(BA$3-G89)*12)/E89,0))</f>
        <v/>
      </c>
      <c r="BB27" s="138">
        <f>IF(OR(D89=0,E89=0,F89=0),0,IF(AND(BB$3&gt;=G89,BB$3&lt;H89),F89*MIN(12,E89-(BB$3-G89)*12)/E89,0))</f>
        <v/>
      </c>
    </row>
    <row r="28" ht="15" customHeight="1" s="91">
      <c r="A28" s="138">
        <f>A90</f>
        <v/>
      </c>
      <c r="B28" s="138">
        <f>B90</f>
        <v/>
      </c>
      <c r="C28" s="138">
        <f>C90</f>
        <v/>
      </c>
      <c r="D28" s="138">
        <f>SUM(E28:BB28)</f>
        <v/>
      </c>
      <c r="E28" s="138">
        <f>IF(OR(D90=0,E90=0,F90=0),0,IF(AND(E$3&gt;=G90,E$3&lt;H90),F90*MIN(12,E90-(E$3-G90)*12)/E90,0))</f>
        <v/>
      </c>
      <c r="F28" s="138">
        <f>IF(OR(D90=0,E90=0,F90=0),0,IF(AND(F$3&gt;=G90,F$3&lt;H90),F90*MIN(12,E90-(F$3-G90)*12)/E90,0))</f>
        <v/>
      </c>
      <c r="G28" s="138">
        <f>IF(OR(D90=0,E90=0,F90=0),0,IF(AND(G$3&gt;=G90,G$3&lt;H90),F90*MIN(12,E90-(G$3-G90)*12)/E90,0))</f>
        <v/>
      </c>
      <c r="H28" s="138">
        <f>IF(OR(D90=0,E90=0,F90=0),0,IF(AND(H$3&gt;=G90,H$3&lt;H90),F90*MIN(12,E90-(H$3-G90)*12)/E90,0))</f>
        <v/>
      </c>
      <c r="I28" s="138">
        <f>IF(OR(D90=0,E90=0,F90=0),0,IF(AND(I$3&gt;=G90,I$3&lt;H90),F90*MIN(12,E90-(I$3-G90)*12)/E90,0))</f>
        <v/>
      </c>
      <c r="J28" s="138">
        <f>IF(OR(D90=0,E90=0,F90=0),0,IF(AND(J$3&gt;=G90,J$3&lt;H90),F90*MIN(12,E90-(J$3-G90)*12)/E90,0))</f>
        <v/>
      </c>
      <c r="K28" s="138">
        <f>IF(OR(D90=0,E90=0,F90=0),0,IF(AND(K$3&gt;=G90,K$3&lt;H90),F90*MIN(12,E90-(K$3-G90)*12)/E90,0))</f>
        <v/>
      </c>
      <c r="L28" s="138">
        <f>IF(OR(D90=0,E90=0,F90=0),0,IF(AND(L$3&gt;=G90,L$3&lt;H90),F90*MIN(12,E90-(L$3-G90)*12)/E90,0))</f>
        <v/>
      </c>
      <c r="M28" s="138">
        <f>IF(OR(D90=0,E90=0,F90=0),0,IF(AND(M$3&gt;=G90,M$3&lt;H90),F90*MIN(12,E90-(M$3-G90)*12)/E90,0))</f>
        <v/>
      </c>
      <c r="N28" s="138">
        <f>IF(OR(D90=0,E90=0,F90=0),0,IF(AND(N$3&gt;=G90,N$3&lt;H90),F90*MIN(12,E90-(N$3-G90)*12)/E90,0))</f>
        <v/>
      </c>
      <c r="O28" s="138">
        <f>IF(OR(D90=0,E90=0,F90=0),0,IF(AND(O$3&gt;=G90,O$3&lt;H90),F90*MIN(12,E90-(O$3-G90)*12)/E90,0))</f>
        <v/>
      </c>
      <c r="P28" s="138">
        <f>IF(OR(D90=0,E90=0,F90=0),0,IF(AND(P$3&gt;=G90,P$3&lt;H90),F90*MIN(12,E90-(P$3-G90)*12)/E90,0))</f>
        <v/>
      </c>
      <c r="Q28" s="138">
        <f>IF(OR(D90=0,E90=0,F90=0),0,IF(AND(Q$3&gt;=G90,Q$3&lt;H90),F90*MIN(12,E90-(Q$3-G90)*12)/E90,0))</f>
        <v/>
      </c>
      <c r="R28" s="138">
        <f>IF(OR(D90=0,E90=0,F90=0),0,IF(AND(R$3&gt;=G90,R$3&lt;H90),F90*MIN(12,E90-(R$3-G90)*12)/E90,0))</f>
        <v/>
      </c>
      <c r="S28" s="138">
        <f>IF(OR(D90=0,E90=0,F90=0),0,IF(AND(S$3&gt;=G90,S$3&lt;H90),F90*MIN(12,E90-(S$3-G90)*12)/E90,0))</f>
        <v/>
      </c>
      <c r="T28" s="138">
        <f>IF(OR(D90=0,E90=0,F90=0),0,IF(AND(T$3&gt;=G90,T$3&lt;H90),F90*MIN(12,E90-(T$3-G90)*12)/E90,0))</f>
        <v/>
      </c>
      <c r="U28" s="138">
        <f>IF(OR(D90=0,E90=0,F90=0),0,IF(AND(U$3&gt;=G90,U$3&lt;H90),F90*MIN(12,E90-(U$3-G90)*12)/E90,0))</f>
        <v/>
      </c>
      <c r="V28" s="138">
        <f>IF(OR(D90=0,E90=0,F90=0),0,IF(AND(V$3&gt;=G90,V$3&lt;H90),F90*MIN(12,E90-(V$3-G90)*12)/E90,0))</f>
        <v/>
      </c>
      <c r="W28" s="138">
        <f>IF(OR(D90=0,E90=0,F90=0),0,IF(AND(W$3&gt;=G90,W$3&lt;H90),F90*MIN(12,E90-(W$3-G90)*12)/E90,0))</f>
        <v/>
      </c>
      <c r="X28" s="138">
        <f>IF(OR(D90=0,E90=0,F90=0),0,IF(AND(X$3&gt;=G90,X$3&lt;H90),F90*MIN(12,E90-(X$3-G90)*12)/E90,0))</f>
        <v/>
      </c>
      <c r="Y28" s="138">
        <f>IF(OR(D90=0,E90=0,F90=0),0,IF(AND(Y$3&gt;=G90,Y$3&lt;H90),F90*MIN(12,E90-(Y$3-G90)*12)/E90,0))</f>
        <v/>
      </c>
      <c r="Z28" s="138">
        <f>IF(OR(D90=0,E90=0,F90=0),0,IF(AND(Z$3&gt;=G90,Z$3&lt;H90),F90*MIN(12,E90-(Z$3-G90)*12)/E90,0))</f>
        <v/>
      </c>
      <c r="AA28" s="138">
        <f>IF(OR(D90=0,E90=0,F90=0),0,IF(AND(AA$3&gt;=G90,AA$3&lt;H90),F90*MIN(12,E90-(AA$3-G90)*12)/E90,0))</f>
        <v/>
      </c>
      <c r="AB28" s="138">
        <f>IF(OR(D90=0,E90=0,F90=0),0,IF(AND(AB$3&gt;=G90,AB$3&lt;H90),F90*MIN(12,E90-(AB$3-G90)*12)/E90,0))</f>
        <v/>
      </c>
      <c r="AC28" s="138">
        <f>IF(OR(D90=0,E90=0,F90=0),0,IF(AND(AC$3&gt;=G90,AC$3&lt;H90),F90*MIN(12,E90-(AC$3-G90)*12)/E90,0))</f>
        <v/>
      </c>
      <c r="AD28" s="138">
        <f>IF(OR(D90=0,E90=0,F90=0),0,IF(AND(AD$3&gt;=G90,AD$3&lt;H90),F90*MIN(12,E90-(AD$3-G90)*12)/E90,0))</f>
        <v/>
      </c>
      <c r="AE28" s="138">
        <f>IF(OR(D90=0,E90=0,F90=0),0,IF(AND(AE$3&gt;=G90,AE$3&lt;H90),F90*MIN(12,E90-(AE$3-G90)*12)/E90,0))</f>
        <v/>
      </c>
      <c r="AF28" s="138">
        <f>IF(OR(D90=0,E90=0,F90=0),0,IF(AND(AF$3&gt;=G90,AF$3&lt;H90),F90*MIN(12,E90-(AF$3-G90)*12)/E90,0))</f>
        <v/>
      </c>
      <c r="AG28" s="138">
        <f>IF(OR(D90=0,E90=0,F90=0),0,IF(AND(AG$3&gt;=G90,AG$3&lt;H90),F90*MIN(12,E90-(AG$3-G90)*12)/E90,0))</f>
        <v/>
      </c>
      <c r="AH28" s="138">
        <f>IF(OR(D90=0,E90=0,F90=0),0,IF(AND(AH$3&gt;=G90,AH$3&lt;H90),F90*MIN(12,E90-(AH$3-G90)*12)/E90,0))</f>
        <v/>
      </c>
      <c r="AI28" s="138">
        <f>IF(OR(D90=0,E90=0,F90=0),0,IF(AND(AI$3&gt;=G90,AI$3&lt;H90),F90*MIN(12,E90-(AI$3-G90)*12)/E90,0))</f>
        <v/>
      </c>
      <c r="AJ28" s="138">
        <f>IF(OR(D90=0,E90=0,F90=0),0,IF(AND(AJ$3&gt;=G90,AJ$3&lt;H90),F90*MIN(12,E90-(AJ$3-G90)*12)/E90,0))</f>
        <v/>
      </c>
      <c r="AK28" s="138">
        <f>IF(OR(D90=0,E90=0,F90=0),0,IF(AND(AK$3&gt;=G90,AK$3&lt;H90),F90*MIN(12,E90-(AK$3-G90)*12)/E90,0))</f>
        <v/>
      </c>
      <c r="AL28" s="138">
        <f>IF(OR(D90=0,E90=0,F90=0),0,IF(AND(AL$3&gt;=G90,AL$3&lt;H90),F90*MIN(12,E90-(AL$3-G90)*12)/E90,0))</f>
        <v/>
      </c>
      <c r="AM28" s="138">
        <f>IF(OR(D90=0,E90=0,F90=0),0,IF(AND(AM$3&gt;=G90,AM$3&lt;H90),F90*MIN(12,E90-(AM$3-G90)*12)/E90,0))</f>
        <v/>
      </c>
      <c r="AN28" s="138">
        <f>IF(OR(D90=0,E90=0,F90=0),0,IF(AND(AN$3&gt;=G90,AN$3&lt;H90),F90*MIN(12,E90-(AN$3-G90)*12)/E90,0))</f>
        <v/>
      </c>
      <c r="AO28" s="138">
        <f>IF(OR(D90=0,E90=0,F90=0),0,IF(AND(AO$3&gt;=G90,AO$3&lt;H90),F90*MIN(12,E90-(AO$3-G90)*12)/E90,0))</f>
        <v/>
      </c>
      <c r="AP28" s="138">
        <f>IF(OR(D90=0,E90=0,F90=0),0,IF(AND(AP$3&gt;=G90,AP$3&lt;H90),F90*MIN(12,E90-(AP$3-G90)*12)/E90,0))</f>
        <v/>
      </c>
      <c r="AQ28" s="138">
        <f>IF(OR(D90=0,E90=0,F90=0),0,IF(AND(AQ$3&gt;=G90,AQ$3&lt;H90),F90*MIN(12,E90-(AQ$3-G90)*12)/E90,0))</f>
        <v/>
      </c>
      <c r="AR28" s="138">
        <f>IF(OR(D90=0,E90=0,F90=0),0,IF(AND(AR$3&gt;=G90,AR$3&lt;H90),F90*MIN(12,E90-(AR$3-G90)*12)/E90,0))</f>
        <v/>
      </c>
      <c r="AS28" s="138">
        <f>IF(OR(D90=0,E90=0,F90=0),0,IF(AND(AS$3&gt;=G90,AS$3&lt;H90),F90*MIN(12,E90-(AS$3-G90)*12)/E90,0))</f>
        <v/>
      </c>
      <c r="AT28" s="138">
        <f>IF(OR(D90=0,E90=0,F90=0),0,IF(AND(AT$3&gt;=G90,AT$3&lt;H90),F90*MIN(12,E90-(AT$3-G90)*12)/E90,0))</f>
        <v/>
      </c>
      <c r="AU28" s="138">
        <f>IF(OR(D90=0,E90=0,F90=0),0,IF(AND(AU$3&gt;=G90,AU$3&lt;H90),F90*MIN(12,E90-(AU$3-G90)*12)/E90,0))</f>
        <v/>
      </c>
      <c r="AV28" s="138">
        <f>IF(OR(D90=0,E90=0,F90=0),0,IF(AND(AV$3&gt;=G90,AV$3&lt;H90),F90*MIN(12,E90-(AV$3-G90)*12)/E90,0))</f>
        <v/>
      </c>
      <c r="AW28" s="138">
        <f>IF(OR(D90=0,E90=0,F90=0),0,IF(AND(AW$3&gt;=G90,AW$3&lt;H90),F90*MIN(12,E90-(AW$3-G90)*12)/E90,0))</f>
        <v/>
      </c>
      <c r="AX28" s="138">
        <f>IF(OR(D90=0,E90=0,F90=0),0,IF(AND(AX$3&gt;=G90,AX$3&lt;H90),F90*MIN(12,E90-(AX$3-G90)*12)/E90,0))</f>
        <v/>
      </c>
      <c r="AY28" s="138">
        <f>IF(OR(D90=0,E90=0,F90=0),0,IF(AND(AY$3&gt;=G90,AY$3&lt;H90),F90*MIN(12,E90-(AY$3-G90)*12)/E90,0))</f>
        <v/>
      </c>
      <c r="AZ28" s="138">
        <f>IF(OR(D90=0,E90=0,F90=0),0,IF(AND(AZ$3&gt;=G90,AZ$3&lt;H90),F90*MIN(12,E90-(AZ$3-G90)*12)/E90,0))</f>
        <v/>
      </c>
      <c r="BA28" s="138">
        <f>IF(OR(D90=0,E90=0,F90=0),0,IF(AND(BA$3&gt;=G90,BA$3&lt;H90),F90*MIN(12,E90-(BA$3-G90)*12)/E90,0))</f>
        <v/>
      </c>
      <c r="BB28" s="138">
        <f>IF(OR(D90=0,E90=0,F90=0),0,IF(AND(BB$3&gt;=G90,BB$3&lt;H90),F90*MIN(12,E90-(BB$3-G90)*12)/E90,0))</f>
        <v/>
      </c>
    </row>
    <row r="29" ht="15" customHeight="1" s="91">
      <c r="A29" s="138">
        <f>A91</f>
        <v/>
      </c>
      <c r="B29" s="138">
        <f>B91</f>
        <v/>
      </c>
      <c r="C29" s="138">
        <f>C91</f>
        <v/>
      </c>
      <c r="D29" s="138">
        <f>SUM(E29:BB29)</f>
        <v/>
      </c>
      <c r="E29" s="138">
        <f>IF(OR(D91=0,E91=0,F91=0),0,IF(AND(E$3&gt;=G91,E$3&lt;H91),F91*MIN(12,E91-(E$3-G91)*12)/E91,0))</f>
        <v/>
      </c>
      <c r="F29" s="138">
        <f>IF(OR(D91=0,E91=0,F91=0),0,IF(AND(F$3&gt;=G91,F$3&lt;H91),F91*MIN(12,E91-(F$3-G91)*12)/E91,0))</f>
        <v/>
      </c>
      <c r="G29" s="138">
        <f>IF(OR(D91=0,E91=0,F91=0),0,IF(AND(G$3&gt;=G91,G$3&lt;H91),F91*MIN(12,E91-(G$3-G91)*12)/E91,0))</f>
        <v/>
      </c>
      <c r="H29" s="138">
        <f>IF(OR(D91=0,E91=0,F91=0),0,IF(AND(H$3&gt;=G91,H$3&lt;H91),F91*MIN(12,E91-(H$3-G91)*12)/E91,0))</f>
        <v/>
      </c>
      <c r="I29" s="138">
        <f>IF(OR(D91=0,E91=0,F91=0),0,IF(AND(I$3&gt;=G91,I$3&lt;H91),F91*MIN(12,E91-(I$3-G91)*12)/E91,0))</f>
        <v/>
      </c>
      <c r="J29" s="138">
        <f>IF(OR(D91=0,E91=0,F91=0),0,IF(AND(J$3&gt;=G91,J$3&lt;H91),F91*MIN(12,E91-(J$3-G91)*12)/E91,0))</f>
        <v/>
      </c>
      <c r="K29" s="138">
        <f>IF(OR(D91=0,E91=0,F91=0),0,IF(AND(K$3&gt;=G91,K$3&lt;H91),F91*MIN(12,E91-(K$3-G91)*12)/E91,0))</f>
        <v/>
      </c>
      <c r="L29" s="138">
        <f>IF(OR(D91=0,E91=0,F91=0),0,IF(AND(L$3&gt;=G91,L$3&lt;H91),F91*MIN(12,E91-(L$3-G91)*12)/E91,0))</f>
        <v/>
      </c>
      <c r="M29" s="138">
        <f>IF(OR(D91=0,E91=0,F91=0),0,IF(AND(M$3&gt;=G91,M$3&lt;H91),F91*MIN(12,E91-(M$3-G91)*12)/E91,0))</f>
        <v/>
      </c>
      <c r="N29" s="138">
        <f>IF(OR(D91=0,E91=0,F91=0),0,IF(AND(N$3&gt;=G91,N$3&lt;H91),F91*MIN(12,E91-(N$3-G91)*12)/E91,0))</f>
        <v/>
      </c>
      <c r="O29" s="138">
        <f>IF(OR(D91=0,E91=0,F91=0),0,IF(AND(O$3&gt;=G91,O$3&lt;H91),F91*MIN(12,E91-(O$3-G91)*12)/E91,0))</f>
        <v/>
      </c>
      <c r="P29" s="138">
        <f>IF(OR(D91=0,E91=0,F91=0),0,IF(AND(P$3&gt;=G91,P$3&lt;H91),F91*MIN(12,E91-(P$3-G91)*12)/E91,0))</f>
        <v/>
      </c>
      <c r="Q29" s="138">
        <f>IF(OR(D91=0,E91=0,F91=0),0,IF(AND(Q$3&gt;=G91,Q$3&lt;H91),F91*MIN(12,E91-(Q$3-G91)*12)/E91,0))</f>
        <v/>
      </c>
      <c r="R29" s="138">
        <f>IF(OR(D91=0,E91=0,F91=0),0,IF(AND(R$3&gt;=G91,R$3&lt;H91),F91*MIN(12,E91-(R$3-G91)*12)/E91,0))</f>
        <v/>
      </c>
      <c r="S29" s="138">
        <f>IF(OR(D91=0,E91=0,F91=0),0,IF(AND(S$3&gt;=G91,S$3&lt;H91),F91*MIN(12,E91-(S$3-G91)*12)/E91,0))</f>
        <v/>
      </c>
      <c r="T29" s="138">
        <f>IF(OR(D91=0,E91=0,F91=0),0,IF(AND(T$3&gt;=G91,T$3&lt;H91),F91*MIN(12,E91-(T$3-G91)*12)/E91,0))</f>
        <v/>
      </c>
      <c r="U29" s="138">
        <f>IF(OR(D91=0,E91=0,F91=0),0,IF(AND(U$3&gt;=G91,U$3&lt;H91),F91*MIN(12,E91-(U$3-G91)*12)/E91,0))</f>
        <v/>
      </c>
      <c r="V29" s="138">
        <f>IF(OR(D91=0,E91=0,F91=0),0,IF(AND(V$3&gt;=G91,V$3&lt;H91),F91*MIN(12,E91-(V$3-G91)*12)/E91,0))</f>
        <v/>
      </c>
      <c r="W29" s="138">
        <f>IF(OR(D91=0,E91=0,F91=0),0,IF(AND(W$3&gt;=G91,W$3&lt;H91),F91*MIN(12,E91-(W$3-G91)*12)/E91,0))</f>
        <v/>
      </c>
      <c r="X29" s="138">
        <f>IF(OR(D91=0,E91=0,F91=0),0,IF(AND(X$3&gt;=G91,X$3&lt;H91),F91*MIN(12,E91-(X$3-G91)*12)/E91,0))</f>
        <v/>
      </c>
      <c r="Y29" s="138">
        <f>IF(OR(D91=0,E91=0,F91=0),0,IF(AND(Y$3&gt;=G91,Y$3&lt;H91),F91*MIN(12,E91-(Y$3-G91)*12)/E91,0))</f>
        <v/>
      </c>
      <c r="Z29" s="138">
        <f>IF(OR(D91=0,E91=0,F91=0),0,IF(AND(Z$3&gt;=G91,Z$3&lt;H91),F91*MIN(12,E91-(Z$3-G91)*12)/E91,0))</f>
        <v/>
      </c>
      <c r="AA29" s="138">
        <f>IF(OR(D91=0,E91=0,F91=0),0,IF(AND(AA$3&gt;=G91,AA$3&lt;H91),F91*MIN(12,E91-(AA$3-G91)*12)/E91,0))</f>
        <v/>
      </c>
      <c r="AB29" s="138">
        <f>IF(OR(D91=0,E91=0,F91=0),0,IF(AND(AB$3&gt;=G91,AB$3&lt;H91),F91*MIN(12,E91-(AB$3-G91)*12)/E91,0))</f>
        <v/>
      </c>
      <c r="AC29" s="138">
        <f>IF(OR(D91=0,E91=0,F91=0),0,IF(AND(AC$3&gt;=G91,AC$3&lt;H91),F91*MIN(12,E91-(AC$3-G91)*12)/E91,0))</f>
        <v/>
      </c>
      <c r="AD29" s="138">
        <f>IF(OR(D91=0,E91=0,F91=0),0,IF(AND(AD$3&gt;=G91,AD$3&lt;H91),F91*MIN(12,E91-(AD$3-G91)*12)/E91,0))</f>
        <v/>
      </c>
      <c r="AE29" s="138">
        <f>IF(OR(D91=0,E91=0,F91=0),0,IF(AND(AE$3&gt;=G91,AE$3&lt;H91),F91*MIN(12,E91-(AE$3-G91)*12)/E91,0))</f>
        <v/>
      </c>
      <c r="AF29" s="138">
        <f>IF(OR(D91=0,E91=0,F91=0),0,IF(AND(AF$3&gt;=G91,AF$3&lt;H91),F91*MIN(12,E91-(AF$3-G91)*12)/E91,0))</f>
        <v/>
      </c>
      <c r="AG29" s="138">
        <f>IF(OR(D91=0,E91=0,F91=0),0,IF(AND(AG$3&gt;=G91,AG$3&lt;H91),F91*MIN(12,E91-(AG$3-G91)*12)/E91,0))</f>
        <v/>
      </c>
      <c r="AH29" s="138">
        <f>IF(OR(D91=0,E91=0,F91=0),0,IF(AND(AH$3&gt;=G91,AH$3&lt;H91),F91*MIN(12,E91-(AH$3-G91)*12)/E91,0))</f>
        <v/>
      </c>
      <c r="AI29" s="138">
        <f>IF(OR(D91=0,E91=0,F91=0),0,IF(AND(AI$3&gt;=G91,AI$3&lt;H91),F91*MIN(12,E91-(AI$3-G91)*12)/E91,0))</f>
        <v/>
      </c>
      <c r="AJ29" s="138">
        <f>IF(OR(D91=0,E91=0,F91=0),0,IF(AND(AJ$3&gt;=G91,AJ$3&lt;H91),F91*MIN(12,E91-(AJ$3-G91)*12)/E91,0))</f>
        <v/>
      </c>
      <c r="AK29" s="138">
        <f>IF(OR(D91=0,E91=0,F91=0),0,IF(AND(AK$3&gt;=G91,AK$3&lt;H91),F91*MIN(12,E91-(AK$3-G91)*12)/E91,0))</f>
        <v/>
      </c>
      <c r="AL29" s="138">
        <f>IF(OR(D91=0,E91=0,F91=0),0,IF(AND(AL$3&gt;=G91,AL$3&lt;H91),F91*MIN(12,E91-(AL$3-G91)*12)/E91,0))</f>
        <v/>
      </c>
      <c r="AM29" s="138">
        <f>IF(OR(D91=0,E91=0,F91=0),0,IF(AND(AM$3&gt;=G91,AM$3&lt;H91),F91*MIN(12,E91-(AM$3-G91)*12)/E91,0))</f>
        <v/>
      </c>
      <c r="AN29" s="138">
        <f>IF(OR(D91=0,E91=0,F91=0),0,IF(AND(AN$3&gt;=G91,AN$3&lt;H91),F91*MIN(12,E91-(AN$3-G91)*12)/E91,0))</f>
        <v/>
      </c>
      <c r="AO29" s="138">
        <f>IF(OR(D91=0,E91=0,F91=0),0,IF(AND(AO$3&gt;=G91,AO$3&lt;H91),F91*MIN(12,E91-(AO$3-G91)*12)/E91,0))</f>
        <v/>
      </c>
      <c r="AP29" s="138">
        <f>IF(OR(D91=0,E91=0,F91=0),0,IF(AND(AP$3&gt;=G91,AP$3&lt;H91),F91*MIN(12,E91-(AP$3-G91)*12)/E91,0))</f>
        <v/>
      </c>
      <c r="AQ29" s="138">
        <f>IF(OR(D91=0,E91=0,F91=0),0,IF(AND(AQ$3&gt;=G91,AQ$3&lt;H91),F91*MIN(12,E91-(AQ$3-G91)*12)/E91,0))</f>
        <v/>
      </c>
      <c r="AR29" s="138">
        <f>IF(OR(D91=0,E91=0,F91=0),0,IF(AND(AR$3&gt;=G91,AR$3&lt;H91),F91*MIN(12,E91-(AR$3-G91)*12)/E91,0))</f>
        <v/>
      </c>
      <c r="AS29" s="138">
        <f>IF(OR(D91=0,E91=0,F91=0),0,IF(AND(AS$3&gt;=G91,AS$3&lt;H91),F91*MIN(12,E91-(AS$3-G91)*12)/E91,0))</f>
        <v/>
      </c>
      <c r="AT29" s="138">
        <f>IF(OR(D91=0,E91=0,F91=0),0,IF(AND(AT$3&gt;=G91,AT$3&lt;H91),F91*MIN(12,E91-(AT$3-G91)*12)/E91,0))</f>
        <v/>
      </c>
      <c r="AU29" s="138">
        <f>IF(OR(D91=0,E91=0,F91=0),0,IF(AND(AU$3&gt;=G91,AU$3&lt;H91),F91*MIN(12,E91-(AU$3-G91)*12)/E91,0))</f>
        <v/>
      </c>
      <c r="AV29" s="138">
        <f>IF(OR(D91=0,E91=0,F91=0),0,IF(AND(AV$3&gt;=G91,AV$3&lt;H91),F91*MIN(12,E91-(AV$3-G91)*12)/E91,0))</f>
        <v/>
      </c>
      <c r="AW29" s="138">
        <f>IF(OR(D91=0,E91=0,F91=0),0,IF(AND(AW$3&gt;=G91,AW$3&lt;H91),F91*MIN(12,E91-(AW$3-G91)*12)/E91,0))</f>
        <v/>
      </c>
      <c r="AX29" s="138">
        <f>IF(OR(D91=0,E91=0,F91=0),0,IF(AND(AX$3&gt;=G91,AX$3&lt;H91),F91*MIN(12,E91-(AX$3-G91)*12)/E91,0))</f>
        <v/>
      </c>
      <c r="AY29" s="138">
        <f>IF(OR(D91=0,E91=0,F91=0),0,IF(AND(AY$3&gt;=G91,AY$3&lt;H91),F91*MIN(12,E91-(AY$3-G91)*12)/E91,0))</f>
        <v/>
      </c>
      <c r="AZ29" s="138">
        <f>IF(OR(D91=0,E91=0,F91=0),0,IF(AND(AZ$3&gt;=G91,AZ$3&lt;H91),F91*MIN(12,E91-(AZ$3-G91)*12)/E91,0))</f>
        <v/>
      </c>
      <c r="BA29" s="138">
        <f>IF(OR(D91=0,E91=0,F91=0),0,IF(AND(BA$3&gt;=G91,BA$3&lt;H91),F91*MIN(12,E91-(BA$3-G91)*12)/E91,0))</f>
        <v/>
      </c>
      <c r="BB29" s="138">
        <f>IF(OR(D91=0,E91=0,F91=0),0,IF(AND(BB$3&gt;=G91,BB$3&lt;H91),F91*MIN(12,E91-(BB$3-G91)*12)/E91,0))</f>
        <v/>
      </c>
    </row>
    <row r="30" ht="15" customHeight="1" s="91">
      <c r="A30" s="138">
        <f>A92</f>
        <v/>
      </c>
      <c r="B30" s="138">
        <f>B92</f>
        <v/>
      </c>
      <c r="C30" s="138">
        <f>C92</f>
        <v/>
      </c>
      <c r="D30" s="138">
        <f>SUM(E30:BB30)</f>
        <v/>
      </c>
      <c r="E30" s="138">
        <f>IF(OR(D92=0,E92=0,F92=0),0,IF(AND(E$3&gt;=G92,E$3&lt;H92),F92*MIN(12,E92-(E$3-G92)*12)/E92,0))</f>
        <v/>
      </c>
      <c r="F30" s="138">
        <f>IF(OR(D92=0,E92=0,F92=0),0,IF(AND(F$3&gt;=G92,F$3&lt;H92),F92*MIN(12,E92-(F$3-G92)*12)/E92,0))</f>
        <v/>
      </c>
      <c r="G30" s="138">
        <f>IF(OR(D92=0,E92=0,F92=0),0,IF(AND(G$3&gt;=G92,G$3&lt;H92),F92*MIN(12,E92-(G$3-G92)*12)/E92,0))</f>
        <v/>
      </c>
      <c r="H30" s="138">
        <f>IF(OR(D92=0,E92=0,F92=0),0,IF(AND(H$3&gt;=G92,H$3&lt;H92),F92*MIN(12,E92-(H$3-G92)*12)/E92,0))</f>
        <v/>
      </c>
      <c r="I30" s="138">
        <f>IF(OR(D92=0,E92=0,F92=0),0,IF(AND(I$3&gt;=G92,I$3&lt;H92),F92*MIN(12,E92-(I$3-G92)*12)/E92,0))</f>
        <v/>
      </c>
      <c r="J30" s="138">
        <f>IF(OR(D92=0,E92=0,F92=0),0,IF(AND(J$3&gt;=G92,J$3&lt;H92),F92*MIN(12,E92-(J$3-G92)*12)/E92,0))</f>
        <v/>
      </c>
      <c r="K30" s="138">
        <f>IF(OR(D92=0,E92=0,F92=0),0,IF(AND(K$3&gt;=G92,K$3&lt;H92),F92*MIN(12,E92-(K$3-G92)*12)/E92,0))</f>
        <v/>
      </c>
      <c r="L30" s="138">
        <f>IF(OR(D92=0,E92=0,F92=0),0,IF(AND(L$3&gt;=G92,L$3&lt;H92),F92*MIN(12,E92-(L$3-G92)*12)/E92,0))</f>
        <v/>
      </c>
      <c r="M30" s="138">
        <f>IF(OR(D92=0,E92=0,F92=0),0,IF(AND(M$3&gt;=G92,M$3&lt;H92),F92*MIN(12,E92-(M$3-G92)*12)/E92,0))</f>
        <v/>
      </c>
      <c r="N30" s="138">
        <f>IF(OR(D92=0,E92=0,F92=0),0,IF(AND(N$3&gt;=G92,N$3&lt;H92),F92*MIN(12,E92-(N$3-G92)*12)/E92,0))</f>
        <v/>
      </c>
      <c r="O30" s="138">
        <f>IF(OR(D92=0,E92=0,F92=0),0,IF(AND(O$3&gt;=G92,O$3&lt;H92),F92*MIN(12,E92-(O$3-G92)*12)/E92,0))</f>
        <v/>
      </c>
      <c r="P30" s="138">
        <f>IF(OR(D92=0,E92=0,F92=0),0,IF(AND(P$3&gt;=G92,P$3&lt;H92),F92*MIN(12,E92-(P$3-G92)*12)/E92,0))</f>
        <v/>
      </c>
      <c r="Q30" s="138">
        <f>IF(OR(D92=0,E92=0,F92=0),0,IF(AND(Q$3&gt;=G92,Q$3&lt;H92),F92*MIN(12,E92-(Q$3-G92)*12)/E92,0))</f>
        <v/>
      </c>
      <c r="R30" s="138">
        <f>IF(OR(D92=0,E92=0,F92=0),0,IF(AND(R$3&gt;=G92,R$3&lt;H92),F92*MIN(12,E92-(R$3-G92)*12)/E92,0))</f>
        <v/>
      </c>
      <c r="S30" s="138">
        <f>IF(OR(D92=0,E92=0,F92=0),0,IF(AND(S$3&gt;=G92,S$3&lt;H92),F92*MIN(12,E92-(S$3-G92)*12)/E92,0))</f>
        <v/>
      </c>
      <c r="T30" s="138">
        <f>IF(OR(D92=0,E92=0,F92=0),0,IF(AND(T$3&gt;=G92,T$3&lt;H92),F92*MIN(12,E92-(T$3-G92)*12)/E92,0))</f>
        <v/>
      </c>
      <c r="U30" s="138">
        <f>IF(OR(D92=0,E92=0,F92=0),0,IF(AND(U$3&gt;=G92,U$3&lt;H92),F92*MIN(12,E92-(U$3-G92)*12)/E92,0))</f>
        <v/>
      </c>
      <c r="V30" s="138">
        <f>IF(OR(D92=0,E92=0,F92=0),0,IF(AND(V$3&gt;=G92,V$3&lt;H92),F92*MIN(12,E92-(V$3-G92)*12)/E92,0))</f>
        <v/>
      </c>
      <c r="W30" s="138">
        <f>IF(OR(D92=0,E92=0,F92=0),0,IF(AND(W$3&gt;=G92,W$3&lt;H92),F92*MIN(12,E92-(W$3-G92)*12)/E92,0))</f>
        <v/>
      </c>
      <c r="X30" s="138">
        <f>IF(OR(D92=0,E92=0,F92=0),0,IF(AND(X$3&gt;=G92,X$3&lt;H92),F92*MIN(12,E92-(X$3-G92)*12)/E92,0))</f>
        <v/>
      </c>
      <c r="Y30" s="138">
        <f>IF(OR(D92=0,E92=0,F92=0),0,IF(AND(Y$3&gt;=G92,Y$3&lt;H92),F92*MIN(12,E92-(Y$3-G92)*12)/E92,0))</f>
        <v/>
      </c>
      <c r="Z30" s="138">
        <f>IF(OR(D92=0,E92=0,F92=0),0,IF(AND(Z$3&gt;=G92,Z$3&lt;H92),F92*MIN(12,E92-(Z$3-G92)*12)/E92,0))</f>
        <v/>
      </c>
      <c r="AA30" s="138">
        <f>IF(OR(D92=0,E92=0,F92=0),0,IF(AND(AA$3&gt;=G92,AA$3&lt;H92),F92*MIN(12,E92-(AA$3-G92)*12)/E92,0))</f>
        <v/>
      </c>
      <c r="AB30" s="138">
        <f>IF(OR(D92=0,E92=0,F92=0),0,IF(AND(AB$3&gt;=G92,AB$3&lt;H92),F92*MIN(12,E92-(AB$3-G92)*12)/E92,0))</f>
        <v/>
      </c>
      <c r="AC30" s="138">
        <f>IF(OR(D92=0,E92=0,F92=0),0,IF(AND(AC$3&gt;=G92,AC$3&lt;H92),F92*MIN(12,E92-(AC$3-G92)*12)/E92,0))</f>
        <v/>
      </c>
      <c r="AD30" s="138">
        <f>IF(OR(D92=0,E92=0,F92=0),0,IF(AND(AD$3&gt;=G92,AD$3&lt;H92),F92*MIN(12,E92-(AD$3-G92)*12)/E92,0))</f>
        <v/>
      </c>
      <c r="AE30" s="138">
        <f>IF(OR(D92=0,E92=0,F92=0),0,IF(AND(AE$3&gt;=G92,AE$3&lt;H92),F92*MIN(12,E92-(AE$3-G92)*12)/E92,0))</f>
        <v/>
      </c>
      <c r="AF30" s="138">
        <f>IF(OR(D92=0,E92=0,F92=0),0,IF(AND(AF$3&gt;=G92,AF$3&lt;H92),F92*MIN(12,E92-(AF$3-G92)*12)/E92,0))</f>
        <v/>
      </c>
      <c r="AG30" s="138">
        <f>IF(OR(D92=0,E92=0,F92=0),0,IF(AND(AG$3&gt;=G92,AG$3&lt;H92),F92*MIN(12,E92-(AG$3-G92)*12)/E92,0))</f>
        <v/>
      </c>
      <c r="AH30" s="138">
        <f>IF(OR(D92=0,E92=0,F92=0),0,IF(AND(AH$3&gt;=G92,AH$3&lt;H92),F92*MIN(12,E92-(AH$3-G92)*12)/E92,0))</f>
        <v/>
      </c>
      <c r="AI30" s="138">
        <f>IF(OR(D92=0,E92=0,F92=0),0,IF(AND(AI$3&gt;=G92,AI$3&lt;H92),F92*MIN(12,E92-(AI$3-G92)*12)/E92,0))</f>
        <v/>
      </c>
      <c r="AJ30" s="138">
        <f>IF(OR(D92=0,E92=0,F92=0),0,IF(AND(AJ$3&gt;=G92,AJ$3&lt;H92),F92*MIN(12,E92-(AJ$3-G92)*12)/E92,0))</f>
        <v/>
      </c>
      <c r="AK30" s="138">
        <f>IF(OR(D92=0,E92=0,F92=0),0,IF(AND(AK$3&gt;=G92,AK$3&lt;H92),F92*MIN(12,E92-(AK$3-G92)*12)/E92,0))</f>
        <v/>
      </c>
      <c r="AL30" s="138">
        <f>IF(OR(D92=0,E92=0,F92=0),0,IF(AND(AL$3&gt;=G92,AL$3&lt;H92),F92*MIN(12,E92-(AL$3-G92)*12)/E92,0))</f>
        <v/>
      </c>
      <c r="AM30" s="138">
        <f>IF(OR(D92=0,E92=0,F92=0),0,IF(AND(AM$3&gt;=G92,AM$3&lt;H92),F92*MIN(12,E92-(AM$3-G92)*12)/E92,0))</f>
        <v/>
      </c>
      <c r="AN30" s="138">
        <f>IF(OR(D92=0,E92=0,F92=0),0,IF(AND(AN$3&gt;=G92,AN$3&lt;H92),F92*MIN(12,E92-(AN$3-G92)*12)/E92,0))</f>
        <v/>
      </c>
      <c r="AO30" s="138">
        <f>IF(OR(D92=0,E92=0,F92=0),0,IF(AND(AO$3&gt;=G92,AO$3&lt;H92),F92*MIN(12,E92-(AO$3-G92)*12)/E92,0))</f>
        <v/>
      </c>
      <c r="AP30" s="138">
        <f>IF(OR(D92=0,E92=0,F92=0),0,IF(AND(AP$3&gt;=G92,AP$3&lt;H92),F92*MIN(12,E92-(AP$3-G92)*12)/E92,0))</f>
        <v/>
      </c>
      <c r="AQ30" s="138">
        <f>IF(OR(D92=0,E92=0,F92=0),0,IF(AND(AQ$3&gt;=G92,AQ$3&lt;H92),F92*MIN(12,E92-(AQ$3-G92)*12)/E92,0))</f>
        <v/>
      </c>
      <c r="AR30" s="138">
        <f>IF(OR(D92=0,E92=0,F92=0),0,IF(AND(AR$3&gt;=G92,AR$3&lt;H92),F92*MIN(12,E92-(AR$3-G92)*12)/E92,0))</f>
        <v/>
      </c>
      <c r="AS30" s="138">
        <f>IF(OR(D92=0,E92=0,F92=0),0,IF(AND(AS$3&gt;=G92,AS$3&lt;H92),F92*MIN(12,E92-(AS$3-G92)*12)/E92,0))</f>
        <v/>
      </c>
      <c r="AT30" s="138">
        <f>IF(OR(D92=0,E92=0,F92=0),0,IF(AND(AT$3&gt;=G92,AT$3&lt;H92),F92*MIN(12,E92-(AT$3-G92)*12)/E92,0))</f>
        <v/>
      </c>
      <c r="AU30" s="138">
        <f>IF(OR(D92=0,E92=0,F92=0),0,IF(AND(AU$3&gt;=G92,AU$3&lt;H92),F92*MIN(12,E92-(AU$3-G92)*12)/E92,0))</f>
        <v/>
      </c>
      <c r="AV30" s="138">
        <f>IF(OR(D92=0,E92=0,F92=0),0,IF(AND(AV$3&gt;=G92,AV$3&lt;H92),F92*MIN(12,E92-(AV$3-G92)*12)/E92,0))</f>
        <v/>
      </c>
      <c r="AW30" s="138">
        <f>IF(OR(D92=0,E92=0,F92=0),0,IF(AND(AW$3&gt;=G92,AW$3&lt;H92),F92*MIN(12,E92-(AW$3-G92)*12)/E92,0))</f>
        <v/>
      </c>
      <c r="AX30" s="138">
        <f>IF(OR(D92=0,E92=0,F92=0),0,IF(AND(AX$3&gt;=G92,AX$3&lt;H92),F92*MIN(12,E92-(AX$3-G92)*12)/E92,0))</f>
        <v/>
      </c>
      <c r="AY30" s="138">
        <f>IF(OR(D92=0,E92=0,F92=0),0,IF(AND(AY$3&gt;=G92,AY$3&lt;H92),F92*MIN(12,E92-(AY$3-G92)*12)/E92,0))</f>
        <v/>
      </c>
      <c r="AZ30" s="138">
        <f>IF(OR(D92=0,E92=0,F92=0),0,IF(AND(AZ$3&gt;=G92,AZ$3&lt;H92),F92*MIN(12,E92-(AZ$3-G92)*12)/E92,0))</f>
        <v/>
      </c>
      <c r="BA30" s="138">
        <f>IF(OR(D92=0,E92=0,F92=0),0,IF(AND(BA$3&gt;=G92,BA$3&lt;H92),F92*MIN(12,E92-(BA$3-G92)*12)/E92,0))</f>
        <v/>
      </c>
      <c r="BB30" s="138">
        <f>IF(OR(D92=0,E92=0,F92=0),0,IF(AND(BB$3&gt;=G92,BB$3&lt;H92),F92*MIN(12,E92-(BB$3-G92)*12)/E92,0))</f>
        <v/>
      </c>
    </row>
    <row r="31" ht="15" customHeight="1" s="91">
      <c r="A31" s="138">
        <f>A93</f>
        <v/>
      </c>
      <c r="B31" s="138">
        <f>B93</f>
        <v/>
      </c>
      <c r="C31" s="138">
        <f>C93</f>
        <v/>
      </c>
      <c r="D31" s="138">
        <f>SUM(E31:BB31)</f>
        <v/>
      </c>
      <c r="E31" s="138">
        <f>IF(OR(D93=0,E93=0,F93=0),0,IF(AND(E$3&gt;=G93,E$3&lt;H93),F93*MIN(12,E93-(E$3-G93)*12)/E93,0))</f>
        <v/>
      </c>
      <c r="F31" s="138">
        <f>IF(OR(D93=0,E93=0,F93=0),0,IF(AND(F$3&gt;=G93,F$3&lt;H93),F93*MIN(12,E93-(F$3-G93)*12)/E93,0))</f>
        <v/>
      </c>
      <c r="G31" s="138">
        <f>IF(OR(D93=0,E93=0,F93=0),0,IF(AND(G$3&gt;=G93,G$3&lt;H93),F93*MIN(12,E93-(G$3-G93)*12)/E93,0))</f>
        <v/>
      </c>
      <c r="H31" s="138">
        <f>IF(OR(D93=0,E93=0,F93=0),0,IF(AND(H$3&gt;=G93,H$3&lt;H93),F93*MIN(12,E93-(H$3-G93)*12)/E93,0))</f>
        <v/>
      </c>
      <c r="I31" s="138">
        <f>IF(OR(D93=0,E93=0,F93=0),0,IF(AND(I$3&gt;=G93,I$3&lt;H93),F93*MIN(12,E93-(I$3-G93)*12)/E93,0))</f>
        <v/>
      </c>
      <c r="J31" s="138">
        <f>IF(OR(D93=0,E93=0,F93=0),0,IF(AND(J$3&gt;=G93,J$3&lt;H93),F93*MIN(12,E93-(J$3-G93)*12)/E93,0))</f>
        <v/>
      </c>
      <c r="K31" s="138">
        <f>IF(OR(D93=0,E93=0,F93=0),0,IF(AND(K$3&gt;=G93,K$3&lt;H93),F93*MIN(12,E93-(K$3-G93)*12)/E93,0))</f>
        <v/>
      </c>
      <c r="L31" s="138">
        <f>IF(OR(D93=0,E93=0,F93=0),0,IF(AND(L$3&gt;=G93,L$3&lt;H93),F93*MIN(12,E93-(L$3-G93)*12)/E93,0))</f>
        <v/>
      </c>
      <c r="M31" s="138">
        <f>IF(OR(D93=0,E93=0,F93=0),0,IF(AND(M$3&gt;=G93,M$3&lt;H93),F93*MIN(12,E93-(M$3-G93)*12)/E93,0))</f>
        <v/>
      </c>
      <c r="N31" s="138">
        <f>IF(OR(D93=0,E93=0,F93=0),0,IF(AND(N$3&gt;=G93,N$3&lt;H93),F93*MIN(12,E93-(N$3-G93)*12)/E93,0))</f>
        <v/>
      </c>
      <c r="O31" s="138">
        <f>IF(OR(D93=0,E93=0,F93=0),0,IF(AND(O$3&gt;=G93,O$3&lt;H93),F93*MIN(12,E93-(O$3-G93)*12)/E93,0))</f>
        <v/>
      </c>
      <c r="P31" s="138">
        <f>IF(OR(D93=0,E93=0,F93=0),0,IF(AND(P$3&gt;=G93,P$3&lt;H93),F93*MIN(12,E93-(P$3-G93)*12)/E93,0))</f>
        <v/>
      </c>
      <c r="Q31" s="138">
        <f>IF(OR(D93=0,E93=0,F93=0),0,IF(AND(Q$3&gt;=G93,Q$3&lt;H93),F93*MIN(12,E93-(Q$3-G93)*12)/E93,0))</f>
        <v/>
      </c>
      <c r="R31" s="138">
        <f>IF(OR(D93=0,E93=0,F93=0),0,IF(AND(R$3&gt;=G93,R$3&lt;H93),F93*MIN(12,E93-(R$3-G93)*12)/E93,0))</f>
        <v/>
      </c>
      <c r="S31" s="138">
        <f>IF(OR(D93=0,E93=0,F93=0),0,IF(AND(S$3&gt;=G93,S$3&lt;H93),F93*MIN(12,E93-(S$3-G93)*12)/E93,0))</f>
        <v/>
      </c>
      <c r="T31" s="138">
        <f>IF(OR(D93=0,E93=0,F93=0),0,IF(AND(T$3&gt;=G93,T$3&lt;H93),F93*MIN(12,E93-(T$3-G93)*12)/E93,0))</f>
        <v/>
      </c>
      <c r="U31" s="138">
        <f>IF(OR(D93=0,E93=0,F93=0),0,IF(AND(U$3&gt;=G93,U$3&lt;H93),F93*MIN(12,E93-(U$3-G93)*12)/E93,0))</f>
        <v/>
      </c>
      <c r="V31" s="138">
        <f>IF(OR(D93=0,E93=0,F93=0),0,IF(AND(V$3&gt;=G93,V$3&lt;H93),F93*MIN(12,E93-(V$3-G93)*12)/E93,0))</f>
        <v/>
      </c>
      <c r="W31" s="138">
        <f>IF(OR(D93=0,E93=0,F93=0),0,IF(AND(W$3&gt;=G93,W$3&lt;H93),F93*MIN(12,E93-(W$3-G93)*12)/E93,0))</f>
        <v/>
      </c>
      <c r="X31" s="138">
        <f>IF(OR(D93=0,E93=0,F93=0),0,IF(AND(X$3&gt;=G93,X$3&lt;H93),F93*MIN(12,E93-(X$3-G93)*12)/E93,0))</f>
        <v/>
      </c>
      <c r="Y31" s="138">
        <f>IF(OR(D93=0,E93=0,F93=0),0,IF(AND(Y$3&gt;=G93,Y$3&lt;H93),F93*MIN(12,E93-(Y$3-G93)*12)/E93,0))</f>
        <v/>
      </c>
      <c r="Z31" s="138">
        <f>IF(OR(D93=0,E93=0,F93=0),0,IF(AND(Z$3&gt;=G93,Z$3&lt;H93),F93*MIN(12,E93-(Z$3-G93)*12)/E93,0))</f>
        <v/>
      </c>
      <c r="AA31" s="138">
        <f>IF(OR(D93=0,E93=0,F93=0),0,IF(AND(AA$3&gt;=G93,AA$3&lt;H93),F93*MIN(12,E93-(AA$3-G93)*12)/E93,0))</f>
        <v/>
      </c>
      <c r="AB31" s="138">
        <f>IF(OR(D93=0,E93=0,F93=0),0,IF(AND(AB$3&gt;=G93,AB$3&lt;H93),F93*MIN(12,E93-(AB$3-G93)*12)/E93,0))</f>
        <v/>
      </c>
      <c r="AC31" s="138">
        <f>IF(OR(D93=0,E93=0,F93=0),0,IF(AND(AC$3&gt;=G93,AC$3&lt;H93),F93*MIN(12,E93-(AC$3-G93)*12)/E93,0))</f>
        <v/>
      </c>
      <c r="AD31" s="138">
        <f>IF(OR(D93=0,E93=0,F93=0),0,IF(AND(AD$3&gt;=G93,AD$3&lt;H93),F93*MIN(12,E93-(AD$3-G93)*12)/E93,0))</f>
        <v/>
      </c>
      <c r="AE31" s="138">
        <f>IF(OR(D93=0,E93=0,F93=0),0,IF(AND(AE$3&gt;=G93,AE$3&lt;H93),F93*MIN(12,E93-(AE$3-G93)*12)/E93,0))</f>
        <v/>
      </c>
      <c r="AF31" s="138">
        <f>IF(OR(D93=0,E93=0,F93=0),0,IF(AND(AF$3&gt;=G93,AF$3&lt;H93),F93*MIN(12,E93-(AF$3-G93)*12)/E93,0))</f>
        <v/>
      </c>
      <c r="AG31" s="138">
        <f>IF(OR(D93=0,E93=0,F93=0),0,IF(AND(AG$3&gt;=G93,AG$3&lt;H93),F93*MIN(12,E93-(AG$3-G93)*12)/E93,0))</f>
        <v/>
      </c>
      <c r="AH31" s="138">
        <f>IF(OR(D93=0,E93=0,F93=0),0,IF(AND(AH$3&gt;=G93,AH$3&lt;H93),F93*MIN(12,E93-(AH$3-G93)*12)/E93,0))</f>
        <v/>
      </c>
      <c r="AI31" s="138">
        <f>IF(OR(D93=0,E93=0,F93=0),0,IF(AND(AI$3&gt;=G93,AI$3&lt;H93),F93*MIN(12,E93-(AI$3-G93)*12)/E93,0))</f>
        <v/>
      </c>
      <c r="AJ31" s="138">
        <f>IF(OR(D93=0,E93=0,F93=0),0,IF(AND(AJ$3&gt;=G93,AJ$3&lt;H93),F93*MIN(12,E93-(AJ$3-G93)*12)/E93,0))</f>
        <v/>
      </c>
      <c r="AK31" s="138">
        <f>IF(OR(D93=0,E93=0,F93=0),0,IF(AND(AK$3&gt;=G93,AK$3&lt;H93),F93*MIN(12,E93-(AK$3-G93)*12)/E93,0))</f>
        <v/>
      </c>
      <c r="AL31" s="138">
        <f>IF(OR(D93=0,E93=0,F93=0),0,IF(AND(AL$3&gt;=G93,AL$3&lt;H93),F93*MIN(12,E93-(AL$3-G93)*12)/E93,0))</f>
        <v/>
      </c>
      <c r="AM31" s="138">
        <f>IF(OR(D93=0,E93=0,F93=0),0,IF(AND(AM$3&gt;=G93,AM$3&lt;H93),F93*MIN(12,E93-(AM$3-G93)*12)/E93,0))</f>
        <v/>
      </c>
      <c r="AN31" s="138">
        <f>IF(OR(D93=0,E93=0,F93=0),0,IF(AND(AN$3&gt;=G93,AN$3&lt;H93),F93*MIN(12,E93-(AN$3-G93)*12)/E93,0))</f>
        <v/>
      </c>
      <c r="AO31" s="138">
        <f>IF(OR(D93=0,E93=0,F93=0),0,IF(AND(AO$3&gt;=G93,AO$3&lt;H93),F93*MIN(12,E93-(AO$3-G93)*12)/E93,0))</f>
        <v/>
      </c>
      <c r="AP31" s="138">
        <f>IF(OR(D93=0,E93=0,F93=0),0,IF(AND(AP$3&gt;=G93,AP$3&lt;H93),F93*MIN(12,E93-(AP$3-G93)*12)/E93,0))</f>
        <v/>
      </c>
      <c r="AQ31" s="138">
        <f>IF(OR(D93=0,E93=0,F93=0),0,IF(AND(AQ$3&gt;=G93,AQ$3&lt;H93),F93*MIN(12,E93-(AQ$3-G93)*12)/E93,0))</f>
        <v/>
      </c>
      <c r="AR31" s="138">
        <f>IF(OR(D93=0,E93=0,F93=0),0,IF(AND(AR$3&gt;=G93,AR$3&lt;H93),F93*MIN(12,E93-(AR$3-G93)*12)/E93,0))</f>
        <v/>
      </c>
      <c r="AS31" s="138">
        <f>IF(OR(D93=0,E93=0,F93=0),0,IF(AND(AS$3&gt;=G93,AS$3&lt;H93),F93*MIN(12,E93-(AS$3-G93)*12)/E93,0))</f>
        <v/>
      </c>
      <c r="AT31" s="138">
        <f>IF(OR(D93=0,E93=0,F93=0),0,IF(AND(AT$3&gt;=G93,AT$3&lt;H93),F93*MIN(12,E93-(AT$3-G93)*12)/E93,0))</f>
        <v/>
      </c>
      <c r="AU31" s="138">
        <f>IF(OR(D93=0,E93=0,F93=0),0,IF(AND(AU$3&gt;=G93,AU$3&lt;H93),F93*MIN(12,E93-(AU$3-G93)*12)/E93,0))</f>
        <v/>
      </c>
      <c r="AV31" s="138">
        <f>IF(OR(D93=0,E93=0,F93=0),0,IF(AND(AV$3&gt;=G93,AV$3&lt;H93),F93*MIN(12,E93-(AV$3-G93)*12)/E93,0))</f>
        <v/>
      </c>
      <c r="AW31" s="138">
        <f>IF(OR(D93=0,E93=0,F93=0),0,IF(AND(AW$3&gt;=G93,AW$3&lt;H93),F93*MIN(12,E93-(AW$3-G93)*12)/E93,0))</f>
        <v/>
      </c>
      <c r="AX31" s="138">
        <f>IF(OR(D93=0,E93=0,F93=0),0,IF(AND(AX$3&gt;=G93,AX$3&lt;H93),F93*MIN(12,E93-(AX$3-G93)*12)/E93,0))</f>
        <v/>
      </c>
      <c r="AY31" s="138">
        <f>IF(OR(D93=0,E93=0,F93=0),0,IF(AND(AY$3&gt;=G93,AY$3&lt;H93),F93*MIN(12,E93-(AY$3-G93)*12)/E93,0))</f>
        <v/>
      </c>
      <c r="AZ31" s="138">
        <f>IF(OR(D93=0,E93=0,F93=0),0,IF(AND(AZ$3&gt;=G93,AZ$3&lt;H93),F93*MIN(12,E93-(AZ$3-G93)*12)/E93,0))</f>
        <v/>
      </c>
      <c r="BA31" s="138">
        <f>IF(OR(D93=0,E93=0,F93=0),0,IF(AND(BA$3&gt;=G93,BA$3&lt;H93),F93*MIN(12,E93-(BA$3-G93)*12)/E93,0))</f>
        <v/>
      </c>
      <c r="BB31" s="138">
        <f>IF(OR(D93=0,E93=0,F93=0),0,IF(AND(BB$3&gt;=G93,BB$3&lt;H93),F93*MIN(12,E93-(BB$3-G93)*12)/E93,0))</f>
        <v/>
      </c>
    </row>
    <row r="32" ht="15" customHeight="1" s="91">
      <c r="A32" s="138">
        <f>A94</f>
        <v/>
      </c>
      <c r="B32" s="138">
        <f>B94</f>
        <v/>
      </c>
      <c r="C32" s="138">
        <f>C94</f>
        <v/>
      </c>
      <c r="D32" s="138">
        <f>SUM(E32:BB32)</f>
        <v/>
      </c>
      <c r="E32" s="138">
        <f>IF(OR(D94=0,E94=0,F94=0),0,IF(AND(E$3&gt;=G94,E$3&lt;H94),F94*MIN(12,E94-(E$3-G94)*12)/E94,0))</f>
        <v/>
      </c>
      <c r="F32" s="138">
        <f>IF(OR(D94=0,E94=0,F94=0),0,IF(AND(F$3&gt;=G94,F$3&lt;H94),F94*MIN(12,E94-(F$3-G94)*12)/E94,0))</f>
        <v/>
      </c>
      <c r="G32" s="138">
        <f>IF(OR(D94=0,E94=0,F94=0),0,IF(AND(G$3&gt;=G94,G$3&lt;H94),F94*MIN(12,E94-(G$3-G94)*12)/E94,0))</f>
        <v/>
      </c>
      <c r="H32" s="138">
        <f>IF(OR(D94=0,E94=0,F94=0),0,IF(AND(H$3&gt;=G94,H$3&lt;H94),F94*MIN(12,E94-(H$3-G94)*12)/E94,0))</f>
        <v/>
      </c>
      <c r="I32" s="138">
        <f>IF(OR(D94=0,E94=0,F94=0),0,IF(AND(I$3&gt;=G94,I$3&lt;H94),F94*MIN(12,E94-(I$3-G94)*12)/E94,0))</f>
        <v/>
      </c>
      <c r="J32" s="138">
        <f>IF(OR(D94=0,E94=0,F94=0),0,IF(AND(J$3&gt;=G94,J$3&lt;H94),F94*MIN(12,E94-(J$3-G94)*12)/E94,0))</f>
        <v/>
      </c>
      <c r="K32" s="138">
        <f>IF(OR(D94=0,E94=0,F94=0),0,IF(AND(K$3&gt;=G94,K$3&lt;H94),F94*MIN(12,E94-(K$3-G94)*12)/E94,0))</f>
        <v/>
      </c>
      <c r="L32" s="138">
        <f>IF(OR(D94=0,E94=0,F94=0),0,IF(AND(L$3&gt;=G94,L$3&lt;H94),F94*MIN(12,E94-(L$3-G94)*12)/E94,0))</f>
        <v/>
      </c>
      <c r="M32" s="138">
        <f>IF(OR(D94=0,E94=0,F94=0),0,IF(AND(M$3&gt;=G94,M$3&lt;H94),F94*MIN(12,E94-(M$3-G94)*12)/E94,0))</f>
        <v/>
      </c>
      <c r="N32" s="138">
        <f>IF(OR(D94=0,E94=0,F94=0),0,IF(AND(N$3&gt;=G94,N$3&lt;H94),F94*MIN(12,E94-(N$3-G94)*12)/E94,0))</f>
        <v/>
      </c>
      <c r="O32" s="138">
        <f>IF(OR(D94=0,E94=0,F94=0),0,IF(AND(O$3&gt;=G94,O$3&lt;H94),F94*MIN(12,E94-(O$3-G94)*12)/E94,0))</f>
        <v/>
      </c>
      <c r="P32" s="138">
        <f>IF(OR(D94=0,E94=0,F94=0),0,IF(AND(P$3&gt;=G94,P$3&lt;H94),F94*MIN(12,E94-(P$3-G94)*12)/E94,0))</f>
        <v/>
      </c>
      <c r="Q32" s="138">
        <f>IF(OR(D94=0,E94=0,F94=0),0,IF(AND(Q$3&gt;=G94,Q$3&lt;H94),F94*MIN(12,E94-(Q$3-G94)*12)/E94,0))</f>
        <v/>
      </c>
      <c r="R32" s="138">
        <f>IF(OR(D94=0,E94=0,F94=0),0,IF(AND(R$3&gt;=G94,R$3&lt;H94),F94*MIN(12,E94-(R$3-G94)*12)/E94,0))</f>
        <v/>
      </c>
      <c r="S32" s="138">
        <f>IF(OR(D94=0,E94=0,F94=0),0,IF(AND(S$3&gt;=G94,S$3&lt;H94),F94*MIN(12,E94-(S$3-G94)*12)/E94,0))</f>
        <v/>
      </c>
      <c r="T32" s="138">
        <f>IF(OR(D94=0,E94=0,F94=0),0,IF(AND(T$3&gt;=G94,T$3&lt;H94),F94*MIN(12,E94-(T$3-G94)*12)/E94,0))</f>
        <v/>
      </c>
      <c r="U32" s="138">
        <f>IF(OR(D94=0,E94=0,F94=0),0,IF(AND(U$3&gt;=G94,U$3&lt;H94),F94*MIN(12,E94-(U$3-G94)*12)/E94,0))</f>
        <v/>
      </c>
      <c r="V32" s="138">
        <f>IF(OR(D94=0,E94=0,F94=0),0,IF(AND(V$3&gt;=G94,V$3&lt;H94),F94*MIN(12,E94-(V$3-G94)*12)/E94,0))</f>
        <v/>
      </c>
      <c r="W32" s="138">
        <f>IF(OR(D94=0,E94=0,F94=0),0,IF(AND(W$3&gt;=G94,W$3&lt;H94),F94*MIN(12,E94-(W$3-G94)*12)/E94,0))</f>
        <v/>
      </c>
      <c r="X32" s="138">
        <f>IF(OR(D94=0,E94=0,F94=0),0,IF(AND(X$3&gt;=G94,X$3&lt;H94),F94*MIN(12,E94-(X$3-G94)*12)/E94,0))</f>
        <v/>
      </c>
      <c r="Y32" s="138">
        <f>IF(OR(D94=0,E94=0,F94=0),0,IF(AND(Y$3&gt;=G94,Y$3&lt;H94),F94*MIN(12,E94-(Y$3-G94)*12)/E94,0))</f>
        <v/>
      </c>
      <c r="Z32" s="138">
        <f>IF(OR(D94=0,E94=0,F94=0),0,IF(AND(Z$3&gt;=G94,Z$3&lt;H94),F94*MIN(12,E94-(Z$3-G94)*12)/E94,0))</f>
        <v/>
      </c>
      <c r="AA32" s="138">
        <f>IF(OR(D94=0,E94=0,F94=0),0,IF(AND(AA$3&gt;=G94,AA$3&lt;H94),F94*MIN(12,E94-(AA$3-G94)*12)/E94,0))</f>
        <v/>
      </c>
      <c r="AB32" s="138">
        <f>IF(OR(D94=0,E94=0,F94=0),0,IF(AND(AB$3&gt;=G94,AB$3&lt;H94),F94*MIN(12,E94-(AB$3-G94)*12)/E94,0))</f>
        <v/>
      </c>
      <c r="AC32" s="138">
        <f>IF(OR(D94=0,E94=0,F94=0),0,IF(AND(AC$3&gt;=G94,AC$3&lt;H94),F94*MIN(12,E94-(AC$3-G94)*12)/E94,0))</f>
        <v/>
      </c>
      <c r="AD32" s="138">
        <f>IF(OR(D94=0,E94=0,F94=0),0,IF(AND(AD$3&gt;=G94,AD$3&lt;H94),F94*MIN(12,E94-(AD$3-G94)*12)/E94,0))</f>
        <v/>
      </c>
      <c r="AE32" s="138">
        <f>IF(OR(D94=0,E94=0,F94=0),0,IF(AND(AE$3&gt;=G94,AE$3&lt;H94),F94*MIN(12,E94-(AE$3-G94)*12)/E94,0))</f>
        <v/>
      </c>
      <c r="AF32" s="138">
        <f>IF(OR(D94=0,E94=0,F94=0),0,IF(AND(AF$3&gt;=G94,AF$3&lt;H94),F94*MIN(12,E94-(AF$3-G94)*12)/E94,0))</f>
        <v/>
      </c>
      <c r="AG32" s="138">
        <f>IF(OR(D94=0,E94=0,F94=0),0,IF(AND(AG$3&gt;=G94,AG$3&lt;H94),F94*MIN(12,E94-(AG$3-G94)*12)/E94,0))</f>
        <v/>
      </c>
      <c r="AH32" s="138">
        <f>IF(OR(D94=0,E94=0,F94=0),0,IF(AND(AH$3&gt;=G94,AH$3&lt;H94),F94*MIN(12,E94-(AH$3-G94)*12)/E94,0))</f>
        <v/>
      </c>
      <c r="AI32" s="138">
        <f>IF(OR(D94=0,E94=0,F94=0),0,IF(AND(AI$3&gt;=G94,AI$3&lt;H94),F94*MIN(12,E94-(AI$3-G94)*12)/E94,0))</f>
        <v/>
      </c>
      <c r="AJ32" s="138">
        <f>IF(OR(D94=0,E94=0,F94=0),0,IF(AND(AJ$3&gt;=G94,AJ$3&lt;H94),F94*MIN(12,E94-(AJ$3-G94)*12)/E94,0))</f>
        <v/>
      </c>
      <c r="AK32" s="138">
        <f>IF(OR(D94=0,E94=0,F94=0),0,IF(AND(AK$3&gt;=G94,AK$3&lt;H94),F94*MIN(12,E94-(AK$3-G94)*12)/E94,0))</f>
        <v/>
      </c>
      <c r="AL32" s="138">
        <f>IF(OR(D94=0,E94=0,F94=0),0,IF(AND(AL$3&gt;=G94,AL$3&lt;H94),F94*MIN(12,E94-(AL$3-G94)*12)/E94,0))</f>
        <v/>
      </c>
      <c r="AM32" s="138">
        <f>IF(OR(D94=0,E94=0,F94=0),0,IF(AND(AM$3&gt;=G94,AM$3&lt;H94),F94*MIN(12,E94-(AM$3-G94)*12)/E94,0))</f>
        <v/>
      </c>
      <c r="AN32" s="138">
        <f>IF(OR(D94=0,E94=0,F94=0),0,IF(AND(AN$3&gt;=G94,AN$3&lt;H94),F94*MIN(12,E94-(AN$3-G94)*12)/E94,0))</f>
        <v/>
      </c>
      <c r="AO32" s="138">
        <f>IF(OR(D94=0,E94=0,F94=0),0,IF(AND(AO$3&gt;=G94,AO$3&lt;H94),F94*MIN(12,E94-(AO$3-G94)*12)/E94,0))</f>
        <v/>
      </c>
      <c r="AP32" s="138">
        <f>IF(OR(D94=0,E94=0,F94=0),0,IF(AND(AP$3&gt;=G94,AP$3&lt;H94),F94*MIN(12,E94-(AP$3-G94)*12)/E94,0))</f>
        <v/>
      </c>
      <c r="AQ32" s="138">
        <f>IF(OR(D94=0,E94=0,F94=0),0,IF(AND(AQ$3&gt;=G94,AQ$3&lt;H94),F94*MIN(12,E94-(AQ$3-G94)*12)/E94,0))</f>
        <v/>
      </c>
      <c r="AR32" s="138">
        <f>IF(OR(D94=0,E94=0,F94=0),0,IF(AND(AR$3&gt;=G94,AR$3&lt;H94),F94*MIN(12,E94-(AR$3-G94)*12)/E94,0))</f>
        <v/>
      </c>
      <c r="AS32" s="138">
        <f>IF(OR(D94=0,E94=0,F94=0),0,IF(AND(AS$3&gt;=G94,AS$3&lt;H94),F94*MIN(12,E94-(AS$3-G94)*12)/E94,0))</f>
        <v/>
      </c>
      <c r="AT32" s="138">
        <f>IF(OR(D94=0,E94=0,F94=0),0,IF(AND(AT$3&gt;=G94,AT$3&lt;H94),F94*MIN(12,E94-(AT$3-G94)*12)/E94,0))</f>
        <v/>
      </c>
      <c r="AU32" s="138">
        <f>IF(OR(D94=0,E94=0,F94=0),0,IF(AND(AU$3&gt;=G94,AU$3&lt;H94),F94*MIN(12,E94-(AU$3-G94)*12)/E94,0))</f>
        <v/>
      </c>
      <c r="AV32" s="138">
        <f>IF(OR(D94=0,E94=0,F94=0),0,IF(AND(AV$3&gt;=G94,AV$3&lt;H94),F94*MIN(12,E94-(AV$3-G94)*12)/E94,0))</f>
        <v/>
      </c>
      <c r="AW32" s="138">
        <f>IF(OR(D94=0,E94=0,F94=0),0,IF(AND(AW$3&gt;=G94,AW$3&lt;H94),F94*MIN(12,E94-(AW$3-G94)*12)/E94,0))</f>
        <v/>
      </c>
      <c r="AX32" s="138">
        <f>IF(OR(D94=0,E94=0,F94=0),0,IF(AND(AX$3&gt;=G94,AX$3&lt;H94),F94*MIN(12,E94-(AX$3-G94)*12)/E94,0))</f>
        <v/>
      </c>
      <c r="AY32" s="138">
        <f>IF(OR(D94=0,E94=0,F94=0),0,IF(AND(AY$3&gt;=G94,AY$3&lt;H94),F94*MIN(12,E94-(AY$3-G94)*12)/E94,0))</f>
        <v/>
      </c>
      <c r="AZ32" s="138">
        <f>IF(OR(D94=0,E94=0,F94=0),0,IF(AND(AZ$3&gt;=G94,AZ$3&lt;H94),F94*MIN(12,E94-(AZ$3-G94)*12)/E94,0))</f>
        <v/>
      </c>
      <c r="BA32" s="138">
        <f>IF(OR(D94=0,E94=0,F94=0),0,IF(AND(BA$3&gt;=G94,BA$3&lt;H94),F94*MIN(12,E94-(BA$3-G94)*12)/E94,0))</f>
        <v/>
      </c>
      <c r="BB32" s="138">
        <f>IF(OR(D94=0,E94=0,F94=0),0,IF(AND(BB$3&gt;=G94,BB$3&lt;H94),F94*MIN(12,E94-(BB$3-G94)*12)/E94,0))</f>
        <v/>
      </c>
    </row>
    <row r="33" ht="15" customHeight="1" s="91">
      <c r="A33" s="138">
        <f>A95</f>
        <v/>
      </c>
      <c r="B33" s="138">
        <f>B95</f>
        <v/>
      </c>
      <c r="C33" s="138">
        <f>C95</f>
        <v/>
      </c>
      <c r="D33" s="138">
        <f>SUM(E33:BB33)</f>
        <v/>
      </c>
      <c r="E33" s="138">
        <f>IF(OR(D95=0,E95=0,F95=0),0,IF(AND(E$3&gt;=G95,E$3&lt;H95),F95*MIN(12,E95-(E$3-G95)*12)/E95,0))</f>
        <v/>
      </c>
      <c r="F33" s="138">
        <f>IF(OR(D95=0,E95=0,F95=0),0,IF(AND(F$3&gt;=G95,F$3&lt;H95),F95*MIN(12,E95-(F$3-G95)*12)/E95,0))</f>
        <v/>
      </c>
      <c r="G33" s="138">
        <f>IF(OR(D95=0,E95=0,F95=0),0,IF(AND(G$3&gt;=G95,G$3&lt;H95),F95*MIN(12,E95-(G$3-G95)*12)/E95,0))</f>
        <v/>
      </c>
      <c r="H33" s="138">
        <f>IF(OR(D95=0,E95=0,F95=0),0,IF(AND(H$3&gt;=G95,H$3&lt;H95),F95*MIN(12,E95-(H$3-G95)*12)/E95,0))</f>
        <v/>
      </c>
      <c r="I33" s="138">
        <f>IF(OR(D95=0,E95=0,F95=0),0,IF(AND(I$3&gt;=G95,I$3&lt;H95),F95*MIN(12,E95-(I$3-G95)*12)/E95,0))</f>
        <v/>
      </c>
      <c r="J33" s="138">
        <f>IF(OR(D95=0,E95=0,F95=0),0,IF(AND(J$3&gt;=G95,J$3&lt;H95),F95*MIN(12,E95-(J$3-G95)*12)/E95,0))</f>
        <v/>
      </c>
      <c r="K33" s="138">
        <f>IF(OR(D95=0,E95=0,F95=0),0,IF(AND(K$3&gt;=G95,K$3&lt;H95),F95*MIN(12,E95-(K$3-G95)*12)/E95,0))</f>
        <v/>
      </c>
      <c r="L33" s="138">
        <f>IF(OR(D95=0,E95=0,F95=0),0,IF(AND(L$3&gt;=G95,L$3&lt;H95),F95*MIN(12,E95-(L$3-G95)*12)/E95,0))</f>
        <v/>
      </c>
      <c r="M33" s="138">
        <f>IF(OR(D95=0,E95=0,F95=0),0,IF(AND(M$3&gt;=G95,M$3&lt;H95),F95*MIN(12,E95-(M$3-G95)*12)/E95,0))</f>
        <v/>
      </c>
      <c r="N33" s="138">
        <f>IF(OR(D95=0,E95=0,F95=0),0,IF(AND(N$3&gt;=G95,N$3&lt;H95),F95*MIN(12,E95-(N$3-G95)*12)/E95,0))</f>
        <v/>
      </c>
      <c r="O33" s="138">
        <f>IF(OR(D95=0,E95=0,F95=0),0,IF(AND(O$3&gt;=G95,O$3&lt;H95),F95*MIN(12,E95-(O$3-G95)*12)/E95,0))</f>
        <v/>
      </c>
      <c r="P33" s="138">
        <f>IF(OR(D95=0,E95=0,F95=0),0,IF(AND(P$3&gt;=G95,P$3&lt;H95),F95*MIN(12,E95-(P$3-G95)*12)/E95,0))</f>
        <v/>
      </c>
      <c r="Q33" s="138">
        <f>IF(OR(D95=0,E95=0,F95=0),0,IF(AND(Q$3&gt;=G95,Q$3&lt;H95),F95*MIN(12,E95-(Q$3-G95)*12)/E95,0))</f>
        <v/>
      </c>
      <c r="R33" s="138">
        <f>IF(OR(D95=0,E95=0,F95=0),0,IF(AND(R$3&gt;=G95,R$3&lt;H95),F95*MIN(12,E95-(R$3-G95)*12)/E95,0))</f>
        <v/>
      </c>
      <c r="S33" s="138">
        <f>IF(OR(D95=0,E95=0,F95=0),0,IF(AND(S$3&gt;=G95,S$3&lt;H95),F95*MIN(12,E95-(S$3-G95)*12)/E95,0))</f>
        <v/>
      </c>
      <c r="T33" s="138">
        <f>IF(OR(D95=0,E95=0,F95=0),0,IF(AND(T$3&gt;=G95,T$3&lt;H95),F95*MIN(12,E95-(T$3-G95)*12)/E95,0))</f>
        <v/>
      </c>
      <c r="U33" s="138">
        <f>IF(OR(D95=0,E95=0,F95=0),0,IF(AND(U$3&gt;=G95,U$3&lt;H95),F95*MIN(12,E95-(U$3-G95)*12)/E95,0))</f>
        <v/>
      </c>
      <c r="V33" s="138">
        <f>IF(OR(D95=0,E95=0,F95=0),0,IF(AND(V$3&gt;=G95,V$3&lt;H95),F95*MIN(12,E95-(V$3-G95)*12)/E95,0))</f>
        <v/>
      </c>
      <c r="W33" s="138">
        <f>IF(OR(D95=0,E95=0,F95=0),0,IF(AND(W$3&gt;=G95,W$3&lt;H95),F95*MIN(12,E95-(W$3-G95)*12)/E95,0))</f>
        <v/>
      </c>
      <c r="X33" s="138">
        <f>IF(OR(D95=0,E95=0,F95=0),0,IF(AND(X$3&gt;=G95,X$3&lt;H95),F95*MIN(12,E95-(X$3-G95)*12)/E95,0))</f>
        <v/>
      </c>
      <c r="Y33" s="138">
        <f>IF(OR(D95=0,E95=0,F95=0),0,IF(AND(Y$3&gt;=G95,Y$3&lt;H95),F95*MIN(12,E95-(Y$3-G95)*12)/E95,0))</f>
        <v/>
      </c>
      <c r="Z33" s="138">
        <f>IF(OR(D95=0,E95=0,F95=0),0,IF(AND(Z$3&gt;=G95,Z$3&lt;H95),F95*MIN(12,E95-(Z$3-G95)*12)/E95,0))</f>
        <v/>
      </c>
      <c r="AA33" s="138">
        <f>IF(OR(D95=0,E95=0,F95=0),0,IF(AND(AA$3&gt;=G95,AA$3&lt;H95),F95*MIN(12,E95-(AA$3-G95)*12)/E95,0))</f>
        <v/>
      </c>
      <c r="AB33" s="138">
        <f>IF(OR(D95=0,E95=0,F95=0),0,IF(AND(AB$3&gt;=G95,AB$3&lt;H95),F95*MIN(12,E95-(AB$3-G95)*12)/E95,0))</f>
        <v/>
      </c>
      <c r="AC33" s="138">
        <f>IF(OR(D95=0,E95=0,F95=0),0,IF(AND(AC$3&gt;=G95,AC$3&lt;H95),F95*MIN(12,E95-(AC$3-G95)*12)/E95,0))</f>
        <v/>
      </c>
      <c r="AD33" s="138">
        <f>IF(OR(D95=0,E95=0,F95=0),0,IF(AND(AD$3&gt;=G95,AD$3&lt;H95),F95*MIN(12,E95-(AD$3-G95)*12)/E95,0))</f>
        <v/>
      </c>
      <c r="AE33" s="138">
        <f>IF(OR(D95=0,E95=0,F95=0),0,IF(AND(AE$3&gt;=G95,AE$3&lt;H95),F95*MIN(12,E95-(AE$3-G95)*12)/E95,0))</f>
        <v/>
      </c>
      <c r="AF33" s="138">
        <f>IF(OR(D95=0,E95=0,F95=0),0,IF(AND(AF$3&gt;=G95,AF$3&lt;H95),F95*MIN(12,E95-(AF$3-G95)*12)/E95,0))</f>
        <v/>
      </c>
      <c r="AG33" s="138">
        <f>IF(OR(D95=0,E95=0,F95=0),0,IF(AND(AG$3&gt;=G95,AG$3&lt;H95),F95*MIN(12,E95-(AG$3-G95)*12)/E95,0))</f>
        <v/>
      </c>
      <c r="AH33" s="138">
        <f>IF(OR(D95=0,E95=0,F95=0),0,IF(AND(AH$3&gt;=G95,AH$3&lt;H95),F95*MIN(12,E95-(AH$3-G95)*12)/E95,0))</f>
        <v/>
      </c>
      <c r="AI33" s="138">
        <f>IF(OR(D95=0,E95=0,F95=0),0,IF(AND(AI$3&gt;=G95,AI$3&lt;H95),F95*MIN(12,E95-(AI$3-G95)*12)/E95,0))</f>
        <v/>
      </c>
      <c r="AJ33" s="138">
        <f>IF(OR(D95=0,E95=0,F95=0),0,IF(AND(AJ$3&gt;=G95,AJ$3&lt;H95),F95*MIN(12,E95-(AJ$3-G95)*12)/E95,0))</f>
        <v/>
      </c>
      <c r="AK33" s="138">
        <f>IF(OR(D95=0,E95=0,F95=0),0,IF(AND(AK$3&gt;=G95,AK$3&lt;H95),F95*MIN(12,E95-(AK$3-G95)*12)/E95,0))</f>
        <v/>
      </c>
      <c r="AL33" s="138">
        <f>IF(OR(D95=0,E95=0,F95=0),0,IF(AND(AL$3&gt;=G95,AL$3&lt;H95),F95*MIN(12,E95-(AL$3-G95)*12)/E95,0))</f>
        <v/>
      </c>
      <c r="AM33" s="138">
        <f>IF(OR(D95=0,E95=0,F95=0),0,IF(AND(AM$3&gt;=G95,AM$3&lt;H95),F95*MIN(12,E95-(AM$3-G95)*12)/E95,0))</f>
        <v/>
      </c>
      <c r="AN33" s="138">
        <f>IF(OR(D95=0,E95=0,F95=0),0,IF(AND(AN$3&gt;=G95,AN$3&lt;H95),F95*MIN(12,E95-(AN$3-G95)*12)/E95,0))</f>
        <v/>
      </c>
      <c r="AO33" s="138">
        <f>IF(OR(D95=0,E95=0,F95=0),0,IF(AND(AO$3&gt;=G95,AO$3&lt;H95),F95*MIN(12,E95-(AO$3-G95)*12)/E95,0))</f>
        <v/>
      </c>
      <c r="AP33" s="138">
        <f>IF(OR(D95=0,E95=0,F95=0),0,IF(AND(AP$3&gt;=G95,AP$3&lt;H95),F95*MIN(12,E95-(AP$3-G95)*12)/E95,0))</f>
        <v/>
      </c>
      <c r="AQ33" s="138">
        <f>IF(OR(D95=0,E95=0,F95=0),0,IF(AND(AQ$3&gt;=G95,AQ$3&lt;H95),F95*MIN(12,E95-(AQ$3-G95)*12)/E95,0))</f>
        <v/>
      </c>
      <c r="AR33" s="138">
        <f>IF(OR(D95=0,E95=0,F95=0),0,IF(AND(AR$3&gt;=G95,AR$3&lt;H95),F95*MIN(12,E95-(AR$3-G95)*12)/E95,0))</f>
        <v/>
      </c>
      <c r="AS33" s="138">
        <f>IF(OR(D95=0,E95=0,F95=0),0,IF(AND(AS$3&gt;=G95,AS$3&lt;H95),F95*MIN(12,E95-(AS$3-G95)*12)/E95,0))</f>
        <v/>
      </c>
      <c r="AT33" s="138">
        <f>IF(OR(D95=0,E95=0,F95=0),0,IF(AND(AT$3&gt;=G95,AT$3&lt;H95),F95*MIN(12,E95-(AT$3-G95)*12)/E95,0))</f>
        <v/>
      </c>
      <c r="AU33" s="138">
        <f>IF(OR(D95=0,E95=0,F95=0),0,IF(AND(AU$3&gt;=G95,AU$3&lt;H95),F95*MIN(12,E95-(AU$3-G95)*12)/E95,0))</f>
        <v/>
      </c>
      <c r="AV33" s="138">
        <f>IF(OR(D95=0,E95=0,F95=0),0,IF(AND(AV$3&gt;=G95,AV$3&lt;H95),F95*MIN(12,E95-(AV$3-G95)*12)/E95,0))</f>
        <v/>
      </c>
      <c r="AW33" s="138">
        <f>IF(OR(D95=0,E95=0,F95=0),0,IF(AND(AW$3&gt;=G95,AW$3&lt;H95),F95*MIN(12,E95-(AW$3-G95)*12)/E95,0))</f>
        <v/>
      </c>
      <c r="AX33" s="138">
        <f>IF(OR(D95=0,E95=0,F95=0),0,IF(AND(AX$3&gt;=G95,AX$3&lt;H95),F95*MIN(12,E95-(AX$3-G95)*12)/E95,0))</f>
        <v/>
      </c>
      <c r="AY33" s="138">
        <f>IF(OR(D95=0,E95=0,F95=0),0,IF(AND(AY$3&gt;=G95,AY$3&lt;H95),F95*MIN(12,E95-(AY$3-G95)*12)/E95,0))</f>
        <v/>
      </c>
      <c r="AZ33" s="138">
        <f>IF(OR(D95=0,E95=0,F95=0),0,IF(AND(AZ$3&gt;=G95,AZ$3&lt;H95),F95*MIN(12,E95-(AZ$3-G95)*12)/E95,0))</f>
        <v/>
      </c>
      <c r="BA33" s="138">
        <f>IF(OR(D95=0,E95=0,F95=0),0,IF(AND(BA$3&gt;=G95,BA$3&lt;H95),F95*MIN(12,E95-(BA$3-G95)*12)/E95,0))</f>
        <v/>
      </c>
      <c r="BB33" s="138">
        <f>IF(OR(D95=0,E95=0,F95=0),0,IF(AND(BB$3&gt;=G95,BB$3&lt;H95),F95*MIN(12,E95-(BB$3-G95)*12)/E95,0))</f>
        <v/>
      </c>
    </row>
    <row r="35" ht="15" customHeight="1" s="91">
      <c r="A35" s="139" t="inlineStr">
        <is>
          <t>CAPEX BY PHASE</t>
        </is>
      </c>
      <c r="B35" s="140" t="n"/>
      <c r="C35" s="140" t="n"/>
      <c r="D35" s="140" t="n"/>
      <c r="E35" s="140" t="n"/>
      <c r="F35" s="140" t="n"/>
      <c r="G35" s="140" t="n"/>
      <c r="H35" s="140" t="n"/>
      <c r="I35" s="140" t="n"/>
      <c r="J35" s="140" t="n"/>
      <c r="K35" s="140" t="n"/>
      <c r="L35" s="140" t="n"/>
      <c r="M35" s="140" t="n"/>
      <c r="N35" s="140" t="n"/>
      <c r="O35" s="140" t="n"/>
      <c r="P35" s="140" t="n"/>
      <c r="Q35" s="140" t="n"/>
      <c r="R35" s="140" t="n"/>
      <c r="S35" s="140" t="n"/>
      <c r="T35" s="140" t="n"/>
      <c r="U35" s="140" t="n"/>
      <c r="V35" s="140" t="n"/>
      <c r="W35" s="140" t="n"/>
      <c r="X35" s="140" t="n"/>
      <c r="Y35" s="140" t="n"/>
      <c r="Z35" s="140" t="n"/>
      <c r="AA35" s="140" t="n"/>
      <c r="AB35" s="140" t="n"/>
      <c r="AC35" s="140" t="n"/>
      <c r="AD35" s="140" t="n"/>
      <c r="AE35" s="140" t="n"/>
      <c r="AF35" s="140" t="n"/>
      <c r="AG35" s="140" t="n"/>
      <c r="AH35" s="140" t="n"/>
      <c r="AI35" s="140" t="n"/>
      <c r="AJ35" s="140" t="n"/>
      <c r="AK35" s="140" t="n"/>
      <c r="AL35" s="140" t="n"/>
      <c r="AM35" s="140" t="n"/>
      <c r="AN35" s="140" t="n"/>
      <c r="AO35" s="140" t="n"/>
      <c r="AP35" s="140" t="n"/>
      <c r="AQ35" s="140" t="n"/>
      <c r="AR35" s="140" t="n"/>
      <c r="AS35" s="140" t="n"/>
      <c r="AT35" s="140" t="n"/>
      <c r="AU35" s="140" t="n"/>
      <c r="AV35" s="140" t="n"/>
      <c r="AW35" s="140" t="n"/>
      <c r="AX35" s="140" t="n"/>
      <c r="AY35" s="140" t="n"/>
      <c r="AZ35" s="140" t="n"/>
      <c r="BA35" s="140" t="n"/>
      <c r="BB35" s="140" t="n"/>
    </row>
    <row r="36" ht="15" customHeight="1" s="91">
      <c r="B36" s="141" t="inlineStr">
        <is>
          <t>ZAN 1</t>
        </is>
      </c>
      <c r="D36" s="138">
        <f>SUM(E36:BB36)</f>
        <v/>
      </c>
      <c r="E36" s="138">
        <f>SUMPRODUCT(($C$4:$C$33="ZAN 1")*E$4:E$33)</f>
        <v/>
      </c>
      <c r="F36" s="138">
        <f>SUMPRODUCT(($C$4:$C$33="ZAN 1")*F$4:F$33)</f>
        <v/>
      </c>
      <c r="G36" s="138">
        <f>SUMPRODUCT(($C$4:$C$33="ZAN 1")*G$4:G$33)</f>
        <v/>
      </c>
      <c r="H36" s="138">
        <f>SUMPRODUCT(($C$4:$C$33="ZAN 1")*H$4:H$33)</f>
        <v/>
      </c>
      <c r="I36" s="138">
        <f>SUMPRODUCT(($C$4:$C$33="ZAN 1")*I$4:I$33)</f>
        <v/>
      </c>
      <c r="J36" s="138">
        <f>SUMPRODUCT(($C$4:$C$33="ZAN 1")*J$4:J$33)</f>
        <v/>
      </c>
      <c r="K36" s="138">
        <f>SUMPRODUCT(($C$4:$C$33="ZAN 1")*K$4:K$33)</f>
        <v/>
      </c>
      <c r="L36" s="138">
        <f>SUMPRODUCT(($C$4:$C$33="ZAN 1")*L$4:L$33)</f>
        <v/>
      </c>
      <c r="M36" s="138">
        <f>SUMPRODUCT(($C$4:$C$33="ZAN 1")*M$4:M$33)</f>
        <v/>
      </c>
      <c r="N36" s="138">
        <f>SUMPRODUCT(($C$4:$C$33="ZAN 1")*N$4:N$33)</f>
        <v/>
      </c>
      <c r="O36" s="138">
        <f>SUMPRODUCT(($C$4:$C$33="ZAN 1")*O$4:O$33)</f>
        <v/>
      </c>
      <c r="P36" s="138">
        <f>SUMPRODUCT(($C$4:$C$33="ZAN 1")*P$4:P$33)</f>
        <v/>
      </c>
      <c r="Q36" s="138">
        <f>SUMPRODUCT(($C$4:$C$33="ZAN 1")*Q$4:Q$33)</f>
        <v/>
      </c>
      <c r="R36" s="138">
        <f>SUMPRODUCT(($C$4:$C$33="ZAN 1")*R$4:R$33)</f>
        <v/>
      </c>
      <c r="S36" s="138">
        <f>SUMPRODUCT(($C$4:$C$33="ZAN 1")*S$4:S$33)</f>
        <v/>
      </c>
      <c r="T36" s="138">
        <f>SUMPRODUCT(($C$4:$C$33="ZAN 1")*T$4:T$33)</f>
        <v/>
      </c>
      <c r="U36" s="138">
        <f>SUMPRODUCT(($C$4:$C$33="ZAN 1")*U$4:U$33)</f>
        <v/>
      </c>
      <c r="V36" s="138">
        <f>SUMPRODUCT(($C$4:$C$33="ZAN 1")*V$4:V$33)</f>
        <v/>
      </c>
      <c r="W36" s="138">
        <f>SUMPRODUCT(($C$4:$C$33="ZAN 1")*W$4:W$33)</f>
        <v/>
      </c>
      <c r="X36" s="138">
        <f>SUMPRODUCT(($C$4:$C$33="ZAN 1")*X$4:X$33)</f>
        <v/>
      </c>
      <c r="Y36" s="138">
        <f>SUMPRODUCT(($C$4:$C$33="ZAN 1")*Y$4:Y$33)</f>
        <v/>
      </c>
      <c r="Z36" s="138">
        <f>SUMPRODUCT(($C$4:$C$33="ZAN 1")*Z$4:Z$33)</f>
        <v/>
      </c>
      <c r="AA36" s="138">
        <f>SUMPRODUCT(($C$4:$C$33="ZAN 1")*AA$4:AA$33)</f>
        <v/>
      </c>
      <c r="AB36" s="138">
        <f>SUMPRODUCT(($C$4:$C$33="ZAN 1")*AB$4:AB$33)</f>
        <v/>
      </c>
      <c r="AC36" s="138">
        <f>SUMPRODUCT(($C$4:$C$33="ZAN 1")*AC$4:AC$33)</f>
        <v/>
      </c>
      <c r="AD36" s="138">
        <f>SUMPRODUCT(($C$4:$C$33="ZAN 1")*AD$4:AD$33)</f>
        <v/>
      </c>
      <c r="AE36" s="138">
        <f>SUMPRODUCT(($C$4:$C$33="ZAN 1")*AE$4:AE$33)</f>
        <v/>
      </c>
      <c r="AF36" s="138">
        <f>SUMPRODUCT(($C$4:$C$33="ZAN 1")*AF$4:AF$33)</f>
        <v/>
      </c>
      <c r="AG36" s="138">
        <f>SUMPRODUCT(($C$4:$C$33="ZAN 1")*AG$4:AG$33)</f>
        <v/>
      </c>
      <c r="AH36" s="138">
        <f>SUMPRODUCT(($C$4:$C$33="ZAN 1")*AH$4:AH$33)</f>
        <v/>
      </c>
      <c r="AI36" s="138">
        <f>SUMPRODUCT(($C$4:$C$33="ZAN 1")*AI$4:AI$33)</f>
        <v/>
      </c>
      <c r="AJ36" s="138">
        <f>SUMPRODUCT(($C$4:$C$33="ZAN 1")*AJ$4:AJ$33)</f>
        <v/>
      </c>
      <c r="AK36" s="138">
        <f>SUMPRODUCT(($C$4:$C$33="ZAN 1")*AK$4:AK$33)</f>
        <v/>
      </c>
      <c r="AL36" s="138">
        <f>SUMPRODUCT(($C$4:$C$33="ZAN 1")*AL$4:AL$33)</f>
        <v/>
      </c>
      <c r="AM36" s="138">
        <f>SUMPRODUCT(($C$4:$C$33="ZAN 1")*AM$4:AM$33)</f>
        <v/>
      </c>
      <c r="AN36" s="138">
        <f>SUMPRODUCT(($C$4:$C$33="ZAN 1")*AN$4:AN$33)</f>
        <v/>
      </c>
      <c r="AO36" s="138">
        <f>SUMPRODUCT(($C$4:$C$33="ZAN 1")*AO$4:AO$33)</f>
        <v/>
      </c>
      <c r="AP36" s="138">
        <f>SUMPRODUCT(($C$4:$C$33="ZAN 1")*AP$4:AP$33)</f>
        <v/>
      </c>
      <c r="AQ36" s="138">
        <f>SUMPRODUCT(($C$4:$C$33="ZAN 1")*AQ$4:AQ$33)</f>
        <v/>
      </c>
      <c r="AR36" s="138">
        <f>SUMPRODUCT(($C$4:$C$33="ZAN 1")*AR$4:AR$33)</f>
        <v/>
      </c>
      <c r="AS36" s="138">
        <f>SUMPRODUCT(($C$4:$C$33="ZAN 1")*AS$4:AS$33)</f>
        <v/>
      </c>
      <c r="AT36" s="138">
        <f>SUMPRODUCT(($C$4:$C$33="ZAN 1")*AT$4:AT$33)</f>
        <v/>
      </c>
      <c r="AU36" s="138">
        <f>SUMPRODUCT(($C$4:$C$33="ZAN 1")*AU$4:AU$33)</f>
        <v/>
      </c>
      <c r="AV36" s="138">
        <f>SUMPRODUCT(($C$4:$C$33="ZAN 1")*AV$4:AV$33)</f>
        <v/>
      </c>
      <c r="AW36" s="138">
        <f>SUMPRODUCT(($C$4:$C$33="ZAN 1")*AW$4:AW$33)</f>
        <v/>
      </c>
      <c r="AX36" s="138">
        <f>SUMPRODUCT(($C$4:$C$33="ZAN 1")*AX$4:AX$33)</f>
        <v/>
      </c>
      <c r="AY36" s="138">
        <f>SUMPRODUCT(($C$4:$C$33="ZAN 1")*AY$4:AY$33)</f>
        <v/>
      </c>
      <c r="AZ36" s="138">
        <f>SUMPRODUCT(($C$4:$C$33="ZAN 1")*AZ$4:AZ$33)</f>
        <v/>
      </c>
      <c r="BA36" s="138">
        <f>SUMPRODUCT(($C$4:$C$33="ZAN 1")*BA$4:BA$33)</f>
        <v/>
      </c>
      <c r="BB36" s="138">
        <f>SUMPRODUCT(($C$4:$C$33="ZAN 1")*BB$4:BB$33)</f>
        <v/>
      </c>
    </row>
    <row r="37" ht="15" customHeight="1" s="91">
      <c r="B37" s="141" t="inlineStr">
        <is>
          <t>ZAN 2</t>
        </is>
      </c>
      <c r="D37" s="138">
        <f>SUM(E37:BB37)</f>
        <v/>
      </c>
      <c r="E37" s="138">
        <f>SUMPRODUCT(($C$4:$C$33="ZAN 2")*E$4:E$33)</f>
        <v/>
      </c>
      <c r="F37" s="138">
        <f>SUMPRODUCT(($C$4:$C$33="ZAN 2")*F$4:F$33)</f>
        <v/>
      </c>
      <c r="G37" s="138">
        <f>SUMPRODUCT(($C$4:$C$33="ZAN 2")*G$4:G$33)</f>
        <v/>
      </c>
      <c r="H37" s="138">
        <f>SUMPRODUCT(($C$4:$C$33="ZAN 2")*H$4:H$33)</f>
        <v/>
      </c>
      <c r="I37" s="138">
        <f>SUMPRODUCT(($C$4:$C$33="ZAN 2")*I$4:I$33)</f>
        <v/>
      </c>
      <c r="J37" s="138">
        <f>SUMPRODUCT(($C$4:$C$33="ZAN 2")*J$4:J$33)</f>
        <v/>
      </c>
      <c r="K37" s="138">
        <f>SUMPRODUCT(($C$4:$C$33="ZAN 2")*K$4:K$33)</f>
        <v/>
      </c>
      <c r="L37" s="138">
        <f>SUMPRODUCT(($C$4:$C$33="ZAN 2")*L$4:L$33)</f>
        <v/>
      </c>
      <c r="M37" s="138">
        <f>SUMPRODUCT(($C$4:$C$33="ZAN 2")*M$4:M$33)</f>
        <v/>
      </c>
      <c r="N37" s="138">
        <f>SUMPRODUCT(($C$4:$C$33="ZAN 2")*N$4:N$33)</f>
        <v/>
      </c>
      <c r="O37" s="138">
        <f>SUMPRODUCT(($C$4:$C$33="ZAN 2")*O$4:O$33)</f>
        <v/>
      </c>
      <c r="P37" s="138">
        <f>SUMPRODUCT(($C$4:$C$33="ZAN 2")*P$4:P$33)</f>
        <v/>
      </c>
      <c r="Q37" s="138">
        <f>SUMPRODUCT(($C$4:$C$33="ZAN 2")*Q$4:Q$33)</f>
        <v/>
      </c>
      <c r="R37" s="138">
        <f>SUMPRODUCT(($C$4:$C$33="ZAN 2")*R$4:R$33)</f>
        <v/>
      </c>
      <c r="S37" s="138">
        <f>SUMPRODUCT(($C$4:$C$33="ZAN 2")*S$4:S$33)</f>
        <v/>
      </c>
      <c r="T37" s="138">
        <f>SUMPRODUCT(($C$4:$C$33="ZAN 2")*T$4:T$33)</f>
        <v/>
      </c>
      <c r="U37" s="138">
        <f>SUMPRODUCT(($C$4:$C$33="ZAN 2")*U$4:U$33)</f>
        <v/>
      </c>
      <c r="V37" s="138">
        <f>SUMPRODUCT(($C$4:$C$33="ZAN 2")*V$4:V$33)</f>
        <v/>
      </c>
      <c r="W37" s="138">
        <f>SUMPRODUCT(($C$4:$C$33="ZAN 2")*W$4:W$33)</f>
        <v/>
      </c>
      <c r="X37" s="138">
        <f>SUMPRODUCT(($C$4:$C$33="ZAN 2")*X$4:X$33)</f>
        <v/>
      </c>
      <c r="Y37" s="138">
        <f>SUMPRODUCT(($C$4:$C$33="ZAN 2")*Y$4:Y$33)</f>
        <v/>
      </c>
      <c r="Z37" s="138">
        <f>SUMPRODUCT(($C$4:$C$33="ZAN 2")*Z$4:Z$33)</f>
        <v/>
      </c>
      <c r="AA37" s="138">
        <f>SUMPRODUCT(($C$4:$C$33="ZAN 2")*AA$4:AA$33)</f>
        <v/>
      </c>
      <c r="AB37" s="138">
        <f>SUMPRODUCT(($C$4:$C$33="ZAN 2")*AB$4:AB$33)</f>
        <v/>
      </c>
      <c r="AC37" s="138">
        <f>SUMPRODUCT(($C$4:$C$33="ZAN 2")*AC$4:AC$33)</f>
        <v/>
      </c>
      <c r="AD37" s="138">
        <f>SUMPRODUCT(($C$4:$C$33="ZAN 2")*AD$4:AD$33)</f>
        <v/>
      </c>
      <c r="AE37" s="138">
        <f>SUMPRODUCT(($C$4:$C$33="ZAN 2")*AE$4:AE$33)</f>
        <v/>
      </c>
      <c r="AF37" s="138">
        <f>SUMPRODUCT(($C$4:$C$33="ZAN 2")*AF$4:AF$33)</f>
        <v/>
      </c>
      <c r="AG37" s="138">
        <f>SUMPRODUCT(($C$4:$C$33="ZAN 2")*AG$4:AG$33)</f>
        <v/>
      </c>
      <c r="AH37" s="138">
        <f>SUMPRODUCT(($C$4:$C$33="ZAN 2")*AH$4:AH$33)</f>
        <v/>
      </c>
      <c r="AI37" s="138">
        <f>SUMPRODUCT(($C$4:$C$33="ZAN 2")*AI$4:AI$33)</f>
        <v/>
      </c>
      <c r="AJ37" s="138">
        <f>SUMPRODUCT(($C$4:$C$33="ZAN 2")*AJ$4:AJ$33)</f>
        <v/>
      </c>
      <c r="AK37" s="138">
        <f>SUMPRODUCT(($C$4:$C$33="ZAN 2")*AK$4:AK$33)</f>
        <v/>
      </c>
      <c r="AL37" s="138">
        <f>SUMPRODUCT(($C$4:$C$33="ZAN 2")*AL$4:AL$33)</f>
        <v/>
      </c>
      <c r="AM37" s="138">
        <f>SUMPRODUCT(($C$4:$C$33="ZAN 2")*AM$4:AM$33)</f>
        <v/>
      </c>
      <c r="AN37" s="138">
        <f>SUMPRODUCT(($C$4:$C$33="ZAN 2")*AN$4:AN$33)</f>
        <v/>
      </c>
      <c r="AO37" s="138">
        <f>SUMPRODUCT(($C$4:$C$33="ZAN 2")*AO$4:AO$33)</f>
        <v/>
      </c>
      <c r="AP37" s="138">
        <f>SUMPRODUCT(($C$4:$C$33="ZAN 2")*AP$4:AP$33)</f>
        <v/>
      </c>
      <c r="AQ37" s="138">
        <f>SUMPRODUCT(($C$4:$C$33="ZAN 2")*AQ$4:AQ$33)</f>
        <v/>
      </c>
      <c r="AR37" s="138">
        <f>SUMPRODUCT(($C$4:$C$33="ZAN 2")*AR$4:AR$33)</f>
        <v/>
      </c>
      <c r="AS37" s="138">
        <f>SUMPRODUCT(($C$4:$C$33="ZAN 2")*AS$4:AS$33)</f>
        <v/>
      </c>
      <c r="AT37" s="138">
        <f>SUMPRODUCT(($C$4:$C$33="ZAN 2")*AT$4:AT$33)</f>
        <v/>
      </c>
      <c r="AU37" s="138">
        <f>SUMPRODUCT(($C$4:$C$33="ZAN 2")*AU$4:AU$33)</f>
        <v/>
      </c>
      <c r="AV37" s="138">
        <f>SUMPRODUCT(($C$4:$C$33="ZAN 2")*AV$4:AV$33)</f>
        <v/>
      </c>
      <c r="AW37" s="138">
        <f>SUMPRODUCT(($C$4:$C$33="ZAN 2")*AW$4:AW$33)</f>
        <v/>
      </c>
      <c r="AX37" s="138">
        <f>SUMPRODUCT(($C$4:$C$33="ZAN 2")*AX$4:AX$33)</f>
        <v/>
      </c>
      <c r="AY37" s="138">
        <f>SUMPRODUCT(($C$4:$C$33="ZAN 2")*AY$4:AY$33)</f>
        <v/>
      </c>
      <c r="AZ37" s="138">
        <f>SUMPRODUCT(($C$4:$C$33="ZAN 2")*AZ$4:AZ$33)</f>
        <v/>
      </c>
      <c r="BA37" s="138">
        <f>SUMPRODUCT(($C$4:$C$33="ZAN 2")*BA$4:BA$33)</f>
        <v/>
      </c>
      <c r="BB37" s="138">
        <f>SUMPRODUCT(($C$4:$C$33="ZAN 2")*BB$4:BB$33)</f>
        <v/>
      </c>
    </row>
    <row r="38" ht="15" customHeight="1" s="91">
      <c r="B38" s="141" t="inlineStr">
        <is>
          <t>ZAN 3</t>
        </is>
      </c>
      <c r="D38" s="138">
        <f>SUM(E38:BB38)</f>
        <v/>
      </c>
      <c r="E38" s="138">
        <f>SUMPRODUCT(($C$4:$C$33="ZAN 3")*E$4:E$33)</f>
        <v/>
      </c>
      <c r="F38" s="138">
        <f>SUMPRODUCT(($C$4:$C$33="ZAN 3")*F$4:F$33)</f>
        <v/>
      </c>
      <c r="G38" s="138">
        <f>SUMPRODUCT(($C$4:$C$33="ZAN 3")*G$4:G$33)</f>
        <v/>
      </c>
      <c r="H38" s="138">
        <f>SUMPRODUCT(($C$4:$C$33="ZAN 3")*H$4:H$33)</f>
        <v/>
      </c>
      <c r="I38" s="138">
        <f>SUMPRODUCT(($C$4:$C$33="ZAN 3")*I$4:I$33)</f>
        <v/>
      </c>
      <c r="J38" s="138">
        <f>SUMPRODUCT(($C$4:$C$33="ZAN 3")*J$4:J$33)</f>
        <v/>
      </c>
      <c r="K38" s="138">
        <f>SUMPRODUCT(($C$4:$C$33="ZAN 3")*K$4:K$33)</f>
        <v/>
      </c>
      <c r="L38" s="138">
        <f>SUMPRODUCT(($C$4:$C$33="ZAN 3")*L$4:L$33)</f>
        <v/>
      </c>
      <c r="M38" s="138">
        <f>SUMPRODUCT(($C$4:$C$33="ZAN 3")*M$4:M$33)</f>
        <v/>
      </c>
      <c r="N38" s="138">
        <f>SUMPRODUCT(($C$4:$C$33="ZAN 3")*N$4:N$33)</f>
        <v/>
      </c>
      <c r="O38" s="138">
        <f>SUMPRODUCT(($C$4:$C$33="ZAN 3")*O$4:O$33)</f>
        <v/>
      </c>
      <c r="P38" s="138">
        <f>SUMPRODUCT(($C$4:$C$33="ZAN 3")*P$4:P$33)</f>
        <v/>
      </c>
      <c r="Q38" s="138">
        <f>SUMPRODUCT(($C$4:$C$33="ZAN 3")*Q$4:Q$33)</f>
        <v/>
      </c>
      <c r="R38" s="138">
        <f>SUMPRODUCT(($C$4:$C$33="ZAN 3")*R$4:R$33)</f>
        <v/>
      </c>
      <c r="S38" s="138">
        <f>SUMPRODUCT(($C$4:$C$33="ZAN 3")*S$4:S$33)</f>
        <v/>
      </c>
      <c r="T38" s="138">
        <f>SUMPRODUCT(($C$4:$C$33="ZAN 3")*T$4:T$33)</f>
        <v/>
      </c>
      <c r="U38" s="138">
        <f>SUMPRODUCT(($C$4:$C$33="ZAN 3")*U$4:U$33)</f>
        <v/>
      </c>
      <c r="V38" s="138">
        <f>SUMPRODUCT(($C$4:$C$33="ZAN 3")*V$4:V$33)</f>
        <v/>
      </c>
      <c r="W38" s="138">
        <f>SUMPRODUCT(($C$4:$C$33="ZAN 3")*W$4:W$33)</f>
        <v/>
      </c>
      <c r="X38" s="138">
        <f>SUMPRODUCT(($C$4:$C$33="ZAN 3")*X$4:X$33)</f>
        <v/>
      </c>
      <c r="Y38" s="138">
        <f>SUMPRODUCT(($C$4:$C$33="ZAN 3")*Y$4:Y$33)</f>
        <v/>
      </c>
      <c r="Z38" s="138">
        <f>SUMPRODUCT(($C$4:$C$33="ZAN 3")*Z$4:Z$33)</f>
        <v/>
      </c>
      <c r="AA38" s="138">
        <f>SUMPRODUCT(($C$4:$C$33="ZAN 3")*AA$4:AA$33)</f>
        <v/>
      </c>
      <c r="AB38" s="138">
        <f>SUMPRODUCT(($C$4:$C$33="ZAN 3")*AB$4:AB$33)</f>
        <v/>
      </c>
      <c r="AC38" s="138">
        <f>SUMPRODUCT(($C$4:$C$33="ZAN 3")*AC$4:AC$33)</f>
        <v/>
      </c>
      <c r="AD38" s="138">
        <f>SUMPRODUCT(($C$4:$C$33="ZAN 3")*AD$4:AD$33)</f>
        <v/>
      </c>
      <c r="AE38" s="138">
        <f>SUMPRODUCT(($C$4:$C$33="ZAN 3")*AE$4:AE$33)</f>
        <v/>
      </c>
      <c r="AF38" s="138">
        <f>SUMPRODUCT(($C$4:$C$33="ZAN 3")*AF$4:AF$33)</f>
        <v/>
      </c>
      <c r="AG38" s="138">
        <f>SUMPRODUCT(($C$4:$C$33="ZAN 3")*AG$4:AG$33)</f>
        <v/>
      </c>
      <c r="AH38" s="138">
        <f>SUMPRODUCT(($C$4:$C$33="ZAN 3")*AH$4:AH$33)</f>
        <v/>
      </c>
      <c r="AI38" s="138">
        <f>SUMPRODUCT(($C$4:$C$33="ZAN 3")*AI$4:AI$33)</f>
        <v/>
      </c>
      <c r="AJ38" s="138">
        <f>SUMPRODUCT(($C$4:$C$33="ZAN 3")*AJ$4:AJ$33)</f>
        <v/>
      </c>
      <c r="AK38" s="138">
        <f>SUMPRODUCT(($C$4:$C$33="ZAN 3")*AK$4:AK$33)</f>
        <v/>
      </c>
      <c r="AL38" s="138">
        <f>SUMPRODUCT(($C$4:$C$33="ZAN 3")*AL$4:AL$33)</f>
        <v/>
      </c>
      <c r="AM38" s="138">
        <f>SUMPRODUCT(($C$4:$C$33="ZAN 3")*AM$4:AM$33)</f>
        <v/>
      </c>
      <c r="AN38" s="138">
        <f>SUMPRODUCT(($C$4:$C$33="ZAN 3")*AN$4:AN$33)</f>
        <v/>
      </c>
      <c r="AO38" s="138">
        <f>SUMPRODUCT(($C$4:$C$33="ZAN 3")*AO$4:AO$33)</f>
        <v/>
      </c>
      <c r="AP38" s="138">
        <f>SUMPRODUCT(($C$4:$C$33="ZAN 3")*AP$4:AP$33)</f>
        <v/>
      </c>
      <c r="AQ38" s="138">
        <f>SUMPRODUCT(($C$4:$C$33="ZAN 3")*AQ$4:AQ$33)</f>
        <v/>
      </c>
      <c r="AR38" s="138">
        <f>SUMPRODUCT(($C$4:$C$33="ZAN 3")*AR$4:AR$33)</f>
        <v/>
      </c>
      <c r="AS38" s="138">
        <f>SUMPRODUCT(($C$4:$C$33="ZAN 3")*AS$4:AS$33)</f>
        <v/>
      </c>
      <c r="AT38" s="138">
        <f>SUMPRODUCT(($C$4:$C$33="ZAN 3")*AT$4:AT$33)</f>
        <v/>
      </c>
      <c r="AU38" s="138">
        <f>SUMPRODUCT(($C$4:$C$33="ZAN 3")*AU$4:AU$33)</f>
        <v/>
      </c>
      <c r="AV38" s="138">
        <f>SUMPRODUCT(($C$4:$C$33="ZAN 3")*AV$4:AV$33)</f>
        <v/>
      </c>
      <c r="AW38" s="138">
        <f>SUMPRODUCT(($C$4:$C$33="ZAN 3")*AW$4:AW$33)</f>
        <v/>
      </c>
      <c r="AX38" s="138">
        <f>SUMPRODUCT(($C$4:$C$33="ZAN 3")*AX$4:AX$33)</f>
        <v/>
      </c>
      <c r="AY38" s="138">
        <f>SUMPRODUCT(($C$4:$C$33="ZAN 3")*AY$4:AY$33)</f>
        <v/>
      </c>
      <c r="AZ38" s="138">
        <f>SUMPRODUCT(($C$4:$C$33="ZAN 3")*AZ$4:AZ$33)</f>
        <v/>
      </c>
      <c r="BA38" s="138">
        <f>SUMPRODUCT(($C$4:$C$33="ZAN 3")*BA$4:BA$33)</f>
        <v/>
      </c>
      <c r="BB38" s="138">
        <f>SUMPRODUCT(($C$4:$C$33="ZAN 3")*BB$4:BB$33)</f>
        <v/>
      </c>
    </row>
    <row r="39" ht="15" customHeight="1" s="91">
      <c r="B39" s="141" t="inlineStr">
        <is>
          <t>ZAN 4</t>
        </is>
      </c>
      <c r="D39" s="138">
        <f>SUM(E39:BB39)</f>
        <v/>
      </c>
      <c r="E39" s="138">
        <f>SUMPRODUCT(($C$4:$C$33="ZAN 4")*E$4:E$33)</f>
        <v/>
      </c>
      <c r="F39" s="138">
        <f>SUMPRODUCT(($C$4:$C$33="ZAN 4")*F$4:F$33)</f>
        <v/>
      </c>
      <c r="G39" s="138">
        <f>SUMPRODUCT(($C$4:$C$33="ZAN 4")*G$4:G$33)</f>
        <v/>
      </c>
      <c r="H39" s="138">
        <f>SUMPRODUCT(($C$4:$C$33="ZAN 4")*H$4:H$33)</f>
        <v/>
      </c>
      <c r="I39" s="138">
        <f>SUMPRODUCT(($C$4:$C$33="ZAN 4")*I$4:I$33)</f>
        <v/>
      </c>
      <c r="J39" s="138">
        <f>SUMPRODUCT(($C$4:$C$33="ZAN 4")*J$4:J$33)</f>
        <v/>
      </c>
      <c r="K39" s="138">
        <f>SUMPRODUCT(($C$4:$C$33="ZAN 4")*K$4:K$33)</f>
        <v/>
      </c>
      <c r="L39" s="138">
        <f>SUMPRODUCT(($C$4:$C$33="ZAN 4")*L$4:L$33)</f>
        <v/>
      </c>
      <c r="M39" s="138">
        <f>SUMPRODUCT(($C$4:$C$33="ZAN 4")*M$4:M$33)</f>
        <v/>
      </c>
      <c r="N39" s="138">
        <f>SUMPRODUCT(($C$4:$C$33="ZAN 4")*N$4:N$33)</f>
        <v/>
      </c>
      <c r="O39" s="138">
        <f>SUMPRODUCT(($C$4:$C$33="ZAN 4")*O$4:O$33)</f>
        <v/>
      </c>
      <c r="P39" s="138">
        <f>SUMPRODUCT(($C$4:$C$33="ZAN 4")*P$4:P$33)</f>
        <v/>
      </c>
      <c r="Q39" s="138">
        <f>SUMPRODUCT(($C$4:$C$33="ZAN 4")*Q$4:Q$33)</f>
        <v/>
      </c>
      <c r="R39" s="138">
        <f>SUMPRODUCT(($C$4:$C$33="ZAN 4")*R$4:R$33)</f>
        <v/>
      </c>
      <c r="S39" s="138">
        <f>SUMPRODUCT(($C$4:$C$33="ZAN 4")*S$4:S$33)</f>
        <v/>
      </c>
      <c r="T39" s="138">
        <f>SUMPRODUCT(($C$4:$C$33="ZAN 4")*T$4:T$33)</f>
        <v/>
      </c>
      <c r="U39" s="138">
        <f>SUMPRODUCT(($C$4:$C$33="ZAN 4")*U$4:U$33)</f>
        <v/>
      </c>
      <c r="V39" s="138">
        <f>SUMPRODUCT(($C$4:$C$33="ZAN 4")*V$4:V$33)</f>
        <v/>
      </c>
      <c r="W39" s="138">
        <f>SUMPRODUCT(($C$4:$C$33="ZAN 4")*W$4:W$33)</f>
        <v/>
      </c>
      <c r="X39" s="138">
        <f>SUMPRODUCT(($C$4:$C$33="ZAN 4")*X$4:X$33)</f>
        <v/>
      </c>
      <c r="Y39" s="138">
        <f>SUMPRODUCT(($C$4:$C$33="ZAN 4")*Y$4:Y$33)</f>
        <v/>
      </c>
      <c r="Z39" s="138">
        <f>SUMPRODUCT(($C$4:$C$33="ZAN 4")*Z$4:Z$33)</f>
        <v/>
      </c>
      <c r="AA39" s="138">
        <f>SUMPRODUCT(($C$4:$C$33="ZAN 4")*AA$4:AA$33)</f>
        <v/>
      </c>
      <c r="AB39" s="138">
        <f>SUMPRODUCT(($C$4:$C$33="ZAN 4")*AB$4:AB$33)</f>
        <v/>
      </c>
      <c r="AC39" s="138">
        <f>SUMPRODUCT(($C$4:$C$33="ZAN 4")*AC$4:AC$33)</f>
        <v/>
      </c>
      <c r="AD39" s="138">
        <f>SUMPRODUCT(($C$4:$C$33="ZAN 4")*AD$4:AD$33)</f>
        <v/>
      </c>
      <c r="AE39" s="138">
        <f>SUMPRODUCT(($C$4:$C$33="ZAN 4")*AE$4:AE$33)</f>
        <v/>
      </c>
      <c r="AF39" s="138">
        <f>SUMPRODUCT(($C$4:$C$33="ZAN 4")*AF$4:AF$33)</f>
        <v/>
      </c>
      <c r="AG39" s="138">
        <f>SUMPRODUCT(($C$4:$C$33="ZAN 4")*AG$4:AG$33)</f>
        <v/>
      </c>
      <c r="AH39" s="138">
        <f>SUMPRODUCT(($C$4:$C$33="ZAN 4")*AH$4:AH$33)</f>
        <v/>
      </c>
      <c r="AI39" s="138">
        <f>SUMPRODUCT(($C$4:$C$33="ZAN 4")*AI$4:AI$33)</f>
        <v/>
      </c>
      <c r="AJ39" s="138">
        <f>SUMPRODUCT(($C$4:$C$33="ZAN 4")*AJ$4:AJ$33)</f>
        <v/>
      </c>
      <c r="AK39" s="138">
        <f>SUMPRODUCT(($C$4:$C$33="ZAN 4")*AK$4:AK$33)</f>
        <v/>
      </c>
      <c r="AL39" s="138">
        <f>SUMPRODUCT(($C$4:$C$33="ZAN 4")*AL$4:AL$33)</f>
        <v/>
      </c>
      <c r="AM39" s="138">
        <f>SUMPRODUCT(($C$4:$C$33="ZAN 4")*AM$4:AM$33)</f>
        <v/>
      </c>
      <c r="AN39" s="138">
        <f>SUMPRODUCT(($C$4:$C$33="ZAN 4")*AN$4:AN$33)</f>
        <v/>
      </c>
      <c r="AO39" s="138">
        <f>SUMPRODUCT(($C$4:$C$33="ZAN 4")*AO$4:AO$33)</f>
        <v/>
      </c>
      <c r="AP39" s="138">
        <f>SUMPRODUCT(($C$4:$C$33="ZAN 4")*AP$4:AP$33)</f>
        <v/>
      </c>
      <c r="AQ39" s="138">
        <f>SUMPRODUCT(($C$4:$C$33="ZAN 4")*AQ$4:AQ$33)</f>
        <v/>
      </c>
      <c r="AR39" s="138">
        <f>SUMPRODUCT(($C$4:$C$33="ZAN 4")*AR$4:AR$33)</f>
        <v/>
      </c>
      <c r="AS39" s="138">
        <f>SUMPRODUCT(($C$4:$C$33="ZAN 4")*AS$4:AS$33)</f>
        <v/>
      </c>
      <c r="AT39" s="138">
        <f>SUMPRODUCT(($C$4:$C$33="ZAN 4")*AT$4:AT$33)</f>
        <v/>
      </c>
      <c r="AU39" s="138">
        <f>SUMPRODUCT(($C$4:$C$33="ZAN 4")*AU$4:AU$33)</f>
        <v/>
      </c>
      <c r="AV39" s="138">
        <f>SUMPRODUCT(($C$4:$C$33="ZAN 4")*AV$4:AV$33)</f>
        <v/>
      </c>
      <c r="AW39" s="138">
        <f>SUMPRODUCT(($C$4:$C$33="ZAN 4")*AW$4:AW$33)</f>
        <v/>
      </c>
      <c r="AX39" s="138">
        <f>SUMPRODUCT(($C$4:$C$33="ZAN 4")*AX$4:AX$33)</f>
        <v/>
      </c>
      <c r="AY39" s="138">
        <f>SUMPRODUCT(($C$4:$C$33="ZAN 4")*AY$4:AY$33)</f>
        <v/>
      </c>
      <c r="AZ39" s="138">
        <f>SUMPRODUCT(($C$4:$C$33="ZAN 4")*AZ$4:AZ$33)</f>
        <v/>
      </c>
      <c r="BA39" s="138">
        <f>SUMPRODUCT(($C$4:$C$33="ZAN 4")*BA$4:BA$33)</f>
        <v/>
      </c>
      <c r="BB39" s="138">
        <f>SUMPRODUCT(($C$4:$C$33="ZAN 4")*BB$4:BB$33)</f>
        <v/>
      </c>
    </row>
    <row r="40" ht="15" customHeight="1" s="91">
      <c r="B40" s="141" t="inlineStr">
        <is>
          <t>ZAN 5</t>
        </is>
      </c>
      <c r="D40" s="138">
        <f>SUM(E40:BB40)</f>
        <v/>
      </c>
      <c r="E40" s="138">
        <f>SUMPRODUCT(($C$4:$C$33="ZAN 5")*E$4:E$33)</f>
        <v/>
      </c>
      <c r="F40" s="138">
        <f>SUMPRODUCT(($C$4:$C$33="ZAN 5")*F$4:F$33)</f>
        <v/>
      </c>
      <c r="G40" s="138">
        <f>SUMPRODUCT(($C$4:$C$33="ZAN 5")*G$4:G$33)</f>
        <v/>
      </c>
      <c r="H40" s="138">
        <f>SUMPRODUCT(($C$4:$C$33="ZAN 5")*H$4:H$33)</f>
        <v/>
      </c>
      <c r="I40" s="138">
        <f>SUMPRODUCT(($C$4:$C$33="ZAN 5")*I$4:I$33)</f>
        <v/>
      </c>
      <c r="J40" s="138">
        <f>SUMPRODUCT(($C$4:$C$33="ZAN 5")*J$4:J$33)</f>
        <v/>
      </c>
      <c r="K40" s="138">
        <f>SUMPRODUCT(($C$4:$C$33="ZAN 5")*K$4:K$33)</f>
        <v/>
      </c>
      <c r="L40" s="138">
        <f>SUMPRODUCT(($C$4:$C$33="ZAN 5")*L$4:L$33)</f>
        <v/>
      </c>
      <c r="M40" s="138">
        <f>SUMPRODUCT(($C$4:$C$33="ZAN 5")*M$4:M$33)</f>
        <v/>
      </c>
      <c r="N40" s="138">
        <f>SUMPRODUCT(($C$4:$C$33="ZAN 5")*N$4:N$33)</f>
        <v/>
      </c>
      <c r="O40" s="138">
        <f>SUMPRODUCT(($C$4:$C$33="ZAN 5")*O$4:O$33)</f>
        <v/>
      </c>
      <c r="P40" s="138">
        <f>SUMPRODUCT(($C$4:$C$33="ZAN 5")*P$4:P$33)</f>
        <v/>
      </c>
      <c r="Q40" s="138">
        <f>SUMPRODUCT(($C$4:$C$33="ZAN 5")*Q$4:Q$33)</f>
        <v/>
      </c>
      <c r="R40" s="138">
        <f>SUMPRODUCT(($C$4:$C$33="ZAN 5")*R$4:R$33)</f>
        <v/>
      </c>
      <c r="S40" s="138">
        <f>SUMPRODUCT(($C$4:$C$33="ZAN 5")*S$4:S$33)</f>
        <v/>
      </c>
      <c r="T40" s="138">
        <f>SUMPRODUCT(($C$4:$C$33="ZAN 5")*T$4:T$33)</f>
        <v/>
      </c>
      <c r="U40" s="138">
        <f>SUMPRODUCT(($C$4:$C$33="ZAN 5")*U$4:U$33)</f>
        <v/>
      </c>
      <c r="V40" s="138">
        <f>SUMPRODUCT(($C$4:$C$33="ZAN 5")*V$4:V$33)</f>
        <v/>
      </c>
      <c r="W40" s="138">
        <f>SUMPRODUCT(($C$4:$C$33="ZAN 5")*W$4:W$33)</f>
        <v/>
      </c>
      <c r="X40" s="138">
        <f>SUMPRODUCT(($C$4:$C$33="ZAN 5")*X$4:X$33)</f>
        <v/>
      </c>
      <c r="Y40" s="138">
        <f>SUMPRODUCT(($C$4:$C$33="ZAN 5")*Y$4:Y$33)</f>
        <v/>
      </c>
      <c r="Z40" s="138">
        <f>SUMPRODUCT(($C$4:$C$33="ZAN 5")*Z$4:Z$33)</f>
        <v/>
      </c>
      <c r="AA40" s="138">
        <f>SUMPRODUCT(($C$4:$C$33="ZAN 5")*AA$4:AA$33)</f>
        <v/>
      </c>
      <c r="AB40" s="138">
        <f>SUMPRODUCT(($C$4:$C$33="ZAN 5")*AB$4:AB$33)</f>
        <v/>
      </c>
      <c r="AC40" s="138">
        <f>SUMPRODUCT(($C$4:$C$33="ZAN 5")*AC$4:AC$33)</f>
        <v/>
      </c>
      <c r="AD40" s="138">
        <f>SUMPRODUCT(($C$4:$C$33="ZAN 5")*AD$4:AD$33)</f>
        <v/>
      </c>
      <c r="AE40" s="138">
        <f>SUMPRODUCT(($C$4:$C$33="ZAN 5")*AE$4:AE$33)</f>
        <v/>
      </c>
      <c r="AF40" s="138">
        <f>SUMPRODUCT(($C$4:$C$33="ZAN 5")*AF$4:AF$33)</f>
        <v/>
      </c>
      <c r="AG40" s="138">
        <f>SUMPRODUCT(($C$4:$C$33="ZAN 5")*AG$4:AG$33)</f>
        <v/>
      </c>
      <c r="AH40" s="138">
        <f>SUMPRODUCT(($C$4:$C$33="ZAN 5")*AH$4:AH$33)</f>
        <v/>
      </c>
      <c r="AI40" s="138">
        <f>SUMPRODUCT(($C$4:$C$33="ZAN 5")*AI$4:AI$33)</f>
        <v/>
      </c>
      <c r="AJ40" s="138">
        <f>SUMPRODUCT(($C$4:$C$33="ZAN 5")*AJ$4:AJ$33)</f>
        <v/>
      </c>
      <c r="AK40" s="138">
        <f>SUMPRODUCT(($C$4:$C$33="ZAN 5")*AK$4:AK$33)</f>
        <v/>
      </c>
      <c r="AL40" s="138">
        <f>SUMPRODUCT(($C$4:$C$33="ZAN 5")*AL$4:AL$33)</f>
        <v/>
      </c>
      <c r="AM40" s="138">
        <f>SUMPRODUCT(($C$4:$C$33="ZAN 5")*AM$4:AM$33)</f>
        <v/>
      </c>
      <c r="AN40" s="138">
        <f>SUMPRODUCT(($C$4:$C$33="ZAN 5")*AN$4:AN$33)</f>
        <v/>
      </c>
      <c r="AO40" s="138">
        <f>SUMPRODUCT(($C$4:$C$33="ZAN 5")*AO$4:AO$33)</f>
        <v/>
      </c>
      <c r="AP40" s="138">
        <f>SUMPRODUCT(($C$4:$C$33="ZAN 5")*AP$4:AP$33)</f>
        <v/>
      </c>
      <c r="AQ40" s="138">
        <f>SUMPRODUCT(($C$4:$C$33="ZAN 5")*AQ$4:AQ$33)</f>
        <v/>
      </c>
      <c r="AR40" s="138">
        <f>SUMPRODUCT(($C$4:$C$33="ZAN 5")*AR$4:AR$33)</f>
        <v/>
      </c>
      <c r="AS40" s="138">
        <f>SUMPRODUCT(($C$4:$C$33="ZAN 5")*AS$4:AS$33)</f>
        <v/>
      </c>
      <c r="AT40" s="138">
        <f>SUMPRODUCT(($C$4:$C$33="ZAN 5")*AT$4:AT$33)</f>
        <v/>
      </c>
      <c r="AU40" s="138">
        <f>SUMPRODUCT(($C$4:$C$33="ZAN 5")*AU$4:AU$33)</f>
        <v/>
      </c>
      <c r="AV40" s="138">
        <f>SUMPRODUCT(($C$4:$C$33="ZAN 5")*AV$4:AV$33)</f>
        <v/>
      </c>
      <c r="AW40" s="138">
        <f>SUMPRODUCT(($C$4:$C$33="ZAN 5")*AW$4:AW$33)</f>
        <v/>
      </c>
      <c r="AX40" s="138">
        <f>SUMPRODUCT(($C$4:$C$33="ZAN 5")*AX$4:AX$33)</f>
        <v/>
      </c>
      <c r="AY40" s="138">
        <f>SUMPRODUCT(($C$4:$C$33="ZAN 5")*AY$4:AY$33)</f>
        <v/>
      </c>
      <c r="AZ40" s="138">
        <f>SUMPRODUCT(($C$4:$C$33="ZAN 5")*AZ$4:AZ$33)</f>
        <v/>
      </c>
      <c r="BA40" s="138">
        <f>SUMPRODUCT(($C$4:$C$33="ZAN 5")*BA$4:BA$33)</f>
        <v/>
      </c>
      <c r="BB40" s="138">
        <f>SUMPRODUCT(($C$4:$C$33="ZAN 5")*BB$4:BB$33)</f>
        <v/>
      </c>
    </row>
    <row r="41" ht="15" customHeight="1" s="91">
      <c r="B41" s="141" t="inlineStr">
        <is>
          <t>ZAN 6</t>
        </is>
      </c>
      <c r="D41" s="138">
        <f>SUM(E41:BB41)</f>
        <v/>
      </c>
      <c r="E41" s="138">
        <f>SUMPRODUCT(($C$4:$C$33="ZAN 6")*E$4:E$33)</f>
        <v/>
      </c>
      <c r="F41" s="138">
        <f>SUMPRODUCT(($C$4:$C$33="ZAN 6")*F$4:F$33)</f>
        <v/>
      </c>
      <c r="G41" s="138">
        <f>SUMPRODUCT(($C$4:$C$33="ZAN 6")*G$4:G$33)</f>
        <v/>
      </c>
      <c r="H41" s="138">
        <f>SUMPRODUCT(($C$4:$C$33="ZAN 6")*H$4:H$33)</f>
        <v/>
      </c>
      <c r="I41" s="138">
        <f>SUMPRODUCT(($C$4:$C$33="ZAN 6")*I$4:I$33)</f>
        <v/>
      </c>
      <c r="J41" s="138">
        <f>SUMPRODUCT(($C$4:$C$33="ZAN 6")*J$4:J$33)</f>
        <v/>
      </c>
      <c r="K41" s="138">
        <f>SUMPRODUCT(($C$4:$C$33="ZAN 6")*K$4:K$33)</f>
        <v/>
      </c>
      <c r="L41" s="138">
        <f>SUMPRODUCT(($C$4:$C$33="ZAN 6")*L$4:L$33)</f>
        <v/>
      </c>
      <c r="M41" s="138">
        <f>SUMPRODUCT(($C$4:$C$33="ZAN 6")*M$4:M$33)</f>
        <v/>
      </c>
      <c r="N41" s="138">
        <f>SUMPRODUCT(($C$4:$C$33="ZAN 6")*N$4:N$33)</f>
        <v/>
      </c>
      <c r="O41" s="138">
        <f>SUMPRODUCT(($C$4:$C$33="ZAN 6")*O$4:O$33)</f>
        <v/>
      </c>
      <c r="P41" s="138">
        <f>SUMPRODUCT(($C$4:$C$33="ZAN 6")*P$4:P$33)</f>
        <v/>
      </c>
      <c r="Q41" s="138">
        <f>SUMPRODUCT(($C$4:$C$33="ZAN 6")*Q$4:Q$33)</f>
        <v/>
      </c>
      <c r="R41" s="138">
        <f>SUMPRODUCT(($C$4:$C$33="ZAN 6")*R$4:R$33)</f>
        <v/>
      </c>
      <c r="S41" s="138">
        <f>SUMPRODUCT(($C$4:$C$33="ZAN 6")*S$4:S$33)</f>
        <v/>
      </c>
      <c r="T41" s="138">
        <f>SUMPRODUCT(($C$4:$C$33="ZAN 6")*T$4:T$33)</f>
        <v/>
      </c>
      <c r="U41" s="138">
        <f>SUMPRODUCT(($C$4:$C$33="ZAN 6")*U$4:U$33)</f>
        <v/>
      </c>
      <c r="V41" s="138">
        <f>SUMPRODUCT(($C$4:$C$33="ZAN 6")*V$4:V$33)</f>
        <v/>
      </c>
      <c r="W41" s="138">
        <f>SUMPRODUCT(($C$4:$C$33="ZAN 6")*W$4:W$33)</f>
        <v/>
      </c>
      <c r="X41" s="138">
        <f>SUMPRODUCT(($C$4:$C$33="ZAN 6")*X$4:X$33)</f>
        <v/>
      </c>
      <c r="Y41" s="138">
        <f>SUMPRODUCT(($C$4:$C$33="ZAN 6")*Y$4:Y$33)</f>
        <v/>
      </c>
      <c r="Z41" s="138">
        <f>SUMPRODUCT(($C$4:$C$33="ZAN 6")*Z$4:Z$33)</f>
        <v/>
      </c>
      <c r="AA41" s="138">
        <f>SUMPRODUCT(($C$4:$C$33="ZAN 6")*AA$4:AA$33)</f>
        <v/>
      </c>
      <c r="AB41" s="138">
        <f>SUMPRODUCT(($C$4:$C$33="ZAN 6")*AB$4:AB$33)</f>
        <v/>
      </c>
      <c r="AC41" s="138">
        <f>SUMPRODUCT(($C$4:$C$33="ZAN 6")*AC$4:AC$33)</f>
        <v/>
      </c>
      <c r="AD41" s="138">
        <f>SUMPRODUCT(($C$4:$C$33="ZAN 6")*AD$4:AD$33)</f>
        <v/>
      </c>
      <c r="AE41" s="138">
        <f>SUMPRODUCT(($C$4:$C$33="ZAN 6")*AE$4:AE$33)</f>
        <v/>
      </c>
      <c r="AF41" s="138">
        <f>SUMPRODUCT(($C$4:$C$33="ZAN 6")*AF$4:AF$33)</f>
        <v/>
      </c>
      <c r="AG41" s="138">
        <f>SUMPRODUCT(($C$4:$C$33="ZAN 6")*AG$4:AG$33)</f>
        <v/>
      </c>
      <c r="AH41" s="138">
        <f>SUMPRODUCT(($C$4:$C$33="ZAN 6")*AH$4:AH$33)</f>
        <v/>
      </c>
      <c r="AI41" s="138">
        <f>SUMPRODUCT(($C$4:$C$33="ZAN 6")*AI$4:AI$33)</f>
        <v/>
      </c>
      <c r="AJ41" s="138">
        <f>SUMPRODUCT(($C$4:$C$33="ZAN 6")*AJ$4:AJ$33)</f>
        <v/>
      </c>
      <c r="AK41" s="138">
        <f>SUMPRODUCT(($C$4:$C$33="ZAN 6")*AK$4:AK$33)</f>
        <v/>
      </c>
      <c r="AL41" s="138">
        <f>SUMPRODUCT(($C$4:$C$33="ZAN 6")*AL$4:AL$33)</f>
        <v/>
      </c>
      <c r="AM41" s="138">
        <f>SUMPRODUCT(($C$4:$C$33="ZAN 6")*AM$4:AM$33)</f>
        <v/>
      </c>
      <c r="AN41" s="138">
        <f>SUMPRODUCT(($C$4:$C$33="ZAN 6")*AN$4:AN$33)</f>
        <v/>
      </c>
      <c r="AO41" s="138">
        <f>SUMPRODUCT(($C$4:$C$33="ZAN 6")*AO$4:AO$33)</f>
        <v/>
      </c>
      <c r="AP41" s="138">
        <f>SUMPRODUCT(($C$4:$C$33="ZAN 6")*AP$4:AP$33)</f>
        <v/>
      </c>
      <c r="AQ41" s="138">
        <f>SUMPRODUCT(($C$4:$C$33="ZAN 6")*AQ$4:AQ$33)</f>
        <v/>
      </c>
      <c r="AR41" s="138">
        <f>SUMPRODUCT(($C$4:$C$33="ZAN 6")*AR$4:AR$33)</f>
        <v/>
      </c>
      <c r="AS41" s="138">
        <f>SUMPRODUCT(($C$4:$C$33="ZAN 6")*AS$4:AS$33)</f>
        <v/>
      </c>
      <c r="AT41" s="138">
        <f>SUMPRODUCT(($C$4:$C$33="ZAN 6")*AT$4:AT$33)</f>
        <v/>
      </c>
      <c r="AU41" s="138">
        <f>SUMPRODUCT(($C$4:$C$33="ZAN 6")*AU$4:AU$33)</f>
        <v/>
      </c>
      <c r="AV41" s="138">
        <f>SUMPRODUCT(($C$4:$C$33="ZAN 6")*AV$4:AV$33)</f>
        <v/>
      </c>
      <c r="AW41" s="138">
        <f>SUMPRODUCT(($C$4:$C$33="ZAN 6")*AW$4:AW$33)</f>
        <v/>
      </c>
      <c r="AX41" s="138">
        <f>SUMPRODUCT(($C$4:$C$33="ZAN 6")*AX$4:AX$33)</f>
        <v/>
      </c>
      <c r="AY41" s="138">
        <f>SUMPRODUCT(($C$4:$C$33="ZAN 6")*AY$4:AY$33)</f>
        <v/>
      </c>
      <c r="AZ41" s="138">
        <f>SUMPRODUCT(($C$4:$C$33="ZAN 6")*AZ$4:AZ$33)</f>
        <v/>
      </c>
      <c r="BA41" s="138">
        <f>SUMPRODUCT(($C$4:$C$33="ZAN 6")*BA$4:BA$33)</f>
        <v/>
      </c>
      <c r="BB41" s="138">
        <f>SUMPRODUCT(($C$4:$C$33="ZAN 6")*BB$4:BB$33)</f>
        <v/>
      </c>
    </row>
    <row r="42" ht="15" customHeight="1" s="91">
      <c r="B42" s="141" t="inlineStr">
        <is>
          <t>ZAN 7</t>
        </is>
      </c>
      <c r="D42" s="138">
        <f>SUM(E42:BB42)</f>
        <v/>
      </c>
      <c r="E42" s="138">
        <f>SUMPRODUCT(($C$4:$C$33="ZAN 7")*E$4:E$33)</f>
        <v/>
      </c>
      <c r="F42" s="138">
        <f>SUMPRODUCT(($C$4:$C$33="ZAN 7")*F$4:F$33)</f>
        <v/>
      </c>
      <c r="G42" s="138">
        <f>SUMPRODUCT(($C$4:$C$33="ZAN 7")*G$4:G$33)</f>
        <v/>
      </c>
      <c r="H42" s="138">
        <f>SUMPRODUCT(($C$4:$C$33="ZAN 7")*H$4:H$33)</f>
        <v/>
      </c>
      <c r="I42" s="138">
        <f>SUMPRODUCT(($C$4:$C$33="ZAN 7")*I$4:I$33)</f>
        <v/>
      </c>
      <c r="J42" s="138">
        <f>SUMPRODUCT(($C$4:$C$33="ZAN 7")*J$4:J$33)</f>
        <v/>
      </c>
      <c r="K42" s="138">
        <f>SUMPRODUCT(($C$4:$C$33="ZAN 7")*K$4:K$33)</f>
        <v/>
      </c>
      <c r="L42" s="138">
        <f>SUMPRODUCT(($C$4:$C$33="ZAN 7")*L$4:L$33)</f>
        <v/>
      </c>
      <c r="M42" s="138">
        <f>SUMPRODUCT(($C$4:$C$33="ZAN 7")*M$4:M$33)</f>
        <v/>
      </c>
      <c r="N42" s="138">
        <f>SUMPRODUCT(($C$4:$C$33="ZAN 7")*N$4:N$33)</f>
        <v/>
      </c>
      <c r="O42" s="138">
        <f>SUMPRODUCT(($C$4:$C$33="ZAN 7")*O$4:O$33)</f>
        <v/>
      </c>
      <c r="P42" s="138">
        <f>SUMPRODUCT(($C$4:$C$33="ZAN 7")*P$4:P$33)</f>
        <v/>
      </c>
      <c r="Q42" s="138">
        <f>SUMPRODUCT(($C$4:$C$33="ZAN 7")*Q$4:Q$33)</f>
        <v/>
      </c>
      <c r="R42" s="138">
        <f>SUMPRODUCT(($C$4:$C$33="ZAN 7")*R$4:R$33)</f>
        <v/>
      </c>
      <c r="S42" s="138">
        <f>SUMPRODUCT(($C$4:$C$33="ZAN 7")*S$4:S$33)</f>
        <v/>
      </c>
      <c r="T42" s="138">
        <f>SUMPRODUCT(($C$4:$C$33="ZAN 7")*T$4:T$33)</f>
        <v/>
      </c>
      <c r="U42" s="138">
        <f>SUMPRODUCT(($C$4:$C$33="ZAN 7")*U$4:U$33)</f>
        <v/>
      </c>
      <c r="V42" s="138">
        <f>SUMPRODUCT(($C$4:$C$33="ZAN 7")*V$4:V$33)</f>
        <v/>
      </c>
      <c r="W42" s="138">
        <f>SUMPRODUCT(($C$4:$C$33="ZAN 7")*W$4:W$33)</f>
        <v/>
      </c>
      <c r="X42" s="138">
        <f>SUMPRODUCT(($C$4:$C$33="ZAN 7")*X$4:X$33)</f>
        <v/>
      </c>
      <c r="Y42" s="138">
        <f>SUMPRODUCT(($C$4:$C$33="ZAN 7")*Y$4:Y$33)</f>
        <v/>
      </c>
      <c r="Z42" s="138">
        <f>SUMPRODUCT(($C$4:$C$33="ZAN 7")*Z$4:Z$33)</f>
        <v/>
      </c>
      <c r="AA42" s="138">
        <f>SUMPRODUCT(($C$4:$C$33="ZAN 7")*AA$4:AA$33)</f>
        <v/>
      </c>
      <c r="AB42" s="138">
        <f>SUMPRODUCT(($C$4:$C$33="ZAN 7")*AB$4:AB$33)</f>
        <v/>
      </c>
      <c r="AC42" s="138">
        <f>SUMPRODUCT(($C$4:$C$33="ZAN 7")*AC$4:AC$33)</f>
        <v/>
      </c>
      <c r="AD42" s="138">
        <f>SUMPRODUCT(($C$4:$C$33="ZAN 7")*AD$4:AD$33)</f>
        <v/>
      </c>
      <c r="AE42" s="138">
        <f>SUMPRODUCT(($C$4:$C$33="ZAN 7")*AE$4:AE$33)</f>
        <v/>
      </c>
      <c r="AF42" s="138">
        <f>SUMPRODUCT(($C$4:$C$33="ZAN 7")*AF$4:AF$33)</f>
        <v/>
      </c>
      <c r="AG42" s="138">
        <f>SUMPRODUCT(($C$4:$C$33="ZAN 7")*AG$4:AG$33)</f>
        <v/>
      </c>
      <c r="AH42" s="138">
        <f>SUMPRODUCT(($C$4:$C$33="ZAN 7")*AH$4:AH$33)</f>
        <v/>
      </c>
      <c r="AI42" s="138">
        <f>SUMPRODUCT(($C$4:$C$33="ZAN 7")*AI$4:AI$33)</f>
        <v/>
      </c>
      <c r="AJ42" s="138">
        <f>SUMPRODUCT(($C$4:$C$33="ZAN 7")*AJ$4:AJ$33)</f>
        <v/>
      </c>
      <c r="AK42" s="138">
        <f>SUMPRODUCT(($C$4:$C$33="ZAN 7")*AK$4:AK$33)</f>
        <v/>
      </c>
      <c r="AL42" s="138">
        <f>SUMPRODUCT(($C$4:$C$33="ZAN 7")*AL$4:AL$33)</f>
        <v/>
      </c>
      <c r="AM42" s="138">
        <f>SUMPRODUCT(($C$4:$C$33="ZAN 7")*AM$4:AM$33)</f>
        <v/>
      </c>
      <c r="AN42" s="138">
        <f>SUMPRODUCT(($C$4:$C$33="ZAN 7")*AN$4:AN$33)</f>
        <v/>
      </c>
      <c r="AO42" s="138">
        <f>SUMPRODUCT(($C$4:$C$33="ZAN 7")*AO$4:AO$33)</f>
        <v/>
      </c>
      <c r="AP42" s="138">
        <f>SUMPRODUCT(($C$4:$C$33="ZAN 7")*AP$4:AP$33)</f>
        <v/>
      </c>
      <c r="AQ42" s="138">
        <f>SUMPRODUCT(($C$4:$C$33="ZAN 7")*AQ$4:AQ$33)</f>
        <v/>
      </c>
      <c r="AR42" s="138">
        <f>SUMPRODUCT(($C$4:$C$33="ZAN 7")*AR$4:AR$33)</f>
        <v/>
      </c>
      <c r="AS42" s="138">
        <f>SUMPRODUCT(($C$4:$C$33="ZAN 7")*AS$4:AS$33)</f>
        <v/>
      </c>
      <c r="AT42" s="138">
        <f>SUMPRODUCT(($C$4:$C$33="ZAN 7")*AT$4:AT$33)</f>
        <v/>
      </c>
      <c r="AU42" s="138">
        <f>SUMPRODUCT(($C$4:$C$33="ZAN 7")*AU$4:AU$33)</f>
        <v/>
      </c>
      <c r="AV42" s="138">
        <f>SUMPRODUCT(($C$4:$C$33="ZAN 7")*AV$4:AV$33)</f>
        <v/>
      </c>
      <c r="AW42" s="138">
        <f>SUMPRODUCT(($C$4:$C$33="ZAN 7")*AW$4:AW$33)</f>
        <v/>
      </c>
      <c r="AX42" s="138">
        <f>SUMPRODUCT(($C$4:$C$33="ZAN 7")*AX$4:AX$33)</f>
        <v/>
      </c>
      <c r="AY42" s="138">
        <f>SUMPRODUCT(($C$4:$C$33="ZAN 7")*AY$4:AY$33)</f>
        <v/>
      </c>
      <c r="AZ42" s="138">
        <f>SUMPRODUCT(($C$4:$C$33="ZAN 7")*AZ$4:AZ$33)</f>
        <v/>
      </c>
      <c r="BA42" s="138">
        <f>SUMPRODUCT(($C$4:$C$33="ZAN 7")*BA$4:BA$33)</f>
        <v/>
      </c>
      <c r="BB42" s="138">
        <f>SUMPRODUCT(($C$4:$C$33="ZAN 7")*BB$4:BB$33)</f>
        <v/>
      </c>
    </row>
    <row r="43" ht="15" customHeight="1" s="91">
      <c r="B43" s="141" t="inlineStr">
        <is>
          <t>ZAN 8</t>
        </is>
      </c>
      <c r="D43" s="138">
        <f>SUM(E43:BB43)</f>
        <v/>
      </c>
      <c r="E43" s="138">
        <f>SUMPRODUCT(($C$4:$C$33="ZAN 8")*E$4:E$33)</f>
        <v/>
      </c>
      <c r="F43" s="138">
        <f>SUMPRODUCT(($C$4:$C$33="ZAN 8")*F$4:F$33)</f>
        <v/>
      </c>
      <c r="G43" s="138">
        <f>SUMPRODUCT(($C$4:$C$33="ZAN 8")*G$4:G$33)</f>
        <v/>
      </c>
      <c r="H43" s="138">
        <f>SUMPRODUCT(($C$4:$C$33="ZAN 8")*H$4:H$33)</f>
        <v/>
      </c>
      <c r="I43" s="138">
        <f>SUMPRODUCT(($C$4:$C$33="ZAN 8")*I$4:I$33)</f>
        <v/>
      </c>
      <c r="J43" s="138">
        <f>SUMPRODUCT(($C$4:$C$33="ZAN 8")*J$4:J$33)</f>
        <v/>
      </c>
      <c r="K43" s="138">
        <f>SUMPRODUCT(($C$4:$C$33="ZAN 8")*K$4:K$33)</f>
        <v/>
      </c>
      <c r="L43" s="138">
        <f>SUMPRODUCT(($C$4:$C$33="ZAN 8")*L$4:L$33)</f>
        <v/>
      </c>
      <c r="M43" s="138">
        <f>SUMPRODUCT(($C$4:$C$33="ZAN 8")*M$4:M$33)</f>
        <v/>
      </c>
      <c r="N43" s="138">
        <f>SUMPRODUCT(($C$4:$C$33="ZAN 8")*N$4:N$33)</f>
        <v/>
      </c>
      <c r="O43" s="138">
        <f>SUMPRODUCT(($C$4:$C$33="ZAN 8")*O$4:O$33)</f>
        <v/>
      </c>
      <c r="P43" s="138">
        <f>SUMPRODUCT(($C$4:$C$33="ZAN 8")*P$4:P$33)</f>
        <v/>
      </c>
      <c r="Q43" s="138">
        <f>SUMPRODUCT(($C$4:$C$33="ZAN 8")*Q$4:Q$33)</f>
        <v/>
      </c>
      <c r="R43" s="138">
        <f>SUMPRODUCT(($C$4:$C$33="ZAN 8")*R$4:R$33)</f>
        <v/>
      </c>
      <c r="S43" s="138">
        <f>SUMPRODUCT(($C$4:$C$33="ZAN 8")*S$4:S$33)</f>
        <v/>
      </c>
      <c r="T43" s="138">
        <f>SUMPRODUCT(($C$4:$C$33="ZAN 8")*T$4:T$33)</f>
        <v/>
      </c>
      <c r="U43" s="138">
        <f>SUMPRODUCT(($C$4:$C$33="ZAN 8")*U$4:U$33)</f>
        <v/>
      </c>
      <c r="V43" s="138">
        <f>SUMPRODUCT(($C$4:$C$33="ZAN 8")*V$4:V$33)</f>
        <v/>
      </c>
      <c r="W43" s="138">
        <f>SUMPRODUCT(($C$4:$C$33="ZAN 8")*W$4:W$33)</f>
        <v/>
      </c>
      <c r="X43" s="138">
        <f>SUMPRODUCT(($C$4:$C$33="ZAN 8")*X$4:X$33)</f>
        <v/>
      </c>
      <c r="Y43" s="138">
        <f>SUMPRODUCT(($C$4:$C$33="ZAN 8")*Y$4:Y$33)</f>
        <v/>
      </c>
      <c r="Z43" s="138">
        <f>SUMPRODUCT(($C$4:$C$33="ZAN 8")*Z$4:Z$33)</f>
        <v/>
      </c>
      <c r="AA43" s="138">
        <f>SUMPRODUCT(($C$4:$C$33="ZAN 8")*AA$4:AA$33)</f>
        <v/>
      </c>
      <c r="AB43" s="138">
        <f>SUMPRODUCT(($C$4:$C$33="ZAN 8")*AB$4:AB$33)</f>
        <v/>
      </c>
      <c r="AC43" s="138">
        <f>SUMPRODUCT(($C$4:$C$33="ZAN 8")*AC$4:AC$33)</f>
        <v/>
      </c>
      <c r="AD43" s="138">
        <f>SUMPRODUCT(($C$4:$C$33="ZAN 8")*AD$4:AD$33)</f>
        <v/>
      </c>
      <c r="AE43" s="138">
        <f>SUMPRODUCT(($C$4:$C$33="ZAN 8")*AE$4:AE$33)</f>
        <v/>
      </c>
      <c r="AF43" s="138">
        <f>SUMPRODUCT(($C$4:$C$33="ZAN 8")*AF$4:AF$33)</f>
        <v/>
      </c>
      <c r="AG43" s="138">
        <f>SUMPRODUCT(($C$4:$C$33="ZAN 8")*AG$4:AG$33)</f>
        <v/>
      </c>
      <c r="AH43" s="138">
        <f>SUMPRODUCT(($C$4:$C$33="ZAN 8")*AH$4:AH$33)</f>
        <v/>
      </c>
      <c r="AI43" s="138">
        <f>SUMPRODUCT(($C$4:$C$33="ZAN 8")*AI$4:AI$33)</f>
        <v/>
      </c>
      <c r="AJ43" s="138">
        <f>SUMPRODUCT(($C$4:$C$33="ZAN 8")*AJ$4:AJ$33)</f>
        <v/>
      </c>
      <c r="AK43" s="138">
        <f>SUMPRODUCT(($C$4:$C$33="ZAN 8")*AK$4:AK$33)</f>
        <v/>
      </c>
      <c r="AL43" s="138">
        <f>SUMPRODUCT(($C$4:$C$33="ZAN 8")*AL$4:AL$33)</f>
        <v/>
      </c>
      <c r="AM43" s="138">
        <f>SUMPRODUCT(($C$4:$C$33="ZAN 8")*AM$4:AM$33)</f>
        <v/>
      </c>
      <c r="AN43" s="138">
        <f>SUMPRODUCT(($C$4:$C$33="ZAN 8")*AN$4:AN$33)</f>
        <v/>
      </c>
      <c r="AO43" s="138">
        <f>SUMPRODUCT(($C$4:$C$33="ZAN 8")*AO$4:AO$33)</f>
        <v/>
      </c>
      <c r="AP43" s="138">
        <f>SUMPRODUCT(($C$4:$C$33="ZAN 8")*AP$4:AP$33)</f>
        <v/>
      </c>
      <c r="AQ43" s="138">
        <f>SUMPRODUCT(($C$4:$C$33="ZAN 8")*AQ$4:AQ$33)</f>
        <v/>
      </c>
      <c r="AR43" s="138">
        <f>SUMPRODUCT(($C$4:$C$33="ZAN 8")*AR$4:AR$33)</f>
        <v/>
      </c>
      <c r="AS43" s="138">
        <f>SUMPRODUCT(($C$4:$C$33="ZAN 8")*AS$4:AS$33)</f>
        <v/>
      </c>
      <c r="AT43" s="138">
        <f>SUMPRODUCT(($C$4:$C$33="ZAN 8")*AT$4:AT$33)</f>
        <v/>
      </c>
      <c r="AU43" s="138">
        <f>SUMPRODUCT(($C$4:$C$33="ZAN 8")*AU$4:AU$33)</f>
        <v/>
      </c>
      <c r="AV43" s="138">
        <f>SUMPRODUCT(($C$4:$C$33="ZAN 8")*AV$4:AV$33)</f>
        <v/>
      </c>
      <c r="AW43" s="138">
        <f>SUMPRODUCT(($C$4:$C$33="ZAN 8")*AW$4:AW$33)</f>
        <v/>
      </c>
      <c r="AX43" s="138">
        <f>SUMPRODUCT(($C$4:$C$33="ZAN 8")*AX$4:AX$33)</f>
        <v/>
      </c>
      <c r="AY43" s="138">
        <f>SUMPRODUCT(($C$4:$C$33="ZAN 8")*AY$4:AY$33)</f>
        <v/>
      </c>
      <c r="AZ43" s="138">
        <f>SUMPRODUCT(($C$4:$C$33="ZAN 8")*AZ$4:AZ$33)</f>
        <v/>
      </c>
      <c r="BA43" s="138">
        <f>SUMPRODUCT(($C$4:$C$33="ZAN 8")*BA$4:BA$33)</f>
        <v/>
      </c>
      <c r="BB43" s="138">
        <f>SUMPRODUCT(($C$4:$C$33="ZAN 8")*BB$4:BB$33)</f>
        <v/>
      </c>
    </row>
    <row r="44" ht="15" customHeight="1" s="91">
      <c r="B44" s="141" t="inlineStr">
        <is>
          <t>ZAN 9</t>
        </is>
      </c>
      <c r="D44" s="138">
        <f>SUM(E44:BB44)</f>
        <v/>
      </c>
      <c r="E44" s="138">
        <f>SUMPRODUCT(($C$4:$C$33="ZAN 9")*E$4:E$33)</f>
        <v/>
      </c>
      <c r="F44" s="138">
        <f>SUMPRODUCT(($C$4:$C$33="ZAN 9")*F$4:F$33)</f>
        <v/>
      </c>
      <c r="G44" s="138">
        <f>SUMPRODUCT(($C$4:$C$33="ZAN 9")*G$4:G$33)</f>
        <v/>
      </c>
      <c r="H44" s="138">
        <f>SUMPRODUCT(($C$4:$C$33="ZAN 9")*H$4:H$33)</f>
        <v/>
      </c>
      <c r="I44" s="138">
        <f>SUMPRODUCT(($C$4:$C$33="ZAN 9")*I$4:I$33)</f>
        <v/>
      </c>
      <c r="J44" s="138">
        <f>SUMPRODUCT(($C$4:$C$33="ZAN 9")*J$4:J$33)</f>
        <v/>
      </c>
      <c r="K44" s="138">
        <f>SUMPRODUCT(($C$4:$C$33="ZAN 9")*K$4:K$33)</f>
        <v/>
      </c>
      <c r="L44" s="138">
        <f>SUMPRODUCT(($C$4:$C$33="ZAN 9")*L$4:L$33)</f>
        <v/>
      </c>
      <c r="M44" s="138">
        <f>SUMPRODUCT(($C$4:$C$33="ZAN 9")*M$4:M$33)</f>
        <v/>
      </c>
      <c r="N44" s="138">
        <f>SUMPRODUCT(($C$4:$C$33="ZAN 9")*N$4:N$33)</f>
        <v/>
      </c>
      <c r="O44" s="138">
        <f>SUMPRODUCT(($C$4:$C$33="ZAN 9")*O$4:O$33)</f>
        <v/>
      </c>
      <c r="P44" s="138">
        <f>SUMPRODUCT(($C$4:$C$33="ZAN 9")*P$4:P$33)</f>
        <v/>
      </c>
      <c r="Q44" s="138">
        <f>SUMPRODUCT(($C$4:$C$33="ZAN 9")*Q$4:Q$33)</f>
        <v/>
      </c>
      <c r="R44" s="138">
        <f>SUMPRODUCT(($C$4:$C$33="ZAN 9")*R$4:R$33)</f>
        <v/>
      </c>
      <c r="S44" s="138">
        <f>SUMPRODUCT(($C$4:$C$33="ZAN 9")*S$4:S$33)</f>
        <v/>
      </c>
      <c r="T44" s="138">
        <f>SUMPRODUCT(($C$4:$C$33="ZAN 9")*T$4:T$33)</f>
        <v/>
      </c>
      <c r="U44" s="138">
        <f>SUMPRODUCT(($C$4:$C$33="ZAN 9")*U$4:U$33)</f>
        <v/>
      </c>
      <c r="V44" s="138">
        <f>SUMPRODUCT(($C$4:$C$33="ZAN 9")*V$4:V$33)</f>
        <v/>
      </c>
      <c r="W44" s="138">
        <f>SUMPRODUCT(($C$4:$C$33="ZAN 9")*W$4:W$33)</f>
        <v/>
      </c>
      <c r="X44" s="138">
        <f>SUMPRODUCT(($C$4:$C$33="ZAN 9")*X$4:X$33)</f>
        <v/>
      </c>
      <c r="Y44" s="138">
        <f>SUMPRODUCT(($C$4:$C$33="ZAN 9")*Y$4:Y$33)</f>
        <v/>
      </c>
      <c r="Z44" s="138">
        <f>SUMPRODUCT(($C$4:$C$33="ZAN 9")*Z$4:Z$33)</f>
        <v/>
      </c>
      <c r="AA44" s="138">
        <f>SUMPRODUCT(($C$4:$C$33="ZAN 9")*AA$4:AA$33)</f>
        <v/>
      </c>
      <c r="AB44" s="138">
        <f>SUMPRODUCT(($C$4:$C$33="ZAN 9")*AB$4:AB$33)</f>
        <v/>
      </c>
      <c r="AC44" s="138">
        <f>SUMPRODUCT(($C$4:$C$33="ZAN 9")*AC$4:AC$33)</f>
        <v/>
      </c>
      <c r="AD44" s="138">
        <f>SUMPRODUCT(($C$4:$C$33="ZAN 9")*AD$4:AD$33)</f>
        <v/>
      </c>
      <c r="AE44" s="138">
        <f>SUMPRODUCT(($C$4:$C$33="ZAN 9")*AE$4:AE$33)</f>
        <v/>
      </c>
      <c r="AF44" s="138">
        <f>SUMPRODUCT(($C$4:$C$33="ZAN 9")*AF$4:AF$33)</f>
        <v/>
      </c>
      <c r="AG44" s="138">
        <f>SUMPRODUCT(($C$4:$C$33="ZAN 9")*AG$4:AG$33)</f>
        <v/>
      </c>
      <c r="AH44" s="138">
        <f>SUMPRODUCT(($C$4:$C$33="ZAN 9")*AH$4:AH$33)</f>
        <v/>
      </c>
      <c r="AI44" s="138">
        <f>SUMPRODUCT(($C$4:$C$33="ZAN 9")*AI$4:AI$33)</f>
        <v/>
      </c>
      <c r="AJ44" s="138">
        <f>SUMPRODUCT(($C$4:$C$33="ZAN 9")*AJ$4:AJ$33)</f>
        <v/>
      </c>
      <c r="AK44" s="138">
        <f>SUMPRODUCT(($C$4:$C$33="ZAN 9")*AK$4:AK$33)</f>
        <v/>
      </c>
      <c r="AL44" s="138">
        <f>SUMPRODUCT(($C$4:$C$33="ZAN 9")*AL$4:AL$33)</f>
        <v/>
      </c>
      <c r="AM44" s="138">
        <f>SUMPRODUCT(($C$4:$C$33="ZAN 9")*AM$4:AM$33)</f>
        <v/>
      </c>
      <c r="AN44" s="138">
        <f>SUMPRODUCT(($C$4:$C$33="ZAN 9")*AN$4:AN$33)</f>
        <v/>
      </c>
      <c r="AO44" s="138">
        <f>SUMPRODUCT(($C$4:$C$33="ZAN 9")*AO$4:AO$33)</f>
        <v/>
      </c>
      <c r="AP44" s="138">
        <f>SUMPRODUCT(($C$4:$C$33="ZAN 9")*AP$4:AP$33)</f>
        <v/>
      </c>
      <c r="AQ44" s="138">
        <f>SUMPRODUCT(($C$4:$C$33="ZAN 9")*AQ$4:AQ$33)</f>
        <v/>
      </c>
      <c r="AR44" s="138">
        <f>SUMPRODUCT(($C$4:$C$33="ZAN 9")*AR$4:AR$33)</f>
        <v/>
      </c>
      <c r="AS44" s="138">
        <f>SUMPRODUCT(($C$4:$C$33="ZAN 9")*AS$4:AS$33)</f>
        <v/>
      </c>
      <c r="AT44" s="138">
        <f>SUMPRODUCT(($C$4:$C$33="ZAN 9")*AT$4:AT$33)</f>
        <v/>
      </c>
      <c r="AU44" s="138">
        <f>SUMPRODUCT(($C$4:$C$33="ZAN 9")*AU$4:AU$33)</f>
        <v/>
      </c>
      <c r="AV44" s="138">
        <f>SUMPRODUCT(($C$4:$C$33="ZAN 9")*AV$4:AV$33)</f>
        <v/>
      </c>
      <c r="AW44" s="138">
        <f>SUMPRODUCT(($C$4:$C$33="ZAN 9")*AW$4:AW$33)</f>
        <v/>
      </c>
      <c r="AX44" s="138">
        <f>SUMPRODUCT(($C$4:$C$33="ZAN 9")*AX$4:AX$33)</f>
        <v/>
      </c>
      <c r="AY44" s="138">
        <f>SUMPRODUCT(($C$4:$C$33="ZAN 9")*AY$4:AY$33)</f>
        <v/>
      </c>
      <c r="AZ44" s="138">
        <f>SUMPRODUCT(($C$4:$C$33="ZAN 9")*AZ$4:AZ$33)</f>
        <v/>
      </c>
      <c r="BA44" s="138">
        <f>SUMPRODUCT(($C$4:$C$33="ZAN 9")*BA$4:BA$33)</f>
        <v/>
      </c>
      <c r="BB44" s="138">
        <f>SUMPRODUCT(($C$4:$C$33="ZAN 9")*BB$4:BB$33)</f>
        <v/>
      </c>
    </row>
    <row r="45" ht="15" customHeight="1" s="91">
      <c r="B45" s="141" t="inlineStr">
        <is>
          <t>ZAN 10</t>
        </is>
      </c>
      <c r="D45" s="138">
        <f>SUM(E45:BB45)</f>
        <v/>
      </c>
      <c r="E45" s="138">
        <f>SUMPRODUCT(($C$4:$C$33="ZAN 10")*E$4:E$33)</f>
        <v/>
      </c>
      <c r="F45" s="138">
        <f>SUMPRODUCT(($C$4:$C$33="ZAN 10")*F$4:F$33)</f>
        <v/>
      </c>
      <c r="G45" s="138">
        <f>SUMPRODUCT(($C$4:$C$33="ZAN 10")*G$4:G$33)</f>
        <v/>
      </c>
      <c r="H45" s="138">
        <f>SUMPRODUCT(($C$4:$C$33="ZAN 10")*H$4:H$33)</f>
        <v/>
      </c>
      <c r="I45" s="138">
        <f>SUMPRODUCT(($C$4:$C$33="ZAN 10")*I$4:I$33)</f>
        <v/>
      </c>
      <c r="J45" s="138">
        <f>SUMPRODUCT(($C$4:$C$33="ZAN 10")*J$4:J$33)</f>
        <v/>
      </c>
      <c r="K45" s="138">
        <f>SUMPRODUCT(($C$4:$C$33="ZAN 10")*K$4:K$33)</f>
        <v/>
      </c>
      <c r="L45" s="138">
        <f>SUMPRODUCT(($C$4:$C$33="ZAN 10")*L$4:L$33)</f>
        <v/>
      </c>
      <c r="M45" s="138">
        <f>SUMPRODUCT(($C$4:$C$33="ZAN 10")*M$4:M$33)</f>
        <v/>
      </c>
      <c r="N45" s="138">
        <f>SUMPRODUCT(($C$4:$C$33="ZAN 10")*N$4:N$33)</f>
        <v/>
      </c>
      <c r="O45" s="138">
        <f>SUMPRODUCT(($C$4:$C$33="ZAN 10")*O$4:O$33)</f>
        <v/>
      </c>
      <c r="P45" s="138">
        <f>SUMPRODUCT(($C$4:$C$33="ZAN 10")*P$4:P$33)</f>
        <v/>
      </c>
      <c r="Q45" s="138">
        <f>SUMPRODUCT(($C$4:$C$33="ZAN 10")*Q$4:Q$33)</f>
        <v/>
      </c>
      <c r="R45" s="138">
        <f>SUMPRODUCT(($C$4:$C$33="ZAN 10")*R$4:R$33)</f>
        <v/>
      </c>
      <c r="S45" s="138">
        <f>SUMPRODUCT(($C$4:$C$33="ZAN 10")*S$4:S$33)</f>
        <v/>
      </c>
      <c r="T45" s="138">
        <f>SUMPRODUCT(($C$4:$C$33="ZAN 10")*T$4:T$33)</f>
        <v/>
      </c>
      <c r="U45" s="138">
        <f>SUMPRODUCT(($C$4:$C$33="ZAN 10")*U$4:U$33)</f>
        <v/>
      </c>
      <c r="V45" s="138">
        <f>SUMPRODUCT(($C$4:$C$33="ZAN 10")*V$4:V$33)</f>
        <v/>
      </c>
      <c r="W45" s="138">
        <f>SUMPRODUCT(($C$4:$C$33="ZAN 10")*W$4:W$33)</f>
        <v/>
      </c>
      <c r="X45" s="138">
        <f>SUMPRODUCT(($C$4:$C$33="ZAN 10")*X$4:X$33)</f>
        <v/>
      </c>
      <c r="Y45" s="138">
        <f>SUMPRODUCT(($C$4:$C$33="ZAN 10")*Y$4:Y$33)</f>
        <v/>
      </c>
      <c r="Z45" s="138">
        <f>SUMPRODUCT(($C$4:$C$33="ZAN 10")*Z$4:Z$33)</f>
        <v/>
      </c>
      <c r="AA45" s="138">
        <f>SUMPRODUCT(($C$4:$C$33="ZAN 10")*AA$4:AA$33)</f>
        <v/>
      </c>
      <c r="AB45" s="138">
        <f>SUMPRODUCT(($C$4:$C$33="ZAN 10")*AB$4:AB$33)</f>
        <v/>
      </c>
      <c r="AC45" s="138">
        <f>SUMPRODUCT(($C$4:$C$33="ZAN 10")*AC$4:AC$33)</f>
        <v/>
      </c>
      <c r="AD45" s="138">
        <f>SUMPRODUCT(($C$4:$C$33="ZAN 10")*AD$4:AD$33)</f>
        <v/>
      </c>
      <c r="AE45" s="138">
        <f>SUMPRODUCT(($C$4:$C$33="ZAN 10")*AE$4:AE$33)</f>
        <v/>
      </c>
      <c r="AF45" s="138">
        <f>SUMPRODUCT(($C$4:$C$33="ZAN 10")*AF$4:AF$33)</f>
        <v/>
      </c>
      <c r="AG45" s="138">
        <f>SUMPRODUCT(($C$4:$C$33="ZAN 10")*AG$4:AG$33)</f>
        <v/>
      </c>
      <c r="AH45" s="138">
        <f>SUMPRODUCT(($C$4:$C$33="ZAN 10")*AH$4:AH$33)</f>
        <v/>
      </c>
      <c r="AI45" s="138">
        <f>SUMPRODUCT(($C$4:$C$33="ZAN 10")*AI$4:AI$33)</f>
        <v/>
      </c>
      <c r="AJ45" s="138">
        <f>SUMPRODUCT(($C$4:$C$33="ZAN 10")*AJ$4:AJ$33)</f>
        <v/>
      </c>
      <c r="AK45" s="138">
        <f>SUMPRODUCT(($C$4:$C$33="ZAN 10")*AK$4:AK$33)</f>
        <v/>
      </c>
      <c r="AL45" s="138">
        <f>SUMPRODUCT(($C$4:$C$33="ZAN 10")*AL$4:AL$33)</f>
        <v/>
      </c>
      <c r="AM45" s="138">
        <f>SUMPRODUCT(($C$4:$C$33="ZAN 10")*AM$4:AM$33)</f>
        <v/>
      </c>
      <c r="AN45" s="138">
        <f>SUMPRODUCT(($C$4:$C$33="ZAN 10")*AN$4:AN$33)</f>
        <v/>
      </c>
      <c r="AO45" s="138">
        <f>SUMPRODUCT(($C$4:$C$33="ZAN 10")*AO$4:AO$33)</f>
        <v/>
      </c>
      <c r="AP45" s="138">
        <f>SUMPRODUCT(($C$4:$C$33="ZAN 10")*AP$4:AP$33)</f>
        <v/>
      </c>
      <c r="AQ45" s="138">
        <f>SUMPRODUCT(($C$4:$C$33="ZAN 10")*AQ$4:AQ$33)</f>
        <v/>
      </c>
      <c r="AR45" s="138">
        <f>SUMPRODUCT(($C$4:$C$33="ZAN 10")*AR$4:AR$33)</f>
        <v/>
      </c>
      <c r="AS45" s="138">
        <f>SUMPRODUCT(($C$4:$C$33="ZAN 10")*AS$4:AS$33)</f>
        <v/>
      </c>
      <c r="AT45" s="138">
        <f>SUMPRODUCT(($C$4:$C$33="ZAN 10")*AT$4:AT$33)</f>
        <v/>
      </c>
      <c r="AU45" s="138">
        <f>SUMPRODUCT(($C$4:$C$33="ZAN 10")*AU$4:AU$33)</f>
        <v/>
      </c>
      <c r="AV45" s="138">
        <f>SUMPRODUCT(($C$4:$C$33="ZAN 10")*AV$4:AV$33)</f>
        <v/>
      </c>
      <c r="AW45" s="138">
        <f>SUMPRODUCT(($C$4:$C$33="ZAN 10")*AW$4:AW$33)</f>
        <v/>
      </c>
      <c r="AX45" s="138">
        <f>SUMPRODUCT(($C$4:$C$33="ZAN 10")*AX$4:AX$33)</f>
        <v/>
      </c>
      <c r="AY45" s="138">
        <f>SUMPRODUCT(($C$4:$C$33="ZAN 10")*AY$4:AY$33)</f>
        <v/>
      </c>
      <c r="AZ45" s="138">
        <f>SUMPRODUCT(($C$4:$C$33="ZAN 10")*AZ$4:AZ$33)</f>
        <v/>
      </c>
      <c r="BA45" s="138">
        <f>SUMPRODUCT(($C$4:$C$33="ZAN 10")*BA$4:BA$33)</f>
        <v/>
      </c>
      <c r="BB45" s="138">
        <f>SUMPRODUCT(($C$4:$C$33="ZAN 10")*BB$4:BB$33)</f>
        <v/>
      </c>
    </row>
    <row r="46" ht="15" customHeight="1" s="91">
      <c r="B46" s="141" t="inlineStr">
        <is>
          <t>ZAN 11</t>
        </is>
      </c>
      <c r="D46" s="138">
        <f>SUM(E46:BB46)</f>
        <v/>
      </c>
      <c r="E46" s="138">
        <f>SUMPRODUCT(($C$4:$C$33="ZAN 11")*E$4:E$33)</f>
        <v/>
      </c>
      <c r="F46" s="138">
        <f>SUMPRODUCT(($C$4:$C$33="ZAN 11")*F$4:F$33)</f>
        <v/>
      </c>
      <c r="G46" s="138">
        <f>SUMPRODUCT(($C$4:$C$33="ZAN 11")*G$4:G$33)</f>
        <v/>
      </c>
      <c r="H46" s="138">
        <f>SUMPRODUCT(($C$4:$C$33="ZAN 11")*H$4:H$33)</f>
        <v/>
      </c>
      <c r="I46" s="138">
        <f>SUMPRODUCT(($C$4:$C$33="ZAN 11")*I$4:I$33)</f>
        <v/>
      </c>
      <c r="J46" s="138">
        <f>SUMPRODUCT(($C$4:$C$33="ZAN 11")*J$4:J$33)</f>
        <v/>
      </c>
      <c r="K46" s="138">
        <f>SUMPRODUCT(($C$4:$C$33="ZAN 11")*K$4:K$33)</f>
        <v/>
      </c>
      <c r="L46" s="138">
        <f>SUMPRODUCT(($C$4:$C$33="ZAN 11")*L$4:L$33)</f>
        <v/>
      </c>
      <c r="M46" s="138">
        <f>SUMPRODUCT(($C$4:$C$33="ZAN 11")*M$4:M$33)</f>
        <v/>
      </c>
      <c r="N46" s="138">
        <f>SUMPRODUCT(($C$4:$C$33="ZAN 11")*N$4:N$33)</f>
        <v/>
      </c>
      <c r="O46" s="138">
        <f>SUMPRODUCT(($C$4:$C$33="ZAN 11")*O$4:O$33)</f>
        <v/>
      </c>
      <c r="P46" s="138">
        <f>SUMPRODUCT(($C$4:$C$33="ZAN 11")*P$4:P$33)</f>
        <v/>
      </c>
      <c r="Q46" s="138">
        <f>SUMPRODUCT(($C$4:$C$33="ZAN 11")*Q$4:Q$33)</f>
        <v/>
      </c>
      <c r="R46" s="138">
        <f>SUMPRODUCT(($C$4:$C$33="ZAN 11")*R$4:R$33)</f>
        <v/>
      </c>
      <c r="S46" s="138">
        <f>SUMPRODUCT(($C$4:$C$33="ZAN 11")*S$4:S$33)</f>
        <v/>
      </c>
      <c r="T46" s="138">
        <f>SUMPRODUCT(($C$4:$C$33="ZAN 11")*T$4:T$33)</f>
        <v/>
      </c>
      <c r="U46" s="138">
        <f>SUMPRODUCT(($C$4:$C$33="ZAN 11")*U$4:U$33)</f>
        <v/>
      </c>
      <c r="V46" s="138">
        <f>SUMPRODUCT(($C$4:$C$33="ZAN 11")*V$4:V$33)</f>
        <v/>
      </c>
      <c r="W46" s="138">
        <f>SUMPRODUCT(($C$4:$C$33="ZAN 11")*W$4:W$33)</f>
        <v/>
      </c>
      <c r="X46" s="138">
        <f>SUMPRODUCT(($C$4:$C$33="ZAN 11")*X$4:X$33)</f>
        <v/>
      </c>
      <c r="Y46" s="138">
        <f>SUMPRODUCT(($C$4:$C$33="ZAN 11")*Y$4:Y$33)</f>
        <v/>
      </c>
      <c r="Z46" s="138">
        <f>SUMPRODUCT(($C$4:$C$33="ZAN 11")*Z$4:Z$33)</f>
        <v/>
      </c>
      <c r="AA46" s="138">
        <f>SUMPRODUCT(($C$4:$C$33="ZAN 11")*AA$4:AA$33)</f>
        <v/>
      </c>
      <c r="AB46" s="138">
        <f>SUMPRODUCT(($C$4:$C$33="ZAN 11")*AB$4:AB$33)</f>
        <v/>
      </c>
      <c r="AC46" s="138">
        <f>SUMPRODUCT(($C$4:$C$33="ZAN 11")*AC$4:AC$33)</f>
        <v/>
      </c>
      <c r="AD46" s="138">
        <f>SUMPRODUCT(($C$4:$C$33="ZAN 11")*AD$4:AD$33)</f>
        <v/>
      </c>
      <c r="AE46" s="138">
        <f>SUMPRODUCT(($C$4:$C$33="ZAN 11")*AE$4:AE$33)</f>
        <v/>
      </c>
      <c r="AF46" s="138">
        <f>SUMPRODUCT(($C$4:$C$33="ZAN 11")*AF$4:AF$33)</f>
        <v/>
      </c>
      <c r="AG46" s="138">
        <f>SUMPRODUCT(($C$4:$C$33="ZAN 11")*AG$4:AG$33)</f>
        <v/>
      </c>
      <c r="AH46" s="138">
        <f>SUMPRODUCT(($C$4:$C$33="ZAN 11")*AH$4:AH$33)</f>
        <v/>
      </c>
      <c r="AI46" s="138">
        <f>SUMPRODUCT(($C$4:$C$33="ZAN 11")*AI$4:AI$33)</f>
        <v/>
      </c>
      <c r="AJ46" s="138">
        <f>SUMPRODUCT(($C$4:$C$33="ZAN 11")*AJ$4:AJ$33)</f>
        <v/>
      </c>
      <c r="AK46" s="138">
        <f>SUMPRODUCT(($C$4:$C$33="ZAN 11")*AK$4:AK$33)</f>
        <v/>
      </c>
      <c r="AL46" s="138">
        <f>SUMPRODUCT(($C$4:$C$33="ZAN 11")*AL$4:AL$33)</f>
        <v/>
      </c>
      <c r="AM46" s="138">
        <f>SUMPRODUCT(($C$4:$C$33="ZAN 11")*AM$4:AM$33)</f>
        <v/>
      </c>
      <c r="AN46" s="138">
        <f>SUMPRODUCT(($C$4:$C$33="ZAN 11")*AN$4:AN$33)</f>
        <v/>
      </c>
      <c r="AO46" s="138">
        <f>SUMPRODUCT(($C$4:$C$33="ZAN 11")*AO$4:AO$33)</f>
        <v/>
      </c>
      <c r="AP46" s="138">
        <f>SUMPRODUCT(($C$4:$C$33="ZAN 11")*AP$4:AP$33)</f>
        <v/>
      </c>
      <c r="AQ46" s="138">
        <f>SUMPRODUCT(($C$4:$C$33="ZAN 11")*AQ$4:AQ$33)</f>
        <v/>
      </c>
      <c r="AR46" s="138">
        <f>SUMPRODUCT(($C$4:$C$33="ZAN 11")*AR$4:AR$33)</f>
        <v/>
      </c>
      <c r="AS46" s="138">
        <f>SUMPRODUCT(($C$4:$C$33="ZAN 11")*AS$4:AS$33)</f>
        <v/>
      </c>
      <c r="AT46" s="138">
        <f>SUMPRODUCT(($C$4:$C$33="ZAN 11")*AT$4:AT$33)</f>
        <v/>
      </c>
      <c r="AU46" s="138">
        <f>SUMPRODUCT(($C$4:$C$33="ZAN 11")*AU$4:AU$33)</f>
        <v/>
      </c>
      <c r="AV46" s="138">
        <f>SUMPRODUCT(($C$4:$C$33="ZAN 11")*AV$4:AV$33)</f>
        <v/>
      </c>
      <c r="AW46" s="138">
        <f>SUMPRODUCT(($C$4:$C$33="ZAN 11")*AW$4:AW$33)</f>
        <v/>
      </c>
      <c r="AX46" s="138">
        <f>SUMPRODUCT(($C$4:$C$33="ZAN 11")*AX$4:AX$33)</f>
        <v/>
      </c>
      <c r="AY46" s="138">
        <f>SUMPRODUCT(($C$4:$C$33="ZAN 11")*AY$4:AY$33)</f>
        <v/>
      </c>
      <c r="AZ46" s="138">
        <f>SUMPRODUCT(($C$4:$C$33="ZAN 11")*AZ$4:AZ$33)</f>
        <v/>
      </c>
      <c r="BA46" s="138">
        <f>SUMPRODUCT(($C$4:$C$33="ZAN 11")*BA$4:BA$33)</f>
        <v/>
      </c>
      <c r="BB46" s="138">
        <f>SUMPRODUCT(($C$4:$C$33="ZAN 11")*BB$4:BB$33)</f>
        <v/>
      </c>
    </row>
    <row r="47" ht="15" customHeight="1" s="91">
      <c r="B47" s="141" t="inlineStr">
        <is>
          <t>ZAN 12</t>
        </is>
      </c>
      <c r="D47" s="138">
        <f>SUM(E47:BB47)</f>
        <v/>
      </c>
      <c r="E47" s="138">
        <f>SUMPRODUCT(($C$4:$C$33="ZAN 12")*E$4:E$33)</f>
        <v/>
      </c>
      <c r="F47" s="138">
        <f>SUMPRODUCT(($C$4:$C$33="ZAN 12")*F$4:F$33)</f>
        <v/>
      </c>
      <c r="G47" s="138">
        <f>SUMPRODUCT(($C$4:$C$33="ZAN 12")*G$4:G$33)</f>
        <v/>
      </c>
      <c r="H47" s="138">
        <f>SUMPRODUCT(($C$4:$C$33="ZAN 12")*H$4:H$33)</f>
        <v/>
      </c>
      <c r="I47" s="138">
        <f>SUMPRODUCT(($C$4:$C$33="ZAN 12")*I$4:I$33)</f>
        <v/>
      </c>
      <c r="J47" s="138">
        <f>SUMPRODUCT(($C$4:$C$33="ZAN 12")*J$4:J$33)</f>
        <v/>
      </c>
      <c r="K47" s="138">
        <f>SUMPRODUCT(($C$4:$C$33="ZAN 12")*K$4:K$33)</f>
        <v/>
      </c>
      <c r="L47" s="138">
        <f>SUMPRODUCT(($C$4:$C$33="ZAN 12")*L$4:L$33)</f>
        <v/>
      </c>
      <c r="M47" s="138">
        <f>SUMPRODUCT(($C$4:$C$33="ZAN 12")*M$4:M$33)</f>
        <v/>
      </c>
      <c r="N47" s="138">
        <f>SUMPRODUCT(($C$4:$C$33="ZAN 12")*N$4:N$33)</f>
        <v/>
      </c>
      <c r="O47" s="138">
        <f>SUMPRODUCT(($C$4:$C$33="ZAN 12")*O$4:O$33)</f>
        <v/>
      </c>
      <c r="P47" s="138">
        <f>SUMPRODUCT(($C$4:$C$33="ZAN 12")*P$4:P$33)</f>
        <v/>
      </c>
      <c r="Q47" s="138">
        <f>SUMPRODUCT(($C$4:$C$33="ZAN 12")*Q$4:Q$33)</f>
        <v/>
      </c>
      <c r="R47" s="138">
        <f>SUMPRODUCT(($C$4:$C$33="ZAN 12")*R$4:R$33)</f>
        <v/>
      </c>
      <c r="S47" s="138">
        <f>SUMPRODUCT(($C$4:$C$33="ZAN 12")*S$4:S$33)</f>
        <v/>
      </c>
      <c r="T47" s="138">
        <f>SUMPRODUCT(($C$4:$C$33="ZAN 12")*T$4:T$33)</f>
        <v/>
      </c>
      <c r="U47" s="138">
        <f>SUMPRODUCT(($C$4:$C$33="ZAN 12")*U$4:U$33)</f>
        <v/>
      </c>
      <c r="V47" s="138">
        <f>SUMPRODUCT(($C$4:$C$33="ZAN 12")*V$4:V$33)</f>
        <v/>
      </c>
      <c r="W47" s="138">
        <f>SUMPRODUCT(($C$4:$C$33="ZAN 12")*W$4:W$33)</f>
        <v/>
      </c>
      <c r="X47" s="138">
        <f>SUMPRODUCT(($C$4:$C$33="ZAN 12")*X$4:X$33)</f>
        <v/>
      </c>
      <c r="Y47" s="138">
        <f>SUMPRODUCT(($C$4:$C$33="ZAN 12")*Y$4:Y$33)</f>
        <v/>
      </c>
      <c r="Z47" s="138">
        <f>SUMPRODUCT(($C$4:$C$33="ZAN 12")*Z$4:Z$33)</f>
        <v/>
      </c>
      <c r="AA47" s="138">
        <f>SUMPRODUCT(($C$4:$C$33="ZAN 12")*AA$4:AA$33)</f>
        <v/>
      </c>
      <c r="AB47" s="138">
        <f>SUMPRODUCT(($C$4:$C$33="ZAN 12")*AB$4:AB$33)</f>
        <v/>
      </c>
      <c r="AC47" s="138">
        <f>SUMPRODUCT(($C$4:$C$33="ZAN 12")*AC$4:AC$33)</f>
        <v/>
      </c>
      <c r="AD47" s="138">
        <f>SUMPRODUCT(($C$4:$C$33="ZAN 12")*AD$4:AD$33)</f>
        <v/>
      </c>
      <c r="AE47" s="138">
        <f>SUMPRODUCT(($C$4:$C$33="ZAN 12")*AE$4:AE$33)</f>
        <v/>
      </c>
      <c r="AF47" s="138">
        <f>SUMPRODUCT(($C$4:$C$33="ZAN 12")*AF$4:AF$33)</f>
        <v/>
      </c>
      <c r="AG47" s="138">
        <f>SUMPRODUCT(($C$4:$C$33="ZAN 12")*AG$4:AG$33)</f>
        <v/>
      </c>
      <c r="AH47" s="138">
        <f>SUMPRODUCT(($C$4:$C$33="ZAN 12")*AH$4:AH$33)</f>
        <v/>
      </c>
      <c r="AI47" s="138">
        <f>SUMPRODUCT(($C$4:$C$33="ZAN 12")*AI$4:AI$33)</f>
        <v/>
      </c>
      <c r="AJ47" s="138">
        <f>SUMPRODUCT(($C$4:$C$33="ZAN 12")*AJ$4:AJ$33)</f>
        <v/>
      </c>
      <c r="AK47" s="138">
        <f>SUMPRODUCT(($C$4:$C$33="ZAN 12")*AK$4:AK$33)</f>
        <v/>
      </c>
      <c r="AL47" s="138">
        <f>SUMPRODUCT(($C$4:$C$33="ZAN 12")*AL$4:AL$33)</f>
        <v/>
      </c>
      <c r="AM47" s="138">
        <f>SUMPRODUCT(($C$4:$C$33="ZAN 12")*AM$4:AM$33)</f>
        <v/>
      </c>
      <c r="AN47" s="138">
        <f>SUMPRODUCT(($C$4:$C$33="ZAN 12")*AN$4:AN$33)</f>
        <v/>
      </c>
      <c r="AO47" s="138">
        <f>SUMPRODUCT(($C$4:$C$33="ZAN 12")*AO$4:AO$33)</f>
        <v/>
      </c>
      <c r="AP47" s="138">
        <f>SUMPRODUCT(($C$4:$C$33="ZAN 12")*AP$4:AP$33)</f>
        <v/>
      </c>
      <c r="AQ47" s="138">
        <f>SUMPRODUCT(($C$4:$C$33="ZAN 12")*AQ$4:AQ$33)</f>
        <v/>
      </c>
      <c r="AR47" s="138">
        <f>SUMPRODUCT(($C$4:$C$33="ZAN 12")*AR$4:AR$33)</f>
        <v/>
      </c>
      <c r="AS47" s="138">
        <f>SUMPRODUCT(($C$4:$C$33="ZAN 12")*AS$4:AS$33)</f>
        <v/>
      </c>
      <c r="AT47" s="138">
        <f>SUMPRODUCT(($C$4:$C$33="ZAN 12")*AT$4:AT$33)</f>
        <v/>
      </c>
      <c r="AU47" s="138">
        <f>SUMPRODUCT(($C$4:$C$33="ZAN 12")*AU$4:AU$33)</f>
        <v/>
      </c>
      <c r="AV47" s="138">
        <f>SUMPRODUCT(($C$4:$C$33="ZAN 12")*AV$4:AV$33)</f>
        <v/>
      </c>
      <c r="AW47" s="138">
        <f>SUMPRODUCT(($C$4:$C$33="ZAN 12")*AW$4:AW$33)</f>
        <v/>
      </c>
      <c r="AX47" s="138">
        <f>SUMPRODUCT(($C$4:$C$33="ZAN 12")*AX$4:AX$33)</f>
        <v/>
      </c>
      <c r="AY47" s="138">
        <f>SUMPRODUCT(($C$4:$C$33="ZAN 12")*AY$4:AY$33)</f>
        <v/>
      </c>
      <c r="AZ47" s="138">
        <f>SUMPRODUCT(($C$4:$C$33="ZAN 12")*AZ$4:AZ$33)</f>
        <v/>
      </c>
      <c r="BA47" s="138">
        <f>SUMPRODUCT(($C$4:$C$33="ZAN 12")*BA$4:BA$33)</f>
        <v/>
      </c>
      <c r="BB47" s="138">
        <f>SUMPRODUCT(($C$4:$C$33="ZAN 12")*BB$4:BB$33)</f>
        <v/>
      </c>
    </row>
    <row r="48" ht="15" customHeight="1" s="91">
      <c r="B48" s="141" t="inlineStr">
        <is>
          <t>ZAN 13</t>
        </is>
      </c>
      <c r="D48" s="138">
        <f>SUM(E48:BB48)</f>
        <v/>
      </c>
      <c r="E48" s="138">
        <f>SUMPRODUCT(($C$4:$C$33="ZAN 13")*E$4:E$33)</f>
        <v/>
      </c>
      <c r="F48" s="138">
        <f>SUMPRODUCT(($C$4:$C$33="ZAN 13")*F$4:F$33)</f>
        <v/>
      </c>
      <c r="G48" s="138">
        <f>SUMPRODUCT(($C$4:$C$33="ZAN 13")*G$4:G$33)</f>
        <v/>
      </c>
      <c r="H48" s="138">
        <f>SUMPRODUCT(($C$4:$C$33="ZAN 13")*H$4:H$33)</f>
        <v/>
      </c>
      <c r="I48" s="138">
        <f>SUMPRODUCT(($C$4:$C$33="ZAN 13")*I$4:I$33)</f>
        <v/>
      </c>
      <c r="J48" s="138">
        <f>SUMPRODUCT(($C$4:$C$33="ZAN 13")*J$4:J$33)</f>
        <v/>
      </c>
      <c r="K48" s="138">
        <f>SUMPRODUCT(($C$4:$C$33="ZAN 13")*K$4:K$33)</f>
        <v/>
      </c>
      <c r="L48" s="138">
        <f>SUMPRODUCT(($C$4:$C$33="ZAN 13")*L$4:L$33)</f>
        <v/>
      </c>
      <c r="M48" s="138">
        <f>SUMPRODUCT(($C$4:$C$33="ZAN 13")*M$4:M$33)</f>
        <v/>
      </c>
      <c r="N48" s="138">
        <f>SUMPRODUCT(($C$4:$C$33="ZAN 13")*N$4:N$33)</f>
        <v/>
      </c>
      <c r="O48" s="138">
        <f>SUMPRODUCT(($C$4:$C$33="ZAN 13")*O$4:O$33)</f>
        <v/>
      </c>
      <c r="P48" s="138">
        <f>SUMPRODUCT(($C$4:$C$33="ZAN 13")*P$4:P$33)</f>
        <v/>
      </c>
      <c r="Q48" s="138">
        <f>SUMPRODUCT(($C$4:$C$33="ZAN 13")*Q$4:Q$33)</f>
        <v/>
      </c>
      <c r="R48" s="138">
        <f>SUMPRODUCT(($C$4:$C$33="ZAN 13")*R$4:R$33)</f>
        <v/>
      </c>
      <c r="S48" s="138">
        <f>SUMPRODUCT(($C$4:$C$33="ZAN 13")*S$4:S$33)</f>
        <v/>
      </c>
      <c r="T48" s="138">
        <f>SUMPRODUCT(($C$4:$C$33="ZAN 13")*T$4:T$33)</f>
        <v/>
      </c>
      <c r="U48" s="138">
        <f>SUMPRODUCT(($C$4:$C$33="ZAN 13")*U$4:U$33)</f>
        <v/>
      </c>
      <c r="V48" s="138">
        <f>SUMPRODUCT(($C$4:$C$33="ZAN 13")*V$4:V$33)</f>
        <v/>
      </c>
      <c r="W48" s="138">
        <f>SUMPRODUCT(($C$4:$C$33="ZAN 13")*W$4:W$33)</f>
        <v/>
      </c>
      <c r="X48" s="138">
        <f>SUMPRODUCT(($C$4:$C$33="ZAN 13")*X$4:X$33)</f>
        <v/>
      </c>
      <c r="Y48" s="138">
        <f>SUMPRODUCT(($C$4:$C$33="ZAN 13")*Y$4:Y$33)</f>
        <v/>
      </c>
      <c r="Z48" s="138">
        <f>SUMPRODUCT(($C$4:$C$33="ZAN 13")*Z$4:Z$33)</f>
        <v/>
      </c>
      <c r="AA48" s="138">
        <f>SUMPRODUCT(($C$4:$C$33="ZAN 13")*AA$4:AA$33)</f>
        <v/>
      </c>
      <c r="AB48" s="138">
        <f>SUMPRODUCT(($C$4:$C$33="ZAN 13")*AB$4:AB$33)</f>
        <v/>
      </c>
      <c r="AC48" s="138">
        <f>SUMPRODUCT(($C$4:$C$33="ZAN 13")*AC$4:AC$33)</f>
        <v/>
      </c>
      <c r="AD48" s="138">
        <f>SUMPRODUCT(($C$4:$C$33="ZAN 13")*AD$4:AD$33)</f>
        <v/>
      </c>
      <c r="AE48" s="138">
        <f>SUMPRODUCT(($C$4:$C$33="ZAN 13")*AE$4:AE$33)</f>
        <v/>
      </c>
      <c r="AF48" s="138">
        <f>SUMPRODUCT(($C$4:$C$33="ZAN 13")*AF$4:AF$33)</f>
        <v/>
      </c>
      <c r="AG48" s="138">
        <f>SUMPRODUCT(($C$4:$C$33="ZAN 13")*AG$4:AG$33)</f>
        <v/>
      </c>
      <c r="AH48" s="138">
        <f>SUMPRODUCT(($C$4:$C$33="ZAN 13")*AH$4:AH$33)</f>
        <v/>
      </c>
      <c r="AI48" s="138">
        <f>SUMPRODUCT(($C$4:$C$33="ZAN 13")*AI$4:AI$33)</f>
        <v/>
      </c>
      <c r="AJ48" s="138">
        <f>SUMPRODUCT(($C$4:$C$33="ZAN 13")*AJ$4:AJ$33)</f>
        <v/>
      </c>
      <c r="AK48" s="138">
        <f>SUMPRODUCT(($C$4:$C$33="ZAN 13")*AK$4:AK$33)</f>
        <v/>
      </c>
      <c r="AL48" s="138">
        <f>SUMPRODUCT(($C$4:$C$33="ZAN 13")*AL$4:AL$33)</f>
        <v/>
      </c>
      <c r="AM48" s="138">
        <f>SUMPRODUCT(($C$4:$C$33="ZAN 13")*AM$4:AM$33)</f>
        <v/>
      </c>
      <c r="AN48" s="138">
        <f>SUMPRODUCT(($C$4:$C$33="ZAN 13")*AN$4:AN$33)</f>
        <v/>
      </c>
      <c r="AO48" s="138">
        <f>SUMPRODUCT(($C$4:$C$33="ZAN 13")*AO$4:AO$33)</f>
        <v/>
      </c>
      <c r="AP48" s="138">
        <f>SUMPRODUCT(($C$4:$C$33="ZAN 13")*AP$4:AP$33)</f>
        <v/>
      </c>
      <c r="AQ48" s="138">
        <f>SUMPRODUCT(($C$4:$C$33="ZAN 13")*AQ$4:AQ$33)</f>
        <v/>
      </c>
      <c r="AR48" s="138">
        <f>SUMPRODUCT(($C$4:$C$33="ZAN 13")*AR$4:AR$33)</f>
        <v/>
      </c>
      <c r="AS48" s="138">
        <f>SUMPRODUCT(($C$4:$C$33="ZAN 13")*AS$4:AS$33)</f>
        <v/>
      </c>
      <c r="AT48" s="138">
        <f>SUMPRODUCT(($C$4:$C$33="ZAN 13")*AT$4:AT$33)</f>
        <v/>
      </c>
      <c r="AU48" s="138">
        <f>SUMPRODUCT(($C$4:$C$33="ZAN 13")*AU$4:AU$33)</f>
        <v/>
      </c>
      <c r="AV48" s="138">
        <f>SUMPRODUCT(($C$4:$C$33="ZAN 13")*AV$4:AV$33)</f>
        <v/>
      </c>
      <c r="AW48" s="138">
        <f>SUMPRODUCT(($C$4:$C$33="ZAN 13")*AW$4:AW$33)</f>
        <v/>
      </c>
      <c r="AX48" s="138">
        <f>SUMPRODUCT(($C$4:$C$33="ZAN 13")*AX$4:AX$33)</f>
        <v/>
      </c>
      <c r="AY48" s="138">
        <f>SUMPRODUCT(($C$4:$C$33="ZAN 13")*AY$4:AY$33)</f>
        <v/>
      </c>
      <c r="AZ48" s="138">
        <f>SUMPRODUCT(($C$4:$C$33="ZAN 13")*AZ$4:AZ$33)</f>
        <v/>
      </c>
      <c r="BA48" s="138">
        <f>SUMPRODUCT(($C$4:$C$33="ZAN 13")*BA$4:BA$33)</f>
        <v/>
      </c>
      <c r="BB48" s="138">
        <f>SUMPRODUCT(($C$4:$C$33="ZAN 13")*BB$4:BB$33)</f>
        <v/>
      </c>
    </row>
    <row r="49" ht="15" customHeight="1" s="91">
      <c r="B49" s="141" t="inlineStr">
        <is>
          <t>ZAN 14</t>
        </is>
      </c>
      <c r="D49" s="138">
        <f>SUM(E49:BB49)</f>
        <v/>
      </c>
      <c r="E49" s="138">
        <f>SUMPRODUCT(($C$4:$C$33="ZAN 14")*E$4:E$33)</f>
        <v/>
      </c>
      <c r="F49" s="138">
        <f>SUMPRODUCT(($C$4:$C$33="ZAN 14")*F$4:F$33)</f>
        <v/>
      </c>
      <c r="G49" s="138">
        <f>SUMPRODUCT(($C$4:$C$33="ZAN 14")*G$4:G$33)</f>
        <v/>
      </c>
      <c r="H49" s="138">
        <f>SUMPRODUCT(($C$4:$C$33="ZAN 14")*H$4:H$33)</f>
        <v/>
      </c>
      <c r="I49" s="138">
        <f>SUMPRODUCT(($C$4:$C$33="ZAN 14")*I$4:I$33)</f>
        <v/>
      </c>
      <c r="J49" s="138">
        <f>SUMPRODUCT(($C$4:$C$33="ZAN 14")*J$4:J$33)</f>
        <v/>
      </c>
      <c r="K49" s="138">
        <f>SUMPRODUCT(($C$4:$C$33="ZAN 14")*K$4:K$33)</f>
        <v/>
      </c>
      <c r="L49" s="138">
        <f>SUMPRODUCT(($C$4:$C$33="ZAN 14")*L$4:L$33)</f>
        <v/>
      </c>
      <c r="M49" s="138">
        <f>SUMPRODUCT(($C$4:$C$33="ZAN 14")*M$4:M$33)</f>
        <v/>
      </c>
      <c r="N49" s="138">
        <f>SUMPRODUCT(($C$4:$C$33="ZAN 14")*N$4:N$33)</f>
        <v/>
      </c>
      <c r="O49" s="138">
        <f>SUMPRODUCT(($C$4:$C$33="ZAN 14")*O$4:O$33)</f>
        <v/>
      </c>
      <c r="P49" s="138">
        <f>SUMPRODUCT(($C$4:$C$33="ZAN 14")*P$4:P$33)</f>
        <v/>
      </c>
      <c r="Q49" s="138">
        <f>SUMPRODUCT(($C$4:$C$33="ZAN 14")*Q$4:Q$33)</f>
        <v/>
      </c>
      <c r="R49" s="138">
        <f>SUMPRODUCT(($C$4:$C$33="ZAN 14")*R$4:R$33)</f>
        <v/>
      </c>
      <c r="S49" s="138">
        <f>SUMPRODUCT(($C$4:$C$33="ZAN 14")*S$4:S$33)</f>
        <v/>
      </c>
      <c r="T49" s="138">
        <f>SUMPRODUCT(($C$4:$C$33="ZAN 14")*T$4:T$33)</f>
        <v/>
      </c>
      <c r="U49" s="138">
        <f>SUMPRODUCT(($C$4:$C$33="ZAN 14")*U$4:U$33)</f>
        <v/>
      </c>
      <c r="V49" s="138">
        <f>SUMPRODUCT(($C$4:$C$33="ZAN 14")*V$4:V$33)</f>
        <v/>
      </c>
      <c r="W49" s="138">
        <f>SUMPRODUCT(($C$4:$C$33="ZAN 14")*W$4:W$33)</f>
        <v/>
      </c>
      <c r="X49" s="138">
        <f>SUMPRODUCT(($C$4:$C$33="ZAN 14")*X$4:X$33)</f>
        <v/>
      </c>
      <c r="Y49" s="138">
        <f>SUMPRODUCT(($C$4:$C$33="ZAN 14")*Y$4:Y$33)</f>
        <v/>
      </c>
      <c r="Z49" s="138">
        <f>SUMPRODUCT(($C$4:$C$33="ZAN 14")*Z$4:Z$33)</f>
        <v/>
      </c>
      <c r="AA49" s="138">
        <f>SUMPRODUCT(($C$4:$C$33="ZAN 14")*AA$4:AA$33)</f>
        <v/>
      </c>
      <c r="AB49" s="138">
        <f>SUMPRODUCT(($C$4:$C$33="ZAN 14")*AB$4:AB$33)</f>
        <v/>
      </c>
      <c r="AC49" s="138">
        <f>SUMPRODUCT(($C$4:$C$33="ZAN 14")*AC$4:AC$33)</f>
        <v/>
      </c>
      <c r="AD49" s="138">
        <f>SUMPRODUCT(($C$4:$C$33="ZAN 14")*AD$4:AD$33)</f>
        <v/>
      </c>
      <c r="AE49" s="138">
        <f>SUMPRODUCT(($C$4:$C$33="ZAN 14")*AE$4:AE$33)</f>
        <v/>
      </c>
      <c r="AF49" s="138">
        <f>SUMPRODUCT(($C$4:$C$33="ZAN 14")*AF$4:AF$33)</f>
        <v/>
      </c>
      <c r="AG49" s="138">
        <f>SUMPRODUCT(($C$4:$C$33="ZAN 14")*AG$4:AG$33)</f>
        <v/>
      </c>
      <c r="AH49" s="138">
        <f>SUMPRODUCT(($C$4:$C$33="ZAN 14")*AH$4:AH$33)</f>
        <v/>
      </c>
      <c r="AI49" s="138">
        <f>SUMPRODUCT(($C$4:$C$33="ZAN 14")*AI$4:AI$33)</f>
        <v/>
      </c>
      <c r="AJ49" s="138">
        <f>SUMPRODUCT(($C$4:$C$33="ZAN 14")*AJ$4:AJ$33)</f>
        <v/>
      </c>
      <c r="AK49" s="138">
        <f>SUMPRODUCT(($C$4:$C$33="ZAN 14")*AK$4:AK$33)</f>
        <v/>
      </c>
      <c r="AL49" s="138">
        <f>SUMPRODUCT(($C$4:$C$33="ZAN 14")*AL$4:AL$33)</f>
        <v/>
      </c>
      <c r="AM49" s="138">
        <f>SUMPRODUCT(($C$4:$C$33="ZAN 14")*AM$4:AM$33)</f>
        <v/>
      </c>
      <c r="AN49" s="138">
        <f>SUMPRODUCT(($C$4:$C$33="ZAN 14")*AN$4:AN$33)</f>
        <v/>
      </c>
      <c r="AO49" s="138">
        <f>SUMPRODUCT(($C$4:$C$33="ZAN 14")*AO$4:AO$33)</f>
        <v/>
      </c>
      <c r="AP49" s="138">
        <f>SUMPRODUCT(($C$4:$C$33="ZAN 14")*AP$4:AP$33)</f>
        <v/>
      </c>
      <c r="AQ49" s="138">
        <f>SUMPRODUCT(($C$4:$C$33="ZAN 14")*AQ$4:AQ$33)</f>
        <v/>
      </c>
      <c r="AR49" s="138">
        <f>SUMPRODUCT(($C$4:$C$33="ZAN 14")*AR$4:AR$33)</f>
        <v/>
      </c>
      <c r="AS49" s="138">
        <f>SUMPRODUCT(($C$4:$C$33="ZAN 14")*AS$4:AS$33)</f>
        <v/>
      </c>
      <c r="AT49" s="138">
        <f>SUMPRODUCT(($C$4:$C$33="ZAN 14")*AT$4:AT$33)</f>
        <v/>
      </c>
      <c r="AU49" s="138">
        <f>SUMPRODUCT(($C$4:$C$33="ZAN 14")*AU$4:AU$33)</f>
        <v/>
      </c>
      <c r="AV49" s="138">
        <f>SUMPRODUCT(($C$4:$C$33="ZAN 14")*AV$4:AV$33)</f>
        <v/>
      </c>
      <c r="AW49" s="138">
        <f>SUMPRODUCT(($C$4:$C$33="ZAN 14")*AW$4:AW$33)</f>
        <v/>
      </c>
      <c r="AX49" s="138">
        <f>SUMPRODUCT(($C$4:$C$33="ZAN 14")*AX$4:AX$33)</f>
        <v/>
      </c>
      <c r="AY49" s="138">
        <f>SUMPRODUCT(($C$4:$C$33="ZAN 14")*AY$4:AY$33)</f>
        <v/>
      </c>
      <c r="AZ49" s="138">
        <f>SUMPRODUCT(($C$4:$C$33="ZAN 14")*AZ$4:AZ$33)</f>
        <v/>
      </c>
      <c r="BA49" s="138">
        <f>SUMPRODUCT(($C$4:$C$33="ZAN 14")*BA$4:BA$33)</f>
        <v/>
      </c>
      <c r="BB49" s="138">
        <f>SUMPRODUCT(($C$4:$C$33="ZAN 14")*BB$4:BB$33)</f>
        <v/>
      </c>
    </row>
    <row r="50" ht="15" customHeight="1" s="91">
      <c r="B50" s="141" t="inlineStr">
        <is>
          <t>ZAN 15</t>
        </is>
      </c>
      <c r="D50" s="138">
        <f>SUM(E50:BB50)</f>
        <v/>
      </c>
      <c r="E50" s="138">
        <f>SUMPRODUCT(($C$4:$C$33="ZAN 15")*E$4:E$33)</f>
        <v/>
      </c>
      <c r="F50" s="138">
        <f>SUMPRODUCT(($C$4:$C$33="ZAN 15")*F$4:F$33)</f>
        <v/>
      </c>
      <c r="G50" s="138">
        <f>SUMPRODUCT(($C$4:$C$33="ZAN 15")*G$4:G$33)</f>
        <v/>
      </c>
      <c r="H50" s="138">
        <f>SUMPRODUCT(($C$4:$C$33="ZAN 15")*H$4:H$33)</f>
        <v/>
      </c>
      <c r="I50" s="138">
        <f>SUMPRODUCT(($C$4:$C$33="ZAN 15")*I$4:I$33)</f>
        <v/>
      </c>
      <c r="J50" s="138">
        <f>SUMPRODUCT(($C$4:$C$33="ZAN 15")*J$4:J$33)</f>
        <v/>
      </c>
      <c r="K50" s="138">
        <f>SUMPRODUCT(($C$4:$C$33="ZAN 15")*K$4:K$33)</f>
        <v/>
      </c>
      <c r="L50" s="138">
        <f>SUMPRODUCT(($C$4:$C$33="ZAN 15")*L$4:L$33)</f>
        <v/>
      </c>
      <c r="M50" s="138">
        <f>SUMPRODUCT(($C$4:$C$33="ZAN 15")*M$4:M$33)</f>
        <v/>
      </c>
      <c r="N50" s="138">
        <f>SUMPRODUCT(($C$4:$C$33="ZAN 15")*N$4:N$33)</f>
        <v/>
      </c>
      <c r="O50" s="138">
        <f>SUMPRODUCT(($C$4:$C$33="ZAN 15")*O$4:O$33)</f>
        <v/>
      </c>
      <c r="P50" s="138">
        <f>SUMPRODUCT(($C$4:$C$33="ZAN 15")*P$4:P$33)</f>
        <v/>
      </c>
      <c r="Q50" s="138">
        <f>SUMPRODUCT(($C$4:$C$33="ZAN 15")*Q$4:Q$33)</f>
        <v/>
      </c>
      <c r="R50" s="138">
        <f>SUMPRODUCT(($C$4:$C$33="ZAN 15")*R$4:R$33)</f>
        <v/>
      </c>
      <c r="S50" s="138">
        <f>SUMPRODUCT(($C$4:$C$33="ZAN 15")*S$4:S$33)</f>
        <v/>
      </c>
      <c r="T50" s="138">
        <f>SUMPRODUCT(($C$4:$C$33="ZAN 15")*T$4:T$33)</f>
        <v/>
      </c>
      <c r="U50" s="138">
        <f>SUMPRODUCT(($C$4:$C$33="ZAN 15")*U$4:U$33)</f>
        <v/>
      </c>
      <c r="V50" s="138">
        <f>SUMPRODUCT(($C$4:$C$33="ZAN 15")*V$4:V$33)</f>
        <v/>
      </c>
      <c r="W50" s="138">
        <f>SUMPRODUCT(($C$4:$C$33="ZAN 15")*W$4:W$33)</f>
        <v/>
      </c>
      <c r="X50" s="138">
        <f>SUMPRODUCT(($C$4:$C$33="ZAN 15")*X$4:X$33)</f>
        <v/>
      </c>
      <c r="Y50" s="138">
        <f>SUMPRODUCT(($C$4:$C$33="ZAN 15")*Y$4:Y$33)</f>
        <v/>
      </c>
      <c r="Z50" s="138">
        <f>SUMPRODUCT(($C$4:$C$33="ZAN 15")*Z$4:Z$33)</f>
        <v/>
      </c>
      <c r="AA50" s="138">
        <f>SUMPRODUCT(($C$4:$C$33="ZAN 15")*AA$4:AA$33)</f>
        <v/>
      </c>
      <c r="AB50" s="138">
        <f>SUMPRODUCT(($C$4:$C$33="ZAN 15")*AB$4:AB$33)</f>
        <v/>
      </c>
      <c r="AC50" s="138">
        <f>SUMPRODUCT(($C$4:$C$33="ZAN 15")*AC$4:AC$33)</f>
        <v/>
      </c>
      <c r="AD50" s="138">
        <f>SUMPRODUCT(($C$4:$C$33="ZAN 15")*AD$4:AD$33)</f>
        <v/>
      </c>
      <c r="AE50" s="138">
        <f>SUMPRODUCT(($C$4:$C$33="ZAN 15")*AE$4:AE$33)</f>
        <v/>
      </c>
      <c r="AF50" s="138">
        <f>SUMPRODUCT(($C$4:$C$33="ZAN 15")*AF$4:AF$33)</f>
        <v/>
      </c>
      <c r="AG50" s="138">
        <f>SUMPRODUCT(($C$4:$C$33="ZAN 15")*AG$4:AG$33)</f>
        <v/>
      </c>
      <c r="AH50" s="138">
        <f>SUMPRODUCT(($C$4:$C$33="ZAN 15")*AH$4:AH$33)</f>
        <v/>
      </c>
      <c r="AI50" s="138">
        <f>SUMPRODUCT(($C$4:$C$33="ZAN 15")*AI$4:AI$33)</f>
        <v/>
      </c>
      <c r="AJ50" s="138">
        <f>SUMPRODUCT(($C$4:$C$33="ZAN 15")*AJ$4:AJ$33)</f>
        <v/>
      </c>
      <c r="AK50" s="138">
        <f>SUMPRODUCT(($C$4:$C$33="ZAN 15")*AK$4:AK$33)</f>
        <v/>
      </c>
      <c r="AL50" s="138">
        <f>SUMPRODUCT(($C$4:$C$33="ZAN 15")*AL$4:AL$33)</f>
        <v/>
      </c>
      <c r="AM50" s="138">
        <f>SUMPRODUCT(($C$4:$C$33="ZAN 15")*AM$4:AM$33)</f>
        <v/>
      </c>
      <c r="AN50" s="138">
        <f>SUMPRODUCT(($C$4:$C$33="ZAN 15")*AN$4:AN$33)</f>
        <v/>
      </c>
      <c r="AO50" s="138">
        <f>SUMPRODUCT(($C$4:$C$33="ZAN 15")*AO$4:AO$33)</f>
        <v/>
      </c>
      <c r="AP50" s="138">
        <f>SUMPRODUCT(($C$4:$C$33="ZAN 15")*AP$4:AP$33)</f>
        <v/>
      </c>
      <c r="AQ50" s="138">
        <f>SUMPRODUCT(($C$4:$C$33="ZAN 15")*AQ$4:AQ$33)</f>
        <v/>
      </c>
      <c r="AR50" s="138">
        <f>SUMPRODUCT(($C$4:$C$33="ZAN 15")*AR$4:AR$33)</f>
        <v/>
      </c>
      <c r="AS50" s="138">
        <f>SUMPRODUCT(($C$4:$C$33="ZAN 15")*AS$4:AS$33)</f>
        <v/>
      </c>
      <c r="AT50" s="138">
        <f>SUMPRODUCT(($C$4:$C$33="ZAN 15")*AT$4:AT$33)</f>
        <v/>
      </c>
      <c r="AU50" s="138">
        <f>SUMPRODUCT(($C$4:$C$33="ZAN 15")*AU$4:AU$33)</f>
        <v/>
      </c>
      <c r="AV50" s="138">
        <f>SUMPRODUCT(($C$4:$C$33="ZAN 15")*AV$4:AV$33)</f>
        <v/>
      </c>
      <c r="AW50" s="138">
        <f>SUMPRODUCT(($C$4:$C$33="ZAN 15")*AW$4:AW$33)</f>
        <v/>
      </c>
      <c r="AX50" s="138">
        <f>SUMPRODUCT(($C$4:$C$33="ZAN 15")*AX$4:AX$33)</f>
        <v/>
      </c>
      <c r="AY50" s="138">
        <f>SUMPRODUCT(($C$4:$C$33="ZAN 15")*AY$4:AY$33)</f>
        <v/>
      </c>
      <c r="AZ50" s="138">
        <f>SUMPRODUCT(($C$4:$C$33="ZAN 15")*AZ$4:AZ$33)</f>
        <v/>
      </c>
      <c r="BA50" s="138">
        <f>SUMPRODUCT(($C$4:$C$33="ZAN 15")*BA$4:BA$33)</f>
        <v/>
      </c>
      <c r="BB50" s="138">
        <f>SUMPRODUCT(($C$4:$C$33="ZAN 15")*BB$4:BB$33)</f>
        <v/>
      </c>
    </row>
    <row r="52" ht="15" customHeight="1" s="91">
      <c r="B52" s="142" t="inlineStr">
        <is>
          <t>TOTAL CAPEX</t>
        </is>
      </c>
      <c r="D52" s="138">
        <f>SUM(D4:D33)</f>
        <v/>
      </c>
      <c r="E52" s="138">
        <f>SUM(E36:E50)</f>
        <v/>
      </c>
      <c r="F52" s="138">
        <f>SUM(F36:F50)</f>
        <v/>
      </c>
      <c r="G52" s="138">
        <f>SUM(G36:G50)</f>
        <v/>
      </c>
      <c r="H52" s="138">
        <f>SUM(H36:H50)</f>
        <v/>
      </c>
      <c r="I52" s="138">
        <f>SUM(I36:I50)</f>
        <v/>
      </c>
      <c r="J52" s="138">
        <f>SUM(J36:J50)</f>
        <v/>
      </c>
      <c r="K52" s="138">
        <f>SUM(K36:K50)</f>
        <v/>
      </c>
      <c r="L52" s="138">
        <f>SUM(L36:L50)</f>
        <v/>
      </c>
      <c r="M52" s="138">
        <f>SUM(M36:M50)</f>
        <v/>
      </c>
      <c r="N52" s="138">
        <f>SUM(N36:N50)</f>
        <v/>
      </c>
      <c r="O52" s="138">
        <f>SUM(O36:O50)</f>
        <v/>
      </c>
      <c r="P52" s="138">
        <f>SUM(P36:P50)</f>
        <v/>
      </c>
      <c r="Q52" s="138">
        <f>SUM(Q36:Q50)</f>
        <v/>
      </c>
      <c r="R52" s="138">
        <f>SUM(R36:R50)</f>
        <v/>
      </c>
      <c r="S52" s="138">
        <f>SUM(S36:S50)</f>
        <v/>
      </c>
      <c r="T52" s="138">
        <f>SUM(T36:T50)</f>
        <v/>
      </c>
      <c r="U52" s="138">
        <f>SUM(U36:U50)</f>
        <v/>
      </c>
      <c r="V52" s="138">
        <f>SUM(V36:V50)</f>
        <v/>
      </c>
      <c r="W52" s="138">
        <f>SUM(W36:W50)</f>
        <v/>
      </c>
      <c r="X52" s="138">
        <f>SUM(X36:X50)</f>
        <v/>
      </c>
      <c r="Y52" s="138">
        <f>SUM(Y36:Y50)</f>
        <v/>
      </c>
      <c r="Z52" s="138">
        <f>SUM(Z36:Z50)</f>
        <v/>
      </c>
      <c r="AA52" s="138">
        <f>SUM(AA36:AA50)</f>
        <v/>
      </c>
      <c r="AB52" s="138">
        <f>SUM(AB36:AB50)</f>
        <v/>
      </c>
      <c r="AC52" s="138">
        <f>SUM(AC36:AC50)</f>
        <v/>
      </c>
      <c r="AD52" s="138">
        <f>SUM(AD36:AD50)</f>
        <v/>
      </c>
      <c r="AE52" s="138">
        <f>SUM(AE36:AE50)</f>
        <v/>
      </c>
      <c r="AF52" s="138">
        <f>SUM(AF36:AF50)</f>
        <v/>
      </c>
      <c r="AG52" s="138">
        <f>SUM(AG36:AG50)</f>
        <v/>
      </c>
      <c r="AH52" s="138">
        <f>SUM(AH36:AH50)</f>
        <v/>
      </c>
      <c r="AI52" s="138">
        <f>SUM(AI36:AI50)</f>
        <v/>
      </c>
      <c r="AJ52" s="138">
        <f>SUM(AJ36:AJ50)</f>
        <v/>
      </c>
      <c r="AK52" s="138">
        <f>SUM(AK36:AK50)</f>
        <v/>
      </c>
      <c r="AL52" s="138">
        <f>SUM(AL36:AL50)</f>
        <v/>
      </c>
      <c r="AM52" s="138">
        <f>SUM(AM36:AM50)</f>
        <v/>
      </c>
      <c r="AN52" s="138">
        <f>SUM(AN36:AN50)</f>
        <v/>
      </c>
      <c r="AO52" s="138">
        <f>SUM(AO36:AO50)</f>
        <v/>
      </c>
      <c r="AP52" s="138">
        <f>SUM(AP36:AP50)</f>
        <v/>
      </c>
      <c r="AQ52" s="138">
        <f>SUM(AQ36:AQ50)</f>
        <v/>
      </c>
      <c r="AR52" s="138">
        <f>SUM(AR36:AR50)</f>
        <v/>
      </c>
      <c r="AS52" s="138">
        <f>SUM(AS36:AS50)</f>
        <v/>
      </c>
      <c r="AT52" s="138">
        <f>SUM(AT36:AT50)</f>
        <v/>
      </c>
      <c r="AU52" s="138">
        <f>SUM(AU36:AU50)</f>
        <v/>
      </c>
      <c r="AV52" s="138">
        <f>SUM(AV36:AV50)</f>
        <v/>
      </c>
      <c r="AW52" s="138">
        <f>SUM(AW36:AW50)</f>
        <v/>
      </c>
      <c r="AX52" s="138">
        <f>SUM(AX36:AX50)</f>
        <v/>
      </c>
      <c r="AY52" s="138">
        <f>SUM(AY36:AY50)</f>
        <v/>
      </c>
      <c r="AZ52" s="138">
        <f>SUM(AZ36:AZ50)</f>
        <v/>
      </c>
      <c r="BA52" s="138">
        <f>SUM(BA36:BA50)</f>
        <v/>
      </c>
      <c r="BB52" s="138">
        <f>SUM(BB36:BB50)</f>
        <v/>
      </c>
    </row>
    <row r="54" ht="15" customHeight="1" s="91">
      <c r="A54" s="139" t="inlineStr">
        <is>
          <t>LAND RENT SCHEDULE</t>
        </is>
      </c>
      <c r="B54" s="140" t="n"/>
      <c r="C54" s="140" t="n"/>
      <c r="D54" s="140" t="n"/>
      <c r="E54" s="140" t="n"/>
      <c r="F54" s="140" t="n"/>
      <c r="G54" s="140" t="n"/>
      <c r="H54" s="140" t="n"/>
      <c r="I54" s="140" t="n"/>
      <c r="J54" s="140" t="n"/>
      <c r="K54" s="140" t="n"/>
      <c r="L54" s="140" t="n"/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0" t="n"/>
      <c r="V54" s="140" t="n"/>
      <c r="W54" s="140" t="n"/>
      <c r="X54" s="140" t="n"/>
      <c r="Y54" s="140" t="n"/>
      <c r="Z54" s="140" t="n"/>
      <c r="AA54" s="140" t="n"/>
      <c r="AB54" s="140" t="n"/>
      <c r="AC54" s="140" t="n"/>
      <c r="AD54" s="140" t="n"/>
      <c r="AE54" s="140" t="n"/>
      <c r="AF54" s="140" t="n"/>
      <c r="AG54" s="140" t="n"/>
      <c r="AH54" s="140" t="n"/>
      <c r="AI54" s="140" t="n"/>
      <c r="AJ54" s="140" t="n"/>
      <c r="AK54" s="140" t="n"/>
      <c r="AL54" s="140" t="n"/>
      <c r="AM54" s="140" t="n"/>
      <c r="AN54" s="140" t="n"/>
      <c r="AO54" s="140" t="n"/>
      <c r="AP54" s="140" t="n"/>
      <c r="AQ54" s="140" t="n"/>
      <c r="AR54" s="140" t="n"/>
      <c r="AS54" s="140" t="n"/>
      <c r="AT54" s="140" t="n"/>
      <c r="AU54" s="140" t="n"/>
      <c r="AV54" s="140" t="n"/>
      <c r="AW54" s="140" t="n"/>
      <c r="AX54" s="140" t="n"/>
      <c r="AY54" s="140" t="n"/>
      <c r="AZ54" s="140" t="n"/>
      <c r="BA54" s="140" t="n"/>
      <c r="BB54" s="140" t="n"/>
    </row>
    <row r="55" ht="15" customHeight="1" s="91">
      <c r="B55" s="129" t="inlineStr">
        <is>
          <t>Annual Land Rent</t>
        </is>
      </c>
      <c r="D55" s="138">
        <f>SUM(E55:BB55)</f>
        <v/>
      </c>
      <c r="E55" s="138">
        <f>IF(E$3-$C63+1&lt;=$K$63,0,$E$63*(1+$I$63)^INT((E$3-$C63+1-$K$63-1)/$G$63))</f>
        <v/>
      </c>
      <c r="F55" s="138">
        <f>IF(F$3-$C63+1&lt;=$K$63,0,$E$63*(1+$I$63)^INT((F$3-$C63+1-$K$63-1)/$G$63))</f>
        <v/>
      </c>
      <c r="G55" s="138">
        <f>IF(G$3-$C63+1&lt;=$K$63,0,$E$63*(1+$I$63)^INT((G$3-$C63+1-$K$63-1)/$G$63))</f>
        <v/>
      </c>
      <c r="H55" s="138">
        <f>IF(H$3-$C63+1&lt;=$K$63,0,$E$63*(1+$I$63)^INT((H$3-$C63+1-$K$63-1)/$G$63))</f>
        <v/>
      </c>
      <c r="I55" s="138">
        <f>IF(I$3-$C63+1&lt;=$K$63,0,$E$63*(1+$I$63)^INT((I$3-$C63+1-$K$63-1)/$G$63))</f>
        <v/>
      </c>
      <c r="J55" s="138">
        <f>IF(J$3-$C63+1&lt;=$K$63,0,$E$63*(1+$I$63)^INT((J$3-$C63+1-$K$63-1)/$G$63))</f>
        <v/>
      </c>
      <c r="K55" s="138">
        <f>IF(K$3-$C63+1&lt;=$K$63,0,$E$63*(1+$I$63)^INT((K$3-$C63+1-$K$63-1)/$G$63))</f>
        <v/>
      </c>
      <c r="L55" s="138">
        <f>IF(L$3-$C63+1&lt;=$K$63,0,$E$63*(1+$I$63)^INT((L$3-$C63+1-$K$63-1)/$G$63))</f>
        <v/>
      </c>
      <c r="M55" s="138">
        <f>IF(M$3-$C63+1&lt;=$K$63,0,$E$63*(1+$I$63)^INT((M$3-$C63+1-$K$63-1)/$G$63))</f>
        <v/>
      </c>
      <c r="N55" s="138">
        <f>IF(N$3-$C63+1&lt;=$K$63,0,$E$63*(1+$I$63)^INT((N$3-$C63+1-$K$63-1)/$G$63))</f>
        <v/>
      </c>
      <c r="O55" s="138">
        <f>IF(O$3-$C63+1&lt;=$K$63,0,$E$63*(1+$I$63)^INT((O$3-$C63+1-$K$63-1)/$G$63))</f>
        <v/>
      </c>
      <c r="P55" s="138">
        <f>IF(P$3-$C63+1&lt;=$K$63,0,$E$63*(1+$I$63)^INT((P$3-$C63+1-$K$63-1)/$G$63))</f>
        <v/>
      </c>
      <c r="Q55" s="138">
        <f>IF(Q$3-$C63+1&lt;=$K$63,0,$E$63*(1+$I$63)^INT((Q$3-$C63+1-$K$63-1)/$G$63))</f>
        <v/>
      </c>
      <c r="R55" s="138">
        <f>IF(R$3-$C63+1&lt;=$K$63,0,$E$63*(1+$I$63)^INT((R$3-$C63+1-$K$63-1)/$G$63))</f>
        <v/>
      </c>
      <c r="S55" s="138">
        <f>IF(S$3-$C63+1&lt;=$K$63,0,$E$63*(1+$I$63)^INT((S$3-$C63+1-$K$63-1)/$G$63))</f>
        <v/>
      </c>
      <c r="T55" s="138">
        <f>IF(T$3-$C63+1&lt;=$K$63,0,$E$63*(1+$I$63)^INT((T$3-$C63+1-$K$63-1)/$G$63))</f>
        <v/>
      </c>
      <c r="U55" s="138">
        <f>IF(U$3-$C63+1&lt;=$K$63,0,$E$63*(1+$I$63)^INT((U$3-$C63+1-$K$63-1)/$G$63))</f>
        <v/>
      </c>
      <c r="V55" s="138">
        <f>IF(V$3-$C63+1&lt;=$K$63,0,$E$63*(1+$I$63)^INT((V$3-$C63+1-$K$63-1)/$G$63))</f>
        <v/>
      </c>
      <c r="W55" s="138">
        <f>IF(W$3-$C63+1&lt;=$K$63,0,$E$63*(1+$I$63)^INT((W$3-$C63+1-$K$63-1)/$G$63))</f>
        <v/>
      </c>
      <c r="X55" s="138">
        <f>IF(X$3-$C63+1&lt;=$K$63,0,$E$63*(1+$I$63)^INT((X$3-$C63+1-$K$63-1)/$G$63))</f>
        <v/>
      </c>
      <c r="Y55" s="138">
        <f>IF(Y$3-$C63+1&lt;=$K$63,0,$E$63*(1+$I$63)^INT((Y$3-$C63+1-$K$63-1)/$G$63))</f>
        <v/>
      </c>
      <c r="Z55" s="138">
        <f>IF(Z$3-$C63+1&lt;=$K$63,0,$E$63*(1+$I$63)^INT((Z$3-$C63+1-$K$63-1)/$G$63))</f>
        <v/>
      </c>
      <c r="AA55" s="138">
        <f>IF(AA$3-$C63+1&lt;=$K$63,0,$E$63*(1+$I$63)^INT((AA$3-$C63+1-$K$63-1)/$G$63))</f>
        <v/>
      </c>
      <c r="AB55" s="138">
        <f>IF(AB$3-$C63+1&lt;=$K$63,0,$E$63*(1+$I$63)^INT((AB$3-$C63+1-$K$63-1)/$G$63))</f>
        <v/>
      </c>
      <c r="AC55" s="138">
        <f>IF(AC$3-$C63+1&lt;=$K$63,0,$E$63*(1+$I$63)^INT((AC$3-$C63+1-$K$63-1)/$G$63))</f>
        <v/>
      </c>
      <c r="AD55" s="138">
        <f>IF(AD$3-$C63+1&lt;=$K$63,0,$E$63*(1+$I$63)^INT((AD$3-$C63+1-$K$63-1)/$G$63))</f>
        <v/>
      </c>
      <c r="AE55" s="138">
        <f>IF(AE$3-$C63+1&lt;=$K$63,0,$E$63*(1+$I$63)^INT((AE$3-$C63+1-$K$63-1)/$G$63))</f>
        <v/>
      </c>
      <c r="AF55" s="138">
        <f>IF(AF$3-$C63+1&lt;=$K$63,0,$E$63*(1+$I$63)^INT((AF$3-$C63+1-$K$63-1)/$G$63))</f>
        <v/>
      </c>
      <c r="AG55" s="138">
        <f>IF(AG$3-$C63+1&lt;=$K$63,0,$E$63*(1+$I$63)^INT((AG$3-$C63+1-$K$63-1)/$G$63))</f>
        <v/>
      </c>
      <c r="AH55" s="138">
        <f>IF(AH$3-$C63+1&lt;=$K$63,0,$E$63*(1+$I$63)^INT((AH$3-$C63+1-$K$63-1)/$G$63))</f>
        <v/>
      </c>
      <c r="AI55" s="138">
        <f>IF(AI$3-$C63+1&lt;=$K$63,0,$E$63*(1+$I$63)^INT((AI$3-$C63+1-$K$63-1)/$G$63))</f>
        <v/>
      </c>
      <c r="AJ55" s="138">
        <f>IF(AJ$3-$C63+1&lt;=$K$63,0,$E$63*(1+$I$63)^INT((AJ$3-$C63+1-$K$63-1)/$G$63))</f>
        <v/>
      </c>
      <c r="AK55" s="138">
        <f>IF(AK$3-$C63+1&lt;=$K$63,0,$E$63*(1+$I$63)^INT((AK$3-$C63+1-$K$63-1)/$G$63))</f>
        <v/>
      </c>
      <c r="AL55" s="138">
        <f>IF(AL$3-$C63+1&lt;=$K$63,0,$E$63*(1+$I$63)^INT((AL$3-$C63+1-$K$63-1)/$G$63))</f>
        <v/>
      </c>
      <c r="AM55" s="138">
        <f>IF(AM$3-$C63+1&lt;=$K$63,0,$E$63*(1+$I$63)^INT((AM$3-$C63+1-$K$63-1)/$G$63))</f>
        <v/>
      </c>
      <c r="AN55" s="138">
        <f>IF(AN$3-$C63+1&lt;=$K$63,0,$E$63*(1+$I$63)^INT((AN$3-$C63+1-$K$63-1)/$G$63))</f>
        <v/>
      </c>
      <c r="AO55" s="138">
        <f>IF(AO$3-$C63+1&lt;=$K$63,0,$E$63*(1+$I$63)^INT((AO$3-$C63+1-$K$63-1)/$G$63))</f>
        <v/>
      </c>
      <c r="AP55" s="138">
        <f>IF(AP$3-$C63+1&lt;=$K$63,0,$E$63*(1+$I$63)^INT((AP$3-$C63+1-$K$63-1)/$G$63))</f>
        <v/>
      </c>
      <c r="AQ55" s="138">
        <f>IF(AQ$3-$C63+1&lt;=$K$63,0,$E$63*(1+$I$63)^INT((AQ$3-$C63+1-$K$63-1)/$G$63))</f>
        <v/>
      </c>
      <c r="AR55" s="138">
        <f>IF(AR$3-$C63+1&lt;=$K$63,0,$E$63*(1+$I$63)^INT((AR$3-$C63+1-$K$63-1)/$G$63))</f>
        <v/>
      </c>
      <c r="AS55" s="138">
        <f>IF(AS$3-$C63+1&lt;=$K$63,0,$E$63*(1+$I$63)^INT((AS$3-$C63+1-$K$63-1)/$G$63))</f>
        <v/>
      </c>
      <c r="AT55" s="138">
        <f>IF(AT$3-$C63+1&lt;=$K$63,0,$E$63*(1+$I$63)^INT((AT$3-$C63+1-$K$63-1)/$G$63))</f>
        <v/>
      </c>
      <c r="AU55" s="138">
        <f>IF(AU$3-$C63+1&lt;=$K$63,0,$E$63*(1+$I$63)^INT((AU$3-$C63+1-$K$63-1)/$G$63))</f>
        <v/>
      </c>
      <c r="AV55" s="138">
        <f>IF(AV$3-$C63+1&lt;=$K$63,0,$E$63*(1+$I$63)^INT((AV$3-$C63+1-$K$63-1)/$G$63))</f>
        <v/>
      </c>
      <c r="AW55" s="138">
        <f>IF(AW$3-$C63+1&lt;=$K$63,0,$E$63*(1+$I$63)^INT((AW$3-$C63+1-$K$63-1)/$G$63))</f>
        <v/>
      </c>
      <c r="AX55" s="138">
        <f>IF(AX$3-$C63+1&lt;=$K$63,0,$E$63*(1+$I$63)^INT((AX$3-$C63+1-$K$63-1)/$G$63))</f>
        <v/>
      </c>
      <c r="AY55" s="138">
        <f>IF(AY$3-$C63+1&lt;=$K$63,0,$E$63*(1+$I$63)^INT((AY$3-$C63+1-$K$63-1)/$G$63))</f>
        <v/>
      </c>
      <c r="AZ55" s="138">
        <f>IF(AZ$3-$C63+1&lt;=$K$63,0,$E$63*(1+$I$63)^INT((AZ$3-$C63+1-$K$63-1)/$G$63))</f>
        <v/>
      </c>
      <c r="BA55" s="138">
        <f>IF(BA$3-$C63+1&lt;=$K$63,0,$E$63*(1+$I$63)^INT((BA$3-$C63+1-$K$63-1)/$G$63))</f>
        <v/>
      </c>
      <c r="BB55" s="138">
        <f>IF(BB$3-$C63+1&lt;=$K$63,0,$E$63*(1+$I$63)^INT((BB$3-$C63+1-$K$63-1)/$G$63))</f>
        <v/>
      </c>
    </row>
    <row r="56" ht="15" customHeight="1" s="91">
      <c r="B56" s="129" t="inlineStr">
        <is>
          <t xml:space="preserve">  ZAN 1</t>
        </is>
      </c>
      <c r="D56" s="138">
        <f>SUM(E56:BB56)</f>
        <v/>
      </c>
      <c r="E56" s="138">
        <f>E55*$C64</f>
        <v/>
      </c>
      <c r="F56" s="138">
        <f>F55*$C64</f>
        <v/>
      </c>
      <c r="G56" s="138">
        <f>G55*$C64</f>
        <v/>
      </c>
      <c r="H56" s="138">
        <f>H55*$C64</f>
        <v/>
      </c>
      <c r="I56" s="138">
        <f>I55*$C64</f>
        <v/>
      </c>
      <c r="J56" s="138">
        <f>J55*$C64</f>
        <v/>
      </c>
      <c r="K56" s="138">
        <f>K55*$C64</f>
        <v/>
      </c>
      <c r="L56" s="138">
        <f>L55*$C64</f>
        <v/>
      </c>
      <c r="M56" s="138">
        <f>M55*$C64</f>
        <v/>
      </c>
      <c r="N56" s="138">
        <f>N55*$C64</f>
        <v/>
      </c>
      <c r="O56" s="138">
        <f>O55*$C64</f>
        <v/>
      </c>
      <c r="P56" s="138">
        <f>P55*$C64</f>
        <v/>
      </c>
      <c r="Q56" s="138">
        <f>Q55*$C64</f>
        <v/>
      </c>
      <c r="R56" s="138">
        <f>R55*$C64</f>
        <v/>
      </c>
      <c r="S56" s="138">
        <f>S55*$C64</f>
        <v/>
      </c>
      <c r="T56" s="138">
        <f>T55*$C64</f>
        <v/>
      </c>
      <c r="U56" s="138">
        <f>U55*$C64</f>
        <v/>
      </c>
      <c r="V56" s="138">
        <f>V55*$C64</f>
        <v/>
      </c>
      <c r="W56" s="138">
        <f>W55*$C64</f>
        <v/>
      </c>
      <c r="X56" s="138">
        <f>X55*$C64</f>
        <v/>
      </c>
      <c r="Y56" s="138">
        <f>Y55*$C64</f>
        <v/>
      </c>
      <c r="Z56" s="138">
        <f>Z55*$C64</f>
        <v/>
      </c>
      <c r="AA56" s="138">
        <f>AA55*$C64</f>
        <v/>
      </c>
      <c r="AB56" s="138">
        <f>AB55*$C64</f>
        <v/>
      </c>
      <c r="AC56" s="138">
        <f>AC55*$C64</f>
        <v/>
      </c>
      <c r="AD56" s="138">
        <f>AD55*$C64</f>
        <v/>
      </c>
      <c r="AE56" s="138">
        <f>AE55*$C64</f>
        <v/>
      </c>
      <c r="AF56" s="138">
        <f>AF55*$C64</f>
        <v/>
      </c>
      <c r="AG56" s="138">
        <f>AG55*$C64</f>
        <v/>
      </c>
      <c r="AH56" s="138">
        <f>AH55*$C64</f>
        <v/>
      </c>
      <c r="AI56" s="138">
        <f>AI55*$C64</f>
        <v/>
      </c>
      <c r="AJ56" s="138">
        <f>AJ55*$C64</f>
        <v/>
      </c>
      <c r="AK56" s="138">
        <f>AK55*$C64</f>
        <v/>
      </c>
      <c r="AL56" s="138">
        <f>AL55*$C64</f>
        <v/>
      </c>
      <c r="AM56" s="138">
        <f>AM55*$C64</f>
        <v/>
      </c>
      <c r="AN56" s="138">
        <f>AN55*$C64</f>
        <v/>
      </c>
      <c r="AO56" s="138">
        <f>AO55*$C64</f>
        <v/>
      </c>
      <c r="AP56" s="138">
        <f>AP55*$C64</f>
        <v/>
      </c>
      <c r="AQ56" s="138">
        <f>AQ55*$C64</f>
        <v/>
      </c>
      <c r="AR56" s="138">
        <f>AR55*$C64</f>
        <v/>
      </c>
      <c r="AS56" s="138">
        <f>AS55*$C64</f>
        <v/>
      </c>
      <c r="AT56" s="138">
        <f>AT55*$C64</f>
        <v/>
      </c>
      <c r="AU56" s="138">
        <f>AU55*$C64</f>
        <v/>
      </c>
      <c r="AV56" s="138">
        <f>AV55*$C64</f>
        <v/>
      </c>
      <c r="AW56" s="138">
        <f>AW55*$C64</f>
        <v/>
      </c>
      <c r="AX56" s="138">
        <f>AX55*$C64</f>
        <v/>
      </c>
      <c r="AY56" s="138">
        <f>AY55*$C64</f>
        <v/>
      </c>
      <c r="AZ56" s="138">
        <f>AZ55*$C64</f>
        <v/>
      </c>
      <c r="BA56" s="138">
        <f>BA55*$C64</f>
        <v/>
      </c>
      <c r="BB56" s="138">
        <f>BB55*$C64</f>
        <v/>
      </c>
    </row>
    <row r="57" ht="15" customHeight="1" s="91">
      <c r="B57" s="129" t="inlineStr">
        <is>
          <t xml:space="preserve">  ZAN 2</t>
        </is>
      </c>
      <c r="D57" s="138">
        <f>SUM(E57:BB57)</f>
        <v/>
      </c>
      <c r="E57" s="138">
        <f>E55*$D64</f>
        <v/>
      </c>
      <c r="F57" s="138">
        <f>F55*$D64</f>
        <v/>
      </c>
      <c r="G57" s="138">
        <f>G55*$D64</f>
        <v/>
      </c>
      <c r="H57" s="138">
        <f>H55*$D64</f>
        <v/>
      </c>
      <c r="I57" s="138">
        <f>I55*$D64</f>
        <v/>
      </c>
      <c r="J57" s="138">
        <f>J55*$D64</f>
        <v/>
      </c>
      <c r="K57" s="138">
        <f>K55*$D64</f>
        <v/>
      </c>
      <c r="L57" s="138">
        <f>L55*$D64</f>
        <v/>
      </c>
      <c r="M57" s="138">
        <f>M55*$D64</f>
        <v/>
      </c>
      <c r="N57" s="138">
        <f>N55*$D64</f>
        <v/>
      </c>
      <c r="O57" s="138">
        <f>O55*$D64</f>
        <v/>
      </c>
      <c r="P57" s="138">
        <f>P55*$D64</f>
        <v/>
      </c>
      <c r="Q57" s="138">
        <f>Q55*$D64</f>
        <v/>
      </c>
      <c r="R57" s="138">
        <f>R55*$D64</f>
        <v/>
      </c>
      <c r="S57" s="138">
        <f>S55*$D64</f>
        <v/>
      </c>
      <c r="T57" s="138">
        <f>T55*$D64</f>
        <v/>
      </c>
      <c r="U57" s="138">
        <f>U55*$D64</f>
        <v/>
      </c>
      <c r="V57" s="138">
        <f>V55*$D64</f>
        <v/>
      </c>
      <c r="W57" s="138">
        <f>W55*$D64</f>
        <v/>
      </c>
      <c r="X57" s="138">
        <f>X55*$D64</f>
        <v/>
      </c>
      <c r="Y57" s="138">
        <f>Y55*$D64</f>
        <v/>
      </c>
      <c r="Z57" s="138">
        <f>Z55*$D64</f>
        <v/>
      </c>
      <c r="AA57" s="138">
        <f>AA55*$D64</f>
        <v/>
      </c>
      <c r="AB57" s="138">
        <f>AB55*$D64</f>
        <v/>
      </c>
      <c r="AC57" s="138">
        <f>AC55*$D64</f>
        <v/>
      </c>
      <c r="AD57" s="138">
        <f>AD55*$D64</f>
        <v/>
      </c>
      <c r="AE57" s="138">
        <f>AE55*$D64</f>
        <v/>
      </c>
      <c r="AF57" s="138">
        <f>AF55*$D64</f>
        <v/>
      </c>
      <c r="AG57" s="138">
        <f>AG55*$D64</f>
        <v/>
      </c>
      <c r="AH57" s="138">
        <f>AH55*$D64</f>
        <v/>
      </c>
      <c r="AI57" s="138">
        <f>AI55*$D64</f>
        <v/>
      </c>
      <c r="AJ57" s="138">
        <f>AJ55*$D64</f>
        <v/>
      </c>
      <c r="AK57" s="138">
        <f>AK55*$D64</f>
        <v/>
      </c>
      <c r="AL57" s="138">
        <f>AL55*$D64</f>
        <v/>
      </c>
      <c r="AM57" s="138">
        <f>AM55*$D64</f>
        <v/>
      </c>
      <c r="AN57" s="138">
        <f>AN55*$D64</f>
        <v/>
      </c>
      <c r="AO57" s="138">
        <f>AO55*$D64</f>
        <v/>
      </c>
      <c r="AP57" s="138">
        <f>AP55*$D64</f>
        <v/>
      </c>
      <c r="AQ57" s="138">
        <f>AQ55*$D64</f>
        <v/>
      </c>
      <c r="AR57" s="138">
        <f>AR55*$D64</f>
        <v/>
      </c>
      <c r="AS57" s="138">
        <f>AS55*$D64</f>
        <v/>
      </c>
      <c r="AT57" s="138">
        <f>AT55*$D64</f>
        <v/>
      </c>
      <c r="AU57" s="138">
        <f>AU55*$D64</f>
        <v/>
      </c>
      <c r="AV57" s="138">
        <f>AV55*$D64</f>
        <v/>
      </c>
      <c r="AW57" s="138">
        <f>AW55*$D64</f>
        <v/>
      </c>
      <c r="AX57" s="138">
        <f>AX55*$D64</f>
        <v/>
      </c>
      <c r="AY57" s="138">
        <f>AY55*$D64</f>
        <v/>
      </c>
      <c r="AZ57" s="138">
        <f>AZ55*$D64</f>
        <v/>
      </c>
      <c r="BA57" s="138">
        <f>BA55*$D64</f>
        <v/>
      </c>
      <c r="BB57" s="138">
        <f>BB55*$D64</f>
        <v/>
      </c>
    </row>
    <row r="58" ht="15" customHeight="1" s="91">
      <c r="B58" s="129" t="inlineStr">
        <is>
          <t xml:space="preserve">  ZAN 3</t>
        </is>
      </c>
      <c r="D58" s="138">
        <f>SUM(E58:BB58)</f>
        <v/>
      </c>
      <c r="E58" s="138">
        <f>E55*$E64</f>
        <v/>
      </c>
      <c r="F58" s="138">
        <f>F55*$E64</f>
        <v/>
      </c>
      <c r="G58" s="138">
        <f>G55*$E64</f>
        <v/>
      </c>
      <c r="H58" s="138">
        <f>H55*$E64</f>
        <v/>
      </c>
      <c r="I58" s="138">
        <f>I55*$E64</f>
        <v/>
      </c>
      <c r="J58" s="138">
        <f>J55*$E64</f>
        <v/>
      </c>
      <c r="K58" s="138">
        <f>K55*$E64</f>
        <v/>
      </c>
      <c r="L58" s="138">
        <f>L55*$E64</f>
        <v/>
      </c>
      <c r="M58" s="138">
        <f>M55*$E64</f>
        <v/>
      </c>
      <c r="N58" s="138">
        <f>N55*$E64</f>
        <v/>
      </c>
      <c r="O58" s="138">
        <f>O55*$E64</f>
        <v/>
      </c>
      <c r="P58" s="138">
        <f>P55*$E64</f>
        <v/>
      </c>
      <c r="Q58" s="138">
        <f>Q55*$E64</f>
        <v/>
      </c>
      <c r="R58" s="138">
        <f>R55*$E64</f>
        <v/>
      </c>
      <c r="S58" s="138">
        <f>S55*$E64</f>
        <v/>
      </c>
      <c r="T58" s="138">
        <f>T55*$E64</f>
        <v/>
      </c>
      <c r="U58" s="138">
        <f>U55*$E64</f>
        <v/>
      </c>
      <c r="V58" s="138">
        <f>V55*$E64</f>
        <v/>
      </c>
      <c r="W58" s="138">
        <f>W55*$E64</f>
        <v/>
      </c>
      <c r="X58" s="138">
        <f>X55*$E64</f>
        <v/>
      </c>
      <c r="Y58" s="138">
        <f>Y55*$E64</f>
        <v/>
      </c>
      <c r="Z58" s="138">
        <f>Z55*$E64</f>
        <v/>
      </c>
      <c r="AA58" s="138">
        <f>AA55*$E64</f>
        <v/>
      </c>
      <c r="AB58" s="138">
        <f>AB55*$E64</f>
        <v/>
      </c>
      <c r="AC58" s="138">
        <f>AC55*$E64</f>
        <v/>
      </c>
      <c r="AD58" s="138">
        <f>AD55*$E64</f>
        <v/>
      </c>
      <c r="AE58" s="138">
        <f>AE55*$E64</f>
        <v/>
      </c>
      <c r="AF58" s="138">
        <f>AF55*$E64</f>
        <v/>
      </c>
      <c r="AG58" s="138">
        <f>AG55*$E64</f>
        <v/>
      </c>
      <c r="AH58" s="138">
        <f>AH55*$E64</f>
        <v/>
      </c>
      <c r="AI58" s="138">
        <f>AI55*$E64</f>
        <v/>
      </c>
      <c r="AJ58" s="138">
        <f>AJ55*$E64</f>
        <v/>
      </c>
      <c r="AK58" s="138">
        <f>AK55*$E64</f>
        <v/>
      </c>
      <c r="AL58" s="138">
        <f>AL55*$E64</f>
        <v/>
      </c>
      <c r="AM58" s="138">
        <f>AM55*$E64</f>
        <v/>
      </c>
      <c r="AN58" s="138">
        <f>AN55*$E64</f>
        <v/>
      </c>
      <c r="AO58" s="138">
        <f>AO55*$E64</f>
        <v/>
      </c>
      <c r="AP58" s="138">
        <f>AP55*$E64</f>
        <v/>
      </c>
      <c r="AQ58" s="138">
        <f>AQ55*$E64</f>
        <v/>
      </c>
      <c r="AR58" s="138">
        <f>AR55*$E64</f>
        <v/>
      </c>
      <c r="AS58" s="138">
        <f>AS55*$E64</f>
        <v/>
      </c>
      <c r="AT58" s="138">
        <f>AT55*$E64</f>
        <v/>
      </c>
      <c r="AU58" s="138">
        <f>AU55*$E64</f>
        <v/>
      </c>
      <c r="AV58" s="138">
        <f>AV55*$E64</f>
        <v/>
      </c>
      <c r="AW58" s="138">
        <f>AW55*$E64</f>
        <v/>
      </c>
      <c r="AX58" s="138">
        <f>AX55*$E64</f>
        <v/>
      </c>
      <c r="AY58" s="138">
        <f>AY55*$E64</f>
        <v/>
      </c>
      <c r="AZ58" s="138">
        <f>AZ55*$E64</f>
        <v/>
      </c>
      <c r="BA58" s="138">
        <f>BA55*$E64</f>
        <v/>
      </c>
      <c r="BB58" s="138">
        <f>BB55*$E64</f>
        <v/>
      </c>
    </row>
    <row r="62" outlineLevel="1" ht="15" customHeight="1" s="91">
      <c r="A62" s="143" t="inlineStr">
        <is>
          <t>IMPORT  البيانات المستوردة (يمكن طيها ▼)</t>
        </is>
      </c>
    </row>
    <row r="63" outlineLevel="1" ht="15" customHeight="1" s="91">
      <c r="A63" s="144" t="inlineStr">
        <is>
          <t>Inputs:</t>
        </is>
      </c>
      <c r="B63" s="145" t="inlineStr">
        <is>
          <t>StartYear</t>
        </is>
      </c>
      <c r="C63" s="146">
        <f>Inputs!C7</f>
        <v/>
      </c>
      <c r="D63" s="145" t="inlineStr">
        <is>
          <t>LandRent</t>
        </is>
      </c>
      <c r="E63" s="146">
        <f>Inputs!C18</f>
        <v/>
      </c>
      <c r="F63" s="145" t="inlineStr">
        <is>
          <t>EveryN</t>
        </is>
      </c>
      <c r="G63" s="146">
        <f>Inputs!C19</f>
        <v/>
      </c>
      <c r="H63" s="145" t="inlineStr">
        <is>
          <t>Esc%</t>
        </is>
      </c>
      <c r="I63" s="147">
        <f>Inputs!C20</f>
        <v/>
      </c>
      <c r="J63" s="145" t="inlineStr">
        <is>
          <t>Grace</t>
        </is>
      </c>
      <c r="K63" s="146">
        <f>Inputs!C21</f>
        <v/>
      </c>
    </row>
    <row r="64" outlineLevel="1" ht="15" customHeight="1" s="91">
      <c r="B64" s="145" t="inlineStr">
        <is>
          <t>PhaseAlloc</t>
        </is>
      </c>
      <c r="C64" s="147">
        <f>Inputs!E45</f>
        <v/>
      </c>
      <c r="D64" s="147">
        <f>Inputs!E46</f>
        <v/>
      </c>
      <c r="E64" s="147">
        <f>Inputs!E47</f>
        <v/>
      </c>
    </row>
    <row r="65" outlineLevel="1" ht="15" customHeight="1" s="91">
      <c r="A65" s="144" t="inlineStr">
        <is>
          <t>#</t>
        </is>
      </c>
      <c r="B65" s="144" t="inlineStr">
        <is>
          <t>Asset</t>
        </is>
      </c>
      <c r="C65" s="144" t="inlineStr">
        <is>
          <t>Phase</t>
        </is>
      </c>
      <c r="D65" s="144" t="inlineStr">
        <is>
          <t>GFA</t>
        </is>
      </c>
      <c r="E65" s="144" t="inlineStr">
        <is>
          <t>Dur</t>
        </is>
      </c>
      <c r="F65" s="144" t="inlineStr">
        <is>
          <t>CAPEX</t>
        </is>
      </c>
      <c r="G65" s="144" t="inlineStr">
        <is>
          <t>StartYr</t>
        </is>
      </c>
      <c r="H65" s="144" t="inlineStr">
        <is>
          <t>EndYr</t>
        </is>
      </c>
    </row>
    <row r="66" outlineLevel="1" ht="15" customHeight="1" s="91">
      <c r="A66" s="138">
        <f>1</f>
        <v/>
      </c>
      <c r="B66" s="146">
        <f>Program!C4</f>
        <v/>
      </c>
      <c r="C66" s="146">
        <f>Program!A4</f>
        <v/>
      </c>
      <c r="D66" s="146">
        <f>Program!H4</f>
        <v/>
      </c>
      <c r="E66" s="146">
        <f>Program!S4</f>
        <v/>
      </c>
      <c r="F66" s="146">
        <f>Program!T4</f>
        <v/>
      </c>
      <c r="G66" s="146">
        <f>Program!U4</f>
        <v/>
      </c>
      <c r="H66" s="146">
        <f>Program!V4</f>
        <v/>
      </c>
    </row>
    <row r="67" outlineLevel="1" ht="15" customHeight="1" s="91">
      <c r="A67" s="138">
        <f>2</f>
        <v/>
      </c>
      <c r="B67" s="146">
        <f>Program!C5</f>
        <v/>
      </c>
      <c r="C67" s="146">
        <f>Program!A5</f>
        <v/>
      </c>
      <c r="D67" s="146">
        <f>Program!H5</f>
        <v/>
      </c>
      <c r="E67" s="146">
        <f>Program!S5</f>
        <v/>
      </c>
      <c r="F67" s="146">
        <f>Program!T5</f>
        <v/>
      </c>
      <c r="G67" s="146">
        <f>Program!U5</f>
        <v/>
      </c>
      <c r="H67" s="146">
        <f>Program!V5</f>
        <v/>
      </c>
    </row>
    <row r="68" outlineLevel="1" ht="15" customHeight="1" s="91">
      <c r="A68" s="138">
        <f>3</f>
        <v/>
      </c>
      <c r="B68" s="146">
        <f>Program!C6</f>
        <v/>
      </c>
      <c r="C68" s="146">
        <f>Program!A6</f>
        <v/>
      </c>
      <c r="D68" s="146">
        <f>Program!H6</f>
        <v/>
      </c>
      <c r="E68" s="146">
        <f>Program!S6</f>
        <v/>
      </c>
      <c r="F68" s="146">
        <f>Program!T6</f>
        <v/>
      </c>
      <c r="G68" s="146">
        <f>Program!U6</f>
        <v/>
      </c>
      <c r="H68" s="146">
        <f>Program!V6</f>
        <v/>
      </c>
    </row>
    <row r="69" outlineLevel="1" ht="15" customHeight="1" s="91">
      <c r="A69" s="138">
        <f>4</f>
        <v/>
      </c>
      <c r="B69" s="146">
        <f>Program!C7</f>
        <v/>
      </c>
      <c r="C69" s="146">
        <f>Program!A7</f>
        <v/>
      </c>
      <c r="D69" s="146">
        <f>Program!H7</f>
        <v/>
      </c>
      <c r="E69" s="146">
        <f>Program!S7</f>
        <v/>
      </c>
      <c r="F69" s="146">
        <f>Program!T7</f>
        <v/>
      </c>
      <c r="G69" s="146">
        <f>Program!U7</f>
        <v/>
      </c>
      <c r="H69" s="146">
        <f>Program!V7</f>
        <v/>
      </c>
    </row>
    <row r="70" outlineLevel="1" ht="15" customHeight="1" s="91">
      <c r="A70" s="138">
        <f>5</f>
        <v/>
      </c>
      <c r="B70" s="146">
        <f>Program!C8</f>
        <v/>
      </c>
      <c r="C70" s="146">
        <f>Program!A8</f>
        <v/>
      </c>
      <c r="D70" s="146">
        <f>Program!H8</f>
        <v/>
      </c>
      <c r="E70" s="146">
        <f>Program!S8</f>
        <v/>
      </c>
      <c r="F70" s="146">
        <f>Program!T8</f>
        <v/>
      </c>
      <c r="G70" s="146">
        <f>Program!U8</f>
        <v/>
      </c>
      <c r="H70" s="146">
        <f>Program!V8</f>
        <v/>
      </c>
    </row>
    <row r="71" outlineLevel="1" ht="15" customHeight="1" s="91">
      <c r="A71" s="138">
        <f>6</f>
        <v/>
      </c>
      <c r="B71" s="146">
        <f>Program!C9</f>
        <v/>
      </c>
      <c r="C71" s="146">
        <f>Program!A9</f>
        <v/>
      </c>
      <c r="D71" s="146">
        <f>Program!H9</f>
        <v/>
      </c>
      <c r="E71" s="146">
        <f>Program!S9</f>
        <v/>
      </c>
      <c r="F71" s="146">
        <f>Program!T9</f>
        <v/>
      </c>
      <c r="G71" s="146">
        <f>Program!U9</f>
        <v/>
      </c>
      <c r="H71" s="146">
        <f>Program!V9</f>
        <v/>
      </c>
    </row>
    <row r="72" outlineLevel="1" ht="15" customHeight="1" s="91">
      <c r="A72" s="138">
        <f>7</f>
        <v/>
      </c>
      <c r="B72" s="146">
        <f>Program!C10</f>
        <v/>
      </c>
      <c r="C72" s="146">
        <f>Program!A10</f>
        <v/>
      </c>
      <c r="D72" s="146">
        <f>Program!H10</f>
        <v/>
      </c>
      <c r="E72" s="146">
        <f>Program!S10</f>
        <v/>
      </c>
      <c r="F72" s="146">
        <f>Program!T10</f>
        <v/>
      </c>
      <c r="G72" s="146">
        <f>Program!U10</f>
        <v/>
      </c>
      <c r="H72" s="146">
        <f>Program!V10</f>
        <v/>
      </c>
    </row>
    <row r="73" outlineLevel="1" ht="15" customHeight="1" s="91">
      <c r="A73" s="138">
        <f>8</f>
        <v/>
      </c>
      <c r="B73" s="146">
        <f>Program!C11</f>
        <v/>
      </c>
      <c r="C73" s="146">
        <f>Program!A11</f>
        <v/>
      </c>
      <c r="D73" s="146">
        <f>Program!H11</f>
        <v/>
      </c>
      <c r="E73" s="146">
        <f>Program!S11</f>
        <v/>
      </c>
      <c r="F73" s="146">
        <f>Program!T11</f>
        <v/>
      </c>
      <c r="G73" s="146">
        <f>Program!U11</f>
        <v/>
      </c>
      <c r="H73" s="146">
        <f>Program!V11</f>
        <v/>
      </c>
    </row>
    <row r="74" outlineLevel="1" ht="15" customHeight="1" s="91">
      <c r="A74" s="138">
        <f>9</f>
        <v/>
      </c>
      <c r="B74" s="146">
        <f>Program!C12</f>
        <v/>
      </c>
      <c r="C74" s="146">
        <f>Program!A12</f>
        <v/>
      </c>
      <c r="D74" s="146">
        <f>Program!H12</f>
        <v/>
      </c>
      <c r="E74" s="146">
        <f>Program!S12</f>
        <v/>
      </c>
      <c r="F74" s="146">
        <f>Program!T12</f>
        <v/>
      </c>
      <c r="G74" s="146">
        <f>Program!U12</f>
        <v/>
      </c>
      <c r="H74" s="146">
        <f>Program!V12</f>
        <v/>
      </c>
    </row>
    <row r="75" outlineLevel="1" ht="15" customHeight="1" s="91">
      <c r="A75" s="138">
        <f>10</f>
        <v/>
      </c>
      <c r="B75" s="146">
        <f>Program!C13</f>
        <v/>
      </c>
      <c r="C75" s="146">
        <f>Program!A13</f>
        <v/>
      </c>
      <c r="D75" s="146">
        <f>Program!H13</f>
        <v/>
      </c>
      <c r="E75" s="146">
        <f>Program!S13</f>
        <v/>
      </c>
      <c r="F75" s="146">
        <f>Program!T13</f>
        <v/>
      </c>
      <c r="G75" s="146">
        <f>Program!U13</f>
        <v/>
      </c>
      <c r="H75" s="146">
        <f>Program!V13</f>
        <v/>
      </c>
    </row>
    <row r="76" outlineLevel="1" ht="15" customHeight="1" s="91">
      <c r="A76" s="138">
        <f>11</f>
        <v/>
      </c>
      <c r="B76" s="146">
        <f>Program!C14</f>
        <v/>
      </c>
      <c r="C76" s="146">
        <f>Program!A14</f>
        <v/>
      </c>
      <c r="D76" s="146">
        <f>Program!H14</f>
        <v/>
      </c>
      <c r="E76" s="146">
        <f>Program!S14</f>
        <v/>
      </c>
      <c r="F76" s="146">
        <f>Program!T14</f>
        <v/>
      </c>
      <c r="G76" s="146">
        <f>Program!U14</f>
        <v/>
      </c>
      <c r="H76" s="146">
        <f>Program!V14</f>
        <v/>
      </c>
    </row>
    <row r="77" outlineLevel="1" ht="15" customHeight="1" s="91">
      <c r="A77" s="138">
        <f>12</f>
        <v/>
      </c>
      <c r="B77" s="146">
        <f>Program!C15</f>
        <v/>
      </c>
      <c r="C77" s="146">
        <f>Program!A15</f>
        <v/>
      </c>
      <c r="D77" s="146">
        <f>Program!H15</f>
        <v/>
      </c>
      <c r="E77" s="146">
        <f>Program!S15</f>
        <v/>
      </c>
      <c r="F77" s="146">
        <f>Program!T15</f>
        <v/>
      </c>
      <c r="G77" s="146">
        <f>Program!U15</f>
        <v/>
      </c>
      <c r="H77" s="146">
        <f>Program!V15</f>
        <v/>
      </c>
    </row>
    <row r="78" outlineLevel="1" ht="15" customHeight="1" s="91">
      <c r="A78" s="138">
        <f>13</f>
        <v/>
      </c>
      <c r="B78" s="146">
        <f>Program!C16</f>
        <v/>
      </c>
      <c r="C78" s="146">
        <f>Program!A16</f>
        <v/>
      </c>
      <c r="D78" s="146">
        <f>Program!H16</f>
        <v/>
      </c>
      <c r="E78" s="146">
        <f>Program!S16</f>
        <v/>
      </c>
      <c r="F78" s="146">
        <f>Program!T16</f>
        <v/>
      </c>
      <c r="G78" s="146">
        <f>Program!U16</f>
        <v/>
      </c>
      <c r="H78" s="146">
        <f>Program!V16</f>
        <v/>
      </c>
    </row>
    <row r="79" outlineLevel="1" ht="15" customHeight="1" s="91">
      <c r="A79" s="138">
        <f>14</f>
        <v/>
      </c>
      <c r="B79" s="146">
        <f>Program!C17</f>
        <v/>
      </c>
      <c r="C79" s="146">
        <f>Program!A17</f>
        <v/>
      </c>
      <c r="D79" s="146">
        <f>Program!H17</f>
        <v/>
      </c>
      <c r="E79" s="146">
        <f>Program!S17</f>
        <v/>
      </c>
      <c r="F79" s="146">
        <f>Program!T17</f>
        <v/>
      </c>
      <c r="G79" s="146">
        <f>Program!U17</f>
        <v/>
      </c>
      <c r="H79" s="146">
        <f>Program!V17</f>
        <v/>
      </c>
    </row>
    <row r="80" outlineLevel="1" ht="15" customHeight="1" s="91">
      <c r="A80" s="138">
        <f>15</f>
        <v/>
      </c>
      <c r="B80" s="146">
        <f>Program!C18</f>
        <v/>
      </c>
      <c r="C80" s="146">
        <f>Program!A18</f>
        <v/>
      </c>
      <c r="D80" s="146">
        <f>Program!H18</f>
        <v/>
      </c>
      <c r="E80" s="146">
        <f>Program!S18</f>
        <v/>
      </c>
      <c r="F80" s="146">
        <f>Program!T18</f>
        <v/>
      </c>
      <c r="G80" s="146">
        <f>Program!U18</f>
        <v/>
      </c>
      <c r="H80" s="146">
        <f>Program!V18</f>
        <v/>
      </c>
    </row>
    <row r="81" outlineLevel="1" ht="15" customHeight="1" s="91">
      <c r="A81" s="138">
        <f>16</f>
        <v/>
      </c>
      <c r="B81" s="146">
        <f>Program!C19</f>
        <v/>
      </c>
      <c r="C81" s="146">
        <f>Program!A19</f>
        <v/>
      </c>
      <c r="D81" s="146">
        <f>Program!H19</f>
        <v/>
      </c>
      <c r="E81" s="146">
        <f>Program!S19</f>
        <v/>
      </c>
      <c r="F81" s="146">
        <f>Program!T19</f>
        <v/>
      </c>
      <c r="G81" s="146">
        <f>Program!U19</f>
        <v/>
      </c>
      <c r="H81" s="146">
        <f>Program!V19</f>
        <v/>
      </c>
    </row>
    <row r="82" outlineLevel="1" ht="15" customHeight="1" s="91">
      <c r="A82" s="138">
        <f>17</f>
        <v/>
      </c>
      <c r="B82" s="146">
        <f>Program!C20</f>
        <v/>
      </c>
      <c r="C82" s="146">
        <f>Program!A20</f>
        <v/>
      </c>
      <c r="D82" s="146">
        <f>Program!H20</f>
        <v/>
      </c>
      <c r="E82" s="146">
        <f>Program!S20</f>
        <v/>
      </c>
      <c r="F82" s="146">
        <f>Program!T20</f>
        <v/>
      </c>
      <c r="G82" s="146">
        <f>Program!U20</f>
        <v/>
      </c>
      <c r="H82" s="146">
        <f>Program!V20</f>
        <v/>
      </c>
    </row>
    <row r="83" outlineLevel="1" ht="15" customHeight="1" s="91">
      <c r="A83" s="138">
        <f>18</f>
        <v/>
      </c>
      <c r="B83" s="146">
        <f>Program!C21</f>
        <v/>
      </c>
      <c r="C83" s="146">
        <f>Program!A21</f>
        <v/>
      </c>
      <c r="D83" s="146">
        <f>Program!H21</f>
        <v/>
      </c>
      <c r="E83" s="146">
        <f>Program!S21</f>
        <v/>
      </c>
      <c r="F83" s="146">
        <f>Program!T21</f>
        <v/>
      </c>
      <c r="G83" s="146">
        <f>Program!U21</f>
        <v/>
      </c>
      <c r="H83" s="146">
        <f>Program!V21</f>
        <v/>
      </c>
    </row>
    <row r="84" outlineLevel="1" ht="15" customHeight="1" s="91">
      <c r="A84" s="138">
        <f>19</f>
        <v/>
      </c>
      <c r="B84" s="146">
        <f>Program!C22</f>
        <v/>
      </c>
      <c r="C84" s="146">
        <f>Program!A22</f>
        <v/>
      </c>
      <c r="D84" s="146">
        <f>Program!H22</f>
        <v/>
      </c>
      <c r="E84" s="146">
        <f>Program!S22</f>
        <v/>
      </c>
      <c r="F84" s="146">
        <f>Program!T22</f>
        <v/>
      </c>
      <c r="G84" s="146">
        <f>Program!U22</f>
        <v/>
      </c>
      <c r="H84" s="146">
        <f>Program!V22</f>
        <v/>
      </c>
    </row>
    <row r="85" outlineLevel="1" ht="15" customHeight="1" s="91">
      <c r="A85" s="138">
        <f>20</f>
        <v/>
      </c>
      <c r="B85" s="146">
        <f>Program!C23</f>
        <v/>
      </c>
      <c r="C85" s="146">
        <f>Program!A23</f>
        <v/>
      </c>
      <c r="D85" s="146">
        <f>Program!H23</f>
        <v/>
      </c>
      <c r="E85" s="146">
        <f>Program!S23</f>
        <v/>
      </c>
      <c r="F85" s="146">
        <f>Program!T23</f>
        <v/>
      </c>
      <c r="G85" s="146">
        <f>Program!U23</f>
        <v/>
      </c>
      <c r="H85" s="146">
        <f>Program!V23</f>
        <v/>
      </c>
    </row>
    <row r="86" outlineLevel="1" ht="15" customHeight="1" s="91">
      <c r="A86" s="138">
        <f>21</f>
        <v/>
      </c>
      <c r="B86" s="146">
        <f>Program!C24</f>
        <v/>
      </c>
      <c r="C86" s="146">
        <f>Program!A24</f>
        <v/>
      </c>
      <c r="D86" s="146">
        <f>Program!H24</f>
        <v/>
      </c>
      <c r="E86" s="146">
        <f>Program!S24</f>
        <v/>
      </c>
      <c r="F86" s="146">
        <f>Program!T24</f>
        <v/>
      </c>
      <c r="G86" s="146">
        <f>Program!U24</f>
        <v/>
      </c>
      <c r="H86" s="146">
        <f>Program!V24</f>
        <v/>
      </c>
    </row>
    <row r="87" outlineLevel="1" ht="15" customHeight="1" s="91">
      <c r="A87" s="138">
        <f>22</f>
        <v/>
      </c>
      <c r="B87" s="146">
        <f>Program!C25</f>
        <v/>
      </c>
      <c r="C87" s="146">
        <f>Program!A25</f>
        <v/>
      </c>
      <c r="D87" s="146">
        <f>Program!H25</f>
        <v/>
      </c>
      <c r="E87" s="146">
        <f>Program!S25</f>
        <v/>
      </c>
      <c r="F87" s="146">
        <f>Program!T25</f>
        <v/>
      </c>
      <c r="G87" s="146">
        <f>Program!U25</f>
        <v/>
      </c>
      <c r="H87" s="146">
        <f>Program!V25</f>
        <v/>
      </c>
    </row>
    <row r="88" outlineLevel="1" ht="15" customHeight="1" s="91">
      <c r="A88" s="138">
        <f>23</f>
        <v/>
      </c>
      <c r="B88" s="146">
        <f>Program!C26</f>
        <v/>
      </c>
      <c r="C88" s="146">
        <f>Program!A26</f>
        <v/>
      </c>
      <c r="D88" s="146">
        <f>Program!H26</f>
        <v/>
      </c>
      <c r="E88" s="146">
        <f>Program!S26</f>
        <v/>
      </c>
      <c r="F88" s="146">
        <f>Program!T26</f>
        <v/>
      </c>
      <c r="G88" s="146">
        <f>Program!U26</f>
        <v/>
      </c>
      <c r="H88" s="146">
        <f>Program!V26</f>
        <v/>
      </c>
    </row>
    <row r="89" outlineLevel="1" ht="15" customHeight="1" s="91">
      <c r="A89" s="138">
        <f>24</f>
        <v/>
      </c>
      <c r="B89" s="146">
        <f>Program!C27</f>
        <v/>
      </c>
      <c r="C89" s="146">
        <f>Program!A27</f>
        <v/>
      </c>
      <c r="D89" s="146">
        <f>Program!H27</f>
        <v/>
      </c>
      <c r="E89" s="146">
        <f>Program!S27</f>
        <v/>
      </c>
      <c r="F89" s="146">
        <f>Program!T27</f>
        <v/>
      </c>
      <c r="G89" s="146">
        <f>Program!U27</f>
        <v/>
      </c>
      <c r="H89" s="146">
        <f>Program!V27</f>
        <v/>
      </c>
    </row>
    <row r="90" outlineLevel="1" ht="15" customHeight="1" s="91">
      <c r="A90" s="138">
        <f>25</f>
        <v/>
      </c>
      <c r="B90" s="146">
        <f>Program!C28</f>
        <v/>
      </c>
      <c r="C90" s="146">
        <f>Program!A28</f>
        <v/>
      </c>
      <c r="D90" s="146">
        <f>Program!H28</f>
        <v/>
      </c>
      <c r="E90" s="146">
        <f>Program!S28</f>
        <v/>
      </c>
      <c r="F90" s="146">
        <f>Program!T28</f>
        <v/>
      </c>
      <c r="G90" s="146">
        <f>Program!U28</f>
        <v/>
      </c>
      <c r="H90" s="146">
        <f>Program!V28</f>
        <v/>
      </c>
    </row>
    <row r="91" outlineLevel="1" ht="15" customHeight="1" s="91">
      <c r="A91" s="138">
        <f>26</f>
        <v/>
      </c>
      <c r="B91" s="146">
        <f>Program!C29</f>
        <v/>
      </c>
      <c r="C91" s="146">
        <f>Program!A29</f>
        <v/>
      </c>
      <c r="D91" s="146">
        <f>Program!H29</f>
        <v/>
      </c>
      <c r="E91" s="146">
        <f>Program!S29</f>
        <v/>
      </c>
      <c r="F91" s="146">
        <f>Program!T29</f>
        <v/>
      </c>
      <c r="G91" s="146">
        <f>Program!U29</f>
        <v/>
      </c>
      <c r="H91" s="146">
        <f>Program!V29</f>
        <v/>
      </c>
    </row>
    <row r="92" outlineLevel="1" ht="15" customHeight="1" s="91">
      <c r="A92" s="138">
        <f>27</f>
        <v/>
      </c>
      <c r="B92" s="146">
        <f>Program!C30</f>
        <v/>
      </c>
      <c r="C92" s="146">
        <f>Program!A30</f>
        <v/>
      </c>
      <c r="D92" s="146">
        <f>Program!H30</f>
        <v/>
      </c>
      <c r="E92" s="146">
        <f>Program!S30</f>
        <v/>
      </c>
      <c r="F92" s="146">
        <f>Program!T30</f>
        <v/>
      </c>
      <c r="G92" s="146">
        <f>Program!U30</f>
        <v/>
      </c>
      <c r="H92" s="146">
        <f>Program!V30</f>
        <v/>
      </c>
    </row>
    <row r="93" outlineLevel="1" ht="15" customHeight="1" s="91">
      <c r="A93" s="138">
        <f>28</f>
        <v/>
      </c>
      <c r="B93" s="146">
        <f>Program!C31</f>
        <v/>
      </c>
      <c r="C93" s="146">
        <f>Program!A31</f>
        <v/>
      </c>
      <c r="D93" s="146">
        <f>Program!H31</f>
        <v/>
      </c>
      <c r="E93" s="146">
        <f>Program!S31</f>
        <v/>
      </c>
      <c r="F93" s="146">
        <f>Program!T31</f>
        <v/>
      </c>
      <c r="G93" s="146">
        <f>Program!U31</f>
        <v/>
      </c>
      <c r="H93" s="146">
        <f>Program!V31</f>
        <v/>
      </c>
    </row>
    <row r="94" outlineLevel="1" ht="15" customHeight="1" s="91">
      <c r="A94" s="138">
        <f>29</f>
        <v/>
      </c>
      <c r="B94" s="146">
        <f>Program!C32</f>
        <v/>
      </c>
      <c r="C94" s="146">
        <f>Program!A32</f>
        <v/>
      </c>
      <c r="D94" s="146">
        <f>Program!H32</f>
        <v/>
      </c>
      <c r="E94" s="146">
        <f>Program!S32</f>
        <v/>
      </c>
      <c r="F94" s="146">
        <f>Program!T32</f>
        <v/>
      </c>
      <c r="G94" s="146">
        <f>Program!U32</f>
        <v/>
      </c>
      <c r="H94" s="146">
        <f>Program!V32</f>
        <v/>
      </c>
    </row>
    <row r="95" outlineLevel="1" ht="15" customHeight="1" s="91">
      <c r="A95" s="138">
        <f>30</f>
        <v/>
      </c>
      <c r="B95" s="146">
        <f>Program!C33</f>
        <v/>
      </c>
      <c r="C95" s="146">
        <f>Program!A33</f>
        <v/>
      </c>
      <c r="D95" s="146">
        <f>Program!H33</f>
        <v/>
      </c>
      <c r="E95" s="146">
        <f>Program!S33</f>
        <v/>
      </c>
      <c r="F95" s="146">
        <f>Program!T33</f>
        <v/>
      </c>
      <c r="G95" s="146">
        <f>Program!U33</f>
        <v/>
      </c>
      <c r="H95" s="146">
        <f>Program!V33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BB1"/>
    <mergeCell ref="A62:H6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24" customWidth="1" style="90" min="2" max="2"/>
    <col width="8" customWidth="1" style="90" min="3" max="3"/>
    <col width="14" customWidth="1" style="90" min="4" max="4"/>
    <col width="12" customWidth="1" style="90" min="5" max="54"/>
  </cols>
  <sheetData>
    <row r="1" ht="36" customHeight="1" s="91">
      <c r="A1" s="136" t="inlineStr">
        <is>
          <t>REVENUE SCHEDULE  جدول الإيرادات</t>
        </is>
      </c>
    </row>
    <row r="3" ht="15" customHeight="1" s="91">
      <c r="A3" s="105" t="inlineStr">
        <is>
          <t>#</t>
        </is>
      </c>
      <c r="B3" s="105" t="inlineStr">
        <is>
          <t>Asset</t>
        </is>
      </c>
      <c r="C3" s="105" t="inlineStr">
        <is>
          <t>Phase</t>
        </is>
      </c>
      <c r="D3" s="105" t="inlineStr">
        <is>
          <t>Total</t>
        </is>
      </c>
      <c r="E3" s="137">
        <f>$C93+0</f>
        <v/>
      </c>
      <c r="F3" s="137">
        <f>$C93+1</f>
        <v/>
      </c>
      <c r="G3" s="137">
        <f>$C93+2</f>
        <v/>
      </c>
      <c r="H3" s="137">
        <f>$C93+3</f>
        <v/>
      </c>
      <c r="I3" s="137">
        <f>$C93+4</f>
        <v/>
      </c>
      <c r="J3" s="137">
        <f>$C93+5</f>
        <v/>
      </c>
      <c r="K3" s="137">
        <f>$C93+6</f>
        <v/>
      </c>
      <c r="L3" s="137">
        <f>$C93+7</f>
        <v/>
      </c>
      <c r="M3" s="137">
        <f>$C93+8</f>
        <v/>
      </c>
      <c r="N3" s="137">
        <f>$C93+9</f>
        <v/>
      </c>
      <c r="O3" s="137">
        <f>$C93+10</f>
        <v/>
      </c>
      <c r="P3" s="137">
        <f>$C93+11</f>
        <v/>
      </c>
      <c r="Q3" s="137">
        <f>$C93+12</f>
        <v/>
      </c>
      <c r="R3" s="137">
        <f>$C93+13</f>
        <v/>
      </c>
      <c r="S3" s="137">
        <f>$C93+14</f>
        <v/>
      </c>
      <c r="T3" s="137">
        <f>$C93+15</f>
        <v/>
      </c>
      <c r="U3" s="137">
        <f>$C93+16</f>
        <v/>
      </c>
      <c r="V3" s="137">
        <f>$C93+17</f>
        <v/>
      </c>
      <c r="W3" s="137">
        <f>$C93+18</f>
        <v/>
      </c>
      <c r="X3" s="137">
        <f>$C93+19</f>
        <v/>
      </c>
      <c r="Y3" s="137">
        <f>$C93+20</f>
        <v/>
      </c>
      <c r="Z3" s="137">
        <f>$C93+21</f>
        <v/>
      </c>
      <c r="AA3" s="137">
        <f>$C93+22</f>
        <v/>
      </c>
      <c r="AB3" s="137">
        <f>$C93+23</f>
        <v/>
      </c>
      <c r="AC3" s="137">
        <f>$C93+24</f>
        <v/>
      </c>
      <c r="AD3" s="137">
        <f>$C93+25</f>
        <v/>
      </c>
      <c r="AE3" s="137">
        <f>$C93+26</f>
        <v/>
      </c>
      <c r="AF3" s="137">
        <f>$C93+27</f>
        <v/>
      </c>
      <c r="AG3" s="137">
        <f>$C93+28</f>
        <v/>
      </c>
      <c r="AH3" s="137">
        <f>$C93+29</f>
        <v/>
      </c>
      <c r="AI3" s="137">
        <f>$C93+30</f>
        <v/>
      </c>
      <c r="AJ3" s="137">
        <f>$C93+31</f>
        <v/>
      </c>
      <c r="AK3" s="137">
        <f>$C93+32</f>
        <v/>
      </c>
      <c r="AL3" s="137">
        <f>$C93+33</f>
        <v/>
      </c>
      <c r="AM3" s="137">
        <f>$C93+34</f>
        <v/>
      </c>
      <c r="AN3" s="137">
        <f>$C93+35</f>
        <v/>
      </c>
      <c r="AO3" s="137">
        <f>$C93+36</f>
        <v/>
      </c>
      <c r="AP3" s="137">
        <f>$C93+37</f>
        <v/>
      </c>
      <c r="AQ3" s="137">
        <f>$C93+38</f>
        <v/>
      </c>
      <c r="AR3" s="137">
        <f>$C93+39</f>
        <v/>
      </c>
      <c r="AS3" s="137">
        <f>$C93+40</f>
        <v/>
      </c>
      <c r="AT3" s="137">
        <f>$C93+41</f>
        <v/>
      </c>
      <c r="AU3" s="137">
        <f>$C93+42</f>
        <v/>
      </c>
      <c r="AV3" s="137">
        <f>$C93+43</f>
        <v/>
      </c>
      <c r="AW3" s="137">
        <f>$C93+44</f>
        <v/>
      </c>
      <c r="AX3" s="137">
        <f>$C93+45</f>
        <v/>
      </c>
      <c r="AY3" s="137">
        <f>$C93+46</f>
        <v/>
      </c>
      <c r="AZ3" s="137">
        <f>$C93+47</f>
        <v/>
      </c>
      <c r="BA3" s="137">
        <f>$C93+48</f>
        <v/>
      </c>
      <c r="BB3" s="137">
        <f>$C93+49</f>
        <v/>
      </c>
    </row>
    <row r="4" ht="15" customHeight="1" s="91">
      <c r="A4" s="138">
        <f>A95</f>
        <v/>
      </c>
      <c r="B4" s="138">
        <f>B95</f>
        <v/>
      </c>
      <c r="C4" s="138">
        <f>C95</f>
        <v/>
      </c>
      <c r="D4" s="138">
        <f>SUM(E4:BB4)</f>
        <v/>
      </c>
      <c r="E4" s="138">
        <f>IF(OR(E95=0,E$3&lt;D95),0,E95*IF(G95=0,H95,MIN(H95,H95*(E$3-D95+1)/MAX(1,G95)))*(1+F95)^(E$3-D95)*$E93)</f>
        <v/>
      </c>
      <c r="F4" s="138">
        <f>IF(OR(E95=0,F$3&lt;D95),0,E95*IF(G95=0,H95,MIN(H95,H95*(F$3-D95+1)/MAX(1,G95)))*(1+F95)^(F$3-D95)*$E93)</f>
        <v/>
      </c>
      <c r="G4" s="138">
        <f>IF(OR(E95=0,G$3&lt;D95),0,E95*IF(G95=0,H95,MIN(H95,H95*(G$3-D95+1)/MAX(1,G95)))*(1+F95)^(G$3-D95)*$E93)</f>
        <v/>
      </c>
      <c r="H4" s="138">
        <f>IF(OR(E95=0,H$3&lt;D95),0,E95*IF(G95=0,H95,MIN(H95,H95*(H$3-D95+1)/MAX(1,G95)))*(1+F95)^(H$3-D95)*$E93)</f>
        <v/>
      </c>
      <c r="I4" s="138">
        <f>IF(OR(E95=0,I$3&lt;D95),0,E95*IF(G95=0,H95,MIN(H95,H95*(I$3-D95+1)/MAX(1,G95)))*(1+F95)^(I$3-D95)*$E93)</f>
        <v/>
      </c>
      <c r="J4" s="138">
        <f>IF(OR(E95=0,J$3&lt;D95),0,E95*IF(G95=0,H95,MIN(H95,H95*(J$3-D95+1)/MAX(1,G95)))*(1+F95)^(J$3-D95)*$E93)</f>
        <v/>
      </c>
      <c r="K4" s="138">
        <f>IF(OR(E95=0,K$3&lt;D95),0,E95*IF(G95=0,H95,MIN(H95,H95*(K$3-D95+1)/MAX(1,G95)))*(1+F95)^(K$3-D95)*$E93)</f>
        <v/>
      </c>
      <c r="L4" s="138">
        <f>IF(OR(E95=0,L$3&lt;D95),0,E95*IF(G95=0,H95,MIN(H95,H95*(L$3-D95+1)/MAX(1,G95)))*(1+F95)^(L$3-D95)*$E93)</f>
        <v/>
      </c>
      <c r="M4" s="138">
        <f>IF(OR(E95=0,M$3&lt;D95),0,E95*IF(G95=0,H95,MIN(H95,H95*(M$3-D95+1)/MAX(1,G95)))*(1+F95)^(M$3-D95)*$E93)</f>
        <v/>
      </c>
      <c r="N4" s="138">
        <f>IF(OR(E95=0,N$3&lt;D95),0,E95*IF(G95=0,H95,MIN(H95,H95*(N$3-D95+1)/MAX(1,G95)))*(1+F95)^(N$3-D95)*$E93)</f>
        <v/>
      </c>
      <c r="O4" s="138">
        <f>IF(OR(E95=0,O$3&lt;D95),0,E95*IF(G95=0,H95,MIN(H95,H95*(O$3-D95+1)/MAX(1,G95)))*(1+F95)^(O$3-D95)*$E93)</f>
        <v/>
      </c>
      <c r="P4" s="138">
        <f>IF(OR(E95=0,P$3&lt;D95),0,E95*IF(G95=0,H95,MIN(H95,H95*(P$3-D95+1)/MAX(1,G95)))*(1+F95)^(P$3-D95)*$E93)</f>
        <v/>
      </c>
      <c r="Q4" s="138">
        <f>IF(OR(E95=0,Q$3&lt;D95),0,E95*IF(G95=0,H95,MIN(H95,H95*(Q$3-D95+1)/MAX(1,G95)))*(1+F95)^(Q$3-D95)*$E93)</f>
        <v/>
      </c>
      <c r="R4" s="138">
        <f>IF(OR(E95=0,R$3&lt;D95),0,E95*IF(G95=0,H95,MIN(H95,H95*(R$3-D95+1)/MAX(1,G95)))*(1+F95)^(R$3-D95)*$E93)</f>
        <v/>
      </c>
      <c r="S4" s="138">
        <f>IF(OR(E95=0,S$3&lt;D95),0,E95*IF(G95=0,H95,MIN(H95,H95*(S$3-D95+1)/MAX(1,G95)))*(1+F95)^(S$3-D95)*$E93)</f>
        <v/>
      </c>
      <c r="T4" s="138">
        <f>IF(OR(E95=0,T$3&lt;D95),0,E95*IF(G95=0,H95,MIN(H95,H95*(T$3-D95+1)/MAX(1,G95)))*(1+F95)^(T$3-D95)*$E93)</f>
        <v/>
      </c>
      <c r="U4" s="138">
        <f>IF(OR(E95=0,U$3&lt;D95),0,E95*IF(G95=0,H95,MIN(H95,H95*(U$3-D95+1)/MAX(1,G95)))*(1+F95)^(U$3-D95)*$E93)</f>
        <v/>
      </c>
      <c r="V4" s="138">
        <f>IF(OR(E95=0,V$3&lt;D95),0,E95*IF(G95=0,H95,MIN(H95,H95*(V$3-D95+1)/MAX(1,G95)))*(1+F95)^(V$3-D95)*$E93)</f>
        <v/>
      </c>
      <c r="W4" s="138">
        <f>IF(OR(E95=0,W$3&lt;D95),0,E95*IF(G95=0,H95,MIN(H95,H95*(W$3-D95+1)/MAX(1,G95)))*(1+F95)^(W$3-D95)*$E93)</f>
        <v/>
      </c>
      <c r="X4" s="138">
        <f>IF(OR(E95=0,X$3&lt;D95),0,E95*IF(G95=0,H95,MIN(H95,H95*(X$3-D95+1)/MAX(1,G95)))*(1+F95)^(X$3-D95)*$E93)</f>
        <v/>
      </c>
      <c r="Y4" s="138">
        <f>IF(OR(E95=0,Y$3&lt;D95),0,E95*IF(G95=0,H95,MIN(H95,H95*(Y$3-D95+1)/MAX(1,G95)))*(1+F95)^(Y$3-D95)*$E93)</f>
        <v/>
      </c>
      <c r="Z4" s="138">
        <f>IF(OR(E95=0,Z$3&lt;D95),0,E95*IF(G95=0,H95,MIN(H95,H95*(Z$3-D95+1)/MAX(1,G95)))*(1+F95)^(Z$3-D95)*$E93)</f>
        <v/>
      </c>
      <c r="AA4" s="138">
        <f>IF(OR(E95=0,AA$3&lt;D95),0,E95*IF(G95=0,H95,MIN(H95,H95*(AA$3-D95+1)/MAX(1,G95)))*(1+F95)^(AA$3-D95)*$E93)</f>
        <v/>
      </c>
      <c r="AB4" s="138">
        <f>IF(OR(E95=0,AB$3&lt;D95),0,E95*IF(G95=0,H95,MIN(H95,H95*(AB$3-D95+1)/MAX(1,G95)))*(1+F95)^(AB$3-D95)*$E93)</f>
        <v/>
      </c>
      <c r="AC4" s="138">
        <f>IF(OR(E95=0,AC$3&lt;D95),0,E95*IF(G95=0,H95,MIN(H95,H95*(AC$3-D95+1)/MAX(1,G95)))*(1+F95)^(AC$3-D95)*$E93)</f>
        <v/>
      </c>
      <c r="AD4" s="138">
        <f>IF(OR(E95=0,AD$3&lt;D95),0,E95*IF(G95=0,H95,MIN(H95,H95*(AD$3-D95+1)/MAX(1,G95)))*(1+F95)^(AD$3-D95)*$E93)</f>
        <v/>
      </c>
      <c r="AE4" s="138">
        <f>IF(OR(E95=0,AE$3&lt;D95),0,E95*IF(G95=0,H95,MIN(H95,H95*(AE$3-D95+1)/MAX(1,G95)))*(1+F95)^(AE$3-D95)*$E93)</f>
        <v/>
      </c>
      <c r="AF4" s="138">
        <f>IF(OR(E95=0,AF$3&lt;D95),0,E95*IF(G95=0,H95,MIN(H95,H95*(AF$3-D95+1)/MAX(1,G95)))*(1+F95)^(AF$3-D95)*$E93)</f>
        <v/>
      </c>
      <c r="AG4" s="138">
        <f>IF(OR(E95=0,AG$3&lt;D95),0,E95*IF(G95=0,H95,MIN(H95,H95*(AG$3-D95+1)/MAX(1,G95)))*(1+F95)^(AG$3-D95)*$E93)</f>
        <v/>
      </c>
      <c r="AH4" s="138">
        <f>IF(OR(E95=0,AH$3&lt;D95),0,E95*IF(G95=0,H95,MIN(H95,H95*(AH$3-D95+1)/MAX(1,G95)))*(1+F95)^(AH$3-D95)*$E93)</f>
        <v/>
      </c>
      <c r="AI4" s="138">
        <f>IF(OR(E95=0,AI$3&lt;D95),0,E95*IF(G95=0,H95,MIN(H95,H95*(AI$3-D95+1)/MAX(1,G95)))*(1+F95)^(AI$3-D95)*$E93)</f>
        <v/>
      </c>
      <c r="AJ4" s="138">
        <f>IF(OR(E95=0,AJ$3&lt;D95),0,E95*IF(G95=0,H95,MIN(H95,H95*(AJ$3-D95+1)/MAX(1,G95)))*(1+F95)^(AJ$3-D95)*$E93)</f>
        <v/>
      </c>
      <c r="AK4" s="138">
        <f>IF(OR(E95=0,AK$3&lt;D95),0,E95*IF(G95=0,H95,MIN(H95,H95*(AK$3-D95+1)/MAX(1,G95)))*(1+F95)^(AK$3-D95)*$E93)</f>
        <v/>
      </c>
      <c r="AL4" s="138">
        <f>IF(OR(E95=0,AL$3&lt;D95),0,E95*IF(G95=0,H95,MIN(H95,H95*(AL$3-D95+1)/MAX(1,G95)))*(1+F95)^(AL$3-D95)*$E93)</f>
        <v/>
      </c>
      <c r="AM4" s="138">
        <f>IF(OR(E95=0,AM$3&lt;D95),0,E95*IF(G95=0,H95,MIN(H95,H95*(AM$3-D95+1)/MAX(1,G95)))*(1+F95)^(AM$3-D95)*$E93)</f>
        <v/>
      </c>
      <c r="AN4" s="138">
        <f>IF(OR(E95=0,AN$3&lt;D95),0,E95*IF(G95=0,H95,MIN(H95,H95*(AN$3-D95+1)/MAX(1,G95)))*(1+F95)^(AN$3-D95)*$E93)</f>
        <v/>
      </c>
      <c r="AO4" s="138">
        <f>IF(OR(E95=0,AO$3&lt;D95),0,E95*IF(G95=0,H95,MIN(H95,H95*(AO$3-D95+1)/MAX(1,G95)))*(1+F95)^(AO$3-D95)*$E93)</f>
        <v/>
      </c>
      <c r="AP4" s="138">
        <f>IF(OR(E95=0,AP$3&lt;D95),0,E95*IF(G95=0,H95,MIN(H95,H95*(AP$3-D95+1)/MAX(1,G95)))*(1+F95)^(AP$3-D95)*$E93)</f>
        <v/>
      </c>
      <c r="AQ4" s="138">
        <f>IF(OR(E95=0,AQ$3&lt;D95),0,E95*IF(G95=0,H95,MIN(H95,H95*(AQ$3-D95+1)/MAX(1,G95)))*(1+F95)^(AQ$3-D95)*$E93)</f>
        <v/>
      </c>
      <c r="AR4" s="138">
        <f>IF(OR(E95=0,AR$3&lt;D95),0,E95*IF(G95=0,H95,MIN(H95,H95*(AR$3-D95+1)/MAX(1,G95)))*(1+F95)^(AR$3-D95)*$E93)</f>
        <v/>
      </c>
      <c r="AS4" s="138">
        <f>IF(OR(E95=0,AS$3&lt;D95),0,E95*IF(G95=0,H95,MIN(H95,H95*(AS$3-D95+1)/MAX(1,G95)))*(1+F95)^(AS$3-D95)*$E93)</f>
        <v/>
      </c>
      <c r="AT4" s="138">
        <f>IF(OR(E95=0,AT$3&lt;D95),0,E95*IF(G95=0,H95,MIN(H95,H95*(AT$3-D95+1)/MAX(1,G95)))*(1+F95)^(AT$3-D95)*$E93)</f>
        <v/>
      </c>
      <c r="AU4" s="138">
        <f>IF(OR(E95=0,AU$3&lt;D95),0,E95*IF(G95=0,H95,MIN(H95,H95*(AU$3-D95+1)/MAX(1,G95)))*(1+F95)^(AU$3-D95)*$E93)</f>
        <v/>
      </c>
      <c r="AV4" s="138">
        <f>IF(OR(E95=0,AV$3&lt;D95),0,E95*IF(G95=0,H95,MIN(H95,H95*(AV$3-D95+1)/MAX(1,G95)))*(1+F95)^(AV$3-D95)*$E93)</f>
        <v/>
      </c>
      <c r="AW4" s="138">
        <f>IF(OR(E95=0,AW$3&lt;D95),0,E95*IF(G95=0,H95,MIN(H95,H95*(AW$3-D95+1)/MAX(1,G95)))*(1+F95)^(AW$3-D95)*$E93)</f>
        <v/>
      </c>
      <c r="AX4" s="138">
        <f>IF(OR(E95=0,AX$3&lt;D95),0,E95*IF(G95=0,H95,MIN(H95,H95*(AX$3-D95+1)/MAX(1,G95)))*(1+F95)^(AX$3-D95)*$E93)</f>
        <v/>
      </c>
      <c r="AY4" s="138">
        <f>IF(OR(E95=0,AY$3&lt;D95),0,E95*IF(G95=0,H95,MIN(H95,H95*(AY$3-D95+1)/MAX(1,G95)))*(1+F95)^(AY$3-D95)*$E93)</f>
        <v/>
      </c>
      <c r="AZ4" s="138">
        <f>IF(OR(E95=0,AZ$3&lt;D95),0,E95*IF(G95=0,H95,MIN(H95,H95*(AZ$3-D95+1)/MAX(1,G95)))*(1+F95)^(AZ$3-D95)*$E93)</f>
        <v/>
      </c>
      <c r="BA4" s="138">
        <f>IF(OR(E95=0,BA$3&lt;D95),0,E95*IF(G95=0,H95,MIN(H95,H95*(BA$3-D95+1)/MAX(1,G95)))*(1+F95)^(BA$3-D95)*$E93)</f>
        <v/>
      </c>
      <c r="BB4" s="138">
        <f>IF(OR(E95=0,BB$3&lt;D95),0,E95*IF(G95=0,H95,MIN(H95,H95*(BB$3-D95+1)/MAX(1,G95)))*(1+F95)^(BB$3-D95)*$E93)</f>
        <v/>
      </c>
    </row>
    <row r="5" ht="15" customHeight="1" s="91">
      <c r="A5" s="138">
        <f>A96</f>
        <v/>
      </c>
      <c r="B5" s="138">
        <f>B96</f>
        <v/>
      </c>
      <c r="C5" s="138">
        <f>C96</f>
        <v/>
      </c>
      <c r="D5" s="138">
        <f>SUM(E5:BB5)</f>
        <v/>
      </c>
      <c r="E5" s="138">
        <f>IF(OR(E96=0,E$3&lt;D96),0,E96*IF(G96=0,H96,MIN(H96,H96*(E$3-D96+1)/MAX(1,G96)))*(1+F96)^(E$3-D96)*$E93)</f>
        <v/>
      </c>
      <c r="F5" s="138">
        <f>IF(OR(E96=0,F$3&lt;D96),0,E96*IF(G96=0,H96,MIN(H96,H96*(F$3-D96+1)/MAX(1,G96)))*(1+F96)^(F$3-D96)*$E93)</f>
        <v/>
      </c>
      <c r="G5" s="138">
        <f>IF(OR(E96=0,G$3&lt;D96),0,E96*IF(G96=0,H96,MIN(H96,H96*(G$3-D96+1)/MAX(1,G96)))*(1+F96)^(G$3-D96)*$E93)</f>
        <v/>
      </c>
      <c r="H5" s="138">
        <f>IF(OR(E96=0,H$3&lt;D96),0,E96*IF(G96=0,H96,MIN(H96,H96*(H$3-D96+1)/MAX(1,G96)))*(1+F96)^(H$3-D96)*$E93)</f>
        <v/>
      </c>
      <c r="I5" s="138">
        <f>IF(OR(E96=0,I$3&lt;D96),0,E96*IF(G96=0,H96,MIN(H96,H96*(I$3-D96+1)/MAX(1,G96)))*(1+F96)^(I$3-D96)*$E93)</f>
        <v/>
      </c>
      <c r="J5" s="138">
        <f>IF(OR(E96=0,J$3&lt;D96),0,E96*IF(G96=0,H96,MIN(H96,H96*(J$3-D96+1)/MAX(1,G96)))*(1+F96)^(J$3-D96)*$E93)</f>
        <v/>
      </c>
      <c r="K5" s="138">
        <f>IF(OR(E96=0,K$3&lt;D96),0,E96*IF(G96=0,H96,MIN(H96,H96*(K$3-D96+1)/MAX(1,G96)))*(1+F96)^(K$3-D96)*$E93)</f>
        <v/>
      </c>
      <c r="L5" s="138">
        <f>IF(OR(E96=0,L$3&lt;D96),0,E96*IF(G96=0,H96,MIN(H96,H96*(L$3-D96+1)/MAX(1,G96)))*(1+F96)^(L$3-D96)*$E93)</f>
        <v/>
      </c>
      <c r="M5" s="138">
        <f>IF(OR(E96=0,M$3&lt;D96),0,E96*IF(G96=0,H96,MIN(H96,H96*(M$3-D96+1)/MAX(1,G96)))*(1+F96)^(M$3-D96)*$E93)</f>
        <v/>
      </c>
      <c r="N5" s="138">
        <f>IF(OR(E96=0,N$3&lt;D96),0,E96*IF(G96=0,H96,MIN(H96,H96*(N$3-D96+1)/MAX(1,G96)))*(1+F96)^(N$3-D96)*$E93)</f>
        <v/>
      </c>
      <c r="O5" s="138">
        <f>IF(OR(E96=0,O$3&lt;D96),0,E96*IF(G96=0,H96,MIN(H96,H96*(O$3-D96+1)/MAX(1,G96)))*(1+F96)^(O$3-D96)*$E93)</f>
        <v/>
      </c>
      <c r="P5" s="138">
        <f>IF(OR(E96=0,P$3&lt;D96),0,E96*IF(G96=0,H96,MIN(H96,H96*(P$3-D96+1)/MAX(1,G96)))*(1+F96)^(P$3-D96)*$E93)</f>
        <v/>
      </c>
      <c r="Q5" s="138">
        <f>IF(OR(E96=0,Q$3&lt;D96),0,E96*IF(G96=0,H96,MIN(H96,H96*(Q$3-D96+1)/MAX(1,G96)))*(1+F96)^(Q$3-D96)*$E93)</f>
        <v/>
      </c>
      <c r="R5" s="138">
        <f>IF(OR(E96=0,R$3&lt;D96),0,E96*IF(G96=0,H96,MIN(H96,H96*(R$3-D96+1)/MAX(1,G96)))*(1+F96)^(R$3-D96)*$E93)</f>
        <v/>
      </c>
      <c r="S5" s="138">
        <f>IF(OR(E96=0,S$3&lt;D96),0,E96*IF(G96=0,H96,MIN(H96,H96*(S$3-D96+1)/MAX(1,G96)))*(1+F96)^(S$3-D96)*$E93)</f>
        <v/>
      </c>
      <c r="T5" s="138">
        <f>IF(OR(E96=0,T$3&lt;D96),0,E96*IF(G96=0,H96,MIN(H96,H96*(T$3-D96+1)/MAX(1,G96)))*(1+F96)^(T$3-D96)*$E93)</f>
        <v/>
      </c>
      <c r="U5" s="138">
        <f>IF(OR(E96=0,U$3&lt;D96),0,E96*IF(G96=0,H96,MIN(H96,H96*(U$3-D96+1)/MAX(1,G96)))*(1+F96)^(U$3-D96)*$E93)</f>
        <v/>
      </c>
      <c r="V5" s="138">
        <f>IF(OR(E96=0,V$3&lt;D96),0,E96*IF(G96=0,H96,MIN(H96,H96*(V$3-D96+1)/MAX(1,G96)))*(1+F96)^(V$3-D96)*$E93)</f>
        <v/>
      </c>
      <c r="W5" s="138">
        <f>IF(OR(E96=0,W$3&lt;D96),0,E96*IF(G96=0,H96,MIN(H96,H96*(W$3-D96+1)/MAX(1,G96)))*(1+F96)^(W$3-D96)*$E93)</f>
        <v/>
      </c>
      <c r="X5" s="138">
        <f>IF(OR(E96=0,X$3&lt;D96),0,E96*IF(G96=0,H96,MIN(H96,H96*(X$3-D96+1)/MAX(1,G96)))*(1+F96)^(X$3-D96)*$E93)</f>
        <v/>
      </c>
      <c r="Y5" s="138">
        <f>IF(OR(E96=0,Y$3&lt;D96),0,E96*IF(G96=0,H96,MIN(H96,H96*(Y$3-D96+1)/MAX(1,G96)))*(1+F96)^(Y$3-D96)*$E93)</f>
        <v/>
      </c>
      <c r="Z5" s="138">
        <f>IF(OR(E96=0,Z$3&lt;D96),0,E96*IF(G96=0,H96,MIN(H96,H96*(Z$3-D96+1)/MAX(1,G96)))*(1+F96)^(Z$3-D96)*$E93)</f>
        <v/>
      </c>
      <c r="AA5" s="138">
        <f>IF(OR(E96=0,AA$3&lt;D96),0,E96*IF(G96=0,H96,MIN(H96,H96*(AA$3-D96+1)/MAX(1,G96)))*(1+F96)^(AA$3-D96)*$E93)</f>
        <v/>
      </c>
      <c r="AB5" s="138">
        <f>IF(OR(E96=0,AB$3&lt;D96),0,E96*IF(G96=0,H96,MIN(H96,H96*(AB$3-D96+1)/MAX(1,G96)))*(1+F96)^(AB$3-D96)*$E93)</f>
        <v/>
      </c>
      <c r="AC5" s="138">
        <f>IF(OR(E96=0,AC$3&lt;D96),0,E96*IF(G96=0,H96,MIN(H96,H96*(AC$3-D96+1)/MAX(1,G96)))*(1+F96)^(AC$3-D96)*$E93)</f>
        <v/>
      </c>
      <c r="AD5" s="138">
        <f>IF(OR(E96=0,AD$3&lt;D96),0,E96*IF(G96=0,H96,MIN(H96,H96*(AD$3-D96+1)/MAX(1,G96)))*(1+F96)^(AD$3-D96)*$E93)</f>
        <v/>
      </c>
      <c r="AE5" s="138">
        <f>IF(OR(E96=0,AE$3&lt;D96),0,E96*IF(G96=0,H96,MIN(H96,H96*(AE$3-D96+1)/MAX(1,G96)))*(1+F96)^(AE$3-D96)*$E93)</f>
        <v/>
      </c>
      <c r="AF5" s="138">
        <f>IF(OR(E96=0,AF$3&lt;D96),0,E96*IF(G96=0,H96,MIN(H96,H96*(AF$3-D96+1)/MAX(1,G96)))*(1+F96)^(AF$3-D96)*$E93)</f>
        <v/>
      </c>
      <c r="AG5" s="138">
        <f>IF(OR(E96=0,AG$3&lt;D96),0,E96*IF(G96=0,H96,MIN(H96,H96*(AG$3-D96+1)/MAX(1,G96)))*(1+F96)^(AG$3-D96)*$E93)</f>
        <v/>
      </c>
      <c r="AH5" s="138">
        <f>IF(OR(E96=0,AH$3&lt;D96),0,E96*IF(G96=0,H96,MIN(H96,H96*(AH$3-D96+1)/MAX(1,G96)))*(1+F96)^(AH$3-D96)*$E93)</f>
        <v/>
      </c>
      <c r="AI5" s="138">
        <f>IF(OR(E96=0,AI$3&lt;D96),0,E96*IF(G96=0,H96,MIN(H96,H96*(AI$3-D96+1)/MAX(1,G96)))*(1+F96)^(AI$3-D96)*$E93)</f>
        <v/>
      </c>
      <c r="AJ5" s="138">
        <f>IF(OR(E96=0,AJ$3&lt;D96),0,E96*IF(G96=0,H96,MIN(H96,H96*(AJ$3-D96+1)/MAX(1,G96)))*(1+F96)^(AJ$3-D96)*$E93)</f>
        <v/>
      </c>
      <c r="AK5" s="138">
        <f>IF(OR(E96=0,AK$3&lt;D96),0,E96*IF(G96=0,H96,MIN(H96,H96*(AK$3-D96+1)/MAX(1,G96)))*(1+F96)^(AK$3-D96)*$E93)</f>
        <v/>
      </c>
      <c r="AL5" s="138">
        <f>IF(OR(E96=0,AL$3&lt;D96),0,E96*IF(G96=0,H96,MIN(H96,H96*(AL$3-D96+1)/MAX(1,G96)))*(1+F96)^(AL$3-D96)*$E93)</f>
        <v/>
      </c>
      <c r="AM5" s="138">
        <f>IF(OR(E96=0,AM$3&lt;D96),0,E96*IF(G96=0,H96,MIN(H96,H96*(AM$3-D96+1)/MAX(1,G96)))*(1+F96)^(AM$3-D96)*$E93)</f>
        <v/>
      </c>
      <c r="AN5" s="138">
        <f>IF(OR(E96=0,AN$3&lt;D96),0,E96*IF(G96=0,H96,MIN(H96,H96*(AN$3-D96+1)/MAX(1,G96)))*(1+F96)^(AN$3-D96)*$E93)</f>
        <v/>
      </c>
      <c r="AO5" s="138">
        <f>IF(OR(E96=0,AO$3&lt;D96),0,E96*IF(G96=0,H96,MIN(H96,H96*(AO$3-D96+1)/MAX(1,G96)))*(1+F96)^(AO$3-D96)*$E93)</f>
        <v/>
      </c>
      <c r="AP5" s="138">
        <f>IF(OR(E96=0,AP$3&lt;D96),0,E96*IF(G96=0,H96,MIN(H96,H96*(AP$3-D96+1)/MAX(1,G96)))*(1+F96)^(AP$3-D96)*$E93)</f>
        <v/>
      </c>
      <c r="AQ5" s="138">
        <f>IF(OR(E96=0,AQ$3&lt;D96),0,E96*IF(G96=0,H96,MIN(H96,H96*(AQ$3-D96+1)/MAX(1,G96)))*(1+F96)^(AQ$3-D96)*$E93)</f>
        <v/>
      </c>
      <c r="AR5" s="138">
        <f>IF(OR(E96=0,AR$3&lt;D96),0,E96*IF(G96=0,H96,MIN(H96,H96*(AR$3-D96+1)/MAX(1,G96)))*(1+F96)^(AR$3-D96)*$E93)</f>
        <v/>
      </c>
      <c r="AS5" s="138">
        <f>IF(OR(E96=0,AS$3&lt;D96),0,E96*IF(G96=0,H96,MIN(H96,H96*(AS$3-D96+1)/MAX(1,G96)))*(1+F96)^(AS$3-D96)*$E93)</f>
        <v/>
      </c>
      <c r="AT5" s="138">
        <f>IF(OR(E96=0,AT$3&lt;D96),0,E96*IF(G96=0,H96,MIN(H96,H96*(AT$3-D96+1)/MAX(1,G96)))*(1+F96)^(AT$3-D96)*$E93)</f>
        <v/>
      </c>
      <c r="AU5" s="138">
        <f>IF(OR(E96=0,AU$3&lt;D96),0,E96*IF(G96=0,H96,MIN(H96,H96*(AU$3-D96+1)/MAX(1,G96)))*(1+F96)^(AU$3-D96)*$E93)</f>
        <v/>
      </c>
      <c r="AV5" s="138">
        <f>IF(OR(E96=0,AV$3&lt;D96),0,E96*IF(G96=0,H96,MIN(H96,H96*(AV$3-D96+1)/MAX(1,G96)))*(1+F96)^(AV$3-D96)*$E93)</f>
        <v/>
      </c>
      <c r="AW5" s="138">
        <f>IF(OR(E96=0,AW$3&lt;D96),0,E96*IF(G96=0,H96,MIN(H96,H96*(AW$3-D96+1)/MAX(1,G96)))*(1+F96)^(AW$3-D96)*$E93)</f>
        <v/>
      </c>
      <c r="AX5" s="138">
        <f>IF(OR(E96=0,AX$3&lt;D96),0,E96*IF(G96=0,H96,MIN(H96,H96*(AX$3-D96+1)/MAX(1,G96)))*(1+F96)^(AX$3-D96)*$E93)</f>
        <v/>
      </c>
      <c r="AY5" s="138">
        <f>IF(OR(E96=0,AY$3&lt;D96),0,E96*IF(G96=0,H96,MIN(H96,H96*(AY$3-D96+1)/MAX(1,G96)))*(1+F96)^(AY$3-D96)*$E93)</f>
        <v/>
      </c>
      <c r="AZ5" s="138">
        <f>IF(OR(E96=0,AZ$3&lt;D96),0,E96*IF(G96=0,H96,MIN(H96,H96*(AZ$3-D96+1)/MAX(1,G96)))*(1+F96)^(AZ$3-D96)*$E93)</f>
        <v/>
      </c>
      <c r="BA5" s="138">
        <f>IF(OR(E96=0,BA$3&lt;D96),0,E96*IF(G96=0,H96,MIN(H96,H96*(BA$3-D96+1)/MAX(1,G96)))*(1+F96)^(BA$3-D96)*$E93)</f>
        <v/>
      </c>
      <c r="BB5" s="138">
        <f>IF(OR(E96=0,BB$3&lt;D96),0,E96*IF(G96=0,H96,MIN(H96,H96*(BB$3-D96+1)/MAX(1,G96)))*(1+F96)^(BB$3-D96)*$E93)</f>
        <v/>
      </c>
    </row>
    <row r="6" ht="15" customHeight="1" s="91">
      <c r="A6" s="138">
        <f>A97</f>
        <v/>
      </c>
      <c r="B6" s="138">
        <f>B97</f>
        <v/>
      </c>
      <c r="C6" s="138">
        <f>C97</f>
        <v/>
      </c>
      <c r="D6" s="138">
        <f>SUM(E6:BB6)</f>
        <v/>
      </c>
      <c r="E6" s="138">
        <f>IF(OR(E97=0,E$3&lt;D97),0,E97*IF(G97=0,H97,MIN(H97,H97*(E$3-D97+1)/MAX(1,G97)))*(1+F97)^(E$3-D97)*$E93)</f>
        <v/>
      </c>
      <c r="F6" s="138">
        <f>IF(OR(E97=0,F$3&lt;D97),0,E97*IF(G97=0,H97,MIN(H97,H97*(F$3-D97+1)/MAX(1,G97)))*(1+F97)^(F$3-D97)*$E93)</f>
        <v/>
      </c>
      <c r="G6" s="138">
        <f>IF(OR(E97=0,G$3&lt;D97),0,E97*IF(G97=0,H97,MIN(H97,H97*(G$3-D97+1)/MAX(1,G97)))*(1+F97)^(G$3-D97)*$E93)</f>
        <v/>
      </c>
      <c r="H6" s="138">
        <f>IF(OR(E97=0,H$3&lt;D97),0,E97*IF(G97=0,H97,MIN(H97,H97*(H$3-D97+1)/MAX(1,G97)))*(1+F97)^(H$3-D97)*$E93)</f>
        <v/>
      </c>
      <c r="I6" s="138">
        <f>IF(OR(E97=0,I$3&lt;D97),0,E97*IF(G97=0,H97,MIN(H97,H97*(I$3-D97+1)/MAX(1,G97)))*(1+F97)^(I$3-D97)*$E93)</f>
        <v/>
      </c>
      <c r="J6" s="138">
        <f>IF(OR(E97=0,J$3&lt;D97),0,E97*IF(G97=0,H97,MIN(H97,H97*(J$3-D97+1)/MAX(1,G97)))*(1+F97)^(J$3-D97)*$E93)</f>
        <v/>
      </c>
      <c r="K6" s="138">
        <f>IF(OR(E97=0,K$3&lt;D97),0,E97*IF(G97=0,H97,MIN(H97,H97*(K$3-D97+1)/MAX(1,G97)))*(1+F97)^(K$3-D97)*$E93)</f>
        <v/>
      </c>
      <c r="L6" s="138">
        <f>IF(OR(E97=0,L$3&lt;D97),0,E97*IF(G97=0,H97,MIN(H97,H97*(L$3-D97+1)/MAX(1,G97)))*(1+F97)^(L$3-D97)*$E93)</f>
        <v/>
      </c>
      <c r="M6" s="138">
        <f>IF(OR(E97=0,M$3&lt;D97),0,E97*IF(G97=0,H97,MIN(H97,H97*(M$3-D97+1)/MAX(1,G97)))*(1+F97)^(M$3-D97)*$E93)</f>
        <v/>
      </c>
      <c r="N6" s="138">
        <f>IF(OR(E97=0,N$3&lt;D97),0,E97*IF(G97=0,H97,MIN(H97,H97*(N$3-D97+1)/MAX(1,G97)))*(1+F97)^(N$3-D97)*$E93)</f>
        <v/>
      </c>
      <c r="O6" s="138">
        <f>IF(OR(E97=0,O$3&lt;D97),0,E97*IF(G97=0,H97,MIN(H97,H97*(O$3-D97+1)/MAX(1,G97)))*(1+F97)^(O$3-D97)*$E93)</f>
        <v/>
      </c>
      <c r="P6" s="138">
        <f>IF(OR(E97=0,P$3&lt;D97),0,E97*IF(G97=0,H97,MIN(H97,H97*(P$3-D97+1)/MAX(1,G97)))*(1+F97)^(P$3-D97)*$E93)</f>
        <v/>
      </c>
      <c r="Q6" s="138">
        <f>IF(OR(E97=0,Q$3&lt;D97),0,E97*IF(G97=0,H97,MIN(H97,H97*(Q$3-D97+1)/MAX(1,G97)))*(1+F97)^(Q$3-D97)*$E93)</f>
        <v/>
      </c>
      <c r="R6" s="138">
        <f>IF(OR(E97=0,R$3&lt;D97),0,E97*IF(G97=0,H97,MIN(H97,H97*(R$3-D97+1)/MAX(1,G97)))*(1+F97)^(R$3-D97)*$E93)</f>
        <v/>
      </c>
      <c r="S6" s="138">
        <f>IF(OR(E97=0,S$3&lt;D97),0,E97*IF(G97=0,H97,MIN(H97,H97*(S$3-D97+1)/MAX(1,G97)))*(1+F97)^(S$3-D97)*$E93)</f>
        <v/>
      </c>
      <c r="T6" s="138">
        <f>IF(OR(E97=0,T$3&lt;D97),0,E97*IF(G97=0,H97,MIN(H97,H97*(T$3-D97+1)/MAX(1,G97)))*(1+F97)^(T$3-D97)*$E93)</f>
        <v/>
      </c>
      <c r="U6" s="138">
        <f>IF(OR(E97=0,U$3&lt;D97),0,E97*IF(G97=0,H97,MIN(H97,H97*(U$3-D97+1)/MAX(1,G97)))*(1+F97)^(U$3-D97)*$E93)</f>
        <v/>
      </c>
      <c r="V6" s="138">
        <f>IF(OR(E97=0,V$3&lt;D97),0,E97*IF(G97=0,H97,MIN(H97,H97*(V$3-D97+1)/MAX(1,G97)))*(1+F97)^(V$3-D97)*$E93)</f>
        <v/>
      </c>
      <c r="W6" s="138">
        <f>IF(OR(E97=0,W$3&lt;D97),0,E97*IF(G97=0,H97,MIN(H97,H97*(W$3-D97+1)/MAX(1,G97)))*(1+F97)^(W$3-D97)*$E93)</f>
        <v/>
      </c>
      <c r="X6" s="138">
        <f>IF(OR(E97=0,X$3&lt;D97),0,E97*IF(G97=0,H97,MIN(H97,H97*(X$3-D97+1)/MAX(1,G97)))*(1+F97)^(X$3-D97)*$E93)</f>
        <v/>
      </c>
      <c r="Y6" s="138">
        <f>IF(OR(E97=0,Y$3&lt;D97),0,E97*IF(G97=0,H97,MIN(H97,H97*(Y$3-D97+1)/MAX(1,G97)))*(1+F97)^(Y$3-D97)*$E93)</f>
        <v/>
      </c>
      <c r="Z6" s="138">
        <f>IF(OR(E97=0,Z$3&lt;D97),0,E97*IF(G97=0,H97,MIN(H97,H97*(Z$3-D97+1)/MAX(1,G97)))*(1+F97)^(Z$3-D97)*$E93)</f>
        <v/>
      </c>
      <c r="AA6" s="138">
        <f>IF(OR(E97=0,AA$3&lt;D97),0,E97*IF(G97=0,H97,MIN(H97,H97*(AA$3-D97+1)/MAX(1,G97)))*(1+F97)^(AA$3-D97)*$E93)</f>
        <v/>
      </c>
      <c r="AB6" s="138">
        <f>IF(OR(E97=0,AB$3&lt;D97),0,E97*IF(G97=0,H97,MIN(H97,H97*(AB$3-D97+1)/MAX(1,G97)))*(1+F97)^(AB$3-D97)*$E93)</f>
        <v/>
      </c>
      <c r="AC6" s="138">
        <f>IF(OR(E97=0,AC$3&lt;D97),0,E97*IF(G97=0,H97,MIN(H97,H97*(AC$3-D97+1)/MAX(1,G97)))*(1+F97)^(AC$3-D97)*$E93)</f>
        <v/>
      </c>
      <c r="AD6" s="138">
        <f>IF(OR(E97=0,AD$3&lt;D97),0,E97*IF(G97=0,H97,MIN(H97,H97*(AD$3-D97+1)/MAX(1,G97)))*(1+F97)^(AD$3-D97)*$E93)</f>
        <v/>
      </c>
      <c r="AE6" s="138">
        <f>IF(OR(E97=0,AE$3&lt;D97),0,E97*IF(G97=0,H97,MIN(H97,H97*(AE$3-D97+1)/MAX(1,G97)))*(1+F97)^(AE$3-D97)*$E93)</f>
        <v/>
      </c>
      <c r="AF6" s="138">
        <f>IF(OR(E97=0,AF$3&lt;D97),0,E97*IF(G97=0,H97,MIN(H97,H97*(AF$3-D97+1)/MAX(1,G97)))*(1+F97)^(AF$3-D97)*$E93)</f>
        <v/>
      </c>
      <c r="AG6" s="138">
        <f>IF(OR(E97=0,AG$3&lt;D97),0,E97*IF(G97=0,H97,MIN(H97,H97*(AG$3-D97+1)/MAX(1,G97)))*(1+F97)^(AG$3-D97)*$E93)</f>
        <v/>
      </c>
      <c r="AH6" s="138">
        <f>IF(OR(E97=0,AH$3&lt;D97),0,E97*IF(G97=0,H97,MIN(H97,H97*(AH$3-D97+1)/MAX(1,G97)))*(1+F97)^(AH$3-D97)*$E93)</f>
        <v/>
      </c>
      <c r="AI6" s="138">
        <f>IF(OR(E97=0,AI$3&lt;D97),0,E97*IF(G97=0,H97,MIN(H97,H97*(AI$3-D97+1)/MAX(1,G97)))*(1+F97)^(AI$3-D97)*$E93)</f>
        <v/>
      </c>
      <c r="AJ6" s="138">
        <f>IF(OR(E97=0,AJ$3&lt;D97),0,E97*IF(G97=0,H97,MIN(H97,H97*(AJ$3-D97+1)/MAX(1,G97)))*(1+F97)^(AJ$3-D97)*$E93)</f>
        <v/>
      </c>
      <c r="AK6" s="138">
        <f>IF(OR(E97=0,AK$3&lt;D97),0,E97*IF(G97=0,H97,MIN(H97,H97*(AK$3-D97+1)/MAX(1,G97)))*(1+F97)^(AK$3-D97)*$E93)</f>
        <v/>
      </c>
      <c r="AL6" s="138">
        <f>IF(OR(E97=0,AL$3&lt;D97),0,E97*IF(G97=0,H97,MIN(H97,H97*(AL$3-D97+1)/MAX(1,G97)))*(1+F97)^(AL$3-D97)*$E93)</f>
        <v/>
      </c>
      <c r="AM6" s="138">
        <f>IF(OR(E97=0,AM$3&lt;D97),0,E97*IF(G97=0,H97,MIN(H97,H97*(AM$3-D97+1)/MAX(1,G97)))*(1+F97)^(AM$3-D97)*$E93)</f>
        <v/>
      </c>
      <c r="AN6" s="138">
        <f>IF(OR(E97=0,AN$3&lt;D97),0,E97*IF(G97=0,H97,MIN(H97,H97*(AN$3-D97+1)/MAX(1,G97)))*(1+F97)^(AN$3-D97)*$E93)</f>
        <v/>
      </c>
      <c r="AO6" s="138">
        <f>IF(OR(E97=0,AO$3&lt;D97),0,E97*IF(G97=0,H97,MIN(H97,H97*(AO$3-D97+1)/MAX(1,G97)))*(1+F97)^(AO$3-D97)*$E93)</f>
        <v/>
      </c>
      <c r="AP6" s="138">
        <f>IF(OR(E97=0,AP$3&lt;D97),0,E97*IF(G97=0,H97,MIN(H97,H97*(AP$3-D97+1)/MAX(1,G97)))*(1+F97)^(AP$3-D97)*$E93)</f>
        <v/>
      </c>
      <c r="AQ6" s="138">
        <f>IF(OR(E97=0,AQ$3&lt;D97),0,E97*IF(G97=0,H97,MIN(H97,H97*(AQ$3-D97+1)/MAX(1,G97)))*(1+F97)^(AQ$3-D97)*$E93)</f>
        <v/>
      </c>
      <c r="AR6" s="138">
        <f>IF(OR(E97=0,AR$3&lt;D97),0,E97*IF(G97=0,H97,MIN(H97,H97*(AR$3-D97+1)/MAX(1,G97)))*(1+F97)^(AR$3-D97)*$E93)</f>
        <v/>
      </c>
      <c r="AS6" s="138">
        <f>IF(OR(E97=0,AS$3&lt;D97),0,E97*IF(G97=0,H97,MIN(H97,H97*(AS$3-D97+1)/MAX(1,G97)))*(1+F97)^(AS$3-D97)*$E93)</f>
        <v/>
      </c>
      <c r="AT6" s="138">
        <f>IF(OR(E97=0,AT$3&lt;D97),0,E97*IF(G97=0,H97,MIN(H97,H97*(AT$3-D97+1)/MAX(1,G97)))*(1+F97)^(AT$3-D97)*$E93)</f>
        <v/>
      </c>
      <c r="AU6" s="138">
        <f>IF(OR(E97=0,AU$3&lt;D97),0,E97*IF(G97=0,H97,MIN(H97,H97*(AU$3-D97+1)/MAX(1,G97)))*(1+F97)^(AU$3-D97)*$E93)</f>
        <v/>
      </c>
      <c r="AV6" s="138">
        <f>IF(OR(E97=0,AV$3&lt;D97),0,E97*IF(G97=0,H97,MIN(H97,H97*(AV$3-D97+1)/MAX(1,G97)))*(1+F97)^(AV$3-D97)*$E93)</f>
        <v/>
      </c>
      <c r="AW6" s="138">
        <f>IF(OR(E97=0,AW$3&lt;D97),0,E97*IF(G97=0,H97,MIN(H97,H97*(AW$3-D97+1)/MAX(1,G97)))*(1+F97)^(AW$3-D97)*$E93)</f>
        <v/>
      </c>
      <c r="AX6" s="138">
        <f>IF(OR(E97=0,AX$3&lt;D97),0,E97*IF(G97=0,H97,MIN(H97,H97*(AX$3-D97+1)/MAX(1,G97)))*(1+F97)^(AX$3-D97)*$E93)</f>
        <v/>
      </c>
      <c r="AY6" s="138">
        <f>IF(OR(E97=0,AY$3&lt;D97),0,E97*IF(G97=0,H97,MIN(H97,H97*(AY$3-D97+1)/MAX(1,G97)))*(1+F97)^(AY$3-D97)*$E93)</f>
        <v/>
      </c>
      <c r="AZ6" s="138">
        <f>IF(OR(E97=0,AZ$3&lt;D97),0,E97*IF(G97=0,H97,MIN(H97,H97*(AZ$3-D97+1)/MAX(1,G97)))*(1+F97)^(AZ$3-D97)*$E93)</f>
        <v/>
      </c>
      <c r="BA6" s="138">
        <f>IF(OR(E97=0,BA$3&lt;D97),0,E97*IF(G97=0,H97,MIN(H97,H97*(BA$3-D97+1)/MAX(1,G97)))*(1+F97)^(BA$3-D97)*$E93)</f>
        <v/>
      </c>
      <c r="BB6" s="138">
        <f>IF(OR(E97=0,BB$3&lt;D97),0,E97*IF(G97=0,H97,MIN(H97,H97*(BB$3-D97+1)/MAX(1,G97)))*(1+F97)^(BB$3-D97)*$E93)</f>
        <v/>
      </c>
    </row>
    <row r="7" ht="15" customHeight="1" s="91">
      <c r="A7" s="138">
        <f>A98</f>
        <v/>
      </c>
      <c r="B7" s="138">
        <f>B98</f>
        <v/>
      </c>
      <c r="C7" s="138">
        <f>C98</f>
        <v/>
      </c>
      <c r="D7" s="138">
        <f>SUM(E7:BB7)</f>
        <v/>
      </c>
      <c r="E7" s="138">
        <f>IF(OR(E98=0,E$3&lt;D98),0,E98*IF(G98=0,H98,MIN(H98,H98*(E$3-D98+1)/MAX(1,G98)))*(1+F98)^(E$3-D98)*$E93)</f>
        <v/>
      </c>
      <c r="F7" s="138">
        <f>IF(OR(E98=0,F$3&lt;D98),0,E98*IF(G98=0,H98,MIN(H98,H98*(F$3-D98+1)/MAX(1,G98)))*(1+F98)^(F$3-D98)*$E93)</f>
        <v/>
      </c>
      <c r="G7" s="138">
        <f>IF(OR(E98=0,G$3&lt;D98),0,E98*IF(G98=0,H98,MIN(H98,H98*(G$3-D98+1)/MAX(1,G98)))*(1+F98)^(G$3-D98)*$E93)</f>
        <v/>
      </c>
      <c r="H7" s="138">
        <f>IF(OR(E98=0,H$3&lt;D98),0,E98*IF(G98=0,H98,MIN(H98,H98*(H$3-D98+1)/MAX(1,G98)))*(1+F98)^(H$3-D98)*$E93)</f>
        <v/>
      </c>
      <c r="I7" s="138">
        <f>IF(OR(E98=0,I$3&lt;D98),0,E98*IF(G98=0,H98,MIN(H98,H98*(I$3-D98+1)/MAX(1,G98)))*(1+F98)^(I$3-D98)*$E93)</f>
        <v/>
      </c>
      <c r="J7" s="138">
        <f>IF(OR(E98=0,J$3&lt;D98),0,E98*IF(G98=0,H98,MIN(H98,H98*(J$3-D98+1)/MAX(1,G98)))*(1+F98)^(J$3-D98)*$E93)</f>
        <v/>
      </c>
      <c r="K7" s="138">
        <f>IF(OR(E98=0,K$3&lt;D98),0,E98*IF(G98=0,H98,MIN(H98,H98*(K$3-D98+1)/MAX(1,G98)))*(1+F98)^(K$3-D98)*$E93)</f>
        <v/>
      </c>
      <c r="L7" s="138">
        <f>IF(OR(E98=0,L$3&lt;D98),0,E98*IF(G98=0,H98,MIN(H98,H98*(L$3-D98+1)/MAX(1,G98)))*(1+F98)^(L$3-D98)*$E93)</f>
        <v/>
      </c>
      <c r="M7" s="138">
        <f>IF(OR(E98=0,M$3&lt;D98),0,E98*IF(G98=0,H98,MIN(H98,H98*(M$3-D98+1)/MAX(1,G98)))*(1+F98)^(M$3-D98)*$E93)</f>
        <v/>
      </c>
      <c r="N7" s="138">
        <f>IF(OR(E98=0,N$3&lt;D98),0,E98*IF(G98=0,H98,MIN(H98,H98*(N$3-D98+1)/MAX(1,G98)))*(1+F98)^(N$3-D98)*$E93)</f>
        <v/>
      </c>
      <c r="O7" s="138">
        <f>IF(OR(E98=0,O$3&lt;D98),0,E98*IF(G98=0,H98,MIN(H98,H98*(O$3-D98+1)/MAX(1,G98)))*(1+F98)^(O$3-D98)*$E93)</f>
        <v/>
      </c>
      <c r="P7" s="138">
        <f>IF(OR(E98=0,P$3&lt;D98),0,E98*IF(G98=0,H98,MIN(H98,H98*(P$3-D98+1)/MAX(1,G98)))*(1+F98)^(P$3-D98)*$E93)</f>
        <v/>
      </c>
      <c r="Q7" s="138">
        <f>IF(OR(E98=0,Q$3&lt;D98),0,E98*IF(G98=0,H98,MIN(H98,H98*(Q$3-D98+1)/MAX(1,G98)))*(1+F98)^(Q$3-D98)*$E93)</f>
        <v/>
      </c>
      <c r="R7" s="138">
        <f>IF(OR(E98=0,R$3&lt;D98),0,E98*IF(G98=0,H98,MIN(H98,H98*(R$3-D98+1)/MAX(1,G98)))*(1+F98)^(R$3-D98)*$E93)</f>
        <v/>
      </c>
      <c r="S7" s="138">
        <f>IF(OR(E98=0,S$3&lt;D98),0,E98*IF(G98=0,H98,MIN(H98,H98*(S$3-D98+1)/MAX(1,G98)))*(1+F98)^(S$3-D98)*$E93)</f>
        <v/>
      </c>
      <c r="T7" s="138">
        <f>IF(OR(E98=0,T$3&lt;D98),0,E98*IF(G98=0,H98,MIN(H98,H98*(T$3-D98+1)/MAX(1,G98)))*(1+F98)^(T$3-D98)*$E93)</f>
        <v/>
      </c>
      <c r="U7" s="138">
        <f>IF(OR(E98=0,U$3&lt;D98),0,E98*IF(G98=0,H98,MIN(H98,H98*(U$3-D98+1)/MAX(1,G98)))*(1+F98)^(U$3-D98)*$E93)</f>
        <v/>
      </c>
      <c r="V7" s="138">
        <f>IF(OR(E98=0,V$3&lt;D98),0,E98*IF(G98=0,H98,MIN(H98,H98*(V$3-D98+1)/MAX(1,G98)))*(1+F98)^(V$3-D98)*$E93)</f>
        <v/>
      </c>
      <c r="W7" s="138">
        <f>IF(OR(E98=0,W$3&lt;D98),0,E98*IF(G98=0,H98,MIN(H98,H98*(W$3-D98+1)/MAX(1,G98)))*(1+F98)^(W$3-D98)*$E93)</f>
        <v/>
      </c>
      <c r="X7" s="138">
        <f>IF(OR(E98=0,X$3&lt;D98),0,E98*IF(G98=0,H98,MIN(H98,H98*(X$3-D98+1)/MAX(1,G98)))*(1+F98)^(X$3-D98)*$E93)</f>
        <v/>
      </c>
      <c r="Y7" s="138">
        <f>IF(OR(E98=0,Y$3&lt;D98),0,E98*IF(G98=0,H98,MIN(H98,H98*(Y$3-D98+1)/MAX(1,G98)))*(1+F98)^(Y$3-D98)*$E93)</f>
        <v/>
      </c>
      <c r="Z7" s="138">
        <f>IF(OR(E98=0,Z$3&lt;D98),0,E98*IF(G98=0,H98,MIN(H98,H98*(Z$3-D98+1)/MAX(1,G98)))*(1+F98)^(Z$3-D98)*$E93)</f>
        <v/>
      </c>
      <c r="AA7" s="138">
        <f>IF(OR(E98=0,AA$3&lt;D98),0,E98*IF(G98=0,H98,MIN(H98,H98*(AA$3-D98+1)/MAX(1,G98)))*(1+F98)^(AA$3-D98)*$E93)</f>
        <v/>
      </c>
      <c r="AB7" s="138">
        <f>IF(OR(E98=0,AB$3&lt;D98),0,E98*IF(G98=0,H98,MIN(H98,H98*(AB$3-D98+1)/MAX(1,G98)))*(1+F98)^(AB$3-D98)*$E93)</f>
        <v/>
      </c>
      <c r="AC7" s="138">
        <f>IF(OR(E98=0,AC$3&lt;D98),0,E98*IF(G98=0,H98,MIN(H98,H98*(AC$3-D98+1)/MAX(1,G98)))*(1+F98)^(AC$3-D98)*$E93)</f>
        <v/>
      </c>
      <c r="AD7" s="138">
        <f>IF(OR(E98=0,AD$3&lt;D98),0,E98*IF(G98=0,H98,MIN(H98,H98*(AD$3-D98+1)/MAX(1,G98)))*(1+F98)^(AD$3-D98)*$E93)</f>
        <v/>
      </c>
      <c r="AE7" s="138">
        <f>IF(OR(E98=0,AE$3&lt;D98),0,E98*IF(G98=0,H98,MIN(H98,H98*(AE$3-D98+1)/MAX(1,G98)))*(1+F98)^(AE$3-D98)*$E93)</f>
        <v/>
      </c>
      <c r="AF7" s="138">
        <f>IF(OR(E98=0,AF$3&lt;D98),0,E98*IF(G98=0,H98,MIN(H98,H98*(AF$3-D98+1)/MAX(1,G98)))*(1+F98)^(AF$3-D98)*$E93)</f>
        <v/>
      </c>
      <c r="AG7" s="138">
        <f>IF(OR(E98=0,AG$3&lt;D98),0,E98*IF(G98=0,H98,MIN(H98,H98*(AG$3-D98+1)/MAX(1,G98)))*(1+F98)^(AG$3-D98)*$E93)</f>
        <v/>
      </c>
      <c r="AH7" s="138">
        <f>IF(OR(E98=0,AH$3&lt;D98),0,E98*IF(G98=0,H98,MIN(H98,H98*(AH$3-D98+1)/MAX(1,G98)))*(1+F98)^(AH$3-D98)*$E93)</f>
        <v/>
      </c>
      <c r="AI7" s="138">
        <f>IF(OR(E98=0,AI$3&lt;D98),0,E98*IF(G98=0,H98,MIN(H98,H98*(AI$3-D98+1)/MAX(1,G98)))*(1+F98)^(AI$3-D98)*$E93)</f>
        <v/>
      </c>
      <c r="AJ7" s="138">
        <f>IF(OR(E98=0,AJ$3&lt;D98),0,E98*IF(G98=0,H98,MIN(H98,H98*(AJ$3-D98+1)/MAX(1,G98)))*(1+F98)^(AJ$3-D98)*$E93)</f>
        <v/>
      </c>
      <c r="AK7" s="138">
        <f>IF(OR(E98=0,AK$3&lt;D98),0,E98*IF(G98=0,H98,MIN(H98,H98*(AK$3-D98+1)/MAX(1,G98)))*(1+F98)^(AK$3-D98)*$E93)</f>
        <v/>
      </c>
      <c r="AL7" s="138">
        <f>IF(OR(E98=0,AL$3&lt;D98),0,E98*IF(G98=0,H98,MIN(H98,H98*(AL$3-D98+1)/MAX(1,G98)))*(1+F98)^(AL$3-D98)*$E93)</f>
        <v/>
      </c>
      <c r="AM7" s="138">
        <f>IF(OR(E98=0,AM$3&lt;D98),0,E98*IF(G98=0,H98,MIN(H98,H98*(AM$3-D98+1)/MAX(1,G98)))*(1+F98)^(AM$3-D98)*$E93)</f>
        <v/>
      </c>
      <c r="AN7" s="138">
        <f>IF(OR(E98=0,AN$3&lt;D98),0,E98*IF(G98=0,H98,MIN(H98,H98*(AN$3-D98+1)/MAX(1,G98)))*(1+F98)^(AN$3-D98)*$E93)</f>
        <v/>
      </c>
      <c r="AO7" s="138">
        <f>IF(OR(E98=0,AO$3&lt;D98),0,E98*IF(G98=0,H98,MIN(H98,H98*(AO$3-D98+1)/MAX(1,G98)))*(1+F98)^(AO$3-D98)*$E93)</f>
        <v/>
      </c>
      <c r="AP7" s="138">
        <f>IF(OR(E98=0,AP$3&lt;D98),0,E98*IF(G98=0,H98,MIN(H98,H98*(AP$3-D98+1)/MAX(1,G98)))*(1+F98)^(AP$3-D98)*$E93)</f>
        <v/>
      </c>
      <c r="AQ7" s="138">
        <f>IF(OR(E98=0,AQ$3&lt;D98),0,E98*IF(G98=0,H98,MIN(H98,H98*(AQ$3-D98+1)/MAX(1,G98)))*(1+F98)^(AQ$3-D98)*$E93)</f>
        <v/>
      </c>
      <c r="AR7" s="138">
        <f>IF(OR(E98=0,AR$3&lt;D98),0,E98*IF(G98=0,H98,MIN(H98,H98*(AR$3-D98+1)/MAX(1,G98)))*(1+F98)^(AR$3-D98)*$E93)</f>
        <v/>
      </c>
      <c r="AS7" s="138">
        <f>IF(OR(E98=0,AS$3&lt;D98),0,E98*IF(G98=0,H98,MIN(H98,H98*(AS$3-D98+1)/MAX(1,G98)))*(1+F98)^(AS$3-D98)*$E93)</f>
        <v/>
      </c>
      <c r="AT7" s="138">
        <f>IF(OR(E98=0,AT$3&lt;D98),0,E98*IF(G98=0,H98,MIN(H98,H98*(AT$3-D98+1)/MAX(1,G98)))*(1+F98)^(AT$3-D98)*$E93)</f>
        <v/>
      </c>
      <c r="AU7" s="138">
        <f>IF(OR(E98=0,AU$3&lt;D98),0,E98*IF(G98=0,H98,MIN(H98,H98*(AU$3-D98+1)/MAX(1,G98)))*(1+F98)^(AU$3-D98)*$E93)</f>
        <v/>
      </c>
      <c r="AV7" s="138">
        <f>IF(OR(E98=0,AV$3&lt;D98),0,E98*IF(G98=0,H98,MIN(H98,H98*(AV$3-D98+1)/MAX(1,G98)))*(1+F98)^(AV$3-D98)*$E93)</f>
        <v/>
      </c>
      <c r="AW7" s="138">
        <f>IF(OR(E98=0,AW$3&lt;D98),0,E98*IF(G98=0,H98,MIN(H98,H98*(AW$3-D98+1)/MAX(1,G98)))*(1+F98)^(AW$3-D98)*$E93)</f>
        <v/>
      </c>
      <c r="AX7" s="138">
        <f>IF(OR(E98=0,AX$3&lt;D98),0,E98*IF(G98=0,H98,MIN(H98,H98*(AX$3-D98+1)/MAX(1,G98)))*(1+F98)^(AX$3-D98)*$E93)</f>
        <v/>
      </c>
      <c r="AY7" s="138">
        <f>IF(OR(E98=0,AY$3&lt;D98),0,E98*IF(G98=0,H98,MIN(H98,H98*(AY$3-D98+1)/MAX(1,G98)))*(1+F98)^(AY$3-D98)*$E93)</f>
        <v/>
      </c>
      <c r="AZ7" s="138">
        <f>IF(OR(E98=0,AZ$3&lt;D98),0,E98*IF(G98=0,H98,MIN(H98,H98*(AZ$3-D98+1)/MAX(1,G98)))*(1+F98)^(AZ$3-D98)*$E93)</f>
        <v/>
      </c>
      <c r="BA7" s="138">
        <f>IF(OR(E98=0,BA$3&lt;D98),0,E98*IF(G98=0,H98,MIN(H98,H98*(BA$3-D98+1)/MAX(1,G98)))*(1+F98)^(BA$3-D98)*$E93)</f>
        <v/>
      </c>
      <c r="BB7" s="138">
        <f>IF(OR(E98=0,BB$3&lt;D98),0,E98*IF(G98=0,H98,MIN(H98,H98*(BB$3-D98+1)/MAX(1,G98)))*(1+F98)^(BB$3-D98)*$E93)</f>
        <v/>
      </c>
    </row>
    <row r="8" ht="15" customHeight="1" s="91">
      <c r="A8" s="138">
        <f>A99</f>
        <v/>
      </c>
      <c r="B8" s="138">
        <f>B99</f>
        <v/>
      </c>
      <c r="C8" s="138">
        <f>C99</f>
        <v/>
      </c>
      <c r="D8" s="138">
        <f>SUM(E8:BB8)</f>
        <v/>
      </c>
      <c r="E8" s="138">
        <f>IF(OR(E99=0,E$3&lt;D99),0,E99*IF(G99=0,H99,MIN(H99,H99*(E$3-D99+1)/MAX(1,G99)))*(1+F99)^(E$3-D99)*$E93)</f>
        <v/>
      </c>
      <c r="F8" s="138">
        <f>IF(OR(E99=0,F$3&lt;D99),0,E99*IF(G99=0,H99,MIN(H99,H99*(F$3-D99+1)/MAX(1,G99)))*(1+F99)^(F$3-D99)*$E93)</f>
        <v/>
      </c>
      <c r="G8" s="138">
        <f>IF(OR(E99=0,G$3&lt;D99),0,E99*IF(G99=0,H99,MIN(H99,H99*(G$3-D99+1)/MAX(1,G99)))*(1+F99)^(G$3-D99)*$E93)</f>
        <v/>
      </c>
      <c r="H8" s="138">
        <f>IF(OR(E99=0,H$3&lt;D99),0,E99*IF(G99=0,H99,MIN(H99,H99*(H$3-D99+1)/MAX(1,G99)))*(1+F99)^(H$3-D99)*$E93)</f>
        <v/>
      </c>
      <c r="I8" s="138">
        <f>IF(OR(E99=0,I$3&lt;D99),0,E99*IF(G99=0,H99,MIN(H99,H99*(I$3-D99+1)/MAX(1,G99)))*(1+F99)^(I$3-D99)*$E93)</f>
        <v/>
      </c>
      <c r="J8" s="138">
        <f>IF(OR(E99=0,J$3&lt;D99),0,E99*IF(G99=0,H99,MIN(H99,H99*(J$3-D99+1)/MAX(1,G99)))*(1+F99)^(J$3-D99)*$E93)</f>
        <v/>
      </c>
      <c r="K8" s="138">
        <f>IF(OR(E99=0,K$3&lt;D99),0,E99*IF(G99=0,H99,MIN(H99,H99*(K$3-D99+1)/MAX(1,G99)))*(1+F99)^(K$3-D99)*$E93)</f>
        <v/>
      </c>
      <c r="L8" s="138">
        <f>IF(OR(E99=0,L$3&lt;D99),0,E99*IF(G99=0,H99,MIN(H99,H99*(L$3-D99+1)/MAX(1,G99)))*(1+F99)^(L$3-D99)*$E93)</f>
        <v/>
      </c>
      <c r="M8" s="138">
        <f>IF(OR(E99=0,M$3&lt;D99),0,E99*IF(G99=0,H99,MIN(H99,H99*(M$3-D99+1)/MAX(1,G99)))*(1+F99)^(M$3-D99)*$E93)</f>
        <v/>
      </c>
      <c r="N8" s="138">
        <f>IF(OR(E99=0,N$3&lt;D99),0,E99*IF(G99=0,H99,MIN(H99,H99*(N$3-D99+1)/MAX(1,G99)))*(1+F99)^(N$3-D99)*$E93)</f>
        <v/>
      </c>
      <c r="O8" s="138">
        <f>IF(OR(E99=0,O$3&lt;D99),0,E99*IF(G99=0,H99,MIN(H99,H99*(O$3-D99+1)/MAX(1,G99)))*(1+F99)^(O$3-D99)*$E93)</f>
        <v/>
      </c>
      <c r="P8" s="138">
        <f>IF(OR(E99=0,P$3&lt;D99),0,E99*IF(G99=0,H99,MIN(H99,H99*(P$3-D99+1)/MAX(1,G99)))*(1+F99)^(P$3-D99)*$E93)</f>
        <v/>
      </c>
      <c r="Q8" s="138">
        <f>IF(OR(E99=0,Q$3&lt;D99),0,E99*IF(G99=0,H99,MIN(H99,H99*(Q$3-D99+1)/MAX(1,G99)))*(1+F99)^(Q$3-D99)*$E93)</f>
        <v/>
      </c>
      <c r="R8" s="138">
        <f>IF(OR(E99=0,R$3&lt;D99),0,E99*IF(G99=0,H99,MIN(H99,H99*(R$3-D99+1)/MAX(1,G99)))*(1+F99)^(R$3-D99)*$E93)</f>
        <v/>
      </c>
      <c r="S8" s="138">
        <f>IF(OR(E99=0,S$3&lt;D99),0,E99*IF(G99=0,H99,MIN(H99,H99*(S$3-D99+1)/MAX(1,G99)))*(1+F99)^(S$3-D99)*$E93)</f>
        <v/>
      </c>
      <c r="T8" s="138">
        <f>IF(OR(E99=0,T$3&lt;D99),0,E99*IF(G99=0,H99,MIN(H99,H99*(T$3-D99+1)/MAX(1,G99)))*(1+F99)^(T$3-D99)*$E93)</f>
        <v/>
      </c>
      <c r="U8" s="138">
        <f>IF(OR(E99=0,U$3&lt;D99),0,E99*IF(G99=0,H99,MIN(H99,H99*(U$3-D99+1)/MAX(1,G99)))*(1+F99)^(U$3-D99)*$E93)</f>
        <v/>
      </c>
      <c r="V8" s="138">
        <f>IF(OR(E99=0,V$3&lt;D99),0,E99*IF(G99=0,H99,MIN(H99,H99*(V$3-D99+1)/MAX(1,G99)))*(1+F99)^(V$3-D99)*$E93)</f>
        <v/>
      </c>
      <c r="W8" s="138">
        <f>IF(OR(E99=0,W$3&lt;D99),0,E99*IF(G99=0,H99,MIN(H99,H99*(W$3-D99+1)/MAX(1,G99)))*(1+F99)^(W$3-D99)*$E93)</f>
        <v/>
      </c>
      <c r="X8" s="138">
        <f>IF(OR(E99=0,X$3&lt;D99),0,E99*IF(G99=0,H99,MIN(H99,H99*(X$3-D99+1)/MAX(1,G99)))*(1+F99)^(X$3-D99)*$E93)</f>
        <v/>
      </c>
      <c r="Y8" s="138">
        <f>IF(OR(E99=0,Y$3&lt;D99),0,E99*IF(G99=0,H99,MIN(H99,H99*(Y$3-D99+1)/MAX(1,G99)))*(1+F99)^(Y$3-D99)*$E93)</f>
        <v/>
      </c>
      <c r="Z8" s="138">
        <f>IF(OR(E99=0,Z$3&lt;D99),0,E99*IF(G99=0,H99,MIN(H99,H99*(Z$3-D99+1)/MAX(1,G99)))*(1+F99)^(Z$3-D99)*$E93)</f>
        <v/>
      </c>
      <c r="AA8" s="138">
        <f>IF(OR(E99=0,AA$3&lt;D99),0,E99*IF(G99=0,H99,MIN(H99,H99*(AA$3-D99+1)/MAX(1,G99)))*(1+F99)^(AA$3-D99)*$E93)</f>
        <v/>
      </c>
      <c r="AB8" s="138">
        <f>IF(OR(E99=0,AB$3&lt;D99),0,E99*IF(G99=0,H99,MIN(H99,H99*(AB$3-D99+1)/MAX(1,G99)))*(1+F99)^(AB$3-D99)*$E93)</f>
        <v/>
      </c>
      <c r="AC8" s="138">
        <f>IF(OR(E99=0,AC$3&lt;D99),0,E99*IF(G99=0,H99,MIN(H99,H99*(AC$3-D99+1)/MAX(1,G99)))*(1+F99)^(AC$3-D99)*$E93)</f>
        <v/>
      </c>
      <c r="AD8" s="138">
        <f>IF(OR(E99=0,AD$3&lt;D99),0,E99*IF(G99=0,H99,MIN(H99,H99*(AD$3-D99+1)/MAX(1,G99)))*(1+F99)^(AD$3-D99)*$E93)</f>
        <v/>
      </c>
      <c r="AE8" s="138">
        <f>IF(OR(E99=0,AE$3&lt;D99),0,E99*IF(G99=0,H99,MIN(H99,H99*(AE$3-D99+1)/MAX(1,G99)))*(1+F99)^(AE$3-D99)*$E93)</f>
        <v/>
      </c>
      <c r="AF8" s="138">
        <f>IF(OR(E99=0,AF$3&lt;D99),0,E99*IF(G99=0,H99,MIN(H99,H99*(AF$3-D99+1)/MAX(1,G99)))*(1+F99)^(AF$3-D99)*$E93)</f>
        <v/>
      </c>
      <c r="AG8" s="138">
        <f>IF(OR(E99=0,AG$3&lt;D99),0,E99*IF(G99=0,H99,MIN(H99,H99*(AG$3-D99+1)/MAX(1,G99)))*(1+F99)^(AG$3-D99)*$E93)</f>
        <v/>
      </c>
      <c r="AH8" s="138">
        <f>IF(OR(E99=0,AH$3&lt;D99),0,E99*IF(G99=0,H99,MIN(H99,H99*(AH$3-D99+1)/MAX(1,G99)))*(1+F99)^(AH$3-D99)*$E93)</f>
        <v/>
      </c>
      <c r="AI8" s="138">
        <f>IF(OR(E99=0,AI$3&lt;D99),0,E99*IF(G99=0,H99,MIN(H99,H99*(AI$3-D99+1)/MAX(1,G99)))*(1+F99)^(AI$3-D99)*$E93)</f>
        <v/>
      </c>
      <c r="AJ8" s="138">
        <f>IF(OR(E99=0,AJ$3&lt;D99),0,E99*IF(G99=0,H99,MIN(H99,H99*(AJ$3-D99+1)/MAX(1,G99)))*(1+F99)^(AJ$3-D99)*$E93)</f>
        <v/>
      </c>
      <c r="AK8" s="138">
        <f>IF(OR(E99=0,AK$3&lt;D99),0,E99*IF(G99=0,H99,MIN(H99,H99*(AK$3-D99+1)/MAX(1,G99)))*(1+F99)^(AK$3-D99)*$E93)</f>
        <v/>
      </c>
      <c r="AL8" s="138">
        <f>IF(OR(E99=0,AL$3&lt;D99),0,E99*IF(G99=0,H99,MIN(H99,H99*(AL$3-D99+1)/MAX(1,G99)))*(1+F99)^(AL$3-D99)*$E93)</f>
        <v/>
      </c>
      <c r="AM8" s="138">
        <f>IF(OR(E99=0,AM$3&lt;D99),0,E99*IF(G99=0,H99,MIN(H99,H99*(AM$3-D99+1)/MAX(1,G99)))*(1+F99)^(AM$3-D99)*$E93)</f>
        <v/>
      </c>
      <c r="AN8" s="138">
        <f>IF(OR(E99=0,AN$3&lt;D99),0,E99*IF(G99=0,H99,MIN(H99,H99*(AN$3-D99+1)/MAX(1,G99)))*(1+F99)^(AN$3-D99)*$E93)</f>
        <v/>
      </c>
      <c r="AO8" s="138">
        <f>IF(OR(E99=0,AO$3&lt;D99),0,E99*IF(G99=0,H99,MIN(H99,H99*(AO$3-D99+1)/MAX(1,G99)))*(1+F99)^(AO$3-D99)*$E93)</f>
        <v/>
      </c>
      <c r="AP8" s="138">
        <f>IF(OR(E99=0,AP$3&lt;D99),0,E99*IF(G99=0,H99,MIN(H99,H99*(AP$3-D99+1)/MAX(1,G99)))*(1+F99)^(AP$3-D99)*$E93)</f>
        <v/>
      </c>
      <c r="AQ8" s="138">
        <f>IF(OR(E99=0,AQ$3&lt;D99),0,E99*IF(G99=0,H99,MIN(H99,H99*(AQ$3-D99+1)/MAX(1,G99)))*(1+F99)^(AQ$3-D99)*$E93)</f>
        <v/>
      </c>
      <c r="AR8" s="138">
        <f>IF(OR(E99=0,AR$3&lt;D99),0,E99*IF(G99=0,H99,MIN(H99,H99*(AR$3-D99+1)/MAX(1,G99)))*(1+F99)^(AR$3-D99)*$E93)</f>
        <v/>
      </c>
      <c r="AS8" s="138">
        <f>IF(OR(E99=0,AS$3&lt;D99),0,E99*IF(G99=0,H99,MIN(H99,H99*(AS$3-D99+1)/MAX(1,G99)))*(1+F99)^(AS$3-D99)*$E93)</f>
        <v/>
      </c>
      <c r="AT8" s="138">
        <f>IF(OR(E99=0,AT$3&lt;D99),0,E99*IF(G99=0,H99,MIN(H99,H99*(AT$3-D99+1)/MAX(1,G99)))*(1+F99)^(AT$3-D99)*$E93)</f>
        <v/>
      </c>
      <c r="AU8" s="138">
        <f>IF(OR(E99=0,AU$3&lt;D99),0,E99*IF(G99=0,H99,MIN(H99,H99*(AU$3-D99+1)/MAX(1,G99)))*(1+F99)^(AU$3-D99)*$E93)</f>
        <v/>
      </c>
      <c r="AV8" s="138">
        <f>IF(OR(E99=0,AV$3&lt;D99),0,E99*IF(G99=0,H99,MIN(H99,H99*(AV$3-D99+1)/MAX(1,G99)))*(1+F99)^(AV$3-D99)*$E93)</f>
        <v/>
      </c>
      <c r="AW8" s="138">
        <f>IF(OR(E99=0,AW$3&lt;D99),0,E99*IF(G99=0,H99,MIN(H99,H99*(AW$3-D99+1)/MAX(1,G99)))*(1+F99)^(AW$3-D99)*$E93)</f>
        <v/>
      </c>
      <c r="AX8" s="138">
        <f>IF(OR(E99=0,AX$3&lt;D99),0,E99*IF(G99=0,H99,MIN(H99,H99*(AX$3-D99+1)/MAX(1,G99)))*(1+F99)^(AX$3-D99)*$E93)</f>
        <v/>
      </c>
      <c r="AY8" s="138">
        <f>IF(OR(E99=0,AY$3&lt;D99),0,E99*IF(G99=0,H99,MIN(H99,H99*(AY$3-D99+1)/MAX(1,G99)))*(1+F99)^(AY$3-D99)*$E93)</f>
        <v/>
      </c>
      <c r="AZ8" s="138">
        <f>IF(OR(E99=0,AZ$3&lt;D99),0,E99*IF(G99=0,H99,MIN(H99,H99*(AZ$3-D99+1)/MAX(1,G99)))*(1+F99)^(AZ$3-D99)*$E93)</f>
        <v/>
      </c>
      <c r="BA8" s="138">
        <f>IF(OR(E99=0,BA$3&lt;D99),0,E99*IF(G99=0,H99,MIN(H99,H99*(BA$3-D99+1)/MAX(1,G99)))*(1+F99)^(BA$3-D99)*$E93)</f>
        <v/>
      </c>
      <c r="BB8" s="138">
        <f>IF(OR(E99=0,BB$3&lt;D99),0,E99*IF(G99=0,H99,MIN(H99,H99*(BB$3-D99+1)/MAX(1,G99)))*(1+F99)^(BB$3-D99)*$E93)</f>
        <v/>
      </c>
    </row>
    <row r="9" ht="15" customHeight="1" s="91">
      <c r="A9" s="138">
        <f>A100</f>
        <v/>
      </c>
      <c r="B9" s="138">
        <f>B100</f>
        <v/>
      </c>
      <c r="C9" s="138">
        <f>C100</f>
        <v/>
      </c>
      <c r="D9" s="138">
        <f>SUM(E9:BB9)</f>
        <v/>
      </c>
      <c r="E9" s="138">
        <f>IF(OR(E100=0,E$3&lt;D100),0,E100*IF(G100=0,H100,MIN(H100,H100*(E$3-D100+1)/MAX(1,G100)))*(1+F100)^(E$3-D100)*$E93)</f>
        <v/>
      </c>
      <c r="F9" s="138">
        <f>IF(OR(E100=0,F$3&lt;D100),0,E100*IF(G100=0,H100,MIN(H100,H100*(F$3-D100+1)/MAX(1,G100)))*(1+F100)^(F$3-D100)*$E93)</f>
        <v/>
      </c>
      <c r="G9" s="138">
        <f>IF(OR(E100=0,G$3&lt;D100),0,E100*IF(G100=0,H100,MIN(H100,H100*(G$3-D100+1)/MAX(1,G100)))*(1+F100)^(G$3-D100)*$E93)</f>
        <v/>
      </c>
      <c r="H9" s="138">
        <f>IF(OR(E100=0,H$3&lt;D100),0,E100*IF(G100=0,H100,MIN(H100,H100*(H$3-D100+1)/MAX(1,G100)))*(1+F100)^(H$3-D100)*$E93)</f>
        <v/>
      </c>
      <c r="I9" s="138">
        <f>IF(OR(E100=0,I$3&lt;D100),0,E100*IF(G100=0,H100,MIN(H100,H100*(I$3-D100+1)/MAX(1,G100)))*(1+F100)^(I$3-D100)*$E93)</f>
        <v/>
      </c>
      <c r="J9" s="138">
        <f>IF(OR(E100=0,J$3&lt;D100),0,E100*IF(G100=0,H100,MIN(H100,H100*(J$3-D100+1)/MAX(1,G100)))*(1+F100)^(J$3-D100)*$E93)</f>
        <v/>
      </c>
      <c r="K9" s="138">
        <f>IF(OR(E100=0,K$3&lt;D100),0,E100*IF(G100=0,H100,MIN(H100,H100*(K$3-D100+1)/MAX(1,G100)))*(1+F100)^(K$3-D100)*$E93)</f>
        <v/>
      </c>
      <c r="L9" s="138">
        <f>IF(OR(E100=0,L$3&lt;D100),0,E100*IF(G100=0,H100,MIN(H100,H100*(L$3-D100+1)/MAX(1,G100)))*(1+F100)^(L$3-D100)*$E93)</f>
        <v/>
      </c>
      <c r="M9" s="138">
        <f>IF(OR(E100=0,M$3&lt;D100),0,E100*IF(G100=0,H100,MIN(H100,H100*(M$3-D100+1)/MAX(1,G100)))*(1+F100)^(M$3-D100)*$E93)</f>
        <v/>
      </c>
      <c r="N9" s="138">
        <f>IF(OR(E100=0,N$3&lt;D100),0,E100*IF(G100=0,H100,MIN(H100,H100*(N$3-D100+1)/MAX(1,G100)))*(1+F100)^(N$3-D100)*$E93)</f>
        <v/>
      </c>
      <c r="O9" s="138">
        <f>IF(OR(E100=0,O$3&lt;D100),0,E100*IF(G100=0,H100,MIN(H100,H100*(O$3-D100+1)/MAX(1,G100)))*(1+F100)^(O$3-D100)*$E93)</f>
        <v/>
      </c>
      <c r="P9" s="138">
        <f>IF(OR(E100=0,P$3&lt;D100),0,E100*IF(G100=0,H100,MIN(H100,H100*(P$3-D100+1)/MAX(1,G100)))*(1+F100)^(P$3-D100)*$E93)</f>
        <v/>
      </c>
      <c r="Q9" s="138">
        <f>IF(OR(E100=0,Q$3&lt;D100),0,E100*IF(G100=0,H100,MIN(H100,H100*(Q$3-D100+1)/MAX(1,G100)))*(1+F100)^(Q$3-D100)*$E93)</f>
        <v/>
      </c>
      <c r="R9" s="138">
        <f>IF(OR(E100=0,R$3&lt;D100),0,E100*IF(G100=0,H100,MIN(H100,H100*(R$3-D100+1)/MAX(1,G100)))*(1+F100)^(R$3-D100)*$E93)</f>
        <v/>
      </c>
      <c r="S9" s="138">
        <f>IF(OR(E100=0,S$3&lt;D100),0,E100*IF(G100=0,H100,MIN(H100,H100*(S$3-D100+1)/MAX(1,G100)))*(1+F100)^(S$3-D100)*$E93)</f>
        <v/>
      </c>
      <c r="T9" s="138">
        <f>IF(OR(E100=0,T$3&lt;D100),0,E100*IF(G100=0,H100,MIN(H100,H100*(T$3-D100+1)/MAX(1,G100)))*(1+F100)^(T$3-D100)*$E93)</f>
        <v/>
      </c>
      <c r="U9" s="138">
        <f>IF(OR(E100=0,U$3&lt;D100),0,E100*IF(G100=0,H100,MIN(H100,H100*(U$3-D100+1)/MAX(1,G100)))*(1+F100)^(U$3-D100)*$E93)</f>
        <v/>
      </c>
      <c r="V9" s="138">
        <f>IF(OR(E100=0,V$3&lt;D100),0,E100*IF(G100=0,H100,MIN(H100,H100*(V$3-D100+1)/MAX(1,G100)))*(1+F100)^(V$3-D100)*$E93)</f>
        <v/>
      </c>
      <c r="W9" s="138">
        <f>IF(OR(E100=0,W$3&lt;D100),0,E100*IF(G100=0,H100,MIN(H100,H100*(W$3-D100+1)/MAX(1,G100)))*(1+F100)^(W$3-D100)*$E93)</f>
        <v/>
      </c>
      <c r="X9" s="138">
        <f>IF(OR(E100=0,X$3&lt;D100),0,E100*IF(G100=0,H100,MIN(H100,H100*(X$3-D100+1)/MAX(1,G100)))*(1+F100)^(X$3-D100)*$E93)</f>
        <v/>
      </c>
      <c r="Y9" s="138">
        <f>IF(OR(E100=0,Y$3&lt;D100),0,E100*IF(G100=0,H100,MIN(H100,H100*(Y$3-D100+1)/MAX(1,G100)))*(1+F100)^(Y$3-D100)*$E93)</f>
        <v/>
      </c>
      <c r="Z9" s="138">
        <f>IF(OR(E100=0,Z$3&lt;D100),0,E100*IF(G100=0,H100,MIN(H100,H100*(Z$3-D100+1)/MAX(1,G100)))*(1+F100)^(Z$3-D100)*$E93)</f>
        <v/>
      </c>
      <c r="AA9" s="138">
        <f>IF(OR(E100=0,AA$3&lt;D100),0,E100*IF(G100=0,H100,MIN(H100,H100*(AA$3-D100+1)/MAX(1,G100)))*(1+F100)^(AA$3-D100)*$E93)</f>
        <v/>
      </c>
      <c r="AB9" s="138">
        <f>IF(OR(E100=0,AB$3&lt;D100),0,E100*IF(G100=0,H100,MIN(H100,H100*(AB$3-D100+1)/MAX(1,G100)))*(1+F100)^(AB$3-D100)*$E93)</f>
        <v/>
      </c>
      <c r="AC9" s="138">
        <f>IF(OR(E100=0,AC$3&lt;D100),0,E100*IF(G100=0,H100,MIN(H100,H100*(AC$3-D100+1)/MAX(1,G100)))*(1+F100)^(AC$3-D100)*$E93)</f>
        <v/>
      </c>
      <c r="AD9" s="138">
        <f>IF(OR(E100=0,AD$3&lt;D100),0,E100*IF(G100=0,H100,MIN(H100,H100*(AD$3-D100+1)/MAX(1,G100)))*(1+F100)^(AD$3-D100)*$E93)</f>
        <v/>
      </c>
      <c r="AE9" s="138">
        <f>IF(OR(E100=0,AE$3&lt;D100),0,E100*IF(G100=0,H100,MIN(H100,H100*(AE$3-D100+1)/MAX(1,G100)))*(1+F100)^(AE$3-D100)*$E93)</f>
        <v/>
      </c>
      <c r="AF9" s="138">
        <f>IF(OR(E100=0,AF$3&lt;D100),0,E100*IF(G100=0,H100,MIN(H100,H100*(AF$3-D100+1)/MAX(1,G100)))*(1+F100)^(AF$3-D100)*$E93)</f>
        <v/>
      </c>
      <c r="AG9" s="138">
        <f>IF(OR(E100=0,AG$3&lt;D100),0,E100*IF(G100=0,H100,MIN(H100,H100*(AG$3-D100+1)/MAX(1,G100)))*(1+F100)^(AG$3-D100)*$E93)</f>
        <v/>
      </c>
      <c r="AH9" s="138">
        <f>IF(OR(E100=0,AH$3&lt;D100),0,E100*IF(G100=0,H100,MIN(H100,H100*(AH$3-D100+1)/MAX(1,G100)))*(1+F100)^(AH$3-D100)*$E93)</f>
        <v/>
      </c>
      <c r="AI9" s="138">
        <f>IF(OR(E100=0,AI$3&lt;D100),0,E100*IF(G100=0,H100,MIN(H100,H100*(AI$3-D100+1)/MAX(1,G100)))*(1+F100)^(AI$3-D100)*$E93)</f>
        <v/>
      </c>
      <c r="AJ9" s="138">
        <f>IF(OR(E100=0,AJ$3&lt;D100),0,E100*IF(G100=0,H100,MIN(H100,H100*(AJ$3-D100+1)/MAX(1,G100)))*(1+F100)^(AJ$3-D100)*$E93)</f>
        <v/>
      </c>
      <c r="AK9" s="138">
        <f>IF(OR(E100=0,AK$3&lt;D100),0,E100*IF(G100=0,H100,MIN(H100,H100*(AK$3-D100+1)/MAX(1,G100)))*(1+F100)^(AK$3-D100)*$E93)</f>
        <v/>
      </c>
      <c r="AL9" s="138">
        <f>IF(OR(E100=0,AL$3&lt;D100),0,E100*IF(G100=0,H100,MIN(H100,H100*(AL$3-D100+1)/MAX(1,G100)))*(1+F100)^(AL$3-D100)*$E93)</f>
        <v/>
      </c>
      <c r="AM9" s="138">
        <f>IF(OR(E100=0,AM$3&lt;D100),0,E100*IF(G100=0,H100,MIN(H100,H100*(AM$3-D100+1)/MAX(1,G100)))*(1+F100)^(AM$3-D100)*$E93)</f>
        <v/>
      </c>
      <c r="AN9" s="138">
        <f>IF(OR(E100=0,AN$3&lt;D100),0,E100*IF(G100=0,H100,MIN(H100,H100*(AN$3-D100+1)/MAX(1,G100)))*(1+F100)^(AN$3-D100)*$E93)</f>
        <v/>
      </c>
      <c r="AO9" s="138">
        <f>IF(OR(E100=0,AO$3&lt;D100),0,E100*IF(G100=0,H100,MIN(H100,H100*(AO$3-D100+1)/MAX(1,G100)))*(1+F100)^(AO$3-D100)*$E93)</f>
        <v/>
      </c>
      <c r="AP9" s="138">
        <f>IF(OR(E100=0,AP$3&lt;D100),0,E100*IF(G100=0,H100,MIN(H100,H100*(AP$3-D100+1)/MAX(1,G100)))*(1+F100)^(AP$3-D100)*$E93)</f>
        <v/>
      </c>
      <c r="AQ9" s="138">
        <f>IF(OR(E100=0,AQ$3&lt;D100),0,E100*IF(G100=0,H100,MIN(H100,H100*(AQ$3-D100+1)/MAX(1,G100)))*(1+F100)^(AQ$3-D100)*$E93)</f>
        <v/>
      </c>
      <c r="AR9" s="138">
        <f>IF(OR(E100=0,AR$3&lt;D100),0,E100*IF(G100=0,H100,MIN(H100,H100*(AR$3-D100+1)/MAX(1,G100)))*(1+F100)^(AR$3-D100)*$E93)</f>
        <v/>
      </c>
      <c r="AS9" s="138">
        <f>IF(OR(E100=0,AS$3&lt;D100),0,E100*IF(G100=0,H100,MIN(H100,H100*(AS$3-D100+1)/MAX(1,G100)))*(1+F100)^(AS$3-D100)*$E93)</f>
        <v/>
      </c>
      <c r="AT9" s="138">
        <f>IF(OR(E100=0,AT$3&lt;D100),0,E100*IF(G100=0,H100,MIN(H100,H100*(AT$3-D100+1)/MAX(1,G100)))*(1+F100)^(AT$3-D100)*$E93)</f>
        <v/>
      </c>
      <c r="AU9" s="138">
        <f>IF(OR(E100=0,AU$3&lt;D100),0,E100*IF(G100=0,H100,MIN(H100,H100*(AU$3-D100+1)/MAX(1,G100)))*(1+F100)^(AU$3-D100)*$E93)</f>
        <v/>
      </c>
      <c r="AV9" s="138">
        <f>IF(OR(E100=0,AV$3&lt;D100),0,E100*IF(G100=0,H100,MIN(H100,H100*(AV$3-D100+1)/MAX(1,G100)))*(1+F100)^(AV$3-D100)*$E93)</f>
        <v/>
      </c>
      <c r="AW9" s="138">
        <f>IF(OR(E100=0,AW$3&lt;D100),0,E100*IF(G100=0,H100,MIN(H100,H100*(AW$3-D100+1)/MAX(1,G100)))*(1+F100)^(AW$3-D100)*$E93)</f>
        <v/>
      </c>
      <c r="AX9" s="138">
        <f>IF(OR(E100=0,AX$3&lt;D100),0,E100*IF(G100=0,H100,MIN(H100,H100*(AX$3-D100+1)/MAX(1,G100)))*(1+F100)^(AX$3-D100)*$E93)</f>
        <v/>
      </c>
      <c r="AY9" s="138">
        <f>IF(OR(E100=0,AY$3&lt;D100),0,E100*IF(G100=0,H100,MIN(H100,H100*(AY$3-D100+1)/MAX(1,G100)))*(1+F100)^(AY$3-D100)*$E93)</f>
        <v/>
      </c>
      <c r="AZ9" s="138">
        <f>IF(OR(E100=0,AZ$3&lt;D100),0,E100*IF(G100=0,H100,MIN(H100,H100*(AZ$3-D100+1)/MAX(1,G100)))*(1+F100)^(AZ$3-D100)*$E93)</f>
        <v/>
      </c>
      <c r="BA9" s="138">
        <f>IF(OR(E100=0,BA$3&lt;D100),0,E100*IF(G100=0,H100,MIN(H100,H100*(BA$3-D100+1)/MAX(1,G100)))*(1+F100)^(BA$3-D100)*$E93)</f>
        <v/>
      </c>
      <c r="BB9" s="138">
        <f>IF(OR(E100=0,BB$3&lt;D100),0,E100*IF(G100=0,H100,MIN(H100,H100*(BB$3-D100+1)/MAX(1,G100)))*(1+F100)^(BB$3-D100)*$E93)</f>
        <v/>
      </c>
    </row>
    <row r="10" ht="15" customHeight="1" s="91">
      <c r="A10" s="138">
        <f>A101</f>
        <v/>
      </c>
      <c r="B10" s="138">
        <f>B101</f>
        <v/>
      </c>
      <c r="C10" s="138">
        <f>C101</f>
        <v/>
      </c>
      <c r="D10" s="138">
        <f>SUM(E10:BB10)</f>
        <v/>
      </c>
      <c r="E10" s="138">
        <f>IF(OR(E101=0,E$3&lt;D101),0,E101*IF(G101=0,H101,MIN(H101,H101*(E$3-D101+1)/MAX(1,G101)))*(1+F101)^(E$3-D101)*$E93)</f>
        <v/>
      </c>
      <c r="F10" s="138">
        <f>IF(OR(E101=0,F$3&lt;D101),0,E101*IF(G101=0,H101,MIN(H101,H101*(F$3-D101+1)/MAX(1,G101)))*(1+F101)^(F$3-D101)*$E93)</f>
        <v/>
      </c>
      <c r="G10" s="138">
        <f>IF(OR(E101=0,G$3&lt;D101),0,E101*IF(G101=0,H101,MIN(H101,H101*(G$3-D101+1)/MAX(1,G101)))*(1+F101)^(G$3-D101)*$E93)</f>
        <v/>
      </c>
      <c r="H10" s="138">
        <f>IF(OR(E101=0,H$3&lt;D101),0,E101*IF(G101=0,H101,MIN(H101,H101*(H$3-D101+1)/MAX(1,G101)))*(1+F101)^(H$3-D101)*$E93)</f>
        <v/>
      </c>
      <c r="I10" s="138">
        <f>IF(OR(E101=0,I$3&lt;D101),0,E101*IF(G101=0,H101,MIN(H101,H101*(I$3-D101+1)/MAX(1,G101)))*(1+F101)^(I$3-D101)*$E93)</f>
        <v/>
      </c>
      <c r="J10" s="138">
        <f>IF(OR(E101=0,J$3&lt;D101),0,E101*IF(G101=0,H101,MIN(H101,H101*(J$3-D101+1)/MAX(1,G101)))*(1+F101)^(J$3-D101)*$E93)</f>
        <v/>
      </c>
      <c r="K10" s="138">
        <f>IF(OR(E101=0,K$3&lt;D101),0,E101*IF(G101=0,H101,MIN(H101,H101*(K$3-D101+1)/MAX(1,G101)))*(1+F101)^(K$3-D101)*$E93)</f>
        <v/>
      </c>
      <c r="L10" s="138">
        <f>IF(OR(E101=0,L$3&lt;D101),0,E101*IF(G101=0,H101,MIN(H101,H101*(L$3-D101+1)/MAX(1,G101)))*(1+F101)^(L$3-D101)*$E93)</f>
        <v/>
      </c>
      <c r="M10" s="138">
        <f>IF(OR(E101=0,M$3&lt;D101),0,E101*IF(G101=0,H101,MIN(H101,H101*(M$3-D101+1)/MAX(1,G101)))*(1+F101)^(M$3-D101)*$E93)</f>
        <v/>
      </c>
      <c r="N10" s="138">
        <f>IF(OR(E101=0,N$3&lt;D101),0,E101*IF(G101=0,H101,MIN(H101,H101*(N$3-D101+1)/MAX(1,G101)))*(1+F101)^(N$3-D101)*$E93)</f>
        <v/>
      </c>
      <c r="O10" s="138">
        <f>IF(OR(E101=0,O$3&lt;D101),0,E101*IF(G101=0,H101,MIN(H101,H101*(O$3-D101+1)/MAX(1,G101)))*(1+F101)^(O$3-D101)*$E93)</f>
        <v/>
      </c>
      <c r="P10" s="138">
        <f>IF(OR(E101=0,P$3&lt;D101),0,E101*IF(G101=0,H101,MIN(H101,H101*(P$3-D101+1)/MAX(1,G101)))*(1+F101)^(P$3-D101)*$E93)</f>
        <v/>
      </c>
      <c r="Q10" s="138">
        <f>IF(OR(E101=0,Q$3&lt;D101),0,E101*IF(G101=0,H101,MIN(H101,H101*(Q$3-D101+1)/MAX(1,G101)))*(1+F101)^(Q$3-D101)*$E93)</f>
        <v/>
      </c>
      <c r="R10" s="138">
        <f>IF(OR(E101=0,R$3&lt;D101),0,E101*IF(G101=0,H101,MIN(H101,H101*(R$3-D101+1)/MAX(1,G101)))*(1+F101)^(R$3-D101)*$E93)</f>
        <v/>
      </c>
      <c r="S10" s="138">
        <f>IF(OR(E101=0,S$3&lt;D101),0,E101*IF(G101=0,H101,MIN(H101,H101*(S$3-D101+1)/MAX(1,G101)))*(1+F101)^(S$3-D101)*$E93)</f>
        <v/>
      </c>
      <c r="T10" s="138">
        <f>IF(OR(E101=0,T$3&lt;D101),0,E101*IF(G101=0,H101,MIN(H101,H101*(T$3-D101+1)/MAX(1,G101)))*(1+F101)^(T$3-D101)*$E93)</f>
        <v/>
      </c>
      <c r="U10" s="138">
        <f>IF(OR(E101=0,U$3&lt;D101),0,E101*IF(G101=0,H101,MIN(H101,H101*(U$3-D101+1)/MAX(1,G101)))*(1+F101)^(U$3-D101)*$E93)</f>
        <v/>
      </c>
      <c r="V10" s="138">
        <f>IF(OR(E101=0,V$3&lt;D101),0,E101*IF(G101=0,H101,MIN(H101,H101*(V$3-D101+1)/MAX(1,G101)))*(1+F101)^(V$3-D101)*$E93)</f>
        <v/>
      </c>
      <c r="W10" s="138">
        <f>IF(OR(E101=0,W$3&lt;D101),0,E101*IF(G101=0,H101,MIN(H101,H101*(W$3-D101+1)/MAX(1,G101)))*(1+F101)^(W$3-D101)*$E93)</f>
        <v/>
      </c>
      <c r="X10" s="138">
        <f>IF(OR(E101=0,X$3&lt;D101),0,E101*IF(G101=0,H101,MIN(H101,H101*(X$3-D101+1)/MAX(1,G101)))*(1+F101)^(X$3-D101)*$E93)</f>
        <v/>
      </c>
      <c r="Y10" s="138">
        <f>IF(OR(E101=0,Y$3&lt;D101),0,E101*IF(G101=0,H101,MIN(H101,H101*(Y$3-D101+1)/MAX(1,G101)))*(1+F101)^(Y$3-D101)*$E93)</f>
        <v/>
      </c>
      <c r="Z10" s="138">
        <f>IF(OR(E101=0,Z$3&lt;D101),0,E101*IF(G101=0,H101,MIN(H101,H101*(Z$3-D101+1)/MAX(1,G101)))*(1+F101)^(Z$3-D101)*$E93)</f>
        <v/>
      </c>
      <c r="AA10" s="138">
        <f>IF(OR(E101=0,AA$3&lt;D101),0,E101*IF(G101=0,H101,MIN(H101,H101*(AA$3-D101+1)/MAX(1,G101)))*(1+F101)^(AA$3-D101)*$E93)</f>
        <v/>
      </c>
      <c r="AB10" s="138">
        <f>IF(OR(E101=0,AB$3&lt;D101),0,E101*IF(G101=0,H101,MIN(H101,H101*(AB$3-D101+1)/MAX(1,G101)))*(1+F101)^(AB$3-D101)*$E93)</f>
        <v/>
      </c>
      <c r="AC10" s="138">
        <f>IF(OR(E101=0,AC$3&lt;D101),0,E101*IF(G101=0,H101,MIN(H101,H101*(AC$3-D101+1)/MAX(1,G101)))*(1+F101)^(AC$3-D101)*$E93)</f>
        <v/>
      </c>
      <c r="AD10" s="138">
        <f>IF(OR(E101=0,AD$3&lt;D101),0,E101*IF(G101=0,H101,MIN(H101,H101*(AD$3-D101+1)/MAX(1,G101)))*(1+F101)^(AD$3-D101)*$E93)</f>
        <v/>
      </c>
      <c r="AE10" s="138">
        <f>IF(OR(E101=0,AE$3&lt;D101),0,E101*IF(G101=0,H101,MIN(H101,H101*(AE$3-D101+1)/MAX(1,G101)))*(1+F101)^(AE$3-D101)*$E93)</f>
        <v/>
      </c>
      <c r="AF10" s="138">
        <f>IF(OR(E101=0,AF$3&lt;D101),0,E101*IF(G101=0,H101,MIN(H101,H101*(AF$3-D101+1)/MAX(1,G101)))*(1+F101)^(AF$3-D101)*$E93)</f>
        <v/>
      </c>
      <c r="AG10" s="138">
        <f>IF(OR(E101=0,AG$3&lt;D101),0,E101*IF(G101=0,H101,MIN(H101,H101*(AG$3-D101+1)/MAX(1,G101)))*(1+F101)^(AG$3-D101)*$E93)</f>
        <v/>
      </c>
      <c r="AH10" s="138">
        <f>IF(OR(E101=0,AH$3&lt;D101),0,E101*IF(G101=0,H101,MIN(H101,H101*(AH$3-D101+1)/MAX(1,G101)))*(1+F101)^(AH$3-D101)*$E93)</f>
        <v/>
      </c>
      <c r="AI10" s="138">
        <f>IF(OR(E101=0,AI$3&lt;D101),0,E101*IF(G101=0,H101,MIN(H101,H101*(AI$3-D101+1)/MAX(1,G101)))*(1+F101)^(AI$3-D101)*$E93)</f>
        <v/>
      </c>
      <c r="AJ10" s="138">
        <f>IF(OR(E101=0,AJ$3&lt;D101),0,E101*IF(G101=0,H101,MIN(H101,H101*(AJ$3-D101+1)/MAX(1,G101)))*(1+F101)^(AJ$3-D101)*$E93)</f>
        <v/>
      </c>
      <c r="AK10" s="138">
        <f>IF(OR(E101=0,AK$3&lt;D101),0,E101*IF(G101=0,H101,MIN(H101,H101*(AK$3-D101+1)/MAX(1,G101)))*(1+F101)^(AK$3-D101)*$E93)</f>
        <v/>
      </c>
      <c r="AL10" s="138">
        <f>IF(OR(E101=0,AL$3&lt;D101),0,E101*IF(G101=0,H101,MIN(H101,H101*(AL$3-D101+1)/MAX(1,G101)))*(1+F101)^(AL$3-D101)*$E93)</f>
        <v/>
      </c>
      <c r="AM10" s="138">
        <f>IF(OR(E101=0,AM$3&lt;D101),0,E101*IF(G101=0,H101,MIN(H101,H101*(AM$3-D101+1)/MAX(1,G101)))*(1+F101)^(AM$3-D101)*$E93)</f>
        <v/>
      </c>
      <c r="AN10" s="138">
        <f>IF(OR(E101=0,AN$3&lt;D101),0,E101*IF(G101=0,H101,MIN(H101,H101*(AN$3-D101+1)/MAX(1,G101)))*(1+F101)^(AN$3-D101)*$E93)</f>
        <v/>
      </c>
      <c r="AO10" s="138">
        <f>IF(OR(E101=0,AO$3&lt;D101),0,E101*IF(G101=0,H101,MIN(H101,H101*(AO$3-D101+1)/MAX(1,G101)))*(1+F101)^(AO$3-D101)*$E93)</f>
        <v/>
      </c>
      <c r="AP10" s="138">
        <f>IF(OR(E101=0,AP$3&lt;D101),0,E101*IF(G101=0,H101,MIN(H101,H101*(AP$3-D101+1)/MAX(1,G101)))*(1+F101)^(AP$3-D101)*$E93)</f>
        <v/>
      </c>
      <c r="AQ10" s="138">
        <f>IF(OR(E101=0,AQ$3&lt;D101),0,E101*IF(G101=0,H101,MIN(H101,H101*(AQ$3-D101+1)/MAX(1,G101)))*(1+F101)^(AQ$3-D101)*$E93)</f>
        <v/>
      </c>
      <c r="AR10" s="138">
        <f>IF(OR(E101=0,AR$3&lt;D101),0,E101*IF(G101=0,H101,MIN(H101,H101*(AR$3-D101+1)/MAX(1,G101)))*(1+F101)^(AR$3-D101)*$E93)</f>
        <v/>
      </c>
      <c r="AS10" s="138">
        <f>IF(OR(E101=0,AS$3&lt;D101),0,E101*IF(G101=0,H101,MIN(H101,H101*(AS$3-D101+1)/MAX(1,G101)))*(1+F101)^(AS$3-D101)*$E93)</f>
        <v/>
      </c>
      <c r="AT10" s="138">
        <f>IF(OR(E101=0,AT$3&lt;D101),0,E101*IF(G101=0,H101,MIN(H101,H101*(AT$3-D101+1)/MAX(1,G101)))*(1+F101)^(AT$3-D101)*$E93)</f>
        <v/>
      </c>
      <c r="AU10" s="138">
        <f>IF(OR(E101=0,AU$3&lt;D101),0,E101*IF(G101=0,H101,MIN(H101,H101*(AU$3-D101+1)/MAX(1,G101)))*(1+F101)^(AU$3-D101)*$E93)</f>
        <v/>
      </c>
      <c r="AV10" s="138">
        <f>IF(OR(E101=0,AV$3&lt;D101),0,E101*IF(G101=0,H101,MIN(H101,H101*(AV$3-D101+1)/MAX(1,G101)))*(1+F101)^(AV$3-D101)*$E93)</f>
        <v/>
      </c>
      <c r="AW10" s="138">
        <f>IF(OR(E101=0,AW$3&lt;D101),0,E101*IF(G101=0,H101,MIN(H101,H101*(AW$3-D101+1)/MAX(1,G101)))*(1+F101)^(AW$3-D101)*$E93)</f>
        <v/>
      </c>
      <c r="AX10" s="138">
        <f>IF(OR(E101=0,AX$3&lt;D101),0,E101*IF(G101=0,H101,MIN(H101,H101*(AX$3-D101+1)/MAX(1,G101)))*(1+F101)^(AX$3-D101)*$E93)</f>
        <v/>
      </c>
      <c r="AY10" s="138">
        <f>IF(OR(E101=0,AY$3&lt;D101),0,E101*IF(G101=0,H101,MIN(H101,H101*(AY$3-D101+1)/MAX(1,G101)))*(1+F101)^(AY$3-D101)*$E93)</f>
        <v/>
      </c>
      <c r="AZ10" s="138">
        <f>IF(OR(E101=0,AZ$3&lt;D101),0,E101*IF(G101=0,H101,MIN(H101,H101*(AZ$3-D101+1)/MAX(1,G101)))*(1+F101)^(AZ$3-D101)*$E93)</f>
        <v/>
      </c>
      <c r="BA10" s="138">
        <f>IF(OR(E101=0,BA$3&lt;D101),0,E101*IF(G101=0,H101,MIN(H101,H101*(BA$3-D101+1)/MAX(1,G101)))*(1+F101)^(BA$3-D101)*$E93)</f>
        <v/>
      </c>
      <c r="BB10" s="138">
        <f>IF(OR(E101=0,BB$3&lt;D101),0,E101*IF(G101=0,H101,MIN(H101,H101*(BB$3-D101+1)/MAX(1,G101)))*(1+F101)^(BB$3-D101)*$E93)</f>
        <v/>
      </c>
    </row>
    <row r="11" ht="15" customHeight="1" s="91">
      <c r="A11" s="138">
        <f>A102</f>
        <v/>
      </c>
      <c r="B11" s="138">
        <f>B102</f>
        <v/>
      </c>
      <c r="C11" s="138">
        <f>C102</f>
        <v/>
      </c>
      <c r="D11" s="138">
        <f>SUM(E11:BB11)</f>
        <v/>
      </c>
      <c r="E11" s="138">
        <f>IF(OR(E102=0,E$3&lt;D102),0,E102*IF(G102=0,H102,MIN(H102,H102*(E$3-D102+1)/MAX(1,G102)))*(1+F102)^(E$3-D102)*$E93)</f>
        <v/>
      </c>
      <c r="F11" s="138">
        <f>IF(OR(E102=0,F$3&lt;D102),0,E102*IF(G102=0,H102,MIN(H102,H102*(F$3-D102+1)/MAX(1,G102)))*(1+F102)^(F$3-D102)*$E93)</f>
        <v/>
      </c>
      <c r="G11" s="138">
        <f>IF(OR(E102=0,G$3&lt;D102),0,E102*IF(G102=0,H102,MIN(H102,H102*(G$3-D102+1)/MAX(1,G102)))*(1+F102)^(G$3-D102)*$E93)</f>
        <v/>
      </c>
      <c r="H11" s="138">
        <f>IF(OR(E102=0,H$3&lt;D102),0,E102*IF(G102=0,H102,MIN(H102,H102*(H$3-D102+1)/MAX(1,G102)))*(1+F102)^(H$3-D102)*$E93)</f>
        <v/>
      </c>
      <c r="I11" s="138">
        <f>IF(OR(E102=0,I$3&lt;D102),0,E102*IF(G102=0,H102,MIN(H102,H102*(I$3-D102+1)/MAX(1,G102)))*(1+F102)^(I$3-D102)*$E93)</f>
        <v/>
      </c>
      <c r="J11" s="138">
        <f>IF(OR(E102=0,J$3&lt;D102),0,E102*IF(G102=0,H102,MIN(H102,H102*(J$3-D102+1)/MAX(1,G102)))*(1+F102)^(J$3-D102)*$E93)</f>
        <v/>
      </c>
      <c r="K11" s="138">
        <f>IF(OR(E102=0,K$3&lt;D102),0,E102*IF(G102=0,H102,MIN(H102,H102*(K$3-D102+1)/MAX(1,G102)))*(1+F102)^(K$3-D102)*$E93)</f>
        <v/>
      </c>
      <c r="L11" s="138">
        <f>IF(OR(E102=0,L$3&lt;D102),0,E102*IF(G102=0,H102,MIN(H102,H102*(L$3-D102+1)/MAX(1,G102)))*(1+F102)^(L$3-D102)*$E93)</f>
        <v/>
      </c>
      <c r="M11" s="138">
        <f>IF(OR(E102=0,M$3&lt;D102),0,E102*IF(G102=0,H102,MIN(H102,H102*(M$3-D102+1)/MAX(1,G102)))*(1+F102)^(M$3-D102)*$E93)</f>
        <v/>
      </c>
      <c r="N11" s="138">
        <f>IF(OR(E102=0,N$3&lt;D102),0,E102*IF(G102=0,H102,MIN(H102,H102*(N$3-D102+1)/MAX(1,G102)))*(1+F102)^(N$3-D102)*$E93)</f>
        <v/>
      </c>
      <c r="O11" s="138">
        <f>IF(OR(E102=0,O$3&lt;D102),0,E102*IF(G102=0,H102,MIN(H102,H102*(O$3-D102+1)/MAX(1,G102)))*(1+F102)^(O$3-D102)*$E93)</f>
        <v/>
      </c>
      <c r="P11" s="138">
        <f>IF(OR(E102=0,P$3&lt;D102),0,E102*IF(G102=0,H102,MIN(H102,H102*(P$3-D102+1)/MAX(1,G102)))*(1+F102)^(P$3-D102)*$E93)</f>
        <v/>
      </c>
      <c r="Q11" s="138">
        <f>IF(OR(E102=0,Q$3&lt;D102),0,E102*IF(G102=0,H102,MIN(H102,H102*(Q$3-D102+1)/MAX(1,G102)))*(1+F102)^(Q$3-D102)*$E93)</f>
        <v/>
      </c>
      <c r="R11" s="138">
        <f>IF(OR(E102=0,R$3&lt;D102),0,E102*IF(G102=0,H102,MIN(H102,H102*(R$3-D102+1)/MAX(1,G102)))*(1+F102)^(R$3-D102)*$E93)</f>
        <v/>
      </c>
      <c r="S11" s="138">
        <f>IF(OR(E102=0,S$3&lt;D102),0,E102*IF(G102=0,H102,MIN(H102,H102*(S$3-D102+1)/MAX(1,G102)))*(1+F102)^(S$3-D102)*$E93)</f>
        <v/>
      </c>
      <c r="T11" s="138">
        <f>IF(OR(E102=0,T$3&lt;D102),0,E102*IF(G102=0,H102,MIN(H102,H102*(T$3-D102+1)/MAX(1,G102)))*(1+F102)^(T$3-D102)*$E93)</f>
        <v/>
      </c>
      <c r="U11" s="138">
        <f>IF(OR(E102=0,U$3&lt;D102),0,E102*IF(G102=0,H102,MIN(H102,H102*(U$3-D102+1)/MAX(1,G102)))*(1+F102)^(U$3-D102)*$E93)</f>
        <v/>
      </c>
      <c r="V11" s="138">
        <f>IF(OR(E102=0,V$3&lt;D102),0,E102*IF(G102=0,H102,MIN(H102,H102*(V$3-D102+1)/MAX(1,G102)))*(1+F102)^(V$3-D102)*$E93)</f>
        <v/>
      </c>
      <c r="W11" s="138">
        <f>IF(OR(E102=0,W$3&lt;D102),0,E102*IF(G102=0,H102,MIN(H102,H102*(W$3-D102+1)/MAX(1,G102)))*(1+F102)^(W$3-D102)*$E93)</f>
        <v/>
      </c>
      <c r="X11" s="138">
        <f>IF(OR(E102=0,X$3&lt;D102),0,E102*IF(G102=0,H102,MIN(H102,H102*(X$3-D102+1)/MAX(1,G102)))*(1+F102)^(X$3-D102)*$E93)</f>
        <v/>
      </c>
      <c r="Y11" s="138">
        <f>IF(OR(E102=0,Y$3&lt;D102),0,E102*IF(G102=0,H102,MIN(H102,H102*(Y$3-D102+1)/MAX(1,G102)))*(1+F102)^(Y$3-D102)*$E93)</f>
        <v/>
      </c>
      <c r="Z11" s="138">
        <f>IF(OR(E102=0,Z$3&lt;D102),0,E102*IF(G102=0,H102,MIN(H102,H102*(Z$3-D102+1)/MAX(1,G102)))*(1+F102)^(Z$3-D102)*$E93)</f>
        <v/>
      </c>
      <c r="AA11" s="138">
        <f>IF(OR(E102=0,AA$3&lt;D102),0,E102*IF(G102=0,H102,MIN(H102,H102*(AA$3-D102+1)/MAX(1,G102)))*(1+F102)^(AA$3-D102)*$E93)</f>
        <v/>
      </c>
      <c r="AB11" s="138">
        <f>IF(OR(E102=0,AB$3&lt;D102),0,E102*IF(G102=0,H102,MIN(H102,H102*(AB$3-D102+1)/MAX(1,G102)))*(1+F102)^(AB$3-D102)*$E93)</f>
        <v/>
      </c>
      <c r="AC11" s="138">
        <f>IF(OR(E102=0,AC$3&lt;D102),0,E102*IF(G102=0,H102,MIN(H102,H102*(AC$3-D102+1)/MAX(1,G102)))*(1+F102)^(AC$3-D102)*$E93)</f>
        <v/>
      </c>
      <c r="AD11" s="138">
        <f>IF(OR(E102=0,AD$3&lt;D102),0,E102*IF(G102=0,H102,MIN(H102,H102*(AD$3-D102+1)/MAX(1,G102)))*(1+F102)^(AD$3-D102)*$E93)</f>
        <v/>
      </c>
      <c r="AE11" s="138">
        <f>IF(OR(E102=0,AE$3&lt;D102),0,E102*IF(G102=0,H102,MIN(H102,H102*(AE$3-D102+1)/MAX(1,G102)))*(1+F102)^(AE$3-D102)*$E93)</f>
        <v/>
      </c>
      <c r="AF11" s="138">
        <f>IF(OR(E102=0,AF$3&lt;D102),0,E102*IF(G102=0,H102,MIN(H102,H102*(AF$3-D102+1)/MAX(1,G102)))*(1+F102)^(AF$3-D102)*$E93)</f>
        <v/>
      </c>
      <c r="AG11" s="138">
        <f>IF(OR(E102=0,AG$3&lt;D102),0,E102*IF(G102=0,H102,MIN(H102,H102*(AG$3-D102+1)/MAX(1,G102)))*(1+F102)^(AG$3-D102)*$E93)</f>
        <v/>
      </c>
      <c r="AH11" s="138">
        <f>IF(OR(E102=0,AH$3&lt;D102),0,E102*IF(G102=0,H102,MIN(H102,H102*(AH$3-D102+1)/MAX(1,G102)))*(1+F102)^(AH$3-D102)*$E93)</f>
        <v/>
      </c>
      <c r="AI11" s="138">
        <f>IF(OR(E102=0,AI$3&lt;D102),0,E102*IF(G102=0,H102,MIN(H102,H102*(AI$3-D102+1)/MAX(1,G102)))*(1+F102)^(AI$3-D102)*$E93)</f>
        <v/>
      </c>
      <c r="AJ11" s="138">
        <f>IF(OR(E102=0,AJ$3&lt;D102),0,E102*IF(G102=0,H102,MIN(H102,H102*(AJ$3-D102+1)/MAX(1,G102)))*(1+F102)^(AJ$3-D102)*$E93)</f>
        <v/>
      </c>
      <c r="AK11" s="138">
        <f>IF(OR(E102=0,AK$3&lt;D102),0,E102*IF(G102=0,H102,MIN(H102,H102*(AK$3-D102+1)/MAX(1,G102)))*(1+F102)^(AK$3-D102)*$E93)</f>
        <v/>
      </c>
      <c r="AL11" s="138">
        <f>IF(OR(E102=0,AL$3&lt;D102),0,E102*IF(G102=0,H102,MIN(H102,H102*(AL$3-D102+1)/MAX(1,G102)))*(1+F102)^(AL$3-D102)*$E93)</f>
        <v/>
      </c>
      <c r="AM11" s="138">
        <f>IF(OR(E102=0,AM$3&lt;D102),0,E102*IF(G102=0,H102,MIN(H102,H102*(AM$3-D102+1)/MAX(1,G102)))*(1+F102)^(AM$3-D102)*$E93)</f>
        <v/>
      </c>
      <c r="AN11" s="138">
        <f>IF(OR(E102=0,AN$3&lt;D102),0,E102*IF(G102=0,H102,MIN(H102,H102*(AN$3-D102+1)/MAX(1,G102)))*(1+F102)^(AN$3-D102)*$E93)</f>
        <v/>
      </c>
      <c r="AO11" s="138">
        <f>IF(OR(E102=0,AO$3&lt;D102),0,E102*IF(G102=0,H102,MIN(H102,H102*(AO$3-D102+1)/MAX(1,G102)))*(1+F102)^(AO$3-D102)*$E93)</f>
        <v/>
      </c>
      <c r="AP11" s="138">
        <f>IF(OR(E102=0,AP$3&lt;D102),0,E102*IF(G102=0,H102,MIN(H102,H102*(AP$3-D102+1)/MAX(1,G102)))*(1+F102)^(AP$3-D102)*$E93)</f>
        <v/>
      </c>
      <c r="AQ11" s="138">
        <f>IF(OR(E102=0,AQ$3&lt;D102),0,E102*IF(G102=0,H102,MIN(H102,H102*(AQ$3-D102+1)/MAX(1,G102)))*(1+F102)^(AQ$3-D102)*$E93)</f>
        <v/>
      </c>
      <c r="AR11" s="138">
        <f>IF(OR(E102=0,AR$3&lt;D102),0,E102*IF(G102=0,H102,MIN(H102,H102*(AR$3-D102+1)/MAX(1,G102)))*(1+F102)^(AR$3-D102)*$E93)</f>
        <v/>
      </c>
      <c r="AS11" s="138">
        <f>IF(OR(E102=0,AS$3&lt;D102),0,E102*IF(G102=0,H102,MIN(H102,H102*(AS$3-D102+1)/MAX(1,G102)))*(1+F102)^(AS$3-D102)*$E93)</f>
        <v/>
      </c>
      <c r="AT11" s="138">
        <f>IF(OR(E102=0,AT$3&lt;D102),0,E102*IF(G102=0,H102,MIN(H102,H102*(AT$3-D102+1)/MAX(1,G102)))*(1+F102)^(AT$3-D102)*$E93)</f>
        <v/>
      </c>
      <c r="AU11" s="138">
        <f>IF(OR(E102=0,AU$3&lt;D102),0,E102*IF(G102=0,H102,MIN(H102,H102*(AU$3-D102+1)/MAX(1,G102)))*(1+F102)^(AU$3-D102)*$E93)</f>
        <v/>
      </c>
      <c r="AV11" s="138">
        <f>IF(OR(E102=0,AV$3&lt;D102),0,E102*IF(G102=0,H102,MIN(H102,H102*(AV$3-D102+1)/MAX(1,G102)))*(1+F102)^(AV$3-D102)*$E93)</f>
        <v/>
      </c>
      <c r="AW11" s="138">
        <f>IF(OR(E102=0,AW$3&lt;D102),0,E102*IF(G102=0,H102,MIN(H102,H102*(AW$3-D102+1)/MAX(1,G102)))*(1+F102)^(AW$3-D102)*$E93)</f>
        <v/>
      </c>
      <c r="AX11" s="138">
        <f>IF(OR(E102=0,AX$3&lt;D102),0,E102*IF(G102=0,H102,MIN(H102,H102*(AX$3-D102+1)/MAX(1,G102)))*(1+F102)^(AX$3-D102)*$E93)</f>
        <v/>
      </c>
      <c r="AY11" s="138">
        <f>IF(OR(E102=0,AY$3&lt;D102),0,E102*IF(G102=0,H102,MIN(H102,H102*(AY$3-D102+1)/MAX(1,G102)))*(1+F102)^(AY$3-D102)*$E93)</f>
        <v/>
      </c>
      <c r="AZ11" s="138">
        <f>IF(OR(E102=0,AZ$3&lt;D102),0,E102*IF(G102=0,H102,MIN(H102,H102*(AZ$3-D102+1)/MAX(1,G102)))*(1+F102)^(AZ$3-D102)*$E93)</f>
        <v/>
      </c>
      <c r="BA11" s="138">
        <f>IF(OR(E102=0,BA$3&lt;D102),0,E102*IF(G102=0,H102,MIN(H102,H102*(BA$3-D102+1)/MAX(1,G102)))*(1+F102)^(BA$3-D102)*$E93)</f>
        <v/>
      </c>
      <c r="BB11" s="138">
        <f>IF(OR(E102=0,BB$3&lt;D102),0,E102*IF(G102=0,H102,MIN(H102,H102*(BB$3-D102+1)/MAX(1,G102)))*(1+F102)^(BB$3-D102)*$E93)</f>
        <v/>
      </c>
    </row>
    <row r="12" ht="15" customHeight="1" s="91">
      <c r="A12" s="138">
        <f>A103</f>
        <v/>
      </c>
      <c r="B12" s="138">
        <f>B103</f>
        <v/>
      </c>
      <c r="C12" s="138">
        <f>C103</f>
        <v/>
      </c>
      <c r="D12" s="138">
        <f>SUM(E12:BB12)</f>
        <v/>
      </c>
      <c r="E12" s="138">
        <f>IF(OR(E103=0,E$3&lt;D103),0,E103*IF(G103=0,H103,MIN(H103,H103*(E$3-D103+1)/MAX(1,G103)))*(1+F103)^(E$3-D103)*$E93)</f>
        <v/>
      </c>
      <c r="F12" s="138">
        <f>IF(OR(E103=0,F$3&lt;D103),0,E103*IF(G103=0,H103,MIN(H103,H103*(F$3-D103+1)/MAX(1,G103)))*(1+F103)^(F$3-D103)*$E93)</f>
        <v/>
      </c>
      <c r="G12" s="138">
        <f>IF(OR(E103=0,G$3&lt;D103),0,E103*IF(G103=0,H103,MIN(H103,H103*(G$3-D103+1)/MAX(1,G103)))*(1+F103)^(G$3-D103)*$E93)</f>
        <v/>
      </c>
      <c r="H12" s="138">
        <f>IF(OR(E103=0,H$3&lt;D103),0,E103*IF(G103=0,H103,MIN(H103,H103*(H$3-D103+1)/MAX(1,G103)))*(1+F103)^(H$3-D103)*$E93)</f>
        <v/>
      </c>
      <c r="I12" s="138">
        <f>IF(OR(E103=0,I$3&lt;D103),0,E103*IF(G103=0,H103,MIN(H103,H103*(I$3-D103+1)/MAX(1,G103)))*(1+F103)^(I$3-D103)*$E93)</f>
        <v/>
      </c>
      <c r="J12" s="138">
        <f>IF(OR(E103=0,J$3&lt;D103),0,E103*IF(G103=0,H103,MIN(H103,H103*(J$3-D103+1)/MAX(1,G103)))*(1+F103)^(J$3-D103)*$E93)</f>
        <v/>
      </c>
      <c r="K12" s="138">
        <f>IF(OR(E103=0,K$3&lt;D103),0,E103*IF(G103=0,H103,MIN(H103,H103*(K$3-D103+1)/MAX(1,G103)))*(1+F103)^(K$3-D103)*$E93)</f>
        <v/>
      </c>
      <c r="L12" s="138">
        <f>IF(OR(E103=0,L$3&lt;D103),0,E103*IF(G103=0,H103,MIN(H103,H103*(L$3-D103+1)/MAX(1,G103)))*(1+F103)^(L$3-D103)*$E93)</f>
        <v/>
      </c>
      <c r="M12" s="138">
        <f>IF(OR(E103=0,M$3&lt;D103),0,E103*IF(G103=0,H103,MIN(H103,H103*(M$3-D103+1)/MAX(1,G103)))*(1+F103)^(M$3-D103)*$E93)</f>
        <v/>
      </c>
      <c r="N12" s="138">
        <f>IF(OR(E103=0,N$3&lt;D103),0,E103*IF(G103=0,H103,MIN(H103,H103*(N$3-D103+1)/MAX(1,G103)))*(1+F103)^(N$3-D103)*$E93)</f>
        <v/>
      </c>
      <c r="O12" s="138">
        <f>IF(OR(E103=0,O$3&lt;D103),0,E103*IF(G103=0,H103,MIN(H103,H103*(O$3-D103+1)/MAX(1,G103)))*(1+F103)^(O$3-D103)*$E93)</f>
        <v/>
      </c>
      <c r="P12" s="138">
        <f>IF(OR(E103=0,P$3&lt;D103),0,E103*IF(G103=0,H103,MIN(H103,H103*(P$3-D103+1)/MAX(1,G103)))*(1+F103)^(P$3-D103)*$E93)</f>
        <v/>
      </c>
      <c r="Q12" s="138">
        <f>IF(OR(E103=0,Q$3&lt;D103),0,E103*IF(G103=0,H103,MIN(H103,H103*(Q$3-D103+1)/MAX(1,G103)))*(1+F103)^(Q$3-D103)*$E93)</f>
        <v/>
      </c>
      <c r="R12" s="138">
        <f>IF(OR(E103=0,R$3&lt;D103),0,E103*IF(G103=0,H103,MIN(H103,H103*(R$3-D103+1)/MAX(1,G103)))*(1+F103)^(R$3-D103)*$E93)</f>
        <v/>
      </c>
      <c r="S12" s="138">
        <f>IF(OR(E103=0,S$3&lt;D103),0,E103*IF(G103=0,H103,MIN(H103,H103*(S$3-D103+1)/MAX(1,G103)))*(1+F103)^(S$3-D103)*$E93)</f>
        <v/>
      </c>
      <c r="T12" s="138">
        <f>IF(OR(E103=0,T$3&lt;D103),0,E103*IF(G103=0,H103,MIN(H103,H103*(T$3-D103+1)/MAX(1,G103)))*(1+F103)^(T$3-D103)*$E93)</f>
        <v/>
      </c>
      <c r="U12" s="138">
        <f>IF(OR(E103=0,U$3&lt;D103),0,E103*IF(G103=0,H103,MIN(H103,H103*(U$3-D103+1)/MAX(1,G103)))*(1+F103)^(U$3-D103)*$E93)</f>
        <v/>
      </c>
      <c r="V12" s="138">
        <f>IF(OR(E103=0,V$3&lt;D103),0,E103*IF(G103=0,H103,MIN(H103,H103*(V$3-D103+1)/MAX(1,G103)))*(1+F103)^(V$3-D103)*$E93)</f>
        <v/>
      </c>
      <c r="W12" s="138">
        <f>IF(OR(E103=0,W$3&lt;D103),0,E103*IF(G103=0,H103,MIN(H103,H103*(W$3-D103+1)/MAX(1,G103)))*(1+F103)^(W$3-D103)*$E93)</f>
        <v/>
      </c>
      <c r="X12" s="138">
        <f>IF(OR(E103=0,X$3&lt;D103),0,E103*IF(G103=0,H103,MIN(H103,H103*(X$3-D103+1)/MAX(1,G103)))*(1+F103)^(X$3-D103)*$E93)</f>
        <v/>
      </c>
      <c r="Y12" s="138">
        <f>IF(OR(E103=0,Y$3&lt;D103),0,E103*IF(G103=0,H103,MIN(H103,H103*(Y$3-D103+1)/MAX(1,G103)))*(1+F103)^(Y$3-D103)*$E93)</f>
        <v/>
      </c>
      <c r="Z12" s="138">
        <f>IF(OR(E103=0,Z$3&lt;D103),0,E103*IF(G103=0,H103,MIN(H103,H103*(Z$3-D103+1)/MAX(1,G103)))*(1+F103)^(Z$3-D103)*$E93)</f>
        <v/>
      </c>
      <c r="AA12" s="138">
        <f>IF(OR(E103=0,AA$3&lt;D103),0,E103*IF(G103=0,H103,MIN(H103,H103*(AA$3-D103+1)/MAX(1,G103)))*(1+F103)^(AA$3-D103)*$E93)</f>
        <v/>
      </c>
      <c r="AB12" s="138">
        <f>IF(OR(E103=0,AB$3&lt;D103),0,E103*IF(G103=0,H103,MIN(H103,H103*(AB$3-D103+1)/MAX(1,G103)))*(1+F103)^(AB$3-D103)*$E93)</f>
        <v/>
      </c>
      <c r="AC12" s="138">
        <f>IF(OR(E103=0,AC$3&lt;D103),0,E103*IF(G103=0,H103,MIN(H103,H103*(AC$3-D103+1)/MAX(1,G103)))*(1+F103)^(AC$3-D103)*$E93)</f>
        <v/>
      </c>
      <c r="AD12" s="138">
        <f>IF(OR(E103=0,AD$3&lt;D103),0,E103*IF(G103=0,H103,MIN(H103,H103*(AD$3-D103+1)/MAX(1,G103)))*(1+F103)^(AD$3-D103)*$E93)</f>
        <v/>
      </c>
      <c r="AE12" s="138">
        <f>IF(OR(E103=0,AE$3&lt;D103),0,E103*IF(G103=0,H103,MIN(H103,H103*(AE$3-D103+1)/MAX(1,G103)))*(1+F103)^(AE$3-D103)*$E93)</f>
        <v/>
      </c>
      <c r="AF12" s="138">
        <f>IF(OR(E103=0,AF$3&lt;D103),0,E103*IF(G103=0,H103,MIN(H103,H103*(AF$3-D103+1)/MAX(1,G103)))*(1+F103)^(AF$3-D103)*$E93)</f>
        <v/>
      </c>
      <c r="AG12" s="138">
        <f>IF(OR(E103=0,AG$3&lt;D103),0,E103*IF(G103=0,H103,MIN(H103,H103*(AG$3-D103+1)/MAX(1,G103)))*(1+F103)^(AG$3-D103)*$E93)</f>
        <v/>
      </c>
      <c r="AH12" s="138">
        <f>IF(OR(E103=0,AH$3&lt;D103),0,E103*IF(G103=0,H103,MIN(H103,H103*(AH$3-D103+1)/MAX(1,G103)))*(1+F103)^(AH$3-D103)*$E93)</f>
        <v/>
      </c>
      <c r="AI12" s="138">
        <f>IF(OR(E103=0,AI$3&lt;D103),0,E103*IF(G103=0,H103,MIN(H103,H103*(AI$3-D103+1)/MAX(1,G103)))*(1+F103)^(AI$3-D103)*$E93)</f>
        <v/>
      </c>
      <c r="AJ12" s="138">
        <f>IF(OR(E103=0,AJ$3&lt;D103),0,E103*IF(G103=0,H103,MIN(H103,H103*(AJ$3-D103+1)/MAX(1,G103)))*(1+F103)^(AJ$3-D103)*$E93)</f>
        <v/>
      </c>
      <c r="AK12" s="138">
        <f>IF(OR(E103=0,AK$3&lt;D103),0,E103*IF(G103=0,H103,MIN(H103,H103*(AK$3-D103+1)/MAX(1,G103)))*(1+F103)^(AK$3-D103)*$E93)</f>
        <v/>
      </c>
      <c r="AL12" s="138">
        <f>IF(OR(E103=0,AL$3&lt;D103),0,E103*IF(G103=0,H103,MIN(H103,H103*(AL$3-D103+1)/MAX(1,G103)))*(1+F103)^(AL$3-D103)*$E93)</f>
        <v/>
      </c>
      <c r="AM12" s="138">
        <f>IF(OR(E103=0,AM$3&lt;D103),0,E103*IF(G103=0,H103,MIN(H103,H103*(AM$3-D103+1)/MAX(1,G103)))*(1+F103)^(AM$3-D103)*$E93)</f>
        <v/>
      </c>
      <c r="AN12" s="138">
        <f>IF(OR(E103=0,AN$3&lt;D103),0,E103*IF(G103=0,H103,MIN(H103,H103*(AN$3-D103+1)/MAX(1,G103)))*(1+F103)^(AN$3-D103)*$E93)</f>
        <v/>
      </c>
      <c r="AO12" s="138">
        <f>IF(OR(E103=0,AO$3&lt;D103),0,E103*IF(G103=0,H103,MIN(H103,H103*(AO$3-D103+1)/MAX(1,G103)))*(1+F103)^(AO$3-D103)*$E93)</f>
        <v/>
      </c>
      <c r="AP12" s="138">
        <f>IF(OR(E103=0,AP$3&lt;D103),0,E103*IF(G103=0,H103,MIN(H103,H103*(AP$3-D103+1)/MAX(1,G103)))*(1+F103)^(AP$3-D103)*$E93)</f>
        <v/>
      </c>
      <c r="AQ12" s="138">
        <f>IF(OR(E103=0,AQ$3&lt;D103),0,E103*IF(G103=0,H103,MIN(H103,H103*(AQ$3-D103+1)/MAX(1,G103)))*(1+F103)^(AQ$3-D103)*$E93)</f>
        <v/>
      </c>
      <c r="AR12" s="138">
        <f>IF(OR(E103=0,AR$3&lt;D103),0,E103*IF(G103=0,H103,MIN(H103,H103*(AR$3-D103+1)/MAX(1,G103)))*(1+F103)^(AR$3-D103)*$E93)</f>
        <v/>
      </c>
      <c r="AS12" s="138">
        <f>IF(OR(E103=0,AS$3&lt;D103),0,E103*IF(G103=0,H103,MIN(H103,H103*(AS$3-D103+1)/MAX(1,G103)))*(1+F103)^(AS$3-D103)*$E93)</f>
        <v/>
      </c>
      <c r="AT12" s="138">
        <f>IF(OR(E103=0,AT$3&lt;D103),0,E103*IF(G103=0,H103,MIN(H103,H103*(AT$3-D103+1)/MAX(1,G103)))*(1+F103)^(AT$3-D103)*$E93)</f>
        <v/>
      </c>
      <c r="AU12" s="138">
        <f>IF(OR(E103=0,AU$3&lt;D103),0,E103*IF(G103=0,H103,MIN(H103,H103*(AU$3-D103+1)/MAX(1,G103)))*(1+F103)^(AU$3-D103)*$E93)</f>
        <v/>
      </c>
      <c r="AV12" s="138">
        <f>IF(OR(E103=0,AV$3&lt;D103),0,E103*IF(G103=0,H103,MIN(H103,H103*(AV$3-D103+1)/MAX(1,G103)))*(1+F103)^(AV$3-D103)*$E93)</f>
        <v/>
      </c>
      <c r="AW12" s="138">
        <f>IF(OR(E103=0,AW$3&lt;D103),0,E103*IF(G103=0,H103,MIN(H103,H103*(AW$3-D103+1)/MAX(1,G103)))*(1+F103)^(AW$3-D103)*$E93)</f>
        <v/>
      </c>
      <c r="AX12" s="138">
        <f>IF(OR(E103=0,AX$3&lt;D103),0,E103*IF(G103=0,H103,MIN(H103,H103*(AX$3-D103+1)/MAX(1,G103)))*(1+F103)^(AX$3-D103)*$E93)</f>
        <v/>
      </c>
      <c r="AY12" s="138">
        <f>IF(OR(E103=0,AY$3&lt;D103),0,E103*IF(G103=0,H103,MIN(H103,H103*(AY$3-D103+1)/MAX(1,G103)))*(1+F103)^(AY$3-D103)*$E93)</f>
        <v/>
      </c>
      <c r="AZ12" s="138">
        <f>IF(OR(E103=0,AZ$3&lt;D103),0,E103*IF(G103=0,H103,MIN(H103,H103*(AZ$3-D103+1)/MAX(1,G103)))*(1+F103)^(AZ$3-D103)*$E93)</f>
        <v/>
      </c>
      <c r="BA12" s="138">
        <f>IF(OR(E103=0,BA$3&lt;D103),0,E103*IF(G103=0,H103,MIN(H103,H103*(BA$3-D103+1)/MAX(1,G103)))*(1+F103)^(BA$3-D103)*$E93)</f>
        <v/>
      </c>
      <c r="BB12" s="138">
        <f>IF(OR(E103=0,BB$3&lt;D103),0,E103*IF(G103=0,H103,MIN(H103,H103*(BB$3-D103+1)/MAX(1,G103)))*(1+F103)^(BB$3-D103)*$E93)</f>
        <v/>
      </c>
    </row>
    <row r="13" ht="15" customHeight="1" s="91">
      <c r="A13" s="138">
        <f>A104</f>
        <v/>
      </c>
      <c r="B13" s="138">
        <f>B104</f>
        <v/>
      </c>
      <c r="C13" s="138">
        <f>C104</f>
        <v/>
      </c>
      <c r="D13" s="138">
        <f>SUM(E13:BB13)</f>
        <v/>
      </c>
      <c r="E13" s="138">
        <f>IF(OR(E104=0,E$3&lt;D104),0,E104*IF(G104=0,H104,MIN(H104,H104*(E$3-D104+1)/MAX(1,G104)))*(1+F104)^(E$3-D104)*$E93)</f>
        <v/>
      </c>
      <c r="F13" s="138">
        <f>IF(OR(E104=0,F$3&lt;D104),0,E104*IF(G104=0,H104,MIN(H104,H104*(F$3-D104+1)/MAX(1,G104)))*(1+F104)^(F$3-D104)*$E93)</f>
        <v/>
      </c>
      <c r="G13" s="138">
        <f>IF(OR(E104=0,G$3&lt;D104),0,E104*IF(G104=0,H104,MIN(H104,H104*(G$3-D104+1)/MAX(1,G104)))*(1+F104)^(G$3-D104)*$E93)</f>
        <v/>
      </c>
      <c r="H13" s="138">
        <f>IF(OR(E104=0,H$3&lt;D104),0,E104*IF(G104=0,H104,MIN(H104,H104*(H$3-D104+1)/MAX(1,G104)))*(1+F104)^(H$3-D104)*$E93)</f>
        <v/>
      </c>
      <c r="I13" s="138">
        <f>IF(OR(E104=0,I$3&lt;D104),0,E104*IF(G104=0,H104,MIN(H104,H104*(I$3-D104+1)/MAX(1,G104)))*(1+F104)^(I$3-D104)*$E93)</f>
        <v/>
      </c>
      <c r="J13" s="138">
        <f>IF(OR(E104=0,J$3&lt;D104),0,E104*IF(G104=0,H104,MIN(H104,H104*(J$3-D104+1)/MAX(1,G104)))*(1+F104)^(J$3-D104)*$E93)</f>
        <v/>
      </c>
      <c r="K13" s="138">
        <f>IF(OR(E104=0,K$3&lt;D104),0,E104*IF(G104=0,H104,MIN(H104,H104*(K$3-D104+1)/MAX(1,G104)))*(1+F104)^(K$3-D104)*$E93)</f>
        <v/>
      </c>
      <c r="L13" s="138">
        <f>IF(OR(E104=0,L$3&lt;D104),0,E104*IF(G104=0,H104,MIN(H104,H104*(L$3-D104+1)/MAX(1,G104)))*(1+F104)^(L$3-D104)*$E93)</f>
        <v/>
      </c>
      <c r="M13" s="138">
        <f>IF(OR(E104=0,M$3&lt;D104),0,E104*IF(G104=0,H104,MIN(H104,H104*(M$3-D104+1)/MAX(1,G104)))*(1+F104)^(M$3-D104)*$E93)</f>
        <v/>
      </c>
      <c r="N13" s="138">
        <f>IF(OR(E104=0,N$3&lt;D104),0,E104*IF(G104=0,H104,MIN(H104,H104*(N$3-D104+1)/MAX(1,G104)))*(1+F104)^(N$3-D104)*$E93)</f>
        <v/>
      </c>
      <c r="O13" s="138">
        <f>IF(OR(E104=0,O$3&lt;D104),0,E104*IF(G104=0,H104,MIN(H104,H104*(O$3-D104+1)/MAX(1,G104)))*(1+F104)^(O$3-D104)*$E93)</f>
        <v/>
      </c>
      <c r="P13" s="138">
        <f>IF(OR(E104=0,P$3&lt;D104),0,E104*IF(G104=0,H104,MIN(H104,H104*(P$3-D104+1)/MAX(1,G104)))*(1+F104)^(P$3-D104)*$E93)</f>
        <v/>
      </c>
      <c r="Q13" s="138">
        <f>IF(OR(E104=0,Q$3&lt;D104),0,E104*IF(G104=0,H104,MIN(H104,H104*(Q$3-D104+1)/MAX(1,G104)))*(1+F104)^(Q$3-D104)*$E93)</f>
        <v/>
      </c>
      <c r="R13" s="138">
        <f>IF(OR(E104=0,R$3&lt;D104),0,E104*IF(G104=0,H104,MIN(H104,H104*(R$3-D104+1)/MAX(1,G104)))*(1+F104)^(R$3-D104)*$E93)</f>
        <v/>
      </c>
      <c r="S13" s="138">
        <f>IF(OR(E104=0,S$3&lt;D104),0,E104*IF(G104=0,H104,MIN(H104,H104*(S$3-D104+1)/MAX(1,G104)))*(1+F104)^(S$3-D104)*$E93)</f>
        <v/>
      </c>
      <c r="T13" s="138">
        <f>IF(OR(E104=0,T$3&lt;D104),0,E104*IF(G104=0,H104,MIN(H104,H104*(T$3-D104+1)/MAX(1,G104)))*(1+F104)^(T$3-D104)*$E93)</f>
        <v/>
      </c>
      <c r="U13" s="138">
        <f>IF(OR(E104=0,U$3&lt;D104),0,E104*IF(G104=0,H104,MIN(H104,H104*(U$3-D104+1)/MAX(1,G104)))*(1+F104)^(U$3-D104)*$E93)</f>
        <v/>
      </c>
      <c r="V13" s="138">
        <f>IF(OR(E104=0,V$3&lt;D104),0,E104*IF(G104=0,H104,MIN(H104,H104*(V$3-D104+1)/MAX(1,G104)))*(1+F104)^(V$3-D104)*$E93)</f>
        <v/>
      </c>
      <c r="W13" s="138">
        <f>IF(OR(E104=0,W$3&lt;D104),0,E104*IF(G104=0,H104,MIN(H104,H104*(W$3-D104+1)/MAX(1,G104)))*(1+F104)^(W$3-D104)*$E93)</f>
        <v/>
      </c>
      <c r="X13" s="138">
        <f>IF(OR(E104=0,X$3&lt;D104),0,E104*IF(G104=0,H104,MIN(H104,H104*(X$3-D104+1)/MAX(1,G104)))*(1+F104)^(X$3-D104)*$E93)</f>
        <v/>
      </c>
      <c r="Y13" s="138">
        <f>IF(OR(E104=0,Y$3&lt;D104),0,E104*IF(G104=0,H104,MIN(H104,H104*(Y$3-D104+1)/MAX(1,G104)))*(1+F104)^(Y$3-D104)*$E93)</f>
        <v/>
      </c>
      <c r="Z13" s="138">
        <f>IF(OR(E104=0,Z$3&lt;D104),0,E104*IF(G104=0,H104,MIN(H104,H104*(Z$3-D104+1)/MAX(1,G104)))*(1+F104)^(Z$3-D104)*$E93)</f>
        <v/>
      </c>
      <c r="AA13" s="138">
        <f>IF(OR(E104=0,AA$3&lt;D104),0,E104*IF(G104=0,H104,MIN(H104,H104*(AA$3-D104+1)/MAX(1,G104)))*(1+F104)^(AA$3-D104)*$E93)</f>
        <v/>
      </c>
      <c r="AB13" s="138">
        <f>IF(OR(E104=0,AB$3&lt;D104),0,E104*IF(G104=0,H104,MIN(H104,H104*(AB$3-D104+1)/MAX(1,G104)))*(1+F104)^(AB$3-D104)*$E93)</f>
        <v/>
      </c>
      <c r="AC13" s="138">
        <f>IF(OR(E104=0,AC$3&lt;D104),0,E104*IF(G104=0,H104,MIN(H104,H104*(AC$3-D104+1)/MAX(1,G104)))*(1+F104)^(AC$3-D104)*$E93)</f>
        <v/>
      </c>
      <c r="AD13" s="138">
        <f>IF(OR(E104=0,AD$3&lt;D104),0,E104*IF(G104=0,H104,MIN(H104,H104*(AD$3-D104+1)/MAX(1,G104)))*(1+F104)^(AD$3-D104)*$E93)</f>
        <v/>
      </c>
      <c r="AE13" s="138">
        <f>IF(OR(E104=0,AE$3&lt;D104),0,E104*IF(G104=0,H104,MIN(H104,H104*(AE$3-D104+1)/MAX(1,G104)))*(1+F104)^(AE$3-D104)*$E93)</f>
        <v/>
      </c>
      <c r="AF13" s="138">
        <f>IF(OR(E104=0,AF$3&lt;D104),0,E104*IF(G104=0,H104,MIN(H104,H104*(AF$3-D104+1)/MAX(1,G104)))*(1+F104)^(AF$3-D104)*$E93)</f>
        <v/>
      </c>
      <c r="AG13" s="138">
        <f>IF(OR(E104=0,AG$3&lt;D104),0,E104*IF(G104=0,H104,MIN(H104,H104*(AG$3-D104+1)/MAX(1,G104)))*(1+F104)^(AG$3-D104)*$E93)</f>
        <v/>
      </c>
      <c r="AH13" s="138">
        <f>IF(OR(E104=0,AH$3&lt;D104),0,E104*IF(G104=0,H104,MIN(H104,H104*(AH$3-D104+1)/MAX(1,G104)))*(1+F104)^(AH$3-D104)*$E93)</f>
        <v/>
      </c>
      <c r="AI13" s="138">
        <f>IF(OR(E104=0,AI$3&lt;D104),0,E104*IF(G104=0,H104,MIN(H104,H104*(AI$3-D104+1)/MAX(1,G104)))*(1+F104)^(AI$3-D104)*$E93)</f>
        <v/>
      </c>
      <c r="AJ13" s="138">
        <f>IF(OR(E104=0,AJ$3&lt;D104),0,E104*IF(G104=0,H104,MIN(H104,H104*(AJ$3-D104+1)/MAX(1,G104)))*(1+F104)^(AJ$3-D104)*$E93)</f>
        <v/>
      </c>
      <c r="AK13" s="138">
        <f>IF(OR(E104=0,AK$3&lt;D104),0,E104*IF(G104=0,H104,MIN(H104,H104*(AK$3-D104+1)/MAX(1,G104)))*(1+F104)^(AK$3-D104)*$E93)</f>
        <v/>
      </c>
      <c r="AL13" s="138">
        <f>IF(OR(E104=0,AL$3&lt;D104),0,E104*IF(G104=0,H104,MIN(H104,H104*(AL$3-D104+1)/MAX(1,G104)))*(1+F104)^(AL$3-D104)*$E93)</f>
        <v/>
      </c>
      <c r="AM13" s="138">
        <f>IF(OR(E104=0,AM$3&lt;D104),0,E104*IF(G104=0,H104,MIN(H104,H104*(AM$3-D104+1)/MAX(1,G104)))*(1+F104)^(AM$3-D104)*$E93)</f>
        <v/>
      </c>
      <c r="AN13" s="138">
        <f>IF(OR(E104=0,AN$3&lt;D104),0,E104*IF(G104=0,H104,MIN(H104,H104*(AN$3-D104+1)/MAX(1,G104)))*(1+F104)^(AN$3-D104)*$E93)</f>
        <v/>
      </c>
      <c r="AO13" s="138">
        <f>IF(OR(E104=0,AO$3&lt;D104),0,E104*IF(G104=0,H104,MIN(H104,H104*(AO$3-D104+1)/MAX(1,G104)))*(1+F104)^(AO$3-D104)*$E93)</f>
        <v/>
      </c>
      <c r="AP13" s="138">
        <f>IF(OR(E104=0,AP$3&lt;D104),0,E104*IF(G104=0,H104,MIN(H104,H104*(AP$3-D104+1)/MAX(1,G104)))*(1+F104)^(AP$3-D104)*$E93)</f>
        <v/>
      </c>
      <c r="AQ13" s="138">
        <f>IF(OR(E104=0,AQ$3&lt;D104),0,E104*IF(G104=0,H104,MIN(H104,H104*(AQ$3-D104+1)/MAX(1,G104)))*(1+F104)^(AQ$3-D104)*$E93)</f>
        <v/>
      </c>
      <c r="AR13" s="138">
        <f>IF(OR(E104=0,AR$3&lt;D104),0,E104*IF(G104=0,H104,MIN(H104,H104*(AR$3-D104+1)/MAX(1,G104)))*(1+F104)^(AR$3-D104)*$E93)</f>
        <v/>
      </c>
      <c r="AS13" s="138">
        <f>IF(OR(E104=0,AS$3&lt;D104),0,E104*IF(G104=0,H104,MIN(H104,H104*(AS$3-D104+1)/MAX(1,G104)))*(1+F104)^(AS$3-D104)*$E93)</f>
        <v/>
      </c>
      <c r="AT13" s="138">
        <f>IF(OR(E104=0,AT$3&lt;D104),0,E104*IF(G104=0,H104,MIN(H104,H104*(AT$3-D104+1)/MAX(1,G104)))*(1+F104)^(AT$3-D104)*$E93)</f>
        <v/>
      </c>
      <c r="AU13" s="138">
        <f>IF(OR(E104=0,AU$3&lt;D104),0,E104*IF(G104=0,H104,MIN(H104,H104*(AU$3-D104+1)/MAX(1,G104)))*(1+F104)^(AU$3-D104)*$E93)</f>
        <v/>
      </c>
      <c r="AV13" s="138">
        <f>IF(OR(E104=0,AV$3&lt;D104),0,E104*IF(G104=0,H104,MIN(H104,H104*(AV$3-D104+1)/MAX(1,G104)))*(1+F104)^(AV$3-D104)*$E93)</f>
        <v/>
      </c>
      <c r="AW13" s="138">
        <f>IF(OR(E104=0,AW$3&lt;D104),0,E104*IF(G104=0,H104,MIN(H104,H104*(AW$3-D104+1)/MAX(1,G104)))*(1+F104)^(AW$3-D104)*$E93)</f>
        <v/>
      </c>
      <c r="AX13" s="138">
        <f>IF(OR(E104=0,AX$3&lt;D104),0,E104*IF(G104=0,H104,MIN(H104,H104*(AX$3-D104+1)/MAX(1,G104)))*(1+F104)^(AX$3-D104)*$E93)</f>
        <v/>
      </c>
      <c r="AY13" s="138">
        <f>IF(OR(E104=0,AY$3&lt;D104),0,E104*IF(G104=0,H104,MIN(H104,H104*(AY$3-D104+1)/MAX(1,G104)))*(1+F104)^(AY$3-D104)*$E93)</f>
        <v/>
      </c>
      <c r="AZ13" s="138">
        <f>IF(OR(E104=0,AZ$3&lt;D104),0,E104*IF(G104=0,H104,MIN(H104,H104*(AZ$3-D104+1)/MAX(1,G104)))*(1+F104)^(AZ$3-D104)*$E93)</f>
        <v/>
      </c>
      <c r="BA13" s="138">
        <f>IF(OR(E104=0,BA$3&lt;D104),0,E104*IF(G104=0,H104,MIN(H104,H104*(BA$3-D104+1)/MAX(1,G104)))*(1+F104)^(BA$3-D104)*$E93)</f>
        <v/>
      </c>
      <c r="BB13" s="138">
        <f>IF(OR(E104=0,BB$3&lt;D104),0,E104*IF(G104=0,H104,MIN(H104,H104*(BB$3-D104+1)/MAX(1,G104)))*(1+F104)^(BB$3-D104)*$E93)</f>
        <v/>
      </c>
    </row>
    <row r="14" ht="15" customHeight="1" s="91">
      <c r="A14" s="138">
        <f>A105</f>
        <v/>
      </c>
      <c r="B14" s="138">
        <f>B105</f>
        <v/>
      </c>
      <c r="C14" s="138">
        <f>C105</f>
        <v/>
      </c>
      <c r="D14" s="138">
        <f>SUM(E14:BB14)</f>
        <v/>
      </c>
      <c r="E14" s="138">
        <f>IF(OR(E105=0,E$3&lt;D105),0,E105*IF(G105=0,H105,MIN(H105,H105*(E$3-D105+1)/MAX(1,G105)))*(1+F105)^(E$3-D105)*$E93)</f>
        <v/>
      </c>
      <c r="F14" s="138">
        <f>IF(OR(E105=0,F$3&lt;D105),0,E105*IF(G105=0,H105,MIN(H105,H105*(F$3-D105+1)/MAX(1,G105)))*(1+F105)^(F$3-D105)*$E93)</f>
        <v/>
      </c>
      <c r="G14" s="138">
        <f>IF(OR(E105=0,G$3&lt;D105),0,E105*IF(G105=0,H105,MIN(H105,H105*(G$3-D105+1)/MAX(1,G105)))*(1+F105)^(G$3-D105)*$E93)</f>
        <v/>
      </c>
      <c r="H14" s="138">
        <f>IF(OR(E105=0,H$3&lt;D105),0,E105*IF(G105=0,H105,MIN(H105,H105*(H$3-D105+1)/MAX(1,G105)))*(1+F105)^(H$3-D105)*$E93)</f>
        <v/>
      </c>
      <c r="I14" s="138">
        <f>IF(OR(E105=0,I$3&lt;D105),0,E105*IF(G105=0,H105,MIN(H105,H105*(I$3-D105+1)/MAX(1,G105)))*(1+F105)^(I$3-D105)*$E93)</f>
        <v/>
      </c>
      <c r="J14" s="138">
        <f>IF(OR(E105=0,J$3&lt;D105),0,E105*IF(G105=0,H105,MIN(H105,H105*(J$3-D105+1)/MAX(1,G105)))*(1+F105)^(J$3-D105)*$E93)</f>
        <v/>
      </c>
      <c r="K14" s="138">
        <f>IF(OR(E105=0,K$3&lt;D105),0,E105*IF(G105=0,H105,MIN(H105,H105*(K$3-D105+1)/MAX(1,G105)))*(1+F105)^(K$3-D105)*$E93)</f>
        <v/>
      </c>
      <c r="L14" s="138">
        <f>IF(OR(E105=0,L$3&lt;D105),0,E105*IF(G105=0,H105,MIN(H105,H105*(L$3-D105+1)/MAX(1,G105)))*(1+F105)^(L$3-D105)*$E93)</f>
        <v/>
      </c>
      <c r="M14" s="138">
        <f>IF(OR(E105=0,M$3&lt;D105),0,E105*IF(G105=0,H105,MIN(H105,H105*(M$3-D105+1)/MAX(1,G105)))*(1+F105)^(M$3-D105)*$E93)</f>
        <v/>
      </c>
      <c r="N14" s="138">
        <f>IF(OR(E105=0,N$3&lt;D105),0,E105*IF(G105=0,H105,MIN(H105,H105*(N$3-D105+1)/MAX(1,G105)))*(1+F105)^(N$3-D105)*$E93)</f>
        <v/>
      </c>
      <c r="O14" s="138">
        <f>IF(OR(E105=0,O$3&lt;D105),0,E105*IF(G105=0,H105,MIN(H105,H105*(O$3-D105+1)/MAX(1,G105)))*(1+F105)^(O$3-D105)*$E93)</f>
        <v/>
      </c>
      <c r="P14" s="138">
        <f>IF(OR(E105=0,P$3&lt;D105),0,E105*IF(G105=0,H105,MIN(H105,H105*(P$3-D105+1)/MAX(1,G105)))*(1+F105)^(P$3-D105)*$E93)</f>
        <v/>
      </c>
      <c r="Q14" s="138">
        <f>IF(OR(E105=0,Q$3&lt;D105),0,E105*IF(G105=0,H105,MIN(H105,H105*(Q$3-D105+1)/MAX(1,G105)))*(1+F105)^(Q$3-D105)*$E93)</f>
        <v/>
      </c>
      <c r="R14" s="138">
        <f>IF(OR(E105=0,R$3&lt;D105),0,E105*IF(G105=0,H105,MIN(H105,H105*(R$3-D105+1)/MAX(1,G105)))*(1+F105)^(R$3-D105)*$E93)</f>
        <v/>
      </c>
      <c r="S14" s="138">
        <f>IF(OR(E105=0,S$3&lt;D105),0,E105*IF(G105=0,H105,MIN(H105,H105*(S$3-D105+1)/MAX(1,G105)))*(1+F105)^(S$3-D105)*$E93)</f>
        <v/>
      </c>
      <c r="T14" s="138">
        <f>IF(OR(E105=0,T$3&lt;D105),0,E105*IF(G105=0,H105,MIN(H105,H105*(T$3-D105+1)/MAX(1,G105)))*(1+F105)^(T$3-D105)*$E93)</f>
        <v/>
      </c>
      <c r="U14" s="138">
        <f>IF(OR(E105=0,U$3&lt;D105),0,E105*IF(G105=0,H105,MIN(H105,H105*(U$3-D105+1)/MAX(1,G105)))*(1+F105)^(U$3-D105)*$E93)</f>
        <v/>
      </c>
      <c r="V14" s="138">
        <f>IF(OR(E105=0,V$3&lt;D105),0,E105*IF(G105=0,H105,MIN(H105,H105*(V$3-D105+1)/MAX(1,G105)))*(1+F105)^(V$3-D105)*$E93)</f>
        <v/>
      </c>
      <c r="W14" s="138">
        <f>IF(OR(E105=0,W$3&lt;D105),0,E105*IF(G105=0,H105,MIN(H105,H105*(W$3-D105+1)/MAX(1,G105)))*(1+F105)^(W$3-D105)*$E93)</f>
        <v/>
      </c>
      <c r="X14" s="138">
        <f>IF(OR(E105=0,X$3&lt;D105),0,E105*IF(G105=0,H105,MIN(H105,H105*(X$3-D105+1)/MAX(1,G105)))*(1+F105)^(X$3-D105)*$E93)</f>
        <v/>
      </c>
      <c r="Y14" s="138">
        <f>IF(OR(E105=0,Y$3&lt;D105),0,E105*IF(G105=0,H105,MIN(H105,H105*(Y$3-D105+1)/MAX(1,G105)))*(1+F105)^(Y$3-D105)*$E93)</f>
        <v/>
      </c>
      <c r="Z14" s="138">
        <f>IF(OR(E105=0,Z$3&lt;D105),0,E105*IF(G105=0,H105,MIN(H105,H105*(Z$3-D105+1)/MAX(1,G105)))*(1+F105)^(Z$3-D105)*$E93)</f>
        <v/>
      </c>
      <c r="AA14" s="138">
        <f>IF(OR(E105=0,AA$3&lt;D105),0,E105*IF(G105=0,H105,MIN(H105,H105*(AA$3-D105+1)/MAX(1,G105)))*(1+F105)^(AA$3-D105)*$E93)</f>
        <v/>
      </c>
      <c r="AB14" s="138">
        <f>IF(OR(E105=0,AB$3&lt;D105),0,E105*IF(G105=0,H105,MIN(H105,H105*(AB$3-D105+1)/MAX(1,G105)))*(1+F105)^(AB$3-D105)*$E93)</f>
        <v/>
      </c>
      <c r="AC14" s="138">
        <f>IF(OR(E105=0,AC$3&lt;D105),0,E105*IF(G105=0,H105,MIN(H105,H105*(AC$3-D105+1)/MAX(1,G105)))*(1+F105)^(AC$3-D105)*$E93)</f>
        <v/>
      </c>
      <c r="AD14" s="138">
        <f>IF(OR(E105=0,AD$3&lt;D105),0,E105*IF(G105=0,H105,MIN(H105,H105*(AD$3-D105+1)/MAX(1,G105)))*(1+F105)^(AD$3-D105)*$E93)</f>
        <v/>
      </c>
      <c r="AE14" s="138">
        <f>IF(OR(E105=0,AE$3&lt;D105),0,E105*IF(G105=0,H105,MIN(H105,H105*(AE$3-D105+1)/MAX(1,G105)))*(1+F105)^(AE$3-D105)*$E93)</f>
        <v/>
      </c>
      <c r="AF14" s="138">
        <f>IF(OR(E105=0,AF$3&lt;D105),0,E105*IF(G105=0,H105,MIN(H105,H105*(AF$3-D105+1)/MAX(1,G105)))*(1+F105)^(AF$3-D105)*$E93)</f>
        <v/>
      </c>
      <c r="AG14" s="138">
        <f>IF(OR(E105=0,AG$3&lt;D105),0,E105*IF(G105=0,H105,MIN(H105,H105*(AG$3-D105+1)/MAX(1,G105)))*(1+F105)^(AG$3-D105)*$E93)</f>
        <v/>
      </c>
      <c r="AH14" s="138">
        <f>IF(OR(E105=0,AH$3&lt;D105),0,E105*IF(G105=0,H105,MIN(H105,H105*(AH$3-D105+1)/MAX(1,G105)))*(1+F105)^(AH$3-D105)*$E93)</f>
        <v/>
      </c>
      <c r="AI14" s="138">
        <f>IF(OR(E105=0,AI$3&lt;D105),0,E105*IF(G105=0,H105,MIN(H105,H105*(AI$3-D105+1)/MAX(1,G105)))*(1+F105)^(AI$3-D105)*$E93)</f>
        <v/>
      </c>
      <c r="AJ14" s="138">
        <f>IF(OR(E105=0,AJ$3&lt;D105),0,E105*IF(G105=0,H105,MIN(H105,H105*(AJ$3-D105+1)/MAX(1,G105)))*(1+F105)^(AJ$3-D105)*$E93)</f>
        <v/>
      </c>
      <c r="AK14" s="138">
        <f>IF(OR(E105=0,AK$3&lt;D105),0,E105*IF(G105=0,H105,MIN(H105,H105*(AK$3-D105+1)/MAX(1,G105)))*(1+F105)^(AK$3-D105)*$E93)</f>
        <v/>
      </c>
      <c r="AL14" s="138">
        <f>IF(OR(E105=0,AL$3&lt;D105),0,E105*IF(G105=0,H105,MIN(H105,H105*(AL$3-D105+1)/MAX(1,G105)))*(1+F105)^(AL$3-D105)*$E93)</f>
        <v/>
      </c>
      <c r="AM14" s="138">
        <f>IF(OR(E105=0,AM$3&lt;D105),0,E105*IF(G105=0,H105,MIN(H105,H105*(AM$3-D105+1)/MAX(1,G105)))*(1+F105)^(AM$3-D105)*$E93)</f>
        <v/>
      </c>
      <c r="AN14" s="138">
        <f>IF(OR(E105=0,AN$3&lt;D105),0,E105*IF(G105=0,H105,MIN(H105,H105*(AN$3-D105+1)/MAX(1,G105)))*(1+F105)^(AN$3-D105)*$E93)</f>
        <v/>
      </c>
      <c r="AO14" s="138">
        <f>IF(OR(E105=0,AO$3&lt;D105),0,E105*IF(G105=0,H105,MIN(H105,H105*(AO$3-D105+1)/MAX(1,G105)))*(1+F105)^(AO$3-D105)*$E93)</f>
        <v/>
      </c>
      <c r="AP14" s="138">
        <f>IF(OR(E105=0,AP$3&lt;D105),0,E105*IF(G105=0,H105,MIN(H105,H105*(AP$3-D105+1)/MAX(1,G105)))*(1+F105)^(AP$3-D105)*$E93)</f>
        <v/>
      </c>
      <c r="AQ14" s="138">
        <f>IF(OR(E105=0,AQ$3&lt;D105),0,E105*IF(G105=0,H105,MIN(H105,H105*(AQ$3-D105+1)/MAX(1,G105)))*(1+F105)^(AQ$3-D105)*$E93)</f>
        <v/>
      </c>
      <c r="AR14" s="138">
        <f>IF(OR(E105=0,AR$3&lt;D105),0,E105*IF(G105=0,H105,MIN(H105,H105*(AR$3-D105+1)/MAX(1,G105)))*(1+F105)^(AR$3-D105)*$E93)</f>
        <v/>
      </c>
      <c r="AS14" s="138">
        <f>IF(OR(E105=0,AS$3&lt;D105),0,E105*IF(G105=0,H105,MIN(H105,H105*(AS$3-D105+1)/MAX(1,G105)))*(1+F105)^(AS$3-D105)*$E93)</f>
        <v/>
      </c>
      <c r="AT14" s="138">
        <f>IF(OR(E105=0,AT$3&lt;D105),0,E105*IF(G105=0,H105,MIN(H105,H105*(AT$3-D105+1)/MAX(1,G105)))*(1+F105)^(AT$3-D105)*$E93)</f>
        <v/>
      </c>
      <c r="AU14" s="138">
        <f>IF(OR(E105=0,AU$3&lt;D105),0,E105*IF(G105=0,H105,MIN(H105,H105*(AU$3-D105+1)/MAX(1,G105)))*(1+F105)^(AU$3-D105)*$E93)</f>
        <v/>
      </c>
      <c r="AV14" s="138">
        <f>IF(OR(E105=0,AV$3&lt;D105),0,E105*IF(G105=0,H105,MIN(H105,H105*(AV$3-D105+1)/MAX(1,G105)))*(1+F105)^(AV$3-D105)*$E93)</f>
        <v/>
      </c>
      <c r="AW14" s="138">
        <f>IF(OR(E105=0,AW$3&lt;D105),0,E105*IF(G105=0,H105,MIN(H105,H105*(AW$3-D105+1)/MAX(1,G105)))*(1+F105)^(AW$3-D105)*$E93)</f>
        <v/>
      </c>
      <c r="AX14" s="138">
        <f>IF(OR(E105=0,AX$3&lt;D105),0,E105*IF(G105=0,H105,MIN(H105,H105*(AX$3-D105+1)/MAX(1,G105)))*(1+F105)^(AX$3-D105)*$E93)</f>
        <v/>
      </c>
      <c r="AY14" s="138">
        <f>IF(OR(E105=0,AY$3&lt;D105),0,E105*IF(G105=0,H105,MIN(H105,H105*(AY$3-D105+1)/MAX(1,G105)))*(1+F105)^(AY$3-D105)*$E93)</f>
        <v/>
      </c>
      <c r="AZ14" s="138">
        <f>IF(OR(E105=0,AZ$3&lt;D105),0,E105*IF(G105=0,H105,MIN(H105,H105*(AZ$3-D105+1)/MAX(1,G105)))*(1+F105)^(AZ$3-D105)*$E93)</f>
        <v/>
      </c>
      <c r="BA14" s="138">
        <f>IF(OR(E105=0,BA$3&lt;D105),0,E105*IF(G105=0,H105,MIN(H105,H105*(BA$3-D105+1)/MAX(1,G105)))*(1+F105)^(BA$3-D105)*$E93)</f>
        <v/>
      </c>
      <c r="BB14" s="138">
        <f>IF(OR(E105=0,BB$3&lt;D105),0,E105*IF(G105=0,H105,MIN(H105,H105*(BB$3-D105+1)/MAX(1,G105)))*(1+F105)^(BB$3-D105)*$E93)</f>
        <v/>
      </c>
    </row>
    <row r="15" ht="15" customHeight="1" s="91">
      <c r="A15" s="138">
        <f>A106</f>
        <v/>
      </c>
      <c r="B15" s="138">
        <f>B106</f>
        <v/>
      </c>
      <c r="C15" s="138">
        <f>C106</f>
        <v/>
      </c>
      <c r="D15" s="138">
        <f>SUM(E15:BB15)</f>
        <v/>
      </c>
      <c r="E15" s="138">
        <f>IF(OR(E106=0,E$3&lt;D106),0,E106*IF(G106=0,H106,MIN(H106,H106*(E$3-D106+1)/MAX(1,G106)))*(1+F106)^(E$3-D106)*$E93)</f>
        <v/>
      </c>
      <c r="F15" s="138">
        <f>IF(OR(E106=0,F$3&lt;D106),0,E106*IF(G106=0,H106,MIN(H106,H106*(F$3-D106+1)/MAX(1,G106)))*(1+F106)^(F$3-D106)*$E93)</f>
        <v/>
      </c>
      <c r="G15" s="138">
        <f>IF(OR(E106=0,G$3&lt;D106),0,E106*IF(G106=0,H106,MIN(H106,H106*(G$3-D106+1)/MAX(1,G106)))*(1+F106)^(G$3-D106)*$E93)</f>
        <v/>
      </c>
      <c r="H15" s="138">
        <f>IF(OR(E106=0,H$3&lt;D106),0,E106*IF(G106=0,H106,MIN(H106,H106*(H$3-D106+1)/MAX(1,G106)))*(1+F106)^(H$3-D106)*$E93)</f>
        <v/>
      </c>
      <c r="I15" s="138">
        <f>IF(OR(E106=0,I$3&lt;D106),0,E106*IF(G106=0,H106,MIN(H106,H106*(I$3-D106+1)/MAX(1,G106)))*(1+F106)^(I$3-D106)*$E93)</f>
        <v/>
      </c>
      <c r="J15" s="138">
        <f>IF(OR(E106=0,J$3&lt;D106),0,E106*IF(G106=0,H106,MIN(H106,H106*(J$3-D106+1)/MAX(1,G106)))*(1+F106)^(J$3-D106)*$E93)</f>
        <v/>
      </c>
      <c r="K15" s="138">
        <f>IF(OR(E106=0,K$3&lt;D106),0,E106*IF(G106=0,H106,MIN(H106,H106*(K$3-D106+1)/MAX(1,G106)))*(1+F106)^(K$3-D106)*$E93)</f>
        <v/>
      </c>
      <c r="L15" s="138">
        <f>IF(OR(E106=0,L$3&lt;D106),0,E106*IF(G106=0,H106,MIN(H106,H106*(L$3-D106+1)/MAX(1,G106)))*(1+F106)^(L$3-D106)*$E93)</f>
        <v/>
      </c>
      <c r="M15" s="138">
        <f>IF(OR(E106=0,M$3&lt;D106),0,E106*IF(G106=0,H106,MIN(H106,H106*(M$3-D106+1)/MAX(1,G106)))*(1+F106)^(M$3-D106)*$E93)</f>
        <v/>
      </c>
      <c r="N15" s="138">
        <f>IF(OR(E106=0,N$3&lt;D106),0,E106*IF(G106=0,H106,MIN(H106,H106*(N$3-D106+1)/MAX(1,G106)))*(1+F106)^(N$3-D106)*$E93)</f>
        <v/>
      </c>
      <c r="O15" s="138">
        <f>IF(OR(E106=0,O$3&lt;D106),0,E106*IF(G106=0,H106,MIN(H106,H106*(O$3-D106+1)/MAX(1,G106)))*(1+F106)^(O$3-D106)*$E93)</f>
        <v/>
      </c>
      <c r="P15" s="138">
        <f>IF(OR(E106=0,P$3&lt;D106),0,E106*IF(G106=0,H106,MIN(H106,H106*(P$3-D106+1)/MAX(1,G106)))*(1+F106)^(P$3-D106)*$E93)</f>
        <v/>
      </c>
      <c r="Q15" s="138">
        <f>IF(OR(E106=0,Q$3&lt;D106),0,E106*IF(G106=0,H106,MIN(H106,H106*(Q$3-D106+1)/MAX(1,G106)))*(1+F106)^(Q$3-D106)*$E93)</f>
        <v/>
      </c>
      <c r="R15" s="138">
        <f>IF(OR(E106=0,R$3&lt;D106),0,E106*IF(G106=0,H106,MIN(H106,H106*(R$3-D106+1)/MAX(1,G106)))*(1+F106)^(R$3-D106)*$E93)</f>
        <v/>
      </c>
      <c r="S15" s="138">
        <f>IF(OR(E106=0,S$3&lt;D106),0,E106*IF(G106=0,H106,MIN(H106,H106*(S$3-D106+1)/MAX(1,G106)))*(1+F106)^(S$3-D106)*$E93)</f>
        <v/>
      </c>
      <c r="T15" s="138">
        <f>IF(OR(E106=0,T$3&lt;D106),0,E106*IF(G106=0,H106,MIN(H106,H106*(T$3-D106+1)/MAX(1,G106)))*(1+F106)^(T$3-D106)*$E93)</f>
        <v/>
      </c>
      <c r="U15" s="138">
        <f>IF(OR(E106=0,U$3&lt;D106),0,E106*IF(G106=0,H106,MIN(H106,H106*(U$3-D106+1)/MAX(1,G106)))*(1+F106)^(U$3-D106)*$E93)</f>
        <v/>
      </c>
      <c r="V15" s="138">
        <f>IF(OR(E106=0,V$3&lt;D106),0,E106*IF(G106=0,H106,MIN(H106,H106*(V$3-D106+1)/MAX(1,G106)))*(1+F106)^(V$3-D106)*$E93)</f>
        <v/>
      </c>
      <c r="W15" s="138">
        <f>IF(OR(E106=0,W$3&lt;D106),0,E106*IF(G106=0,H106,MIN(H106,H106*(W$3-D106+1)/MAX(1,G106)))*(1+F106)^(W$3-D106)*$E93)</f>
        <v/>
      </c>
      <c r="X15" s="138">
        <f>IF(OR(E106=0,X$3&lt;D106),0,E106*IF(G106=0,H106,MIN(H106,H106*(X$3-D106+1)/MAX(1,G106)))*(1+F106)^(X$3-D106)*$E93)</f>
        <v/>
      </c>
      <c r="Y15" s="138">
        <f>IF(OR(E106=0,Y$3&lt;D106),0,E106*IF(G106=0,H106,MIN(H106,H106*(Y$3-D106+1)/MAX(1,G106)))*(1+F106)^(Y$3-D106)*$E93)</f>
        <v/>
      </c>
      <c r="Z15" s="138">
        <f>IF(OR(E106=0,Z$3&lt;D106),0,E106*IF(G106=0,H106,MIN(H106,H106*(Z$3-D106+1)/MAX(1,G106)))*(1+F106)^(Z$3-D106)*$E93)</f>
        <v/>
      </c>
      <c r="AA15" s="138">
        <f>IF(OR(E106=0,AA$3&lt;D106),0,E106*IF(G106=0,H106,MIN(H106,H106*(AA$3-D106+1)/MAX(1,G106)))*(1+F106)^(AA$3-D106)*$E93)</f>
        <v/>
      </c>
      <c r="AB15" s="138">
        <f>IF(OR(E106=0,AB$3&lt;D106),0,E106*IF(G106=0,H106,MIN(H106,H106*(AB$3-D106+1)/MAX(1,G106)))*(1+F106)^(AB$3-D106)*$E93)</f>
        <v/>
      </c>
      <c r="AC15" s="138">
        <f>IF(OR(E106=0,AC$3&lt;D106),0,E106*IF(G106=0,H106,MIN(H106,H106*(AC$3-D106+1)/MAX(1,G106)))*(1+F106)^(AC$3-D106)*$E93)</f>
        <v/>
      </c>
      <c r="AD15" s="138">
        <f>IF(OR(E106=0,AD$3&lt;D106),0,E106*IF(G106=0,H106,MIN(H106,H106*(AD$3-D106+1)/MAX(1,G106)))*(1+F106)^(AD$3-D106)*$E93)</f>
        <v/>
      </c>
      <c r="AE15" s="138">
        <f>IF(OR(E106=0,AE$3&lt;D106),0,E106*IF(G106=0,H106,MIN(H106,H106*(AE$3-D106+1)/MAX(1,G106)))*(1+F106)^(AE$3-D106)*$E93)</f>
        <v/>
      </c>
      <c r="AF15" s="138">
        <f>IF(OR(E106=0,AF$3&lt;D106),0,E106*IF(G106=0,H106,MIN(H106,H106*(AF$3-D106+1)/MAX(1,G106)))*(1+F106)^(AF$3-D106)*$E93)</f>
        <v/>
      </c>
      <c r="AG15" s="138">
        <f>IF(OR(E106=0,AG$3&lt;D106),0,E106*IF(G106=0,H106,MIN(H106,H106*(AG$3-D106+1)/MAX(1,G106)))*(1+F106)^(AG$3-D106)*$E93)</f>
        <v/>
      </c>
      <c r="AH15" s="138">
        <f>IF(OR(E106=0,AH$3&lt;D106),0,E106*IF(G106=0,H106,MIN(H106,H106*(AH$3-D106+1)/MAX(1,G106)))*(1+F106)^(AH$3-D106)*$E93)</f>
        <v/>
      </c>
      <c r="AI15" s="138">
        <f>IF(OR(E106=0,AI$3&lt;D106),0,E106*IF(G106=0,H106,MIN(H106,H106*(AI$3-D106+1)/MAX(1,G106)))*(1+F106)^(AI$3-D106)*$E93)</f>
        <v/>
      </c>
      <c r="AJ15" s="138">
        <f>IF(OR(E106=0,AJ$3&lt;D106),0,E106*IF(G106=0,H106,MIN(H106,H106*(AJ$3-D106+1)/MAX(1,G106)))*(1+F106)^(AJ$3-D106)*$E93)</f>
        <v/>
      </c>
      <c r="AK15" s="138">
        <f>IF(OR(E106=0,AK$3&lt;D106),0,E106*IF(G106=0,H106,MIN(H106,H106*(AK$3-D106+1)/MAX(1,G106)))*(1+F106)^(AK$3-D106)*$E93)</f>
        <v/>
      </c>
      <c r="AL15" s="138">
        <f>IF(OR(E106=0,AL$3&lt;D106),0,E106*IF(G106=0,H106,MIN(H106,H106*(AL$3-D106+1)/MAX(1,G106)))*(1+F106)^(AL$3-D106)*$E93)</f>
        <v/>
      </c>
      <c r="AM15" s="138">
        <f>IF(OR(E106=0,AM$3&lt;D106),0,E106*IF(G106=0,H106,MIN(H106,H106*(AM$3-D106+1)/MAX(1,G106)))*(1+F106)^(AM$3-D106)*$E93)</f>
        <v/>
      </c>
      <c r="AN15" s="138">
        <f>IF(OR(E106=0,AN$3&lt;D106),0,E106*IF(G106=0,H106,MIN(H106,H106*(AN$3-D106+1)/MAX(1,G106)))*(1+F106)^(AN$3-D106)*$E93)</f>
        <v/>
      </c>
      <c r="AO15" s="138">
        <f>IF(OR(E106=0,AO$3&lt;D106),0,E106*IF(G106=0,H106,MIN(H106,H106*(AO$3-D106+1)/MAX(1,G106)))*(1+F106)^(AO$3-D106)*$E93)</f>
        <v/>
      </c>
      <c r="AP15" s="138">
        <f>IF(OR(E106=0,AP$3&lt;D106),0,E106*IF(G106=0,H106,MIN(H106,H106*(AP$3-D106+1)/MAX(1,G106)))*(1+F106)^(AP$3-D106)*$E93)</f>
        <v/>
      </c>
      <c r="AQ15" s="138">
        <f>IF(OR(E106=0,AQ$3&lt;D106),0,E106*IF(G106=0,H106,MIN(H106,H106*(AQ$3-D106+1)/MAX(1,G106)))*(1+F106)^(AQ$3-D106)*$E93)</f>
        <v/>
      </c>
      <c r="AR15" s="138">
        <f>IF(OR(E106=0,AR$3&lt;D106),0,E106*IF(G106=0,H106,MIN(H106,H106*(AR$3-D106+1)/MAX(1,G106)))*(1+F106)^(AR$3-D106)*$E93)</f>
        <v/>
      </c>
      <c r="AS15" s="138">
        <f>IF(OR(E106=0,AS$3&lt;D106),0,E106*IF(G106=0,H106,MIN(H106,H106*(AS$3-D106+1)/MAX(1,G106)))*(1+F106)^(AS$3-D106)*$E93)</f>
        <v/>
      </c>
      <c r="AT15" s="138">
        <f>IF(OR(E106=0,AT$3&lt;D106),0,E106*IF(G106=0,H106,MIN(H106,H106*(AT$3-D106+1)/MAX(1,G106)))*(1+F106)^(AT$3-D106)*$E93)</f>
        <v/>
      </c>
      <c r="AU15" s="138">
        <f>IF(OR(E106=0,AU$3&lt;D106),0,E106*IF(G106=0,H106,MIN(H106,H106*(AU$3-D106+1)/MAX(1,G106)))*(1+F106)^(AU$3-D106)*$E93)</f>
        <v/>
      </c>
      <c r="AV15" s="138">
        <f>IF(OR(E106=0,AV$3&lt;D106),0,E106*IF(G106=0,H106,MIN(H106,H106*(AV$3-D106+1)/MAX(1,G106)))*(1+F106)^(AV$3-D106)*$E93)</f>
        <v/>
      </c>
      <c r="AW15" s="138">
        <f>IF(OR(E106=0,AW$3&lt;D106),0,E106*IF(G106=0,H106,MIN(H106,H106*(AW$3-D106+1)/MAX(1,G106)))*(1+F106)^(AW$3-D106)*$E93)</f>
        <v/>
      </c>
      <c r="AX15" s="138">
        <f>IF(OR(E106=0,AX$3&lt;D106),0,E106*IF(G106=0,H106,MIN(H106,H106*(AX$3-D106+1)/MAX(1,G106)))*(1+F106)^(AX$3-D106)*$E93)</f>
        <v/>
      </c>
      <c r="AY15" s="138">
        <f>IF(OR(E106=0,AY$3&lt;D106),0,E106*IF(G106=0,H106,MIN(H106,H106*(AY$3-D106+1)/MAX(1,G106)))*(1+F106)^(AY$3-D106)*$E93)</f>
        <v/>
      </c>
      <c r="AZ15" s="138">
        <f>IF(OR(E106=0,AZ$3&lt;D106),0,E106*IF(G106=0,H106,MIN(H106,H106*(AZ$3-D106+1)/MAX(1,G106)))*(1+F106)^(AZ$3-D106)*$E93)</f>
        <v/>
      </c>
      <c r="BA15" s="138">
        <f>IF(OR(E106=0,BA$3&lt;D106),0,E106*IF(G106=0,H106,MIN(H106,H106*(BA$3-D106+1)/MAX(1,G106)))*(1+F106)^(BA$3-D106)*$E93)</f>
        <v/>
      </c>
      <c r="BB15" s="138">
        <f>IF(OR(E106=0,BB$3&lt;D106),0,E106*IF(G106=0,H106,MIN(H106,H106*(BB$3-D106+1)/MAX(1,G106)))*(1+F106)^(BB$3-D106)*$E93)</f>
        <v/>
      </c>
    </row>
    <row r="16" ht="15" customHeight="1" s="91">
      <c r="A16" s="138">
        <f>A107</f>
        <v/>
      </c>
      <c r="B16" s="138">
        <f>B107</f>
        <v/>
      </c>
      <c r="C16" s="138">
        <f>C107</f>
        <v/>
      </c>
      <c r="D16" s="138">
        <f>SUM(E16:BB16)</f>
        <v/>
      </c>
      <c r="E16" s="138">
        <f>IF(OR(E107=0,E$3&lt;D107),0,E107*IF(G107=0,H107,MIN(H107,H107*(E$3-D107+1)/MAX(1,G107)))*(1+F107)^(E$3-D107)*$E93)</f>
        <v/>
      </c>
      <c r="F16" s="138">
        <f>IF(OR(E107=0,F$3&lt;D107),0,E107*IF(G107=0,H107,MIN(H107,H107*(F$3-D107+1)/MAX(1,G107)))*(1+F107)^(F$3-D107)*$E93)</f>
        <v/>
      </c>
      <c r="G16" s="138">
        <f>IF(OR(E107=0,G$3&lt;D107),0,E107*IF(G107=0,H107,MIN(H107,H107*(G$3-D107+1)/MAX(1,G107)))*(1+F107)^(G$3-D107)*$E93)</f>
        <v/>
      </c>
      <c r="H16" s="138">
        <f>IF(OR(E107=0,H$3&lt;D107),0,E107*IF(G107=0,H107,MIN(H107,H107*(H$3-D107+1)/MAX(1,G107)))*(1+F107)^(H$3-D107)*$E93)</f>
        <v/>
      </c>
      <c r="I16" s="138">
        <f>IF(OR(E107=0,I$3&lt;D107),0,E107*IF(G107=0,H107,MIN(H107,H107*(I$3-D107+1)/MAX(1,G107)))*(1+F107)^(I$3-D107)*$E93)</f>
        <v/>
      </c>
      <c r="J16" s="138">
        <f>IF(OR(E107=0,J$3&lt;D107),0,E107*IF(G107=0,H107,MIN(H107,H107*(J$3-D107+1)/MAX(1,G107)))*(1+F107)^(J$3-D107)*$E93)</f>
        <v/>
      </c>
      <c r="K16" s="138">
        <f>IF(OR(E107=0,K$3&lt;D107),0,E107*IF(G107=0,H107,MIN(H107,H107*(K$3-D107+1)/MAX(1,G107)))*(1+F107)^(K$3-D107)*$E93)</f>
        <v/>
      </c>
      <c r="L16" s="138">
        <f>IF(OR(E107=0,L$3&lt;D107),0,E107*IF(G107=0,H107,MIN(H107,H107*(L$3-D107+1)/MAX(1,G107)))*(1+F107)^(L$3-D107)*$E93)</f>
        <v/>
      </c>
      <c r="M16" s="138">
        <f>IF(OR(E107=0,M$3&lt;D107),0,E107*IF(G107=0,H107,MIN(H107,H107*(M$3-D107+1)/MAX(1,G107)))*(1+F107)^(M$3-D107)*$E93)</f>
        <v/>
      </c>
      <c r="N16" s="138">
        <f>IF(OR(E107=0,N$3&lt;D107),0,E107*IF(G107=0,H107,MIN(H107,H107*(N$3-D107+1)/MAX(1,G107)))*(1+F107)^(N$3-D107)*$E93)</f>
        <v/>
      </c>
      <c r="O16" s="138">
        <f>IF(OR(E107=0,O$3&lt;D107),0,E107*IF(G107=0,H107,MIN(H107,H107*(O$3-D107+1)/MAX(1,G107)))*(1+F107)^(O$3-D107)*$E93)</f>
        <v/>
      </c>
      <c r="P16" s="138">
        <f>IF(OR(E107=0,P$3&lt;D107),0,E107*IF(G107=0,H107,MIN(H107,H107*(P$3-D107+1)/MAX(1,G107)))*(1+F107)^(P$3-D107)*$E93)</f>
        <v/>
      </c>
      <c r="Q16" s="138">
        <f>IF(OR(E107=0,Q$3&lt;D107),0,E107*IF(G107=0,H107,MIN(H107,H107*(Q$3-D107+1)/MAX(1,G107)))*(1+F107)^(Q$3-D107)*$E93)</f>
        <v/>
      </c>
      <c r="R16" s="138">
        <f>IF(OR(E107=0,R$3&lt;D107),0,E107*IF(G107=0,H107,MIN(H107,H107*(R$3-D107+1)/MAX(1,G107)))*(1+F107)^(R$3-D107)*$E93)</f>
        <v/>
      </c>
      <c r="S16" s="138">
        <f>IF(OR(E107=0,S$3&lt;D107),0,E107*IF(G107=0,H107,MIN(H107,H107*(S$3-D107+1)/MAX(1,G107)))*(1+F107)^(S$3-D107)*$E93)</f>
        <v/>
      </c>
      <c r="T16" s="138">
        <f>IF(OR(E107=0,T$3&lt;D107),0,E107*IF(G107=0,H107,MIN(H107,H107*(T$3-D107+1)/MAX(1,G107)))*(1+F107)^(T$3-D107)*$E93)</f>
        <v/>
      </c>
      <c r="U16" s="138">
        <f>IF(OR(E107=0,U$3&lt;D107),0,E107*IF(G107=0,H107,MIN(H107,H107*(U$3-D107+1)/MAX(1,G107)))*(1+F107)^(U$3-D107)*$E93)</f>
        <v/>
      </c>
      <c r="V16" s="138">
        <f>IF(OR(E107=0,V$3&lt;D107),0,E107*IF(G107=0,H107,MIN(H107,H107*(V$3-D107+1)/MAX(1,G107)))*(1+F107)^(V$3-D107)*$E93)</f>
        <v/>
      </c>
      <c r="W16" s="138">
        <f>IF(OR(E107=0,W$3&lt;D107),0,E107*IF(G107=0,H107,MIN(H107,H107*(W$3-D107+1)/MAX(1,G107)))*(1+F107)^(W$3-D107)*$E93)</f>
        <v/>
      </c>
      <c r="X16" s="138">
        <f>IF(OR(E107=0,X$3&lt;D107),0,E107*IF(G107=0,H107,MIN(H107,H107*(X$3-D107+1)/MAX(1,G107)))*(1+F107)^(X$3-D107)*$E93)</f>
        <v/>
      </c>
      <c r="Y16" s="138">
        <f>IF(OR(E107=0,Y$3&lt;D107),0,E107*IF(G107=0,H107,MIN(H107,H107*(Y$3-D107+1)/MAX(1,G107)))*(1+F107)^(Y$3-D107)*$E93)</f>
        <v/>
      </c>
      <c r="Z16" s="138">
        <f>IF(OR(E107=0,Z$3&lt;D107),0,E107*IF(G107=0,H107,MIN(H107,H107*(Z$3-D107+1)/MAX(1,G107)))*(1+F107)^(Z$3-D107)*$E93)</f>
        <v/>
      </c>
      <c r="AA16" s="138">
        <f>IF(OR(E107=0,AA$3&lt;D107),0,E107*IF(G107=0,H107,MIN(H107,H107*(AA$3-D107+1)/MAX(1,G107)))*(1+F107)^(AA$3-D107)*$E93)</f>
        <v/>
      </c>
      <c r="AB16" s="138">
        <f>IF(OR(E107=0,AB$3&lt;D107),0,E107*IF(G107=0,H107,MIN(H107,H107*(AB$3-D107+1)/MAX(1,G107)))*(1+F107)^(AB$3-D107)*$E93)</f>
        <v/>
      </c>
      <c r="AC16" s="138">
        <f>IF(OR(E107=0,AC$3&lt;D107),0,E107*IF(G107=0,H107,MIN(H107,H107*(AC$3-D107+1)/MAX(1,G107)))*(1+F107)^(AC$3-D107)*$E93)</f>
        <v/>
      </c>
      <c r="AD16" s="138">
        <f>IF(OR(E107=0,AD$3&lt;D107),0,E107*IF(G107=0,H107,MIN(H107,H107*(AD$3-D107+1)/MAX(1,G107)))*(1+F107)^(AD$3-D107)*$E93)</f>
        <v/>
      </c>
      <c r="AE16" s="138">
        <f>IF(OR(E107=0,AE$3&lt;D107),0,E107*IF(G107=0,H107,MIN(H107,H107*(AE$3-D107+1)/MAX(1,G107)))*(1+F107)^(AE$3-D107)*$E93)</f>
        <v/>
      </c>
      <c r="AF16" s="138">
        <f>IF(OR(E107=0,AF$3&lt;D107),0,E107*IF(G107=0,H107,MIN(H107,H107*(AF$3-D107+1)/MAX(1,G107)))*(1+F107)^(AF$3-D107)*$E93)</f>
        <v/>
      </c>
      <c r="AG16" s="138">
        <f>IF(OR(E107=0,AG$3&lt;D107),0,E107*IF(G107=0,H107,MIN(H107,H107*(AG$3-D107+1)/MAX(1,G107)))*(1+F107)^(AG$3-D107)*$E93)</f>
        <v/>
      </c>
      <c r="AH16" s="138">
        <f>IF(OR(E107=0,AH$3&lt;D107),0,E107*IF(G107=0,H107,MIN(H107,H107*(AH$3-D107+1)/MAX(1,G107)))*(1+F107)^(AH$3-D107)*$E93)</f>
        <v/>
      </c>
      <c r="AI16" s="138">
        <f>IF(OR(E107=0,AI$3&lt;D107),0,E107*IF(G107=0,H107,MIN(H107,H107*(AI$3-D107+1)/MAX(1,G107)))*(1+F107)^(AI$3-D107)*$E93)</f>
        <v/>
      </c>
      <c r="AJ16" s="138">
        <f>IF(OR(E107=0,AJ$3&lt;D107),0,E107*IF(G107=0,H107,MIN(H107,H107*(AJ$3-D107+1)/MAX(1,G107)))*(1+F107)^(AJ$3-D107)*$E93)</f>
        <v/>
      </c>
      <c r="AK16" s="138">
        <f>IF(OR(E107=0,AK$3&lt;D107),0,E107*IF(G107=0,H107,MIN(H107,H107*(AK$3-D107+1)/MAX(1,G107)))*(1+F107)^(AK$3-D107)*$E93)</f>
        <v/>
      </c>
      <c r="AL16" s="138">
        <f>IF(OR(E107=0,AL$3&lt;D107),0,E107*IF(G107=0,H107,MIN(H107,H107*(AL$3-D107+1)/MAX(1,G107)))*(1+F107)^(AL$3-D107)*$E93)</f>
        <v/>
      </c>
      <c r="AM16" s="138">
        <f>IF(OR(E107=0,AM$3&lt;D107),0,E107*IF(G107=0,H107,MIN(H107,H107*(AM$3-D107+1)/MAX(1,G107)))*(1+F107)^(AM$3-D107)*$E93)</f>
        <v/>
      </c>
      <c r="AN16" s="138">
        <f>IF(OR(E107=0,AN$3&lt;D107),0,E107*IF(G107=0,H107,MIN(H107,H107*(AN$3-D107+1)/MAX(1,G107)))*(1+F107)^(AN$3-D107)*$E93)</f>
        <v/>
      </c>
      <c r="AO16" s="138">
        <f>IF(OR(E107=0,AO$3&lt;D107),0,E107*IF(G107=0,H107,MIN(H107,H107*(AO$3-D107+1)/MAX(1,G107)))*(1+F107)^(AO$3-D107)*$E93)</f>
        <v/>
      </c>
      <c r="AP16" s="138">
        <f>IF(OR(E107=0,AP$3&lt;D107),0,E107*IF(G107=0,H107,MIN(H107,H107*(AP$3-D107+1)/MAX(1,G107)))*(1+F107)^(AP$3-D107)*$E93)</f>
        <v/>
      </c>
      <c r="AQ16" s="138">
        <f>IF(OR(E107=0,AQ$3&lt;D107),0,E107*IF(G107=0,H107,MIN(H107,H107*(AQ$3-D107+1)/MAX(1,G107)))*(1+F107)^(AQ$3-D107)*$E93)</f>
        <v/>
      </c>
      <c r="AR16" s="138">
        <f>IF(OR(E107=0,AR$3&lt;D107),0,E107*IF(G107=0,H107,MIN(H107,H107*(AR$3-D107+1)/MAX(1,G107)))*(1+F107)^(AR$3-D107)*$E93)</f>
        <v/>
      </c>
      <c r="AS16" s="138">
        <f>IF(OR(E107=0,AS$3&lt;D107),0,E107*IF(G107=0,H107,MIN(H107,H107*(AS$3-D107+1)/MAX(1,G107)))*(1+F107)^(AS$3-D107)*$E93)</f>
        <v/>
      </c>
      <c r="AT16" s="138">
        <f>IF(OR(E107=0,AT$3&lt;D107),0,E107*IF(G107=0,H107,MIN(H107,H107*(AT$3-D107+1)/MAX(1,G107)))*(1+F107)^(AT$3-D107)*$E93)</f>
        <v/>
      </c>
      <c r="AU16" s="138">
        <f>IF(OR(E107=0,AU$3&lt;D107),0,E107*IF(G107=0,H107,MIN(H107,H107*(AU$3-D107+1)/MAX(1,G107)))*(1+F107)^(AU$3-D107)*$E93)</f>
        <v/>
      </c>
      <c r="AV16" s="138">
        <f>IF(OR(E107=0,AV$3&lt;D107),0,E107*IF(G107=0,H107,MIN(H107,H107*(AV$3-D107+1)/MAX(1,G107)))*(1+F107)^(AV$3-D107)*$E93)</f>
        <v/>
      </c>
      <c r="AW16" s="138">
        <f>IF(OR(E107=0,AW$3&lt;D107),0,E107*IF(G107=0,H107,MIN(H107,H107*(AW$3-D107+1)/MAX(1,G107)))*(1+F107)^(AW$3-D107)*$E93)</f>
        <v/>
      </c>
      <c r="AX16" s="138">
        <f>IF(OR(E107=0,AX$3&lt;D107),0,E107*IF(G107=0,H107,MIN(H107,H107*(AX$3-D107+1)/MAX(1,G107)))*(1+F107)^(AX$3-D107)*$E93)</f>
        <v/>
      </c>
      <c r="AY16" s="138">
        <f>IF(OR(E107=0,AY$3&lt;D107),0,E107*IF(G107=0,H107,MIN(H107,H107*(AY$3-D107+1)/MAX(1,G107)))*(1+F107)^(AY$3-D107)*$E93)</f>
        <v/>
      </c>
      <c r="AZ16" s="138">
        <f>IF(OR(E107=0,AZ$3&lt;D107),0,E107*IF(G107=0,H107,MIN(H107,H107*(AZ$3-D107+1)/MAX(1,G107)))*(1+F107)^(AZ$3-D107)*$E93)</f>
        <v/>
      </c>
      <c r="BA16" s="138">
        <f>IF(OR(E107=0,BA$3&lt;D107),0,E107*IF(G107=0,H107,MIN(H107,H107*(BA$3-D107+1)/MAX(1,G107)))*(1+F107)^(BA$3-D107)*$E93)</f>
        <v/>
      </c>
      <c r="BB16" s="138">
        <f>IF(OR(E107=0,BB$3&lt;D107),0,E107*IF(G107=0,H107,MIN(H107,H107*(BB$3-D107+1)/MAX(1,G107)))*(1+F107)^(BB$3-D107)*$E93)</f>
        <v/>
      </c>
    </row>
    <row r="17" ht="15" customHeight="1" s="91">
      <c r="A17" s="138">
        <f>A108</f>
        <v/>
      </c>
      <c r="B17" s="138">
        <f>B108</f>
        <v/>
      </c>
      <c r="C17" s="138">
        <f>C108</f>
        <v/>
      </c>
      <c r="D17" s="138">
        <f>SUM(E17:BB17)</f>
        <v/>
      </c>
      <c r="E17" s="138">
        <f>IF(OR(E108=0,E$3&lt;D108),0,E108*IF(G108=0,H108,MIN(H108,H108*(E$3-D108+1)/MAX(1,G108)))*(1+F108)^(E$3-D108)*$E93)</f>
        <v/>
      </c>
      <c r="F17" s="138">
        <f>IF(OR(E108=0,F$3&lt;D108),0,E108*IF(G108=0,H108,MIN(H108,H108*(F$3-D108+1)/MAX(1,G108)))*(1+F108)^(F$3-D108)*$E93)</f>
        <v/>
      </c>
      <c r="G17" s="138">
        <f>IF(OR(E108=0,G$3&lt;D108),0,E108*IF(G108=0,H108,MIN(H108,H108*(G$3-D108+1)/MAX(1,G108)))*(1+F108)^(G$3-D108)*$E93)</f>
        <v/>
      </c>
      <c r="H17" s="138">
        <f>IF(OR(E108=0,H$3&lt;D108),0,E108*IF(G108=0,H108,MIN(H108,H108*(H$3-D108+1)/MAX(1,G108)))*(1+F108)^(H$3-D108)*$E93)</f>
        <v/>
      </c>
      <c r="I17" s="138">
        <f>IF(OR(E108=0,I$3&lt;D108),0,E108*IF(G108=0,H108,MIN(H108,H108*(I$3-D108+1)/MAX(1,G108)))*(1+F108)^(I$3-D108)*$E93)</f>
        <v/>
      </c>
      <c r="J17" s="138">
        <f>IF(OR(E108=0,J$3&lt;D108),0,E108*IF(G108=0,H108,MIN(H108,H108*(J$3-D108+1)/MAX(1,G108)))*(1+F108)^(J$3-D108)*$E93)</f>
        <v/>
      </c>
      <c r="K17" s="138">
        <f>IF(OR(E108=0,K$3&lt;D108),0,E108*IF(G108=0,H108,MIN(H108,H108*(K$3-D108+1)/MAX(1,G108)))*(1+F108)^(K$3-D108)*$E93)</f>
        <v/>
      </c>
      <c r="L17" s="138">
        <f>IF(OR(E108=0,L$3&lt;D108),0,E108*IF(G108=0,H108,MIN(H108,H108*(L$3-D108+1)/MAX(1,G108)))*(1+F108)^(L$3-D108)*$E93)</f>
        <v/>
      </c>
      <c r="M17" s="138">
        <f>IF(OR(E108=0,M$3&lt;D108),0,E108*IF(G108=0,H108,MIN(H108,H108*(M$3-D108+1)/MAX(1,G108)))*(1+F108)^(M$3-D108)*$E93)</f>
        <v/>
      </c>
      <c r="N17" s="138">
        <f>IF(OR(E108=0,N$3&lt;D108),0,E108*IF(G108=0,H108,MIN(H108,H108*(N$3-D108+1)/MAX(1,G108)))*(1+F108)^(N$3-D108)*$E93)</f>
        <v/>
      </c>
      <c r="O17" s="138">
        <f>IF(OR(E108=0,O$3&lt;D108),0,E108*IF(G108=0,H108,MIN(H108,H108*(O$3-D108+1)/MAX(1,G108)))*(1+F108)^(O$3-D108)*$E93)</f>
        <v/>
      </c>
      <c r="P17" s="138">
        <f>IF(OR(E108=0,P$3&lt;D108),0,E108*IF(G108=0,H108,MIN(H108,H108*(P$3-D108+1)/MAX(1,G108)))*(1+F108)^(P$3-D108)*$E93)</f>
        <v/>
      </c>
      <c r="Q17" s="138">
        <f>IF(OR(E108=0,Q$3&lt;D108),0,E108*IF(G108=0,H108,MIN(H108,H108*(Q$3-D108+1)/MAX(1,G108)))*(1+F108)^(Q$3-D108)*$E93)</f>
        <v/>
      </c>
      <c r="R17" s="138">
        <f>IF(OR(E108=0,R$3&lt;D108),0,E108*IF(G108=0,H108,MIN(H108,H108*(R$3-D108+1)/MAX(1,G108)))*(1+F108)^(R$3-D108)*$E93)</f>
        <v/>
      </c>
      <c r="S17" s="138">
        <f>IF(OR(E108=0,S$3&lt;D108),0,E108*IF(G108=0,H108,MIN(H108,H108*(S$3-D108+1)/MAX(1,G108)))*(1+F108)^(S$3-D108)*$E93)</f>
        <v/>
      </c>
      <c r="T17" s="138">
        <f>IF(OR(E108=0,T$3&lt;D108),0,E108*IF(G108=0,H108,MIN(H108,H108*(T$3-D108+1)/MAX(1,G108)))*(1+F108)^(T$3-D108)*$E93)</f>
        <v/>
      </c>
      <c r="U17" s="138">
        <f>IF(OR(E108=0,U$3&lt;D108),0,E108*IF(G108=0,H108,MIN(H108,H108*(U$3-D108+1)/MAX(1,G108)))*(1+F108)^(U$3-D108)*$E93)</f>
        <v/>
      </c>
      <c r="V17" s="138">
        <f>IF(OR(E108=0,V$3&lt;D108),0,E108*IF(G108=0,H108,MIN(H108,H108*(V$3-D108+1)/MAX(1,G108)))*(1+F108)^(V$3-D108)*$E93)</f>
        <v/>
      </c>
      <c r="W17" s="138">
        <f>IF(OR(E108=0,W$3&lt;D108),0,E108*IF(G108=0,H108,MIN(H108,H108*(W$3-D108+1)/MAX(1,G108)))*(1+F108)^(W$3-D108)*$E93)</f>
        <v/>
      </c>
      <c r="X17" s="138">
        <f>IF(OR(E108=0,X$3&lt;D108),0,E108*IF(G108=0,H108,MIN(H108,H108*(X$3-D108+1)/MAX(1,G108)))*(1+F108)^(X$3-D108)*$E93)</f>
        <v/>
      </c>
      <c r="Y17" s="138">
        <f>IF(OR(E108=0,Y$3&lt;D108),0,E108*IF(G108=0,H108,MIN(H108,H108*(Y$3-D108+1)/MAX(1,G108)))*(1+F108)^(Y$3-D108)*$E93)</f>
        <v/>
      </c>
      <c r="Z17" s="138">
        <f>IF(OR(E108=0,Z$3&lt;D108),0,E108*IF(G108=0,H108,MIN(H108,H108*(Z$3-D108+1)/MAX(1,G108)))*(1+F108)^(Z$3-D108)*$E93)</f>
        <v/>
      </c>
      <c r="AA17" s="138">
        <f>IF(OR(E108=0,AA$3&lt;D108),0,E108*IF(G108=0,H108,MIN(H108,H108*(AA$3-D108+1)/MAX(1,G108)))*(1+F108)^(AA$3-D108)*$E93)</f>
        <v/>
      </c>
      <c r="AB17" s="138">
        <f>IF(OR(E108=0,AB$3&lt;D108),0,E108*IF(G108=0,H108,MIN(H108,H108*(AB$3-D108+1)/MAX(1,G108)))*(1+F108)^(AB$3-D108)*$E93)</f>
        <v/>
      </c>
      <c r="AC17" s="138">
        <f>IF(OR(E108=0,AC$3&lt;D108),0,E108*IF(G108=0,H108,MIN(H108,H108*(AC$3-D108+1)/MAX(1,G108)))*(1+F108)^(AC$3-D108)*$E93)</f>
        <v/>
      </c>
      <c r="AD17" s="138">
        <f>IF(OR(E108=0,AD$3&lt;D108),0,E108*IF(G108=0,H108,MIN(H108,H108*(AD$3-D108+1)/MAX(1,G108)))*(1+F108)^(AD$3-D108)*$E93)</f>
        <v/>
      </c>
      <c r="AE17" s="138">
        <f>IF(OR(E108=0,AE$3&lt;D108),0,E108*IF(G108=0,H108,MIN(H108,H108*(AE$3-D108+1)/MAX(1,G108)))*(1+F108)^(AE$3-D108)*$E93)</f>
        <v/>
      </c>
      <c r="AF17" s="138">
        <f>IF(OR(E108=0,AF$3&lt;D108),0,E108*IF(G108=0,H108,MIN(H108,H108*(AF$3-D108+1)/MAX(1,G108)))*(1+F108)^(AF$3-D108)*$E93)</f>
        <v/>
      </c>
      <c r="AG17" s="138">
        <f>IF(OR(E108=0,AG$3&lt;D108),0,E108*IF(G108=0,H108,MIN(H108,H108*(AG$3-D108+1)/MAX(1,G108)))*(1+F108)^(AG$3-D108)*$E93)</f>
        <v/>
      </c>
      <c r="AH17" s="138">
        <f>IF(OR(E108=0,AH$3&lt;D108),0,E108*IF(G108=0,H108,MIN(H108,H108*(AH$3-D108+1)/MAX(1,G108)))*(1+F108)^(AH$3-D108)*$E93)</f>
        <v/>
      </c>
      <c r="AI17" s="138">
        <f>IF(OR(E108=0,AI$3&lt;D108),0,E108*IF(G108=0,H108,MIN(H108,H108*(AI$3-D108+1)/MAX(1,G108)))*(1+F108)^(AI$3-D108)*$E93)</f>
        <v/>
      </c>
      <c r="AJ17" s="138">
        <f>IF(OR(E108=0,AJ$3&lt;D108),0,E108*IF(G108=0,H108,MIN(H108,H108*(AJ$3-D108+1)/MAX(1,G108)))*(1+F108)^(AJ$3-D108)*$E93)</f>
        <v/>
      </c>
      <c r="AK17" s="138">
        <f>IF(OR(E108=0,AK$3&lt;D108),0,E108*IF(G108=0,H108,MIN(H108,H108*(AK$3-D108+1)/MAX(1,G108)))*(1+F108)^(AK$3-D108)*$E93)</f>
        <v/>
      </c>
      <c r="AL17" s="138">
        <f>IF(OR(E108=0,AL$3&lt;D108),0,E108*IF(G108=0,H108,MIN(H108,H108*(AL$3-D108+1)/MAX(1,G108)))*(1+F108)^(AL$3-D108)*$E93)</f>
        <v/>
      </c>
      <c r="AM17" s="138">
        <f>IF(OR(E108=0,AM$3&lt;D108),0,E108*IF(G108=0,H108,MIN(H108,H108*(AM$3-D108+1)/MAX(1,G108)))*(1+F108)^(AM$3-D108)*$E93)</f>
        <v/>
      </c>
      <c r="AN17" s="138">
        <f>IF(OR(E108=0,AN$3&lt;D108),0,E108*IF(G108=0,H108,MIN(H108,H108*(AN$3-D108+1)/MAX(1,G108)))*(1+F108)^(AN$3-D108)*$E93)</f>
        <v/>
      </c>
      <c r="AO17" s="138">
        <f>IF(OR(E108=0,AO$3&lt;D108),0,E108*IF(G108=0,H108,MIN(H108,H108*(AO$3-D108+1)/MAX(1,G108)))*(1+F108)^(AO$3-D108)*$E93)</f>
        <v/>
      </c>
      <c r="AP17" s="138">
        <f>IF(OR(E108=0,AP$3&lt;D108),0,E108*IF(G108=0,H108,MIN(H108,H108*(AP$3-D108+1)/MAX(1,G108)))*(1+F108)^(AP$3-D108)*$E93)</f>
        <v/>
      </c>
      <c r="AQ17" s="138">
        <f>IF(OR(E108=0,AQ$3&lt;D108),0,E108*IF(G108=0,H108,MIN(H108,H108*(AQ$3-D108+1)/MAX(1,G108)))*(1+F108)^(AQ$3-D108)*$E93)</f>
        <v/>
      </c>
      <c r="AR17" s="138">
        <f>IF(OR(E108=0,AR$3&lt;D108),0,E108*IF(G108=0,H108,MIN(H108,H108*(AR$3-D108+1)/MAX(1,G108)))*(1+F108)^(AR$3-D108)*$E93)</f>
        <v/>
      </c>
      <c r="AS17" s="138">
        <f>IF(OR(E108=0,AS$3&lt;D108),0,E108*IF(G108=0,H108,MIN(H108,H108*(AS$3-D108+1)/MAX(1,G108)))*(1+F108)^(AS$3-D108)*$E93)</f>
        <v/>
      </c>
      <c r="AT17" s="138">
        <f>IF(OR(E108=0,AT$3&lt;D108),0,E108*IF(G108=0,H108,MIN(H108,H108*(AT$3-D108+1)/MAX(1,G108)))*(1+F108)^(AT$3-D108)*$E93)</f>
        <v/>
      </c>
      <c r="AU17" s="138">
        <f>IF(OR(E108=0,AU$3&lt;D108),0,E108*IF(G108=0,H108,MIN(H108,H108*(AU$3-D108+1)/MAX(1,G108)))*(1+F108)^(AU$3-D108)*$E93)</f>
        <v/>
      </c>
      <c r="AV17" s="138">
        <f>IF(OR(E108=0,AV$3&lt;D108),0,E108*IF(G108=0,H108,MIN(H108,H108*(AV$3-D108+1)/MAX(1,G108)))*(1+F108)^(AV$3-D108)*$E93)</f>
        <v/>
      </c>
      <c r="AW17" s="138">
        <f>IF(OR(E108=0,AW$3&lt;D108),0,E108*IF(G108=0,H108,MIN(H108,H108*(AW$3-D108+1)/MAX(1,G108)))*(1+F108)^(AW$3-D108)*$E93)</f>
        <v/>
      </c>
      <c r="AX17" s="138">
        <f>IF(OR(E108=0,AX$3&lt;D108),0,E108*IF(G108=0,H108,MIN(H108,H108*(AX$3-D108+1)/MAX(1,G108)))*(1+F108)^(AX$3-D108)*$E93)</f>
        <v/>
      </c>
      <c r="AY17" s="138">
        <f>IF(OR(E108=0,AY$3&lt;D108),0,E108*IF(G108=0,H108,MIN(H108,H108*(AY$3-D108+1)/MAX(1,G108)))*(1+F108)^(AY$3-D108)*$E93)</f>
        <v/>
      </c>
      <c r="AZ17" s="138">
        <f>IF(OR(E108=0,AZ$3&lt;D108),0,E108*IF(G108=0,H108,MIN(H108,H108*(AZ$3-D108+1)/MAX(1,G108)))*(1+F108)^(AZ$3-D108)*$E93)</f>
        <v/>
      </c>
      <c r="BA17" s="138">
        <f>IF(OR(E108=0,BA$3&lt;D108),0,E108*IF(G108=0,H108,MIN(H108,H108*(BA$3-D108+1)/MAX(1,G108)))*(1+F108)^(BA$3-D108)*$E93)</f>
        <v/>
      </c>
      <c r="BB17" s="138">
        <f>IF(OR(E108=0,BB$3&lt;D108),0,E108*IF(G108=0,H108,MIN(H108,H108*(BB$3-D108+1)/MAX(1,G108)))*(1+F108)^(BB$3-D108)*$E93)</f>
        <v/>
      </c>
    </row>
    <row r="18" ht="15" customHeight="1" s="91">
      <c r="A18" s="138">
        <f>A109</f>
        <v/>
      </c>
      <c r="B18" s="138">
        <f>B109</f>
        <v/>
      </c>
      <c r="C18" s="138">
        <f>C109</f>
        <v/>
      </c>
      <c r="D18" s="138">
        <f>SUM(E18:BB18)</f>
        <v/>
      </c>
      <c r="E18" s="138">
        <f>IF(OR(E109=0,E$3&lt;D109),0,E109*IF(G109=0,H109,MIN(H109,H109*(E$3-D109+1)/MAX(1,G109)))*(1+F109)^(E$3-D109)*$E93)</f>
        <v/>
      </c>
      <c r="F18" s="138">
        <f>IF(OR(E109=0,F$3&lt;D109),0,E109*IF(G109=0,H109,MIN(H109,H109*(F$3-D109+1)/MAX(1,G109)))*(1+F109)^(F$3-D109)*$E93)</f>
        <v/>
      </c>
      <c r="G18" s="138">
        <f>IF(OR(E109=0,G$3&lt;D109),0,E109*IF(G109=0,H109,MIN(H109,H109*(G$3-D109+1)/MAX(1,G109)))*(1+F109)^(G$3-D109)*$E93)</f>
        <v/>
      </c>
      <c r="H18" s="138">
        <f>IF(OR(E109=0,H$3&lt;D109),0,E109*IF(G109=0,H109,MIN(H109,H109*(H$3-D109+1)/MAX(1,G109)))*(1+F109)^(H$3-D109)*$E93)</f>
        <v/>
      </c>
      <c r="I18" s="138">
        <f>IF(OR(E109=0,I$3&lt;D109),0,E109*IF(G109=0,H109,MIN(H109,H109*(I$3-D109+1)/MAX(1,G109)))*(1+F109)^(I$3-D109)*$E93)</f>
        <v/>
      </c>
      <c r="J18" s="138">
        <f>IF(OR(E109=0,J$3&lt;D109),0,E109*IF(G109=0,H109,MIN(H109,H109*(J$3-D109+1)/MAX(1,G109)))*(1+F109)^(J$3-D109)*$E93)</f>
        <v/>
      </c>
      <c r="K18" s="138">
        <f>IF(OR(E109=0,K$3&lt;D109),0,E109*IF(G109=0,H109,MIN(H109,H109*(K$3-D109+1)/MAX(1,G109)))*(1+F109)^(K$3-D109)*$E93)</f>
        <v/>
      </c>
      <c r="L18" s="138">
        <f>IF(OR(E109=0,L$3&lt;D109),0,E109*IF(G109=0,H109,MIN(H109,H109*(L$3-D109+1)/MAX(1,G109)))*(1+F109)^(L$3-D109)*$E93)</f>
        <v/>
      </c>
      <c r="M18" s="138">
        <f>IF(OR(E109=0,M$3&lt;D109),0,E109*IF(G109=0,H109,MIN(H109,H109*(M$3-D109+1)/MAX(1,G109)))*(1+F109)^(M$3-D109)*$E93)</f>
        <v/>
      </c>
      <c r="N18" s="138">
        <f>IF(OR(E109=0,N$3&lt;D109),0,E109*IF(G109=0,H109,MIN(H109,H109*(N$3-D109+1)/MAX(1,G109)))*(1+F109)^(N$3-D109)*$E93)</f>
        <v/>
      </c>
      <c r="O18" s="138">
        <f>IF(OR(E109=0,O$3&lt;D109),0,E109*IF(G109=0,H109,MIN(H109,H109*(O$3-D109+1)/MAX(1,G109)))*(1+F109)^(O$3-D109)*$E93)</f>
        <v/>
      </c>
      <c r="P18" s="138">
        <f>IF(OR(E109=0,P$3&lt;D109),0,E109*IF(G109=0,H109,MIN(H109,H109*(P$3-D109+1)/MAX(1,G109)))*(1+F109)^(P$3-D109)*$E93)</f>
        <v/>
      </c>
      <c r="Q18" s="138">
        <f>IF(OR(E109=0,Q$3&lt;D109),0,E109*IF(G109=0,H109,MIN(H109,H109*(Q$3-D109+1)/MAX(1,G109)))*(1+F109)^(Q$3-D109)*$E93)</f>
        <v/>
      </c>
      <c r="R18" s="138">
        <f>IF(OR(E109=0,R$3&lt;D109),0,E109*IF(G109=0,H109,MIN(H109,H109*(R$3-D109+1)/MAX(1,G109)))*(1+F109)^(R$3-D109)*$E93)</f>
        <v/>
      </c>
      <c r="S18" s="138">
        <f>IF(OR(E109=0,S$3&lt;D109),0,E109*IF(G109=0,H109,MIN(H109,H109*(S$3-D109+1)/MAX(1,G109)))*(1+F109)^(S$3-D109)*$E93)</f>
        <v/>
      </c>
      <c r="T18" s="138">
        <f>IF(OR(E109=0,T$3&lt;D109),0,E109*IF(G109=0,H109,MIN(H109,H109*(T$3-D109+1)/MAX(1,G109)))*(1+F109)^(T$3-D109)*$E93)</f>
        <v/>
      </c>
      <c r="U18" s="138">
        <f>IF(OR(E109=0,U$3&lt;D109),0,E109*IF(G109=0,H109,MIN(H109,H109*(U$3-D109+1)/MAX(1,G109)))*(1+F109)^(U$3-D109)*$E93)</f>
        <v/>
      </c>
      <c r="V18" s="138">
        <f>IF(OR(E109=0,V$3&lt;D109),0,E109*IF(G109=0,H109,MIN(H109,H109*(V$3-D109+1)/MAX(1,G109)))*(1+F109)^(V$3-D109)*$E93)</f>
        <v/>
      </c>
      <c r="W18" s="138">
        <f>IF(OR(E109=0,W$3&lt;D109),0,E109*IF(G109=0,H109,MIN(H109,H109*(W$3-D109+1)/MAX(1,G109)))*(1+F109)^(W$3-D109)*$E93)</f>
        <v/>
      </c>
      <c r="X18" s="138">
        <f>IF(OR(E109=0,X$3&lt;D109),0,E109*IF(G109=0,H109,MIN(H109,H109*(X$3-D109+1)/MAX(1,G109)))*(1+F109)^(X$3-D109)*$E93)</f>
        <v/>
      </c>
      <c r="Y18" s="138">
        <f>IF(OR(E109=0,Y$3&lt;D109),0,E109*IF(G109=0,H109,MIN(H109,H109*(Y$3-D109+1)/MAX(1,G109)))*(1+F109)^(Y$3-D109)*$E93)</f>
        <v/>
      </c>
      <c r="Z18" s="138">
        <f>IF(OR(E109=0,Z$3&lt;D109),0,E109*IF(G109=0,H109,MIN(H109,H109*(Z$3-D109+1)/MAX(1,G109)))*(1+F109)^(Z$3-D109)*$E93)</f>
        <v/>
      </c>
      <c r="AA18" s="138">
        <f>IF(OR(E109=0,AA$3&lt;D109),0,E109*IF(G109=0,H109,MIN(H109,H109*(AA$3-D109+1)/MAX(1,G109)))*(1+F109)^(AA$3-D109)*$E93)</f>
        <v/>
      </c>
      <c r="AB18" s="138">
        <f>IF(OR(E109=0,AB$3&lt;D109),0,E109*IF(G109=0,H109,MIN(H109,H109*(AB$3-D109+1)/MAX(1,G109)))*(1+F109)^(AB$3-D109)*$E93)</f>
        <v/>
      </c>
      <c r="AC18" s="138">
        <f>IF(OR(E109=0,AC$3&lt;D109),0,E109*IF(G109=0,H109,MIN(H109,H109*(AC$3-D109+1)/MAX(1,G109)))*(1+F109)^(AC$3-D109)*$E93)</f>
        <v/>
      </c>
      <c r="AD18" s="138">
        <f>IF(OR(E109=0,AD$3&lt;D109),0,E109*IF(G109=0,H109,MIN(H109,H109*(AD$3-D109+1)/MAX(1,G109)))*(1+F109)^(AD$3-D109)*$E93)</f>
        <v/>
      </c>
      <c r="AE18" s="138">
        <f>IF(OR(E109=0,AE$3&lt;D109),0,E109*IF(G109=0,H109,MIN(H109,H109*(AE$3-D109+1)/MAX(1,G109)))*(1+F109)^(AE$3-D109)*$E93)</f>
        <v/>
      </c>
      <c r="AF18" s="138">
        <f>IF(OR(E109=0,AF$3&lt;D109),0,E109*IF(G109=0,H109,MIN(H109,H109*(AF$3-D109+1)/MAX(1,G109)))*(1+F109)^(AF$3-D109)*$E93)</f>
        <v/>
      </c>
      <c r="AG18" s="138">
        <f>IF(OR(E109=0,AG$3&lt;D109),0,E109*IF(G109=0,H109,MIN(H109,H109*(AG$3-D109+1)/MAX(1,G109)))*(1+F109)^(AG$3-D109)*$E93)</f>
        <v/>
      </c>
      <c r="AH18" s="138">
        <f>IF(OR(E109=0,AH$3&lt;D109),0,E109*IF(G109=0,H109,MIN(H109,H109*(AH$3-D109+1)/MAX(1,G109)))*(1+F109)^(AH$3-D109)*$E93)</f>
        <v/>
      </c>
      <c r="AI18" s="138">
        <f>IF(OR(E109=0,AI$3&lt;D109),0,E109*IF(G109=0,H109,MIN(H109,H109*(AI$3-D109+1)/MAX(1,G109)))*(1+F109)^(AI$3-D109)*$E93)</f>
        <v/>
      </c>
      <c r="AJ18" s="138">
        <f>IF(OR(E109=0,AJ$3&lt;D109),0,E109*IF(G109=0,H109,MIN(H109,H109*(AJ$3-D109+1)/MAX(1,G109)))*(1+F109)^(AJ$3-D109)*$E93)</f>
        <v/>
      </c>
      <c r="AK18" s="138">
        <f>IF(OR(E109=0,AK$3&lt;D109),0,E109*IF(G109=0,H109,MIN(H109,H109*(AK$3-D109+1)/MAX(1,G109)))*(1+F109)^(AK$3-D109)*$E93)</f>
        <v/>
      </c>
      <c r="AL18" s="138">
        <f>IF(OR(E109=0,AL$3&lt;D109),0,E109*IF(G109=0,H109,MIN(H109,H109*(AL$3-D109+1)/MAX(1,G109)))*(1+F109)^(AL$3-D109)*$E93)</f>
        <v/>
      </c>
      <c r="AM18" s="138">
        <f>IF(OR(E109=0,AM$3&lt;D109),0,E109*IF(G109=0,H109,MIN(H109,H109*(AM$3-D109+1)/MAX(1,G109)))*(1+F109)^(AM$3-D109)*$E93)</f>
        <v/>
      </c>
      <c r="AN18" s="138">
        <f>IF(OR(E109=0,AN$3&lt;D109),0,E109*IF(G109=0,H109,MIN(H109,H109*(AN$3-D109+1)/MAX(1,G109)))*(1+F109)^(AN$3-D109)*$E93)</f>
        <v/>
      </c>
      <c r="AO18" s="138">
        <f>IF(OR(E109=0,AO$3&lt;D109),0,E109*IF(G109=0,H109,MIN(H109,H109*(AO$3-D109+1)/MAX(1,G109)))*(1+F109)^(AO$3-D109)*$E93)</f>
        <v/>
      </c>
      <c r="AP18" s="138">
        <f>IF(OR(E109=0,AP$3&lt;D109),0,E109*IF(G109=0,H109,MIN(H109,H109*(AP$3-D109+1)/MAX(1,G109)))*(1+F109)^(AP$3-D109)*$E93)</f>
        <v/>
      </c>
      <c r="AQ18" s="138">
        <f>IF(OR(E109=0,AQ$3&lt;D109),0,E109*IF(G109=0,H109,MIN(H109,H109*(AQ$3-D109+1)/MAX(1,G109)))*(1+F109)^(AQ$3-D109)*$E93)</f>
        <v/>
      </c>
      <c r="AR18" s="138">
        <f>IF(OR(E109=0,AR$3&lt;D109),0,E109*IF(G109=0,H109,MIN(H109,H109*(AR$3-D109+1)/MAX(1,G109)))*(1+F109)^(AR$3-D109)*$E93)</f>
        <v/>
      </c>
      <c r="AS18" s="138">
        <f>IF(OR(E109=0,AS$3&lt;D109),0,E109*IF(G109=0,H109,MIN(H109,H109*(AS$3-D109+1)/MAX(1,G109)))*(1+F109)^(AS$3-D109)*$E93)</f>
        <v/>
      </c>
      <c r="AT18" s="138">
        <f>IF(OR(E109=0,AT$3&lt;D109),0,E109*IF(G109=0,H109,MIN(H109,H109*(AT$3-D109+1)/MAX(1,G109)))*(1+F109)^(AT$3-D109)*$E93)</f>
        <v/>
      </c>
      <c r="AU18" s="138">
        <f>IF(OR(E109=0,AU$3&lt;D109),0,E109*IF(G109=0,H109,MIN(H109,H109*(AU$3-D109+1)/MAX(1,G109)))*(1+F109)^(AU$3-D109)*$E93)</f>
        <v/>
      </c>
      <c r="AV18" s="138">
        <f>IF(OR(E109=0,AV$3&lt;D109),0,E109*IF(G109=0,H109,MIN(H109,H109*(AV$3-D109+1)/MAX(1,G109)))*(1+F109)^(AV$3-D109)*$E93)</f>
        <v/>
      </c>
      <c r="AW18" s="138">
        <f>IF(OR(E109=0,AW$3&lt;D109),0,E109*IF(G109=0,H109,MIN(H109,H109*(AW$3-D109+1)/MAX(1,G109)))*(1+F109)^(AW$3-D109)*$E93)</f>
        <v/>
      </c>
      <c r="AX18" s="138">
        <f>IF(OR(E109=0,AX$3&lt;D109),0,E109*IF(G109=0,H109,MIN(H109,H109*(AX$3-D109+1)/MAX(1,G109)))*(1+F109)^(AX$3-D109)*$E93)</f>
        <v/>
      </c>
      <c r="AY18" s="138">
        <f>IF(OR(E109=0,AY$3&lt;D109),0,E109*IF(G109=0,H109,MIN(H109,H109*(AY$3-D109+1)/MAX(1,G109)))*(1+F109)^(AY$3-D109)*$E93)</f>
        <v/>
      </c>
      <c r="AZ18" s="138">
        <f>IF(OR(E109=0,AZ$3&lt;D109),0,E109*IF(G109=0,H109,MIN(H109,H109*(AZ$3-D109+1)/MAX(1,G109)))*(1+F109)^(AZ$3-D109)*$E93)</f>
        <v/>
      </c>
      <c r="BA18" s="138">
        <f>IF(OR(E109=0,BA$3&lt;D109),0,E109*IF(G109=0,H109,MIN(H109,H109*(BA$3-D109+1)/MAX(1,G109)))*(1+F109)^(BA$3-D109)*$E93)</f>
        <v/>
      </c>
      <c r="BB18" s="138">
        <f>IF(OR(E109=0,BB$3&lt;D109),0,E109*IF(G109=0,H109,MIN(H109,H109*(BB$3-D109+1)/MAX(1,G109)))*(1+F109)^(BB$3-D109)*$E93)</f>
        <v/>
      </c>
    </row>
    <row r="19" ht="15" customHeight="1" s="91">
      <c r="A19" s="138">
        <f>A110</f>
        <v/>
      </c>
      <c r="B19" s="138">
        <f>B110</f>
        <v/>
      </c>
      <c r="C19" s="138">
        <f>C110</f>
        <v/>
      </c>
      <c r="D19" s="138">
        <f>SUM(E19:BB19)</f>
        <v/>
      </c>
      <c r="E19" s="138">
        <f>IF(OR(E110=0,E$3&lt;D110),0,E110*IF(G110=0,H110,MIN(H110,H110*(E$3-D110+1)/MAX(1,G110)))*(1+F110)^(E$3-D110)*$E93)</f>
        <v/>
      </c>
      <c r="F19" s="138">
        <f>IF(OR(E110=0,F$3&lt;D110),0,E110*IF(G110=0,H110,MIN(H110,H110*(F$3-D110+1)/MAX(1,G110)))*(1+F110)^(F$3-D110)*$E93)</f>
        <v/>
      </c>
      <c r="G19" s="138">
        <f>IF(OR(E110=0,G$3&lt;D110),0,E110*IF(G110=0,H110,MIN(H110,H110*(G$3-D110+1)/MAX(1,G110)))*(1+F110)^(G$3-D110)*$E93)</f>
        <v/>
      </c>
      <c r="H19" s="138">
        <f>IF(OR(E110=0,H$3&lt;D110),0,E110*IF(G110=0,H110,MIN(H110,H110*(H$3-D110+1)/MAX(1,G110)))*(1+F110)^(H$3-D110)*$E93)</f>
        <v/>
      </c>
      <c r="I19" s="138">
        <f>IF(OR(E110=0,I$3&lt;D110),0,E110*IF(G110=0,H110,MIN(H110,H110*(I$3-D110+1)/MAX(1,G110)))*(1+F110)^(I$3-D110)*$E93)</f>
        <v/>
      </c>
      <c r="J19" s="138">
        <f>IF(OR(E110=0,J$3&lt;D110),0,E110*IF(G110=0,H110,MIN(H110,H110*(J$3-D110+1)/MAX(1,G110)))*(1+F110)^(J$3-D110)*$E93)</f>
        <v/>
      </c>
      <c r="K19" s="138">
        <f>IF(OR(E110=0,K$3&lt;D110),0,E110*IF(G110=0,H110,MIN(H110,H110*(K$3-D110+1)/MAX(1,G110)))*(1+F110)^(K$3-D110)*$E93)</f>
        <v/>
      </c>
      <c r="L19" s="138">
        <f>IF(OR(E110=0,L$3&lt;D110),0,E110*IF(G110=0,H110,MIN(H110,H110*(L$3-D110+1)/MAX(1,G110)))*(1+F110)^(L$3-D110)*$E93)</f>
        <v/>
      </c>
      <c r="M19" s="138">
        <f>IF(OR(E110=0,M$3&lt;D110),0,E110*IF(G110=0,H110,MIN(H110,H110*(M$3-D110+1)/MAX(1,G110)))*(1+F110)^(M$3-D110)*$E93)</f>
        <v/>
      </c>
      <c r="N19" s="138">
        <f>IF(OR(E110=0,N$3&lt;D110),0,E110*IF(G110=0,H110,MIN(H110,H110*(N$3-D110+1)/MAX(1,G110)))*(1+F110)^(N$3-D110)*$E93)</f>
        <v/>
      </c>
      <c r="O19" s="138">
        <f>IF(OR(E110=0,O$3&lt;D110),0,E110*IF(G110=0,H110,MIN(H110,H110*(O$3-D110+1)/MAX(1,G110)))*(1+F110)^(O$3-D110)*$E93)</f>
        <v/>
      </c>
      <c r="P19" s="138">
        <f>IF(OR(E110=0,P$3&lt;D110),0,E110*IF(G110=0,H110,MIN(H110,H110*(P$3-D110+1)/MAX(1,G110)))*(1+F110)^(P$3-D110)*$E93)</f>
        <v/>
      </c>
      <c r="Q19" s="138">
        <f>IF(OR(E110=0,Q$3&lt;D110),0,E110*IF(G110=0,H110,MIN(H110,H110*(Q$3-D110+1)/MAX(1,G110)))*(1+F110)^(Q$3-D110)*$E93)</f>
        <v/>
      </c>
      <c r="R19" s="138">
        <f>IF(OR(E110=0,R$3&lt;D110),0,E110*IF(G110=0,H110,MIN(H110,H110*(R$3-D110+1)/MAX(1,G110)))*(1+F110)^(R$3-D110)*$E93)</f>
        <v/>
      </c>
      <c r="S19" s="138">
        <f>IF(OR(E110=0,S$3&lt;D110),0,E110*IF(G110=0,H110,MIN(H110,H110*(S$3-D110+1)/MAX(1,G110)))*(1+F110)^(S$3-D110)*$E93)</f>
        <v/>
      </c>
      <c r="T19" s="138">
        <f>IF(OR(E110=0,T$3&lt;D110),0,E110*IF(G110=0,H110,MIN(H110,H110*(T$3-D110+1)/MAX(1,G110)))*(1+F110)^(T$3-D110)*$E93)</f>
        <v/>
      </c>
      <c r="U19" s="138">
        <f>IF(OR(E110=0,U$3&lt;D110),0,E110*IF(G110=0,H110,MIN(H110,H110*(U$3-D110+1)/MAX(1,G110)))*(1+F110)^(U$3-D110)*$E93)</f>
        <v/>
      </c>
      <c r="V19" s="138">
        <f>IF(OR(E110=0,V$3&lt;D110),0,E110*IF(G110=0,H110,MIN(H110,H110*(V$3-D110+1)/MAX(1,G110)))*(1+F110)^(V$3-D110)*$E93)</f>
        <v/>
      </c>
      <c r="W19" s="138">
        <f>IF(OR(E110=0,W$3&lt;D110),0,E110*IF(G110=0,H110,MIN(H110,H110*(W$3-D110+1)/MAX(1,G110)))*(1+F110)^(W$3-D110)*$E93)</f>
        <v/>
      </c>
      <c r="X19" s="138">
        <f>IF(OR(E110=0,X$3&lt;D110),0,E110*IF(G110=0,H110,MIN(H110,H110*(X$3-D110+1)/MAX(1,G110)))*(1+F110)^(X$3-D110)*$E93)</f>
        <v/>
      </c>
      <c r="Y19" s="138">
        <f>IF(OR(E110=0,Y$3&lt;D110),0,E110*IF(G110=0,H110,MIN(H110,H110*(Y$3-D110+1)/MAX(1,G110)))*(1+F110)^(Y$3-D110)*$E93)</f>
        <v/>
      </c>
      <c r="Z19" s="138">
        <f>IF(OR(E110=0,Z$3&lt;D110),0,E110*IF(G110=0,H110,MIN(H110,H110*(Z$3-D110+1)/MAX(1,G110)))*(1+F110)^(Z$3-D110)*$E93)</f>
        <v/>
      </c>
      <c r="AA19" s="138">
        <f>IF(OR(E110=0,AA$3&lt;D110),0,E110*IF(G110=0,H110,MIN(H110,H110*(AA$3-D110+1)/MAX(1,G110)))*(1+F110)^(AA$3-D110)*$E93)</f>
        <v/>
      </c>
      <c r="AB19" s="138">
        <f>IF(OR(E110=0,AB$3&lt;D110),0,E110*IF(G110=0,H110,MIN(H110,H110*(AB$3-D110+1)/MAX(1,G110)))*(1+F110)^(AB$3-D110)*$E93)</f>
        <v/>
      </c>
      <c r="AC19" s="138">
        <f>IF(OR(E110=0,AC$3&lt;D110),0,E110*IF(G110=0,H110,MIN(H110,H110*(AC$3-D110+1)/MAX(1,G110)))*(1+F110)^(AC$3-D110)*$E93)</f>
        <v/>
      </c>
      <c r="AD19" s="138">
        <f>IF(OR(E110=0,AD$3&lt;D110),0,E110*IF(G110=0,H110,MIN(H110,H110*(AD$3-D110+1)/MAX(1,G110)))*(1+F110)^(AD$3-D110)*$E93)</f>
        <v/>
      </c>
      <c r="AE19" s="138">
        <f>IF(OR(E110=0,AE$3&lt;D110),0,E110*IF(G110=0,H110,MIN(H110,H110*(AE$3-D110+1)/MAX(1,G110)))*(1+F110)^(AE$3-D110)*$E93)</f>
        <v/>
      </c>
      <c r="AF19" s="138">
        <f>IF(OR(E110=0,AF$3&lt;D110),0,E110*IF(G110=0,H110,MIN(H110,H110*(AF$3-D110+1)/MAX(1,G110)))*(1+F110)^(AF$3-D110)*$E93)</f>
        <v/>
      </c>
      <c r="AG19" s="138">
        <f>IF(OR(E110=0,AG$3&lt;D110),0,E110*IF(G110=0,H110,MIN(H110,H110*(AG$3-D110+1)/MAX(1,G110)))*(1+F110)^(AG$3-D110)*$E93)</f>
        <v/>
      </c>
      <c r="AH19" s="138">
        <f>IF(OR(E110=0,AH$3&lt;D110),0,E110*IF(G110=0,H110,MIN(H110,H110*(AH$3-D110+1)/MAX(1,G110)))*(1+F110)^(AH$3-D110)*$E93)</f>
        <v/>
      </c>
      <c r="AI19" s="138">
        <f>IF(OR(E110=0,AI$3&lt;D110),0,E110*IF(G110=0,H110,MIN(H110,H110*(AI$3-D110+1)/MAX(1,G110)))*(1+F110)^(AI$3-D110)*$E93)</f>
        <v/>
      </c>
      <c r="AJ19" s="138">
        <f>IF(OR(E110=0,AJ$3&lt;D110),0,E110*IF(G110=0,H110,MIN(H110,H110*(AJ$3-D110+1)/MAX(1,G110)))*(1+F110)^(AJ$3-D110)*$E93)</f>
        <v/>
      </c>
      <c r="AK19" s="138">
        <f>IF(OR(E110=0,AK$3&lt;D110),0,E110*IF(G110=0,H110,MIN(H110,H110*(AK$3-D110+1)/MAX(1,G110)))*(1+F110)^(AK$3-D110)*$E93)</f>
        <v/>
      </c>
      <c r="AL19" s="138">
        <f>IF(OR(E110=0,AL$3&lt;D110),0,E110*IF(G110=0,H110,MIN(H110,H110*(AL$3-D110+1)/MAX(1,G110)))*(1+F110)^(AL$3-D110)*$E93)</f>
        <v/>
      </c>
      <c r="AM19" s="138">
        <f>IF(OR(E110=0,AM$3&lt;D110),0,E110*IF(G110=0,H110,MIN(H110,H110*(AM$3-D110+1)/MAX(1,G110)))*(1+F110)^(AM$3-D110)*$E93)</f>
        <v/>
      </c>
      <c r="AN19" s="138">
        <f>IF(OR(E110=0,AN$3&lt;D110),0,E110*IF(G110=0,H110,MIN(H110,H110*(AN$3-D110+1)/MAX(1,G110)))*(1+F110)^(AN$3-D110)*$E93)</f>
        <v/>
      </c>
      <c r="AO19" s="138">
        <f>IF(OR(E110=0,AO$3&lt;D110),0,E110*IF(G110=0,H110,MIN(H110,H110*(AO$3-D110+1)/MAX(1,G110)))*(1+F110)^(AO$3-D110)*$E93)</f>
        <v/>
      </c>
      <c r="AP19" s="138">
        <f>IF(OR(E110=0,AP$3&lt;D110),0,E110*IF(G110=0,H110,MIN(H110,H110*(AP$3-D110+1)/MAX(1,G110)))*(1+F110)^(AP$3-D110)*$E93)</f>
        <v/>
      </c>
      <c r="AQ19" s="138">
        <f>IF(OR(E110=0,AQ$3&lt;D110),0,E110*IF(G110=0,H110,MIN(H110,H110*(AQ$3-D110+1)/MAX(1,G110)))*(1+F110)^(AQ$3-D110)*$E93)</f>
        <v/>
      </c>
      <c r="AR19" s="138">
        <f>IF(OR(E110=0,AR$3&lt;D110),0,E110*IF(G110=0,H110,MIN(H110,H110*(AR$3-D110+1)/MAX(1,G110)))*(1+F110)^(AR$3-D110)*$E93)</f>
        <v/>
      </c>
      <c r="AS19" s="138">
        <f>IF(OR(E110=0,AS$3&lt;D110),0,E110*IF(G110=0,H110,MIN(H110,H110*(AS$3-D110+1)/MAX(1,G110)))*(1+F110)^(AS$3-D110)*$E93)</f>
        <v/>
      </c>
      <c r="AT19" s="138">
        <f>IF(OR(E110=0,AT$3&lt;D110),0,E110*IF(G110=0,H110,MIN(H110,H110*(AT$3-D110+1)/MAX(1,G110)))*(1+F110)^(AT$3-D110)*$E93)</f>
        <v/>
      </c>
      <c r="AU19" s="138">
        <f>IF(OR(E110=0,AU$3&lt;D110),0,E110*IF(G110=0,H110,MIN(H110,H110*(AU$3-D110+1)/MAX(1,G110)))*(1+F110)^(AU$3-D110)*$E93)</f>
        <v/>
      </c>
      <c r="AV19" s="138">
        <f>IF(OR(E110=0,AV$3&lt;D110),0,E110*IF(G110=0,H110,MIN(H110,H110*(AV$3-D110+1)/MAX(1,G110)))*(1+F110)^(AV$3-D110)*$E93)</f>
        <v/>
      </c>
      <c r="AW19" s="138">
        <f>IF(OR(E110=0,AW$3&lt;D110),0,E110*IF(G110=0,H110,MIN(H110,H110*(AW$3-D110+1)/MAX(1,G110)))*(1+F110)^(AW$3-D110)*$E93)</f>
        <v/>
      </c>
      <c r="AX19" s="138">
        <f>IF(OR(E110=0,AX$3&lt;D110),0,E110*IF(G110=0,H110,MIN(H110,H110*(AX$3-D110+1)/MAX(1,G110)))*(1+F110)^(AX$3-D110)*$E93)</f>
        <v/>
      </c>
      <c r="AY19" s="138">
        <f>IF(OR(E110=0,AY$3&lt;D110),0,E110*IF(G110=0,H110,MIN(H110,H110*(AY$3-D110+1)/MAX(1,G110)))*(1+F110)^(AY$3-D110)*$E93)</f>
        <v/>
      </c>
      <c r="AZ19" s="138">
        <f>IF(OR(E110=0,AZ$3&lt;D110),0,E110*IF(G110=0,H110,MIN(H110,H110*(AZ$3-D110+1)/MAX(1,G110)))*(1+F110)^(AZ$3-D110)*$E93)</f>
        <v/>
      </c>
      <c r="BA19" s="138">
        <f>IF(OR(E110=0,BA$3&lt;D110),0,E110*IF(G110=0,H110,MIN(H110,H110*(BA$3-D110+1)/MAX(1,G110)))*(1+F110)^(BA$3-D110)*$E93)</f>
        <v/>
      </c>
      <c r="BB19" s="138">
        <f>IF(OR(E110=0,BB$3&lt;D110),0,E110*IF(G110=0,H110,MIN(H110,H110*(BB$3-D110+1)/MAX(1,G110)))*(1+F110)^(BB$3-D110)*$E93)</f>
        <v/>
      </c>
    </row>
    <row r="20" ht="15" customHeight="1" s="91">
      <c r="A20" s="138">
        <f>A111</f>
        <v/>
      </c>
      <c r="B20" s="138">
        <f>B111</f>
        <v/>
      </c>
      <c r="C20" s="138">
        <f>C111</f>
        <v/>
      </c>
      <c r="D20" s="138">
        <f>SUM(E20:BB20)</f>
        <v/>
      </c>
      <c r="E20" s="138">
        <f>IF(OR(E111=0,E$3&lt;D111),0,E111*IF(G111=0,H111,MIN(H111,H111*(E$3-D111+1)/MAX(1,G111)))*(1+F111)^(E$3-D111)*$E93)</f>
        <v/>
      </c>
      <c r="F20" s="138">
        <f>IF(OR(E111=0,F$3&lt;D111),0,E111*IF(G111=0,H111,MIN(H111,H111*(F$3-D111+1)/MAX(1,G111)))*(1+F111)^(F$3-D111)*$E93)</f>
        <v/>
      </c>
      <c r="G20" s="138">
        <f>IF(OR(E111=0,G$3&lt;D111),0,E111*IF(G111=0,H111,MIN(H111,H111*(G$3-D111+1)/MAX(1,G111)))*(1+F111)^(G$3-D111)*$E93)</f>
        <v/>
      </c>
      <c r="H20" s="138">
        <f>IF(OR(E111=0,H$3&lt;D111),0,E111*IF(G111=0,H111,MIN(H111,H111*(H$3-D111+1)/MAX(1,G111)))*(1+F111)^(H$3-D111)*$E93)</f>
        <v/>
      </c>
      <c r="I20" s="138">
        <f>IF(OR(E111=0,I$3&lt;D111),0,E111*IF(G111=0,H111,MIN(H111,H111*(I$3-D111+1)/MAX(1,G111)))*(1+F111)^(I$3-D111)*$E93)</f>
        <v/>
      </c>
      <c r="J20" s="138">
        <f>IF(OR(E111=0,J$3&lt;D111),0,E111*IF(G111=0,H111,MIN(H111,H111*(J$3-D111+1)/MAX(1,G111)))*(1+F111)^(J$3-D111)*$E93)</f>
        <v/>
      </c>
      <c r="K20" s="138">
        <f>IF(OR(E111=0,K$3&lt;D111),0,E111*IF(G111=0,H111,MIN(H111,H111*(K$3-D111+1)/MAX(1,G111)))*(1+F111)^(K$3-D111)*$E93)</f>
        <v/>
      </c>
      <c r="L20" s="138">
        <f>IF(OR(E111=0,L$3&lt;D111),0,E111*IF(G111=0,H111,MIN(H111,H111*(L$3-D111+1)/MAX(1,G111)))*(1+F111)^(L$3-D111)*$E93)</f>
        <v/>
      </c>
      <c r="M20" s="138">
        <f>IF(OR(E111=0,M$3&lt;D111),0,E111*IF(G111=0,H111,MIN(H111,H111*(M$3-D111+1)/MAX(1,G111)))*(1+F111)^(M$3-D111)*$E93)</f>
        <v/>
      </c>
      <c r="N20" s="138">
        <f>IF(OR(E111=0,N$3&lt;D111),0,E111*IF(G111=0,H111,MIN(H111,H111*(N$3-D111+1)/MAX(1,G111)))*(1+F111)^(N$3-D111)*$E93)</f>
        <v/>
      </c>
      <c r="O20" s="138">
        <f>IF(OR(E111=0,O$3&lt;D111),0,E111*IF(G111=0,H111,MIN(H111,H111*(O$3-D111+1)/MAX(1,G111)))*(1+F111)^(O$3-D111)*$E93)</f>
        <v/>
      </c>
      <c r="P20" s="138">
        <f>IF(OR(E111=0,P$3&lt;D111),0,E111*IF(G111=0,H111,MIN(H111,H111*(P$3-D111+1)/MAX(1,G111)))*(1+F111)^(P$3-D111)*$E93)</f>
        <v/>
      </c>
      <c r="Q20" s="138">
        <f>IF(OR(E111=0,Q$3&lt;D111),0,E111*IF(G111=0,H111,MIN(H111,H111*(Q$3-D111+1)/MAX(1,G111)))*(1+F111)^(Q$3-D111)*$E93)</f>
        <v/>
      </c>
      <c r="R20" s="138">
        <f>IF(OR(E111=0,R$3&lt;D111),0,E111*IF(G111=0,H111,MIN(H111,H111*(R$3-D111+1)/MAX(1,G111)))*(1+F111)^(R$3-D111)*$E93)</f>
        <v/>
      </c>
      <c r="S20" s="138">
        <f>IF(OR(E111=0,S$3&lt;D111),0,E111*IF(G111=0,H111,MIN(H111,H111*(S$3-D111+1)/MAX(1,G111)))*(1+F111)^(S$3-D111)*$E93)</f>
        <v/>
      </c>
      <c r="T20" s="138">
        <f>IF(OR(E111=0,T$3&lt;D111),0,E111*IF(G111=0,H111,MIN(H111,H111*(T$3-D111+1)/MAX(1,G111)))*(1+F111)^(T$3-D111)*$E93)</f>
        <v/>
      </c>
      <c r="U20" s="138">
        <f>IF(OR(E111=0,U$3&lt;D111),0,E111*IF(G111=0,H111,MIN(H111,H111*(U$3-D111+1)/MAX(1,G111)))*(1+F111)^(U$3-D111)*$E93)</f>
        <v/>
      </c>
      <c r="V20" s="138">
        <f>IF(OR(E111=0,V$3&lt;D111),0,E111*IF(G111=0,H111,MIN(H111,H111*(V$3-D111+1)/MAX(1,G111)))*(1+F111)^(V$3-D111)*$E93)</f>
        <v/>
      </c>
      <c r="W20" s="138">
        <f>IF(OR(E111=0,W$3&lt;D111),0,E111*IF(G111=0,H111,MIN(H111,H111*(W$3-D111+1)/MAX(1,G111)))*(1+F111)^(W$3-D111)*$E93)</f>
        <v/>
      </c>
      <c r="X20" s="138">
        <f>IF(OR(E111=0,X$3&lt;D111),0,E111*IF(G111=0,H111,MIN(H111,H111*(X$3-D111+1)/MAX(1,G111)))*(1+F111)^(X$3-D111)*$E93)</f>
        <v/>
      </c>
      <c r="Y20" s="138">
        <f>IF(OR(E111=0,Y$3&lt;D111),0,E111*IF(G111=0,H111,MIN(H111,H111*(Y$3-D111+1)/MAX(1,G111)))*(1+F111)^(Y$3-D111)*$E93)</f>
        <v/>
      </c>
      <c r="Z20" s="138">
        <f>IF(OR(E111=0,Z$3&lt;D111),0,E111*IF(G111=0,H111,MIN(H111,H111*(Z$3-D111+1)/MAX(1,G111)))*(1+F111)^(Z$3-D111)*$E93)</f>
        <v/>
      </c>
      <c r="AA20" s="138">
        <f>IF(OR(E111=0,AA$3&lt;D111),0,E111*IF(G111=0,H111,MIN(H111,H111*(AA$3-D111+1)/MAX(1,G111)))*(1+F111)^(AA$3-D111)*$E93)</f>
        <v/>
      </c>
      <c r="AB20" s="138">
        <f>IF(OR(E111=0,AB$3&lt;D111),0,E111*IF(G111=0,H111,MIN(H111,H111*(AB$3-D111+1)/MAX(1,G111)))*(1+F111)^(AB$3-D111)*$E93)</f>
        <v/>
      </c>
      <c r="AC20" s="138">
        <f>IF(OR(E111=0,AC$3&lt;D111),0,E111*IF(G111=0,H111,MIN(H111,H111*(AC$3-D111+1)/MAX(1,G111)))*(1+F111)^(AC$3-D111)*$E93)</f>
        <v/>
      </c>
      <c r="AD20" s="138">
        <f>IF(OR(E111=0,AD$3&lt;D111),0,E111*IF(G111=0,H111,MIN(H111,H111*(AD$3-D111+1)/MAX(1,G111)))*(1+F111)^(AD$3-D111)*$E93)</f>
        <v/>
      </c>
      <c r="AE20" s="138">
        <f>IF(OR(E111=0,AE$3&lt;D111),0,E111*IF(G111=0,H111,MIN(H111,H111*(AE$3-D111+1)/MAX(1,G111)))*(1+F111)^(AE$3-D111)*$E93)</f>
        <v/>
      </c>
      <c r="AF20" s="138">
        <f>IF(OR(E111=0,AF$3&lt;D111),0,E111*IF(G111=0,H111,MIN(H111,H111*(AF$3-D111+1)/MAX(1,G111)))*(1+F111)^(AF$3-D111)*$E93)</f>
        <v/>
      </c>
      <c r="AG20" s="138">
        <f>IF(OR(E111=0,AG$3&lt;D111),0,E111*IF(G111=0,H111,MIN(H111,H111*(AG$3-D111+1)/MAX(1,G111)))*(1+F111)^(AG$3-D111)*$E93)</f>
        <v/>
      </c>
      <c r="AH20" s="138">
        <f>IF(OR(E111=0,AH$3&lt;D111),0,E111*IF(G111=0,H111,MIN(H111,H111*(AH$3-D111+1)/MAX(1,G111)))*(1+F111)^(AH$3-D111)*$E93)</f>
        <v/>
      </c>
      <c r="AI20" s="138">
        <f>IF(OR(E111=0,AI$3&lt;D111),0,E111*IF(G111=0,H111,MIN(H111,H111*(AI$3-D111+1)/MAX(1,G111)))*(1+F111)^(AI$3-D111)*$E93)</f>
        <v/>
      </c>
      <c r="AJ20" s="138">
        <f>IF(OR(E111=0,AJ$3&lt;D111),0,E111*IF(G111=0,H111,MIN(H111,H111*(AJ$3-D111+1)/MAX(1,G111)))*(1+F111)^(AJ$3-D111)*$E93)</f>
        <v/>
      </c>
      <c r="AK20" s="138">
        <f>IF(OR(E111=0,AK$3&lt;D111),0,E111*IF(G111=0,H111,MIN(H111,H111*(AK$3-D111+1)/MAX(1,G111)))*(1+F111)^(AK$3-D111)*$E93)</f>
        <v/>
      </c>
      <c r="AL20" s="138">
        <f>IF(OR(E111=0,AL$3&lt;D111),0,E111*IF(G111=0,H111,MIN(H111,H111*(AL$3-D111+1)/MAX(1,G111)))*(1+F111)^(AL$3-D111)*$E93)</f>
        <v/>
      </c>
      <c r="AM20" s="138">
        <f>IF(OR(E111=0,AM$3&lt;D111),0,E111*IF(G111=0,H111,MIN(H111,H111*(AM$3-D111+1)/MAX(1,G111)))*(1+F111)^(AM$3-D111)*$E93)</f>
        <v/>
      </c>
      <c r="AN20" s="138">
        <f>IF(OR(E111=0,AN$3&lt;D111),0,E111*IF(G111=0,H111,MIN(H111,H111*(AN$3-D111+1)/MAX(1,G111)))*(1+F111)^(AN$3-D111)*$E93)</f>
        <v/>
      </c>
      <c r="AO20" s="138">
        <f>IF(OR(E111=0,AO$3&lt;D111),0,E111*IF(G111=0,H111,MIN(H111,H111*(AO$3-D111+1)/MAX(1,G111)))*(1+F111)^(AO$3-D111)*$E93)</f>
        <v/>
      </c>
      <c r="AP20" s="138">
        <f>IF(OR(E111=0,AP$3&lt;D111),0,E111*IF(G111=0,H111,MIN(H111,H111*(AP$3-D111+1)/MAX(1,G111)))*(1+F111)^(AP$3-D111)*$E93)</f>
        <v/>
      </c>
      <c r="AQ20" s="138">
        <f>IF(OR(E111=0,AQ$3&lt;D111),0,E111*IF(G111=0,H111,MIN(H111,H111*(AQ$3-D111+1)/MAX(1,G111)))*(1+F111)^(AQ$3-D111)*$E93)</f>
        <v/>
      </c>
      <c r="AR20" s="138">
        <f>IF(OR(E111=0,AR$3&lt;D111),0,E111*IF(G111=0,H111,MIN(H111,H111*(AR$3-D111+1)/MAX(1,G111)))*(1+F111)^(AR$3-D111)*$E93)</f>
        <v/>
      </c>
      <c r="AS20" s="138">
        <f>IF(OR(E111=0,AS$3&lt;D111),0,E111*IF(G111=0,H111,MIN(H111,H111*(AS$3-D111+1)/MAX(1,G111)))*(1+F111)^(AS$3-D111)*$E93)</f>
        <v/>
      </c>
      <c r="AT20" s="138">
        <f>IF(OR(E111=0,AT$3&lt;D111),0,E111*IF(G111=0,H111,MIN(H111,H111*(AT$3-D111+1)/MAX(1,G111)))*(1+F111)^(AT$3-D111)*$E93)</f>
        <v/>
      </c>
      <c r="AU20" s="138">
        <f>IF(OR(E111=0,AU$3&lt;D111),0,E111*IF(G111=0,H111,MIN(H111,H111*(AU$3-D111+1)/MAX(1,G111)))*(1+F111)^(AU$3-D111)*$E93)</f>
        <v/>
      </c>
      <c r="AV20" s="138">
        <f>IF(OR(E111=0,AV$3&lt;D111),0,E111*IF(G111=0,H111,MIN(H111,H111*(AV$3-D111+1)/MAX(1,G111)))*(1+F111)^(AV$3-D111)*$E93)</f>
        <v/>
      </c>
      <c r="AW20" s="138">
        <f>IF(OR(E111=0,AW$3&lt;D111),0,E111*IF(G111=0,H111,MIN(H111,H111*(AW$3-D111+1)/MAX(1,G111)))*(1+F111)^(AW$3-D111)*$E93)</f>
        <v/>
      </c>
      <c r="AX20" s="138">
        <f>IF(OR(E111=0,AX$3&lt;D111),0,E111*IF(G111=0,H111,MIN(H111,H111*(AX$3-D111+1)/MAX(1,G111)))*(1+F111)^(AX$3-D111)*$E93)</f>
        <v/>
      </c>
      <c r="AY20" s="138">
        <f>IF(OR(E111=0,AY$3&lt;D111),0,E111*IF(G111=0,H111,MIN(H111,H111*(AY$3-D111+1)/MAX(1,G111)))*(1+F111)^(AY$3-D111)*$E93)</f>
        <v/>
      </c>
      <c r="AZ20" s="138">
        <f>IF(OR(E111=0,AZ$3&lt;D111),0,E111*IF(G111=0,H111,MIN(H111,H111*(AZ$3-D111+1)/MAX(1,G111)))*(1+F111)^(AZ$3-D111)*$E93)</f>
        <v/>
      </c>
      <c r="BA20" s="138">
        <f>IF(OR(E111=0,BA$3&lt;D111),0,E111*IF(G111=0,H111,MIN(H111,H111*(BA$3-D111+1)/MAX(1,G111)))*(1+F111)^(BA$3-D111)*$E93)</f>
        <v/>
      </c>
      <c r="BB20" s="138">
        <f>IF(OR(E111=0,BB$3&lt;D111),0,E111*IF(G111=0,H111,MIN(H111,H111*(BB$3-D111+1)/MAX(1,G111)))*(1+F111)^(BB$3-D111)*$E93)</f>
        <v/>
      </c>
    </row>
    <row r="21" ht="15" customHeight="1" s="91">
      <c r="A21" s="138">
        <f>A112</f>
        <v/>
      </c>
      <c r="B21" s="138">
        <f>B112</f>
        <v/>
      </c>
      <c r="C21" s="138">
        <f>C112</f>
        <v/>
      </c>
      <c r="D21" s="138">
        <f>SUM(E21:BB21)</f>
        <v/>
      </c>
      <c r="E21" s="138">
        <f>IF(OR(E112=0,E$3&lt;D112),0,E112*IF(G112=0,H112,MIN(H112,H112*(E$3-D112+1)/MAX(1,G112)))*(1+F112)^(E$3-D112)*$E93)</f>
        <v/>
      </c>
      <c r="F21" s="138">
        <f>IF(OR(E112=0,F$3&lt;D112),0,E112*IF(G112=0,H112,MIN(H112,H112*(F$3-D112+1)/MAX(1,G112)))*(1+F112)^(F$3-D112)*$E93)</f>
        <v/>
      </c>
      <c r="G21" s="138">
        <f>IF(OR(E112=0,G$3&lt;D112),0,E112*IF(G112=0,H112,MIN(H112,H112*(G$3-D112+1)/MAX(1,G112)))*(1+F112)^(G$3-D112)*$E93)</f>
        <v/>
      </c>
      <c r="H21" s="138">
        <f>IF(OR(E112=0,H$3&lt;D112),0,E112*IF(G112=0,H112,MIN(H112,H112*(H$3-D112+1)/MAX(1,G112)))*(1+F112)^(H$3-D112)*$E93)</f>
        <v/>
      </c>
      <c r="I21" s="138">
        <f>IF(OR(E112=0,I$3&lt;D112),0,E112*IF(G112=0,H112,MIN(H112,H112*(I$3-D112+1)/MAX(1,G112)))*(1+F112)^(I$3-D112)*$E93)</f>
        <v/>
      </c>
      <c r="J21" s="138">
        <f>IF(OR(E112=0,J$3&lt;D112),0,E112*IF(G112=0,H112,MIN(H112,H112*(J$3-D112+1)/MAX(1,G112)))*(1+F112)^(J$3-D112)*$E93)</f>
        <v/>
      </c>
      <c r="K21" s="138">
        <f>IF(OR(E112=0,K$3&lt;D112),0,E112*IF(G112=0,H112,MIN(H112,H112*(K$3-D112+1)/MAX(1,G112)))*(1+F112)^(K$3-D112)*$E93)</f>
        <v/>
      </c>
      <c r="L21" s="138">
        <f>IF(OR(E112=0,L$3&lt;D112),0,E112*IF(G112=0,H112,MIN(H112,H112*(L$3-D112+1)/MAX(1,G112)))*(1+F112)^(L$3-D112)*$E93)</f>
        <v/>
      </c>
      <c r="M21" s="138">
        <f>IF(OR(E112=0,M$3&lt;D112),0,E112*IF(G112=0,H112,MIN(H112,H112*(M$3-D112+1)/MAX(1,G112)))*(1+F112)^(M$3-D112)*$E93)</f>
        <v/>
      </c>
      <c r="N21" s="138">
        <f>IF(OR(E112=0,N$3&lt;D112),0,E112*IF(G112=0,H112,MIN(H112,H112*(N$3-D112+1)/MAX(1,G112)))*(1+F112)^(N$3-D112)*$E93)</f>
        <v/>
      </c>
      <c r="O21" s="138">
        <f>IF(OR(E112=0,O$3&lt;D112),0,E112*IF(G112=0,H112,MIN(H112,H112*(O$3-D112+1)/MAX(1,G112)))*(1+F112)^(O$3-D112)*$E93)</f>
        <v/>
      </c>
      <c r="P21" s="138">
        <f>IF(OR(E112=0,P$3&lt;D112),0,E112*IF(G112=0,H112,MIN(H112,H112*(P$3-D112+1)/MAX(1,G112)))*(1+F112)^(P$3-D112)*$E93)</f>
        <v/>
      </c>
      <c r="Q21" s="138">
        <f>IF(OR(E112=0,Q$3&lt;D112),0,E112*IF(G112=0,H112,MIN(H112,H112*(Q$3-D112+1)/MAX(1,G112)))*(1+F112)^(Q$3-D112)*$E93)</f>
        <v/>
      </c>
      <c r="R21" s="138">
        <f>IF(OR(E112=0,R$3&lt;D112),0,E112*IF(G112=0,H112,MIN(H112,H112*(R$3-D112+1)/MAX(1,G112)))*(1+F112)^(R$3-D112)*$E93)</f>
        <v/>
      </c>
      <c r="S21" s="138">
        <f>IF(OR(E112=0,S$3&lt;D112),0,E112*IF(G112=0,H112,MIN(H112,H112*(S$3-D112+1)/MAX(1,G112)))*(1+F112)^(S$3-D112)*$E93)</f>
        <v/>
      </c>
      <c r="T21" s="138">
        <f>IF(OR(E112=0,T$3&lt;D112),0,E112*IF(G112=0,H112,MIN(H112,H112*(T$3-D112+1)/MAX(1,G112)))*(1+F112)^(T$3-D112)*$E93)</f>
        <v/>
      </c>
      <c r="U21" s="138">
        <f>IF(OR(E112=0,U$3&lt;D112),0,E112*IF(G112=0,H112,MIN(H112,H112*(U$3-D112+1)/MAX(1,G112)))*(1+F112)^(U$3-D112)*$E93)</f>
        <v/>
      </c>
      <c r="V21" s="138">
        <f>IF(OR(E112=0,V$3&lt;D112),0,E112*IF(G112=0,H112,MIN(H112,H112*(V$3-D112+1)/MAX(1,G112)))*(1+F112)^(V$3-D112)*$E93)</f>
        <v/>
      </c>
      <c r="W21" s="138">
        <f>IF(OR(E112=0,W$3&lt;D112),0,E112*IF(G112=0,H112,MIN(H112,H112*(W$3-D112+1)/MAX(1,G112)))*(1+F112)^(W$3-D112)*$E93)</f>
        <v/>
      </c>
      <c r="X21" s="138">
        <f>IF(OR(E112=0,X$3&lt;D112),0,E112*IF(G112=0,H112,MIN(H112,H112*(X$3-D112+1)/MAX(1,G112)))*(1+F112)^(X$3-D112)*$E93)</f>
        <v/>
      </c>
      <c r="Y21" s="138">
        <f>IF(OR(E112=0,Y$3&lt;D112),0,E112*IF(G112=0,H112,MIN(H112,H112*(Y$3-D112+1)/MAX(1,G112)))*(1+F112)^(Y$3-D112)*$E93)</f>
        <v/>
      </c>
      <c r="Z21" s="138">
        <f>IF(OR(E112=0,Z$3&lt;D112),0,E112*IF(G112=0,H112,MIN(H112,H112*(Z$3-D112+1)/MAX(1,G112)))*(1+F112)^(Z$3-D112)*$E93)</f>
        <v/>
      </c>
      <c r="AA21" s="138">
        <f>IF(OR(E112=0,AA$3&lt;D112),0,E112*IF(G112=0,H112,MIN(H112,H112*(AA$3-D112+1)/MAX(1,G112)))*(1+F112)^(AA$3-D112)*$E93)</f>
        <v/>
      </c>
      <c r="AB21" s="138">
        <f>IF(OR(E112=0,AB$3&lt;D112),0,E112*IF(G112=0,H112,MIN(H112,H112*(AB$3-D112+1)/MAX(1,G112)))*(1+F112)^(AB$3-D112)*$E93)</f>
        <v/>
      </c>
      <c r="AC21" s="138">
        <f>IF(OR(E112=0,AC$3&lt;D112),0,E112*IF(G112=0,H112,MIN(H112,H112*(AC$3-D112+1)/MAX(1,G112)))*(1+F112)^(AC$3-D112)*$E93)</f>
        <v/>
      </c>
      <c r="AD21" s="138">
        <f>IF(OR(E112=0,AD$3&lt;D112),0,E112*IF(G112=0,H112,MIN(H112,H112*(AD$3-D112+1)/MAX(1,G112)))*(1+F112)^(AD$3-D112)*$E93)</f>
        <v/>
      </c>
      <c r="AE21" s="138">
        <f>IF(OR(E112=0,AE$3&lt;D112),0,E112*IF(G112=0,H112,MIN(H112,H112*(AE$3-D112+1)/MAX(1,G112)))*(1+F112)^(AE$3-D112)*$E93)</f>
        <v/>
      </c>
      <c r="AF21" s="138">
        <f>IF(OR(E112=0,AF$3&lt;D112),0,E112*IF(G112=0,H112,MIN(H112,H112*(AF$3-D112+1)/MAX(1,G112)))*(1+F112)^(AF$3-D112)*$E93)</f>
        <v/>
      </c>
      <c r="AG21" s="138">
        <f>IF(OR(E112=0,AG$3&lt;D112),0,E112*IF(G112=0,H112,MIN(H112,H112*(AG$3-D112+1)/MAX(1,G112)))*(1+F112)^(AG$3-D112)*$E93)</f>
        <v/>
      </c>
      <c r="AH21" s="138">
        <f>IF(OR(E112=0,AH$3&lt;D112),0,E112*IF(G112=0,H112,MIN(H112,H112*(AH$3-D112+1)/MAX(1,G112)))*(1+F112)^(AH$3-D112)*$E93)</f>
        <v/>
      </c>
      <c r="AI21" s="138">
        <f>IF(OR(E112=0,AI$3&lt;D112),0,E112*IF(G112=0,H112,MIN(H112,H112*(AI$3-D112+1)/MAX(1,G112)))*(1+F112)^(AI$3-D112)*$E93)</f>
        <v/>
      </c>
      <c r="AJ21" s="138">
        <f>IF(OR(E112=0,AJ$3&lt;D112),0,E112*IF(G112=0,H112,MIN(H112,H112*(AJ$3-D112+1)/MAX(1,G112)))*(1+F112)^(AJ$3-D112)*$E93)</f>
        <v/>
      </c>
      <c r="AK21" s="138">
        <f>IF(OR(E112=0,AK$3&lt;D112),0,E112*IF(G112=0,H112,MIN(H112,H112*(AK$3-D112+1)/MAX(1,G112)))*(1+F112)^(AK$3-D112)*$E93)</f>
        <v/>
      </c>
      <c r="AL21" s="138">
        <f>IF(OR(E112=0,AL$3&lt;D112),0,E112*IF(G112=0,H112,MIN(H112,H112*(AL$3-D112+1)/MAX(1,G112)))*(1+F112)^(AL$3-D112)*$E93)</f>
        <v/>
      </c>
      <c r="AM21" s="138">
        <f>IF(OR(E112=0,AM$3&lt;D112),0,E112*IF(G112=0,H112,MIN(H112,H112*(AM$3-D112+1)/MAX(1,G112)))*(1+F112)^(AM$3-D112)*$E93)</f>
        <v/>
      </c>
      <c r="AN21" s="138">
        <f>IF(OR(E112=0,AN$3&lt;D112),0,E112*IF(G112=0,H112,MIN(H112,H112*(AN$3-D112+1)/MAX(1,G112)))*(1+F112)^(AN$3-D112)*$E93)</f>
        <v/>
      </c>
      <c r="AO21" s="138">
        <f>IF(OR(E112=0,AO$3&lt;D112),0,E112*IF(G112=0,H112,MIN(H112,H112*(AO$3-D112+1)/MAX(1,G112)))*(1+F112)^(AO$3-D112)*$E93)</f>
        <v/>
      </c>
      <c r="AP21" s="138">
        <f>IF(OR(E112=0,AP$3&lt;D112),0,E112*IF(G112=0,H112,MIN(H112,H112*(AP$3-D112+1)/MAX(1,G112)))*(1+F112)^(AP$3-D112)*$E93)</f>
        <v/>
      </c>
      <c r="AQ21" s="138">
        <f>IF(OR(E112=0,AQ$3&lt;D112),0,E112*IF(G112=0,H112,MIN(H112,H112*(AQ$3-D112+1)/MAX(1,G112)))*(1+F112)^(AQ$3-D112)*$E93)</f>
        <v/>
      </c>
      <c r="AR21" s="138">
        <f>IF(OR(E112=0,AR$3&lt;D112),0,E112*IF(G112=0,H112,MIN(H112,H112*(AR$3-D112+1)/MAX(1,G112)))*(1+F112)^(AR$3-D112)*$E93)</f>
        <v/>
      </c>
      <c r="AS21" s="138">
        <f>IF(OR(E112=0,AS$3&lt;D112),0,E112*IF(G112=0,H112,MIN(H112,H112*(AS$3-D112+1)/MAX(1,G112)))*(1+F112)^(AS$3-D112)*$E93)</f>
        <v/>
      </c>
      <c r="AT21" s="138">
        <f>IF(OR(E112=0,AT$3&lt;D112),0,E112*IF(G112=0,H112,MIN(H112,H112*(AT$3-D112+1)/MAX(1,G112)))*(1+F112)^(AT$3-D112)*$E93)</f>
        <v/>
      </c>
      <c r="AU21" s="138">
        <f>IF(OR(E112=0,AU$3&lt;D112),0,E112*IF(G112=0,H112,MIN(H112,H112*(AU$3-D112+1)/MAX(1,G112)))*(1+F112)^(AU$3-D112)*$E93)</f>
        <v/>
      </c>
      <c r="AV21" s="138">
        <f>IF(OR(E112=0,AV$3&lt;D112),0,E112*IF(G112=0,H112,MIN(H112,H112*(AV$3-D112+1)/MAX(1,G112)))*(1+F112)^(AV$3-D112)*$E93)</f>
        <v/>
      </c>
      <c r="AW21" s="138">
        <f>IF(OR(E112=0,AW$3&lt;D112),0,E112*IF(G112=0,H112,MIN(H112,H112*(AW$3-D112+1)/MAX(1,G112)))*(1+F112)^(AW$3-D112)*$E93)</f>
        <v/>
      </c>
      <c r="AX21" s="138">
        <f>IF(OR(E112=0,AX$3&lt;D112),0,E112*IF(G112=0,H112,MIN(H112,H112*(AX$3-D112+1)/MAX(1,G112)))*(1+F112)^(AX$3-D112)*$E93)</f>
        <v/>
      </c>
      <c r="AY21" s="138">
        <f>IF(OR(E112=0,AY$3&lt;D112),0,E112*IF(G112=0,H112,MIN(H112,H112*(AY$3-D112+1)/MAX(1,G112)))*(1+F112)^(AY$3-D112)*$E93)</f>
        <v/>
      </c>
      <c r="AZ21" s="138">
        <f>IF(OR(E112=0,AZ$3&lt;D112),0,E112*IF(G112=0,H112,MIN(H112,H112*(AZ$3-D112+1)/MAX(1,G112)))*(1+F112)^(AZ$3-D112)*$E93)</f>
        <v/>
      </c>
      <c r="BA21" s="138">
        <f>IF(OR(E112=0,BA$3&lt;D112),0,E112*IF(G112=0,H112,MIN(H112,H112*(BA$3-D112+1)/MAX(1,G112)))*(1+F112)^(BA$3-D112)*$E93)</f>
        <v/>
      </c>
      <c r="BB21" s="138">
        <f>IF(OR(E112=0,BB$3&lt;D112),0,E112*IF(G112=0,H112,MIN(H112,H112*(BB$3-D112+1)/MAX(1,G112)))*(1+F112)^(BB$3-D112)*$E93)</f>
        <v/>
      </c>
    </row>
    <row r="22" ht="15" customHeight="1" s="91">
      <c r="A22" s="138">
        <f>A113</f>
        <v/>
      </c>
      <c r="B22" s="138">
        <f>B113</f>
        <v/>
      </c>
      <c r="C22" s="138">
        <f>C113</f>
        <v/>
      </c>
      <c r="D22" s="138">
        <f>SUM(E22:BB22)</f>
        <v/>
      </c>
      <c r="E22" s="138">
        <f>IF(OR(E113=0,E$3&lt;D113),0,E113*IF(G113=0,H113,MIN(H113,H113*(E$3-D113+1)/MAX(1,G113)))*(1+F113)^(E$3-D113)*$E93)</f>
        <v/>
      </c>
      <c r="F22" s="138">
        <f>IF(OR(E113=0,F$3&lt;D113),0,E113*IF(G113=0,H113,MIN(H113,H113*(F$3-D113+1)/MAX(1,G113)))*(1+F113)^(F$3-D113)*$E93)</f>
        <v/>
      </c>
      <c r="G22" s="138">
        <f>IF(OR(E113=0,G$3&lt;D113),0,E113*IF(G113=0,H113,MIN(H113,H113*(G$3-D113+1)/MAX(1,G113)))*(1+F113)^(G$3-D113)*$E93)</f>
        <v/>
      </c>
      <c r="H22" s="138">
        <f>IF(OR(E113=0,H$3&lt;D113),0,E113*IF(G113=0,H113,MIN(H113,H113*(H$3-D113+1)/MAX(1,G113)))*(1+F113)^(H$3-D113)*$E93)</f>
        <v/>
      </c>
      <c r="I22" s="138">
        <f>IF(OR(E113=0,I$3&lt;D113),0,E113*IF(G113=0,H113,MIN(H113,H113*(I$3-D113+1)/MAX(1,G113)))*(1+F113)^(I$3-D113)*$E93)</f>
        <v/>
      </c>
      <c r="J22" s="138">
        <f>IF(OR(E113=0,J$3&lt;D113),0,E113*IF(G113=0,H113,MIN(H113,H113*(J$3-D113+1)/MAX(1,G113)))*(1+F113)^(J$3-D113)*$E93)</f>
        <v/>
      </c>
      <c r="K22" s="138">
        <f>IF(OR(E113=0,K$3&lt;D113),0,E113*IF(G113=0,H113,MIN(H113,H113*(K$3-D113+1)/MAX(1,G113)))*(1+F113)^(K$3-D113)*$E93)</f>
        <v/>
      </c>
      <c r="L22" s="138">
        <f>IF(OR(E113=0,L$3&lt;D113),0,E113*IF(G113=0,H113,MIN(H113,H113*(L$3-D113+1)/MAX(1,G113)))*(1+F113)^(L$3-D113)*$E93)</f>
        <v/>
      </c>
      <c r="M22" s="138">
        <f>IF(OR(E113=0,M$3&lt;D113),0,E113*IF(G113=0,H113,MIN(H113,H113*(M$3-D113+1)/MAX(1,G113)))*(1+F113)^(M$3-D113)*$E93)</f>
        <v/>
      </c>
      <c r="N22" s="138">
        <f>IF(OR(E113=0,N$3&lt;D113),0,E113*IF(G113=0,H113,MIN(H113,H113*(N$3-D113+1)/MAX(1,G113)))*(1+F113)^(N$3-D113)*$E93)</f>
        <v/>
      </c>
      <c r="O22" s="138">
        <f>IF(OR(E113=0,O$3&lt;D113),0,E113*IF(G113=0,H113,MIN(H113,H113*(O$3-D113+1)/MAX(1,G113)))*(1+F113)^(O$3-D113)*$E93)</f>
        <v/>
      </c>
      <c r="P22" s="138">
        <f>IF(OR(E113=0,P$3&lt;D113),0,E113*IF(G113=0,H113,MIN(H113,H113*(P$3-D113+1)/MAX(1,G113)))*(1+F113)^(P$3-D113)*$E93)</f>
        <v/>
      </c>
      <c r="Q22" s="138">
        <f>IF(OR(E113=0,Q$3&lt;D113),0,E113*IF(G113=0,H113,MIN(H113,H113*(Q$3-D113+1)/MAX(1,G113)))*(1+F113)^(Q$3-D113)*$E93)</f>
        <v/>
      </c>
      <c r="R22" s="138">
        <f>IF(OR(E113=0,R$3&lt;D113),0,E113*IF(G113=0,H113,MIN(H113,H113*(R$3-D113+1)/MAX(1,G113)))*(1+F113)^(R$3-D113)*$E93)</f>
        <v/>
      </c>
      <c r="S22" s="138">
        <f>IF(OR(E113=0,S$3&lt;D113),0,E113*IF(G113=0,H113,MIN(H113,H113*(S$3-D113+1)/MAX(1,G113)))*(1+F113)^(S$3-D113)*$E93)</f>
        <v/>
      </c>
      <c r="T22" s="138">
        <f>IF(OR(E113=0,T$3&lt;D113),0,E113*IF(G113=0,H113,MIN(H113,H113*(T$3-D113+1)/MAX(1,G113)))*(1+F113)^(T$3-D113)*$E93)</f>
        <v/>
      </c>
      <c r="U22" s="138">
        <f>IF(OR(E113=0,U$3&lt;D113),0,E113*IF(G113=0,H113,MIN(H113,H113*(U$3-D113+1)/MAX(1,G113)))*(1+F113)^(U$3-D113)*$E93)</f>
        <v/>
      </c>
      <c r="V22" s="138">
        <f>IF(OR(E113=0,V$3&lt;D113),0,E113*IF(G113=0,H113,MIN(H113,H113*(V$3-D113+1)/MAX(1,G113)))*(1+F113)^(V$3-D113)*$E93)</f>
        <v/>
      </c>
      <c r="W22" s="138">
        <f>IF(OR(E113=0,W$3&lt;D113),0,E113*IF(G113=0,H113,MIN(H113,H113*(W$3-D113+1)/MAX(1,G113)))*(1+F113)^(W$3-D113)*$E93)</f>
        <v/>
      </c>
      <c r="X22" s="138">
        <f>IF(OR(E113=0,X$3&lt;D113),0,E113*IF(G113=0,H113,MIN(H113,H113*(X$3-D113+1)/MAX(1,G113)))*(1+F113)^(X$3-D113)*$E93)</f>
        <v/>
      </c>
      <c r="Y22" s="138">
        <f>IF(OR(E113=0,Y$3&lt;D113),0,E113*IF(G113=0,H113,MIN(H113,H113*(Y$3-D113+1)/MAX(1,G113)))*(1+F113)^(Y$3-D113)*$E93)</f>
        <v/>
      </c>
      <c r="Z22" s="138">
        <f>IF(OR(E113=0,Z$3&lt;D113),0,E113*IF(G113=0,H113,MIN(H113,H113*(Z$3-D113+1)/MAX(1,G113)))*(1+F113)^(Z$3-D113)*$E93)</f>
        <v/>
      </c>
      <c r="AA22" s="138">
        <f>IF(OR(E113=0,AA$3&lt;D113),0,E113*IF(G113=0,H113,MIN(H113,H113*(AA$3-D113+1)/MAX(1,G113)))*(1+F113)^(AA$3-D113)*$E93)</f>
        <v/>
      </c>
      <c r="AB22" s="138">
        <f>IF(OR(E113=0,AB$3&lt;D113),0,E113*IF(G113=0,H113,MIN(H113,H113*(AB$3-D113+1)/MAX(1,G113)))*(1+F113)^(AB$3-D113)*$E93)</f>
        <v/>
      </c>
      <c r="AC22" s="138">
        <f>IF(OR(E113=0,AC$3&lt;D113),0,E113*IF(G113=0,H113,MIN(H113,H113*(AC$3-D113+1)/MAX(1,G113)))*(1+F113)^(AC$3-D113)*$E93)</f>
        <v/>
      </c>
      <c r="AD22" s="138">
        <f>IF(OR(E113=0,AD$3&lt;D113),0,E113*IF(G113=0,H113,MIN(H113,H113*(AD$3-D113+1)/MAX(1,G113)))*(1+F113)^(AD$3-D113)*$E93)</f>
        <v/>
      </c>
      <c r="AE22" s="138">
        <f>IF(OR(E113=0,AE$3&lt;D113),0,E113*IF(G113=0,H113,MIN(H113,H113*(AE$3-D113+1)/MAX(1,G113)))*(1+F113)^(AE$3-D113)*$E93)</f>
        <v/>
      </c>
      <c r="AF22" s="138">
        <f>IF(OR(E113=0,AF$3&lt;D113),0,E113*IF(G113=0,H113,MIN(H113,H113*(AF$3-D113+1)/MAX(1,G113)))*(1+F113)^(AF$3-D113)*$E93)</f>
        <v/>
      </c>
      <c r="AG22" s="138">
        <f>IF(OR(E113=0,AG$3&lt;D113),0,E113*IF(G113=0,H113,MIN(H113,H113*(AG$3-D113+1)/MAX(1,G113)))*(1+F113)^(AG$3-D113)*$E93)</f>
        <v/>
      </c>
      <c r="AH22" s="138">
        <f>IF(OR(E113=0,AH$3&lt;D113),0,E113*IF(G113=0,H113,MIN(H113,H113*(AH$3-D113+1)/MAX(1,G113)))*(1+F113)^(AH$3-D113)*$E93)</f>
        <v/>
      </c>
      <c r="AI22" s="138">
        <f>IF(OR(E113=0,AI$3&lt;D113),0,E113*IF(G113=0,H113,MIN(H113,H113*(AI$3-D113+1)/MAX(1,G113)))*(1+F113)^(AI$3-D113)*$E93)</f>
        <v/>
      </c>
      <c r="AJ22" s="138">
        <f>IF(OR(E113=0,AJ$3&lt;D113),0,E113*IF(G113=0,H113,MIN(H113,H113*(AJ$3-D113+1)/MAX(1,G113)))*(1+F113)^(AJ$3-D113)*$E93)</f>
        <v/>
      </c>
      <c r="AK22" s="138">
        <f>IF(OR(E113=0,AK$3&lt;D113),0,E113*IF(G113=0,H113,MIN(H113,H113*(AK$3-D113+1)/MAX(1,G113)))*(1+F113)^(AK$3-D113)*$E93)</f>
        <v/>
      </c>
      <c r="AL22" s="138">
        <f>IF(OR(E113=0,AL$3&lt;D113),0,E113*IF(G113=0,H113,MIN(H113,H113*(AL$3-D113+1)/MAX(1,G113)))*(1+F113)^(AL$3-D113)*$E93)</f>
        <v/>
      </c>
      <c r="AM22" s="138">
        <f>IF(OR(E113=0,AM$3&lt;D113),0,E113*IF(G113=0,H113,MIN(H113,H113*(AM$3-D113+1)/MAX(1,G113)))*(1+F113)^(AM$3-D113)*$E93)</f>
        <v/>
      </c>
      <c r="AN22" s="138">
        <f>IF(OR(E113=0,AN$3&lt;D113),0,E113*IF(G113=0,H113,MIN(H113,H113*(AN$3-D113+1)/MAX(1,G113)))*(1+F113)^(AN$3-D113)*$E93)</f>
        <v/>
      </c>
      <c r="AO22" s="138">
        <f>IF(OR(E113=0,AO$3&lt;D113),0,E113*IF(G113=0,H113,MIN(H113,H113*(AO$3-D113+1)/MAX(1,G113)))*(1+F113)^(AO$3-D113)*$E93)</f>
        <v/>
      </c>
      <c r="AP22" s="138">
        <f>IF(OR(E113=0,AP$3&lt;D113),0,E113*IF(G113=0,H113,MIN(H113,H113*(AP$3-D113+1)/MAX(1,G113)))*(1+F113)^(AP$3-D113)*$E93)</f>
        <v/>
      </c>
      <c r="AQ22" s="138">
        <f>IF(OR(E113=0,AQ$3&lt;D113),0,E113*IF(G113=0,H113,MIN(H113,H113*(AQ$3-D113+1)/MAX(1,G113)))*(1+F113)^(AQ$3-D113)*$E93)</f>
        <v/>
      </c>
      <c r="AR22" s="138">
        <f>IF(OR(E113=0,AR$3&lt;D113),0,E113*IF(G113=0,H113,MIN(H113,H113*(AR$3-D113+1)/MAX(1,G113)))*(1+F113)^(AR$3-D113)*$E93)</f>
        <v/>
      </c>
      <c r="AS22" s="138">
        <f>IF(OR(E113=0,AS$3&lt;D113),0,E113*IF(G113=0,H113,MIN(H113,H113*(AS$3-D113+1)/MAX(1,G113)))*(1+F113)^(AS$3-D113)*$E93)</f>
        <v/>
      </c>
      <c r="AT22" s="138">
        <f>IF(OR(E113=0,AT$3&lt;D113),0,E113*IF(G113=0,H113,MIN(H113,H113*(AT$3-D113+1)/MAX(1,G113)))*(1+F113)^(AT$3-D113)*$E93)</f>
        <v/>
      </c>
      <c r="AU22" s="138">
        <f>IF(OR(E113=0,AU$3&lt;D113),0,E113*IF(G113=0,H113,MIN(H113,H113*(AU$3-D113+1)/MAX(1,G113)))*(1+F113)^(AU$3-D113)*$E93)</f>
        <v/>
      </c>
      <c r="AV22" s="138">
        <f>IF(OR(E113=0,AV$3&lt;D113),0,E113*IF(G113=0,H113,MIN(H113,H113*(AV$3-D113+1)/MAX(1,G113)))*(1+F113)^(AV$3-D113)*$E93)</f>
        <v/>
      </c>
      <c r="AW22" s="138">
        <f>IF(OR(E113=0,AW$3&lt;D113),0,E113*IF(G113=0,H113,MIN(H113,H113*(AW$3-D113+1)/MAX(1,G113)))*(1+F113)^(AW$3-D113)*$E93)</f>
        <v/>
      </c>
      <c r="AX22" s="138">
        <f>IF(OR(E113=0,AX$3&lt;D113),0,E113*IF(G113=0,H113,MIN(H113,H113*(AX$3-D113+1)/MAX(1,G113)))*(1+F113)^(AX$3-D113)*$E93)</f>
        <v/>
      </c>
      <c r="AY22" s="138">
        <f>IF(OR(E113=0,AY$3&lt;D113),0,E113*IF(G113=0,H113,MIN(H113,H113*(AY$3-D113+1)/MAX(1,G113)))*(1+F113)^(AY$3-D113)*$E93)</f>
        <v/>
      </c>
      <c r="AZ22" s="138">
        <f>IF(OR(E113=0,AZ$3&lt;D113),0,E113*IF(G113=0,H113,MIN(H113,H113*(AZ$3-D113+1)/MAX(1,G113)))*(1+F113)^(AZ$3-D113)*$E93)</f>
        <v/>
      </c>
      <c r="BA22" s="138">
        <f>IF(OR(E113=0,BA$3&lt;D113),0,E113*IF(G113=0,H113,MIN(H113,H113*(BA$3-D113+1)/MAX(1,G113)))*(1+F113)^(BA$3-D113)*$E93)</f>
        <v/>
      </c>
      <c r="BB22" s="138">
        <f>IF(OR(E113=0,BB$3&lt;D113),0,E113*IF(G113=0,H113,MIN(H113,H113*(BB$3-D113+1)/MAX(1,G113)))*(1+F113)^(BB$3-D113)*$E93)</f>
        <v/>
      </c>
    </row>
    <row r="23" ht="15" customHeight="1" s="91">
      <c r="A23" s="138">
        <f>A114</f>
        <v/>
      </c>
      <c r="B23" s="138">
        <f>B114</f>
        <v/>
      </c>
      <c r="C23" s="138">
        <f>C114</f>
        <v/>
      </c>
      <c r="D23" s="138">
        <f>SUM(E23:BB23)</f>
        <v/>
      </c>
      <c r="E23" s="138">
        <f>IF(OR(E114=0,E$3&lt;D114),0,E114*IF(G114=0,H114,MIN(H114,H114*(E$3-D114+1)/MAX(1,G114)))*(1+F114)^(E$3-D114)*$E93)</f>
        <v/>
      </c>
      <c r="F23" s="138">
        <f>IF(OR(E114=0,F$3&lt;D114),0,E114*IF(G114=0,H114,MIN(H114,H114*(F$3-D114+1)/MAX(1,G114)))*(1+F114)^(F$3-D114)*$E93)</f>
        <v/>
      </c>
      <c r="G23" s="138">
        <f>IF(OR(E114=0,G$3&lt;D114),0,E114*IF(G114=0,H114,MIN(H114,H114*(G$3-D114+1)/MAX(1,G114)))*(1+F114)^(G$3-D114)*$E93)</f>
        <v/>
      </c>
      <c r="H23" s="138">
        <f>IF(OR(E114=0,H$3&lt;D114),0,E114*IF(G114=0,H114,MIN(H114,H114*(H$3-D114+1)/MAX(1,G114)))*(1+F114)^(H$3-D114)*$E93)</f>
        <v/>
      </c>
      <c r="I23" s="138">
        <f>IF(OR(E114=0,I$3&lt;D114),0,E114*IF(G114=0,H114,MIN(H114,H114*(I$3-D114+1)/MAX(1,G114)))*(1+F114)^(I$3-D114)*$E93)</f>
        <v/>
      </c>
      <c r="J23" s="138">
        <f>IF(OR(E114=0,J$3&lt;D114),0,E114*IF(G114=0,H114,MIN(H114,H114*(J$3-D114+1)/MAX(1,G114)))*(1+F114)^(J$3-D114)*$E93)</f>
        <v/>
      </c>
      <c r="K23" s="138">
        <f>IF(OR(E114=0,K$3&lt;D114),0,E114*IF(G114=0,H114,MIN(H114,H114*(K$3-D114+1)/MAX(1,G114)))*(1+F114)^(K$3-D114)*$E93)</f>
        <v/>
      </c>
      <c r="L23" s="138">
        <f>IF(OR(E114=0,L$3&lt;D114),0,E114*IF(G114=0,H114,MIN(H114,H114*(L$3-D114+1)/MAX(1,G114)))*(1+F114)^(L$3-D114)*$E93)</f>
        <v/>
      </c>
      <c r="M23" s="138">
        <f>IF(OR(E114=0,M$3&lt;D114),0,E114*IF(G114=0,H114,MIN(H114,H114*(M$3-D114+1)/MAX(1,G114)))*(1+F114)^(M$3-D114)*$E93)</f>
        <v/>
      </c>
      <c r="N23" s="138">
        <f>IF(OR(E114=0,N$3&lt;D114),0,E114*IF(G114=0,H114,MIN(H114,H114*(N$3-D114+1)/MAX(1,G114)))*(1+F114)^(N$3-D114)*$E93)</f>
        <v/>
      </c>
      <c r="O23" s="138">
        <f>IF(OR(E114=0,O$3&lt;D114),0,E114*IF(G114=0,H114,MIN(H114,H114*(O$3-D114+1)/MAX(1,G114)))*(1+F114)^(O$3-D114)*$E93)</f>
        <v/>
      </c>
      <c r="P23" s="138">
        <f>IF(OR(E114=0,P$3&lt;D114),0,E114*IF(G114=0,H114,MIN(H114,H114*(P$3-D114+1)/MAX(1,G114)))*(1+F114)^(P$3-D114)*$E93)</f>
        <v/>
      </c>
      <c r="Q23" s="138">
        <f>IF(OR(E114=0,Q$3&lt;D114),0,E114*IF(G114=0,H114,MIN(H114,H114*(Q$3-D114+1)/MAX(1,G114)))*(1+F114)^(Q$3-D114)*$E93)</f>
        <v/>
      </c>
      <c r="R23" s="138">
        <f>IF(OR(E114=0,R$3&lt;D114),0,E114*IF(G114=0,H114,MIN(H114,H114*(R$3-D114+1)/MAX(1,G114)))*(1+F114)^(R$3-D114)*$E93)</f>
        <v/>
      </c>
      <c r="S23" s="138">
        <f>IF(OR(E114=0,S$3&lt;D114),0,E114*IF(G114=0,H114,MIN(H114,H114*(S$3-D114+1)/MAX(1,G114)))*(1+F114)^(S$3-D114)*$E93)</f>
        <v/>
      </c>
      <c r="T23" s="138">
        <f>IF(OR(E114=0,T$3&lt;D114),0,E114*IF(G114=0,H114,MIN(H114,H114*(T$3-D114+1)/MAX(1,G114)))*(1+F114)^(T$3-D114)*$E93)</f>
        <v/>
      </c>
      <c r="U23" s="138">
        <f>IF(OR(E114=0,U$3&lt;D114),0,E114*IF(G114=0,H114,MIN(H114,H114*(U$3-D114+1)/MAX(1,G114)))*(1+F114)^(U$3-D114)*$E93)</f>
        <v/>
      </c>
      <c r="V23" s="138">
        <f>IF(OR(E114=0,V$3&lt;D114),0,E114*IF(G114=0,H114,MIN(H114,H114*(V$3-D114+1)/MAX(1,G114)))*(1+F114)^(V$3-D114)*$E93)</f>
        <v/>
      </c>
      <c r="W23" s="138">
        <f>IF(OR(E114=0,W$3&lt;D114),0,E114*IF(G114=0,H114,MIN(H114,H114*(W$3-D114+1)/MAX(1,G114)))*(1+F114)^(W$3-D114)*$E93)</f>
        <v/>
      </c>
      <c r="X23" s="138">
        <f>IF(OR(E114=0,X$3&lt;D114),0,E114*IF(G114=0,H114,MIN(H114,H114*(X$3-D114+1)/MAX(1,G114)))*(1+F114)^(X$3-D114)*$E93)</f>
        <v/>
      </c>
      <c r="Y23" s="138">
        <f>IF(OR(E114=0,Y$3&lt;D114),0,E114*IF(G114=0,H114,MIN(H114,H114*(Y$3-D114+1)/MAX(1,G114)))*(1+F114)^(Y$3-D114)*$E93)</f>
        <v/>
      </c>
      <c r="Z23" s="138">
        <f>IF(OR(E114=0,Z$3&lt;D114),0,E114*IF(G114=0,H114,MIN(H114,H114*(Z$3-D114+1)/MAX(1,G114)))*(1+F114)^(Z$3-D114)*$E93)</f>
        <v/>
      </c>
      <c r="AA23" s="138">
        <f>IF(OR(E114=0,AA$3&lt;D114),0,E114*IF(G114=0,H114,MIN(H114,H114*(AA$3-D114+1)/MAX(1,G114)))*(1+F114)^(AA$3-D114)*$E93)</f>
        <v/>
      </c>
      <c r="AB23" s="138">
        <f>IF(OR(E114=0,AB$3&lt;D114),0,E114*IF(G114=0,H114,MIN(H114,H114*(AB$3-D114+1)/MAX(1,G114)))*(1+F114)^(AB$3-D114)*$E93)</f>
        <v/>
      </c>
      <c r="AC23" s="138">
        <f>IF(OR(E114=0,AC$3&lt;D114),0,E114*IF(G114=0,H114,MIN(H114,H114*(AC$3-D114+1)/MAX(1,G114)))*(1+F114)^(AC$3-D114)*$E93)</f>
        <v/>
      </c>
      <c r="AD23" s="138">
        <f>IF(OR(E114=0,AD$3&lt;D114),0,E114*IF(G114=0,H114,MIN(H114,H114*(AD$3-D114+1)/MAX(1,G114)))*(1+F114)^(AD$3-D114)*$E93)</f>
        <v/>
      </c>
      <c r="AE23" s="138">
        <f>IF(OR(E114=0,AE$3&lt;D114),0,E114*IF(G114=0,H114,MIN(H114,H114*(AE$3-D114+1)/MAX(1,G114)))*(1+F114)^(AE$3-D114)*$E93)</f>
        <v/>
      </c>
      <c r="AF23" s="138">
        <f>IF(OR(E114=0,AF$3&lt;D114),0,E114*IF(G114=0,H114,MIN(H114,H114*(AF$3-D114+1)/MAX(1,G114)))*(1+F114)^(AF$3-D114)*$E93)</f>
        <v/>
      </c>
      <c r="AG23" s="138">
        <f>IF(OR(E114=0,AG$3&lt;D114),0,E114*IF(G114=0,H114,MIN(H114,H114*(AG$3-D114+1)/MAX(1,G114)))*(1+F114)^(AG$3-D114)*$E93)</f>
        <v/>
      </c>
      <c r="AH23" s="138">
        <f>IF(OR(E114=0,AH$3&lt;D114),0,E114*IF(G114=0,H114,MIN(H114,H114*(AH$3-D114+1)/MAX(1,G114)))*(1+F114)^(AH$3-D114)*$E93)</f>
        <v/>
      </c>
      <c r="AI23" s="138">
        <f>IF(OR(E114=0,AI$3&lt;D114),0,E114*IF(G114=0,H114,MIN(H114,H114*(AI$3-D114+1)/MAX(1,G114)))*(1+F114)^(AI$3-D114)*$E93)</f>
        <v/>
      </c>
      <c r="AJ23" s="138">
        <f>IF(OR(E114=0,AJ$3&lt;D114),0,E114*IF(G114=0,H114,MIN(H114,H114*(AJ$3-D114+1)/MAX(1,G114)))*(1+F114)^(AJ$3-D114)*$E93)</f>
        <v/>
      </c>
      <c r="AK23" s="138">
        <f>IF(OR(E114=0,AK$3&lt;D114),0,E114*IF(G114=0,H114,MIN(H114,H114*(AK$3-D114+1)/MAX(1,G114)))*(1+F114)^(AK$3-D114)*$E93)</f>
        <v/>
      </c>
      <c r="AL23" s="138">
        <f>IF(OR(E114=0,AL$3&lt;D114),0,E114*IF(G114=0,H114,MIN(H114,H114*(AL$3-D114+1)/MAX(1,G114)))*(1+F114)^(AL$3-D114)*$E93)</f>
        <v/>
      </c>
      <c r="AM23" s="138">
        <f>IF(OR(E114=0,AM$3&lt;D114),0,E114*IF(G114=0,H114,MIN(H114,H114*(AM$3-D114+1)/MAX(1,G114)))*(1+F114)^(AM$3-D114)*$E93)</f>
        <v/>
      </c>
      <c r="AN23" s="138">
        <f>IF(OR(E114=0,AN$3&lt;D114),0,E114*IF(G114=0,H114,MIN(H114,H114*(AN$3-D114+1)/MAX(1,G114)))*(1+F114)^(AN$3-D114)*$E93)</f>
        <v/>
      </c>
      <c r="AO23" s="138">
        <f>IF(OR(E114=0,AO$3&lt;D114),0,E114*IF(G114=0,H114,MIN(H114,H114*(AO$3-D114+1)/MAX(1,G114)))*(1+F114)^(AO$3-D114)*$E93)</f>
        <v/>
      </c>
      <c r="AP23" s="138">
        <f>IF(OR(E114=0,AP$3&lt;D114),0,E114*IF(G114=0,H114,MIN(H114,H114*(AP$3-D114+1)/MAX(1,G114)))*(1+F114)^(AP$3-D114)*$E93)</f>
        <v/>
      </c>
      <c r="AQ23" s="138">
        <f>IF(OR(E114=0,AQ$3&lt;D114),0,E114*IF(G114=0,H114,MIN(H114,H114*(AQ$3-D114+1)/MAX(1,G114)))*(1+F114)^(AQ$3-D114)*$E93)</f>
        <v/>
      </c>
      <c r="AR23" s="138">
        <f>IF(OR(E114=0,AR$3&lt;D114),0,E114*IF(G114=0,H114,MIN(H114,H114*(AR$3-D114+1)/MAX(1,G114)))*(1+F114)^(AR$3-D114)*$E93)</f>
        <v/>
      </c>
      <c r="AS23" s="138">
        <f>IF(OR(E114=0,AS$3&lt;D114),0,E114*IF(G114=0,H114,MIN(H114,H114*(AS$3-D114+1)/MAX(1,G114)))*(1+F114)^(AS$3-D114)*$E93)</f>
        <v/>
      </c>
      <c r="AT23" s="138">
        <f>IF(OR(E114=0,AT$3&lt;D114),0,E114*IF(G114=0,H114,MIN(H114,H114*(AT$3-D114+1)/MAX(1,G114)))*(1+F114)^(AT$3-D114)*$E93)</f>
        <v/>
      </c>
      <c r="AU23" s="138">
        <f>IF(OR(E114=0,AU$3&lt;D114),0,E114*IF(G114=0,H114,MIN(H114,H114*(AU$3-D114+1)/MAX(1,G114)))*(1+F114)^(AU$3-D114)*$E93)</f>
        <v/>
      </c>
      <c r="AV23" s="138">
        <f>IF(OR(E114=0,AV$3&lt;D114),0,E114*IF(G114=0,H114,MIN(H114,H114*(AV$3-D114+1)/MAX(1,G114)))*(1+F114)^(AV$3-D114)*$E93)</f>
        <v/>
      </c>
      <c r="AW23" s="138">
        <f>IF(OR(E114=0,AW$3&lt;D114),0,E114*IF(G114=0,H114,MIN(H114,H114*(AW$3-D114+1)/MAX(1,G114)))*(1+F114)^(AW$3-D114)*$E93)</f>
        <v/>
      </c>
      <c r="AX23" s="138">
        <f>IF(OR(E114=0,AX$3&lt;D114),0,E114*IF(G114=0,H114,MIN(H114,H114*(AX$3-D114+1)/MAX(1,G114)))*(1+F114)^(AX$3-D114)*$E93)</f>
        <v/>
      </c>
      <c r="AY23" s="138">
        <f>IF(OR(E114=0,AY$3&lt;D114),0,E114*IF(G114=0,H114,MIN(H114,H114*(AY$3-D114+1)/MAX(1,G114)))*(1+F114)^(AY$3-D114)*$E93)</f>
        <v/>
      </c>
      <c r="AZ23" s="138">
        <f>IF(OR(E114=0,AZ$3&lt;D114),0,E114*IF(G114=0,H114,MIN(H114,H114*(AZ$3-D114+1)/MAX(1,G114)))*(1+F114)^(AZ$3-D114)*$E93)</f>
        <v/>
      </c>
      <c r="BA23" s="138">
        <f>IF(OR(E114=0,BA$3&lt;D114),0,E114*IF(G114=0,H114,MIN(H114,H114*(BA$3-D114+1)/MAX(1,G114)))*(1+F114)^(BA$3-D114)*$E93)</f>
        <v/>
      </c>
      <c r="BB23" s="138">
        <f>IF(OR(E114=0,BB$3&lt;D114),0,E114*IF(G114=0,H114,MIN(H114,H114*(BB$3-D114+1)/MAX(1,G114)))*(1+F114)^(BB$3-D114)*$E93)</f>
        <v/>
      </c>
    </row>
    <row r="24" ht="15" customHeight="1" s="91">
      <c r="A24" s="138">
        <f>A115</f>
        <v/>
      </c>
      <c r="B24" s="138">
        <f>B115</f>
        <v/>
      </c>
      <c r="C24" s="138">
        <f>C115</f>
        <v/>
      </c>
      <c r="D24" s="138">
        <f>SUM(E24:BB24)</f>
        <v/>
      </c>
      <c r="E24" s="138">
        <f>IF(OR(E115=0,E$3&lt;D115),0,E115*IF(G115=0,H115,MIN(H115,H115*(E$3-D115+1)/MAX(1,G115)))*(1+F115)^(E$3-D115)*$E93)</f>
        <v/>
      </c>
      <c r="F24" s="138">
        <f>IF(OR(E115=0,F$3&lt;D115),0,E115*IF(G115=0,H115,MIN(H115,H115*(F$3-D115+1)/MAX(1,G115)))*(1+F115)^(F$3-D115)*$E93)</f>
        <v/>
      </c>
      <c r="G24" s="138">
        <f>IF(OR(E115=0,G$3&lt;D115),0,E115*IF(G115=0,H115,MIN(H115,H115*(G$3-D115+1)/MAX(1,G115)))*(1+F115)^(G$3-D115)*$E93)</f>
        <v/>
      </c>
      <c r="H24" s="138">
        <f>IF(OR(E115=0,H$3&lt;D115),0,E115*IF(G115=0,H115,MIN(H115,H115*(H$3-D115+1)/MAX(1,G115)))*(1+F115)^(H$3-D115)*$E93)</f>
        <v/>
      </c>
      <c r="I24" s="138">
        <f>IF(OR(E115=0,I$3&lt;D115),0,E115*IF(G115=0,H115,MIN(H115,H115*(I$3-D115+1)/MAX(1,G115)))*(1+F115)^(I$3-D115)*$E93)</f>
        <v/>
      </c>
      <c r="J24" s="138">
        <f>IF(OR(E115=0,J$3&lt;D115),0,E115*IF(G115=0,H115,MIN(H115,H115*(J$3-D115+1)/MAX(1,G115)))*(1+F115)^(J$3-D115)*$E93)</f>
        <v/>
      </c>
      <c r="K24" s="138">
        <f>IF(OR(E115=0,K$3&lt;D115),0,E115*IF(G115=0,H115,MIN(H115,H115*(K$3-D115+1)/MAX(1,G115)))*(1+F115)^(K$3-D115)*$E93)</f>
        <v/>
      </c>
      <c r="L24" s="138">
        <f>IF(OR(E115=0,L$3&lt;D115),0,E115*IF(G115=0,H115,MIN(H115,H115*(L$3-D115+1)/MAX(1,G115)))*(1+F115)^(L$3-D115)*$E93)</f>
        <v/>
      </c>
      <c r="M24" s="138">
        <f>IF(OR(E115=0,M$3&lt;D115),0,E115*IF(G115=0,H115,MIN(H115,H115*(M$3-D115+1)/MAX(1,G115)))*(1+F115)^(M$3-D115)*$E93)</f>
        <v/>
      </c>
      <c r="N24" s="138">
        <f>IF(OR(E115=0,N$3&lt;D115),0,E115*IF(G115=0,H115,MIN(H115,H115*(N$3-D115+1)/MAX(1,G115)))*(1+F115)^(N$3-D115)*$E93)</f>
        <v/>
      </c>
      <c r="O24" s="138">
        <f>IF(OR(E115=0,O$3&lt;D115),0,E115*IF(G115=0,H115,MIN(H115,H115*(O$3-D115+1)/MAX(1,G115)))*(1+F115)^(O$3-D115)*$E93)</f>
        <v/>
      </c>
      <c r="P24" s="138">
        <f>IF(OR(E115=0,P$3&lt;D115),0,E115*IF(G115=0,H115,MIN(H115,H115*(P$3-D115+1)/MAX(1,G115)))*(1+F115)^(P$3-D115)*$E93)</f>
        <v/>
      </c>
      <c r="Q24" s="138">
        <f>IF(OR(E115=0,Q$3&lt;D115),0,E115*IF(G115=0,H115,MIN(H115,H115*(Q$3-D115+1)/MAX(1,G115)))*(1+F115)^(Q$3-D115)*$E93)</f>
        <v/>
      </c>
      <c r="R24" s="138">
        <f>IF(OR(E115=0,R$3&lt;D115),0,E115*IF(G115=0,H115,MIN(H115,H115*(R$3-D115+1)/MAX(1,G115)))*(1+F115)^(R$3-D115)*$E93)</f>
        <v/>
      </c>
      <c r="S24" s="138">
        <f>IF(OR(E115=0,S$3&lt;D115),0,E115*IF(G115=0,H115,MIN(H115,H115*(S$3-D115+1)/MAX(1,G115)))*(1+F115)^(S$3-D115)*$E93)</f>
        <v/>
      </c>
      <c r="T24" s="138">
        <f>IF(OR(E115=0,T$3&lt;D115),0,E115*IF(G115=0,H115,MIN(H115,H115*(T$3-D115+1)/MAX(1,G115)))*(1+F115)^(T$3-D115)*$E93)</f>
        <v/>
      </c>
      <c r="U24" s="138">
        <f>IF(OR(E115=0,U$3&lt;D115),0,E115*IF(G115=0,H115,MIN(H115,H115*(U$3-D115+1)/MAX(1,G115)))*(1+F115)^(U$3-D115)*$E93)</f>
        <v/>
      </c>
      <c r="V24" s="138">
        <f>IF(OR(E115=0,V$3&lt;D115),0,E115*IF(G115=0,H115,MIN(H115,H115*(V$3-D115+1)/MAX(1,G115)))*(1+F115)^(V$3-D115)*$E93)</f>
        <v/>
      </c>
      <c r="W24" s="138">
        <f>IF(OR(E115=0,W$3&lt;D115),0,E115*IF(G115=0,H115,MIN(H115,H115*(W$3-D115+1)/MAX(1,G115)))*(1+F115)^(W$3-D115)*$E93)</f>
        <v/>
      </c>
      <c r="X24" s="138">
        <f>IF(OR(E115=0,X$3&lt;D115),0,E115*IF(G115=0,H115,MIN(H115,H115*(X$3-D115+1)/MAX(1,G115)))*(1+F115)^(X$3-D115)*$E93)</f>
        <v/>
      </c>
      <c r="Y24" s="138">
        <f>IF(OR(E115=0,Y$3&lt;D115),0,E115*IF(G115=0,H115,MIN(H115,H115*(Y$3-D115+1)/MAX(1,G115)))*(1+F115)^(Y$3-D115)*$E93)</f>
        <v/>
      </c>
      <c r="Z24" s="138">
        <f>IF(OR(E115=0,Z$3&lt;D115),0,E115*IF(G115=0,H115,MIN(H115,H115*(Z$3-D115+1)/MAX(1,G115)))*(1+F115)^(Z$3-D115)*$E93)</f>
        <v/>
      </c>
      <c r="AA24" s="138">
        <f>IF(OR(E115=0,AA$3&lt;D115),0,E115*IF(G115=0,H115,MIN(H115,H115*(AA$3-D115+1)/MAX(1,G115)))*(1+F115)^(AA$3-D115)*$E93)</f>
        <v/>
      </c>
      <c r="AB24" s="138">
        <f>IF(OR(E115=0,AB$3&lt;D115),0,E115*IF(G115=0,H115,MIN(H115,H115*(AB$3-D115+1)/MAX(1,G115)))*(1+F115)^(AB$3-D115)*$E93)</f>
        <v/>
      </c>
      <c r="AC24" s="138">
        <f>IF(OR(E115=0,AC$3&lt;D115),0,E115*IF(G115=0,H115,MIN(H115,H115*(AC$3-D115+1)/MAX(1,G115)))*(1+F115)^(AC$3-D115)*$E93)</f>
        <v/>
      </c>
      <c r="AD24" s="138">
        <f>IF(OR(E115=0,AD$3&lt;D115),0,E115*IF(G115=0,H115,MIN(H115,H115*(AD$3-D115+1)/MAX(1,G115)))*(1+F115)^(AD$3-D115)*$E93)</f>
        <v/>
      </c>
      <c r="AE24" s="138">
        <f>IF(OR(E115=0,AE$3&lt;D115),0,E115*IF(G115=0,H115,MIN(H115,H115*(AE$3-D115+1)/MAX(1,G115)))*(1+F115)^(AE$3-D115)*$E93)</f>
        <v/>
      </c>
      <c r="AF24" s="138">
        <f>IF(OR(E115=0,AF$3&lt;D115),0,E115*IF(G115=0,H115,MIN(H115,H115*(AF$3-D115+1)/MAX(1,G115)))*(1+F115)^(AF$3-D115)*$E93)</f>
        <v/>
      </c>
      <c r="AG24" s="138">
        <f>IF(OR(E115=0,AG$3&lt;D115),0,E115*IF(G115=0,H115,MIN(H115,H115*(AG$3-D115+1)/MAX(1,G115)))*(1+F115)^(AG$3-D115)*$E93)</f>
        <v/>
      </c>
      <c r="AH24" s="138">
        <f>IF(OR(E115=0,AH$3&lt;D115),0,E115*IF(G115=0,H115,MIN(H115,H115*(AH$3-D115+1)/MAX(1,G115)))*(1+F115)^(AH$3-D115)*$E93)</f>
        <v/>
      </c>
      <c r="AI24" s="138">
        <f>IF(OR(E115=0,AI$3&lt;D115),0,E115*IF(G115=0,H115,MIN(H115,H115*(AI$3-D115+1)/MAX(1,G115)))*(1+F115)^(AI$3-D115)*$E93)</f>
        <v/>
      </c>
      <c r="AJ24" s="138">
        <f>IF(OR(E115=0,AJ$3&lt;D115),0,E115*IF(G115=0,H115,MIN(H115,H115*(AJ$3-D115+1)/MAX(1,G115)))*(1+F115)^(AJ$3-D115)*$E93)</f>
        <v/>
      </c>
      <c r="AK24" s="138">
        <f>IF(OR(E115=0,AK$3&lt;D115),0,E115*IF(G115=0,H115,MIN(H115,H115*(AK$3-D115+1)/MAX(1,G115)))*(1+F115)^(AK$3-D115)*$E93)</f>
        <v/>
      </c>
      <c r="AL24" s="138">
        <f>IF(OR(E115=0,AL$3&lt;D115),0,E115*IF(G115=0,H115,MIN(H115,H115*(AL$3-D115+1)/MAX(1,G115)))*(1+F115)^(AL$3-D115)*$E93)</f>
        <v/>
      </c>
      <c r="AM24" s="138">
        <f>IF(OR(E115=0,AM$3&lt;D115),0,E115*IF(G115=0,H115,MIN(H115,H115*(AM$3-D115+1)/MAX(1,G115)))*(1+F115)^(AM$3-D115)*$E93)</f>
        <v/>
      </c>
      <c r="AN24" s="138">
        <f>IF(OR(E115=0,AN$3&lt;D115),0,E115*IF(G115=0,H115,MIN(H115,H115*(AN$3-D115+1)/MAX(1,G115)))*(1+F115)^(AN$3-D115)*$E93)</f>
        <v/>
      </c>
      <c r="AO24" s="138">
        <f>IF(OR(E115=0,AO$3&lt;D115),0,E115*IF(G115=0,H115,MIN(H115,H115*(AO$3-D115+1)/MAX(1,G115)))*(1+F115)^(AO$3-D115)*$E93)</f>
        <v/>
      </c>
      <c r="AP24" s="138">
        <f>IF(OR(E115=0,AP$3&lt;D115),0,E115*IF(G115=0,H115,MIN(H115,H115*(AP$3-D115+1)/MAX(1,G115)))*(1+F115)^(AP$3-D115)*$E93)</f>
        <v/>
      </c>
      <c r="AQ24" s="138">
        <f>IF(OR(E115=0,AQ$3&lt;D115),0,E115*IF(G115=0,H115,MIN(H115,H115*(AQ$3-D115+1)/MAX(1,G115)))*(1+F115)^(AQ$3-D115)*$E93)</f>
        <v/>
      </c>
      <c r="AR24" s="138">
        <f>IF(OR(E115=0,AR$3&lt;D115),0,E115*IF(G115=0,H115,MIN(H115,H115*(AR$3-D115+1)/MAX(1,G115)))*(1+F115)^(AR$3-D115)*$E93)</f>
        <v/>
      </c>
      <c r="AS24" s="138">
        <f>IF(OR(E115=0,AS$3&lt;D115),0,E115*IF(G115=0,H115,MIN(H115,H115*(AS$3-D115+1)/MAX(1,G115)))*(1+F115)^(AS$3-D115)*$E93)</f>
        <v/>
      </c>
      <c r="AT24" s="138">
        <f>IF(OR(E115=0,AT$3&lt;D115),0,E115*IF(G115=0,H115,MIN(H115,H115*(AT$3-D115+1)/MAX(1,G115)))*(1+F115)^(AT$3-D115)*$E93)</f>
        <v/>
      </c>
      <c r="AU24" s="138">
        <f>IF(OR(E115=0,AU$3&lt;D115),0,E115*IF(G115=0,H115,MIN(H115,H115*(AU$3-D115+1)/MAX(1,G115)))*(1+F115)^(AU$3-D115)*$E93)</f>
        <v/>
      </c>
      <c r="AV24" s="138">
        <f>IF(OR(E115=0,AV$3&lt;D115),0,E115*IF(G115=0,H115,MIN(H115,H115*(AV$3-D115+1)/MAX(1,G115)))*(1+F115)^(AV$3-D115)*$E93)</f>
        <v/>
      </c>
      <c r="AW24" s="138">
        <f>IF(OR(E115=0,AW$3&lt;D115),0,E115*IF(G115=0,H115,MIN(H115,H115*(AW$3-D115+1)/MAX(1,G115)))*(1+F115)^(AW$3-D115)*$E93)</f>
        <v/>
      </c>
      <c r="AX24" s="138">
        <f>IF(OR(E115=0,AX$3&lt;D115),0,E115*IF(G115=0,H115,MIN(H115,H115*(AX$3-D115+1)/MAX(1,G115)))*(1+F115)^(AX$3-D115)*$E93)</f>
        <v/>
      </c>
      <c r="AY24" s="138">
        <f>IF(OR(E115=0,AY$3&lt;D115),0,E115*IF(G115=0,H115,MIN(H115,H115*(AY$3-D115+1)/MAX(1,G115)))*(1+F115)^(AY$3-D115)*$E93)</f>
        <v/>
      </c>
      <c r="AZ24" s="138">
        <f>IF(OR(E115=0,AZ$3&lt;D115),0,E115*IF(G115=0,H115,MIN(H115,H115*(AZ$3-D115+1)/MAX(1,G115)))*(1+F115)^(AZ$3-D115)*$E93)</f>
        <v/>
      </c>
      <c r="BA24" s="138">
        <f>IF(OR(E115=0,BA$3&lt;D115),0,E115*IF(G115=0,H115,MIN(H115,H115*(BA$3-D115+1)/MAX(1,G115)))*(1+F115)^(BA$3-D115)*$E93)</f>
        <v/>
      </c>
      <c r="BB24" s="138">
        <f>IF(OR(E115=0,BB$3&lt;D115),0,E115*IF(G115=0,H115,MIN(H115,H115*(BB$3-D115+1)/MAX(1,G115)))*(1+F115)^(BB$3-D115)*$E93)</f>
        <v/>
      </c>
    </row>
    <row r="25" ht="15" customHeight="1" s="91">
      <c r="A25" s="138">
        <f>A116</f>
        <v/>
      </c>
      <c r="B25" s="138">
        <f>B116</f>
        <v/>
      </c>
      <c r="C25" s="138">
        <f>C116</f>
        <v/>
      </c>
      <c r="D25" s="138">
        <f>SUM(E25:BB25)</f>
        <v/>
      </c>
      <c r="E25" s="138">
        <f>IF(OR(E116=0,E$3&lt;D116),0,E116*IF(G116=0,H116,MIN(H116,H116*(E$3-D116+1)/MAX(1,G116)))*(1+F116)^(E$3-D116)*$E93)</f>
        <v/>
      </c>
      <c r="F25" s="138">
        <f>IF(OR(E116=0,F$3&lt;D116),0,E116*IF(G116=0,H116,MIN(H116,H116*(F$3-D116+1)/MAX(1,G116)))*(1+F116)^(F$3-D116)*$E93)</f>
        <v/>
      </c>
      <c r="G25" s="138">
        <f>IF(OR(E116=0,G$3&lt;D116),0,E116*IF(G116=0,H116,MIN(H116,H116*(G$3-D116+1)/MAX(1,G116)))*(1+F116)^(G$3-D116)*$E93)</f>
        <v/>
      </c>
      <c r="H25" s="138">
        <f>IF(OR(E116=0,H$3&lt;D116),0,E116*IF(G116=0,H116,MIN(H116,H116*(H$3-D116+1)/MAX(1,G116)))*(1+F116)^(H$3-D116)*$E93)</f>
        <v/>
      </c>
      <c r="I25" s="138">
        <f>IF(OR(E116=0,I$3&lt;D116),0,E116*IF(G116=0,H116,MIN(H116,H116*(I$3-D116+1)/MAX(1,G116)))*(1+F116)^(I$3-D116)*$E93)</f>
        <v/>
      </c>
      <c r="J25" s="138">
        <f>IF(OR(E116=0,J$3&lt;D116),0,E116*IF(G116=0,H116,MIN(H116,H116*(J$3-D116+1)/MAX(1,G116)))*(1+F116)^(J$3-D116)*$E93)</f>
        <v/>
      </c>
      <c r="K25" s="138">
        <f>IF(OR(E116=0,K$3&lt;D116),0,E116*IF(G116=0,H116,MIN(H116,H116*(K$3-D116+1)/MAX(1,G116)))*(1+F116)^(K$3-D116)*$E93)</f>
        <v/>
      </c>
      <c r="L25" s="138">
        <f>IF(OR(E116=0,L$3&lt;D116),0,E116*IF(G116=0,H116,MIN(H116,H116*(L$3-D116+1)/MAX(1,G116)))*(1+F116)^(L$3-D116)*$E93)</f>
        <v/>
      </c>
      <c r="M25" s="138">
        <f>IF(OR(E116=0,M$3&lt;D116),0,E116*IF(G116=0,H116,MIN(H116,H116*(M$3-D116+1)/MAX(1,G116)))*(1+F116)^(M$3-D116)*$E93)</f>
        <v/>
      </c>
      <c r="N25" s="138">
        <f>IF(OR(E116=0,N$3&lt;D116),0,E116*IF(G116=0,H116,MIN(H116,H116*(N$3-D116+1)/MAX(1,G116)))*(1+F116)^(N$3-D116)*$E93)</f>
        <v/>
      </c>
      <c r="O25" s="138">
        <f>IF(OR(E116=0,O$3&lt;D116),0,E116*IF(G116=0,H116,MIN(H116,H116*(O$3-D116+1)/MAX(1,G116)))*(1+F116)^(O$3-D116)*$E93)</f>
        <v/>
      </c>
      <c r="P25" s="138">
        <f>IF(OR(E116=0,P$3&lt;D116),0,E116*IF(G116=0,H116,MIN(H116,H116*(P$3-D116+1)/MAX(1,G116)))*(1+F116)^(P$3-D116)*$E93)</f>
        <v/>
      </c>
      <c r="Q25" s="138">
        <f>IF(OR(E116=0,Q$3&lt;D116),0,E116*IF(G116=0,H116,MIN(H116,H116*(Q$3-D116+1)/MAX(1,G116)))*(1+F116)^(Q$3-D116)*$E93)</f>
        <v/>
      </c>
      <c r="R25" s="138">
        <f>IF(OR(E116=0,R$3&lt;D116),0,E116*IF(G116=0,H116,MIN(H116,H116*(R$3-D116+1)/MAX(1,G116)))*(1+F116)^(R$3-D116)*$E93)</f>
        <v/>
      </c>
      <c r="S25" s="138">
        <f>IF(OR(E116=0,S$3&lt;D116),0,E116*IF(G116=0,H116,MIN(H116,H116*(S$3-D116+1)/MAX(1,G116)))*(1+F116)^(S$3-D116)*$E93)</f>
        <v/>
      </c>
      <c r="T25" s="138">
        <f>IF(OR(E116=0,T$3&lt;D116),0,E116*IF(G116=0,H116,MIN(H116,H116*(T$3-D116+1)/MAX(1,G116)))*(1+F116)^(T$3-D116)*$E93)</f>
        <v/>
      </c>
      <c r="U25" s="138">
        <f>IF(OR(E116=0,U$3&lt;D116),0,E116*IF(G116=0,H116,MIN(H116,H116*(U$3-D116+1)/MAX(1,G116)))*(1+F116)^(U$3-D116)*$E93)</f>
        <v/>
      </c>
      <c r="V25" s="138">
        <f>IF(OR(E116=0,V$3&lt;D116),0,E116*IF(G116=0,H116,MIN(H116,H116*(V$3-D116+1)/MAX(1,G116)))*(1+F116)^(V$3-D116)*$E93)</f>
        <v/>
      </c>
      <c r="W25" s="138">
        <f>IF(OR(E116=0,W$3&lt;D116),0,E116*IF(G116=0,H116,MIN(H116,H116*(W$3-D116+1)/MAX(1,G116)))*(1+F116)^(W$3-D116)*$E93)</f>
        <v/>
      </c>
      <c r="X25" s="138">
        <f>IF(OR(E116=0,X$3&lt;D116),0,E116*IF(G116=0,H116,MIN(H116,H116*(X$3-D116+1)/MAX(1,G116)))*(1+F116)^(X$3-D116)*$E93)</f>
        <v/>
      </c>
      <c r="Y25" s="138">
        <f>IF(OR(E116=0,Y$3&lt;D116),0,E116*IF(G116=0,H116,MIN(H116,H116*(Y$3-D116+1)/MAX(1,G116)))*(1+F116)^(Y$3-D116)*$E93)</f>
        <v/>
      </c>
      <c r="Z25" s="138">
        <f>IF(OR(E116=0,Z$3&lt;D116),0,E116*IF(G116=0,H116,MIN(H116,H116*(Z$3-D116+1)/MAX(1,G116)))*(1+F116)^(Z$3-D116)*$E93)</f>
        <v/>
      </c>
      <c r="AA25" s="138">
        <f>IF(OR(E116=0,AA$3&lt;D116),0,E116*IF(G116=0,H116,MIN(H116,H116*(AA$3-D116+1)/MAX(1,G116)))*(1+F116)^(AA$3-D116)*$E93)</f>
        <v/>
      </c>
      <c r="AB25" s="138">
        <f>IF(OR(E116=0,AB$3&lt;D116),0,E116*IF(G116=0,H116,MIN(H116,H116*(AB$3-D116+1)/MAX(1,G116)))*(1+F116)^(AB$3-D116)*$E93)</f>
        <v/>
      </c>
      <c r="AC25" s="138">
        <f>IF(OR(E116=0,AC$3&lt;D116),0,E116*IF(G116=0,H116,MIN(H116,H116*(AC$3-D116+1)/MAX(1,G116)))*(1+F116)^(AC$3-D116)*$E93)</f>
        <v/>
      </c>
      <c r="AD25" s="138">
        <f>IF(OR(E116=0,AD$3&lt;D116),0,E116*IF(G116=0,H116,MIN(H116,H116*(AD$3-D116+1)/MAX(1,G116)))*(1+F116)^(AD$3-D116)*$E93)</f>
        <v/>
      </c>
      <c r="AE25" s="138">
        <f>IF(OR(E116=0,AE$3&lt;D116),0,E116*IF(G116=0,H116,MIN(H116,H116*(AE$3-D116+1)/MAX(1,G116)))*(1+F116)^(AE$3-D116)*$E93)</f>
        <v/>
      </c>
      <c r="AF25" s="138">
        <f>IF(OR(E116=0,AF$3&lt;D116),0,E116*IF(G116=0,H116,MIN(H116,H116*(AF$3-D116+1)/MAX(1,G116)))*(1+F116)^(AF$3-D116)*$E93)</f>
        <v/>
      </c>
      <c r="AG25" s="138">
        <f>IF(OR(E116=0,AG$3&lt;D116),0,E116*IF(G116=0,H116,MIN(H116,H116*(AG$3-D116+1)/MAX(1,G116)))*(1+F116)^(AG$3-D116)*$E93)</f>
        <v/>
      </c>
      <c r="AH25" s="138">
        <f>IF(OR(E116=0,AH$3&lt;D116),0,E116*IF(G116=0,H116,MIN(H116,H116*(AH$3-D116+1)/MAX(1,G116)))*(1+F116)^(AH$3-D116)*$E93)</f>
        <v/>
      </c>
      <c r="AI25" s="138">
        <f>IF(OR(E116=0,AI$3&lt;D116),0,E116*IF(G116=0,H116,MIN(H116,H116*(AI$3-D116+1)/MAX(1,G116)))*(1+F116)^(AI$3-D116)*$E93)</f>
        <v/>
      </c>
      <c r="AJ25" s="138">
        <f>IF(OR(E116=0,AJ$3&lt;D116),0,E116*IF(G116=0,H116,MIN(H116,H116*(AJ$3-D116+1)/MAX(1,G116)))*(1+F116)^(AJ$3-D116)*$E93)</f>
        <v/>
      </c>
      <c r="AK25" s="138">
        <f>IF(OR(E116=0,AK$3&lt;D116),0,E116*IF(G116=0,H116,MIN(H116,H116*(AK$3-D116+1)/MAX(1,G116)))*(1+F116)^(AK$3-D116)*$E93)</f>
        <v/>
      </c>
      <c r="AL25" s="138">
        <f>IF(OR(E116=0,AL$3&lt;D116),0,E116*IF(G116=0,H116,MIN(H116,H116*(AL$3-D116+1)/MAX(1,G116)))*(1+F116)^(AL$3-D116)*$E93)</f>
        <v/>
      </c>
      <c r="AM25" s="138">
        <f>IF(OR(E116=0,AM$3&lt;D116),0,E116*IF(G116=0,H116,MIN(H116,H116*(AM$3-D116+1)/MAX(1,G116)))*(1+F116)^(AM$3-D116)*$E93)</f>
        <v/>
      </c>
      <c r="AN25" s="138">
        <f>IF(OR(E116=0,AN$3&lt;D116),0,E116*IF(G116=0,H116,MIN(H116,H116*(AN$3-D116+1)/MAX(1,G116)))*(1+F116)^(AN$3-D116)*$E93)</f>
        <v/>
      </c>
      <c r="AO25" s="138">
        <f>IF(OR(E116=0,AO$3&lt;D116),0,E116*IF(G116=0,H116,MIN(H116,H116*(AO$3-D116+1)/MAX(1,G116)))*(1+F116)^(AO$3-D116)*$E93)</f>
        <v/>
      </c>
      <c r="AP25" s="138">
        <f>IF(OR(E116=0,AP$3&lt;D116),0,E116*IF(G116=0,H116,MIN(H116,H116*(AP$3-D116+1)/MAX(1,G116)))*(1+F116)^(AP$3-D116)*$E93)</f>
        <v/>
      </c>
      <c r="AQ25" s="138">
        <f>IF(OR(E116=0,AQ$3&lt;D116),0,E116*IF(G116=0,H116,MIN(H116,H116*(AQ$3-D116+1)/MAX(1,G116)))*(1+F116)^(AQ$3-D116)*$E93)</f>
        <v/>
      </c>
      <c r="AR25" s="138">
        <f>IF(OR(E116=0,AR$3&lt;D116),0,E116*IF(G116=0,H116,MIN(H116,H116*(AR$3-D116+1)/MAX(1,G116)))*(1+F116)^(AR$3-D116)*$E93)</f>
        <v/>
      </c>
      <c r="AS25" s="138">
        <f>IF(OR(E116=0,AS$3&lt;D116),0,E116*IF(G116=0,H116,MIN(H116,H116*(AS$3-D116+1)/MAX(1,G116)))*(1+F116)^(AS$3-D116)*$E93)</f>
        <v/>
      </c>
      <c r="AT25" s="138">
        <f>IF(OR(E116=0,AT$3&lt;D116),0,E116*IF(G116=0,H116,MIN(H116,H116*(AT$3-D116+1)/MAX(1,G116)))*(1+F116)^(AT$3-D116)*$E93)</f>
        <v/>
      </c>
      <c r="AU25" s="138">
        <f>IF(OR(E116=0,AU$3&lt;D116),0,E116*IF(G116=0,H116,MIN(H116,H116*(AU$3-D116+1)/MAX(1,G116)))*(1+F116)^(AU$3-D116)*$E93)</f>
        <v/>
      </c>
      <c r="AV25" s="138">
        <f>IF(OR(E116=0,AV$3&lt;D116),0,E116*IF(G116=0,H116,MIN(H116,H116*(AV$3-D116+1)/MAX(1,G116)))*(1+F116)^(AV$3-D116)*$E93)</f>
        <v/>
      </c>
      <c r="AW25" s="138">
        <f>IF(OR(E116=0,AW$3&lt;D116),0,E116*IF(G116=0,H116,MIN(H116,H116*(AW$3-D116+1)/MAX(1,G116)))*(1+F116)^(AW$3-D116)*$E93)</f>
        <v/>
      </c>
      <c r="AX25" s="138">
        <f>IF(OR(E116=0,AX$3&lt;D116),0,E116*IF(G116=0,H116,MIN(H116,H116*(AX$3-D116+1)/MAX(1,G116)))*(1+F116)^(AX$3-D116)*$E93)</f>
        <v/>
      </c>
      <c r="AY25" s="138">
        <f>IF(OR(E116=0,AY$3&lt;D116),0,E116*IF(G116=0,H116,MIN(H116,H116*(AY$3-D116+1)/MAX(1,G116)))*(1+F116)^(AY$3-D116)*$E93)</f>
        <v/>
      </c>
      <c r="AZ25" s="138">
        <f>IF(OR(E116=0,AZ$3&lt;D116),0,E116*IF(G116=0,H116,MIN(H116,H116*(AZ$3-D116+1)/MAX(1,G116)))*(1+F116)^(AZ$3-D116)*$E93)</f>
        <v/>
      </c>
      <c r="BA25" s="138">
        <f>IF(OR(E116=0,BA$3&lt;D116),0,E116*IF(G116=0,H116,MIN(H116,H116*(BA$3-D116+1)/MAX(1,G116)))*(1+F116)^(BA$3-D116)*$E93)</f>
        <v/>
      </c>
      <c r="BB25" s="138">
        <f>IF(OR(E116=0,BB$3&lt;D116),0,E116*IF(G116=0,H116,MIN(H116,H116*(BB$3-D116+1)/MAX(1,G116)))*(1+F116)^(BB$3-D116)*$E93)</f>
        <v/>
      </c>
    </row>
    <row r="26" ht="15" customHeight="1" s="91">
      <c r="A26" s="138">
        <f>A117</f>
        <v/>
      </c>
      <c r="B26" s="138">
        <f>B117</f>
        <v/>
      </c>
      <c r="C26" s="138">
        <f>C117</f>
        <v/>
      </c>
      <c r="D26" s="138">
        <f>SUM(E26:BB26)</f>
        <v/>
      </c>
      <c r="E26" s="138">
        <f>IF(OR(E117=0,E$3&lt;D117),0,E117*IF(G117=0,H117,MIN(H117,H117*(E$3-D117+1)/MAX(1,G117)))*(1+F117)^(E$3-D117)*$E93)</f>
        <v/>
      </c>
      <c r="F26" s="138">
        <f>IF(OR(E117=0,F$3&lt;D117),0,E117*IF(G117=0,H117,MIN(H117,H117*(F$3-D117+1)/MAX(1,G117)))*(1+F117)^(F$3-D117)*$E93)</f>
        <v/>
      </c>
      <c r="G26" s="138">
        <f>IF(OR(E117=0,G$3&lt;D117),0,E117*IF(G117=0,H117,MIN(H117,H117*(G$3-D117+1)/MAX(1,G117)))*(1+F117)^(G$3-D117)*$E93)</f>
        <v/>
      </c>
      <c r="H26" s="138">
        <f>IF(OR(E117=0,H$3&lt;D117),0,E117*IF(G117=0,H117,MIN(H117,H117*(H$3-D117+1)/MAX(1,G117)))*(1+F117)^(H$3-D117)*$E93)</f>
        <v/>
      </c>
      <c r="I26" s="138">
        <f>IF(OR(E117=0,I$3&lt;D117),0,E117*IF(G117=0,H117,MIN(H117,H117*(I$3-D117+1)/MAX(1,G117)))*(1+F117)^(I$3-D117)*$E93)</f>
        <v/>
      </c>
      <c r="J26" s="138">
        <f>IF(OR(E117=0,J$3&lt;D117),0,E117*IF(G117=0,H117,MIN(H117,H117*(J$3-D117+1)/MAX(1,G117)))*(1+F117)^(J$3-D117)*$E93)</f>
        <v/>
      </c>
      <c r="K26" s="138">
        <f>IF(OR(E117=0,K$3&lt;D117),0,E117*IF(G117=0,H117,MIN(H117,H117*(K$3-D117+1)/MAX(1,G117)))*(1+F117)^(K$3-D117)*$E93)</f>
        <v/>
      </c>
      <c r="L26" s="138">
        <f>IF(OR(E117=0,L$3&lt;D117),0,E117*IF(G117=0,H117,MIN(H117,H117*(L$3-D117+1)/MAX(1,G117)))*(1+F117)^(L$3-D117)*$E93)</f>
        <v/>
      </c>
      <c r="M26" s="138">
        <f>IF(OR(E117=0,M$3&lt;D117),0,E117*IF(G117=0,H117,MIN(H117,H117*(M$3-D117+1)/MAX(1,G117)))*(1+F117)^(M$3-D117)*$E93)</f>
        <v/>
      </c>
      <c r="N26" s="138">
        <f>IF(OR(E117=0,N$3&lt;D117),0,E117*IF(G117=0,H117,MIN(H117,H117*(N$3-D117+1)/MAX(1,G117)))*(1+F117)^(N$3-D117)*$E93)</f>
        <v/>
      </c>
      <c r="O26" s="138">
        <f>IF(OR(E117=0,O$3&lt;D117),0,E117*IF(G117=0,H117,MIN(H117,H117*(O$3-D117+1)/MAX(1,G117)))*(1+F117)^(O$3-D117)*$E93)</f>
        <v/>
      </c>
      <c r="P26" s="138">
        <f>IF(OR(E117=0,P$3&lt;D117),0,E117*IF(G117=0,H117,MIN(H117,H117*(P$3-D117+1)/MAX(1,G117)))*(1+F117)^(P$3-D117)*$E93)</f>
        <v/>
      </c>
      <c r="Q26" s="138">
        <f>IF(OR(E117=0,Q$3&lt;D117),0,E117*IF(G117=0,H117,MIN(H117,H117*(Q$3-D117+1)/MAX(1,G117)))*(1+F117)^(Q$3-D117)*$E93)</f>
        <v/>
      </c>
      <c r="R26" s="138">
        <f>IF(OR(E117=0,R$3&lt;D117),0,E117*IF(G117=0,H117,MIN(H117,H117*(R$3-D117+1)/MAX(1,G117)))*(1+F117)^(R$3-D117)*$E93)</f>
        <v/>
      </c>
      <c r="S26" s="138">
        <f>IF(OR(E117=0,S$3&lt;D117),0,E117*IF(G117=0,H117,MIN(H117,H117*(S$3-D117+1)/MAX(1,G117)))*(1+F117)^(S$3-D117)*$E93)</f>
        <v/>
      </c>
      <c r="T26" s="138">
        <f>IF(OR(E117=0,T$3&lt;D117),0,E117*IF(G117=0,H117,MIN(H117,H117*(T$3-D117+1)/MAX(1,G117)))*(1+F117)^(T$3-D117)*$E93)</f>
        <v/>
      </c>
      <c r="U26" s="138">
        <f>IF(OR(E117=0,U$3&lt;D117),0,E117*IF(G117=0,H117,MIN(H117,H117*(U$3-D117+1)/MAX(1,G117)))*(1+F117)^(U$3-D117)*$E93)</f>
        <v/>
      </c>
      <c r="V26" s="138">
        <f>IF(OR(E117=0,V$3&lt;D117),0,E117*IF(G117=0,H117,MIN(H117,H117*(V$3-D117+1)/MAX(1,G117)))*(1+F117)^(V$3-D117)*$E93)</f>
        <v/>
      </c>
      <c r="W26" s="138">
        <f>IF(OR(E117=0,W$3&lt;D117),0,E117*IF(G117=0,H117,MIN(H117,H117*(W$3-D117+1)/MAX(1,G117)))*(1+F117)^(W$3-D117)*$E93)</f>
        <v/>
      </c>
      <c r="X26" s="138">
        <f>IF(OR(E117=0,X$3&lt;D117),0,E117*IF(G117=0,H117,MIN(H117,H117*(X$3-D117+1)/MAX(1,G117)))*(1+F117)^(X$3-D117)*$E93)</f>
        <v/>
      </c>
      <c r="Y26" s="138">
        <f>IF(OR(E117=0,Y$3&lt;D117),0,E117*IF(G117=0,H117,MIN(H117,H117*(Y$3-D117+1)/MAX(1,G117)))*(1+F117)^(Y$3-D117)*$E93)</f>
        <v/>
      </c>
      <c r="Z26" s="138">
        <f>IF(OR(E117=0,Z$3&lt;D117),0,E117*IF(G117=0,H117,MIN(H117,H117*(Z$3-D117+1)/MAX(1,G117)))*(1+F117)^(Z$3-D117)*$E93)</f>
        <v/>
      </c>
      <c r="AA26" s="138">
        <f>IF(OR(E117=0,AA$3&lt;D117),0,E117*IF(G117=0,H117,MIN(H117,H117*(AA$3-D117+1)/MAX(1,G117)))*(1+F117)^(AA$3-D117)*$E93)</f>
        <v/>
      </c>
      <c r="AB26" s="138">
        <f>IF(OR(E117=0,AB$3&lt;D117),0,E117*IF(G117=0,H117,MIN(H117,H117*(AB$3-D117+1)/MAX(1,G117)))*(1+F117)^(AB$3-D117)*$E93)</f>
        <v/>
      </c>
      <c r="AC26" s="138">
        <f>IF(OR(E117=0,AC$3&lt;D117),0,E117*IF(G117=0,H117,MIN(H117,H117*(AC$3-D117+1)/MAX(1,G117)))*(1+F117)^(AC$3-D117)*$E93)</f>
        <v/>
      </c>
      <c r="AD26" s="138">
        <f>IF(OR(E117=0,AD$3&lt;D117),0,E117*IF(G117=0,H117,MIN(H117,H117*(AD$3-D117+1)/MAX(1,G117)))*(1+F117)^(AD$3-D117)*$E93)</f>
        <v/>
      </c>
      <c r="AE26" s="138">
        <f>IF(OR(E117=0,AE$3&lt;D117),0,E117*IF(G117=0,H117,MIN(H117,H117*(AE$3-D117+1)/MAX(1,G117)))*(1+F117)^(AE$3-D117)*$E93)</f>
        <v/>
      </c>
      <c r="AF26" s="138">
        <f>IF(OR(E117=0,AF$3&lt;D117),0,E117*IF(G117=0,H117,MIN(H117,H117*(AF$3-D117+1)/MAX(1,G117)))*(1+F117)^(AF$3-D117)*$E93)</f>
        <v/>
      </c>
      <c r="AG26" s="138">
        <f>IF(OR(E117=0,AG$3&lt;D117),0,E117*IF(G117=0,H117,MIN(H117,H117*(AG$3-D117+1)/MAX(1,G117)))*(1+F117)^(AG$3-D117)*$E93)</f>
        <v/>
      </c>
      <c r="AH26" s="138">
        <f>IF(OR(E117=0,AH$3&lt;D117),0,E117*IF(G117=0,H117,MIN(H117,H117*(AH$3-D117+1)/MAX(1,G117)))*(1+F117)^(AH$3-D117)*$E93)</f>
        <v/>
      </c>
      <c r="AI26" s="138">
        <f>IF(OR(E117=0,AI$3&lt;D117),0,E117*IF(G117=0,H117,MIN(H117,H117*(AI$3-D117+1)/MAX(1,G117)))*(1+F117)^(AI$3-D117)*$E93)</f>
        <v/>
      </c>
      <c r="AJ26" s="138">
        <f>IF(OR(E117=0,AJ$3&lt;D117),0,E117*IF(G117=0,H117,MIN(H117,H117*(AJ$3-D117+1)/MAX(1,G117)))*(1+F117)^(AJ$3-D117)*$E93)</f>
        <v/>
      </c>
      <c r="AK26" s="138">
        <f>IF(OR(E117=0,AK$3&lt;D117),0,E117*IF(G117=0,H117,MIN(H117,H117*(AK$3-D117+1)/MAX(1,G117)))*(1+F117)^(AK$3-D117)*$E93)</f>
        <v/>
      </c>
      <c r="AL26" s="138">
        <f>IF(OR(E117=0,AL$3&lt;D117),0,E117*IF(G117=0,H117,MIN(H117,H117*(AL$3-D117+1)/MAX(1,G117)))*(1+F117)^(AL$3-D117)*$E93)</f>
        <v/>
      </c>
      <c r="AM26" s="138">
        <f>IF(OR(E117=0,AM$3&lt;D117),0,E117*IF(G117=0,H117,MIN(H117,H117*(AM$3-D117+1)/MAX(1,G117)))*(1+F117)^(AM$3-D117)*$E93)</f>
        <v/>
      </c>
      <c r="AN26" s="138">
        <f>IF(OR(E117=0,AN$3&lt;D117),0,E117*IF(G117=0,H117,MIN(H117,H117*(AN$3-D117+1)/MAX(1,G117)))*(1+F117)^(AN$3-D117)*$E93)</f>
        <v/>
      </c>
      <c r="AO26" s="138">
        <f>IF(OR(E117=0,AO$3&lt;D117),0,E117*IF(G117=0,H117,MIN(H117,H117*(AO$3-D117+1)/MAX(1,G117)))*(1+F117)^(AO$3-D117)*$E93)</f>
        <v/>
      </c>
      <c r="AP26" s="138">
        <f>IF(OR(E117=0,AP$3&lt;D117),0,E117*IF(G117=0,H117,MIN(H117,H117*(AP$3-D117+1)/MAX(1,G117)))*(1+F117)^(AP$3-D117)*$E93)</f>
        <v/>
      </c>
      <c r="AQ26" s="138">
        <f>IF(OR(E117=0,AQ$3&lt;D117),0,E117*IF(G117=0,H117,MIN(H117,H117*(AQ$3-D117+1)/MAX(1,G117)))*(1+F117)^(AQ$3-D117)*$E93)</f>
        <v/>
      </c>
      <c r="AR26" s="138">
        <f>IF(OR(E117=0,AR$3&lt;D117),0,E117*IF(G117=0,H117,MIN(H117,H117*(AR$3-D117+1)/MAX(1,G117)))*(1+F117)^(AR$3-D117)*$E93)</f>
        <v/>
      </c>
      <c r="AS26" s="138">
        <f>IF(OR(E117=0,AS$3&lt;D117),0,E117*IF(G117=0,H117,MIN(H117,H117*(AS$3-D117+1)/MAX(1,G117)))*(1+F117)^(AS$3-D117)*$E93)</f>
        <v/>
      </c>
      <c r="AT26" s="138">
        <f>IF(OR(E117=0,AT$3&lt;D117),0,E117*IF(G117=0,H117,MIN(H117,H117*(AT$3-D117+1)/MAX(1,G117)))*(1+F117)^(AT$3-D117)*$E93)</f>
        <v/>
      </c>
      <c r="AU26" s="138">
        <f>IF(OR(E117=0,AU$3&lt;D117),0,E117*IF(G117=0,H117,MIN(H117,H117*(AU$3-D117+1)/MAX(1,G117)))*(1+F117)^(AU$3-D117)*$E93)</f>
        <v/>
      </c>
      <c r="AV26" s="138">
        <f>IF(OR(E117=0,AV$3&lt;D117),0,E117*IF(G117=0,H117,MIN(H117,H117*(AV$3-D117+1)/MAX(1,G117)))*(1+F117)^(AV$3-D117)*$E93)</f>
        <v/>
      </c>
      <c r="AW26" s="138">
        <f>IF(OR(E117=0,AW$3&lt;D117),0,E117*IF(G117=0,H117,MIN(H117,H117*(AW$3-D117+1)/MAX(1,G117)))*(1+F117)^(AW$3-D117)*$E93)</f>
        <v/>
      </c>
      <c r="AX26" s="138">
        <f>IF(OR(E117=0,AX$3&lt;D117),0,E117*IF(G117=0,H117,MIN(H117,H117*(AX$3-D117+1)/MAX(1,G117)))*(1+F117)^(AX$3-D117)*$E93)</f>
        <v/>
      </c>
      <c r="AY26" s="138">
        <f>IF(OR(E117=0,AY$3&lt;D117),0,E117*IF(G117=0,H117,MIN(H117,H117*(AY$3-D117+1)/MAX(1,G117)))*(1+F117)^(AY$3-D117)*$E93)</f>
        <v/>
      </c>
      <c r="AZ26" s="138">
        <f>IF(OR(E117=0,AZ$3&lt;D117),0,E117*IF(G117=0,H117,MIN(H117,H117*(AZ$3-D117+1)/MAX(1,G117)))*(1+F117)^(AZ$3-D117)*$E93)</f>
        <v/>
      </c>
      <c r="BA26" s="138">
        <f>IF(OR(E117=0,BA$3&lt;D117),0,E117*IF(G117=0,H117,MIN(H117,H117*(BA$3-D117+1)/MAX(1,G117)))*(1+F117)^(BA$3-D117)*$E93)</f>
        <v/>
      </c>
      <c r="BB26" s="138">
        <f>IF(OR(E117=0,BB$3&lt;D117),0,E117*IF(G117=0,H117,MIN(H117,H117*(BB$3-D117+1)/MAX(1,G117)))*(1+F117)^(BB$3-D117)*$E93)</f>
        <v/>
      </c>
    </row>
    <row r="27" ht="15" customHeight="1" s="91">
      <c r="A27" s="138">
        <f>A118</f>
        <v/>
      </c>
      <c r="B27" s="138">
        <f>B118</f>
        <v/>
      </c>
      <c r="C27" s="138">
        <f>C118</f>
        <v/>
      </c>
      <c r="D27" s="138">
        <f>SUM(E27:BB27)</f>
        <v/>
      </c>
      <c r="E27" s="138">
        <f>IF(OR(E118=0,E$3&lt;D118),0,E118*IF(G118=0,H118,MIN(H118,H118*(E$3-D118+1)/MAX(1,G118)))*(1+F118)^(E$3-D118)*$E93)</f>
        <v/>
      </c>
      <c r="F27" s="138">
        <f>IF(OR(E118=0,F$3&lt;D118),0,E118*IF(G118=0,H118,MIN(H118,H118*(F$3-D118+1)/MAX(1,G118)))*(1+F118)^(F$3-D118)*$E93)</f>
        <v/>
      </c>
      <c r="G27" s="138">
        <f>IF(OR(E118=0,G$3&lt;D118),0,E118*IF(G118=0,H118,MIN(H118,H118*(G$3-D118+1)/MAX(1,G118)))*(1+F118)^(G$3-D118)*$E93)</f>
        <v/>
      </c>
      <c r="H27" s="138">
        <f>IF(OR(E118=0,H$3&lt;D118),0,E118*IF(G118=0,H118,MIN(H118,H118*(H$3-D118+1)/MAX(1,G118)))*(1+F118)^(H$3-D118)*$E93)</f>
        <v/>
      </c>
      <c r="I27" s="138">
        <f>IF(OR(E118=0,I$3&lt;D118),0,E118*IF(G118=0,H118,MIN(H118,H118*(I$3-D118+1)/MAX(1,G118)))*(1+F118)^(I$3-D118)*$E93)</f>
        <v/>
      </c>
      <c r="J27" s="138">
        <f>IF(OR(E118=0,J$3&lt;D118),0,E118*IF(G118=0,H118,MIN(H118,H118*(J$3-D118+1)/MAX(1,G118)))*(1+F118)^(J$3-D118)*$E93)</f>
        <v/>
      </c>
      <c r="K27" s="138">
        <f>IF(OR(E118=0,K$3&lt;D118),0,E118*IF(G118=0,H118,MIN(H118,H118*(K$3-D118+1)/MAX(1,G118)))*(1+F118)^(K$3-D118)*$E93)</f>
        <v/>
      </c>
      <c r="L27" s="138">
        <f>IF(OR(E118=0,L$3&lt;D118),0,E118*IF(G118=0,H118,MIN(H118,H118*(L$3-D118+1)/MAX(1,G118)))*(1+F118)^(L$3-D118)*$E93)</f>
        <v/>
      </c>
      <c r="M27" s="138">
        <f>IF(OR(E118=0,M$3&lt;D118),0,E118*IF(G118=0,H118,MIN(H118,H118*(M$3-D118+1)/MAX(1,G118)))*(1+F118)^(M$3-D118)*$E93)</f>
        <v/>
      </c>
      <c r="N27" s="138">
        <f>IF(OR(E118=0,N$3&lt;D118),0,E118*IF(G118=0,H118,MIN(H118,H118*(N$3-D118+1)/MAX(1,G118)))*(1+F118)^(N$3-D118)*$E93)</f>
        <v/>
      </c>
      <c r="O27" s="138">
        <f>IF(OR(E118=0,O$3&lt;D118),0,E118*IF(G118=0,H118,MIN(H118,H118*(O$3-D118+1)/MAX(1,G118)))*(1+F118)^(O$3-D118)*$E93)</f>
        <v/>
      </c>
      <c r="P27" s="138">
        <f>IF(OR(E118=0,P$3&lt;D118),0,E118*IF(G118=0,H118,MIN(H118,H118*(P$3-D118+1)/MAX(1,G118)))*(1+F118)^(P$3-D118)*$E93)</f>
        <v/>
      </c>
      <c r="Q27" s="138">
        <f>IF(OR(E118=0,Q$3&lt;D118),0,E118*IF(G118=0,H118,MIN(H118,H118*(Q$3-D118+1)/MAX(1,G118)))*(1+F118)^(Q$3-D118)*$E93)</f>
        <v/>
      </c>
      <c r="R27" s="138">
        <f>IF(OR(E118=0,R$3&lt;D118),0,E118*IF(G118=0,H118,MIN(H118,H118*(R$3-D118+1)/MAX(1,G118)))*(1+F118)^(R$3-D118)*$E93)</f>
        <v/>
      </c>
      <c r="S27" s="138">
        <f>IF(OR(E118=0,S$3&lt;D118),0,E118*IF(G118=0,H118,MIN(H118,H118*(S$3-D118+1)/MAX(1,G118)))*(1+F118)^(S$3-D118)*$E93)</f>
        <v/>
      </c>
      <c r="T27" s="138">
        <f>IF(OR(E118=0,T$3&lt;D118),0,E118*IF(G118=0,H118,MIN(H118,H118*(T$3-D118+1)/MAX(1,G118)))*(1+F118)^(T$3-D118)*$E93)</f>
        <v/>
      </c>
      <c r="U27" s="138">
        <f>IF(OR(E118=0,U$3&lt;D118),0,E118*IF(G118=0,H118,MIN(H118,H118*(U$3-D118+1)/MAX(1,G118)))*(1+F118)^(U$3-D118)*$E93)</f>
        <v/>
      </c>
      <c r="V27" s="138">
        <f>IF(OR(E118=0,V$3&lt;D118),0,E118*IF(G118=0,H118,MIN(H118,H118*(V$3-D118+1)/MAX(1,G118)))*(1+F118)^(V$3-D118)*$E93)</f>
        <v/>
      </c>
      <c r="W27" s="138">
        <f>IF(OR(E118=0,W$3&lt;D118),0,E118*IF(G118=0,H118,MIN(H118,H118*(W$3-D118+1)/MAX(1,G118)))*(1+F118)^(W$3-D118)*$E93)</f>
        <v/>
      </c>
      <c r="X27" s="138">
        <f>IF(OR(E118=0,X$3&lt;D118),0,E118*IF(G118=0,H118,MIN(H118,H118*(X$3-D118+1)/MAX(1,G118)))*(1+F118)^(X$3-D118)*$E93)</f>
        <v/>
      </c>
      <c r="Y27" s="138">
        <f>IF(OR(E118=0,Y$3&lt;D118),0,E118*IF(G118=0,H118,MIN(H118,H118*(Y$3-D118+1)/MAX(1,G118)))*(1+F118)^(Y$3-D118)*$E93)</f>
        <v/>
      </c>
      <c r="Z27" s="138">
        <f>IF(OR(E118=0,Z$3&lt;D118),0,E118*IF(G118=0,H118,MIN(H118,H118*(Z$3-D118+1)/MAX(1,G118)))*(1+F118)^(Z$3-D118)*$E93)</f>
        <v/>
      </c>
      <c r="AA27" s="138">
        <f>IF(OR(E118=0,AA$3&lt;D118),0,E118*IF(G118=0,H118,MIN(H118,H118*(AA$3-D118+1)/MAX(1,G118)))*(1+F118)^(AA$3-D118)*$E93)</f>
        <v/>
      </c>
      <c r="AB27" s="138">
        <f>IF(OR(E118=0,AB$3&lt;D118),0,E118*IF(G118=0,H118,MIN(H118,H118*(AB$3-D118+1)/MAX(1,G118)))*(1+F118)^(AB$3-D118)*$E93)</f>
        <v/>
      </c>
      <c r="AC27" s="138">
        <f>IF(OR(E118=0,AC$3&lt;D118),0,E118*IF(G118=0,H118,MIN(H118,H118*(AC$3-D118+1)/MAX(1,G118)))*(1+F118)^(AC$3-D118)*$E93)</f>
        <v/>
      </c>
      <c r="AD27" s="138">
        <f>IF(OR(E118=0,AD$3&lt;D118),0,E118*IF(G118=0,H118,MIN(H118,H118*(AD$3-D118+1)/MAX(1,G118)))*(1+F118)^(AD$3-D118)*$E93)</f>
        <v/>
      </c>
      <c r="AE27" s="138">
        <f>IF(OR(E118=0,AE$3&lt;D118),0,E118*IF(G118=0,H118,MIN(H118,H118*(AE$3-D118+1)/MAX(1,G118)))*(1+F118)^(AE$3-D118)*$E93)</f>
        <v/>
      </c>
      <c r="AF27" s="138">
        <f>IF(OR(E118=0,AF$3&lt;D118),0,E118*IF(G118=0,H118,MIN(H118,H118*(AF$3-D118+1)/MAX(1,G118)))*(1+F118)^(AF$3-D118)*$E93)</f>
        <v/>
      </c>
      <c r="AG27" s="138">
        <f>IF(OR(E118=0,AG$3&lt;D118),0,E118*IF(G118=0,H118,MIN(H118,H118*(AG$3-D118+1)/MAX(1,G118)))*(1+F118)^(AG$3-D118)*$E93)</f>
        <v/>
      </c>
      <c r="AH27" s="138">
        <f>IF(OR(E118=0,AH$3&lt;D118),0,E118*IF(G118=0,H118,MIN(H118,H118*(AH$3-D118+1)/MAX(1,G118)))*(1+F118)^(AH$3-D118)*$E93)</f>
        <v/>
      </c>
      <c r="AI27" s="138">
        <f>IF(OR(E118=0,AI$3&lt;D118),0,E118*IF(G118=0,H118,MIN(H118,H118*(AI$3-D118+1)/MAX(1,G118)))*(1+F118)^(AI$3-D118)*$E93)</f>
        <v/>
      </c>
      <c r="AJ27" s="138">
        <f>IF(OR(E118=0,AJ$3&lt;D118),0,E118*IF(G118=0,H118,MIN(H118,H118*(AJ$3-D118+1)/MAX(1,G118)))*(1+F118)^(AJ$3-D118)*$E93)</f>
        <v/>
      </c>
      <c r="AK27" s="138">
        <f>IF(OR(E118=0,AK$3&lt;D118),0,E118*IF(G118=0,H118,MIN(H118,H118*(AK$3-D118+1)/MAX(1,G118)))*(1+F118)^(AK$3-D118)*$E93)</f>
        <v/>
      </c>
      <c r="AL27" s="138">
        <f>IF(OR(E118=0,AL$3&lt;D118),0,E118*IF(G118=0,H118,MIN(H118,H118*(AL$3-D118+1)/MAX(1,G118)))*(1+F118)^(AL$3-D118)*$E93)</f>
        <v/>
      </c>
      <c r="AM27" s="138">
        <f>IF(OR(E118=0,AM$3&lt;D118),0,E118*IF(G118=0,H118,MIN(H118,H118*(AM$3-D118+1)/MAX(1,G118)))*(1+F118)^(AM$3-D118)*$E93)</f>
        <v/>
      </c>
      <c r="AN27" s="138">
        <f>IF(OR(E118=0,AN$3&lt;D118),0,E118*IF(G118=0,H118,MIN(H118,H118*(AN$3-D118+1)/MAX(1,G118)))*(1+F118)^(AN$3-D118)*$E93)</f>
        <v/>
      </c>
      <c r="AO27" s="138">
        <f>IF(OR(E118=0,AO$3&lt;D118),0,E118*IF(G118=0,H118,MIN(H118,H118*(AO$3-D118+1)/MAX(1,G118)))*(1+F118)^(AO$3-D118)*$E93)</f>
        <v/>
      </c>
      <c r="AP27" s="138">
        <f>IF(OR(E118=0,AP$3&lt;D118),0,E118*IF(G118=0,H118,MIN(H118,H118*(AP$3-D118+1)/MAX(1,G118)))*(1+F118)^(AP$3-D118)*$E93)</f>
        <v/>
      </c>
      <c r="AQ27" s="138">
        <f>IF(OR(E118=0,AQ$3&lt;D118),0,E118*IF(G118=0,H118,MIN(H118,H118*(AQ$3-D118+1)/MAX(1,G118)))*(1+F118)^(AQ$3-D118)*$E93)</f>
        <v/>
      </c>
      <c r="AR27" s="138">
        <f>IF(OR(E118=0,AR$3&lt;D118),0,E118*IF(G118=0,H118,MIN(H118,H118*(AR$3-D118+1)/MAX(1,G118)))*(1+F118)^(AR$3-D118)*$E93)</f>
        <v/>
      </c>
      <c r="AS27" s="138">
        <f>IF(OR(E118=0,AS$3&lt;D118),0,E118*IF(G118=0,H118,MIN(H118,H118*(AS$3-D118+1)/MAX(1,G118)))*(1+F118)^(AS$3-D118)*$E93)</f>
        <v/>
      </c>
      <c r="AT27" s="138">
        <f>IF(OR(E118=0,AT$3&lt;D118),0,E118*IF(G118=0,H118,MIN(H118,H118*(AT$3-D118+1)/MAX(1,G118)))*(1+F118)^(AT$3-D118)*$E93)</f>
        <v/>
      </c>
      <c r="AU27" s="138">
        <f>IF(OR(E118=0,AU$3&lt;D118),0,E118*IF(G118=0,H118,MIN(H118,H118*(AU$3-D118+1)/MAX(1,G118)))*(1+F118)^(AU$3-D118)*$E93)</f>
        <v/>
      </c>
      <c r="AV27" s="138">
        <f>IF(OR(E118=0,AV$3&lt;D118),0,E118*IF(G118=0,H118,MIN(H118,H118*(AV$3-D118+1)/MAX(1,G118)))*(1+F118)^(AV$3-D118)*$E93)</f>
        <v/>
      </c>
      <c r="AW27" s="138">
        <f>IF(OR(E118=0,AW$3&lt;D118),0,E118*IF(G118=0,H118,MIN(H118,H118*(AW$3-D118+1)/MAX(1,G118)))*(1+F118)^(AW$3-D118)*$E93)</f>
        <v/>
      </c>
      <c r="AX27" s="138">
        <f>IF(OR(E118=0,AX$3&lt;D118),0,E118*IF(G118=0,H118,MIN(H118,H118*(AX$3-D118+1)/MAX(1,G118)))*(1+F118)^(AX$3-D118)*$E93)</f>
        <v/>
      </c>
      <c r="AY27" s="138">
        <f>IF(OR(E118=0,AY$3&lt;D118),0,E118*IF(G118=0,H118,MIN(H118,H118*(AY$3-D118+1)/MAX(1,G118)))*(1+F118)^(AY$3-D118)*$E93)</f>
        <v/>
      </c>
      <c r="AZ27" s="138">
        <f>IF(OR(E118=0,AZ$3&lt;D118),0,E118*IF(G118=0,H118,MIN(H118,H118*(AZ$3-D118+1)/MAX(1,G118)))*(1+F118)^(AZ$3-D118)*$E93)</f>
        <v/>
      </c>
      <c r="BA27" s="138">
        <f>IF(OR(E118=0,BA$3&lt;D118),0,E118*IF(G118=0,H118,MIN(H118,H118*(BA$3-D118+1)/MAX(1,G118)))*(1+F118)^(BA$3-D118)*$E93)</f>
        <v/>
      </c>
      <c r="BB27" s="138">
        <f>IF(OR(E118=0,BB$3&lt;D118),0,E118*IF(G118=0,H118,MIN(H118,H118*(BB$3-D118+1)/MAX(1,G118)))*(1+F118)^(BB$3-D118)*$E93)</f>
        <v/>
      </c>
    </row>
    <row r="28" ht="15" customHeight="1" s="91">
      <c r="A28" s="138">
        <f>A119</f>
        <v/>
      </c>
      <c r="B28" s="138">
        <f>B119</f>
        <v/>
      </c>
      <c r="C28" s="138">
        <f>C119</f>
        <v/>
      </c>
      <c r="D28" s="138">
        <f>SUM(E28:BB28)</f>
        <v/>
      </c>
      <c r="E28" s="138">
        <f>IF(OR(E119=0,E$3&lt;D119),0,E119*IF(G119=0,H119,MIN(H119,H119*(E$3-D119+1)/MAX(1,G119)))*(1+F119)^(E$3-D119)*$E93)</f>
        <v/>
      </c>
      <c r="F28" s="138">
        <f>IF(OR(E119=0,F$3&lt;D119),0,E119*IF(G119=0,H119,MIN(H119,H119*(F$3-D119+1)/MAX(1,G119)))*(1+F119)^(F$3-D119)*$E93)</f>
        <v/>
      </c>
      <c r="G28" s="138">
        <f>IF(OR(E119=0,G$3&lt;D119),0,E119*IF(G119=0,H119,MIN(H119,H119*(G$3-D119+1)/MAX(1,G119)))*(1+F119)^(G$3-D119)*$E93)</f>
        <v/>
      </c>
      <c r="H28" s="138">
        <f>IF(OR(E119=0,H$3&lt;D119),0,E119*IF(G119=0,H119,MIN(H119,H119*(H$3-D119+1)/MAX(1,G119)))*(1+F119)^(H$3-D119)*$E93)</f>
        <v/>
      </c>
      <c r="I28" s="138">
        <f>IF(OR(E119=0,I$3&lt;D119),0,E119*IF(G119=0,H119,MIN(H119,H119*(I$3-D119+1)/MAX(1,G119)))*(1+F119)^(I$3-D119)*$E93)</f>
        <v/>
      </c>
      <c r="J28" s="138">
        <f>IF(OR(E119=0,J$3&lt;D119),0,E119*IF(G119=0,H119,MIN(H119,H119*(J$3-D119+1)/MAX(1,G119)))*(1+F119)^(J$3-D119)*$E93)</f>
        <v/>
      </c>
      <c r="K28" s="138">
        <f>IF(OR(E119=0,K$3&lt;D119),0,E119*IF(G119=0,H119,MIN(H119,H119*(K$3-D119+1)/MAX(1,G119)))*(1+F119)^(K$3-D119)*$E93)</f>
        <v/>
      </c>
      <c r="L28" s="138">
        <f>IF(OR(E119=0,L$3&lt;D119),0,E119*IF(G119=0,H119,MIN(H119,H119*(L$3-D119+1)/MAX(1,G119)))*(1+F119)^(L$3-D119)*$E93)</f>
        <v/>
      </c>
      <c r="M28" s="138">
        <f>IF(OR(E119=0,M$3&lt;D119),0,E119*IF(G119=0,H119,MIN(H119,H119*(M$3-D119+1)/MAX(1,G119)))*(1+F119)^(M$3-D119)*$E93)</f>
        <v/>
      </c>
      <c r="N28" s="138">
        <f>IF(OR(E119=0,N$3&lt;D119),0,E119*IF(G119=0,H119,MIN(H119,H119*(N$3-D119+1)/MAX(1,G119)))*(1+F119)^(N$3-D119)*$E93)</f>
        <v/>
      </c>
      <c r="O28" s="138">
        <f>IF(OR(E119=0,O$3&lt;D119),0,E119*IF(G119=0,H119,MIN(H119,H119*(O$3-D119+1)/MAX(1,G119)))*(1+F119)^(O$3-D119)*$E93)</f>
        <v/>
      </c>
      <c r="P28" s="138">
        <f>IF(OR(E119=0,P$3&lt;D119),0,E119*IF(G119=0,H119,MIN(H119,H119*(P$3-D119+1)/MAX(1,G119)))*(1+F119)^(P$3-D119)*$E93)</f>
        <v/>
      </c>
      <c r="Q28" s="138">
        <f>IF(OR(E119=0,Q$3&lt;D119),0,E119*IF(G119=0,H119,MIN(H119,H119*(Q$3-D119+1)/MAX(1,G119)))*(1+F119)^(Q$3-D119)*$E93)</f>
        <v/>
      </c>
      <c r="R28" s="138">
        <f>IF(OR(E119=0,R$3&lt;D119),0,E119*IF(G119=0,H119,MIN(H119,H119*(R$3-D119+1)/MAX(1,G119)))*(1+F119)^(R$3-D119)*$E93)</f>
        <v/>
      </c>
      <c r="S28" s="138">
        <f>IF(OR(E119=0,S$3&lt;D119),0,E119*IF(G119=0,H119,MIN(H119,H119*(S$3-D119+1)/MAX(1,G119)))*(1+F119)^(S$3-D119)*$E93)</f>
        <v/>
      </c>
      <c r="T28" s="138">
        <f>IF(OR(E119=0,T$3&lt;D119),0,E119*IF(G119=0,H119,MIN(H119,H119*(T$3-D119+1)/MAX(1,G119)))*(1+F119)^(T$3-D119)*$E93)</f>
        <v/>
      </c>
      <c r="U28" s="138">
        <f>IF(OR(E119=0,U$3&lt;D119),0,E119*IF(G119=0,H119,MIN(H119,H119*(U$3-D119+1)/MAX(1,G119)))*(1+F119)^(U$3-D119)*$E93)</f>
        <v/>
      </c>
      <c r="V28" s="138">
        <f>IF(OR(E119=0,V$3&lt;D119),0,E119*IF(G119=0,H119,MIN(H119,H119*(V$3-D119+1)/MAX(1,G119)))*(1+F119)^(V$3-D119)*$E93)</f>
        <v/>
      </c>
      <c r="W28" s="138">
        <f>IF(OR(E119=0,W$3&lt;D119),0,E119*IF(G119=0,H119,MIN(H119,H119*(W$3-D119+1)/MAX(1,G119)))*(1+F119)^(W$3-D119)*$E93)</f>
        <v/>
      </c>
      <c r="X28" s="138">
        <f>IF(OR(E119=0,X$3&lt;D119),0,E119*IF(G119=0,H119,MIN(H119,H119*(X$3-D119+1)/MAX(1,G119)))*(1+F119)^(X$3-D119)*$E93)</f>
        <v/>
      </c>
      <c r="Y28" s="138">
        <f>IF(OR(E119=0,Y$3&lt;D119),0,E119*IF(G119=0,H119,MIN(H119,H119*(Y$3-D119+1)/MAX(1,G119)))*(1+F119)^(Y$3-D119)*$E93)</f>
        <v/>
      </c>
      <c r="Z28" s="138">
        <f>IF(OR(E119=0,Z$3&lt;D119),0,E119*IF(G119=0,H119,MIN(H119,H119*(Z$3-D119+1)/MAX(1,G119)))*(1+F119)^(Z$3-D119)*$E93)</f>
        <v/>
      </c>
      <c r="AA28" s="138">
        <f>IF(OR(E119=0,AA$3&lt;D119),0,E119*IF(G119=0,H119,MIN(H119,H119*(AA$3-D119+1)/MAX(1,G119)))*(1+F119)^(AA$3-D119)*$E93)</f>
        <v/>
      </c>
      <c r="AB28" s="138">
        <f>IF(OR(E119=0,AB$3&lt;D119),0,E119*IF(G119=0,H119,MIN(H119,H119*(AB$3-D119+1)/MAX(1,G119)))*(1+F119)^(AB$3-D119)*$E93)</f>
        <v/>
      </c>
      <c r="AC28" s="138">
        <f>IF(OR(E119=0,AC$3&lt;D119),0,E119*IF(G119=0,H119,MIN(H119,H119*(AC$3-D119+1)/MAX(1,G119)))*(1+F119)^(AC$3-D119)*$E93)</f>
        <v/>
      </c>
      <c r="AD28" s="138">
        <f>IF(OR(E119=0,AD$3&lt;D119),0,E119*IF(G119=0,H119,MIN(H119,H119*(AD$3-D119+1)/MAX(1,G119)))*(1+F119)^(AD$3-D119)*$E93)</f>
        <v/>
      </c>
      <c r="AE28" s="138">
        <f>IF(OR(E119=0,AE$3&lt;D119),0,E119*IF(G119=0,H119,MIN(H119,H119*(AE$3-D119+1)/MAX(1,G119)))*(1+F119)^(AE$3-D119)*$E93)</f>
        <v/>
      </c>
      <c r="AF28" s="138">
        <f>IF(OR(E119=0,AF$3&lt;D119),0,E119*IF(G119=0,H119,MIN(H119,H119*(AF$3-D119+1)/MAX(1,G119)))*(1+F119)^(AF$3-D119)*$E93)</f>
        <v/>
      </c>
      <c r="AG28" s="138">
        <f>IF(OR(E119=0,AG$3&lt;D119),0,E119*IF(G119=0,H119,MIN(H119,H119*(AG$3-D119+1)/MAX(1,G119)))*(1+F119)^(AG$3-D119)*$E93)</f>
        <v/>
      </c>
      <c r="AH28" s="138">
        <f>IF(OR(E119=0,AH$3&lt;D119),0,E119*IF(G119=0,H119,MIN(H119,H119*(AH$3-D119+1)/MAX(1,G119)))*(1+F119)^(AH$3-D119)*$E93)</f>
        <v/>
      </c>
      <c r="AI28" s="138">
        <f>IF(OR(E119=0,AI$3&lt;D119),0,E119*IF(G119=0,H119,MIN(H119,H119*(AI$3-D119+1)/MAX(1,G119)))*(1+F119)^(AI$3-D119)*$E93)</f>
        <v/>
      </c>
      <c r="AJ28" s="138">
        <f>IF(OR(E119=0,AJ$3&lt;D119),0,E119*IF(G119=0,H119,MIN(H119,H119*(AJ$3-D119+1)/MAX(1,G119)))*(1+F119)^(AJ$3-D119)*$E93)</f>
        <v/>
      </c>
      <c r="AK28" s="138">
        <f>IF(OR(E119=0,AK$3&lt;D119),0,E119*IF(G119=0,H119,MIN(H119,H119*(AK$3-D119+1)/MAX(1,G119)))*(1+F119)^(AK$3-D119)*$E93)</f>
        <v/>
      </c>
      <c r="AL28" s="138">
        <f>IF(OR(E119=0,AL$3&lt;D119),0,E119*IF(G119=0,H119,MIN(H119,H119*(AL$3-D119+1)/MAX(1,G119)))*(1+F119)^(AL$3-D119)*$E93)</f>
        <v/>
      </c>
      <c r="AM28" s="138">
        <f>IF(OR(E119=0,AM$3&lt;D119),0,E119*IF(G119=0,H119,MIN(H119,H119*(AM$3-D119+1)/MAX(1,G119)))*(1+F119)^(AM$3-D119)*$E93)</f>
        <v/>
      </c>
      <c r="AN28" s="138">
        <f>IF(OR(E119=0,AN$3&lt;D119),0,E119*IF(G119=0,H119,MIN(H119,H119*(AN$3-D119+1)/MAX(1,G119)))*(1+F119)^(AN$3-D119)*$E93)</f>
        <v/>
      </c>
      <c r="AO28" s="138">
        <f>IF(OR(E119=0,AO$3&lt;D119),0,E119*IF(G119=0,H119,MIN(H119,H119*(AO$3-D119+1)/MAX(1,G119)))*(1+F119)^(AO$3-D119)*$E93)</f>
        <v/>
      </c>
      <c r="AP28" s="138">
        <f>IF(OR(E119=0,AP$3&lt;D119),0,E119*IF(G119=0,H119,MIN(H119,H119*(AP$3-D119+1)/MAX(1,G119)))*(1+F119)^(AP$3-D119)*$E93)</f>
        <v/>
      </c>
      <c r="AQ28" s="138">
        <f>IF(OR(E119=0,AQ$3&lt;D119),0,E119*IF(G119=0,H119,MIN(H119,H119*(AQ$3-D119+1)/MAX(1,G119)))*(1+F119)^(AQ$3-D119)*$E93)</f>
        <v/>
      </c>
      <c r="AR28" s="138">
        <f>IF(OR(E119=0,AR$3&lt;D119),0,E119*IF(G119=0,H119,MIN(H119,H119*(AR$3-D119+1)/MAX(1,G119)))*(1+F119)^(AR$3-D119)*$E93)</f>
        <v/>
      </c>
      <c r="AS28" s="138">
        <f>IF(OR(E119=0,AS$3&lt;D119),0,E119*IF(G119=0,H119,MIN(H119,H119*(AS$3-D119+1)/MAX(1,G119)))*(1+F119)^(AS$3-D119)*$E93)</f>
        <v/>
      </c>
      <c r="AT28" s="138">
        <f>IF(OR(E119=0,AT$3&lt;D119),0,E119*IF(G119=0,H119,MIN(H119,H119*(AT$3-D119+1)/MAX(1,G119)))*(1+F119)^(AT$3-D119)*$E93)</f>
        <v/>
      </c>
      <c r="AU28" s="138">
        <f>IF(OR(E119=0,AU$3&lt;D119),0,E119*IF(G119=0,H119,MIN(H119,H119*(AU$3-D119+1)/MAX(1,G119)))*(1+F119)^(AU$3-D119)*$E93)</f>
        <v/>
      </c>
      <c r="AV28" s="138">
        <f>IF(OR(E119=0,AV$3&lt;D119),0,E119*IF(G119=0,H119,MIN(H119,H119*(AV$3-D119+1)/MAX(1,G119)))*(1+F119)^(AV$3-D119)*$E93)</f>
        <v/>
      </c>
      <c r="AW28" s="138">
        <f>IF(OR(E119=0,AW$3&lt;D119),0,E119*IF(G119=0,H119,MIN(H119,H119*(AW$3-D119+1)/MAX(1,G119)))*(1+F119)^(AW$3-D119)*$E93)</f>
        <v/>
      </c>
      <c r="AX28" s="138">
        <f>IF(OR(E119=0,AX$3&lt;D119),0,E119*IF(G119=0,H119,MIN(H119,H119*(AX$3-D119+1)/MAX(1,G119)))*(1+F119)^(AX$3-D119)*$E93)</f>
        <v/>
      </c>
      <c r="AY28" s="138">
        <f>IF(OR(E119=0,AY$3&lt;D119),0,E119*IF(G119=0,H119,MIN(H119,H119*(AY$3-D119+1)/MAX(1,G119)))*(1+F119)^(AY$3-D119)*$E93)</f>
        <v/>
      </c>
      <c r="AZ28" s="138">
        <f>IF(OR(E119=0,AZ$3&lt;D119),0,E119*IF(G119=0,H119,MIN(H119,H119*(AZ$3-D119+1)/MAX(1,G119)))*(1+F119)^(AZ$3-D119)*$E93)</f>
        <v/>
      </c>
      <c r="BA28" s="138">
        <f>IF(OR(E119=0,BA$3&lt;D119),0,E119*IF(G119=0,H119,MIN(H119,H119*(BA$3-D119+1)/MAX(1,G119)))*(1+F119)^(BA$3-D119)*$E93)</f>
        <v/>
      </c>
      <c r="BB28" s="138">
        <f>IF(OR(E119=0,BB$3&lt;D119),0,E119*IF(G119=0,H119,MIN(H119,H119*(BB$3-D119+1)/MAX(1,G119)))*(1+F119)^(BB$3-D119)*$E93)</f>
        <v/>
      </c>
    </row>
    <row r="29" ht="15" customHeight="1" s="91">
      <c r="A29" s="138">
        <f>A120</f>
        <v/>
      </c>
      <c r="B29" s="138">
        <f>B120</f>
        <v/>
      </c>
      <c r="C29" s="138">
        <f>C120</f>
        <v/>
      </c>
      <c r="D29" s="138">
        <f>SUM(E29:BB29)</f>
        <v/>
      </c>
      <c r="E29" s="138">
        <f>IF(OR(E120=0,E$3&lt;D120),0,E120*IF(G120=0,H120,MIN(H120,H120*(E$3-D120+1)/MAX(1,G120)))*(1+F120)^(E$3-D120)*$E93)</f>
        <v/>
      </c>
      <c r="F29" s="138">
        <f>IF(OR(E120=0,F$3&lt;D120),0,E120*IF(G120=0,H120,MIN(H120,H120*(F$3-D120+1)/MAX(1,G120)))*(1+F120)^(F$3-D120)*$E93)</f>
        <v/>
      </c>
      <c r="G29" s="138">
        <f>IF(OR(E120=0,G$3&lt;D120),0,E120*IF(G120=0,H120,MIN(H120,H120*(G$3-D120+1)/MAX(1,G120)))*(1+F120)^(G$3-D120)*$E93)</f>
        <v/>
      </c>
      <c r="H29" s="138">
        <f>IF(OR(E120=0,H$3&lt;D120),0,E120*IF(G120=0,H120,MIN(H120,H120*(H$3-D120+1)/MAX(1,G120)))*(1+F120)^(H$3-D120)*$E93)</f>
        <v/>
      </c>
      <c r="I29" s="138">
        <f>IF(OR(E120=0,I$3&lt;D120),0,E120*IF(G120=0,H120,MIN(H120,H120*(I$3-D120+1)/MAX(1,G120)))*(1+F120)^(I$3-D120)*$E93)</f>
        <v/>
      </c>
      <c r="J29" s="138">
        <f>IF(OR(E120=0,J$3&lt;D120),0,E120*IF(G120=0,H120,MIN(H120,H120*(J$3-D120+1)/MAX(1,G120)))*(1+F120)^(J$3-D120)*$E93)</f>
        <v/>
      </c>
      <c r="K29" s="138">
        <f>IF(OR(E120=0,K$3&lt;D120),0,E120*IF(G120=0,H120,MIN(H120,H120*(K$3-D120+1)/MAX(1,G120)))*(1+F120)^(K$3-D120)*$E93)</f>
        <v/>
      </c>
      <c r="L29" s="138">
        <f>IF(OR(E120=0,L$3&lt;D120),0,E120*IF(G120=0,H120,MIN(H120,H120*(L$3-D120+1)/MAX(1,G120)))*(1+F120)^(L$3-D120)*$E93)</f>
        <v/>
      </c>
      <c r="M29" s="138">
        <f>IF(OR(E120=0,M$3&lt;D120),0,E120*IF(G120=0,H120,MIN(H120,H120*(M$3-D120+1)/MAX(1,G120)))*(1+F120)^(M$3-D120)*$E93)</f>
        <v/>
      </c>
      <c r="N29" s="138">
        <f>IF(OR(E120=0,N$3&lt;D120),0,E120*IF(G120=0,H120,MIN(H120,H120*(N$3-D120+1)/MAX(1,G120)))*(1+F120)^(N$3-D120)*$E93)</f>
        <v/>
      </c>
      <c r="O29" s="138">
        <f>IF(OR(E120=0,O$3&lt;D120),0,E120*IF(G120=0,H120,MIN(H120,H120*(O$3-D120+1)/MAX(1,G120)))*(1+F120)^(O$3-D120)*$E93)</f>
        <v/>
      </c>
      <c r="P29" s="138">
        <f>IF(OR(E120=0,P$3&lt;D120),0,E120*IF(G120=0,H120,MIN(H120,H120*(P$3-D120+1)/MAX(1,G120)))*(1+F120)^(P$3-D120)*$E93)</f>
        <v/>
      </c>
      <c r="Q29" s="138">
        <f>IF(OR(E120=0,Q$3&lt;D120),0,E120*IF(G120=0,H120,MIN(H120,H120*(Q$3-D120+1)/MAX(1,G120)))*(1+F120)^(Q$3-D120)*$E93)</f>
        <v/>
      </c>
      <c r="R29" s="138">
        <f>IF(OR(E120=0,R$3&lt;D120),0,E120*IF(G120=0,H120,MIN(H120,H120*(R$3-D120+1)/MAX(1,G120)))*(1+F120)^(R$3-D120)*$E93)</f>
        <v/>
      </c>
      <c r="S29" s="138">
        <f>IF(OR(E120=0,S$3&lt;D120),0,E120*IF(G120=0,H120,MIN(H120,H120*(S$3-D120+1)/MAX(1,G120)))*(1+F120)^(S$3-D120)*$E93)</f>
        <v/>
      </c>
      <c r="T29" s="138">
        <f>IF(OR(E120=0,T$3&lt;D120),0,E120*IF(G120=0,H120,MIN(H120,H120*(T$3-D120+1)/MAX(1,G120)))*(1+F120)^(T$3-D120)*$E93)</f>
        <v/>
      </c>
      <c r="U29" s="138">
        <f>IF(OR(E120=0,U$3&lt;D120),0,E120*IF(G120=0,H120,MIN(H120,H120*(U$3-D120+1)/MAX(1,G120)))*(1+F120)^(U$3-D120)*$E93)</f>
        <v/>
      </c>
      <c r="V29" s="138">
        <f>IF(OR(E120=0,V$3&lt;D120),0,E120*IF(G120=0,H120,MIN(H120,H120*(V$3-D120+1)/MAX(1,G120)))*(1+F120)^(V$3-D120)*$E93)</f>
        <v/>
      </c>
      <c r="W29" s="138">
        <f>IF(OR(E120=0,W$3&lt;D120),0,E120*IF(G120=0,H120,MIN(H120,H120*(W$3-D120+1)/MAX(1,G120)))*(1+F120)^(W$3-D120)*$E93)</f>
        <v/>
      </c>
      <c r="X29" s="138">
        <f>IF(OR(E120=0,X$3&lt;D120),0,E120*IF(G120=0,H120,MIN(H120,H120*(X$3-D120+1)/MAX(1,G120)))*(1+F120)^(X$3-D120)*$E93)</f>
        <v/>
      </c>
      <c r="Y29" s="138">
        <f>IF(OR(E120=0,Y$3&lt;D120),0,E120*IF(G120=0,H120,MIN(H120,H120*(Y$3-D120+1)/MAX(1,G120)))*(1+F120)^(Y$3-D120)*$E93)</f>
        <v/>
      </c>
      <c r="Z29" s="138">
        <f>IF(OR(E120=0,Z$3&lt;D120),0,E120*IF(G120=0,H120,MIN(H120,H120*(Z$3-D120+1)/MAX(1,G120)))*(1+F120)^(Z$3-D120)*$E93)</f>
        <v/>
      </c>
      <c r="AA29" s="138">
        <f>IF(OR(E120=0,AA$3&lt;D120),0,E120*IF(G120=0,H120,MIN(H120,H120*(AA$3-D120+1)/MAX(1,G120)))*(1+F120)^(AA$3-D120)*$E93)</f>
        <v/>
      </c>
      <c r="AB29" s="138">
        <f>IF(OR(E120=0,AB$3&lt;D120),0,E120*IF(G120=0,H120,MIN(H120,H120*(AB$3-D120+1)/MAX(1,G120)))*(1+F120)^(AB$3-D120)*$E93)</f>
        <v/>
      </c>
      <c r="AC29" s="138">
        <f>IF(OR(E120=0,AC$3&lt;D120),0,E120*IF(G120=0,H120,MIN(H120,H120*(AC$3-D120+1)/MAX(1,G120)))*(1+F120)^(AC$3-D120)*$E93)</f>
        <v/>
      </c>
      <c r="AD29" s="138">
        <f>IF(OR(E120=0,AD$3&lt;D120),0,E120*IF(G120=0,H120,MIN(H120,H120*(AD$3-D120+1)/MAX(1,G120)))*(1+F120)^(AD$3-D120)*$E93)</f>
        <v/>
      </c>
      <c r="AE29" s="138">
        <f>IF(OR(E120=0,AE$3&lt;D120),0,E120*IF(G120=0,H120,MIN(H120,H120*(AE$3-D120+1)/MAX(1,G120)))*(1+F120)^(AE$3-D120)*$E93)</f>
        <v/>
      </c>
      <c r="AF29" s="138">
        <f>IF(OR(E120=0,AF$3&lt;D120),0,E120*IF(G120=0,H120,MIN(H120,H120*(AF$3-D120+1)/MAX(1,G120)))*(1+F120)^(AF$3-D120)*$E93)</f>
        <v/>
      </c>
      <c r="AG29" s="138">
        <f>IF(OR(E120=0,AG$3&lt;D120),0,E120*IF(G120=0,H120,MIN(H120,H120*(AG$3-D120+1)/MAX(1,G120)))*(1+F120)^(AG$3-D120)*$E93)</f>
        <v/>
      </c>
      <c r="AH29" s="138">
        <f>IF(OR(E120=0,AH$3&lt;D120),0,E120*IF(G120=0,H120,MIN(H120,H120*(AH$3-D120+1)/MAX(1,G120)))*(1+F120)^(AH$3-D120)*$E93)</f>
        <v/>
      </c>
      <c r="AI29" s="138">
        <f>IF(OR(E120=0,AI$3&lt;D120),0,E120*IF(G120=0,H120,MIN(H120,H120*(AI$3-D120+1)/MAX(1,G120)))*(1+F120)^(AI$3-D120)*$E93)</f>
        <v/>
      </c>
      <c r="AJ29" s="138">
        <f>IF(OR(E120=0,AJ$3&lt;D120),0,E120*IF(G120=0,H120,MIN(H120,H120*(AJ$3-D120+1)/MAX(1,G120)))*(1+F120)^(AJ$3-D120)*$E93)</f>
        <v/>
      </c>
      <c r="AK29" s="138">
        <f>IF(OR(E120=0,AK$3&lt;D120),0,E120*IF(G120=0,H120,MIN(H120,H120*(AK$3-D120+1)/MAX(1,G120)))*(1+F120)^(AK$3-D120)*$E93)</f>
        <v/>
      </c>
      <c r="AL29" s="138">
        <f>IF(OR(E120=0,AL$3&lt;D120),0,E120*IF(G120=0,H120,MIN(H120,H120*(AL$3-D120+1)/MAX(1,G120)))*(1+F120)^(AL$3-D120)*$E93)</f>
        <v/>
      </c>
      <c r="AM29" s="138">
        <f>IF(OR(E120=0,AM$3&lt;D120),0,E120*IF(G120=0,H120,MIN(H120,H120*(AM$3-D120+1)/MAX(1,G120)))*(1+F120)^(AM$3-D120)*$E93)</f>
        <v/>
      </c>
      <c r="AN29" s="138">
        <f>IF(OR(E120=0,AN$3&lt;D120),0,E120*IF(G120=0,H120,MIN(H120,H120*(AN$3-D120+1)/MAX(1,G120)))*(1+F120)^(AN$3-D120)*$E93)</f>
        <v/>
      </c>
      <c r="AO29" s="138">
        <f>IF(OR(E120=0,AO$3&lt;D120),0,E120*IF(G120=0,H120,MIN(H120,H120*(AO$3-D120+1)/MAX(1,G120)))*(1+F120)^(AO$3-D120)*$E93)</f>
        <v/>
      </c>
      <c r="AP29" s="138">
        <f>IF(OR(E120=0,AP$3&lt;D120),0,E120*IF(G120=0,H120,MIN(H120,H120*(AP$3-D120+1)/MAX(1,G120)))*(1+F120)^(AP$3-D120)*$E93)</f>
        <v/>
      </c>
      <c r="AQ29" s="138">
        <f>IF(OR(E120=0,AQ$3&lt;D120),0,E120*IF(G120=0,H120,MIN(H120,H120*(AQ$3-D120+1)/MAX(1,G120)))*(1+F120)^(AQ$3-D120)*$E93)</f>
        <v/>
      </c>
      <c r="AR29" s="138">
        <f>IF(OR(E120=0,AR$3&lt;D120),0,E120*IF(G120=0,H120,MIN(H120,H120*(AR$3-D120+1)/MAX(1,G120)))*(1+F120)^(AR$3-D120)*$E93)</f>
        <v/>
      </c>
      <c r="AS29" s="138">
        <f>IF(OR(E120=0,AS$3&lt;D120),0,E120*IF(G120=0,H120,MIN(H120,H120*(AS$3-D120+1)/MAX(1,G120)))*(1+F120)^(AS$3-D120)*$E93)</f>
        <v/>
      </c>
      <c r="AT29" s="138">
        <f>IF(OR(E120=0,AT$3&lt;D120),0,E120*IF(G120=0,H120,MIN(H120,H120*(AT$3-D120+1)/MAX(1,G120)))*(1+F120)^(AT$3-D120)*$E93)</f>
        <v/>
      </c>
      <c r="AU29" s="138">
        <f>IF(OR(E120=0,AU$3&lt;D120),0,E120*IF(G120=0,H120,MIN(H120,H120*(AU$3-D120+1)/MAX(1,G120)))*(1+F120)^(AU$3-D120)*$E93)</f>
        <v/>
      </c>
      <c r="AV29" s="138">
        <f>IF(OR(E120=0,AV$3&lt;D120),0,E120*IF(G120=0,H120,MIN(H120,H120*(AV$3-D120+1)/MAX(1,G120)))*(1+F120)^(AV$3-D120)*$E93)</f>
        <v/>
      </c>
      <c r="AW29" s="138">
        <f>IF(OR(E120=0,AW$3&lt;D120),0,E120*IF(G120=0,H120,MIN(H120,H120*(AW$3-D120+1)/MAX(1,G120)))*(1+F120)^(AW$3-D120)*$E93)</f>
        <v/>
      </c>
      <c r="AX29" s="138">
        <f>IF(OR(E120=0,AX$3&lt;D120),0,E120*IF(G120=0,H120,MIN(H120,H120*(AX$3-D120+1)/MAX(1,G120)))*(1+F120)^(AX$3-D120)*$E93)</f>
        <v/>
      </c>
      <c r="AY29" s="138">
        <f>IF(OR(E120=0,AY$3&lt;D120),0,E120*IF(G120=0,H120,MIN(H120,H120*(AY$3-D120+1)/MAX(1,G120)))*(1+F120)^(AY$3-D120)*$E93)</f>
        <v/>
      </c>
      <c r="AZ29" s="138">
        <f>IF(OR(E120=0,AZ$3&lt;D120),0,E120*IF(G120=0,H120,MIN(H120,H120*(AZ$3-D120+1)/MAX(1,G120)))*(1+F120)^(AZ$3-D120)*$E93)</f>
        <v/>
      </c>
      <c r="BA29" s="138">
        <f>IF(OR(E120=0,BA$3&lt;D120),0,E120*IF(G120=0,H120,MIN(H120,H120*(BA$3-D120+1)/MAX(1,G120)))*(1+F120)^(BA$3-D120)*$E93)</f>
        <v/>
      </c>
      <c r="BB29" s="138">
        <f>IF(OR(E120=0,BB$3&lt;D120),0,E120*IF(G120=0,H120,MIN(H120,H120*(BB$3-D120+1)/MAX(1,G120)))*(1+F120)^(BB$3-D120)*$E93)</f>
        <v/>
      </c>
    </row>
    <row r="30" ht="15" customHeight="1" s="91">
      <c r="A30" s="138">
        <f>A121</f>
        <v/>
      </c>
      <c r="B30" s="138">
        <f>B121</f>
        <v/>
      </c>
      <c r="C30" s="138">
        <f>C121</f>
        <v/>
      </c>
      <c r="D30" s="138">
        <f>SUM(E30:BB30)</f>
        <v/>
      </c>
      <c r="E30" s="138">
        <f>IF(OR(E121=0,E$3&lt;D121),0,E121*IF(G121=0,H121,MIN(H121,H121*(E$3-D121+1)/MAX(1,G121)))*(1+F121)^(E$3-D121)*$E93)</f>
        <v/>
      </c>
      <c r="F30" s="138">
        <f>IF(OR(E121=0,F$3&lt;D121),0,E121*IF(G121=0,H121,MIN(H121,H121*(F$3-D121+1)/MAX(1,G121)))*(1+F121)^(F$3-D121)*$E93)</f>
        <v/>
      </c>
      <c r="G30" s="138">
        <f>IF(OR(E121=0,G$3&lt;D121),0,E121*IF(G121=0,H121,MIN(H121,H121*(G$3-D121+1)/MAX(1,G121)))*(1+F121)^(G$3-D121)*$E93)</f>
        <v/>
      </c>
      <c r="H30" s="138">
        <f>IF(OR(E121=0,H$3&lt;D121),0,E121*IF(G121=0,H121,MIN(H121,H121*(H$3-D121+1)/MAX(1,G121)))*(1+F121)^(H$3-D121)*$E93)</f>
        <v/>
      </c>
      <c r="I30" s="138">
        <f>IF(OR(E121=0,I$3&lt;D121),0,E121*IF(G121=0,H121,MIN(H121,H121*(I$3-D121+1)/MAX(1,G121)))*(1+F121)^(I$3-D121)*$E93)</f>
        <v/>
      </c>
      <c r="J30" s="138">
        <f>IF(OR(E121=0,J$3&lt;D121),0,E121*IF(G121=0,H121,MIN(H121,H121*(J$3-D121+1)/MAX(1,G121)))*(1+F121)^(J$3-D121)*$E93)</f>
        <v/>
      </c>
      <c r="K30" s="138">
        <f>IF(OR(E121=0,K$3&lt;D121),0,E121*IF(G121=0,H121,MIN(H121,H121*(K$3-D121+1)/MAX(1,G121)))*(1+F121)^(K$3-D121)*$E93)</f>
        <v/>
      </c>
      <c r="L30" s="138">
        <f>IF(OR(E121=0,L$3&lt;D121),0,E121*IF(G121=0,H121,MIN(H121,H121*(L$3-D121+1)/MAX(1,G121)))*(1+F121)^(L$3-D121)*$E93)</f>
        <v/>
      </c>
      <c r="M30" s="138">
        <f>IF(OR(E121=0,M$3&lt;D121),0,E121*IF(G121=0,H121,MIN(H121,H121*(M$3-D121+1)/MAX(1,G121)))*(1+F121)^(M$3-D121)*$E93)</f>
        <v/>
      </c>
      <c r="N30" s="138">
        <f>IF(OR(E121=0,N$3&lt;D121),0,E121*IF(G121=0,H121,MIN(H121,H121*(N$3-D121+1)/MAX(1,G121)))*(1+F121)^(N$3-D121)*$E93)</f>
        <v/>
      </c>
      <c r="O30" s="138">
        <f>IF(OR(E121=0,O$3&lt;D121),0,E121*IF(G121=0,H121,MIN(H121,H121*(O$3-D121+1)/MAX(1,G121)))*(1+F121)^(O$3-D121)*$E93)</f>
        <v/>
      </c>
      <c r="P30" s="138">
        <f>IF(OR(E121=0,P$3&lt;D121),0,E121*IF(G121=0,H121,MIN(H121,H121*(P$3-D121+1)/MAX(1,G121)))*(1+F121)^(P$3-D121)*$E93)</f>
        <v/>
      </c>
      <c r="Q30" s="138">
        <f>IF(OR(E121=0,Q$3&lt;D121),0,E121*IF(G121=0,H121,MIN(H121,H121*(Q$3-D121+1)/MAX(1,G121)))*(1+F121)^(Q$3-D121)*$E93)</f>
        <v/>
      </c>
      <c r="R30" s="138">
        <f>IF(OR(E121=0,R$3&lt;D121),0,E121*IF(G121=0,H121,MIN(H121,H121*(R$3-D121+1)/MAX(1,G121)))*(1+F121)^(R$3-D121)*$E93)</f>
        <v/>
      </c>
      <c r="S30" s="138">
        <f>IF(OR(E121=0,S$3&lt;D121),0,E121*IF(G121=0,H121,MIN(H121,H121*(S$3-D121+1)/MAX(1,G121)))*(1+F121)^(S$3-D121)*$E93)</f>
        <v/>
      </c>
      <c r="T30" s="138">
        <f>IF(OR(E121=0,T$3&lt;D121),0,E121*IF(G121=0,H121,MIN(H121,H121*(T$3-D121+1)/MAX(1,G121)))*(1+F121)^(T$3-D121)*$E93)</f>
        <v/>
      </c>
      <c r="U30" s="138">
        <f>IF(OR(E121=0,U$3&lt;D121),0,E121*IF(G121=0,H121,MIN(H121,H121*(U$3-D121+1)/MAX(1,G121)))*(1+F121)^(U$3-D121)*$E93)</f>
        <v/>
      </c>
      <c r="V30" s="138">
        <f>IF(OR(E121=0,V$3&lt;D121),0,E121*IF(G121=0,H121,MIN(H121,H121*(V$3-D121+1)/MAX(1,G121)))*(1+F121)^(V$3-D121)*$E93)</f>
        <v/>
      </c>
      <c r="W30" s="138">
        <f>IF(OR(E121=0,W$3&lt;D121),0,E121*IF(G121=0,H121,MIN(H121,H121*(W$3-D121+1)/MAX(1,G121)))*(1+F121)^(W$3-D121)*$E93)</f>
        <v/>
      </c>
      <c r="X30" s="138">
        <f>IF(OR(E121=0,X$3&lt;D121),0,E121*IF(G121=0,H121,MIN(H121,H121*(X$3-D121+1)/MAX(1,G121)))*(1+F121)^(X$3-D121)*$E93)</f>
        <v/>
      </c>
      <c r="Y30" s="138">
        <f>IF(OR(E121=0,Y$3&lt;D121),0,E121*IF(G121=0,H121,MIN(H121,H121*(Y$3-D121+1)/MAX(1,G121)))*(1+F121)^(Y$3-D121)*$E93)</f>
        <v/>
      </c>
      <c r="Z30" s="138">
        <f>IF(OR(E121=0,Z$3&lt;D121),0,E121*IF(G121=0,H121,MIN(H121,H121*(Z$3-D121+1)/MAX(1,G121)))*(1+F121)^(Z$3-D121)*$E93)</f>
        <v/>
      </c>
      <c r="AA30" s="138">
        <f>IF(OR(E121=0,AA$3&lt;D121),0,E121*IF(G121=0,H121,MIN(H121,H121*(AA$3-D121+1)/MAX(1,G121)))*(1+F121)^(AA$3-D121)*$E93)</f>
        <v/>
      </c>
      <c r="AB30" s="138">
        <f>IF(OR(E121=0,AB$3&lt;D121),0,E121*IF(G121=0,H121,MIN(H121,H121*(AB$3-D121+1)/MAX(1,G121)))*(1+F121)^(AB$3-D121)*$E93)</f>
        <v/>
      </c>
      <c r="AC30" s="138">
        <f>IF(OR(E121=0,AC$3&lt;D121),0,E121*IF(G121=0,H121,MIN(H121,H121*(AC$3-D121+1)/MAX(1,G121)))*(1+F121)^(AC$3-D121)*$E93)</f>
        <v/>
      </c>
      <c r="AD30" s="138">
        <f>IF(OR(E121=0,AD$3&lt;D121),0,E121*IF(G121=0,H121,MIN(H121,H121*(AD$3-D121+1)/MAX(1,G121)))*(1+F121)^(AD$3-D121)*$E93)</f>
        <v/>
      </c>
      <c r="AE30" s="138">
        <f>IF(OR(E121=0,AE$3&lt;D121),0,E121*IF(G121=0,H121,MIN(H121,H121*(AE$3-D121+1)/MAX(1,G121)))*(1+F121)^(AE$3-D121)*$E93)</f>
        <v/>
      </c>
      <c r="AF30" s="138">
        <f>IF(OR(E121=0,AF$3&lt;D121),0,E121*IF(G121=0,H121,MIN(H121,H121*(AF$3-D121+1)/MAX(1,G121)))*(1+F121)^(AF$3-D121)*$E93)</f>
        <v/>
      </c>
      <c r="AG30" s="138">
        <f>IF(OR(E121=0,AG$3&lt;D121),0,E121*IF(G121=0,H121,MIN(H121,H121*(AG$3-D121+1)/MAX(1,G121)))*(1+F121)^(AG$3-D121)*$E93)</f>
        <v/>
      </c>
      <c r="AH30" s="138">
        <f>IF(OR(E121=0,AH$3&lt;D121),0,E121*IF(G121=0,H121,MIN(H121,H121*(AH$3-D121+1)/MAX(1,G121)))*(1+F121)^(AH$3-D121)*$E93)</f>
        <v/>
      </c>
      <c r="AI30" s="138">
        <f>IF(OR(E121=0,AI$3&lt;D121),0,E121*IF(G121=0,H121,MIN(H121,H121*(AI$3-D121+1)/MAX(1,G121)))*(1+F121)^(AI$3-D121)*$E93)</f>
        <v/>
      </c>
      <c r="AJ30" s="138">
        <f>IF(OR(E121=0,AJ$3&lt;D121),0,E121*IF(G121=0,H121,MIN(H121,H121*(AJ$3-D121+1)/MAX(1,G121)))*(1+F121)^(AJ$3-D121)*$E93)</f>
        <v/>
      </c>
      <c r="AK30" s="138">
        <f>IF(OR(E121=0,AK$3&lt;D121),0,E121*IF(G121=0,H121,MIN(H121,H121*(AK$3-D121+1)/MAX(1,G121)))*(1+F121)^(AK$3-D121)*$E93)</f>
        <v/>
      </c>
      <c r="AL30" s="138">
        <f>IF(OR(E121=0,AL$3&lt;D121),0,E121*IF(G121=0,H121,MIN(H121,H121*(AL$3-D121+1)/MAX(1,G121)))*(1+F121)^(AL$3-D121)*$E93)</f>
        <v/>
      </c>
      <c r="AM30" s="138">
        <f>IF(OR(E121=0,AM$3&lt;D121),0,E121*IF(G121=0,H121,MIN(H121,H121*(AM$3-D121+1)/MAX(1,G121)))*(1+F121)^(AM$3-D121)*$E93)</f>
        <v/>
      </c>
      <c r="AN30" s="138">
        <f>IF(OR(E121=0,AN$3&lt;D121),0,E121*IF(G121=0,H121,MIN(H121,H121*(AN$3-D121+1)/MAX(1,G121)))*(1+F121)^(AN$3-D121)*$E93)</f>
        <v/>
      </c>
      <c r="AO30" s="138">
        <f>IF(OR(E121=0,AO$3&lt;D121),0,E121*IF(G121=0,H121,MIN(H121,H121*(AO$3-D121+1)/MAX(1,G121)))*(1+F121)^(AO$3-D121)*$E93)</f>
        <v/>
      </c>
      <c r="AP30" s="138">
        <f>IF(OR(E121=0,AP$3&lt;D121),0,E121*IF(G121=0,H121,MIN(H121,H121*(AP$3-D121+1)/MAX(1,G121)))*(1+F121)^(AP$3-D121)*$E93)</f>
        <v/>
      </c>
      <c r="AQ30" s="138">
        <f>IF(OR(E121=0,AQ$3&lt;D121),0,E121*IF(G121=0,H121,MIN(H121,H121*(AQ$3-D121+1)/MAX(1,G121)))*(1+F121)^(AQ$3-D121)*$E93)</f>
        <v/>
      </c>
      <c r="AR30" s="138">
        <f>IF(OR(E121=0,AR$3&lt;D121),0,E121*IF(G121=0,H121,MIN(H121,H121*(AR$3-D121+1)/MAX(1,G121)))*(1+F121)^(AR$3-D121)*$E93)</f>
        <v/>
      </c>
      <c r="AS30" s="138">
        <f>IF(OR(E121=0,AS$3&lt;D121),0,E121*IF(G121=0,H121,MIN(H121,H121*(AS$3-D121+1)/MAX(1,G121)))*(1+F121)^(AS$3-D121)*$E93)</f>
        <v/>
      </c>
      <c r="AT30" s="138">
        <f>IF(OR(E121=0,AT$3&lt;D121),0,E121*IF(G121=0,H121,MIN(H121,H121*(AT$3-D121+1)/MAX(1,G121)))*(1+F121)^(AT$3-D121)*$E93)</f>
        <v/>
      </c>
      <c r="AU30" s="138">
        <f>IF(OR(E121=0,AU$3&lt;D121),0,E121*IF(G121=0,H121,MIN(H121,H121*(AU$3-D121+1)/MAX(1,G121)))*(1+F121)^(AU$3-D121)*$E93)</f>
        <v/>
      </c>
      <c r="AV30" s="138">
        <f>IF(OR(E121=0,AV$3&lt;D121),0,E121*IF(G121=0,H121,MIN(H121,H121*(AV$3-D121+1)/MAX(1,G121)))*(1+F121)^(AV$3-D121)*$E93)</f>
        <v/>
      </c>
      <c r="AW30" s="138">
        <f>IF(OR(E121=0,AW$3&lt;D121),0,E121*IF(G121=0,H121,MIN(H121,H121*(AW$3-D121+1)/MAX(1,G121)))*(1+F121)^(AW$3-D121)*$E93)</f>
        <v/>
      </c>
      <c r="AX30" s="138">
        <f>IF(OR(E121=0,AX$3&lt;D121),0,E121*IF(G121=0,H121,MIN(H121,H121*(AX$3-D121+1)/MAX(1,G121)))*(1+F121)^(AX$3-D121)*$E93)</f>
        <v/>
      </c>
      <c r="AY30" s="138">
        <f>IF(OR(E121=0,AY$3&lt;D121),0,E121*IF(G121=0,H121,MIN(H121,H121*(AY$3-D121+1)/MAX(1,G121)))*(1+F121)^(AY$3-D121)*$E93)</f>
        <v/>
      </c>
      <c r="AZ30" s="138">
        <f>IF(OR(E121=0,AZ$3&lt;D121),0,E121*IF(G121=0,H121,MIN(H121,H121*(AZ$3-D121+1)/MAX(1,G121)))*(1+F121)^(AZ$3-D121)*$E93)</f>
        <v/>
      </c>
      <c r="BA30" s="138">
        <f>IF(OR(E121=0,BA$3&lt;D121),0,E121*IF(G121=0,H121,MIN(H121,H121*(BA$3-D121+1)/MAX(1,G121)))*(1+F121)^(BA$3-D121)*$E93)</f>
        <v/>
      </c>
      <c r="BB30" s="138">
        <f>IF(OR(E121=0,BB$3&lt;D121),0,E121*IF(G121=0,H121,MIN(H121,H121*(BB$3-D121+1)/MAX(1,G121)))*(1+F121)^(BB$3-D121)*$E93)</f>
        <v/>
      </c>
    </row>
    <row r="31" ht="15" customHeight="1" s="91">
      <c r="A31" s="138">
        <f>A122</f>
        <v/>
      </c>
      <c r="B31" s="138">
        <f>B122</f>
        <v/>
      </c>
      <c r="C31" s="138">
        <f>C122</f>
        <v/>
      </c>
      <c r="D31" s="138">
        <f>SUM(E31:BB31)</f>
        <v/>
      </c>
      <c r="E31" s="138">
        <f>IF(OR(E122=0,E$3&lt;D122),0,E122*IF(G122=0,H122,MIN(H122,H122*(E$3-D122+1)/MAX(1,G122)))*(1+F122)^(E$3-D122)*$E93)</f>
        <v/>
      </c>
      <c r="F31" s="138">
        <f>IF(OR(E122=0,F$3&lt;D122),0,E122*IF(G122=0,H122,MIN(H122,H122*(F$3-D122+1)/MAX(1,G122)))*(1+F122)^(F$3-D122)*$E93)</f>
        <v/>
      </c>
      <c r="G31" s="138">
        <f>IF(OR(E122=0,G$3&lt;D122),0,E122*IF(G122=0,H122,MIN(H122,H122*(G$3-D122+1)/MAX(1,G122)))*(1+F122)^(G$3-D122)*$E93)</f>
        <v/>
      </c>
      <c r="H31" s="138">
        <f>IF(OR(E122=0,H$3&lt;D122),0,E122*IF(G122=0,H122,MIN(H122,H122*(H$3-D122+1)/MAX(1,G122)))*(1+F122)^(H$3-D122)*$E93)</f>
        <v/>
      </c>
      <c r="I31" s="138">
        <f>IF(OR(E122=0,I$3&lt;D122),0,E122*IF(G122=0,H122,MIN(H122,H122*(I$3-D122+1)/MAX(1,G122)))*(1+F122)^(I$3-D122)*$E93)</f>
        <v/>
      </c>
      <c r="J31" s="138">
        <f>IF(OR(E122=0,J$3&lt;D122),0,E122*IF(G122=0,H122,MIN(H122,H122*(J$3-D122+1)/MAX(1,G122)))*(1+F122)^(J$3-D122)*$E93)</f>
        <v/>
      </c>
      <c r="K31" s="138">
        <f>IF(OR(E122=0,K$3&lt;D122),0,E122*IF(G122=0,H122,MIN(H122,H122*(K$3-D122+1)/MAX(1,G122)))*(1+F122)^(K$3-D122)*$E93)</f>
        <v/>
      </c>
      <c r="L31" s="138">
        <f>IF(OR(E122=0,L$3&lt;D122),0,E122*IF(G122=0,H122,MIN(H122,H122*(L$3-D122+1)/MAX(1,G122)))*(1+F122)^(L$3-D122)*$E93)</f>
        <v/>
      </c>
      <c r="M31" s="138">
        <f>IF(OR(E122=0,M$3&lt;D122),0,E122*IF(G122=0,H122,MIN(H122,H122*(M$3-D122+1)/MAX(1,G122)))*(1+F122)^(M$3-D122)*$E93)</f>
        <v/>
      </c>
      <c r="N31" s="138">
        <f>IF(OR(E122=0,N$3&lt;D122),0,E122*IF(G122=0,H122,MIN(H122,H122*(N$3-D122+1)/MAX(1,G122)))*(1+F122)^(N$3-D122)*$E93)</f>
        <v/>
      </c>
      <c r="O31" s="138">
        <f>IF(OR(E122=0,O$3&lt;D122),0,E122*IF(G122=0,H122,MIN(H122,H122*(O$3-D122+1)/MAX(1,G122)))*(1+F122)^(O$3-D122)*$E93)</f>
        <v/>
      </c>
      <c r="P31" s="138">
        <f>IF(OR(E122=0,P$3&lt;D122),0,E122*IF(G122=0,H122,MIN(H122,H122*(P$3-D122+1)/MAX(1,G122)))*(1+F122)^(P$3-D122)*$E93)</f>
        <v/>
      </c>
      <c r="Q31" s="138">
        <f>IF(OR(E122=0,Q$3&lt;D122),0,E122*IF(G122=0,H122,MIN(H122,H122*(Q$3-D122+1)/MAX(1,G122)))*(1+F122)^(Q$3-D122)*$E93)</f>
        <v/>
      </c>
      <c r="R31" s="138">
        <f>IF(OR(E122=0,R$3&lt;D122),0,E122*IF(G122=0,H122,MIN(H122,H122*(R$3-D122+1)/MAX(1,G122)))*(1+F122)^(R$3-D122)*$E93)</f>
        <v/>
      </c>
      <c r="S31" s="138">
        <f>IF(OR(E122=0,S$3&lt;D122),0,E122*IF(G122=0,H122,MIN(H122,H122*(S$3-D122+1)/MAX(1,G122)))*(1+F122)^(S$3-D122)*$E93)</f>
        <v/>
      </c>
      <c r="T31" s="138">
        <f>IF(OR(E122=0,T$3&lt;D122),0,E122*IF(G122=0,H122,MIN(H122,H122*(T$3-D122+1)/MAX(1,G122)))*(1+F122)^(T$3-D122)*$E93)</f>
        <v/>
      </c>
      <c r="U31" s="138">
        <f>IF(OR(E122=0,U$3&lt;D122),0,E122*IF(G122=0,H122,MIN(H122,H122*(U$3-D122+1)/MAX(1,G122)))*(1+F122)^(U$3-D122)*$E93)</f>
        <v/>
      </c>
      <c r="V31" s="138">
        <f>IF(OR(E122=0,V$3&lt;D122),0,E122*IF(G122=0,H122,MIN(H122,H122*(V$3-D122+1)/MAX(1,G122)))*(1+F122)^(V$3-D122)*$E93)</f>
        <v/>
      </c>
      <c r="W31" s="138">
        <f>IF(OR(E122=0,W$3&lt;D122),0,E122*IF(G122=0,H122,MIN(H122,H122*(W$3-D122+1)/MAX(1,G122)))*(1+F122)^(W$3-D122)*$E93)</f>
        <v/>
      </c>
      <c r="X31" s="138">
        <f>IF(OR(E122=0,X$3&lt;D122),0,E122*IF(G122=0,H122,MIN(H122,H122*(X$3-D122+1)/MAX(1,G122)))*(1+F122)^(X$3-D122)*$E93)</f>
        <v/>
      </c>
      <c r="Y31" s="138">
        <f>IF(OR(E122=0,Y$3&lt;D122),0,E122*IF(G122=0,H122,MIN(H122,H122*(Y$3-D122+1)/MAX(1,G122)))*(1+F122)^(Y$3-D122)*$E93)</f>
        <v/>
      </c>
      <c r="Z31" s="138">
        <f>IF(OR(E122=0,Z$3&lt;D122),0,E122*IF(G122=0,H122,MIN(H122,H122*(Z$3-D122+1)/MAX(1,G122)))*(1+F122)^(Z$3-D122)*$E93)</f>
        <v/>
      </c>
      <c r="AA31" s="138">
        <f>IF(OR(E122=0,AA$3&lt;D122),0,E122*IF(G122=0,H122,MIN(H122,H122*(AA$3-D122+1)/MAX(1,G122)))*(1+F122)^(AA$3-D122)*$E93)</f>
        <v/>
      </c>
      <c r="AB31" s="138">
        <f>IF(OR(E122=0,AB$3&lt;D122),0,E122*IF(G122=0,H122,MIN(H122,H122*(AB$3-D122+1)/MAX(1,G122)))*(1+F122)^(AB$3-D122)*$E93)</f>
        <v/>
      </c>
      <c r="AC31" s="138">
        <f>IF(OR(E122=0,AC$3&lt;D122),0,E122*IF(G122=0,H122,MIN(H122,H122*(AC$3-D122+1)/MAX(1,G122)))*(1+F122)^(AC$3-D122)*$E93)</f>
        <v/>
      </c>
      <c r="AD31" s="138">
        <f>IF(OR(E122=0,AD$3&lt;D122),0,E122*IF(G122=0,H122,MIN(H122,H122*(AD$3-D122+1)/MAX(1,G122)))*(1+F122)^(AD$3-D122)*$E93)</f>
        <v/>
      </c>
      <c r="AE31" s="138">
        <f>IF(OR(E122=0,AE$3&lt;D122),0,E122*IF(G122=0,H122,MIN(H122,H122*(AE$3-D122+1)/MAX(1,G122)))*(1+F122)^(AE$3-D122)*$E93)</f>
        <v/>
      </c>
      <c r="AF31" s="138">
        <f>IF(OR(E122=0,AF$3&lt;D122),0,E122*IF(G122=0,H122,MIN(H122,H122*(AF$3-D122+1)/MAX(1,G122)))*(1+F122)^(AF$3-D122)*$E93)</f>
        <v/>
      </c>
      <c r="AG31" s="138">
        <f>IF(OR(E122=0,AG$3&lt;D122),0,E122*IF(G122=0,H122,MIN(H122,H122*(AG$3-D122+1)/MAX(1,G122)))*(1+F122)^(AG$3-D122)*$E93)</f>
        <v/>
      </c>
      <c r="AH31" s="138">
        <f>IF(OR(E122=0,AH$3&lt;D122),0,E122*IF(G122=0,H122,MIN(H122,H122*(AH$3-D122+1)/MAX(1,G122)))*(1+F122)^(AH$3-D122)*$E93)</f>
        <v/>
      </c>
      <c r="AI31" s="138">
        <f>IF(OR(E122=0,AI$3&lt;D122),0,E122*IF(G122=0,H122,MIN(H122,H122*(AI$3-D122+1)/MAX(1,G122)))*(1+F122)^(AI$3-D122)*$E93)</f>
        <v/>
      </c>
      <c r="AJ31" s="138">
        <f>IF(OR(E122=0,AJ$3&lt;D122),0,E122*IF(G122=0,H122,MIN(H122,H122*(AJ$3-D122+1)/MAX(1,G122)))*(1+F122)^(AJ$3-D122)*$E93)</f>
        <v/>
      </c>
      <c r="AK31" s="138">
        <f>IF(OR(E122=0,AK$3&lt;D122),0,E122*IF(G122=0,H122,MIN(H122,H122*(AK$3-D122+1)/MAX(1,G122)))*(1+F122)^(AK$3-D122)*$E93)</f>
        <v/>
      </c>
      <c r="AL31" s="138">
        <f>IF(OR(E122=0,AL$3&lt;D122),0,E122*IF(G122=0,H122,MIN(H122,H122*(AL$3-D122+1)/MAX(1,G122)))*(1+F122)^(AL$3-D122)*$E93)</f>
        <v/>
      </c>
      <c r="AM31" s="138">
        <f>IF(OR(E122=0,AM$3&lt;D122),0,E122*IF(G122=0,H122,MIN(H122,H122*(AM$3-D122+1)/MAX(1,G122)))*(1+F122)^(AM$3-D122)*$E93)</f>
        <v/>
      </c>
      <c r="AN31" s="138">
        <f>IF(OR(E122=0,AN$3&lt;D122),0,E122*IF(G122=0,H122,MIN(H122,H122*(AN$3-D122+1)/MAX(1,G122)))*(1+F122)^(AN$3-D122)*$E93)</f>
        <v/>
      </c>
      <c r="AO31" s="138">
        <f>IF(OR(E122=0,AO$3&lt;D122),0,E122*IF(G122=0,H122,MIN(H122,H122*(AO$3-D122+1)/MAX(1,G122)))*(1+F122)^(AO$3-D122)*$E93)</f>
        <v/>
      </c>
      <c r="AP31" s="138">
        <f>IF(OR(E122=0,AP$3&lt;D122),0,E122*IF(G122=0,H122,MIN(H122,H122*(AP$3-D122+1)/MAX(1,G122)))*(1+F122)^(AP$3-D122)*$E93)</f>
        <v/>
      </c>
      <c r="AQ31" s="138">
        <f>IF(OR(E122=0,AQ$3&lt;D122),0,E122*IF(G122=0,H122,MIN(H122,H122*(AQ$3-D122+1)/MAX(1,G122)))*(1+F122)^(AQ$3-D122)*$E93)</f>
        <v/>
      </c>
      <c r="AR31" s="138">
        <f>IF(OR(E122=0,AR$3&lt;D122),0,E122*IF(G122=0,H122,MIN(H122,H122*(AR$3-D122+1)/MAX(1,G122)))*(1+F122)^(AR$3-D122)*$E93)</f>
        <v/>
      </c>
      <c r="AS31" s="138">
        <f>IF(OR(E122=0,AS$3&lt;D122),0,E122*IF(G122=0,H122,MIN(H122,H122*(AS$3-D122+1)/MAX(1,G122)))*(1+F122)^(AS$3-D122)*$E93)</f>
        <v/>
      </c>
      <c r="AT31" s="138">
        <f>IF(OR(E122=0,AT$3&lt;D122),0,E122*IF(G122=0,H122,MIN(H122,H122*(AT$3-D122+1)/MAX(1,G122)))*(1+F122)^(AT$3-D122)*$E93)</f>
        <v/>
      </c>
      <c r="AU31" s="138">
        <f>IF(OR(E122=0,AU$3&lt;D122),0,E122*IF(G122=0,H122,MIN(H122,H122*(AU$3-D122+1)/MAX(1,G122)))*(1+F122)^(AU$3-D122)*$E93)</f>
        <v/>
      </c>
      <c r="AV31" s="138">
        <f>IF(OR(E122=0,AV$3&lt;D122),0,E122*IF(G122=0,H122,MIN(H122,H122*(AV$3-D122+1)/MAX(1,G122)))*(1+F122)^(AV$3-D122)*$E93)</f>
        <v/>
      </c>
      <c r="AW31" s="138">
        <f>IF(OR(E122=0,AW$3&lt;D122),0,E122*IF(G122=0,H122,MIN(H122,H122*(AW$3-D122+1)/MAX(1,G122)))*(1+F122)^(AW$3-D122)*$E93)</f>
        <v/>
      </c>
      <c r="AX31" s="138">
        <f>IF(OR(E122=0,AX$3&lt;D122),0,E122*IF(G122=0,H122,MIN(H122,H122*(AX$3-D122+1)/MAX(1,G122)))*(1+F122)^(AX$3-D122)*$E93)</f>
        <v/>
      </c>
      <c r="AY31" s="138">
        <f>IF(OR(E122=0,AY$3&lt;D122),0,E122*IF(G122=0,H122,MIN(H122,H122*(AY$3-D122+1)/MAX(1,G122)))*(1+F122)^(AY$3-D122)*$E93)</f>
        <v/>
      </c>
      <c r="AZ31" s="138">
        <f>IF(OR(E122=0,AZ$3&lt;D122),0,E122*IF(G122=0,H122,MIN(H122,H122*(AZ$3-D122+1)/MAX(1,G122)))*(1+F122)^(AZ$3-D122)*$E93)</f>
        <v/>
      </c>
      <c r="BA31" s="138">
        <f>IF(OR(E122=0,BA$3&lt;D122),0,E122*IF(G122=0,H122,MIN(H122,H122*(BA$3-D122+1)/MAX(1,G122)))*(1+F122)^(BA$3-D122)*$E93)</f>
        <v/>
      </c>
      <c r="BB31" s="138">
        <f>IF(OR(E122=0,BB$3&lt;D122),0,E122*IF(G122=0,H122,MIN(H122,H122*(BB$3-D122+1)/MAX(1,G122)))*(1+F122)^(BB$3-D122)*$E93)</f>
        <v/>
      </c>
    </row>
    <row r="32" ht="15" customHeight="1" s="91">
      <c r="A32" s="138">
        <f>A123</f>
        <v/>
      </c>
      <c r="B32" s="138">
        <f>B123</f>
        <v/>
      </c>
      <c r="C32" s="138">
        <f>C123</f>
        <v/>
      </c>
      <c r="D32" s="138">
        <f>SUM(E32:BB32)</f>
        <v/>
      </c>
      <c r="E32" s="138">
        <f>IF(OR(E123=0,E$3&lt;D123),0,E123*IF(G123=0,H123,MIN(H123,H123*(E$3-D123+1)/MAX(1,G123)))*(1+F123)^(E$3-D123)*$E93)</f>
        <v/>
      </c>
      <c r="F32" s="138">
        <f>IF(OR(E123=0,F$3&lt;D123),0,E123*IF(G123=0,H123,MIN(H123,H123*(F$3-D123+1)/MAX(1,G123)))*(1+F123)^(F$3-D123)*$E93)</f>
        <v/>
      </c>
      <c r="G32" s="138">
        <f>IF(OR(E123=0,G$3&lt;D123),0,E123*IF(G123=0,H123,MIN(H123,H123*(G$3-D123+1)/MAX(1,G123)))*(1+F123)^(G$3-D123)*$E93)</f>
        <v/>
      </c>
      <c r="H32" s="138">
        <f>IF(OR(E123=0,H$3&lt;D123),0,E123*IF(G123=0,H123,MIN(H123,H123*(H$3-D123+1)/MAX(1,G123)))*(1+F123)^(H$3-D123)*$E93)</f>
        <v/>
      </c>
      <c r="I32" s="138">
        <f>IF(OR(E123=0,I$3&lt;D123),0,E123*IF(G123=0,H123,MIN(H123,H123*(I$3-D123+1)/MAX(1,G123)))*(1+F123)^(I$3-D123)*$E93)</f>
        <v/>
      </c>
      <c r="J32" s="138">
        <f>IF(OR(E123=0,J$3&lt;D123),0,E123*IF(G123=0,H123,MIN(H123,H123*(J$3-D123+1)/MAX(1,G123)))*(1+F123)^(J$3-D123)*$E93)</f>
        <v/>
      </c>
      <c r="K32" s="138">
        <f>IF(OR(E123=0,K$3&lt;D123),0,E123*IF(G123=0,H123,MIN(H123,H123*(K$3-D123+1)/MAX(1,G123)))*(1+F123)^(K$3-D123)*$E93)</f>
        <v/>
      </c>
      <c r="L32" s="138">
        <f>IF(OR(E123=0,L$3&lt;D123),0,E123*IF(G123=0,H123,MIN(H123,H123*(L$3-D123+1)/MAX(1,G123)))*(1+F123)^(L$3-D123)*$E93)</f>
        <v/>
      </c>
      <c r="M32" s="138">
        <f>IF(OR(E123=0,M$3&lt;D123),0,E123*IF(G123=0,H123,MIN(H123,H123*(M$3-D123+1)/MAX(1,G123)))*(1+F123)^(M$3-D123)*$E93)</f>
        <v/>
      </c>
      <c r="N32" s="138">
        <f>IF(OR(E123=0,N$3&lt;D123),0,E123*IF(G123=0,H123,MIN(H123,H123*(N$3-D123+1)/MAX(1,G123)))*(1+F123)^(N$3-D123)*$E93)</f>
        <v/>
      </c>
      <c r="O32" s="138">
        <f>IF(OR(E123=0,O$3&lt;D123),0,E123*IF(G123=0,H123,MIN(H123,H123*(O$3-D123+1)/MAX(1,G123)))*(1+F123)^(O$3-D123)*$E93)</f>
        <v/>
      </c>
      <c r="P32" s="138">
        <f>IF(OR(E123=0,P$3&lt;D123),0,E123*IF(G123=0,H123,MIN(H123,H123*(P$3-D123+1)/MAX(1,G123)))*(1+F123)^(P$3-D123)*$E93)</f>
        <v/>
      </c>
      <c r="Q32" s="138">
        <f>IF(OR(E123=0,Q$3&lt;D123),0,E123*IF(G123=0,H123,MIN(H123,H123*(Q$3-D123+1)/MAX(1,G123)))*(1+F123)^(Q$3-D123)*$E93)</f>
        <v/>
      </c>
      <c r="R32" s="138">
        <f>IF(OR(E123=0,R$3&lt;D123),0,E123*IF(G123=0,H123,MIN(H123,H123*(R$3-D123+1)/MAX(1,G123)))*(1+F123)^(R$3-D123)*$E93)</f>
        <v/>
      </c>
      <c r="S32" s="138">
        <f>IF(OR(E123=0,S$3&lt;D123),0,E123*IF(G123=0,H123,MIN(H123,H123*(S$3-D123+1)/MAX(1,G123)))*(1+F123)^(S$3-D123)*$E93)</f>
        <v/>
      </c>
      <c r="T32" s="138">
        <f>IF(OR(E123=0,T$3&lt;D123),0,E123*IF(G123=0,H123,MIN(H123,H123*(T$3-D123+1)/MAX(1,G123)))*(1+F123)^(T$3-D123)*$E93)</f>
        <v/>
      </c>
      <c r="U32" s="138">
        <f>IF(OR(E123=0,U$3&lt;D123),0,E123*IF(G123=0,H123,MIN(H123,H123*(U$3-D123+1)/MAX(1,G123)))*(1+F123)^(U$3-D123)*$E93)</f>
        <v/>
      </c>
      <c r="V32" s="138">
        <f>IF(OR(E123=0,V$3&lt;D123),0,E123*IF(G123=0,H123,MIN(H123,H123*(V$3-D123+1)/MAX(1,G123)))*(1+F123)^(V$3-D123)*$E93)</f>
        <v/>
      </c>
      <c r="W32" s="138">
        <f>IF(OR(E123=0,W$3&lt;D123),0,E123*IF(G123=0,H123,MIN(H123,H123*(W$3-D123+1)/MAX(1,G123)))*(1+F123)^(W$3-D123)*$E93)</f>
        <v/>
      </c>
      <c r="X32" s="138">
        <f>IF(OR(E123=0,X$3&lt;D123),0,E123*IF(G123=0,H123,MIN(H123,H123*(X$3-D123+1)/MAX(1,G123)))*(1+F123)^(X$3-D123)*$E93)</f>
        <v/>
      </c>
      <c r="Y32" s="138">
        <f>IF(OR(E123=0,Y$3&lt;D123),0,E123*IF(G123=0,H123,MIN(H123,H123*(Y$3-D123+1)/MAX(1,G123)))*(1+F123)^(Y$3-D123)*$E93)</f>
        <v/>
      </c>
      <c r="Z32" s="138">
        <f>IF(OR(E123=0,Z$3&lt;D123),0,E123*IF(G123=0,H123,MIN(H123,H123*(Z$3-D123+1)/MAX(1,G123)))*(1+F123)^(Z$3-D123)*$E93)</f>
        <v/>
      </c>
      <c r="AA32" s="138">
        <f>IF(OR(E123=0,AA$3&lt;D123),0,E123*IF(G123=0,H123,MIN(H123,H123*(AA$3-D123+1)/MAX(1,G123)))*(1+F123)^(AA$3-D123)*$E93)</f>
        <v/>
      </c>
      <c r="AB32" s="138">
        <f>IF(OR(E123=0,AB$3&lt;D123),0,E123*IF(G123=0,H123,MIN(H123,H123*(AB$3-D123+1)/MAX(1,G123)))*(1+F123)^(AB$3-D123)*$E93)</f>
        <v/>
      </c>
      <c r="AC32" s="138">
        <f>IF(OR(E123=0,AC$3&lt;D123),0,E123*IF(G123=0,H123,MIN(H123,H123*(AC$3-D123+1)/MAX(1,G123)))*(1+F123)^(AC$3-D123)*$E93)</f>
        <v/>
      </c>
      <c r="AD32" s="138">
        <f>IF(OR(E123=0,AD$3&lt;D123),0,E123*IF(G123=0,H123,MIN(H123,H123*(AD$3-D123+1)/MAX(1,G123)))*(1+F123)^(AD$3-D123)*$E93)</f>
        <v/>
      </c>
      <c r="AE32" s="138">
        <f>IF(OR(E123=0,AE$3&lt;D123),0,E123*IF(G123=0,H123,MIN(H123,H123*(AE$3-D123+1)/MAX(1,G123)))*(1+F123)^(AE$3-D123)*$E93)</f>
        <v/>
      </c>
      <c r="AF32" s="138">
        <f>IF(OR(E123=0,AF$3&lt;D123),0,E123*IF(G123=0,H123,MIN(H123,H123*(AF$3-D123+1)/MAX(1,G123)))*(1+F123)^(AF$3-D123)*$E93)</f>
        <v/>
      </c>
      <c r="AG32" s="138">
        <f>IF(OR(E123=0,AG$3&lt;D123),0,E123*IF(G123=0,H123,MIN(H123,H123*(AG$3-D123+1)/MAX(1,G123)))*(1+F123)^(AG$3-D123)*$E93)</f>
        <v/>
      </c>
      <c r="AH32" s="138">
        <f>IF(OR(E123=0,AH$3&lt;D123),0,E123*IF(G123=0,H123,MIN(H123,H123*(AH$3-D123+1)/MAX(1,G123)))*(1+F123)^(AH$3-D123)*$E93)</f>
        <v/>
      </c>
      <c r="AI32" s="138">
        <f>IF(OR(E123=0,AI$3&lt;D123),0,E123*IF(G123=0,H123,MIN(H123,H123*(AI$3-D123+1)/MAX(1,G123)))*(1+F123)^(AI$3-D123)*$E93)</f>
        <v/>
      </c>
      <c r="AJ32" s="138">
        <f>IF(OR(E123=0,AJ$3&lt;D123),0,E123*IF(G123=0,H123,MIN(H123,H123*(AJ$3-D123+1)/MAX(1,G123)))*(1+F123)^(AJ$3-D123)*$E93)</f>
        <v/>
      </c>
      <c r="AK32" s="138">
        <f>IF(OR(E123=0,AK$3&lt;D123),0,E123*IF(G123=0,H123,MIN(H123,H123*(AK$3-D123+1)/MAX(1,G123)))*(1+F123)^(AK$3-D123)*$E93)</f>
        <v/>
      </c>
      <c r="AL32" s="138">
        <f>IF(OR(E123=0,AL$3&lt;D123),0,E123*IF(G123=0,H123,MIN(H123,H123*(AL$3-D123+1)/MAX(1,G123)))*(1+F123)^(AL$3-D123)*$E93)</f>
        <v/>
      </c>
      <c r="AM32" s="138">
        <f>IF(OR(E123=0,AM$3&lt;D123),0,E123*IF(G123=0,H123,MIN(H123,H123*(AM$3-D123+1)/MAX(1,G123)))*(1+F123)^(AM$3-D123)*$E93)</f>
        <v/>
      </c>
      <c r="AN32" s="138">
        <f>IF(OR(E123=0,AN$3&lt;D123),0,E123*IF(G123=0,H123,MIN(H123,H123*(AN$3-D123+1)/MAX(1,G123)))*(1+F123)^(AN$3-D123)*$E93)</f>
        <v/>
      </c>
      <c r="AO32" s="138">
        <f>IF(OR(E123=0,AO$3&lt;D123),0,E123*IF(G123=0,H123,MIN(H123,H123*(AO$3-D123+1)/MAX(1,G123)))*(1+F123)^(AO$3-D123)*$E93)</f>
        <v/>
      </c>
      <c r="AP32" s="138">
        <f>IF(OR(E123=0,AP$3&lt;D123),0,E123*IF(G123=0,H123,MIN(H123,H123*(AP$3-D123+1)/MAX(1,G123)))*(1+F123)^(AP$3-D123)*$E93)</f>
        <v/>
      </c>
      <c r="AQ32" s="138">
        <f>IF(OR(E123=0,AQ$3&lt;D123),0,E123*IF(G123=0,H123,MIN(H123,H123*(AQ$3-D123+1)/MAX(1,G123)))*(1+F123)^(AQ$3-D123)*$E93)</f>
        <v/>
      </c>
      <c r="AR32" s="138">
        <f>IF(OR(E123=0,AR$3&lt;D123),0,E123*IF(G123=0,H123,MIN(H123,H123*(AR$3-D123+1)/MAX(1,G123)))*(1+F123)^(AR$3-D123)*$E93)</f>
        <v/>
      </c>
      <c r="AS32" s="138">
        <f>IF(OR(E123=0,AS$3&lt;D123),0,E123*IF(G123=0,H123,MIN(H123,H123*(AS$3-D123+1)/MAX(1,G123)))*(1+F123)^(AS$3-D123)*$E93)</f>
        <v/>
      </c>
      <c r="AT32" s="138">
        <f>IF(OR(E123=0,AT$3&lt;D123),0,E123*IF(G123=0,H123,MIN(H123,H123*(AT$3-D123+1)/MAX(1,G123)))*(1+F123)^(AT$3-D123)*$E93)</f>
        <v/>
      </c>
      <c r="AU32" s="138">
        <f>IF(OR(E123=0,AU$3&lt;D123),0,E123*IF(G123=0,H123,MIN(H123,H123*(AU$3-D123+1)/MAX(1,G123)))*(1+F123)^(AU$3-D123)*$E93)</f>
        <v/>
      </c>
      <c r="AV32" s="138">
        <f>IF(OR(E123=0,AV$3&lt;D123),0,E123*IF(G123=0,H123,MIN(H123,H123*(AV$3-D123+1)/MAX(1,G123)))*(1+F123)^(AV$3-D123)*$E93)</f>
        <v/>
      </c>
      <c r="AW32" s="138">
        <f>IF(OR(E123=0,AW$3&lt;D123),0,E123*IF(G123=0,H123,MIN(H123,H123*(AW$3-D123+1)/MAX(1,G123)))*(1+F123)^(AW$3-D123)*$E93)</f>
        <v/>
      </c>
      <c r="AX32" s="138">
        <f>IF(OR(E123=0,AX$3&lt;D123),0,E123*IF(G123=0,H123,MIN(H123,H123*(AX$3-D123+1)/MAX(1,G123)))*(1+F123)^(AX$3-D123)*$E93)</f>
        <v/>
      </c>
      <c r="AY32" s="138">
        <f>IF(OR(E123=0,AY$3&lt;D123),0,E123*IF(G123=0,H123,MIN(H123,H123*(AY$3-D123+1)/MAX(1,G123)))*(1+F123)^(AY$3-D123)*$E93)</f>
        <v/>
      </c>
      <c r="AZ32" s="138">
        <f>IF(OR(E123=0,AZ$3&lt;D123),0,E123*IF(G123=0,H123,MIN(H123,H123*(AZ$3-D123+1)/MAX(1,G123)))*(1+F123)^(AZ$3-D123)*$E93)</f>
        <v/>
      </c>
      <c r="BA32" s="138">
        <f>IF(OR(E123=0,BA$3&lt;D123),0,E123*IF(G123=0,H123,MIN(H123,H123*(BA$3-D123+1)/MAX(1,G123)))*(1+F123)^(BA$3-D123)*$E93)</f>
        <v/>
      </c>
      <c r="BB32" s="138">
        <f>IF(OR(E123=0,BB$3&lt;D123),0,E123*IF(G123=0,H123,MIN(H123,H123*(BB$3-D123+1)/MAX(1,G123)))*(1+F123)^(BB$3-D123)*$E93)</f>
        <v/>
      </c>
    </row>
    <row r="33" ht="15" customHeight="1" s="91">
      <c r="A33" s="138">
        <f>A124</f>
        <v/>
      </c>
      <c r="B33" s="138">
        <f>B124</f>
        <v/>
      </c>
      <c r="C33" s="138">
        <f>C124</f>
        <v/>
      </c>
      <c r="D33" s="138">
        <f>SUM(E33:BB33)</f>
        <v/>
      </c>
      <c r="E33" s="138">
        <f>IF(OR(E124=0,E$3&lt;D124),0,E124*IF(G124=0,H124,MIN(H124,H124*(E$3-D124+1)/MAX(1,G124)))*(1+F124)^(E$3-D124)*$E93)</f>
        <v/>
      </c>
      <c r="F33" s="138">
        <f>IF(OR(E124=0,F$3&lt;D124),0,E124*IF(G124=0,H124,MIN(H124,H124*(F$3-D124+1)/MAX(1,G124)))*(1+F124)^(F$3-D124)*$E93)</f>
        <v/>
      </c>
      <c r="G33" s="138">
        <f>IF(OR(E124=0,G$3&lt;D124),0,E124*IF(G124=0,H124,MIN(H124,H124*(G$3-D124+1)/MAX(1,G124)))*(1+F124)^(G$3-D124)*$E93)</f>
        <v/>
      </c>
      <c r="H33" s="138">
        <f>IF(OR(E124=0,H$3&lt;D124),0,E124*IF(G124=0,H124,MIN(H124,H124*(H$3-D124+1)/MAX(1,G124)))*(1+F124)^(H$3-D124)*$E93)</f>
        <v/>
      </c>
      <c r="I33" s="138">
        <f>IF(OR(E124=0,I$3&lt;D124),0,E124*IF(G124=0,H124,MIN(H124,H124*(I$3-D124+1)/MAX(1,G124)))*(1+F124)^(I$3-D124)*$E93)</f>
        <v/>
      </c>
      <c r="J33" s="138">
        <f>IF(OR(E124=0,J$3&lt;D124),0,E124*IF(G124=0,H124,MIN(H124,H124*(J$3-D124+1)/MAX(1,G124)))*(1+F124)^(J$3-D124)*$E93)</f>
        <v/>
      </c>
      <c r="K33" s="138">
        <f>IF(OR(E124=0,K$3&lt;D124),0,E124*IF(G124=0,H124,MIN(H124,H124*(K$3-D124+1)/MAX(1,G124)))*(1+F124)^(K$3-D124)*$E93)</f>
        <v/>
      </c>
      <c r="L33" s="138">
        <f>IF(OR(E124=0,L$3&lt;D124),0,E124*IF(G124=0,H124,MIN(H124,H124*(L$3-D124+1)/MAX(1,G124)))*(1+F124)^(L$3-D124)*$E93)</f>
        <v/>
      </c>
      <c r="M33" s="138">
        <f>IF(OR(E124=0,M$3&lt;D124),0,E124*IF(G124=0,H124,MIN(H124,H124*(M$3-D124+1)/MAX(1,G124)))*(1+F124)^(M$3-D124)*$E93)</f>
        <v/>
      </c>
      <c r="N33" s="138">
        <f>IF(OR(E124=0,N$3&lt;D124),0,E124*IF(G124=0,H124,MIN(H124,H124*(N$3-D124+1)/MAX(1,G124)))*(1+F124)^(N$3-D124)*$E93)</f>
        <v/>
      </c>
      <c r="O33" s="138">
        <f>IF(OR(E124=0,O$3&lt;D124),0,E124*IF(G124=0,H124,MIN(H124,H124*(O$3-D124+1)/MAX(1,G124)))*(1+F124)^(O$3-D124)*$E93)</f>
        <v/>
      </c>
      <c r="P33" s="138">
        <f>IF(OR(E124=0,P$3&lt;D124),0,E124*IF(G124=0,H124,MIN(H124,H124*(P$3-D124+1)/MAX(1,G124)))*(1+F124)^(P$3-D124)*$E93)</f>
        <v/>
      </c>
      <c r="Q33" s="138">
        <f>IF(OR(E124=0,Q$3&lt;D124),0,E124*IF(G124=0,H124,MIN(H124,H124*(Q$3-D124+1)/MAX(1,G124)))*(1+F124)^(Q$3-D124)*$E93)</f>
        <v/>
      </c>
      <c r="R33" s="138">
        <f>IF(OR(E124=0,R$3&lt;D124),0,E124*IF(G124=0,H124,MIN(H124,H124*(R$3-D124+1)/MAX(1,G124)))*(1+F124)^(R$3-D124)*$E93)</f>
        <v/>
      </c>
      <c r="S33" s="138">
        <f>IF(OR(E124=0,S$3&lt;D124),0,E124*IF(G124=0,H124,MIN(H124,H124*(S$3-D124+1)/MAX(1,G124)))*(1+F124)^(S$3-D124)*$E93)</f>
        <v/>
      </c>
      <c r="T33" s="138">
        <f>IF(OR(E124=0,T$3&lt;D124),0,E124*IF(G124=0,H124,MIN(H124,H124*(T$3-D124+1)/MAX(1,G124)))*(1+F124)^(T$3-D124)*$E93)</f>
        <v/>
      </c>
      <c r="U33" s="138">
        <f>IF(OR(E124=0,U$3&lt;D124),0,E124*IF(G124=0,H124,MIN(H124,H124*(U$3-D124+1)/MAX(1,G124)))*(1+F124)^(U$3-D124)*$E93)</f>
        <v/>
      </c>
      <c r="V33" s="138">
        <f>IF(OR(E124=0,V$3&lt;D124),0,E124*IF(G124=0,H124,MIN(H124,H124*(V$3-D124+1)/MAX(1,G124)))*(1+F124)^(V$3-D124)*$E93)</f>
        <v/>
      </c>
      <c r="W33" s="138">
        <f>IF(OR(E124=0,W$3&lt;D124),0,E124*IF(G124=0,H124,MIN(H124,H124*(W$3-D124+1)/MAX(1,G124)))*(1+F124)^(W$3-D124)*$E93)</f>
        <v/>
      </c>
      <c r="X33" s="138">
        <f>IF(OR(E124=0,X$3&lt;D124),0,E124*IF(G124=0,H124,MIN(H124,H124*(X$3-D124+1)/MAX(1,G124)))*(1+F124)^(X$3-D124)*$E93)</f>
        <v/>
      </c>
      <c r="Y33" s="138">
        <f>IF(OR(E124=0,Y$3&lt;D124),0,E124*IF(G124=0,H124,MIN(H124,H124*(Y$3-D124+1)/MAX(1,G124)))*(1+F124)^(Y$3-D124)*$E93)</f>
        <v/>
      </c>
      <c r="Z33" s="138">
        <f>IF(OR(E124=0,Z$3&lt;D124),0,E124*IF(G124=0,H124,MIN(H124,H124*(Z$3-D124+1)/MAX(1,G124)))*(1+F124)^(Z$3-D124)*$E93)</f>
        <v/>
      </c>
      <c r="AA33" s="138">
        <f>IF(OR(E124=0,AA$3&lt;D124),0,E124*IF(G124=0,H124,MIN(H124,H124*(AA$3-D124+1)/MAX(1,G124)))*(1+F124)^(AA$3-D124)*$E93)</f>
        <v/>
      </c>
      <c r="AB33" s="138">
        <f>IF(OR(E124=0,AB$3&lt;D124),0,E124*IF(G124=0,H124,MIN(H124,H124*(AB$3-D124+1)/MAX(1,G124)))*(1+F124)^(AB$3-D124)*$E93)</f>
        <v/>
      </c>
      <c r="AC33" s="138">
        <f>IF(OR(E124=0,AC$3&lt;D124),0,E124*IF(G124=0,H124,MIN(H124,H124*(AC$3-D124+1)/MAX(1,G124)))*(1+F124)^(AC$3-D124)*$E93)</f>
        <v/>
      </c>
      <c r="AD33" s="138">
        <f>IF(OR(E124=0,AD$3&lt;D124),0,E124*IF(G124=0,H124,MIN(H124,H124*(AD$3-D124+1)/MAX(1,G124)))*(1+F124)^(AD$3-D124)*$E93)</f>
        <v/>
      </c>
      <c r="AE33" s="138">
        <f>IF(OR(E124=0,AE$3&lt;D124),0,E124*IF(G124=0,H124,MIN(H124,H124*(AE$3-D124+1)/MAX(1,G124)))*(1+F124)^(AE$3-D124)*$E93)</f>
        <v/>
      </c>
      <c r="AF33" s="138">
        <f>IF(OR(E124=0,AF$3&lt;D124),0,E124*IF(G124=0,H124,MIN(H124,H124*(AF$3-D124+1)/MAX(1,G124)))*(1+F124)^(AF$3-D124)*$E93)</f>
        <v/>
      </c>
      <c r="AG33" s="138">
        <f>IF(OR(E124=0,AG$3&lt;D124),0,E124*IF(G124=0,H124,MIN(H124,H124*(AG$3-D124+1)/MAX(1,G124)))*(1+F124)^(AG$3-D124)*$E93)</f>
        <v/>
      </c>
      <c r="AH33" s="138">
        <f>IF(OR(E124=0,AH$3&lt;D124),0,E124*IF(G124=0,H124,MIN(H124,H124*(AH$3-D124+1)/MAX(1,G124)))*(1+F124)^(AH$3-D124)*$E93)</f>
        <v/>
      </c>
      <c r="AI33" s="138">
        <f>IF(OR(E124=0,AI$3&lt;D124),0,E124*IF(G124=0,H124,MIN(H124,H124*(AI$3-D124+1)/MAX(1,G124)))*(1+F124)^(AI$3-D124)*$E93)</f>
        <v/>
      </c>
      <c r="AJ33" s="138">
        <f>IF(OR(E124=0,AJ$3&lt;D124),0,E124*IF(G124=0,H124,MIN(H124,H124*(AJ$3-D124+1)/MAX(1,G124)))*(1+F124)^(AJ$3-D124)*$E93)</f>
        <v/>
      </c>
      <c r="AK33" s="138">
        <f>IF(OR(E124=0,AK$3&lt;D124),0,E124*IF(G124=0,H124,MIN(H124,H124*(AK$3-D124+1)/MAX(1,G124)))*(1+F124)^(AK$3-D124)*$E93)</f>
        <v/>
      </c>
      <c r="AL33" s="138">
        <f>IF(OR(E124=0,AL$3&lt;D124),0,E124*IF(G124=0,H124,MIN(H124,H124*(AL$3-D124+1)/MAX(1,G124)))*(1+F124)^(AL$3-D124)*$E93)</f>
        <v/>
      </c>
      <c r="AM33" s="138">
        <f>IF(OR(E124=0,AM$3&lt;D124),0,E124*IF(G124=0,H124,MIN(H124,H124*(AM$3-D124+1)/MAX(1,G124)))*(1+F124)^(AM$3-D124)*$E93)</f>
        <v/>
      </c>
      <c r="AN33" s="138">
        <f>IF(OR(E124=0,AN$3&lt;D124),0,E124*IF(G124=0,H124,MIN(H124,H124*(AN$3-D124+1)/MAX(1,G124)))*(1+F124)^(AN$3-D124)*$E93)</f>
        <v/>
      </c>
      <c r="AO33" s="138">
        <f>IF(OR(E124=0,AO$3&lt;D124),0,E124*IF(G124=0,H124,MIN(H124,H124*(AO$3-D124+1)/MAX(1,G124)))*(1+F124)^(AO$3-D124)*$E93)</f>
        <v/>
      </c>
      <c r="AP33" s="138">
        <f>IF(OR(E124=0,AP$3&lt;D124),0,E124*IF(G124=0,H124,MIN(H124,H124*(AP$3-D124+1)/MAX(1,G124)))*(1+F124)^(AP$3-D124)*$E93)</f>
        <v/>
      </c>
      <c r="AQ33" s="138">
        <f>IF(OR(E124=0,AQ$3&lt;D124),0,E124*IF(G124=0,H124,MIN(H124,H124*(AQ$3-D124+1)/MAX(1,G124)))*(1+F124)^(AQ$3-D124)*$E93)</f>
        <v/>
      </c>
      <c r="AR33" s="138">
        <f>IF(OR(E124=0,AR$3&lt;D124),0,E124*IF(G124=0,H124,MIN(H124,H124*(AR$3-D124+1)/MAX(1,G124)))*(1+F124)^(AR$3-D124)*$E93)</f>
        <v/>
      </c>
      <c r="AS33" s="138">
        <f>IF(OR(E124=0,AS$3&lt;D124),0,E124*IF(G124=0,H124,MIN(H124,H124*(AS$3-D124+1)/MAX(1,G124)))*(1+F124)^(AS$3-D124)*$E93)</f>
        <v/>
      </c>
      <c r="AT33" s="138">
        <f>IF(OR(E124=0,AT$3&lt;D124),0,E124*IF(G124=0,H124,MIN(H124,H124*(AT$3-D124+1)/MAX(1,G124)))*(1+F124)^(AT$3-D124)*$E93)</f>
        <v/>
      </c>
      <c r="AU33" s="138">
        <f>IF(OR(E124=0,AU$3&lt;D124),0,E124*IF(G124=0,H124,MIN(H124,H124*(AU$3-D124+1)/MAX(1,G124)))*(1+F124)^(AU$3-D124)*$E93)</f>
        <v/>
      </c>
      <c r="AV33" s="138">
        <f>IF(OR(E124=0,AV$3&lt;D124),0,E124*IF(G124=0,H124,MIN(H124,H124*(AV$3-D124+1)/MAX(1,G124)))*(1+F124)^(AV$3-D124)*$E93)</f>
        <v/>
      </c>
      <c r="AW33" s="138">
        <f>IF(OR(E124=0,AW$3&lt;D124),0,E124*IF(G124=0,H124,MIN(H124,H124*(AW$3-D124+1)/MAX(1,G124)))*(1+F124)^(AW$3-D124)*$E93)</f>
        <v/>
      </c>
      <c r="AX33" s="138">
        <f>IF(OR(E124=0,AX$3&lt;D124),0,E124*IF(G124=0,H124,MIN(H124,H124*(AX$3-D124+1)/MAX(1,G124)))*(1+F124)^(AX$3-D124)*$E93)</f>
        <v/>
      </c>
      <c r="AY33" s="138">
        <f>IF(OR(E124=0,AY$3&lt;D124),0,E124*IF(G124=0,H124,MIN(H124,H124*(AY$3-D124+1)/MAX(1,G124)))*(1+F124)^(AY$3-D124)*$E93)</f>
        <v/>
      </c>
      <c r="AZ33" s="138">
        <f>IF(OR(E124=0,AZ$3&lt;D124),0,E124*IF(G124=0,H124,MIN(H124,H124*(AZ$3-D124+1)/MAX(1,G124)))*(1+F124)^(AZ$3-D124)*$E93)</f>
        <v/>
      </c>
      <c r="BA33" s="138">
        <f>IF(OR(E124=0,BA$3&lt;D124),0,E124*IF(G124=0,H124,MIN(H124,H124*(BA$3-D124+1)/MAX(1,G124)))*(1+F124)^(BA$3-D124)*$E93)</f>
        <v/>
      </c>
      <c r="BB33" s="138">
        <f>IF(OR(E124=0,BB$3&lt;D124),0,E124*IF(G124=0,H124,MIN(H124,H124*(BB$3-D124+1)/MAX(1,G124)))*(1+F124)^(BB$3-D124)*$E93)</f>
        <v/>
      </c>
    </row>
    <row r="35" ht="15" customHeight="1" s="91">
      <c r="A35" s="139" t="inlineStr">
        <is>
          <t>REVENUE BY PHASE</t>
        </is>
      </c>
      <c r="B35" s="140" t="n"/>
      <c r="C35" s="140" t="n"/>
      <c r="D35" s="140" t="n"/>
      <c r="E35" s="140" t="n"/>
      <c r="F35" s="140" t="n"/>
      <c r="G35" s="140" t="n"/>
      <c r="H35" s="140" t="n"/>
      <c r="I35" s="140" t="n"/>
      <c r="J35" s="140" t="n"/>
      <c r="K35" s="140" t="n"/>
      <c r="L35" s="140" t="n"/>
      <c r="M35" s="140" t="n"/>
      <c r="N35" s="140" t="n"/>
      <c r="O35" s="140" t="n"/>
      <c r="P35" s="140" t="n"/>
      <c r="Q35" s="140" t="n"/>
      <c r="R35" s="140" t="n"/>
      <c r="S35" s="140" t="n"/>
      <c r="T35" s="140" t="n"/>
      <c r="U35" s="140" t="n"/>
      <c r="V35" s="140" t="n"/>
      <c r="W35" s="140" t="n"/>
      <c r="X35" s="140" t="n"/>
      <c r="Y35" s="140" t="n"/>
      <c r="Z35" s="140" t="n"/>
      <c r="AA35" s="140" t="n"/>
      <c r="AB35" s="140" t="n"/>
      <c r="AC35" s="140" t="n"/>
      <c r="AD35" s="140" t="n"/>
      <c r="AE35" s="140" t="n"/>
      <c r="AF35" s="140" t="n"/>
      <c r="AG35" s="140" t="n"/>
      <c r="AH35" s="140" t="n"/>
      <c r="AI35" s="140" t="n"/>
      <c r="AJ35" s="140" t="n"/>
      <c r="AK35" s="140" t="n"/>
      <c r="AL35" s="140" t="n"/>
      <c r="AM35" s="140" t="n"/>
      <c r="AN35" s="140" t="n"/>
      <c r="AO35" s="140" t="n"/>
      <c r="AP35" s="140" t="n"/>
      <c r="AQ35" s="140" t="n"/>
      <c r="AR35" s="140" t="n"/>
      <c r="AS35" s="140" t="n"/>
      <c r="AT35" s="140" t="n"/>
      <c r="AU35" s="140" t="n"/>
      <c r="AV35" s="140" t="n"/>
      <c r="AW35" s="140" t="n"/>
      <c r="AX35" s="140" t="n"/>
      <c r="AY35" s="140" t="n"/>
      <c r="AZ35" s="140" t="n"/>
      <c r="BA35" s="140" t="n"/>
      <c r="BB35" s="140" t="n"/>
    </row>
    <row r="36" ht="15" customHeight="1" s="91">
      <c r="B36" s="141" t="inlineStr">
        <is>
          <t>ZAN 1</t>
        </is>
      </c>
      <c r="D36" s="138">
        <f>SUM(E36:BB36)</f>
        <v/>
      </c>
      <c r="E36" s="138">
        <f>SUMPRODUCT(($C$4:$C$33="ZAN 1")*E$4:E$33)</f>
        <v/>
      </c>
      <c r="F36" s="138">
        <f>SUMPRODUCT(($C$4:$C$33="ZAN 1")*F$4:F$33)</f>
        <v/>
      </c>
      <c r="G36" s="138">
        <f>SUMPRODUCT(($C$4:$C$33="ZAN 1")*G$4:G$33)</f>
        <v/>
      </c>
      <c r="H36" s="138">
        <f>SUMPRODUCT(($C$4:$C$33="ZAN 1")*H$4:H$33)</f>
        <v/>
      </c>
      <c r="I36" s="138">
        <f>SUMPRODUCT(($C$4:$C$33="ZAN 1")*I$4:I$33)</f>
        <v/>
      </c>
      <c r="J36" s="138">
        <f>SUMPRODUCT(($C$4:$C$33="ZAN 1")*J$4:J$33)</f>
        <v/>
      </c>
      <c r="K36" s="138">
        <f>SUMPRODUCT(($C$4:$C$33="ZAN 1")*K$4:K$33)</f>
        <v/>
      </c>
      <c r="L36" s="138">
        <f>SUMPRODUCT(($C$4:$C$33="ZAN 1")*L$4:L$33)</f>
        <v/>
      </c>
      <c r="M36" s="138">
        <f>SUMPRODUCT(($C$4:$C$33="ZAN 1")*M$4:M$33)</f>
        <v/>
      </c>
      <c r="N36" s="138">
        <f>SUMPRODUCT(($C$4:$C$33="ZAN 1")*N$4:N$33)</f>
        <v/>
      </c>
      <c r="O36" s="138">
        <f>SUMPRODUCT(($C$4:$C$33="ZAN 1")*O$4:O$33)</f>
        <v/>
      </c>
      <c r="P36" s="138">
        <f>SUMPRODUCT(($C$4:$C$33="ZAN 1")*P$4:P$33)</f>
        <v/>
      </c>
      <c r="Q36" s="138">
        <f>SUMPRODUCT(($C$4:$C$33="ZAN 1")*Q$4:Q$33)</f>
        <v/>
      </c>
      <c r="R36" s="138">
        <f>SUMPRODUCT(($C$4:$C$33="ZAN 1")*R$4:R$33)</f>
        <v/>
      </c>
      <c r="S36" s="138">
        <f>SUMPRODUCT(($C$4:$C$33="ZAN 1")*S$4:S$33)</f>
        <v/>
      </c>
      <c r="T36" s="138">
        <f>SUMPRODUCT(($C$4:$C$33="ZAN 1")*T$4:T$33)</f>
        <v/>
      </c>
      <c r="U36" s="138">
        <f>SUMPRODUCT(($C$4:$C$33="ZAN 1")*U$4:U$33)</f>
        <v/>
      </c>
      <c r="V36" s="138">
        <f>SUMPRODUCT(($C$4:$C$33="ZAN 1")*V$4:V$33)</f>
        <v/>
      </c>
      <c r="W36" s="138">
        <f>SUMPRODUCT(($C$4:$C$33="ZAN 1")*W$4:W$33)</f>
        <v/>
      </c>
      <c r="X36" s="138">
        <f>SUMPRODUCT(($C$4:$C$33="ZAN 1")*X$4:X$33)</f>
        <v/>
      </c>
      <c r="Y36" s="138">
        <f>SUMPRODUCT(($C$4:$C$33="ZAN 1")*Y$4:Y$33)</f>
        <v/>
      </c>
      <c r="Z36" s="138">
        <f>SUMPRODUCT(($C$4:$C$33="ZAN 1")*Z$4:Z$33)</f>
        <v/>
      </c>
      <c r="AA36" s="138">
        <f>SUMPRODUCT(($C$4:$C$33="ZAN 1")*AA$4:AA$33)</f>
        <v/>
      </c>
      <c r="AB36" s="138">
        <f>SUMPRODUCT(($C$4:$C$33="ZAN 1")*AB$4:AB$33)</f>
        <v/>
      </c>
      <c r="AC36" s="138">
        <f>SUMPRODUCT(($C$4:$C$33="ZAN 1")*AC$4:AC$33)</f>
        <v/>
      </c>
      <c r="AD36" s="138">
        <f>SUMPRODUCT(($C$4:$C$33="ZAN 1")*AD$4:AD$33)</f>
        <v/>
      </c>
      <c r="AE36" s="138">
        <f>SUMPRODUCT(($C$4:$C$33="ZAN 1")*AE$4:AE$33)</f>
        <v/>
      </c>
      <c r="AF36" s="138">
        <f>SUMPRODUCT(($C$4:$C$33="ZAN 1")*AF$4:AF$33)</f>
        <v/>
      </c>
      <c r="AG36" s="138">
        <f>SUMPRODUCT(($C$4:$C$33="ZAN 1")*AG$4:AG$33)</f>
        <v/>
      </c>
      <c r="AH36" s="138">
        <f>SUMPRODUCT(($C$4:$C$33="ZAN 1")*AH$4:AH$33)</f>
        <v/>
      </c>
      <c r="AI36" s="138">
        <f>SUMPRODUCT(($C$4:$C$33="ZAN 1")*AI$4:AI$33)</f>
        <v/>
      </c>
      <c r="AJ36" s="138">
        <f>SUMPRODUCT(($C$4:$C$33="ZAN 1")*AJ$4:AJ$33)</f>
        <v/>
      </c>
      <c r="AK36" s="138">
        <f>SUMPRODUCT(($C$4:$C$33="ZAN 1")*AK$4:AK$33)</f>
        <v/>
      </c>
      <c r="AL36" s="138">
        <f>SUMPRODUCT(($C$4:$C$33="ZAN 1")*AL$4:AL$33)</f>
        <v/>
      </c>
      <c r="AM36" s="138">
        <f>SUMPRODUCT(($C$4:$C$33="ZAN 1")*AM$4:AM$33)</f>
        <v/>
      </c>
      <c r="AN36" s="138">
        <f>SUMPRODUCT(($C$4:$C$33="ZAN 1")*AN$4:AN$33)</f>
        <v/>
      </c>
      <c r="AO36" s="138">
        <f>SUMPRODUCT(($C$4:$C$33="ZAN 1")*AO$4:AO$33)</f>
        <v/>
      </c>
      <c r="AP36" s="138">
        <f>SUMPRODUCT(($C$4:$C$33="ZAN 1")*AP$4:AP$33)</f>
        <v/>
      </c>
      <c r="AQ36" s="138">
        <f>SUMPRODUCT(($C$4:$C$33="ZAN 1")*AQ$4:AQ$33)</f>
        <v/>
      </c>
      <c r="AR36" s="138">
        <f>SUMPRODUCT(($C$4:$C$33="ZAN 1")*AR$4:AR$33)</f>
        <v/>
      </c>
      <c r="AS36" s="138">
        <f>SUMPRODUCT(($C$4:$C$33="ZAN 1")*AS$4:AS$33)</f>
        <v/>
      </c>
      <c r="AT36" s="138">
        <f>SUMPRODUCT(($C$4:$C$33="ZAN 1")*AT$4:AT$33)</f>
        <v/>
      </c>
      <c r="AU36" s="138">
        <f>SUMPRODUCT(($C$4:$C$33="ZAN 1")*AU$4:AU$33)</f>
        <v/>
      </c>
      <c r="AV36" s="138">
        <f>SUMPRODUCT(($C$4:$C$33="ZAN 1")*AV$4:AV$33)</f>
        <v/>
      </c>
      <c r="AW36" s="138">
        <f>SUMPRODUCT(($C$4:$C$33="ZAN 1")*AW$4:AW$33)</f>
        <v/>
      </c>
      <c r="AX36" s="138">
        <f>SUMPRODUCT(($C$4:$C$33="ZAN 1")*AX$4:AX$33)</f>
        <v/>
      </c>
      <c r="AY36" s="138">
        <f>SUMPRODUCT(($C$4:$C$33="ZAN 1")*AY$4:AY$33)</f>
        <v/>
      </c>
      <c r="AZ36" s="138">
        <f>SUMPRODUCT(($C$4:$C$33="ZAN 1")*AZ$4:AZ$33)</f>
        <v/>
      </c>
      <c r="BA36" s="138">
        <f>SUMPRODUCT(($C$4:$C$33="ZAN 1")*BA$4:BA$33)</f>
        <v/>
      </c>
      <c r="BB36" s="138">
        <f>SUMPRODUCT(($C$4:$C$33="ZAN 1")*BB$4:BB$33)</f>
        <v/>
      </c>
    </row>
    <row r="37" ht="15" customHeight="1" s="91">
      <c r="B37" s="141" t="inlineStr">
        <is>
          <t>ZAN 2</t>
        </is>
      </c>
      <c r="D37" s="138">
        <f>SUM(E37:BB37)</f>
        <v/>
      </c>
      <c r="E37" s="138">
        <f>SUMPRODUCT(($C$4:$C$33="ZAN 2")*E$4:E$33)</f>
        <v/>
      </c>
      <c r="F37" s="138">
        <f>SUMPRODUCT(($C$4:$C$33="ZAN 2")*F$4:F$33)</f>
        <v/>
      </c>
      <c r="G37" s="138">
        <f>SUMPRODUCT(($C$4:$C$33="ZAN 2")*G$4:G$33)</f>
        <v/>
      </c>
      <c r="H37" s="138">
        <f>SUMPRODUCT(($C$4:$C$33="ZAN 2")*H$4:H$33)</f>
        <v/>
      </c>
      <c r="I37" s="138">
        <f>SUMPRODUCT(($C$4:$C$33="ZAN 2")*I$4:I$33)</f>
        <v/>
      </c>
      <c r="J37" s="138">
        <f>SUMPRODUCT(($C$4:$C$33="ZAN 2")*J$4:J$33)</f>
        <v/>
      </c>
      <c r="K37" s="138">
        <f>SUMPRODUCT(($C$4:$C$33="ZAN 2")*K$4:K$33)</f>
        <v/>
      </c>
      <c r="L37" s="138">
        <f>SUMPRODUCT(($C$4:$C$33="ZAN 2")*L$4:L$33)</f>
        <v/>
      </c>
      <c r="M37" s="138">
        <f>SUMPRODUCT(($C$4:$C$33="ZAN 2")*M$4:M$33)</f>
        <v/>
      </c>
      <c r="N37" s="138">
        <f>SUMPRODUCT(($C$4:$C$33="ZAN 2")*N$4:N$33)</f>
        <v/>
      </c>
      <c r="O37" s="138">
        <f>SUMPRODUCT(($C$4:$C$33="ZAN 2")*O$4:O$33)</f>
        <v/>
      </c>
      <c r="P37" s="138">
        <f>SUMPRODUCT(($C$4:$C$33="ZAN 2")*P$4:P$33)</f>
        <v/>
      </c>
      <c r="Q37" s="138">
        <f>SUMPRODUCT(($C$4:$C$33="ZAN 2")*Q$4:Q$33)</f>
        <v/>
      </c>
      <c r="R37" s="138">
        <f>SUMPRODUCT(($C$4:$C$33="ZAN 2")*R$4:R$33)</f>
        <v/>
      </c>
      <c r="S37" s="138">
        <f>SUMPRODUCT(($C$4:$C$33="ZAN 2")*S$4:S$33)</f>
        <v/>
      </c>
      <c r="T37" s="138">
        <f>SUMPRODUCT(($C$4:$C$33="ZAN 2")*T$4:T$33)</f>
        <v/>
      </c>
      <c r="U37" s="138">
        <f>SUMPRODUCT(($C$4:$C$33="ZAN 2")*U$4:U$33)</f>
        <v/>
      </c>
      <c r="V37" s="138">
        <f>SUMPRODUCT(($C$4:$C$33="ZAN 2")*V$4:V$33)</f>
        <v/>
      </c>
      <c r="W37" s="138">
        <f>SUMPRODUCT(($C$4:$C$33="ZAN 2")*W$4:W$33)</f>
        <v/>
      </c>
      <c r="X37" s="138">
        <f>SUMPRODUCT(($C$4:$C$33="ZAN 2")*X$4:X$33)</f>
        <v/>
      </c>
      <c r="Y37" s="138">
        <f>SUMPRODUCT(($C$4:$C$33="ZAN 2")*Y$4:Y$33)</f>
        <v/>
      </c>
      <c r="Z37" s="138">
        <f>SUMPRODUCT(($C$4:$C$33="ZAN 2")*Z$4:Z$33)</f>
        <v/>
      </c>
      <c r="AA37" s="138">
        <f>SUMPRODUCT(($C$4:$C$33="ZAN 2")*AA$4:AA$33)</f>
        <v/>
      </c>
      <c r="AB37" s="138">
        <f>SUMPRODUCT(($C$4:$C$33="ZAN 2")*AB$4:AB$33)</f>
        <v/>
      </c>
      <c r="AC37" s="138">
        <f>SUMPRODUCT(($C$4:$C$33="ZAN 2")*AC$4:AC$33)</f>
        <v/>
      </c>
      <c r="AD37" s="138">
        <f>SUMPRODUCT(($C$4:$C$33="ZAN 2")*AD$4:AD$33)</f>
        <v/>
      </c>
      <c r="AE37" s="138">
        <f>SUMPRODUCT(($C$4:$C$33="ZAN 2")*AE$4:AE$33)</f>
        <v/>
      </c>
      <c r="AF37" s="138">
        <f>SUMPRODUCT(($C$4:$C$33="ZAN 2")*AF$4:AF$33)</f>
        <v/>
      </c>
      <c r="AG37" s="138">
        <f>SUMPRODUCT(($C$4:$C$33="ZAN 2")*AG$4:AG$33)</f>
        <v/>
      </c>
      <c r="AH37" s="138">
        <f>SUMPRODUCT(($C$4:$C$33="ZAN 2")*AH$4:AH$33)</f>
        <v/>
      </c>
      <c r="AI37" s="138">
        <f>SUMPRODUCT(($C$4:$C$33="ZAN 2")*AI$4:AI$33)</f>
        <v/>
      </c>
      <c r="AJ37" s="138">
        <f>SUMPRODUCT(($C$4:$C$33="ZAN 2")*AJ$4:AJ$33)</f>
        <v/>
      </c>
      <c r="AK37" s="138">
        <f>SUMPRODUCT(($C$4:$C$33="ZAN 2")*AK$4:AK$33)</f>
        <v/>
      </c>
      <c r="AL37" s="138">
        <f>SUMPRODUCT(($C$4:$C$33="ZAN 2")*AL$4:AL$33)</f>
        <v/>
      </c>
      <c r="AM37" s="138">
        <f>SUMPRODUCT(($C$4:$C$33="ZAN 2")*AM$4:AM$33)</f>
        <v/>
      </c>
      <c r="AN37" s="138">
        <f>SUMPRODUCT(($C$4:$C$33="ZAN 2")*AN$4:AN$33)</f>
        <v/>
      </c>
      <c r="AO37" s="138">
        <f>SUMPRODUCT(($C$4:$C$33="ZAN 2")*AO$4:AO$33)</f>
        <v/>
      </c>
      <c r="AP37" s="138">
        <f>SUMPRODUCT(($C$4:$C$33="ZAN 2")*AP$4:AP$33)</f>
        <v/>
      </c>
      <c r="AQ37" s="138">
        <f>SUMPRODUCT(($C$4:$C$33="ZAN 2")*AQ$4:AQ$33)</f>
        <v/>
      </c>
      <c r="AR37" s="138">
        <f>SUMPRODUCT(($C$4:$C$33="ZAN 2")*AR$4:AR$33)</f>
        <v/>
      </c>
      <c r="AS37" s="138">
        <f>SUMPRODUCT(($C$4:$C$33="ZAN 2")*AS$4:AS$33)</f>
        <v/>
      </c>
      <c r="AT37" s="138">
        <f>SUMPRODUCT(($C$4:$C$33="ZAN 2")*AT$4:AT$33)</f>
        <v/>
      </c>
      <c r="AU37" s="138">
        <f>SUMPRODUCT(($C$4:$C$33="ZAN 2")*AU$4:AU$33)</f>
        <v/>
      </c>
      <c r="AV37" s="138">
        <f>SUMPRODUCT(($C$4:$C$33="ZAN 2")*AV$4:AV$33)</f>
        <v/>
      </c>
      <c r="AW37" s="138">
        <f>SUMPRODUCT(($C$4:$C$33="ZAN 2")*AW$4:AW$33)</f>
        <v/>
      </c>
      <c r="AX37" s="138">
        <f>SUMPRODUCT(($C$4:$C$33="ZAN 2")*AX$4:AX$33)</f>
        <v/>
      </c>
      <c r="AY37" s="138">
        <f>SUMPRODUCT(($C$4:$C$33="ZAN 2")*AY$4:AY$33)</f>
        <v/>
      </c>
      <c r="AZ37" s="138">
        <f>SUMPRODUCT(($C$4:$C$33="ZAN 2")*AZ$4:AZ$33)</f>
        <v/>
      </c>
      <c r="BA37" s="138">
        <f>SUMPRODUCT(($C$4:$C$33="ZAN 2")*BA$4:BA$33)</f>
        <v/>
      </c>
      <c r="BB37" s="138">
        <f>SUMPRODUCT(($C$4:$C$33="ZAN 2")*BB$4:BB$33)</f>
        <v/>
      </c>
    </row>
    <row r="38" ht="15" customHeight="1" s="91">
      <c r="B38" s="141" t="inlineStr">
        <is>
          <t>ZAN 3</t>
        </is>
      </c>
      <c r="D38" s="138">
        <f>SUM(E38:BB38)</f>
        <v/>
      </c>
      <c r="E38" s="138">
        <f>SUMPRODUCT(($C$4:$C$33="ZAN 3")*E$4:E$33)</f>
        <v/>
      </c>
      <c r="F38" s="138">
        <f>SUMPRODUCT(($C$4:$C$33="ZAN 3")*F$4:F$33)</f>
        <v/>
      </c>
      <c r="G38" s="138">
        <f>SUMPRODUCT(($C$4:$C$33="ZAN 3")*G$4:G$33)</f>
        <v/>
      </c>
      <c r="H38" s="138">
        <f>SUMPRODUCT(($C$4:$C$33="ZAN 3")*H$4:H$33)</f>
        <v/>
      </c>
      <c r="I38" s="138">
        <f>SUMPRODUCT(($C$4:$C$33="ZAN 3")*I$4:I$33)</f>
        <v/>
      </c>
      <c r="J38" s="138">
        <f>SUMPRODUCT(($C$4:$C$33="ZAN 3")*J$4:J$33)</f>
        <v/>
      </c>
      <c r="K38" s="138">
        <f>SUMPRODUCT(($C$4:$C$33="ZAN 3")*K$4:K$33)</f>
        <v/>
      </c>
      <c r="L38" s="138">
        <f>SUMPRODUCT(($C$4:$C$33="ZAN 3")*L$4:L$33)</f>
        <v/>
      </c>
      <c r="M38" s="138">
        <f>SUMPRODUCT(($C$4:$C$33="ZAN 3")*M$4:M$33)</f>
        <v/>
      </c>
      <c r="N38" s="138">
        <f>SUMPRODUCT(($C$4:$C$33="ZAN 3")*N$4:N$33)</f>
        <v/>
      </c>
      <c r="O38" s="138">
        <f>SUMPRODUCT(($C$4:$C$33="ZAN 3")*O$4:O$33)</f>
        <v/>
      </c>
      <c r="P38" s="138">
        <f>SUMPRODUCT(($C$4:$C$33="ZAN 3")*P$4:P$33)</f>
        <v/>
      </c>
      <c r="Q38" s="138">
        <f>SUMPRODUCT(($C$4:$C$33="ZAN 3")*Q$4:Q$33)</f>
        <v/>
      </c>
      <c r="R38" s="138">
        <f>SUMPRODUCT(($C$4:$C$33="ZAN 3")*R$4:R$33)</f>
        <v/>
      </c>
      <c r="S38" s="138">
        <f>SUMPRODUCT(($C$4:$C$33="ZAN 3")*S$4:S$33)</f>
        <v/>
      </c>
      <c r="T38" s="138">
        <f>SUMPRODUCT(($C$4:$C$33="ZAN 3")*T$4:T$33)</f>
        <v/>
      </c>
      <c r="U38" s="138">
        <f>SUMPRODUCT(($C$4:$C$33="ZAN 3")*U$4:U$33)</f>
        <v/>
      </c>
      <c r="V38" s="138">
        <f>SUMPRODUCT(($C$4:$C$33="ZAN 3")*V$4:V$33)</f>
        <v/>
      </c>
      <c r="W38" s="138">
        <f>SUMPRODUCT(($C$4:$C$33="ZAN 3")*W$4:W$33)</f>
        <v/>
      </c>
      <c r="X38" s="138">
        <f>SUMPRODUCT(($C$4:$C$33="ZAN 3")*X$4:X$33)</f>
        <v/>
      </c>
      <c r="Y38" s="138">
        <f>SUMPRODUCT(($C$4:$C$33="ZAN 3")*Y$4:Y$33)</f>
        <v/>
      </c>
      <c r="Z38" s="138">
        <f>SUMPRODUCT(($C$4:$C$33="ZAN 3")*Z$4:Z$33)</f>
        <v/>
      </c>
      <c r="AA38" s="138">
        <f>SUMPRODUCT(($C$4:$C$33="ZAN 3")*AA$4:AA$33)</f>
        <v/>
      </c>
      <c r="AB38" s="138">
        <f>SUMPRODUCT(($C$4:$C$33="ZAN 3")*AB$4:AB$33)</f>
        <v/>
      </c>
      <c r="AC38" s="138">
        <f>SUMPRODUCT(($C$4:$C$33="ZAN 3")*AC$4:AC$33)</f>
        <v/>
      </c>
      <c r="AD38" s="138">
        <f>SUMPRODUCT(($C$4:$C$33="ZAN 3")*AD$4:AD$33)</f>
        <v/>
      </c>
      <c r="AE38" s="138">
        <f>SUMPRODUCT(($C$4:$C$33="ZAN 3")*AE$4:AE$33)</f>
        <v/>
      </c>
      <c r="AF38" s="138">
        <f>SUMPRODUCT(($C$4:$C$33="ZAN 3")*AF$4:AF$33)</f>
        <v/>
      </c>
      <c r="AG38" s="138">
        <f>SUMPRODUCT(($C$4:$C$33="ZAN 3")*AG$4:AG$33)</f>
        <v/>
      </c>
      <c r="AH38" s="138">
        <f>SUMPRODUCT(($C$4:$C$33="ZAN 3")*AH$4:AH$33)</f>
        <v/>
      </c>
      <c r="AI38" s="138">
        <f>SUMPRODUCT(($C$4:$C$33="ZAN 3")*AI$4:AI$33)</f>
        <v/>
      </c>
      <c r="AJ38" s="138">
        <f>SUMPRODUCT(($C$4:$C$33="ZAN 3")*AJ$4:AJ$33)</f>
        <v/>
      </c>
      <c r="AK38" s="138">
        <f>SUMPRODUCT(($C$4:$C$33="ZAN 3")*AK$4:AK$33)</f>
        <v/>
      </c>
      <c r="AL38" s="138">
        <f>SUMPRODUCT(($C$4:$C$33="ZAN 3")*AL$4:AL$33)</f>
        <v/>
      </c>
      <c r="AM38" s="138">
        <f>SUMPRODUCT(($C$4:$C$33="ZAN 3")*AM$4:AM$33)</f>
        <v/>
      </c>
      <c r="AN38" s="138">
        <f>SUMPRODUCT(($C$4:$C$33="ZAN 3")*AN$4:AN$33)</f>
        <v/>
      </c>
      <c r="AO38" s="138">
        <f>SUMPRODUCT(($C$4:$C$33="ZAN 3")*AO$4:AO$33)</f>
        <v/>
      </c>
      <c r="AP38" s="138">
        <f>SUMPRODUCT(($C$4:$C$33="ZAN 3")*AP$4:AP$33)</f>
        <v/>
      </c>
      <c r="AQ38" s="138">
        <f>SUMPRODUCT(($C$4:$C$33="ZAN 3")*AQ$4:AQ$33)</f>
        <v/>
      </c>
      <c r="AR38" s="138">
        <f>SUMPRODUCT(($C$4:$C$33="ZAN 3")*AR$4:AR$33)</f>
        <v/>
      </c>
      <c r="AS38" s="138">
        <f>SUMPRODUCT(($C$4:$C$33="ZAN 3")*AS$4:AS$33)</f>
        <v/>
      </c>
      <c r="AT38" s="138">
        <f>SUMPRODUCT(($C$4:$C$33="ZAN 3")*AT$4:AT$33)</f>
        <v/>
      </c>
      <c r="AU38" s="138">
        <f>SUMPRODUCT(($C$4:$C$33="ZAN 3")*AU$4:AU$33)</f>
        <v/>
      </c>
      <c r="AV38" s="138">
        <f>SUMPRODUCT(($C$4:$C$33="ZAN 3")*AV$4:AV$33)</f>
        <v/>
      </c>
      <c r="AW38" s="138">
        <f>SUMPRODUCT(($C$4:$C$33="ZAN 3")*AW$4:AW$33)</f>
        <v/>
      </c>
      <c r="AX38" s="138">
        <f>SUMPRODUCT(($C$4:$C$33="ZAN 3")*AX$4:AX$33)</f>
        <v/>
      </c>
      <c r="AY38" s="138">
        <f>SUMPRODUCT(($C$4:$C$33="ZAN 3")*AY$4:AY$33)</f>
        <v/>
      </c>
      <c r="AZ38" s="138">
        <f>SUMPRODUCT(($C$4:$C$33="ZAN 3")*AZ$4:AZ$33)</f>
        <v/>
      </c>
      <c r="BA38" s="138">
        <f>SUMPRODUCT(($C$4:$C$33="ZAN 3")*BA$4:BA$33)</f>
        <v/>
      </c>
      <c r="BB38" s="138">
        <f>SUMPRODUCT(($C$4:$C$33="ZAN 3")*BB$4:BB$33)</f>
        <v/>
      </c>
    </row>
    <row r="39" ht="15" customHeight="1" s="91">
      <c r="B39" s="141" t="inlineStr">
        <is>
          <t>ZAN 4</t>
        </is>
      </c>
      <c r="D39" s="138">
        <f>SUM(E39:BB39)</f>
        <v/>
      </c>
      <c r="E39" s="138">
        <f>SUMPRODUCT(($C$4:$C$33="ZAN 4")*E$4:E$33)</f>
        <v/>
      </c>
      <c r="F39" s="138">
        <f>SUMPRODUCT(($C$4:$C$33="ZAN 4")*F$4:F$33)</f>
        <v/>
      </c>
      <c r="G39" s="138">
        <f>SUMPRODUCT(($C$4:$C$33="ZAN 4")*G$4:G$33)</f>
        <v/>
      </c>
      <c r="H39" s="138">
        <f>SUMPRODUCT(($C$4:$C$33="ZAN 4")*H$4:H$33)</f>
        <v/>
      </c>
      <c r="I39" s="138">
        <f>SUMPRODUCT(($C$4:$C$33="ZAN 4")*I$4:I$33)</f>
        <v/>
      </c>
      <c r="J39" s="138">
        <f>SUMPRODUCT(($C$4:$C$33="ZAN 4")*J$4:J$33)</f>
        <v/>
      </c>
      <c r="K39" s="138">
        <f>SUMPRODUCT(($C$4:$C$33="ZAN 4")*K$4:K$33)</f>
        <v/>
      </c>
      <c r="L39" s="138">
        <f>SUMPRODUCT(($C$4:$C$33="ZAN 4")*L$4:L$33)</f>
        <v/>
      </c>
      <c r="M39" s="138">
        <f>SUMPRODUCT(($C$4:$C$33="ZAN 4")*M$4:M$33)</f>
        <v/>
      </c>
      <c r="N39" s="138">
        <f>SUMPRODUCT(($C$4:$C$33="ZAN 4")*N$4:N$33)</f>
        <v/>
      </c>
      <c r="O39" s="138">
        <f>SUMPRODUCT(($C$4:$C$33="ZAN 4")*O$4:O$33)</f>
        <v/>
      </c>
      <c r="P39" s="138">
        <f>SUMPRODUCT(($C$4:$C$33="ZAN 4")*P$4:P$33)</f>
        <v/>
      </c>
      <c r="Q39" s="138">
        <f>SUMPRODUCT(($C$4:$C$33="ZAN 4")*Q$4:Q$33)</f>
        <v/>
      </c>
      <c r="R39" s="138">
        <f>SUMPRODUCT(($C$4:$C$33="ZAN 4")*R$4:R$33)</f>
        <v/>
      </c>
      <c r="S39" s="138">
        <f>SUMPRODUCT(($C$4:$C$33="ZAN 4")*S$4:S$33)</f>
        <v/>
      </c>
      <c r="T39" s="138">
        <f>SUMPRODUCT(($C$4:$C$33="ZAN 4")*T$4:T$33)</f>
        <v/>
      </c>
      <c r="U39" s="138">
        <f>SUMPRODUCT(($C$4:$C$33="ZAN 4")*U$4:U$33)</f>
        <v/>
      </c>
      <c r="V39" s="138">
        <f>SUMPRODUCT(($C$4:$C$33="ZAN 4")*V$4:V$33)</f>
        <v/>
      </c>
      <c r="W39" s="138">
        <f>SUMPRODUCT(($C$4:$C$33="ZAN 4")*W$4:W$33)</f>
        <v/>
      </c>
      <c r="X39" s="138">
        <f>SUMPRODUCT(($C$4:$C$33="ZAN 4")*X$4:X$33)</f>
        <v/>
      </c>
      <c r="Y39" s="138">
        <f>SUMPRODUCT(($C$4:$C$33="ZAN 4")*Y$4:Y$33)</f>
        <v/>
      </c>
      <c r="Z39" s="138">
        <f>SUMPRODUCT(($C$4:$C$33="ZAN 4")*Z$4:Z$33)</f>
        <v/>
      </c>
      <c r="AA39" s="138">
        <f>SUMPRODUCT(($C$4:$C$33="ZAN 4")*AA$4:AA$33)</f>
        <v/>
      </c>
      <c r="AB39" s="138">
        <f>SUMPRODUCT(($C$4:$C$33="ZAN 4")*AB$4:AB$33)</f>
        <v/>
      </c>
      <c r="AC39" s="138">
        <f>SUMPRODUCT(($C$4:$C$33="ZAN 4")*AC$4:AC$33)</f>
        <v/>
      </c>
      <c r="AD39" s="138">
        <f>SUMPRODUCT(($C$4:$C$33="ZAN 4")*AD$4:AD$33)</f>
        <v/>
      </c>
      <c r="AE39" s="138">
        <f>SUMPRODUCT(($C$4:$C$33="ZAN 4")*AE$4:AE$33)</f>
        <v/>
      </c>
      <c r="AF39" s="138">
        <f>SUMPRODUCT(($C$4:$C$33="ZAN 4")*AF$4:AF$33)</f>
        <v/>
      </c>
      <c r="AG39" s="138">
        <f>SUMPRODUCT(($C$4:$C$33="ZAN 4")*AG$4:AG$33)</f>
        <v/>
      </c>
      <c r="AH39" s="138">
        <f>SUMPRODUCT(($C$4:$C$33="ZAN 4")*AH$4:AH$33)</f>
        <v/>
      </c>
      <c r="AI39" s="138">
        <f>SUMPRODUCT(($C$4:$C$33="ZAN 4")*AI$4:AI$33)</f>
        <v/>
      </c>
      <c r="AJ39" s="138">
        <f>SUMPRODUCT(($C$4:$C$33="ZAN 4")*AJ$4:AJ$33)</f>
        <v/>
      </c>
      <c r="AK39" s="138">
        <f>SUMPRODUCT(($C$4:$C$33="ZAN 4")*AK$4:AK$33)</f>
        <v/>
      </c>
      <c r="AL39" s="138">
        <f>SUMPRODUCT(($C$4:$C$33="ZAN 4")*AL$4:AL$33)</f>
        <v/>
      </c>
      <c r="AM39" s="138">
        <f>SUMPRODUCT(($C$4:$C$33="ZAN 4")*AM$4:AM$33)</f>
        <v/>
      </c>
      <c r="AN39" s="138">
        <f>SUMPRODUCT(($C$4:$C$33="ZAN 4")*AN$4:AN$33)</f>
        <v/>
      </c>
      <c r="AO39" s="138">
        <f>SUMPRODUCT(($C$4:$C$33="ZAN 4")*AO$4:AO$33)</f>
        <v/>
      </c>
      <c r="AP39" s="138">
        <f>SUMPRODUCT(($C$4:$C$33="ZAN 4")*AP$4:AP$33)</f>
        <v/>
      </c>
      <c r="AQ39" s="138">
        <f>SUMPRODUCT(($C$4:$C$33="ZAN 4")*AQ$4:AQ$33)</f>
        <v/>
      </c>
      <c r="AR39" s="138">
        <f>SUMPRODUCT(($C$4:$C$33="ZAN 4")*AR$4:AR$33)</f>
        <v/>
      </c>
      <c r="AS39" s="138">
        <f>SUMPRODUCT(($C$4:$C$33="ZAN 4")*AS$4:AS$33)</f>
        <v/>
      </c>
      <c r="AT39" s="138">
        <f>SUMPRODUCT(($C$4:$C$33="ZAN 4")*AT$4:AT$33)</f>
        <v/>
      </c>
      <c r="AU39" s="138">
        <f>SUMPRODUCT(($C$4:$C$33="ZAN 4")*AU$4:AU$33)</f>
        <v/>
      </c>
      <c r="AV39" s="138">
        <f>SUMPRODUCT(($C$4:$C$33="ZAN 4")*AV$4:AV$33)</f>
        <v/>
      </c>
      <c r="AW39" s="138">
        <f>SUMPRODUCT(($C$4:$C$33="ZAN 4")*AW$4:AW$33)</f>
        <v/>
      </c>
      <c r="AX39" s="138">
        <f>SUMPRODUCT(($C$4:$C$33="ZAN 4")*AX$4:AX$33)</f>
        <v/>
      </c>
      <c r="AY39" s="138">
        <f>SUMPRODUCT(($C$4:$C$33="ZAN 4")*AY$4:AY$33)</f>
        <v/>
      </c>
      <c r="AZ39" s="138">
        <f>SUMPRODUCT(($C$4:$C$33="ZAN 4")*AZ$4:AZ$33)</f>
        <v/>
      </c>
      <c r="BA39" s="138">
        <f>SUMPRODUCT(($C$4:$C$33="ZAN 4")*BA$4:BA$33)</f>
        <v/>
      </c>
      <c r="BB39" s="138">
        <f>SUMPRODUCT(($C$4:$C$33="ZAN 4")*BB$4:BB$33)</f>
        <v/>
      </c>
    </row>
    <row r="40" ht="15" customHeight="1" s="91">
      <c r="B40" s="141" t="inlineStr">
        <is>
          <t>ZAN 5</t>
        </is>
      </c>
      <c r="D40" s="138">
        <f>SUM(E40:BB40)</f>
        <v/>
      </c>
      <c r="E40" s="138">
        <f>SUMPRODUCT(($C$4:$C$33="ZAN 5")*E$4:E$33)</f>
        <v/>
      </c>
      <c r="F40" s="138">
        <f>SUMPRODUCT(($C$4:$C$33="ZAN 5")*F$4:F$33)</f>
        <v/>
      </c>
      <c r="G40" s="138">
        <f>SUMPRODUCT(($C$4:$C$33="ZAN 5")*G$4:G$33)</f>
        <v/>
      </c>
      <c r="H40" s="138">
        <f>SUMPRODUCT(($C$4:$C$33="ZAN 5")*H$4:H$33)</f>
        <v/>
      </c>
      <c r="I40" s="138">
        <f>SUMPRODUCT(($C$4:$C$33="ZAN 5")*I$4:I$33)</f>
        <v/>
      </c>
      <c r="J40" s="138">
        <f>SUMPRODUCT(($C$4:$C$33="ZAN 5")*J$4:J$33)</f>
        <v/>
      </c>
      <c r="K40" s="138">
        <f>SUMPRODUCT(($C$4:$C$33="ZAN 5")*K$4:K$33)</f>
        <v/>
      </c>
      <c r="L40" s="138">
        <f>SUMPRODUCT(($C$4:$C$33="ZAN 5")*L$4:L$33)</f>
        <v/>
      </c>
      <c r="M40" s="138">
        <f>SUMPRODUCT(($C$4:$C$33="ZAN 5")*M$4:M$33)</f>
        <v/>
      </c>
      <c r="N40" s="138">
        <f>SUMPRODUCT(($C$4:$C$33="ZAN 5")*N$4:N$33)</f>
        <v/>
      </c>
      <c r="O40" s="138">
        <f>SUMPRODUCT(($C$4:$C$33="ZAN 5")*O$4:O$33)</f>
        <v/>
      </c>
      <c r="P40" s="138">
        <f>SUMPRODUCT(($C$4:$C$33="ZAN 5")*P$4:P$33)</f>
        <v/>
      </c>
      <c r="Q40" s="138">
        <f>SUMPRODUCT(($C$4:$C$33="ZAN 5")*Q$4:Q$33)</f>
        <v/>
      </c>
      <c r="R40" s="138">
        <f>SUMPRODUCT(($C$4:$C$33="ZAN 5")*R$4:R$33)</f>
        <v/>
      </c>
      <c r="S40" s="138">
        <f>SUMPRODUCT(($C$4:$C$33="ZAN 5")*S$4:S$33)</f>
        <v/>
      </c>
      <c r="T40" s="138">
        <f>SUMPRODUCT(($C$4:$C$33="ZAN 5")*T$4:T$33)</f>
        <v/>
      </c>
      <c r="U40" s="138">
        <f>SUMPRODUCT(($C$4:$C$33="ZAN 5")*U$4:U$33)</f>
        <v/>
      </c>
      <c r="V40" s="138">
        <f>SUMPRODUCT(($C$4:$C$33="ZAN 5")*V$4:V$33)</f>
        <v/>
      </c>
      <c r="W40" s="138">
        <f>SUMPRODUCT(($C$4:$C$33="ZAN 5")*W$4:W$33)</f>
        <v/>
      </c>
      <c r="X40" s="138">
        <f>SUMPRODUCT(($C$4:$C$33="ZAN 5")*X$4:X$33)</f>
        <v/>
      </c>
      <c r="Y40" s="138">
        <f>SUMPRODUCT(($C$4:$C$33="ZAN 5")*Y$4:Y$33)</f>
        <v/>
      </c>
      <c r="Z40" s="138">
        <f>SUMPRODUCT(($C$4:$C$33="ZAN 5")*Z$4:Z$33)</f>
        <v/>
      </c>
      <c r="AA40" s="138">
        <f>SUMPRODUCT(($C$4:$C$33="ZAN 5")*AA$4:AA$33)</f>
        <v/>
      </c>
      <c r="AB40" s="138">
        <f>SUMPRODUCT(($C$4:$C$33="ZAN 5")*AB$4:AB$33)</f>
        <v/>
      </c>
      <c r="AC40" s="138">
        <f>SUMPRODUCT(($C$4:$C$33="ZAN 5")*AC$4:AC$33)</f>
        <v/>
      </c>
      <c r="AD40" s="138">
        <f>SUMPRODUCT(($C$4:$C$33="ZAN 5")*AD$4:AD$33)</f>
        <v/>
      </c>
      <c r="AE40" s="138">
        <f>SUMPRODUCT(($C$4:$C$33="ZAN 5")*AE$4:AE$33)</f>
        <v/>
      </c>
      <c r="AF40" s="138">
        <f>SUMPRODUCT(($C$4:$C$33="ZAN 5")*AF$4:AF$33)</f>
        <v/>
      </c>
      <c r="AG40" s="138">
        <f>SUMPRODUCT(($C$4:$C$33="ZAN 5")*AG$4:AG$33)</f>
        <v/>
      </c>
      <c r="AH40" s="138">
        <f>SUMPRODUCT(($C$4:$C$33="ZAN 5")*AH$4:AH$33)</f>
        <v/>
      </c>
      <c r="AI40" s="138">
        <f>SUMPRODUCT(($C$4:$C$33="ZAN 5")*AI$4:AI$33)</f>
        <v/>
      </c>
      <c r="AJ40" s="138">
        <f>SUMPRODUCT(($C$4:$C$33="ZAN 5")*AJ$4:AJ$33)</f>
        <v/>
      </c>
      <c r="AK40" s="138">
        <f>SUMPRODUCT(($C$4:$C$33="ZAN 5")*AK$4:AK$33)</f>
        <v/>
      </c>
      <c r="AL40" s="138">
        <f>SUMPRODUCT(($C$4:$C$33="ZAN 5")*AL$4:AL$33)</f>
        <v/>
      </c>
      <c r="AM40" s="138">
        <f>SUMPRODUCT(($C$4:$C$33="ZAN 5")*AM$4:AM$33)</f>
        <v/>
      </c>
      <c r="AN40" s="138">
        <f>SUMPRODUCT(($C$4:$C$33="ZAN 5")*AN$4:AN$33)</f>
        <v/>
      </c>
      <c r="AO40" s="138">
        <f>SUMPRODUCT(($C$4:$C$33="ZAN 5")*AO$4:AO$33)</f>
        <v/>
      </c>
      <c r="AP40" s="138">
        <f>SUMPRODUCT(($C$4:$C$33="ZAN 5")*AP$4:AP$33)</f>
        <v/>
      </c>
      <c r="AQ40" s="138">
        <f>SUMPRODUCT(($C$4:$C$33="ZAN 5")*AQ$4:AQ$33)</f>
        <v/>
      </c>
      <c r="AR40" s="138">
        <f>SUMPRODUCT(($C$4:$C$33="ZAN 5")*AR$4:AR$33)</f>
        <v/>
      </c>
      <c r="AS40" s="138">
        <f>SUMPRODUCT(($C$4:$C$33="ZAN 5")*AS$4:AS$33)</f>
        <v/>
      </c>
      <c r="AT40" s="138">
        <f>SUMPRODUCT(($C$4:$C$33="ZAN 5")*AT$4:AT$33)</f>
        <v/>
      </c>
      <c r="AU40" s="138">
        <f>SUMPRODUCT(($C$4:$C$33="ZAN 5")*AU$4:AU$33)</f>
        <v/>
      </c>
      <c r="AV40" s="138">
        <f>SUMPRODUCT(($C$4:$C$33="ZAN 5")*AV$4:AV$33)</f>
        <v/>
      </c>
      <c r="AW40" s="138">
        <f>SUMPRODUCT(($C$4:$C$33="ZAN 5")*AW$4:AW$33)</f>
        <v/>
      </c>
      <c r="AX40" s="138">
        <f>SUMPRODUCT(($C$4:$C$33="ZAN 5")*AX$4:AX$33)</f>
        <v/>
      </c>
      <c r="AY40" s="138">
        <f>SUMPRODUCT(($C$4:$C$33="ZAN 5")*AY$4:AY$33)</f>
        <v/>
      </c>
      <c r="AZ40" s="138">
        <f>SUMPRODUCT(($C$4:$C$33="ZAN 5")*AZ$4:AZ$33)</f>
        <v/>
      </c>
      <c r="BA40" s="138">
        <f>SUMPRODUCT(($C$4:$C$33="ZAN 5")*BA$4:BA$33)</f>
        <v/>
      </c>
      <c r="BB40" s="138">
        <f>SUMPRODUCT(($C$4:$C$33="ZAN 5")*BB$4:BB$33)</f>
        <v/>
      </c>
    </row>
    <row r="41" ht="15" customHeight="1" s="91">
      <c r="B41" s="141" t="inlineStr">
        <is>
          <t>ZAN 6</t>
        </is>
      </c>
      <c r="D41" s="138">
        <f>SUM(E41:BB41)</f>
        <v/>
      </c>
      <c r="E41" s="138">
        <f>SUMPRODUCT(($C$4:$C$33="ZAN 6")*E$4:E$33)</f>
        <v/>
      </c>
      <c r="F41" s="138">
        <f>SUMPRODUCT(($C$4:$C$33="ZAN 6")*F$4:F$33)</f>
        <v/>
      </c>
      <c r="G41" s="138">
        <f>SUMPRODUCT(($C$4:$C$33="ZAN 6")*G$4:G$33)</f>
        <v/>
      </c>
      <c r="H41" s="138">
        <f>SUMPRODUCT(($C$4:$C$33="ZAN 6")*H$4:H$33)</f>
        <v/>
      </c>
      <c r="I41" s="138">
        <f>SUMPRODUCT(($C$4:$C$33="ZAN 6")*I$4:I$33)</f>
        <v/>
      </c>
      <c r="J41" s="138">
        <f>SUMPRODUCT(($C$4:$C$33="ZAN 6")*J$4:J$33)</f>
        <v/>
      </c>
      <c r="K41" s="138">
        <f>SUMPRODUCT(($C$4:$C$33="ZAN 6")*K$4:K$33)</f>
        <v/>
      </c>
      <c r="L41" s="138">
        <f>SUMPRODUCT(($C$4:$C$33="ZAN 6")*L$4:L$33)</f>
        <v/>
      </c>
      <c r="M41" s="138">
        <f>SUMPRODUCT(($C$4:$C$33="ZAN 6")*M$4:M$33)</f>
        <v/>
      </c>
      <c r="N41" s="138">
        <f>SUMPRODUCT(($C$4:$C$33="ZAN 6")*N$4:N$33)</f>
        <v/>
      </c>
      <c r="O41" s="138">
        <f>SUMPRODUCT(($C$4:$C$33="ZAN 6")*O$4:O$33)</f>
        <v/>
      </c>
      <c r="P41" s="138">
        <f>SUMPRODUCT(($C$4:$C$33="ZAN 6")*P$4:P$33)</f>
        <v/>
      </c>
      <c r="Q41" s="138">
        <f>SUMPRODUCT(($C$4:$C$33="ZAN 6")*Q$4:Q$33)</f>
        <v/>
      </c>
      <c r="R41" s="138">
        <f>SUMPRODUCT(($C$4:$C$33="ZAN 6")*R$4:R$33)</f>
        <v/>
      </c>
      <c r="S41" s="138">
        <f>SUMPRODUCT(($C$4:$C$33="ZAN 6")*S$4:S$33)</f>
        <v/>
      </c>
      <c r="T41" s="138">
        <f>SUMPRODUCT(($C$4:$C$33="ZAN 6")*T$4:T$33)</f>
        <v/>
      </c>
      <c r="U41" s="138">
        <f>SUMPRODUCT(($C$4:$C$33="ZAN 6")*U$4:U$33)</f>
        <v/>
      </c>
      <c r="V41" s="138">
        <f>SUMPRODUCT(($C$4:$C$33="ZAN 6")*V$4:V$33)</f>
        <v/>
      </c>
      <c r="W41" s="138">
        <f>SUMPRODUCT(($C$4:$C$33="ZAN 6")*W$4:W$33)</f>
        <v/>
      </c>
      <c r="X41" s="138">
        <f>SUMPRODUCT(($C$4:$C$33="ZAN 6")*X$4:X$33)</f>
        <v/>
      </c>
      <c r="Y41" s="138">
        <f>SUMPRODUCT(($C$4:$C$33="ZAN 6")*Y$4:Y$33)</f>
        <v/>
      </c>
      <c r="Z41" s="138">
        <f>SUMPRODUCT(($C$4:$C$33="ZAN 6")*Z$4:Z$33)</f>
        <v/>
      </c>
      <c r="AA41" s="138">
        <f>SUMPRODUCT(($C$4:$C$33="ZAN 6")*AA$4:AA$33)</f>
        <v/>
      </c>
      <c r="AB41" s="138">
        <f>SUMPRODUCT(($C$4:$C$33="ZAN 6")*AB$4:AB$33)</f>
        <v/>
      </c>
      <c r="AC41" s="138">
        <f>SUMPRODUCT(($C$4:$C$33="ZAN 6")*AC$4:AC$33)</f>
        <v/>
      </c>
      <c r="AD41" s="138">
        <f>SUMPRODUCT(($C$4:$C$33="ZAN 6")*AD$4:AD$33)</f>
        <v/>
      </c>
      <c r="AE41" s="138">
        <f>SUMPRODUCT(($C$4:$C$33="ZAN 6")*AE$4:AE$33)</f>
        <v/>
      </c>
      <c r="AF41" s="138">
        <f>SUMPRODUCT(($C$4:$C$33="ZAN 6")*AF$4:AF$33)</f>
        <v/>
      </c>
      <c r="AG41" s="138">
        <f>SUMPRODUCT(($C$4:$C$33="ZAN 6")*AG$4:AG$33)</f>
        <v/>
      </c>
      <c r="AH41" s="138">
        <f>SUMPRODUCT(($C$4:$C$33="ZAN 6")*AH$4:AH$33)</f>
        <v/>
      </c>
      <c r="AI41" s="138">
        <f>SUMPRODUCT(($C$4:$C$33="ZAN 6")*AI$4:AI$33)</f>
        <v/>
      </c>
      <c r="AJ41" s="138">
        <f>SUMPRODUCT(($C$4:$C$33="ZAN 6")*AJ$4:AJ$33)</f>
        <v/>
      </c>
      <c r="AK41" s="138">
        <f>SUMPRODUCT(($C$4:$C$33="ZAN 6")*AK$4:AK$33)</f>
        <v/>
      </c>
      <c r="AL41" s="138">
        <f>SUMPRODUCT(($C$4:$C$33="ZAN 6")*AL$4:AL$33)</f>
        <v/>
      </c>
      <c r="AM41" s="138">
        <f>SUMPRODUCT(($C$4:$C$33="ZAN 6")*AM$4:AM$33)</f>
        <v/>
      </c>
      <c r="AN41" s="138">
        <f>SUMPRODUCT(($C$4:$C$33="ZAN 6")*AN$4:AN$33)</f>
        <v/>
      </c>
      <c r="AO41" s="138">
        <f>SUMPRODUCT(($C$4:$C$33="ZAN 6")*AO$4:AO$33)</f>
        <v/>
      </c>
      <c r="AP41" s="138">
        <f>SUMPRODUCT(($C$4:$C$33="ZAN 6")*AP$4:AP$33)</f>
        <v/>
      </c>
      <c r="AQ41" s="138">
        <f>SUMPRODUCT(($C$4:$C$33="ZAN 6")*AQ$4:AQ$33)</f>
        <v/>
      </c>
      <c r="AR41" s="138">
        <f>SUMPRODUCT(($C$4:$C$33="ZAN 6")*AR$4:AR$33)</f>
        <v/>
      </c>
      <c r="AS41" s="138">
        <f>SUMPRODUCT(($C$4:$C$33="ZAN 6")*AS$4:AS$33)</f>
        <v/>
      </c>
      <c r="AT41" s="138">
        <f>SUMPRODUCT(($C$4:$C$33="ZAN 6")*AT$4:AT$33)</f>
        <v/>
      </c>
      <c r="AU41" s="138">
        <f>SUMPRODUCT(($C$4:$C$33="ZAN 6")*AU$4:AU$33)</f>
        <v/>
      </c>
      <c r="AV41" s="138">
        <f>SUMPRODUCT(($C$4:$C$33="ZAN 6")*AV$4:AV$33)</f>
        <v/>
      </c>
      <c r="AW41" s="138">
        <f>SUMPRODUCT(($C$4:$C$33="ZAN 6")*AW$4:AW$33)</f>
        <v/>
      </c>
      <c r="AX41" s="138">
        <f>SUMPRODUCT(($C$4:$C$33="ZAN 6")*AX$4:AX$33)</f>
        <v/>
      </c>
      <c r="AY41" s="138">
        <f>SUMPRODUCT(($C$4:$C$33="ZAN 6")*AY$4:AY$33)</f>
        <v/>
      </c>
      <c r="AZ41" s="138">
        <f>SUMPRODUCT(($C$4:$C$33="ZAN 6")*AZ$4:AZ$33)</f>
        <v/>
      </c>
      <c r="BA41" s="138">
        <f>SUMPRODUCT(($C$4:$C$33="ZAN 6")*BA$4:BA$33)</f>
        <v/>
      </c>
      <c r="BB41" s="138">
        <f>SUMPRODUCT(($C$4:$C$33="ZAN 6")*BB$4:BB$33)</f>
        <v/>
      </c>
    </row>
    <row r="42" ht="15" customHeight="1" s="91">
      <c r="B42" s="141" t="inlineStr">
        <is>
          <t>ZAN 7</t>
        </is>
      </c>
      <c r="D42" s="138">
        <f>SUM(E42:BB42)</f>
        <v/>
      </c>
      <c r="E42" s="138">
        <f>SUMPRODUCT(($C$4:$C$33="ZAN 7")*E$4:E$33)</f>
        <v/>
      </c>
      <c r="F42" s="138">
        <f>SUMPRODUCT(($C$4:$C$33="ZAN 7")*F$4:F$33)</f>
        <v/>
      </c>
      <c r="G42" s="138">
        <f>SUMPRODUCT(($C$4:$C$33="ZAN 7")*G$4:G$33)</f>
        <v/>
      </c>
      <c r="H42" s="138">
        <f>SUMPRODUCT(($C$4:$C$33="ZAN 7")*H$4:H$33)</f>
        <v/>
      </c>
      <c r="I42" s="138">
        <f>SUMPRODUCT(($C$4:$C$33="ZAN 7")*I$4:I$33)</f>
        <v/>
      </c>
      <c r="J42" s="138">
        <f>SUMPRODUCT(($C$4:$C$33="ZAN 7")*J$4:J$33)</f>
        <v/>
      </c>
      <c r="K42" s="138">
        <f>SUMPRODUCT(($C$4:$C$33="ZAN 7")*K$4:K$33)</f>
        <v/>
      </c>
      <c r="L42" s="138">
        <f>SUMPRODUCT(($C$4:$C$33="ZAN 7")*L$4:L$33)</f>
        <v/>
      </c>
      <c r="M42" s="138">
        <f>SUMPRODUCT(($C$4:$C$33="ZAN 7")*M$4:M$33)</f>
        <v/>
      </c>
      <c r="N42" s="138">
        <f>SUMPRODUCT(($C$4:$C$33="ZAN 7")*N$4:N$33)</f>
        <v/>
      </c>
      <c r="O42" s="138">
        <f>SUMPRODUCT(($C$4:$C$33="ZAN 7")*O$4:O$33)</f>
        <v/>
      </c>
      <c r="P42" s="138">
        <f>SUMPRODUCT(($C$4:$C$33="ZAN 7")*P$4:P$33)</f>
        <v/>
      </c>
      <c r="Q42" s="138">
        <f>SUMPRODUCT(($C$4:$C$33="ZAN 7")*Q$4:Q$33)</f>
        <v/>
      </c>
      <c r="R42" s="138">
        <f>SUMPRODUCT(($C$4:$C$33="ZAN 7")*R$4:R$33)</f>
        <v/>
      </c>
      <c r="S42" s="138">
        <f>SUMPRODUCT(($C$4:$C$33="ZAN 7")*S$4:S$33)</f>
        <v/>
      </c>
      <c r="T42" s="138">
        <f>SUMPRODUCT(($C$4:$C$33="ZAN 7")*T$4:T$33)</f>
        <v/>
      </c>
      <c r="U42" s="138">
        <f>SUMPRODUCT(($C$4:$C$33="ZAN 7")*U$4:U$33)</f>
        <v/>
      </c>
      <c r="V42" s="138">
        <f>SUMPRODUCT(($C$4:$C$33="ZAN 7")*V$4:V$33)</f>
        <v/>
      </c>
      <c r="W42" s="138">
        <f>SUMPRODUCT(($C$4:$C$33="ZAN 7")*W$4:W$33)</f>
        <v/>
      </c>
      <c r="X42" s="138">
        <f>SUMPRODUCT(($C$4:$C$33="ZAN 7")*X$4:X$33)</f>
        <v/>
      </c>
      <c r="Y42" s="138">
        <f>SUMPRODUCT(($C$4:$C$33="ZAN 7")*Y$4:Y$33)</f>
        <v/>
      </c>
      <c r="Z42" s="138">
        <f>SUMPRODUCT(($C$4:$C$33="ZAN 7")*Z$4:Z$33)</f>
        <v/>
      </c>
      <c r="AA42" s="138">
        <f>SUMPRODUCT(($C$4:$C$33="ZAN 7")*AA$4:AA$33)</f>
        <v/>
      </c>
      <c r="AB42" s="138">
        <f>SUMPRODUCT(($C$4:$C$33="ZAN 7")*AB$4:AB$33)</f>
        <v/>
      </c>
      <c r="AC42" s="138">
        <f>SUMPRODUCT(($C$4:$C$33="ZAN 7")*AC$4:AC$33)</f>
        <v/>
      </c>
      <c r="AD42" s="138">
        <f>SUMPRODUCT(($C$4:$C$33="ZAN 7")*AD$4:AD$33)</f>
        <v/>
      </c>
      <c r="AE42" s="138">
        <f>SUMPRODUCT(($C$4:$C$33="ZAN 7")*AE$4:AE$33)</f>
        <v/>
      </c>
      <c r="AF42" s="138">
        <f>SUMPRODUCT(($C$4:$C$33="ZAN 7")*AF$4:AF$33)</f>
        <v/>
      </c>
      <c r="AG42" s="138">
        <f>SUMPRODUCT(($C$4:$C$33="ZAN 7")*AG$4:AG$33)</f>
        <v/>
      </c>
      <c r="AH42" s="138">
        <f>SUMPRODUCT(($C$4:$C$33="ZAN 7")*AH$4:AH$33)</f>
        <v/>
      </c>
      <c r="AI42" s="138">
        <f>SUMPRODUCT(($C$4:$C$33="ZAN 7")*AI$4:AI$33)</f>
        <v/>
      </c>
      <c r="AJ42" s="138">
        <f>SUMPRODUCT(($C$4:$C$33="ZAN 7")*AJ$4:AJ$33)</f>
        <v/>
      </c>
      <c r="AK42" s="138">
        <f>SUMPRODUCT(($C$4:$C$33="ZAN 7")*AK$4:AK$33)</f>
        <v/>
      </c>
      <c r="AL42" s="138">
        <f>SUMPRODUCT(($C$4:$C$33="ZAN 7")*AL$4:AL$33)</f>
        <v/>
      </c>
      <c r="AM42" s="138">
        <f>SUMPRODUCT(($C$4:$C$33="ZAN 7")*AM$4:AM$33)</f>
        <v/>
      </c>
      <c r="AN42" s="138">
        <f>SUMPRODUCT(($C$4:$C$33="ZAN 7")*AN$4:AN$33)</f>
        <v/>
      </c>
      <c r="AO42" s="138">
        <f>SUMPRODUCT(($C$4:$C$33="ZAN 7")*AO$4:AO$33)</f>
        <v/>
      </c>
      <c r="AP42" s="138">
        <f>SUMPRODUCT(($C$4:$C$33="ZAN 7")*AP$4:AP$33)</f>
        <v/>
      </c>
      <c r="AQ42" s="138">
        <f>SUMPRODUCT(($C$4:$C$33="ZAN 7")*AQ$4:AQ$33)</f>
        <v/>
      </c>
      <c r="AR42" s="138">
        <f>SUMPRODUCT(($C$4:$C$33="ZAN 7")*AR$4:AR$33)</f>
        <v/>
      </c>
      <c r="AS42" s="138">
        <f>SUMPRODUCT(($C$4:$C$33="ZAN 7")*AS$4:AS$33)</f>
        <v/>
      </c>
      <c r="AT42" s="138">
        <f>SUMPRODUCT(($C$4:$C$33="ZAN 7")*AT$4:AT$33)</f>
        <v/>
      </c>
      <c r="AU42" s="138">
        <f>SUMPRODUCT(($C$4:$C$33="ZAN 7")*AU$4:AU$33)</f>
        <v/>
      </c>
      <c r="AV42" s="138">
        <f>SUMPRODUCT(($C$4:$C$33="ZAN 7")*AV$4:AV$33)</f>
        <v/>
      </c>
      <c r="AW42" s="138">
        <f>SUMPRODUCT(($C$4:$C$33="ZAN 7")*AW$4:AW$33)</f>
        <v/>
      </c>
      <c r="AX42" s="138">
        <f>SUMPRODUCT(($C$4:$C$33="ZAN 7")*AX$4:AX$33)</f>
        <v/>
      </c>
      <c r="AY42" s="138">
        <f>SUMPRODUCT(($C$4:$C$33="ZAN 7")*AY$4:AY$33)</f>
        <v/>
      </c>
      <c r="AZ42" s="138">
        <f>SUMPRODUCT(($C$4:$C$33="ZAN 7")*AZ$4:AZ$33)</f>
        <v/>
      </c>
      <c r="BA42" s="138">
        <f>SUMPRODUCT(($C$4:$C$33="ZAN 7")*BA$4:BA$33)</f>
        <v/>
      </c>
      <c r="BB42" s="138">
        <f>SUMPRODUCT(($C$4:$C$33="ZAN 7")*BB$4:BB$33)</f>
        <v/>
      </c>
    </row>
    <row r="43" ht="15" customHeight="1" s="91">
      <c r="B43" s="141" t="inlineStr">
        <is>
          <t>ZAN 8</t>
        </is>
      </c>
      <c r="D43" s="138">
        <f>SUM(E43:BB43)</f>
        <v/>
      </c>
      <c r="E43" s="138">
        <f>SUMPRODUCT(($C$4:$C$33="ZAN 8")*E$4:E$33)</f>
        <v/>
      </c>
      <c r="F43" s="138">
        <f>SUMPRODUCT(($C$4:$C$33="ZAN 8")*F$4:F$33)</f>
        <v/>
      </c>
      <c r="G43" s="138">
        <f>SUMPRODUCT(($C$4:$C$33="ZAN 8")*G$4:G$33)</f>
        <v/>
      </c>
      <c r="H43" s="138">
        <f>SUMPRODUCT(($C$4:$C$33="ZAN 8")*H$4:H$33)</f>
        <v/>
      </c>
      <c r="I43" s="138">
        <f>SUMPRODUCT(($C$4:$C$33="ZAN 8")*I$4:I$33)</f>
        <v/>
      </c>
      <c r="J43" s="138">
        <f>SUMPRODUCT(($C$4:$C$33="ZAN 8")*J$4:J$33)</f>
        <v/>
      </c>
      <c r="K43" s="138">
        <f>SUMPRODUCT(($C$4:$C$33="ZAN 8")*K$4:K$33)</f>
        <v/>
      </c>
      <c r="L43" s="138">
        <f>SUMPRODUCT(($C$4:$C$33="ZAN 8")*L$4:L$33)</f>
        <v/>
      </c>
      <c r="M43" s="138">
        <f>SUMPRODUCT(($C$4:$C$33="ZAN 8")*M$4:M$33)</f>
        <v/>
      </c>
      <c r="N43" s="138">
        <f>SUMPRODUCT(($C$4:$C$33="ZAN 8")*N$4:N$33)</f>
        <v/>
      </c>
      <c r="O43" s="138">
        <f>SUMPRODUCT(($C$4:$C$33="ZAN 8")*O$4:O$33)</f>
        <v/>
      </c>
      <c r="P43" s="138">
        <f>SUMPRODUCT(($C$4:$C$33="ZAN 8")*P$4:P$33)</f>
        <v/>
      </c>
      <c r="Q43" s="138">
        <f>SUMPRODUCT(($C$4:$C$33="ZAN 8")*Q$4:Q$33)</f>
        <v/>
      </c>
      <c r="R43" s="138">
        <f>SUMPRODUCT(($C$4:$C$33="ZAN 8")*R$4:R$33)</f>
        <v/>
      </c>
      <c r="S43" s="138">
        <f>SUMPRODUCT(($C$4:$C$33="ZAN 8")*S$4:S$33)</f>
        <v/>
      </c>
      <c r="T43" s="138">
        <f>SUMPRODUCT(($C$4:$C$33="ZAN 8")*T$4:T$33)</f>
        <v/>
      </c>
      <c r="U43" s="138">
        <f>SUMPRODUCT(($C$4:$C$33="ZAN 8")*U$4:U$33)</f>
        <v/>
      </c>
      <c r="V43" s="138">
        <f>SUMPRODUCT(($C$4:$C$33="ZAN 8")*V$4:V$33)</f>
        <v/>
      </c>
      <c r="W43" s="138">
        <f>SUMPRODUCT(($C$4:$C$33="ZAN 8")*W$4:W$33)</f>
        <v/>
      </c>
      <c r="X43" s="138">
        <f>SUMPRODUCT(($C$4:$C$33="ZAN 8")*X$4:X$33)</f>
        <v/>
      </c>
      <c r="Y43" s="138">
        <f>SUMPRODUCT(($C$4:$C$33="ZAN 8")*Y$4:Y$33)</f>
        <v/>
      </c>
      <c r="Z43" s="138">
        <f>SUMPRODUCT(($C$4:$C$33="ZAN 8")*Z$4:Z$33)</f>
        <v/>
      </c>
      <c r="AA43" s="138">
        <f>SUMPRODUCT(($C$4:$C$33="ZAN 8")*AA$4:AA$33)</f>
        <v/>
      </c>
      <c r="AB43" s="138">
        <f>SUMPRODUCT(($C$4:$C$33="ZAN 8")*AB$4:AB$33)</f>
        <v/>
      </c>
      <c r="AC43" s="138">
        <f>SUMPRODUCT(($C$4:$C$33="ZAN 8")*AC$4:AC$33)</f>
        <v/>
      </c>
      <c r="AD43" s="138">
        <f>SUMPRODUCT(($C$4:$C$33="ZAN 8")*AD$4:AD$33)</f>
        <v/>
      </c>
      <c r="AE43" s="138">
        <f>SUMPRODUCT(($C$4:$C$33="ZAN 8")*AE$4:AE$33)</f>
        <v/>
      </c>
      <c r="AF43" s="138">
        <f>SUMPRODUCT(($C$4:$C$33="ZAN 8")*AF$4:AF$33)</f>
        <v/>
      </c>
      <c r="AG43" s="138">
        <f>SUMPRODUCT(($C$4:$C$33="ZAN 8")*AG$4:AG$33)</f>
        <v/>
      </c>
      <c r="AH43" s="138">
        <f>SUMPRODUCT(($C$4:$C$33="ZAN 8")*AH$4:AH$33)</f>
        <v/>
      </c>
      <c r="AI43" s="138">
        <f>SUMPRODUCT(($C$4:$C$33="ZAN 8")*AI$4:AI$33)</f>
        <v/>
      </c>
      <c r="AJ43" s="138">
        <f>SUMPRODUCT(($C$4:$C$33="ZAN 8")*AJ$4:AJ$33)</f>
        <v/>
      </c>
      <c r="AK43" s="138">
        <f>SUMPRODUCT(($C$4:$C$33="ZAN 8")*AK$4:AK$33)</f>
        <v/>
      </c>
      <c r="AL43" s="138">
        <f>SUMPRODUCT(($C$4:$C$33="ZAN 8")*AL$4:AL$33)</f>
        <v/>
      </c>
      <c r="AM43" s="138">
        <f>SUMPRODUCT(($C$4:$C$33="ZAN 8")*AM$4:AM$33)</f>
        <v/>
      </c>
      <c r="AN43" s="138">
        <f>SUMPRODUCT(($C$4:$C$33="ZAN 8")*AN$4:AN$33)</f>
        <v/>
      </c>
      <c r="AO43" s="138">
        <f>SUMPRODUCT(($C$4:$C$33="ZAN 8")*AO$4:AO$33)</f>
        <v/>
      </c>
      <c r="AP43" s="138">
        <f>SUMPRODUCT(($C$4:$C$33="ZAN 8")*AP$4:AP$33)</f>
        <v/>
      </c>
      <c r="AQ43" s="138">
        <f>SUMPRODUCT(($C$4:$C$33="ZAN 8")*AQ$4:AQ$33)</f>
        <v/>
      </c>
      <c r="AR43" s="138">
        <f>SUMPRODUCT(($C$4:$C$33="ZAN 8")*AR$4:AR$33)</f>
        <v/>
      </c>
      <c r="AS43" s="138">
        <f>SUMPRODUCT(($C$4:$C$33="ZAN 8")*AS$4:AS$33)</f>
        <v/>
      </c>
      <c r="AT43" s="138">
        <f>SUMPRODUCT(($C$4:$C$33="ZAN 8")*AT$4:AT$33)</f>
        <v/>
      </c>
      <c r="AU43" s="138">
        <f>SUMPRODUCT(($C$4:$C$33="ZAN 8")*AU$4:AU$33)</f>
        <v/>
      </c>
      <c r="AV43" s="138">
        <f>SUMPRODUCT(($C$4:$C$33="ZAN 8")*AV$4:AV$33)</f>
        <v/>
      </c>
      <c r="AW43" s="138">
        <f>SUMPRODUCT(($C$4:$C$33="ZAN 8")*AW$4:AW$33)</f>
        <v/>
      </c>
      <c r="AX43" s="138">
        <f>SUMPRODUCT(($C$4:$C$33="ZAN 8")*AX$4:AX$33)</f>
        <v/>
      </c>
      <c r="AY43" s="138">
        <f>SUMPRODUCT(($C$4:$C$33="ZAN 8")*AY$4:AY$33)</f>
        <v/>
      </c>
      <c r="AZ43" s="138">
        <f>SUMPRODUCT(($C$4:$C$33="ZAN 8")*AZ$4:AZ$33)</f>
        <v/>
      </c>
      <c r="BA43" s="138">
        <f>SUMPRODUCT(($C$4:$C$33="ZAN 8")*BA$4:BA$33)</f>
        <v/>
      </c>
      <c r="BB43" s="138">
        <f>SUMPRODUCT(($C$4:$C$33="ZAN 8")*BB$4:BB$33)</f>
        <v/>
      </c>
    </row>
    <row r="44" ht="15" customHeight="1" s="91">
      <c r="B44" s="141" t="inlineStr">
        <is>
          <t>ZAN 9</t>
        </is>
      </c>
      <c r="D44" s="138">
        <f>SUM(E44:BB44)</f>
        <v/>
      </c>
      <c r="E44" s="138">
        <f>SUMPRODUCT(($C$4:$C$33="ZAN 9")*E$4:E$33)</f>
        <v/>
      </c>
      <c r="F44" s="138">
        <f>SUMPRODUCT(($C$4:$C$33="ZAN 9")*F$4:F$33)</f>
        <v/>
      </c>
      <c r="G44" s="138">
        <f>SUMPRODUCT(($C$4:$C$33="ZAN 9")*G$4:G$33)</f>
        <v/>
      </c>
      <c r="H44" s="138">
        <f>SUMPRODUCT(($C$4:$C$33="ZAN 9")*H$4:H$33)</f>
        <v/>
      </c>
      <c r="I44" s="138">
        <f>SUMPRODUCT(($C$4:$C$33="ZAN 9")*I$4:I$33)</f>
        <v/>
      </c>
      <c r="J44" s="138">
        <f>SUMPRODUCT(($C$4:$C$33="ZAN 9")*J$4:J$33)</f>
        <v/>
      </c>
      <c r="K44" s="138">
        <f>SUMPRODUCT(($C$4:$C$33="ZAN 9")*K$4:K$33)</f>
        <v/>
      </c>
      <c r="L44" s="138">
        <f>SUMPRODUCT(($C$4:$C$33="ZAN 9")*L$4:L$33)</f>
        <v/>
      </c>
      <c r="M44" s="138">
        <f>SUMPRODUCT(($C$4:$C$33="ZAN 9")*M$4:M$33)</f>
        <v/>
      </c>
      <c r="N44" s="138">
        <f>SUMPRODUCT(($C$4:$C$33="ZAN 9")*N$4:N$33)</f>
        <v/>
      </c>
      <c r="O44" s="138">
        <f>SUMPRODUCT(($C$4:$C$33="ZAN 9")*O$4:O$33)</f>
        <v/>
      </c>
      <c r="P44" s="138">
        <f>SUMPRODUCT(($C$4:$C$33="ZAN 9")*P$4:P$33)</f>
        <v/>
      </c>
      <c r="Q44" s="138">
        <f>SUMPRODUCT(($C$4:$C$33="ZAN 9")*Q$4:Q$33)</f>
        <v/>
      </c>
      <c r="R44" s="138">
        <f>SUMPRODUCT(($C$4:$C$33="ZAN 9")*R$4:R$33)</f>
        <v/>
      </c>
      <c r="S44" s="138">
        <f>SUMPRODUCT(($C$4:$C$33="ZAN 9")*S$4:S$33)</f>
        <v/>
      </c>
      <c r="T44" s="138">
        <f>SUMPRODUCT(($C$4:$C$33="ZAN 9")*T$4:T$33)</f>
        <v/>
      </c>
      <c r="U44" s="138">
        <f>SUMPRODUCT(($C$4:$C$33="ZAN 9")*U$4:U$33)</f>
        <v/>
      </c>
      <c r="V44" s="138">
        <f>SUMPRODUCT(($C$4:$C$33="ZAN 9")*V$4:V$33)</f>
        <v/>
      </c>
      <c r="W44" s="138">
        <f>SUMPRODUCT(($C$4:$C$33="ZAN 9")*W$4:W$33)</f>
        <v/>
      </c>
      <c r="X44" s="138">
        <f>SUMPRODUCT(($C$4:$C$33="ZAN 9")*X$4:X$33)</f>
        <v/>
      </c>
      <c r="Y44" s="138">
        <f>SUMPRODUCT(($C$4:$C$33="ZAN 9")*Y$4:Y$33)</f>
        <v/>
      </c>
      <c r="Z44" s="138">
        <f>SUMPRODUCT(($C$4:$C$33="ZAN 9")*Z$4:Z$33)</f>
        <v/>
      </c>
      <c r="AA44" s="138">
        <f>SUMPRODUCT(($C$4:$C$33="ZAN 9")*AA$4:AA$33)</f>
        <v/>
      </c>
      <c r="AB44" s="138">
        <f>SUMPRODUCT(($C$4:$C$33="ZAN 9")*AB$4:AB$33)</f>
        <v/>
      </c>
      <c r="AC44" s="138">
        <f>SUMPRODUCT(($C$4:$C$33="ZAN 9")*AC$4:AC$33)</f>
        <v/>
      </c>
      <c r="AD44" s="138">
        <f>SUMPRODUCT(($C$4:$C$33="ZAN 9")*AD$4:AD$33)</f>
        <v/>
      </c>
      <c r="AE44" s="138">
        <f>SUMPRODUCT(($C$4:$C$33="ZAN 9")*AE$4:AE$33)</f>
        <v/>
      </c>
      <c r="AF44" s="138">
        <f>SUMPRODUCT(($C$4:$C$33="ZAN 9")*AF$4:AF$33)</f>
        <v/>
      </c>
      <c r="AG44" s="138">
        <f>SUMPRODUCT(($C$4:$C$33="ZAN 9")*AG$4:AG$33)</f>
        <v/>
      </c>
      <c r="AH44" s="138">
        <f>SUMPRODUCT(($C$4:$C$33="ZAN 9")*AH$4:AH$33)</f>
        <v/>
      </c>
      <c r="AI44" s="138">
        <f>SUMPRODUCT(($C$4:$C$33="ZAN 9")*AI$4:AI$33)</f>
        <v/>
      </c>
      <c r="AJ44" s="138">
        <f>SUMPRODUCT(($C$4:$C$33="ZAN 9")*AJ$4:AJ$33)</f>
        <v/>
      </c>
      <c r="AK44" s="138">
        <f>SUMPRODUCT(($C$4:$C$33="ZAN 9")*AK$4:AK$33)</f>
        <v/>
      </c>
      <c r="AL44" s="138">
        <f>SUMPRODUCT(($C$4:$C$33="ZAN 9")*AL$4:AL$33)</f>
        <v/>
      </c>
      <c r="AM44" s="138">
        <f>SUMPRODUCT(($C$4:$C$33="ZAN 9")*AM$4:AM$33)</f>
        <v/>
      </c>
      <c r="AN44" s="138">
        <f>SUMPRODUCT(($C$4:$C$33="ZAN 9")*AN$4:AN$33)</f>
        <v/>
      </c>
      <c r="AO44" s="138">
        <f>SUMPRODUCT(($C$4:$C$33="ZAN 9")*AO$4:AO$33)</f>
        <v/>
      </c>
      <c r="AP44" s="138">
        <f>SUMPRODUCT(($C$4:$C$33="ZAN 9")*AP$4:AP$33)</f>
        <v/>
      </c>
      <c r="AQ44" s="138">
        <f>SUMPRODUCT(($C$4:$C$33="ZAN 9")*AQ$4:AQ$33)</f>
        <v/>
      </c>
      <c r="AR44" s="138">
        <f>SUMPRODUCT(($C$4:$C$33="ZAN 9")*AR$4:AR$33)</f>
        <v/>
      </c>
      <c r="AS44" s="138">
        <f>SUMPRODUCT(($C$4:$C$33="ZAN 9")*AS$4:AS$33)</f>
        <v/>
      </c>
      <c r="AT44" s="138">
        <f>SUMPRODUCT(($C$4:$C$33="ZAN 9")*AT$4:AT$33)</f>
        <v/>
      </c>
      <c r="AU44" s="138">
        <f>SUMPRODUCT(($C$4:$C$33="ZAN 9")*AU$4:AU$33)</f>
        <v/>
      </c>
      <c r="AV44" s="138">
        <f>SUMPRODUCT(($C$4:$C$33="ZAN 9")*AV$4:AV$33)</f>
        <v/>
      </c>
      <c r="AW44" s="138">
        <f>SUMPRODUCT(($C$4:$C$33="ZAN 9")*AW$4:AW$33)</f>
        <v/>
      </c>
      <c r="AX44" s="138">
        <f>SUMPRODUCT(($C$4:$C$33="ZAN 9")*AX$4:AX$33)</f>
        <v/>
      </c>
      <c r="AY44" s="138">
        <f>SUMPRODUCT(($C$4:$C$33="ZAN 9")*AY$4:AY$33)</f>
        <v/>
      </c>
      <c r="AZ44" s="138">
        <f>SUMPRODUCT(($C$4:$C$33="ZAN 9")*AZ$4:AZ$33)</f>
        <v/>
      </c>
      <c r="BA44" s="138">
        <f>SUMPRODUCT(($C$4:$C$33="ZAN 9")*BA$4:BA$33)</f>
        <v/>
      </c>
      <c r="BB44" s="138">
        <f>SUMPRODUCT(($C$4:$C$33="ZAN 9")*BB$4:BB$33)</f>
        <v/>
      </c>
    </row>
    <row r="45" ht="15" customHeight="1" s="91">
      <c r="B45" s="141" t="inlineStr">
        <is>
          <t>ZAN 10</t>
        </is>
      </c>
      <c r="D45" s="138">
        <f>SUM(E45:BB45)</f>
        <v/>
      </c>
      <c r="E45" s="138">
        <f>SUMPRODUCT(($C$4:$C$33="ZAN 10")*E$4:E$33)</f>
        <v/>
      </c>
      <c r="F45" s="138">
        <f>SUMPRODUCT(($C$4:$C$33="ZAN 10")*F$4:F$33)</f>
        <v/>
      </c>
      <c r="G45" s="138">
        <f>SUMPRODUCT(($C$4:$C$33="ZAN 10")*G$4:G$33)</f>
        <v/>
      </c>
      <c r="H45" s="138">
        <f>SUMPRODUCT(($C$4:$C$33="ZAN 10")*H$4:H$33)</f>
        <v/>
      </c>
      <c r="I45" s="138">
        <f>SUMPRODUCT(($C$4:$C$33="ZAN 10")*I$4:I$33)</f>
        <v/>
      </c>
      <c r="J45" s="138">
        <f>SUMPRODUCT(($C$4:$C$33="ZAN 10")*J$4:J$33)</f>
        <v/>
      </c>
      <c r="K45" s="138">
        <f>SUMPRODUCT(($C$4:$C$33="ZAN 10")*K$4:K$33)</f>
        <v/>
      </c>
      <c r="L45" s="138">
        <f>SUMPRODUCT(($C$4:$C$33="ZAN 10")*L$4:L$33)</f>
        <v/>
      </c>
      <c r="M45" s="138">
        <f>SUMPRODUCT(($C$4:$C$33="ZAN 10")*M$4:M$33)</f>
        <v/>
      </c>
      <c r="N45" s="138">
        <f>SUMPRODUCT(($C$4:$C$33="ZAN 10")*N$4:N$33)</f>
        <v/>
      </c>
      <c r="O45" s="138">
        <f>SUMPRODUCT(($C$4:$C$33="ZAN 10")*O$4:O$33)</f>
        <v/>
      </c>
      <c r="P45" s="138">
        <f>SUMPRODUCT(($C$4:$C$33="ZAN 10")*P$4:P$33)</f>
        <v/>
      </c>
      <c r="Q45" s="138">
        <f>SUMPRODUCT(($C$4:$C$33="ZAN 10")*Q$4:Q$33)</f>
        <v/>
      </c>
      <c r="R45" s="138">
        <f>SUMPRODUCT(($C$4:$C$33="ZAN 10")*R$4:R$33)</f>
        <v/>
      </c>
      <c r="S45" s="138">
        <f>SUMPRODUCT(($C$4:$C$33="ZAN 10")*S$4:S$33)</f>
        <v/>
      </c>
      <c r="T45" s="138">
        <f>SUMPRODUCT(($C$4:$C$33="ZAN 10")*T$4:T$33)</f>
        <v/>
      </c>
      <c r="U45" s="138">
        <f>SUMPRODUCT(($C$4:$C$33="ZAN 10")*U$4:U$33)</f>
        <v/>
      </c>
      <c r="V45" s="138">
        <f>SUMPRODUCT(($C$4:$C$33="ZAN 10")*V$4:V$33)</f>
        <v/>
      </c>
      <c r="W45" s="138">
        <f>SUMPRODUCT(($C$4:$C$33="ZAN 10")*W$4:W$33)</f>
        <v/>
      </c>
      <c r="X45" s="138">
        <f>SUMPRODUCT(($C$4:$C$33="ZAN 10")*X$4:X$33)</f>
        <v/>
      </c>
      <c r="Y45" s="138">
        <f>SUMPRODUCT(($C$4:$C$33="ZAN 10")*Y$4:Y$33)</f>
        <v/>
      </c>
      <c r="Z45" s="138">
        <f>SUMPRODUCT(($C$4:$C$33="ZAN 10")*Z$4:Z$33)</f>
        <v/>
      </c>
      <c r="AA45" s="138">
        <f>SUMPRODUCT(($C$4:$C$33="ZAN 10")*AA$4:AA$33)</f>
        <v/>
      </c>
      <c r="AB45" s="138">
        <f>SUMPRODUCT(($C$4:$C$33="ZAN 10")*AB$4:AB$33)</f>
        <v/>
      </c>
      <c r="AC45" s="138">
        <f>SUMPRODUCT(($C$4:$C$33="ZAN 10")*AC$4:AC$33)</f>
        <v/>
      </c>
      <c r="AD45" s="138">
        <f>SUMPRODUCT(($C$4:$C$33="ZAN 10")*AD$4:AD$33)</f>
        <v/>
      </c>
      <c r="AE45" s="138">
        <f>SUMPRODUCT(($C$4:$C$33="ZAN 10")*AE$4:AE$33)</f>
        <v/>
      </c>
      <c r="AF45" s="138">
        <f>SUMPRODUCT(($C$4:$C$33="ZAN 10")*AF$4:AF$33)</f>
        <v/>
      </c>
      <c r="AG45" s="138">
        <f>SUMPRODUCT(($C$4:$C$33="ZAN 10")*AG$4:AG$33)</f>
        <v/>
      </c>
      <c r="AH45" s="138">
        <f>SUMPRODUCT(($C$4:$C$33="ZAN 10")*AH$4:AH$33)</f>
        <v/>
      </c>
      <c r="AI45" s="138">
        <f>SUMPRODUCT(($C$4:$C$33="ZAN 10")*AI$4:AI$33)</f>
        <v/>
      </c>
      <c r="AJ45" s="138">
        <f>SUMPRODUCT(($C$4:$C$33="ZAN 10")*AJ$4:AJ$33)</f>
        <v/>
      </c>
      <c r="AK45" s="138">
        <f>SUMPRODUCT(($C$4:$C$33="ZAN 10")*AK$4:AK$33)</f>
        <v/>
      </c>
      <c r="AL45" s="138">
        <f>SUMPRODUCT(($C$4:$C$33="ZAN 10")*AL$4:AL$33)</f>
        <v/>
      </c>
      <c r="AM45" s="138">
        <f>SUMPRODUCT(($C$4:$C$33="ZAN 10")*AM$4:AM$33)</f>
        <v/>
      </c>
      <c r="AN45" s="138">
        <f>SUMPRODUCT(($C$4:$C$33="ZAN 10")*AN$4:AN$33)</f>
        <v/>
      </c>
      <c r="AO45" s="138">
        <f>SUMPRODUCT(($C$4:$C$33="ZAN 10")*AO$4:AO$33)</f>
        <v/>
      </c>
      <c r="AP45" s="138">
        <f>SUMPRODUCT(($C$4:$C$33="ZAN 10")*AP$4:AP$33)</f>
        <v/>
      </c>
      <c r="AQ45" s="138">
        <f>SUMPRODUCT(($C$4:$C$33="ZAN 10")*AQ$4:AQ$33)</f>
        <v/>
      </c>
      <c r="AR45" s="138">
        <f>SUMPRODUCT(($C$4:$C$33="ZAN 10")*AR$4:AR$33)</f>
        <v/>
      </c>
      <c r="AS45" s="138">
        <f>SUMPRODUCT(($C$4:$C$33="ZAN 10")*AS$4:AS$33)</f>
        <v/>
      </c>
      <c r="AT45" s="138">
        <f>SUMPRODUCT(($C$4:$C$33="ZAN 10")*AT$4:AT$33)</f>
        <v/>
      </c>
      <c r="AU45" s="138">
        <f>SUMPRODUCT(($C$4:$C$33="ZAN 10")*AU$4:AU$33)</f>
        <v/>
      </c>
      <c r="AV45" s="138">
        <f>SUMPRODUCT(($C$4:$C$33="ZAN 10")*AV$4:AV$33)</f>
        <v/>
      </c>
      <c r="AW45" s="138">
        <f>SUMPRODUCT(($C$4:$C$33="ZAN 10")*AW$4:AW$33)</f>
        <v/>
      </c>
      <c r="AX45" s="138">
        <f>SUMPRODUCT(($C$4:$C$33="ZAN 10")*AX$4:AX$33)</f>
        <v/>
      </c>
      <c r="AY45" s="138">
        <f>SUMPRODUCT(($C$4:$C$33="ZAN 10")*AY$4:AY$33)</f>
        <v/>
      </c>
      <c r="AZ45" s="138">
        <f>SUMPRODUCT(($C$4:$C$33="ZAN 10")*AZ$4:AZ$33)</f>
        <v/>
      </c>
      <c r="BA45" s="138">
        <f>SUMPRODUCT(($C$4:$C$33="ZAN 10")*BA$4:BA$33)</f>
        <v/>
      </c>
      <c r="BB45" s="138">
        <f>SUMPRODUCT(($C$4:$C$33="ZAN 10")*BB$4:BB$33)</f>
        <v/>
      </c>
    </row>
    <row r="46" ht="15" customHeight="1" s="91">
      <c r="B46" s="141" t="inlineStr">
        <is>
          <t>ZAN 11</t>
        </is>
      </c>
      <c r="D46" s="138">
        <f>SUM(E46:BB46)</f>
        <v/>
      </c>
      <c r="E46" s="138">
        <f>SUMPRODUCT(($C$4:$C$33="ZAN 11")*E$4:E$33)</f>
        <v/>
      </c>
      <c r="F46" s="138">
        <f>SUMPRODUCT(($C$4:$C$33="ZAN 11")*F$4:F$33)</f>
        <v/>
      </c>
      <c r="G46" s="138">
        <f>SUMPRODUCT(($C$4:$C$33="ZAN 11")*G$4:G$33)</f>
        <v/>
      </c>
      <c r="H46" s="138">
        <f>SUMPRODUCT(($C$4:$C$33="ZAN 11")*H$4:H$33)</f>
        <v/>
      </c>
      <c r="I46" s="138">
        <f>SUMPRODUCT(($C$4:$C$33="ZAN 11")*I$4:I$33)</f>
        <v/>
      </c>
      <c r="J46" s="138">
        <f>SUMPRODUCT(($C$4:$C$33="ZAN 11")*J$4:J$33)</f>
        <v/>
      </c>
      <c r="K46" s="138">
        <f>SUMPRODUCT(($C$4:$C$33="ZAN 11")*K$4:K$33)</f>
        <v/>
      </c>
      <c r="L46" s="138">
        <f>SUMPRODUCT(($C$4:$C$33="ZAN 11")*L$4:L$33)</f>
        <v/>
      </c>
      <c r="M46" s="138">
        <f>SUMPRODUCT(($C$4:$C$33="ZAN 11")*M$4:M$33)</f>
        <v/>
      </c>
      <c r="N46" s="138">
        <f>SUMPRODUCT(($C$4:$C$33="ZAN 11")*N$4:N$33)</f>
        <v/>
      </c>
      <c r="O46" s="138">
        <f>SUMPRODUCT(($C$4:$C$33="ZAN 11")*O$4:O$33)</f>
        <v/>
      </c>
      <c r="P46" s="138">
        <f>SUMPRODUCT(($C$4:$C$33="ZAN 11")*P$4:P$33)</f>
        <v/>
      </c>
      <c r="Q46" s="138">
        <f>SUMPRODUCT(($C$4:$C$33="ZAN 11")*Q$4:Q$33)</f>
        <v/>
      </c>
      <c r="R46" s="138">
        <f>SUMPRODUCT(($C$4:$C$33="ZAN 11")*R$4:R$33)</f>
        <v/>
      </c>
      <c r="S46" s="138">
        <f>SUMPRODUCT(($C$4:$C$33="ZAN 11")*S$4:S$33)</f>
        <v/>
      </c>
      <c r="T46" s="138">
        <f>SUMPRODUCT(($C$4:$C$33="ZAN 11")*T$4:T$33)</f>
        <v/>
      </c>
      <c r="U46" s="138">
        <f>SUMPRODUCT(($C$4:$C$33="ZAN 11")*U$4:U$33)</f>
        <v/>
      </c>
      <c r="V46" s="138">
        <f>SUMPRODUCT(($C$4:$C$33="ZAN 11")*V$4:V$33)</f>
        <v/>
      </c>
      <c r="W46" s="138">
        <f>SUMPRODUCT(($C$4:$C$33="ZAN 11")*W$4:W$33)</f>
        <v/>
      </c>
      <c r="X46" s="138">
        <f>SUMPRODUCT(($C$4:$C$33="ZAN 11")*X$4:X$33)</f>
        <v/>
      </c>
      <c r="Y46" s="138">
        <f>SUMPRODUCT(($C$4:$C$33="ZAN 11")*Y$4:Y$33)</f>
        <v/>
      </c>
      <c r="Z46" s="138">
        <f>SUMPRODUCT(($C$4:$C$33="ZAN 11")*Z$4:Z$33)</f>
        <v/>
      </c>
      <c r="AA46" s="138">
        <f>SUMPRODUCT(($C$4:$C$33="ZAN 11")*AA$4:AA$33)</f>
        <v/>
      </c>
      <c r="AB46" s="138">
        <f>SUMPRODUCT(($C$4:$C$33="ZAN 11")*AB$4:AB$33)</f>
        <v/>
      </c>
      <c r="AC46" s="138">
        <f>SUMPRODUCT(($C$4:$C$33="ZAN 11")*AC$4:AC$33)</f>
        <v/>
      </c>
      <c r="AD46" s="138">
        <f>SUMPRODUCT(($C$4:$C$33="ZAN 11")*AD$4:AD$33)</f>
        <v/>
      </c>
      <c r="AE46" s="138">
        <f>SUMPRODUCT(($C$4:$C$33="ZAN 11")*AE$4:AE$33)</f>
        <v/>
      </c>
      <c r="AF46" s="138">
        <f>SUMPRODUCT(($C$4:$C$33="ZAN 11")*AF$4:AF$33)</f>
        <v/>
      </c>
      <c r="AG46" s="138">
        <f>SUMPRODUCT(($C$4:$C$33="ZAN 11")*AG$4:AG$33)</f>
        <v/>
      </c>
      <c r="AH46" s="138">
        <f>SUMPRODUCT(($C$4:$C$33="ZAN 11")*AH$4:AH$33)</f>
        <v/>
      </c>
      <c r="AI46" s="138">
        <f>SUMPRODUCT(($C$4:$C$33="ZAN 11")*AI$4:AI$33)</f>
        <v/>
      </c>
      <c r="AJ46" s="138">
        <f>SUMPRODUCT(($C$4:$C$33="ZAN 11")*AJ$4:AJ$33)</f>
        <v/>
      </c>
      <c r="AK46" s="138">
        <f>SUMPRODUCT(($C$4:$C$33="ZAN 11")*AK$4:AK$33)</f>
        <v/>
      </c>
      <c r="AL46" s="138">
        <f>SUMPRODUCT(($C$4:$C$33="ZAN 11")*AL$4:AL$33)</f>
        <v/>
      </c>
      <c r="AM46" s="138">
        <f>SUMPRODUCT(($C$4:$C$33="ZAN 11")*AM$4:AM$33)</f>
        <v/>
      </c>
      <c r="AN46" s="138">
        <f>SUMPRODUCT(($C$4:$C$33="ZAN 11")*AN$4:AN$33)</f>
        <v/>
      </c>
      <c r="AO46" s="138">
        <f>SUMPRODUCT(($C$4:$C$33="ZAN 11")*AO$4:AO$33)</f>
        <v/>
      </c>
      <c r="AP46" s="138">
        <f>SUMPRODUCT(($C$4:$C$33="ZAN 11")*AP$4:AP$33)</f>
        <v/>
      </c>
      <c r="AQ46" s="138">
        <f>SUMPRODUCT(($C$4:$C$33="ZAN 11")*AQ$4:AQ$33)</f>
        <v/>
      </c>
      <c r="AR46" s="138">
        <f>SUMPRODUCT(($C$4:$C$33="ZAN 11")*AR$4:AR$33)</f>
        <v/>
      </c>
      <c r="AS46" s="138">
        <f>SUMPRODUCT(($C$4:$C$33="ZAN 11")*AS$4:AS$33)</f>
        <v/>
      </c>
      <c r="AT46" s="138">
        <f>SUMPRODUCT(($C$4:$C$33="ZAN 11")*AT$4:AT$33)</f>
        <v/>
      </c>
      <c r="AU46" s="138">
        <f>SUMPRODUCT(($C$4:$C$33="ZAN 11")*AU$4:AU$33)</f>
        <v/>
      </c>
      <c r="AV46" s="138">
        <f>SUMPRODUCT(($C$4:$C$33="ZAN 11")*AV$4:AV$33)</f>
        <v/>
      </c>
      <c r="AW46" s="138">
        <f>SUMPRODUCT(($C$4:$C$33="ZAN 11")*AW$4:AW$33)</f>
        <v/>
      </c>
      <c r="AX46" s="138">
        <f>SUMPRODUCT(($C$4:$C$33="ZAN 11")*AX$4:AX$33)</f>
        <v/>
      </c>
      <c r="AY46" s="138">
        <f>SUMPRODUCT(($C$4:$C$33="ZAN 11")*AY$4:AY$33)</f>
        <v/>
      </c>
      <c r="AZ46" s="138">
        <f>SUMPRODUCT(($C$4:$C$33="ZAN 11")*AZ$4:AZ$33)</f>
        <v/>
      </c>
      <c r="BA46" s="138">
        <f>SUMPRODUCT(($C$4:$C$33="ZAN 11")*BA$4:BA$33)</f>
        <v/>
      </c>
      <c r="BB46" s="138">
        <f>SUMPRODUCT(($C$4:$C$33="ZAN 11")*BB$4:BB$33)</f>
        <v/>
      </c>
    </row>
    <row r="47" ht="15" customHeight="1" s="91">
      <c r="B47" s="141" t="inlineStr">
        <is>
          <t>ZAN 12</t>
        </is>
      </c>
      <c r="D47" s="138">
        <f>SUM(E47:BB47)</f>
        <v/>
      </c>
      <c r="E47" s="138">
        <f>SUMPRODUCT(($C$4:$C$33="ZAN 12")*E$4:E$33)</f>
        <v/>
      </c>
      <c r="F47" s="138">
        <f>SUMPRODUCT(($C$4:$C$33="ZAN 12")*F$4:F$33)</f>
        <v/>
      </c>
      <c r="G47" s="138">
        <f>SUMPRODUCT(($C$4:$C$33="ZAN 12")*G$4:G$33)</f>
        <v/>
      </c>
      <c r="H47" s="138">
        <f>SUMPRODUCT(($C$4:$C$33="ZAN 12")*H$4:H$33)</f>
        <v/>
      </c>
      <c r="I47" s="138">
        <f>SUMPRODUCT(($C$4:$C$33="ZAN 12")*I$4:I$33)</f>
        <v/>
      </c>
      <c r="J47" s="138">
        <f>SUMPRODUCT(($C$4:$C$33="ZAN 12")*J$4:J$33)</f>
        <v/>
      </c>
      <c r="K47" s="138">
        <f>SUMPRODUCT(($C$4:$C$33="ZAN 12")*K$4:K$33)</f>
        <v/>
      </c>
      <c r="L47" s="138">
        <f>SUMPRODUCT(($C$4:$C$33="ZAN 12")*L$4:L$33)</f>
        <v/>
      </c>
      <c r="M47" s="138">
        <f>SUMPRODUCT(($C$4:$C$33="ZAN 12")*M$4:M$33)</f>
        <v/>
      </c>
      <c r="N47" s="138">
        <f>SUMPRODUCT(($C$4:$C$33="ZAN 12")*N$4:N$33)</f>
        <v/>
      </c>
      <c r="O47" s="138">
        <f>SUMPRODUCT(($C$4:$C$33="ZAN 12")*O$4:O$33)</f>
        <v/>
      </c>
      <c r="P47" s="138">
        <f>SUMPRODUCT(($C$4:$C$33="ZAN 12")*P$4:P$33)</f>
        <v/>
      </c>
      <c r="Q47" s="138">
        <f>SUMPRODUCT(($C$4:$C$33="ZAN 12")*Q$4:Q$33)</f>
        <v/>
      </c>
      <c r="R47" s="138">
        <f>SUMPRODUCT(($C$4:$C$33="ZAN 12")*R$4:R$33)</f>
        <v/>
      </c>
      <c r="S47" s="138">
        <f>SUMPRODUCT(($C$4:$C$33="ZAN 12")*S$4:S$33)</f>
        <v/>
      </c>
      <c r="T47" s="138">
        <f>SUMPRODUCT(($C$4:$C$33="ZAN 12")*T$4:T$33)</f>
        <v/>
      </c>
      <c r="U47" s="138">
        <f>SUMPRODUCT(($C$4:$C$33="ZAN 12")*U$4:U$33)</f>
        <v/>
      </c>
      <c r="V47" s="138">
        <f>SUMPRODUCT(($C$4:$C$33="ZAN 12")*V$4:V$33)</f>
        <v/>
      </c>
      <c r="W47" s="138">
        <f>SUMPRODUCT(($C$4:$C$33="ZAN 12")*W$4:W$33)</f>
        <v/>
      </c>
      <c r="X47" s="138">
        <f>SUMPRODUCT(($C$4:$C$33="ZAN 12")*X$4:X$33)</f>
        <v/>
      </c>
      <c r="Y47" s="138">
        <f>SUMPRODUCT(($C$4:$C$33="ZAN 12")*Y$4:Y$33)</f>
        <v/>
      </c>
      <c r="Z47" s="138">
        <f>SUMPRODUCT(($C$4:$C$33="ZAN 12")*Z$4:Z$33)</f>
        <v/>
      </c>
      <c r="AA47" s="138">
        <f>SUMPRODUCT(($C$4:$C$33="ZAN 12")*AA$4:AA$33)</f>
        <v/>
      </c>
      <c r="AB47" s="138">
        <f>SUMPRODUCT(($C$4:$C$33="ZAN 12")*AB$4:AB$33)</f>
        <v/>
      </c>
      <c r="AC47" s="138">
        <f>SUMPRODUCT(($C$4:$C$33="ZAN 12")*AC$4:AC$33)</f>
        <v/>
      </c>
      <c r="AD47" s="138">
        <f>SUMPRODUCT(($C$4:$C$33="ZAN 12")*AD$4:AD$33)</f>
        <v/>
      </c>
      <c r="AE47" s="138">
        <f>SUMPRODUCT(($C$4:$C$33="ZAN 12")*AE$4:AE$33)</f>
        <v/>
      </c>
      <c r="AF47" s="138">
        <f>SUMPRODUCT(($C$4:$C$33="ZAN 12")*AF$4:AF$33)</f>
        <v/>
      </c>
      <c r="AG47" s="138">
        <f>SUMPRODUCT(($C$4:$C$33="ZAN 12")*AG$4:AG$33)</f>
        <v/>
      </c>
      <c r="AH47" s="138">
        <f>SUMPRODUCT(($C$4:$C$33="ZAN 12")*AH$4:AH$33)</f>
        <v/>
      </c>
      <c r="AI47" s="138">
        <f>SUMPRODUCT(($C$4:$C$33="ZAN 12")*AI$4:AI$33)</f>
        <v/>
      </c>
      <c r="AJ47" s="138">
        <f>SUMPRODUCT(($C$4:$C$33="ZAN 12")*AJ$4:AJ$33)</f>
        <v/>
      </c>
      <c r="AK47" s="138">
        <f>SUMPRODUCT(($C$4:$C$33="ZAN 12")*AK$4:AK$33)</f>
        <v/>
      </c>
      <c r="AL47" s="138">
        <f>SUMPRODUCT(($C$4:$C$33="ZAN 12")*AL$4:AL$33)</f>
        <v/>
      </c>
      <c r="AM47" s="138">
        <f>SUMPRODUCT(($C$4:$C$33="ZAN 12")*AM$4:AM$33)</f>
        <v/>
      </c>
      <c r="AN47" s="138">
        <f>SUMPRODUCT(($C$4:$C$33="ZAN 12")*AN$4:AN$33)</f>
        <v/>
      </c>
      <c r="AO47" s="138">
        <f>SUMPRODUCT(($C$4:$C$33="ZAN 12")*AO$4:AO$33)</f>
        <v/>
      </c>
      <c r="AP47" s="138">
        <f>SUMPRODUCT(($C$4:$C$33="ZAN 12")*AP$4:AP$33)</f>
        <v/>
      </c>
      <c r="AQ47" s="138">
        <f>SUMPRODUCT(($C$4:$C$33="ZAN 12")*AQ$4:AQ$33)</f>
        <v/>
      </c>
      <c r="AR47" s="138">
        <f>SUMPRODUCT(($C$4:$C$33="ZAN 12")*AR$4:AR$33)</f>
        <v/>
      </c>
      <c r="AS47" s="138">
        <f>SUMPRODUCT(($C$4:$C$33="ZAN 12")*AS$4:AS$33)</f>
        <v/>
      </c>
      <c r="AT47" s="138">
        <f>SUMPRODUCT(($C$4:$C$33="ZAN 12")*AT$4:AT$33)</f>
        <v/>
      </c>
      <c r="AU47" s="138">
        <f>SUMPRODUCT(($C$4:$C$33="ZAN 12")*AU$4:AU$33)</f>
        <v/>
      </c>
      <c r="AV47" s="138">
        <f>SUMPRODUCT(($C$4:$C$33="ZAN 12")*AV$4:AV$33)</f>
        <v/>
      </c>
      <c r="AW47" s="138">
        <f>SUMPRODUCT(($C$4:$C$33="ZAN 12")*AW$4:AW$33)</f>
        <v/>
      </c>
      <c r="AX47" s="138">
        <f>SUMPRODUCT(($C$4:$C$33="ZAN 12")*AX$4:AX$33)</f>
        <v/>
      </c>
      <c r="AY47" s="138">
        <f>SUMPRODUCT(($C$4:$C$33="ZAN 12")*AY$4:AY$33)</f>
        <v/>
      </c>
      <c r="AZ47" s="138">
        <f>SUMPRODUCT(($C$4:$C$33="ZAN 12")*AZ$4:AZ$33)</f>
        <v/>
      </c>
      <c r="BA47" s="138">
        <f>SUMPRODUCT(($C$4:$C$33="ZAN 12")*BA$4:BA$33)</f>
        <v/>
      </c>
      <c r="BB47" s="138">
        <f>SUMPRODUCT(($C$4:$C$33="ZAN 12")*BB$4:BB$33)</f>
        <v/>
      </c>
    </row>
    <row r="48" ht="15" customHeight="1" s="91">
      <c r="B48" s="141" t="inlineStr">
        <is>
          <t>ZAN 13</t>
        </is>
      </c>
      <c r="D48" s="138">
        <f>SUM(E48:BB48)</f>
        <v/>
      </c>
      <c r="E48" s="138">
        <f>SUMPRODUCT(($C$4:$C$33="ZAN 13")*E$4:E$33)</f>
        <v/>
      </c>
      <c r="F48" s="138">
        <f>SUMPRODUCT(($C$4:$C$33="ZAN 13")*F$4:F$33)</f>
        <v/>
      </c>
      <c r="G48" s="138">
        <f>SUMPRODUCT(($C$4:$C$33="ZAN 13")*G$4:G$33)</f>
        <v/>
      </c>
      <c r="H48" s="138">
        <f>SUMPRODUCT(($C$4:$C$33="ZAN 13")*H$4:H$33)</f>
        <v/>
      </c>
      <c r="I48" s="138">
        <f>SUMPRODUCT(($C$4:$C$33="ZAN 13")*I$4:I$33)</f>
        <v/>
      </c>
      <c r="J48" s="138">
        <f>SUMPRODUCT(($C$4:$C$33="ZAN 13")*J$4:J$33)</f>
        <v/>
      </c>
      <c r="K48" s="138">
        <f>SUMPRODUCT(($C$4:$C$33="ZAN 13")*K$4:K$33)</f>
        <v/>
      </c>
      <c r="L48" s="138">
        <f>SUMPRODUCT(($C$4:$C$33="ZAN 13")*L$4:L$33)</f>
        <v/>
      </c>
      <c r="M48" s="138">
        <f>SUMPRODUCT(($C$4:$C$33="ZAN 13")*M$4:M$33)</f>
        <v/>
      </c>
      <c r="N48" s="138">
        <f>SUMPRODUCT(($C$4:$C$33="ZAN 13")*N$4:N$33)</f>
        <v/>
      </c>
      <c r="O48" s="138">
        <f>SUMPRODUCT(($C$4:$C$33="ZAN 13")*O$4:O$33)</f>
        <v/>
      </c>
      <c r="P48" s="138">
        <f>SUMPRODUCT(($C$4:$C$33="ZAN 13")*P$4:P$33)</f>
        <v/>
      </c>
      <c r="Q48" s="138">
        <f>SUMPRODUCT(($C$4:$C$33="ZAN 13")*Q$4:Q$33)</f>
        <v/>
      </c>
      <c r="R48" s="138">
        <f>SUMPRODUCT(($C$4:$C$33="ZAN 13")*R$4:R$33)</f>
        <v/>
      </c>
      <c r="S48" s="138">
        <f>SUMPRODUCT(($C$4:$C$33="ZAN 13")*S$4:S$33)</f>
        <v/>
      </c>
      <c r="T48" s="138">
        <f>SUMPRODUCT(($C$4:$C$33="ZAN 13")*T$4:T$33)</f>
        <v/>
      </c>
      <c r="U48" s="138">
        <f>SUMPRODUCT(($C$4:$C$33="ZAN 13")*U$4:U$33)</f>
        <v/>
      </c>
      <c r="V48" s="138">
        <f>SUMPRODUCT(($C$4:$C$33="ZAN 13")*V$4:V$33)</f>
        <v/>
      </c>
      <c r="W48" s="138">
        <f>SUMPRODUCT(($C$4:$C$33="ZAN 13")*W$4:W$33)</f>
        <v/>
      </c>
      <c r="X48" s="138">
        <f>SUMPRODUCT(($C$4:$C$33="ZAN 13")*X$4:X$33)</f>
        <v/>
      </c>
      <c r="Y48" s="138">
        <f>SUMPRODUCT(($C$4:$C$33="ZAN 13")*Y$4:Y$33)</f>
        <v/>
      </c>
      <c r="Z48" s="138">
        <f>SUMPRODUCT(($C$4:$C$33="ZAN 13")*Z$4:Z$33)</f>
        <v/>
      </c>
      <c r="AA48" s="138">
        <f>SUMPRODUCT(($C$4:$C$33="ZAN 13")*AA$4:AA$33)</f>
        <v/>
      </c>
      <c r="AB48" s="138">
        <f>SUMPRODUCT(($C$4:$C$33="ZAN 13")*AB$4:AB$33)</f>
        <v/>
      </c>
      <c r="AC48" s="138">
        <f>SUMPRODUCT(($C$4:$C$33="ZAN 13")*AC$4:AC$33)</f>
        <v/>
      </c>
      <c r="AD48" s="138">
        <f>SUMPRODUCT(($C$4:$C$33="ZAN 13")*AD$4:AD$33)</f>
        <v/>
      </c>
      <c r="AE48" s="138">
        <f>SUMPRODUCT(($C$4:$C$33="ZAN 13")*AE$4:AE$33)</f>
        <v/>
      </c>
      <c r="AF48" s="138">
        <f>SUMPRODUCT(($C$4:$C$33="ZAN 13")*AF$4:AF$33)</f>
        <v/>
      </c>
      <c r="AG48" s="138">
        <f>SUMPRODUCT(($C$4:$C$33="ZAN 13")*AG$4:AG$33)</f>
        <v/>
      </c>
      <c r="AH48" s="138">
        <f>SUMPRODUCT(($C$4:$C$33="ZAN 13")*AH$4:AH$33)</f>
        <v/>
      </c>
      <c r="AI48" s="138">
        <f>SUMPRODUCT(($C$4:$C$33="ZAN 13")*AI$4:AI$33)</f>
        <v/>
      </c>
      <c r="AJ48" s="138">
        <f>SUMPRODUCT(($C$4:$C$33="ZAN 13")*AJ$4:AJ$33)</f>
        <v/>
      </c>
      <c r="AK48" s="138">
        <f>SUMPRODUCT(($C$4:$C$33="ZAN 13")*AK$4:AK$33)</f>
        <v/>
      </c>
      <c r="AL48" s="138">
        <f>SUMPRODUCT(($C$4:$C$33="ZAN 13")*AL$4:AL$33)</f>
        <v/>
      </c>
      <c r="AM48" s="138">
        <f>SUMPRODUCT(($C$4:$C$33="ZAN 13")*AM$4:AM$33)</f>
        <v/>
      </c>
      <c r="AN48" s="138">
        <f>SUMPRODUCT(($C$4:$C$33="ZAN 13")*AN$4:AN$33)</f>
        <v/>
      </c>
      <c r="AO48" s="138">
        <f>SUMPRODUCT(($C$4:$C$33="ZAN 13")*AO$4:AO$33)</f>
        <v/>
      </c>
      <c r="AP48" s="138">
        <f>SUMPRODUCT(($C$4:$C$33="ZAN 13")*AP$4:AP$33)</f>
        <v/>
      </c>
      <c r="AQ48" s="138">
        <f>SUMPRODUCT(($C$4:$C$33="ZAN 13")*AQ$4:AQ$33)</f>
        <v/>
      </c>
      <c r="AR48" s="138">
        <f>SUMPRODUCT(($C$4:$C$33="ZAN 13")*AR$4:AR$33)</f>
        <v/>
      </c>
      <c r="AS48" s="138">
        <f>SUMPRODUCT(($C$4:$C$33="ZAN 13")*AS$4:AS$33)</f>
        <v/>
      </c>
      <c r="AT48" s="138">
        <f>SUMPRODUCT(($C$4:$C$33="ZAN 13")*AT$4:AT$33)</f>
        <v/>
      </c>
      <c r="AU48" s="138">
        <f>SUMPRODUCT(($C$4:$C$33="ZAN 13")*AU$4:AU$33)</f>
        <v/>
      </c>
      <c r="AV48" s="138">
        <f>SUMPRODUCT(($C$4:$C$33="ZAN 13")*AV$4:AV$33)</f>
        <v/>
      </c>
      <c r="AW48" s="138">
        <f>SUMPRODUCT(($C$4:$C$33="ZAN 13")*AW$4:AW$33)</f>
        <v/>
      </c>
      <c r="AX48" s="138">
        <f>SUMPRODUCT(($C$4:$C$33="ZAN 13")*AX$4:AX$33)</f>
        <v/>
      </c>
      <c r="AY48" s="138">
        <f>SUMPRODUCT(($C$4:$C$33="ZAN 13")*AY$4:AY$33)</f>
        <v/>
      </c>
      <c r="AZ48" s="138">
        <f>SUMPRODUCT(($C$4:$C$33="ZAN 13")*AZ$4:AZ$33)</f>
        <v/>
      </c>
      <c r="BA48" s="138">
        <f>SUMPRODUCT(($C$4:$C$33="ZAN 13")*BA$4:BA$33)</f>
        <v/>
      </c>
      <c r="BB48" s="138">
        <f>SUMPRODUCT(($C$4:$C$33="ZAN 13")*BB$4:BB$33)</f>
        <v/>
      </c>
    </row>
    <row r="49" ht="15" customHeight="1" s="91">
      <c r="B49" s="141" t="inlineStr">
        <is>
          <t>ZAN 14</t>
        </is>
      </c>
      <c r="D49" s="138">
        <f>SUM(E49:BB49)</f>
        <v/>
      </c>
      <c r="E49" s="138">
        <f>SUMPRODUCT(($C$4:$C$33="ZAN 14")*E$4:E$33)</f>
        <v/>
      </c>
      <c r="F49" s="138">
        <f>SUMPRODUCT(($C$4:$C$33="ZAN 14")*F$4:F$33)</f>
        <v/>
      </c>
      <c r="G49" s="138">
        <f>SUMPRODUCT(($C$4:$C$33="ZAN 14")*G$4:G$33)</f>
        <v/>
      </c>
      <c r="H49" s="138">
        <f>SUMPRODUCT(($C$4:$C$33="ZAN 14")*H$4:H$33)</f>
        <v/>
      </c>
      <c r="I49" s="138">
        <f>SUMPRODUCT(($C$4:$C$33="ZAN 14")*I$4:I$33)</f>
        <v/>
      </c>
      <c r="J49" s="138">
        <f>SUMPRODUCT(($C$4:$C$33="ZAN 14")*J$4:J$33)</f>
        <v/>
      </c>
      <c r="K49" s="138">
        <f>SUMPRODUCT(($C$4:$C$33="ZAN 14")*K$4:K$33)</f>
        <v/>
      </c>
      <c r="L49" s="138">
        <f>SUMPRODUCT(($C$4:$C$33="ZAN 14")*L$4:L$33)</f>
        <v/>
      </c>
      <c r="M49" s="138">
        <f>SUMPRODUCT(($C$4:$C$33="ZAN 14")*M$4:M$33)</f>
        <v/>
      </c>
      <c r="N49" s="138">
        <f>SUMPRODUCT(($C$4:$C$33="ZAN 14")*N$4:N$33)</f>
        <v/>
      </c>
      <c r="O49" s="138">
        <f>SUMPRODUCT(($C$4:$C$33="ZAN 14")*O$4:O$33)</f>
        <v/>
      </c>
      <c r="P49" s="138">
        <f>SUMPRODUCT(($C$4:$C$33="ZAN 14")*P$4:P$33)</f>
        <v/>
      </c>
      <c r="Q49" s="138">
        <f>SUMPRODUCT(($C$4:$C$33="ZAN 14")*Q$4:Q$33)</f>
        <v/>
      </c>
      <c r="R49" s="138">
        <f>SUMPRODUCT(($C$4:$C$33="ZAN 14")*R$4:R$33)</f>
        <v/>
      </c>
      <c r="S49" s="138">
        <f>SUMPRODUCT(($C$4:$C$33="ZAN 14")*S$4:S$33)</f>
        <v/>
      </c>
      <c r="T49" s="138">
        <f>SUMPRODUCT(($C$4:$C$33="ZAN 14")*T$4:T$33)</f>
        <v/>
      </c>
      <c r="U49" s="138">
        <f>SUMPRODUCT(($C$4:$C$33="ZAN 14")*U$4:U$33)</f>
        <v/>
      </c>
      <c r="V49" s="138">
        <f>SUMPRODUCT(($C$4:$C$33="ZAN 14")*V$4:V$33)</f>
        <v/>
      </c>
      <c r="W49" s="138">
        <f>SUMPRODUCT(($C$4:$C$33="ZAN 14")*W$4:W$33)</f>
        <v/>
      </c>
      <c r="X49" s="138">
        <f>SUMPRODUCT(($C$4:$C$33="ZAN 14")*X$4:X$33)</f>
        <v/>
      </c>
      <c r="Y49" s="138">
        <f>SUMPRODUCT(($C$4:$C$33="ZAN 14")*Y$4:Y$33)</f>
        <v/>
      </c>
      <c r="Z49" s="138">
        <f>SUMPRODUCT(($C$4:$C$33="ZAN 14")*Z$4:Z$33)</f>
        <v/>
      </c>
      <c r="AA49" s="138">
        <f>SUMPRODUCT(($C$4:$C$33="ZAN 14")*AA$4:AA$33)</f>
        <v/>
      </c>
      <c r="AB49" s="138">
        <f>SUMPRODUCT(($C$4:$C$33="ZAN 14")*AB$4:AB$33)</f>
        <v/>
      </c>
      <c r="AC49" s="138">
        <f>SUMPRODUCT(($C$4:$C$33="ZAN 14")*AC$4:AC$33)</f>
        <v/>
      </c>
      <c r="AD49" s="138">
        <f>SUMPRODUCT(($C$4:$C$33="ZAN 14")*AD$4:AD$33)</f>
        <v/>
      </c>
      <c r="AE49" s="138">
        <f>SUMPRODUCT(($C$4:$C$33="ZAN 14")*AE$4:AE$33)</f>
        <v/>
      </c>
      <c r="AF49" s="138">
        <f>SUMPRODUCT(($C$4:$C$33="ZAN 14")*AF$4:AF$33)</f>
        <v/>
      </c>
      <c r="AG49" s="138">
        <f>SUMPRODUCT(($C$4:$C$33="ZAN 14")*AG$4:AG$33)</f>
        <v/>
      </c>
      <c r="AH49" s="138">
        <f>SUMPRODUCT(($C$4:$C$33="ZAN 14")*AH$4:AH$33)</f>
        <v/>
      </c>
      <c r="AI49" s="138">
        <f>SUMPRODUCT(($C$4:$C$33="ZAN 14")*AI$4:AI$33)</f>
        <v/>
      </c>
      <c r="AJ49" s="138">
        <f>SUMPRODUCT(($C$4:$C$33="ZAN 14")*AJ$4:AJ$33)</f>
        <v/>
      </c>
      <c r="AK49" s="138">
        <f>SUMPRODUCT(($C$4:$C$33="ZAN 14")*AK$4:AK$33)</f>
        <v/>
      </c>
      <c r="AL49" s="138">
        <f>SUMPRODUCT(($C$4:$C$33="ZAN 14")*AL$4:AL$33)</f>
        <v/>
      </c>
      <c r="AM49" s="138">
        <f>SUMPRODUCT(($C$4:$C$33="ZAN 14")*AM$4:AM$33)</f>
        <v/>
      </c>
      <c r="AN49" s="138">
        <f>SUMPRODUCT(($C$4:$C$33="ZAN 14")*AN$4:AN$33)</f>
        <v/>
      </c>
      <c r="AO49" s="138">
        <f>SUMPRODUCT(($C$4:$C$33="ZAN 14")*AO$4:AO$33)</f>
        <v/>
      </c>
      <c r="AP49" s="138">
        <f>SUMPRODUCT(($C$4:$C$33="ZAN 14")*AP$4:AP$33)</f>
        <v/>
      </c>
      <c r="AQ49" s="138">
        <f>SUMPRODUCT(($C$4:$C$33="ZAN 14")*AQ$4:AQ$33)</f>
        <v/>
      </c>
      <c r="AR49" s="138">
        <f>SUMPRODUCT(($C$4:$C$33="ZAN 14")*AR$4:AR$33)</f>
        <v/>
      </c>
      <c r="AS49" s="138">
        <f>SUMPRODUCT(($C$4:$C$33="ZAN 14")*AS$4:AS$33)</f>
        <v/>
      </c>
      <c r="AT49" s="138">
        <f>SUMPRODUCT(($C$4:$C$33="ZAN 14")*AT$4:AT$33)</f>
        <v/>
      </c>
      <c r="AU49" s="138">
        <f>SUMPRODUCT(($C$4:$C$33="ZAN 14")*AU$4:AU$33)</f>
        <v/>
      </c>
      <c r="AV49" s="138">
        <f>SUMPRODUCT(($C$4:$C$33="ZAN 14")*AV$4:AV$33)</f>
        <v/>
      </c>
      <c r="AW49" s="138">
        <f>SUMPRODUCT(($C$4:$C$33="ZAN 14")*AW$4:AW$33)</f>
        <v/>
      </c>
      <c r="AX49" s="138">
        <f>SUMPRODUCT(($C$4:$C$33="ZAN 14")*AX$4:AX$33)</f>
        <v/>
      </c>
      <c r="AY49" s="138">
        <f>SUMPRODUCT(($C$4:$C$33="ZAN 14")*AY$4:AY$33)</f>
        <v/>
      </c>
      <c r="AZ49" s="138">
        <f>SUMPRODUCT(($C$4:$C$33="ZAN 14")*AZ$4:AZ$33)</f>
        <v/>
      </c>
      <c r="BA49" s="138">
        <f>SUMPRODUCT(($C$4:$C$33="ZAN 14")*BA$4:BA$33)</f>
        <v/>
      </c>
      <c r="BB49" s="138">
        <f>SUMPRODUCT(($C$4:$C$33="ZAN 14")*BB$4:BB$33)</f>
        <v/>
      </c>
    </row>
    <row r="50" ht="15" customHeight="1" s="91">
      <c r="B50" s="141" t="inlineStr">
        <is>
          <t>ZAN 15</t>
        </is>
      </c>
      <c r="D50" s="138">
        <f>SUM(E50:BB50)</f>
        <v/>
      </c>
      <c r="E50" s="138">
        <f>SUMPRODUCT(($C$4:$C$33="ZAN 15")*E$4:E$33)</f>
        <v/>
      </c>
      <c r="F50" s="138">
        <f>SUMPRODUCT(($C$4:$C$33="ZAN 15")*F$4:F$33)</f>
        <v/>
      </c>
      <c r="G50" s="138">
        <f>SUMPRODUCT(($C$4:$C$33="ZAN 15")*G$4:G$33)</f>
        <v/>
      </c>
      <c r="H50" s="138">
        <f>SUMPRODUCT(($C$4:$C$33="ZAN 15")*H$4:H$33)</f>
        <v/>
      </c>
      <c r="I50" s="138">
        <f>SUMPRODUCT(($C$4:$C$33="ZAN 15")*I$4:I$33)</f>
        <v/>
      </c>
      <c r="J50" s="138">
        <f>SUMPRODUCT(($C$4:$C$33="ZAN 15")*J$4:J$33)</f>
        <v/>
      </c>
      <c r="K50" s="138">
        <f>SUMPRODUCT(($C$4:$C$33="ZAN 15")*K$4:K$33)</f>
        <v/>
      </c>
      <c r="L50" s="138">
        <f>SUMPRODUCT(($C$4:$C$33="ZAN 15")*L$4:L$33)</f>
        <v/>
      </c>
      <c r="M50" s="138">
        <f>SUMPRODUCT(($C$4:$C$33="ZAN 15")*M$4:M$33)</f>
        <v/>
      </c>
      <c r="N50" s="138">
        <f>SUMPRODUCT(($C$4:$C$33="ZAN 15")*N$4:N$33)</f>
        <v/>
      </c>
      <c r="O50" s="138">
        <f>SUMPRODUCT(($C$4:$C$33="ZAN 15")*O$4:O$33)</f>
        <v/>
      </c>
      <c r="P50" s="138">
        <f>SUMPRODUCT(($C$4:$C$33="ZAN 15")*P$4:P$33)</f>
        <v/>
      </c>
      <c r="Q50" s="138">
        <f>SUMPRODUCT(($C$4:$C$33="ZAN 15")*Q$4:Q$33)</f>
        <v/>
      </c>
      <c r="R50" s="138">
        <f>SUMPRODUCT(($C$4:$C$33="ZAN 15")*R$4:R$33)</f>
        <v/>
      </c>
      <c r="S50" s="138">
        <f>SUMPRODUCT(($C$4:$C$33="ZAN 15")*S$4:S$33)</f>
        <v/>
      </c>
      <c r="T50" s="138">
        <f>SUMPRODUCT(($C$4:$C$33="ZAN 15")*T$4:T$33)</f>
        <v/>
      </c>
      <c r="U50" s="138">
        <f>SUMPRODUCT(($C$4:$C$33="ZAN 15")*U$4:U$33)</f>
        <v/>
      </c>
      <c r="V50" s="138">
        <f>SUMPRODUCT(($C$4:$C$33="ZAN 15")*V$4:V$33)</f>
        <v/>
      </c>
      <c r="W50" s="138">
        <f>SUMPRODUCT(($C$4:$C$33="ZAN 15")*W$4:W$33)</f>
        <v/>
      </c>
      <c r="X50" s="138">
        <f>SUMPRODUCT(($C$4:$C$33="ZAN 15")*X$4:X$33)</f>
        <v/>
      </c>
      <c r="Y50" s="138">
        <f>SUMPRODUCT(($C$4:$C$33="ZAN 15")*Y$4:Y$33)</f>
        <v/>
      </c>
      <c r="Z50" s="138">
        <f>SUMPRODUCT(($C$4:$C$33="ZAN 15")*Z$4:Z$33)</f>
        <v/>
      </c>
      <c r="AA50" s="138">
        <f>SUMPRODUCT(($C$4:$C$33="ZAN 15")*AA$4:AA$33)</f>
        <v/>
      </c>
      <c r="AB50" s="138">
        <f>SUMPRODUCT(($C$4:$C$33="ZAN 15")*AB$4:AB$33)</f>
        <v/>
      </c>
      <c r="AC50" s="138">
        <f>SUMPRODUCT(($C$4:$C$33="ZAN 15")*AC$4:AC$33)</f>
        <v/>
      </c>
      <c r="AD50" s="138">
        <f>SUMPRODUCT(($C$4:$C$33="ZAN 15")*AD$4:AD$33)</f>
        <v/>
      </c>
      <c r="AE50" s="138">
        <f>SUMPRODUCT(($C$4:$C$33="ZAN 15")*AE$4:AE$33)</f>
        <v/>
      </c>
      <c r="AF50" s="138">
        <f>SUMPRODUCT(($C$4:$C$33="ZAN 15")*AF$4:AF$33)</f>
        <v/>
      </c>
      <c r="AG50" s="138">
        <f>SUMPRODUCT(($C$4:$C$33="ZAN 15")*AG$4:AG$33)</f>
        <v/>
      </c>
      <c r="AH50" s="138">
        <f>SUMPRODUCT(($C$4:$C$33="ZAN 15")*AH$4:AH$33)</f>
        <v/>
      </c>
      <c r="AI50" s="138">
        <f>SUMPRODUCT(($C$4:$C$33="ZAN 15")*AI$4:AI$33)</f>
        <v/>
      </c>
      <c r="AJ50" s="138">
        <f>SUMPRODUCT(($C$4:$C$33="ZAN 15")*AJ$4:AJ$33)</f>
        <v/>
      </c>
      <c r="AK50" s="138">
        <f>SUMPRODUCT(($C$4:$C$33="ZAN 15")*AK$4:AK$33)</f>
        <v/>
      </c>
      <c r="AL50" s="138">
        <f>SUMPRODUCT(($C$4:$C$33="ZAN 15")*AL$4:AL$33)</f>
        <v/>
      </c>
      <c r="AM50" s="138">
        <f>SUMPRODUCT(($C$4:$C$33="ZAN 15")*AM$4:AM$33)</f>
        <v/>
      </c>
      <c r="AN50" s="138">
        <f>SUMPRODUCT(($C$4:$C$33="ZAN 15")*AN$4:AN$33)</f>
        <v/>
      </c>
      <c r="AO50" s="138">
        <f>SUMPRODUCT(($C$4:$C$33="ZAN 15")*AO$4:AO$33)</f>
        <v/>
      </c>
      <c r="AP50" s="138">
        <f>SUMPRODUCT(($C$4:$C$33="ZAN 15")*AP$4:AP$33)</f>
        <v/>
      </c>
      <c r="AQ50" s="138">
        <f>SUMPRODUCT(($C$4:$C$33="ZAN 15")*AQ$4:AQ$33)</f>
        <v/>
      </c>
      <c r="AR50" s="138">
        <f>SUMPRODUCT(($C$4:$C$33="ZAN 15")*AR$4:AR$33)</f>
        <v/>
      </c>
      <c r="AS50" s="138">
        <f>SUMPRODUCT(($C$4:$C$33="ZAN 15")*AS$4:AS$33)</f>
        <v/>
      </c>
      <c r="AT50" s="138">
        <f>SUMPRODUCT(($C$4:$C$33="ZAN 15")*AT$4:AT$33)</f>
        <v/>
      </c>
      <c r="AU50" s="138">
        <f>SUMPRODUCT(($C$4:$C$33="ZAN 15")*AU$4:AU$33)</f>
        <v/>
      </c>
      <c r="AV50" s="138">
        <f>SUMPRODUCT(($C$4:$C$33="ZAN 15")*AV$4:AV$33)</f>
        <v/>
      </c>
      <c r="AW50" s="138">
        <f>SUMPRODUCT(($C$4:$C$33="ZAN 15")*AW$4:AW$33)</f>
        <v/>
      </c>
      <c r="AX50" s="138">
        <f>SUMPRODUCT(($C$4:$C$33="ZAN 15")*AX$4:AX$33)</f>
        <v/>
      </c>
      <c r="AY50" s="138">
        <f>SUMPRODUCT(($C$4:$C$33="ZAN 15")*AY$4:AY$33)</f>
        <v/>
      </c>
      <c r="AZ50" s="138">
        <f>SUMPRODUCT(($C$4:$C$33="ZAN 15")*AZ$4:AZ$33)</f>
        <v/>
      </c>
      <c r="BA50" s="138">
        <f>SUMPRODUCT(($C$4:$C$33="ZAN 15")*BA$4:BA$33)</f>
        <v/>
      </c>
      <c r="BB50" s="138">
        <f>SUMPRODUCT(($C$4:$C$33="ZAN 15")*BB$4:BB$33)</f>
        <v/>
      </c>
    </row>
    <row r="52" ht="15" customHeight="1" s="91">
      <c r="B52" s="142" t="inlineStr">
        <is>
          <t>TOTAL REVENUE</t>
        </is>
      </c>
      <c r="D52" s="138">
        <f>SUM(D4:D33)</f>
        <v/>
      </c>
      <c r="E52" s="138">
        <f>SUM(E36:E50)</f>
        <v/>
      </c>
      <c r="F52" s="138">
        <f>SUM(F36:F50)</f>
        <v/>
      </c>
      <c r="G52" s="138">
        <f>SUM(G36:G50)</f>
        <v/>
      </c>
      <c r="H52" s="138">
        <f>SUM(H36:H50)</f>
        <v/>
      </c>
      <c r="I52" s="138">
        <f>SUM(I36:I50)</f>
        <v/>
      </c>
      <c r="J52" s="138">
        <f>SUM(J36:J50)</f>
        <v/>
      </c>
      <c r="K52" s="138">
        <f>SUM(K36:K50)</f>
        <v/>
      </c>
      <c r="L52" s="138">
        <f>SUM(L36:L50)</f>
        <v/>
      </c>
      <c r="M52" s="138">
        <f>SUM(M36:M50)</f>
        <v/>
      </c>
      <c r="N52" s="138">
        <f>SUM(N36:N50)</f>
        <v/>
      </c>
      <c r="O52" s="138">
        <f>SUM(O36:O50)</f>
        <v/>
      </c>
      <c r="P52" s="138">
        <f>SUM(P36:P50)</f>
        <v/>
      </c>
      <c r="Q52" s="138">
        <f>SUM(Q36:Q50)</f>
        <v/>
      </c>
      <c r="R52" s="138">
        <f>SUM(R36:R50)</f>
        <v/>
      </c>
      <c r="S52" s="138">
        <f>SUM(S36:S50)</f>
        <v/>
      </c>
      <c r="T52" s="138">
        <f>SUM(T36:T50)</f>
        <v/>
      </c>
      <c r="U52" s="138">
        <f>SUM(U36:U50)</f>
        <v/>
      </c>
      <c r="V52" s="138">
        <f>SUM(V36:V50)</f>
        <v/>
      </c>
      <c r="W52" s="138">
        <f>SUM(W36:W50)</f>
        <v/>
      </c>
      <c r="X52" s="138">
        <f>SUM(X36:X50)</f>
        <v/>
      </c>
      <c r="Y52" s="138">
        <f>SUM(Y36:Y50)</f>
        <v/>
      </c>
      <c r="Z52" s="138">
        <f>SUM(Z36:Z50)</f>
        <v/>
      </c>
      <c r="AA52" s="138">
        <f>SUM(AA36:AA50)</f>
        <v/>
      </c>
      <c r="AB52" s="138">
        <f>SUM(AB36:AB50)</f>
        <v/>
      </c>
      <c r="AC52" s="138">
        <f>SUM(AC36:AC50)</f>
        <v/>
      </c>
      <c r="AD52" s="138">
        <f>SUM(AD36:AD50)</f>
        <v/>
      </c>
      <c r="AE52" s="138">
        <f>SUM(AE36:AE50)</f>
        <v/>
      </c>
      <c r="AF52" s="138">
        <f>SUM(AF36:AF50)</f>
        <v/>
      </c>
      <c r="AG52" s="138">
        <f>SUM(AG36:AG50)</f>
        <v/>
      </c>
      <c r="AH52" s="138">
        <f>SUM(AH36:AH50)</f>
        <v/>
      </c>
      <c r="AI52" s="138">
        <f>SUM(AI36:AI50)</f>
        <v/>
      </c>
      <c r="AJ52" s="138">
        <f>SUM(AJ36:AJ50)</f>
        <v/>
      </c>
      <c r="AK52" s="138">
        <f>SUM(AK36:AK50)</f>
        <v/>
      </c>
      <c r="AL52" s="138">
        <f>SUM(AL36:AL50)</f>
        <v/>
      </c>
      <c r="AM52" s="138">
        <f>SUM(AM36:AM50)</f>
        <v/>
      </c>
      <c r="AN52" s="138">
        <f>SUM(AN36:AN50)</f>
        <v/>
      </c>
      <c r="AO52" s="138">
        <f>SUM(AO36:AO50)</f>
        <v/>
      </c>
      <c r="AP52" s="138">
        <f>SUM(AP36:AP50)</f>
        <v/>
      </c>
      <c r="AQ52" s="138">
        <f>SUM(AQ36:AQ50)</f>
        <v/>
      </c>
      <c r="AR52" s="138">
        <f>SUM(AR36:AR50)</f>
        <v/>
      </c>
      <c r="AS52" s="138">
        <f>SUM(AS36:AS50)</f>
        <v/>
      </c>
      <c r="AT52" s="138">
        <f>SUM(AT36:AT50)</f>
        <v/>
      </c>
      <c r="AU52" s="138">
        <f>SUM(AU36:AU50)</f>
        <v/>
      </c>
      <c r="AV52" s="138">
        <f>SUM(AV36:AV50)</f>
        <v/>
      </c>
      <c r="AW52" s="138">
        <f>SUM(AW36:AW50)</f>
        <v/>
      </c>
      <c r="AX52" s="138">
        <f>SUM(AX36:AX50)</f>
        <v/>
      </c>
      <c r="AY52" s="138">
        <f>SUM(AY36:AY50)</f>
        <v/>
      </c>
      <c r="AZ52" s="138">
        <f>SUM(AZ36:AZ50)</f>
        <v/>
      </c>
      <c r="BA52" s="138">
        <f>SUM(BA36:BA50)</f>
        <v/>
      </c>
      <c r="BB52" s="138">
        <f>SUM(BB36:BB50)</f>
        <v/>
      </c>
    </row>
    <row r="92" outlineLevel="1" ht="15" customHeight="1" s="91">
      <c r="A92" s="143" t="inlineStr">
        <is>
          <t>IMPORT  البيانات المستوردة (يمكن طيها ▼)</t>
        </is>
      </c>
    </row>
    <row r="93" outlineLevel="1" ht="15" customHeight="1" s="91">
      <c r="A93" s="144" t="inlineStr">
        <is>
          <t>Inputs:</t>
        </is>
      </c>
      <c r="B93" s="145" t="inlineStr">
        <is>
          <t>StartYear</t>
        </is>
      </c>
      <c r="C93" s="146">
        <f>Inputs!C7</f>
        <v/>
      </c>
      <c r="D93" s="145" t="inlineStr">
        <is>
          <t>RentMult</t>
        </is>
      </c>
      <c r="E93" s="148">
        <f>Inputs!C38</f>
        <v/>
      </c>
    </row>
    <row r="94" outlineLevel="1" ht="15" customHeight="1" s="91">
      <c r="A94" s="144" t="inlineStr">
        <is>
          <t>#</t>
        </is>
      </c>
      <c r="B94" s="144" t="inlineStr">
        <is>
          <t>Asset</t>
        </is>
      </c>
      <c r="C94" s="144" t="inlineStr">
        <is>
          <t>Phase</t>
        </is>
      </c>
      <c r="D94" s="144" t="inlineStr">
        <is>
          <t>RevStart</t>
        </is>
      </c>
      <c r="E94" s="144" t="inlineStr">
        <is>
          <t>BaseRev</t>
        </is>
      </c>
      <c r="F94" s="144" t="inlineStr">
        <is>
          <t>Esc</t>
        </is>
      </c>
      <c r="G94" s="144" t="inlineStr">
        <is>
          <t>Ramp</t>
        </is>
      </c>
      <c r="H94" s="144" t="inlineStr">
        <is>
          <t>RampTgt</t>
        </is>
      </c>
    </row>
    <row r="95" outlineLevel="1" ht="15" customHeight="1" s="91">
      <c r="A95" s="138">
        <f>1</f>
        <v/>
      </c>
      <c r="B95" s="146">
        <f>Program!C4</f>
        <v/>
      </c>
      <c r="C95" s="146">
        <f>Program!A4</f>
        <v/>
      </c>
      <c r="D95" s="146">
        <f>Program!V4</f>
        <v/>
      </c>
      <c r="E95" s="146">
        <f>Program!W4</f>
        <v/>
      </c>
      <c r="F95" s="147">
        <f>Program!N4</f>
        <v/>
      </c>
      <c r="G95" s="146">
        <f>Program!O4</f>
        <v/>
      </c>
      <c r="H95" s="147">
        <f>Program!X4</f>
        <v/>
      </c>
    </row>
    <row r="96" outlineLevel="1" ht="15" customHeight="1" s="91">
      <c r="A96" s="138">
        <f>2</f>
        <v/>
      </c>
      <c r="B96" s="146">
        <f>Program!C5</f>
        <v/>
      </c>
      <c r="C96" s="146">
        <f>Program!A5</f>
        <v/>
      </c>
      <c r="D96" s="146">
        <f>Program!V5</f>
        <v/>
      </c>
      <c r="E96" s="146">
        <f>Program!W5</f>
        <v/>
      </c>
      <c r="F96" s="147">
        <f>Program!N5</f>
        <v/>
      </c>
      <c r="G96" s="146">
        <f>Program!O5</f>
        <v/>
      </c>
      <c r="H96" s="147">
        <f>Program!X5</f>
        <v/>
      </c>
    </row>
    <row r="97" outlineLevel="1" ht="15" customHeight="1" s="91">
      <c r="A97" s="138">
        <f>3</f>
        <v/>
      </c>
      <c r="B97" s="146">
        <f>Program!C6</f>
        <v/>
      </c>
      <c r="C97" s="146">
        <f>Program!A6</f>
        <v/>
      </c>
      <c r="D97" s="146">
        <f>Program!V6</f>
        <v/>
      </c>
      <c r="E97" s="146">
        <f>Program!W6</f>
        <v/>
      </c>
      <c r="F97" s="147">
        <f>Program!N6</f>
        <v/>
      </c>
      <c r="G97" s="146">
        <f>Program!O6</f>
        <v/>
      </c>
      <c r="H97" s="147">
        <f>Program!X6</f>
        <v/>
      </c>
    </row>
    <row r="98" outlineLevel="1" ht="15" customHeight="1" s="91">
      <c r="A98" s="138">
        <f>4</f>
        <v/>
      </c>
      <c r="B98" s="146">
        <f>Program!C7</f>
        <v/>
      </c>
      <c r="C98" s="146">
        <f>Program!A7</f>
        <v/>
      </c>
      <c r="D98" s="146">
        <f>Program!V7</f>
        <v/>
      </c>
      <c r="E98" s="146">
        <f>Program!W7</f>
        <v/>
      </c>
      <c r="F98" s="147">
        <f>Program!N7</f>
        <v/>
      </c>
      <c r="G98" s="146">
        <f>Program!O7</f>
        <v/>
      </c>
      <c r="H98" s="147">
        <f>Program!X7</f>
        <v/>
      </c>
    </row>
    <row r="99" outlineLevel="1" ht="15" customHeight="1" s="91">
      <c r="A99" s="138">
        <f>5</f>
        <v/>
      </c>
      <c r="B99" s="146">
        <f>Program!C8</f>
        <v/>
      </c>
      <c r="C99" s="146">
        <f>Program!A8</f>
        <v/>
      </c>
      <c r="D99" s="146">
        <f>Program!V8</f>
        <v/>
      </c>
      <c r="E99" s="146">
        <f>Program!W8</f>
        <v/>
      </c>
      <c r="F99" s="147">
        <f>Program!N8</f>
        <v/>
      </c>
      <c r="G99" s="146">
        <f>Program!O8</f>
        <v/>
      </c>
      <c r="H99" s="147">
        <f>Program!X8</f>
        <v/>
      </c>
    </row>
    <row r="100" outlineLevel="1" ht="15" customHeight="1" s="91">
      <c r="A100" s="138">
        <f>6</f>
        <v/>
      </c>
      <c r="B100" s="146">
        <f>Program!C9</f>
        <v/>
      </c>
      <c r="C100" s="146">
        <f>Program!A9</f>
        <v/>
      </c>
      <c r="D100" s="146">
        <f>Program!V9</f>
        <v/>
      </c>
      <c r="E100" s="146">
        <f>Program!W9</f>
        <v/>
      </c>
      <c r="F100" s="147">
        <f>Program!N9</f>
        <v/>
      </c>
      <c r="G100" s="146">
        <f>Program!O9</f>
        <v/>
      </c>
      <c r="H100" s="147">
        <f>Program!X9</f>
        <v/>
      </c>
    </row>
    <row r="101" outlineLevel="1" ht="15" customHeight="1" s="91">
      <c r="A101" s="138">
        <f>7</f>
        <v/>
      </c>
      <c r="B101" s="146">
        <f>Program!C10</f>
        <v/>
      </c>
      <c r="C101" s="146">
        <f>Program!A10</f>
        <v/>
      </c>
      <c r="D101" s="146">
        <f>Program!V10</f>
        <v/>
      </c>
      <c r="E101" s="146">
        <f>Program!W10</f>
        <v/>
      </c>
      <c r="F101" s="147">
        <f>Program!N10</f>
        <v/>
      </c>
      <c r="G101" s="146">
        <f>Program!O10</f>
        <v/>
      </c>
      <c r="H101" s="147">
        <f>Program!X10</f>
        <v/>
      </c>
    </row>
    <row r="102" outlineLevel="1" ht="15" customHeight="1" s="91">
      <c r="A102" s="138">
        <f>8</f>
        <v/>
      </c>
      <c r="B102" s="146">
        <f>Program!C11</f>
        <v/>
      </c>
      <c r="C102" s="146">
        <f>Program!A11</f>
        <v/>
      </c>
      <c r="D102" s="146">
        <f>Program!V11</f>
        <v/>
      </c>
      <c r="E102" s="146">
        <f>Program!W11</f>
        <v/>
      </c>
      <c r="F102" s="147">
        <f>Program!N11</f>
        <v/>
      </c>
      <c r="G102" s="146">
        <f>Program!O11</f>
        <v/>
      </c>
      <c r="H102" s="147">
        <f>Program!X11</f>
        <v/>
      </c>
    </row>
    <row r="103" outlineLevel="1" ht="15" customHeight="1" s="91">
      <c r="A103" s="138">
        <f>9</f>
        <v/>
      </c>
      <c r="B103" s="146">
        <f>Program!C12</f>
        <v/>
      </c>
      <c r="C103" s="146">
        <f>Program!A12</f>
        <v/>
      </c>
      <c r="D103" s="146">
        <f>Program!V12</f>
        <v/>
      </c>
      <c r="E103" s="146">
        <f>Program!W12</f>
        <v/>
      </c>
      <c r="F103" s="147">
        <f>Program!N12</f>
        <v/>
      </c>
      <c r="G103" s="146">
        <f>Program!O12</f>
        <v/>
      </c>
      <c r="H103" s="147">
        <f>Program!X12</f>
        <v/>
      </c>
    </row>
    <row r="104" outlineLevel="1" ht="15" customHeight="1" s="91">
      <c r="A104" s="138">
        <f>10</f>
        <v/>
      </c>
      <c r="B104" s="146">
        <f>Program!C13</f>
        <v/>
      </c>
      <c r="C104" s="146">
        <f>Program!A13</f>
        <v/>
      </c>
      <c r="D104" s="146">
        <f>Program!V13</f>
        <v/>
      </c>
      <c r="E104" s="146">
        <f>Program!W13</f>
        <v/>
      </c>
      <c r="F104" s="147">
        <f>Program!N13</f>
        <v/>
      </c>
      <c r="G104" s="146">
        <f>Program!O13</f>
        <v/>
      </c>
      <c r="H104" s="147">
        <f>Program!X13</f>
        <v/>
      </c>
    </row>
    <row r="105" outlineLevel="1" ht="15" customHeight="1" s="91">
      <c r="A105" s="138">
        <f>11</f>
        <v/>
      </c>
      <c r="B105" s="146">
        <f>Program!C14</f>
        <v/>
      </c>
      <c r="C105" s="146">
        <f>Program!A14</f>
        <v/>
      </c>
      <c r="D105" s="146">
        <f>Program!V14</f>
        <v/>
      </c>
      <c r="E105" s="146">
        <f>Program!W14</f>
        <v/>
      </c>
      <c r="F105" s="147">
        <f>Program!N14</f>
        <v/>
      </c>
      <c r="G105" s="146">
        <f>Program!O14</f>
        <v/>
      </c>
      <c r="H105" s="147">
        <f>Program!X14</f>
        <v/>
      </c>
    </row>
    <row r="106" outlineLevel="1" ht="15" customHeight="1" s="91">
      <c r="A106" s="138">
        <f>12</f>
        <v/>
      </c>
      <c r="B106" s="146">
        <f>Program!C15</f>
        <v/>
      </c>
      <c r="C106" s="146">
        <f>Program!A15</f>
        <v/>
      </c>
      <c r="D106" s="146">
        <f>Program!V15</f>
        <v/>
      </c>
      <c r="E106" s="146">
        <f>Program!W15</f>
        <v/>
      </c>
      <c r="F106" s="147">
        <f>Program!N15</f>
        <v/>
      </c>
      <c r="G106" s="146">
        <f>Program!O15</f>
        <v/>
      </c>
      <c r="H106" s="147">
        <f>Program!X15</f>
        <v/>
      </c>
    </row>
    <row r="107" outlineLevel="1" ht="15" customHeight="1" s="91">
      <c r="A107" s="138">
        <f>13</f>
        <v/>
      </c>
      <c r="B107" s="146">
        <f>Program!C16</f>
        <v/>
      </c>
      <c r="C107" s="146">
        <f>Program!A16</f>
        <v/>
      </c>
      <c r="D107" s="146">
        <f>Program!V16</f>
        <v/>
      </c>
      <c r="E107" s="146">
        <f>Program!W16</f>
        <v/>
      </c>
      <c r="F107" s="147">
        <f>Program!N16</f>
        <v/>
      </c>
      <c r="G107" s="146">
        <f>Program!O16</f>
        <v/>
      </c>
      <c r="H107" s="147">
        <f>Program!X16</f>
        <v/>
      </c>
    </row>
    <row r="108" outlineLevel="1" ht="15" customHeight="1" s="91">
      <c r="A108" s="138">
        <f>14</f>
        <v/>
      </c>
      <c r="B108" s="146">
        <f>Program!C17</f>
        <v/>
      </c>
      <c r="C108" s="146">
        <f>Program!A17</f>
        <v/>
      </c>
      <c r="D108" s="146">
        <f>Program!V17</f>
        <v/>
      </c>
      <c r="E108" s="146">
        <f>Program!W17</f>
        <v/>
      </c>
      <c r="F108" s="147">
        <f>Program!N17</f>
        <v/>
      </c>
      <c r="G108" s="146">
        <f>Program!O17</f>
        <v/>
      </c>
      <c r="H108" s="147">
        <f>Program!X17</f>
        <v/>
      </c>
    </row>
    <row r="109" outlineLevel="1" ht="15" customHeight="1" s="91">
      <c r="A109" s="138">
        <f>15</f>
        <v/>
      </c>
      <c r="B109" s="146">
        <f>Program!C18</f>
        <v/>
      </c>
      <c r="C109" s="146">
        <f>Program!A18</f>
        <v/>
      </c>
      <c r="D109" s="146">
        <f>Program!V18</f>
        <v/>
      </c>
      <c r="E109" s="146">
        <f>Program!W18</f>
        <v/>
      </c>
      <c r="F109" s="147">
        <f>Program!N18</f>
        <v/>
      </c>
      <c r="G109" s="146">
        <f>Program!O18</f>
        <v/>
      </c>
      <c r="H109" s="147">
        <f>Program!X18</f>
        <v/>
      </c>
    </row>
    <row r="110" outlineLevel="1" ht="15" customHeight="1" s="91">
      <c r="A110" s="138">
        <f>16</f>
        <v/>
      </c>
      <c r="B110" s="146">
        <f>Program!C19</f>
        <v/>
      </c>
      <c r="C110" s="146">
        <f>Program!A19</f>
        <v/>
      </c>
      <c r="D110" s="146">
        <f>Program!V19</f>
        <v/>
      </c>
      <c r="E110" s="146">
        <f>Program!W19</f>
        <v/>
      </c>
      <c r="F110" s="147">
        <f>Program!N19</f>
        <v/>
      </c>
      <c r="G110" s="146">
        <f>Program!O19</f>
        <v/>
      </c>
      <c r="H110" s="147">
        <f>Program!X19</f>
        <v/>
      </c>
    </row>
    <row r="111" outlineLevel="1" ht="15" customHeight="1" s="91">
      <c r="A111" s="138">
        <f>17</f>
        <v/>
      </c>
      <c r="B111" s="146">
        <f>Program!C20</f>
        <v/>
      </c>
      <c r="C111" s="146">
        <f>Program!A20</f>
        <v/>
      </c>
      <c r="D111" s="146">
        <f>Program!V20</f>
        <v/>
      </c>
      <c r="E111" s="146">
        <f>Program!W20</f>
        <v/>
      </c>
      <c r="F111" s="147">
        <f>Program!N20</f>
        <v/>
      </c>
      <c r="G111" s="146">
        <f>Program!O20</f>
        <v/>
      </c>
      <c r="H111" s="147">
        <f>Program!X20</f>
        <v/>
      </c>
    </row>
    <row r="112" outlineLevel="1" ht="15" customHeight="1" s="91">
      <c r="A112" s="138">
        <f>18</f>
        <v/>
      </c>
      <c r="B112" s="146">
        <f>Program!C21</f>
        <v/>
      </c>
      <c r="C112" s="146">
        <f>Program!A21</f>
        <v/>
      </c>
      <c r="D112" s="146">
        <f>Program!V21</f>
        <v/>
      </c>
      <c r="E112" s="146">
        <f>Program!W21</f>
        <v/>
      </c>
      <c r="F112" s="147">
        <f>Program!N21</f>
        <v/>
      </c>
      <c r="G112" s="146">
        <f>Program!O21</f>
        <v/>
      </c>
      <c r="H112" s="147">
        <f>Program!X21</f>
        <v/>
      </c>
    </row>
    <row r="113" outlineLevel="1" ht="15" customHeight="1" s="91">
      <c r="A113" s="138">
        <f>19</f>
        <v/>
      </c>
      <c r="B113" s="146">
        <f>Program!C22</f>
        <v/>
      </c>
      <c r="C113" s="146">
        <f>Program!A22</f>
        <v/>
      </c>
      <c r="D113" s="146">
        <f>Program!V22</f>
        <v/>
      </c>
      <c r="E113" s="146">
        <f>Program!W22</f>
        <v/>
      </c>
      <c r="F113" s="147">
        <f>Program!N22</f>
        <v/>
      </c>
      <c r="G113" s="146">
        <f>Program!O22</f>
        <v/>
      </c>
      <c r="H113" s="147">
        <f>Program!X22</f>
        <v/>
      </c>
    </row>
    <row r="114" outlineLevel="1" ht="15" customHeight="1" s="91">
      <c r="A114" s="138">
        <f>20</f>
        <v/>
      </c>
      <c r="B114" s="146">
        <f>Program!C23</f>
        <v/>
      </c>
      <c r="C114" s="146">
        <f>Program!A23</f>
        <v/>
      </c>
      <c r="D114" s="146">
        <f>Program!V23</f>
        <v/>
      </c>
      <c r="E114" s="146">
        <f>Program!W23</f>
        <v/>
      </c>
      <c r="F114" s="147">
        <f>Program!N23</f>
        <v/>
      </c>
      <c r="G114" s="146">
        <f>Program!O23</f>
        <v/>
      </c>
      <c r="H114" s="147">
        <f>Program!X23</f>
        <v/>
      </c>
    </row>
    <row r="115" outlineLevel="1" ht="15" customHeight="1" s="91">
      <c r="A115" s="138">
        <f>21</f>
        <v/>
      </c>
      <c r="B115" s="146">
        <f>Program!C24</f>
        <v/>
      </c>
      <c r="C115" s="146">
        <f>Program!A24</f>
        <v/>
      </c>
      <c r="D115" s="146">
        <f>Program!V24</f>
        <v/>
      </c>
      <c r="E115" s="146">
        <f>Program!W24</f>
        <v/>
      </c>
      <c r="F115" s="147">
        <f>Program!N24</f>
        <v/>
      </c>
      <c r="G115" s="146">
        <f>Program!O24</f>
        <v/>
      </c>
      <c r="H115" s="147">
        <f>Program!X24</f>
        <v/>
      </c>
    </row>
    <row r="116" outlineLevel="1" ht="15" customHeight="1" s="91">
      <c r="A116" s="138">
        <f>22</f>
        <v/>
      </c>
      <c r="B116" s="146">
        <f>Program!C25</f>
        <v/>
      </c>
      <c r="C116" s="146">
        <f>Program!A25</f>
        <v/>
      </c>
      <c r="D116" s="146">
        <f>Program!V25</f>
        <v/>
      </c>
      <c r="E116" s="146">
        <f>Program!W25</f>
        <v/>
      </c>
      <c r="F116" s="147">
        <f>Program!N25</f>
        <v/>
      </c>
      <c r="G116" s="146">
        <f>Program!O25</f>
        <v/>
      </c>
      <c r="H116" s="147">
        <f>Program!X25</f>
        <v/>
      </c>
    </row>
    <row r="117" outlineLevel="1" ht="15" customHeight="1" s="91">
      <c r="A117" s="138">
        <f>23</f>
        <v/>
      </c>
      <c r="B117" s="146">
        <f>Program!C26</f>
        <v/>
      </c>
      <c r="C117" s="146">
        <f>Program!A26</f>
        <v/>
      </c>
      <c r="D117" s="146">
        <f>Program!V26</f>
        <v/>
      </c>
      <c r="E117" s="146">
        <f>Program!W26</f>
        <v/>
      </c>
      <c r="F117" s="147">
        <f>Program!N26</f>
        <v/>
      </c>
      <c r="G117" s="146">
        <f>Program!O26</f>
        <v/>
      </c>
      <c r="H117" s="147">
        <f>Program!X26</f>
        <v/>
      </c>
    </row>
    <row r="118" outlineLevel="1" ht="15" customHeight="1" s="91">
      <c r="A118" s="138">
        <f>24</f>
        <v/>
      </c>
      <c r="B118" s="146">
        <f>Program!C27</f>
        <v/>
      </c>
      <c r="C118" s="146">
        <f>Program!A27</f>
        <v/>
      </c>
      <c r="D118" s="146">
        <f>Program!V27</f>
        <v/>
      </c>
      <c r="E118" s="146">
        <f>Program!W27</f>
        <v/>
      </c>
      <c r="F118" s="147">
        <f>Program!N27</f>
        <v/>
      </c>
      <c r="G118" s="146">
        <f>Program!O27</f>
        <v/>
      </c>
      <c r="H118" s="147">
        <f>Program!X27</f>
        <v/>
      </c>
    </row>
    <row r="119" outlineLevel="1" ht="15" customHeight="1" s="91">
      <c r="A119" s="138">
        <f>25</f>
        <v/>
      </c>
      <c r="B119" s="146">
        <f>Program!C28</f>
        <v/>
      </c>
      <c r="C119" s="146">
        <f>Program!A28</f>
        <v/>
      </c>
      <c r="D119" s="146">
        <f>Program!V28</f>
        <v/>
      </c>
      <c r="E119" s="146">
        <f>Program!W28</f>
        <v/>
      </c>
      <c r="F119" s="147">
        <f>Program!N28</f>
        <v/>
      </c>
      <c r="G119" s="146">
        <f>Program!O28</f>
        <v/>
      </c>
      <c r="H119" s="147">
        <f>Program!X28</f>
        <v/>
      </c>
    </row>
    <row r="120" outlineLevel="1" ht="15" customHeight="1" s="91">
      <c r="A120" s="138">
        <f>26</f>
        <v/>
      </c>
      <c r="B120" s="146">
        <f>Program!C29</f>
        <v/>
      </c>
      <c r="C120" s="146">
        <f>Program!A29</f>
        <v/>
      </c>
      <c r="D120" s="146">
        <f>Program!V29</f>
        <v/>
      </c>
      <c r="E120" s="146">
        <f>Program!W29</f>
        <v/>
      </c>
      <c r="F120" s="147">
        <f>Program!N29</f>
        <v/>
      </c>
      <c r="G120" s="146">
        <f>Program!O29</f>
        <v/>
      </c>
      <c r="H120" s="147">
        <f>Program!X29</f>
        <v/>
      </c>
    </row>
    <row r="121" outlineLevel="1" ht="15" customHeight="1" s="91">
      <c r="A121" s="138">
        <f>27</f>
        <v/>
      </c>
      <c r="B121" s="146">
        <f>Program!C30</f>
        <v/>
      </c>
      <c r="C121" s="146">
        <f>Program!A30</f>
        <v/>
      </c>
      <c r="D121" s="146">
        <f>Program!V30</f>
        <v/>
      </c>
      <c r="E121" s="146">
        <f>Program!W30</f>
        <v/>
      </c>
      <c r="F121" s="147">
        <f>Program!N30</f>
        <v/>
      </c>
      <c r="G121" s="146">
        <f>Program!O30</f>
        <v/>
      </c>
      <c r="H121" s="147">
        <f>Program!X30</f>
        <v/>
      </c>
    </row>
    <row r="122" outlineLevel="1" ht="15" customHeight="1" s="91">
      <c r="A122" s="138">
        <f>28</f>
        <v/>
      </c>
      <c r="B122" s="146">
        <f>Program!C31</f>
        <v/>
      </c>
      <c r="C122" s="146">
        <f>Program!A31</f>
        <v/>
      </c>
      <c r="D122" s="146">
        <f>Program!V31</f>
        <v/>
      </c>
      <c r="E122" s="146">
        <f>Program!W31</f>
        <v/>
      </c>
      <c r="F122" s="147">
        <f>Program!N31</f>
        <v/>
      </c>
      <c r="G122" s="146">
        <f>Program!O31</f>
        <v/>
      </c>
      <c r="H122" s="147">
        <f>Program!X31</f>
        <v/>
      </c>
    </row>
    <row r="123" outlineLevel="1" ht="15" customHeight="1" s="91">
      <c r="A123" s="138">
        <f>29</f>
        <v/>
      </c>
      <c r="B123" s="146">
        <f>Program!C32</f>
        <v/>
      </c>
      <c r="C123" s="146">
        <f>Program!A32</f>
        <v/>
      </c>
      <c r="D123" s="146">
        <f>Program!V32</f>
        <v/>
      </c>
      <c r="E123" s="146">
        <f>Program!W32</f>
        <v/>
      </c>
      <c r="F123" s="147">
        <f>Program!N32</f>
        <v/>
      </c>
      <c r="G123" s="146">
        <f>Program!O32</f>
        <v/>
      </c>
      <c r="H123" s="147">
        <f>Program!X32</f>
        <v/>
      </c>
    </row>
    <row r="124" outlineLevel="1" ht="15" customHeight="1" s="91">
      <c r="A124" s="138">
        <f>30</f>
        <v/>
      </c>
      <c r="B124" s="146">
        <f>Program!C33</f>
        <v/>
      </c>
      <c r="C124" s="146">
        <f>Program!A33</f>
        <v/>
      </c>
      <c r="D124" s="146">
        <f>Program!V33</f>
        <v/>
      </c>
      <c r="E124" s="146">
        <f>Program!W33</f>
        <v/>
      </c>
      <c r="F124" s="147">
        <f>Program!N33</f>
        <v/>
      </c>
      <c r="G124" s="146">
        <f>Program!O33</f>
        <v/>
      </c>
      <c r="H124" s="147">
        <f>Program!X33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2">
    <mergeCell ref="A1:BB1"/>
    <mergeCell ref="A92:H9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A2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1"/>
  <cols>
    <col width="28" customWidth="1" style="90" min="1" max="1"/>
    <col width="6" customWidth="1" style="90" min="2" max="2"/>
    <col width="16" customWidth="1" style="90" min="3" max="3"/>
    <col width="13" customWidth="1" style="90" min="4" max="53"/>
  </cols>
  <sheetData>
    <row r="1" ht="36" customHeight="1" s="91">
      <c r="A1" s="136" t="inlineStr">
        <is>
          <t>PROJECT CASH FLOW (Unlevered)  التدفقات النقدية للمشروع</t>
        </is>
      </c>
    </row>
    <row r="3" ht="15" customHeight="1" s="91">
      <c r="A3" s="105" t="inlineStr">
        <is>
          <t>Line Item</t>
        </is>
      </c>
      <c r="B3" s="105" t="inlineStr">
        <is>
          <t>Unit</t>
        </is>
      </c>
      <c r="C3" s="105" t="inlineStr">
        <is>
          <t>Total</t>
        </is>
      </c>
      <c r="D3" s="137">
        <f>$C171+0</f>
        <v/>
      </c>
      <c r="E3" s="137">
        <f>$C171+1</f>
        <v/>
      </c>
      <c r="F3" s="137">
        <f>$C171+2</f>
        <v/>
      </c>
      <c r="G3" s="137">
        <f>$C171+3</f>
        <v/>
      </c>
      <c r="H3" s="137">
        <f>$C171+4</f>
        <v/>
      </c>
      <c r="I3" s="137">
        <f>$C171+5</f>
        <v/>
      </c>
      <c r="J3" s="137">
        <f>$C171+6</f>
        <v/>
      </c>
      <c r="K3" s="137">
        <f>$C171+7</f>
        <v/>
      </c>
      <c r="L3" s="137">
        <f>$C171+8</f>
        <v/>
      </c>
      <c r="M3" s="137">
        <f>$C171+9</f>
        <v/>
      </c>
      <c r="N3" s="137">
        <f>$C171+10</f>
        <v/>
      </c>
      <c r="O3" s="137">
        <f>$C171+11</f>
        <v/>
      </c>
      <c r="P3" s="137">
        <f>$C171+12</f>
        <v/>
      </c>
      <c r="Q3" s="137">
        <f>$C171+13</f>
        <v/>
      </c>
      <c r="R3" s="137">
        <f>$C171+14</f>
        <v/>
      </c>
      <c r="S3" s="137">
        <f>$C171+15</f>
        <v/>
      </c>
      <c r="T3" s="137">
        <f>$C171+16</f>
        <v/>
      </c>
      <c r="U3" s="137">
        <f>$C171+17</f>
        <v/>
      </c>
      <c r="V3" s="137">
        <f>$C171+18</f>
        <v/>
      </c>
      <c r="W3" s="137">
        <f>$C171+19</f>
        <v/>
      </c>
      <c r="X3" s="137">
        <f>$C171+20</f>
        <v/>
      </c>
      <c r="Y3" s="137">
        <f>$C171+21</f>
        <v/>
      </c>
      <c r="Z3" s="137">
        <f>$C171+22</f>
        <v/>
      </c>
      <c r="AA3" s="137">
        <f>$C171+23</f>
        <v/>
      </c>
      <c r="AB3" s="137">
        <f>$C171+24</f>
        <v/>
      </c>
      <c r="AC3" s="137">
        <f>$C171+25</f>
        <v/>
      </c>
      <c r="AD3" s="137">
        <f>$C171+26</f>
        <v/>
      </c>
      <c r="AE3" s="137">
        <f>$C171+27</f>
        <v/>
      </c>
      <c r="AF3" s="137">
        <f>$C171+28</f>
        <v/>
      </c>
      <c r="AG3" s="137">
        <f>$C171+29</f>
        <v/>
      </c>
      <c r="AH3" s="137">
        <f>$C171+30</f>
        <v/>
      </c>
      <c r="AI3" s="137">
        <f>$C171+31</f>
        <v/>
      </c>
      <c r="AJ3" s="137">
        <f>$C171+32</f>
        <v/>
      </c>
      <c r="AK3" s="137">
        <f>$C171+33</f>
        <v/>
      </c>
      <c r="AL3" s="137">
        <f>$C171+34</f>
        <v/>
      </c>
      <c r="AM3" s="137">
        <f>$C171+35</f>
        <v/>
      </c>
      <c r="AN3" s="137">
        <f>$C171+36</f>
        <v/>
      </c>
      <c r="AO3" s="137">
        <f>$C171+37</f>
        <v/>
      </c>
      <c r="AP3" s="137">
        <f>$C171+38</f>
        <v/>
      </c>
      <c r="AQ3" s="137">
        <f>$C171+39</f>
        <v/>
      </c>
      <c r="AR3" s="137">
        <f>$C171+40</f>
        <v/>
      </c>
      <c r="AS3" s="137">
        <f>$C171+41</f>
        <v/>
      </c>
      <c r="AT3" s="137">
        <f>$C171+42</f>
        <v/>
      </c>
      <c r="AU3" s="137">
        <f>$C171+43</f>
        <v/>
      </c>
      <c r="AV3" s="137">
        <f>$C171+44</f>
        <v/>
      </c>
      <c r="AW3" s="137">
        <f>$C171+45</f>
        <v/>
      </c>
      <c r="AX3" s="137">
        <f>$C171+46</f>
        <v/>
      </c>
      <c r="AY3" s="137">
        <f>$C171+47</f>
        <v/>
      </c>
      <c r="AZ3" s="137">
        <f>$C171+48</f>
        <v/>
      </c>
      <c r="BA3" s="137">
        <f>$C171+49</f>
        <v/>
      </c>
    </row>
    <row r="4" ht="15" customHeight="1" s="91">
      <c r="A4" s="139" t="inlineStr">
        <is>
          <t>ZAN 1</t>
        </is>
      </c>
      <c r="B4" s="140" t="n"/>
      <c r="C4" s="140" t="n"/>
      <c r="D4" s="140" t="n"/>
      <c r="E4" s="140" t="n"/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0" t="n"/>
      <c r="U4" s="140" t="n"/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0" t="n"/>
      <c r="AE4" s="140" t="n"/>
      <c r="AF4" s="140" t="n"/>
      <c r="AG4" s="140" t="n"/>
      <c r="AH4" s="140" t="n"/>
      <c r="AI4" s="140" t="n"/>
      <c r="AJ4" s="140" t="n"/>
      <c r="AK4" s="140" t="n"/>
      <c r="AL4" s="140" t="n"/>
      <c r="AM4" s="140" t="n"/>
      <c r="AN4" s="140" t="n"/>
      <c r="AO4" s="140" t="n"/>
      <c r="AP4" s="140" t="n"/>
      <c r="AQ4" s="140" t="n"/>
      <c r="AR4" s="140" t="n"/>
      <c r="AS4" s="140" t="n"/>
      <c r="AT4" s="140" t="n"/>
      <c r="AU4" s="140" t="n"/>
      <c r="AV4" s="140" t="n"/>
      <c r="AW4" s="140" t="n"/>
      <c r="AX4" s="140" t="n"/>
      <c r="AY4" s="140" t="n"/>
      <c r="AZ4" s="140" t="n"/>
      <c r="BA4" s="140" t="n"/>
    </row>
    <row r="5" ht="15" customHeight="1" s="91">
      <c r="A5" s="129" t="inlineStr">
        <is>
          <t xml:space="preserve">  Income  الإيرادات</t>
        </is>
      </c>
      <c r="B5" s="129" t="inlineStr">
        <is>
          <t>SAR</t>
        </is>
      </c>
      <c r="C5" s="138">
        <f>SUM(D5:BA5)</f>
        <v/>
      </c>
      <c r="D5" s="138">
        <f>D175</f>
        <v/>
      </c>
      <c r="E5" s="138">
        <f>E175</f>
        <v/>
      </c>
      <c r="F5" s="138">
        <f>F175</f>
        <v/>
      </c>
      <c r="G5" s="138">
        <f>G175</f>
        <v/>
      </c>
      <c r="H5" s="138">
        <f>H175</f>
        <v/>
      </c>
      <c r="I5" s="138">
        <f>I175</f>
        <v/>
      </c>
      <c r="J5" s="138">
        <f>J175</f>
        <v/>
      </c>
      <c r="K5" s="138">
        <f>K175</f>
        <v/>
      </c>
      <c r="L5" s="138">
        <f>L175</f>
        <v/>
      </c>
      <c r="M5" s="138">
        <f>M175</f>
        <v/>
      </c>
      <c r="N5" s="138">
        <f>N175</f>
        <v/>
      </c>
      <c r="O5" s="138">
        <f>O175</f>
        <v/>
      </c>
      <c r="P5" s="138">
        <f>P175</f>
        <v/>
      </c>
      <c r="Q5" s="138">
        <f>Q175</f>
        <v/>
      </c>
      <c r="R5" s="138">
        <f>R175</f>
        <v/>
      </c>
      <c r="S5" s="138">
        <f>S175</f>
        <v/>
      </c>
      <c r="T5" s="138">
        <f>T175</f>
        <v/>
      </c>
      <c r="U5" s="138">
        <f>U175</f>
        <v/>
      </c>
      <c r="V5" s="138">
        <f>V175</f>
        <v/>
      </c>
      <c r="W5" s="138">
        <f>W175</f>
        <v/>
      </c>
      <c r="X5" s="138">
        <f>X175</f>
        <v/>
      </c>
      <c r="Y5" s="138">
        <f>Y175</f>
        <v/>
      </c>
      <c r="Z5" s="138">
        <f>Z175</f>
        <v/>
      </c>
      <c r="AA5" s="138">
        <f>AA175</f>
        <v/>
      </c>
      <c r="AB5" s="138">
        <f>AB175</f>
        <v/>
      </c>
      <c r="AC5" s="138">
        <f>AC175</f>
        <v/>
      </c>
      <c r="AD5" s="138">
        <f>AD175</f>
        <v/>
      </c>
      <c r="AE5" s="138">
        <f>AE175</f>
        <v/>
      </c>
      <c r="AF5" s="138">
        <f>AF175</f>
        <v/>
      </c>
      <c r="AG5" s="138">
        <f>AG175</f>
        <v/>
      </c>
      <c r="AH5" s="138">
        <f>AH175</f>
        <v/>
      </c>
      <c r="AI5" s="138">
        <f>AI175</f>
        <v/>
      </c>
      <c r="AJ5" s="138">
        <f>AJ175</f>
        <v/>
      </c>
      <c r="AK5" s="138">
        <f>AK175</f>
        <v/>
      </c>
      <c r="AL5" s="138">
        <f>AL175</f>
        <v/>
      </c>
      <c r="AM5" s="138">
        <f>AM175</f>
        <v/>
      </c>
      <c r="AN5" s="138">
        <f>AN175</f>
        <v/>
      </c>
      <c r="AO5" s="138">
        <f>AO175</f>
        <v/>
      </c>
      <c r="AP5" s="138">
        <f>AP175</f>
        <v/>
      </c>
      <c r="AQ5" s="138">
        <f>AQ175</f>
        <v/>
      </c>
      <c r="AR5" s="138">
        <f>AR175</f>
        <v/>
      </c>
      <c r="AS5" s="138">
        <f>AS175</f>
        <v/>
      </c>
      <c r="AT5" s="138">
        <f>AT175</f>
        <v/>
      </c>
      <c r="AU5" s="138">
        <f>AU175</f>
        <v/>
      </c>
      <c r="AV5" s="138">
        <f>AV175</f>
        <v/>
      </c>
      <c r="AW5" s="138">
        <f>AW175</f>
        <v/>
      </c>
      <c r="AX5" s="138">
        <f>AX175</f>
        <v/>
      </c>
      <c r="AY5" s="138">
        <f>AY175</f>
        <v/>
      </c>
      <c r="AZ5" s="138">
        <f>AZ175</f>
        <v/>
      </c>
      <c r="BA5" s="138">
        <f>BA175</f>
        <v/>
      </c>
    </row>
    <row r="6" ht="15" customHeight="1" s="91">
      <c r="A6" s="129" t="inlineStr">
        <is>
          <t xml:space="preserve">  Land Rent  إيجار الأرض</t>
        </is>
      </c>
      <c r="B6" s="129" t="inlineStr">
        <is>
          <t>SAR</t>
        </is>
      </c>
      <c r="C6" s="138">
        <f>SUM(D6:BA6)</f>
        <v/>
      </c>
      <c r="D6" s="138">
        <f>IF($E171="Lease",-D210,IF(AND($E171="Purchase",D$3=$C171),-$G171*$C$172,0))</f>
        <v/>
      </c>
      <c r="E6" s="138">
        <f>IF($E171="Lease",-E210,IF(AND($E171="Purchase",E$3=$C171),-$G171*$C$172,0))</f>
        <v/>
      </c>
      <c r="F6" s="138">
        <f>IF($E171="Lease",-F210,IF(AND($E171="Purchase",F$3=$C171),-$G171*$C$172,0))</f>
        <v/>
      </c>
      <c r="G6" s="138">
        <f>IF($E171="Lease",-G210,IF(AND($E171="Purchase",G$3=$C171),-$G171*$C$172,0))</f>
        <v/>
      </c>
      <c r="H6" s="138">
        <f>IF($E171="Lease",-H210,IF(AND($E171="Purchase",H$3=$C171),-$G171*$C$172,0))</f>
        <v/>
      </c>
      <c r="I6" s="138">
        <f>IF($E171="Lease",-I210,IF(AND($E171="Purchase",I$3=$C171),-$G171*$C$172,0))</f>
        <v/>
      </c>
      <c r="J6" s="138">
        <f>IF($E171="Lease",-J210,IF(AND($E171="Purchase",J$3=$C171),-$G171*$C$172,0))</f>
        <v/>
      </c>
      <c r="K6" s="138">
        <f>IF($E171="Lease",-K210,IF(AND($E171="Purchase",K$3=$C171),-$G171*$C$172,0))</f>
        <v/>
      </c>
      <c r="L6" s="138">
        <f>IF($E171="Lease",-L210,IF(AND($E171="Purchase",L$3=$C171),-$G171*$C$172,0))</f>
        <v/>
      </c>
      <c r="M6" s="138">
        <f>IF($E171="Lease",-M210,IF(AND($E171="Purchase",M$3=$C171),-$G171*$C$172,0))</f>
        <v/>
      </c>
      <c r="N6" s="138">
        <f>IF($E171="Lease",-N210,IF(AND($E171="Purchase",N$3=$C171),-$G171*$C$172,0))</f>
        <v/>
      </c>
      <c r="O6" s="138">
        <f>IF($E171="Lease",-O210,IF(AND($E171="Purchase",O$3=$C171),-$G171*$C$172,0))</f>
        <v/>
      </c>
      <c r="P6" s="138">
        <f>IF($E171="Lease",-P210,IF(AND($E171="Purchase",P$3=$C171),-$G171*$C$172,0))</f>
        <v/>
      </c>
      <c r="Q6" s="138">
        <f>IF($E171="Lease",-Q210,IF(AND($E171="Purchase",Q$3=$C171),-$G171*$C$172,0))</f>
        <v/>
      </c>
      <c r="R6" s="138">
        <f>IF($E171="Lease",-R210,IF(AND($E171="Purchase",R$3=$C171),-$G171*$C$172,0))</f>
        <v/>
      </c>
      <c r="S6" s="138">
        <f>IF($E171="Lease",-S210,IF(AND($E171="Purchase",S$3=$C171),-$G171*$C$172,0))</f>
        <v/>
      </c>
      <c r="T6" s="138">
        <f>IF($E171="Lease",-T210,IF(AND($E171="Purchase",T$3=$C171),-$G171*$C$172,0))</f>
        <v/>
      </c>
      <c r="U6" s="138">
        <f>IF($E171="Lease",-U210,IF(AND($E171="Purchase",U$3=$C171),-$G171*$C$172,0))</f>
        <v/>
      </c>
      <c r="V6" s="138">
        <f>IF($E171="Lease",-V210,IF(AND($E171="Purchase",V$3=$C171),-$G171*$C$172,0))</f>
        <v/>
      </c>
      <c r="W6" s="138">
        <f>IF($E171="Lease",-W210,IF(AND($E171="Purchase",W$3=$C171),-$G171*$C$172,0))</f>
        <v/>
      </c>
      <c r="X6" s="138">
        <f>IF($E171="Lease",-X210,IF(AND($E171="Purchase",X$3=$C171),-$G171*$C$172,0))</f>
        <v/>
      </c>
      <c r="Y6" s="138">
        <f>IF($E171="Lease",-Y210,IF(AND($E171="Purchase",Y$3=$C171),-$G171*$C$172,0))</f>
        <v/>
      </c>
      <c r="Z6" s="138">
        <f>IF($E171="Lease",-Z210,IF(AND($E171="Purchase",Z$3=$C171),-$G171*$C$172,0))</f>
        <v/>
      </c>
      <c r="AA6" s="138">
        <f>IF($E171="Lease",-AA210,IF(AND($E171="Purchase",AA$3=$C171),-$G171*$C$172,0))</f>
        <v/>
      </c>
      <c r="AB6" s="138">
        <f>IF($E171="Lease",-AB210,IF(AND($E171="Purchase",AB$3=$C171),-$G171*$C$172,0))</f>
        <v/>
      </c>
      <c r="AC6" s="138">
        <f>IF($E171="Lease",-AC210,IF(AND($E171="Purchase",AC$3=$C171),-$G171*$C$172,0))</f>
        <v/>
      </c>
      <c r="AD6" s="138">
        <f>IF($E171="Lease",-AD210,IF(AND($E171="Purchase",AD$3=$C171),-$G171*$C$172,0))</f>
        <v/>
      </c>
      <c r="AE6" s="138">
        <f>IF($E171="Lease",-AE210,IF(AND($E171="Purchase",AE$3=$C171),-$G171*$C$172,0))</f>
        <v/>
      </c>
      <c r="AF6" s="138">
        <f>IF($E171="Lease",-AF210,IF(AND($E171="Purchase",AF$3=$C171),-$G171*$C$172,0))</f>
        <v/>
      </c>
      <c r="AG6" s="138">
        <f>IF($E171="Lease",-AG210,IF(AND($E171="Purchase",AG$3=$C171),-$G171*$C$172,0))</f>
        <v/>
      </c>
      <c r="AH6" s="138">
        <f>IF($E171="Lease",-AH210,IF(AND($E171="Purchase",AH$3=$C171),-$G171*$C$172,0))</f>
        <v/>
      </c>
      <c r="AI6" s="138">
        <f>IF($E171="Lease",-AI210,IF(AND($E171="Purchase",AI$3=$C171),-$G171*$C$172,0))</f>
        <v/>
      </c>
      <c r="AJ6" s="138">
        <f>IF($E171="Lease",-AJ210,IF(AND($E171="Purchase",AJ$3=$C171),-$G171*$C$172,0))</f>
        <v/>
      </c>
      <c r="AK6" s="138">
        <f>IF($E171="Lease",-AK210,IF(AND($E171="Purchase",AK$3=$C171),-$G171*$C$172,0))</f>
        <v/>
      </c>
      <c r="AL6" s="138">
        <f>IF($E171="Lease",-AL210,IF(AND($E171="Purchase",AL$3=$C171),-$G171*$C$172,0))</f>
        <v/>
      </c>
      <c r="AM6" s="138">
        <f>IF($E171="Lease",-AM210,IF(AND($E171="Purchase",AM$3=$C171),-$G171*$C$172,0))</f>
        <v/>
      </c>
      <c r="AN6" s="138">
        <f>IF($E171="Lease",-AN210,IF(AND($E171="Purchase",AN$3=$C171),-$G171*$C$172,0))</f>
        <v/>
      </c>
      <c r="AO6" s="138">
        <f>IF($E171="Lease",-AO210,IF(AND($E171="Purchase",AO$3=$C171),-$G171*$C$172,0))</f>
        <v/>
      </c>
      <c r="AP6" s="138">
        <f>IF($E171="Lease",-AP210,IF(AND($E171="Purchase",AP$3=$C171),-$G171*$C$172,0))</f>
        <v/>
      </c>
      <c r="AQ6" s="138">
        <f>IF($E171="Lease",-AQ210,IF(AND($E171="Purchase",AQ$3=$C171),-$G171*$C$172,0))</f>
        <v/>
      </c>
      <c r="AR6" s="138">
        <f>IF($E171="Lease",-AR210,IF(AND($E171="Purchase",AR$3=$C171),-$G171*$C$172,0))</f>
        <v/>
      </c>
      <c r="AS6" s="138">
        <f>IF($E171="Lease",-AS210,IF(AND($E171="Purchase",AS$3=$C171),-$G171*$C$172,0))</f>
        <v/>
      </c>
      <c r="AT6" s="138">
        <f>IF($E171="Lease",-AT210,IF(AND($E171="Purchase",AT$3=$C171),-$G171*$C$172,0))</f>
        <v/>
      </c>
      <c r="AU6" s="138">
        <f>IF($E171="Lease",-AU210,IF(AND($E171="Purchase",AU$3=$C171),-$G171*$C$172,0))</f>
        <v/>
      </c>
      <c r="AV6" s="138">
        <f>IF($E171="Lease",-AV210,IF(AND($E171="Purchase",AV$3=$C171),-$G171*$C$172,0))</f>
        <v/>
      </c>
      <c r="AW6" s="138">
        <f>IF($E171="Lease",-AW210,IF(AND($E171="Purchase",AW$3=$C171),-$G171*$C$172,0))</f>
        <v/>
      </c>
      <c r="AX6" s="138">
        <f>IF($E171="Lease",-AX210,IF(AND($E171="Purchase",AX$3=$C171),-$G171*$C$172,0))</f>
        <v/>
      </c>
      <c r="AY6" s="138">
        <f>IF($E171="Lease",-AY210,IF(AND($E171="Purchase",AY$3=$C171),-$G171*$C$172,0))</f>
        <v/>
      </c>
      <c r="AZ6" s="138">
        <f>IF($E171="Lease",-AZ210,IF(AND($E171="Purchase",AZ$3=$C171),-$G171*$C$172,0))</f>
        <v/>
      </c>
      <c r="BA6" s="138">
        <f>IF($E171="Lease",-BA210,IF(AND($E171="Purchase",BA$3=$C171),-$G171*$C$172,0))</f>
        <v/>
      </c>
    </row>
    <row r="7" ht="15" customHeight="1" s="91">
      <c r="A7" s="129" t="inlineStr">
        <is>
          <t xml:space="preserve">  Development CAPEX  تكاليف التطوير</t>
        </is>
      </c>
      <c r="B7" s="129" t="inlineStr">
        <is>
          <t>SAR</t>
        </is>
      </c>
      <c r="C7" s="138">
        <f>SUM(D7:BA7)</f>
        <v/>
      </c>
      <c r="D7" s="138">
        <f>-D193</f>
        <v/>
      </c>
      <c r="E7" s="138">
        <f>-E193</f>
        <v/>
      </c>
      <c r="F7" s="138">
        <f>-F193</f>
        <v/>
      </c>
      <c r="G7" s="138">
        <f>-G193</f>
        <v/>
      </c>
      <c r="H7" s="138">
        <f>-H193</f>
        <v/>
      </c>
      <c r="I7" s="138">
        <f>-I193</f>
        <v/>
      </c>
      <c r="J7" s="138">
        <f>-J193</f>
        <v/>
      </c>
      <c r="K7" s="138">
        <f>-K193</f>
        <v/>
      </c>
      <c r="L7" s="138">
        <f>-L193</f>
        <v/>
      </c>
      <c r="M7" s="138">
        <f>-M193</f>
        <v/>
      </c>
      <c r="N7" s="138">
        <f>-N193</f>
        <v/>
      </c>
      <c r="O7" s="138">
        <f>-O193</f>
        <v/>
      </c>
      <c r="P7" s="138">
        <f>-P193</f>
        <v/>
      </c>
      <c r="Q7" s="138">
        <f>-Q193</f>
        <v/>
      </c>
      <c r="R7" s="138">
        <f>-R193</f>
        <v/>
      </c>
      <c r="S7" s="138">
        <f>-S193</f>
        <v/>
      </c>
      <c r="T7" s="138">
        <f>-T193</f>
        <v/>
      </c>
      <c r="U7" s="138">
        <f>-U193</f>
        <v/>
      </c>
      <c r="V7" s="138">
        <f>-V193</f>
        <v/>
      </c>
      <c r="W7" s="138">
        <f>-W193</f>
        <v/>
      </c>
      <c r="X7" s="138">
        <f>-X193</f>
        <v/>
      </c>
      <c r="Y7" s="138">
        <f>-Y193</f>
        <v/>
      </c>
      <c r="Z7" s="138">
        <f>-Z193</f>
        <v/>
      </c>
      <c r="AA7" s="138">
        <f>-AA193</f>
        <v/>
      </c>
      <c r="AB7" s="138">
        <f>-AB193</f>
        <v/>
      </c>
      <c r="AC7" s="138">
        <f>-AC193</f>
        <v/>
      </c>
      <c r="AD7" s="138">
        <f>-AD193</f>
        <v/>
      </c>
      <c r="AE7" s="138">
        <f>-AE193</f>
        <v/>
      </c>
      <c r="AF7" s="138">
        <f>-AF193</f>
        <v/>
      </c>
      <c r="AG7" s="138">
        <f>-AG193</f>
        <v/>
      </c>
      <c r="AH7" s="138">
        <f>-AH193</f>
        <v/>
      </c>
      <c r="AI7" s="138">
        <f>-AI193</f>
        <v/>
      </c>
      <c r="AJ7" s="138">
        <f>-AJ193</f>
        <v/>
      </c>
      <c r="AK7" s="138">
        <f>-AK193</f>
        <v/>
      </c>
      <c r="AL7" s="138">
        <f>-AL193</f>
        <v/>
      </c>
      <c r="AM7" s="138">
        <f>-AM193</f>
        <v/>
      </c>
      <c r="AN7" s="138">
        <f>-AN193</f>
        <v/>
      </c>
      <c r="AO7" s="138">
        <f>-AO193</f>
        <v/>
      </c>
      <c r="AP7" s="138">
        <f>-AP193</f>
        <v/>
      </c>
      <c r="AQ7" s="138">
        <f>-AQ193</f>
        <v/>
      </c>
      <c r="AR7" s="138">
        <f>-AR193</f>
        <v/>
      </c>
      <c r="AS7" s="138">
        <f>-AS193</f>
        <v/>
      </c>
      <c r="AT7" s="138">
        <f>-AT193</f>
        <v/>
      </c>
      <c r="AU7" s="138">
        <f>-AU193</f>
        <v/>
      </c>
      <c r="AV7" s="138">
        <f>-AV193</f>
        <v/>
      </c>
      <c r="AW7" s="138">
        <f>-AW193</f>
        <v/>
      </c>
      <c r="AX7" s="138">
        <f>-AX193</f>
        <v/>
      </c>
      <c r="AY7" s="138">
        <f>-AY193</f>
        <v/>
      </c>
      <c r="AZ7" s="138">
        <f>-AZ193</f>
        <v/>
      </c>
      <c r="BA7" s="138">
        <f>-BA193</f>
        <v/>
      </c>
    </row>
    <row r="8" ht="15" customHeight="1" s="91">
      <c r="A8" s="141" t="inlineStr">
        <is>
          <t xml:space="preserve">  Net Cash Flow - ZAN 1</t>
        </is>
      </c>
      <c r="B8" s="129" t="inlineStr">
        <is>
          <t>SAR</t>
        </is>
      </c>
      <c r="C8" s="138">
        <f>SUM(D8:BA8)</f>
        <v/>
      </c>
      <c r="D8" s="138">
        <f>D5+D6+D7</f>
        <v/>
      </c>
      <c r="E8" s="138">
        <f>E5+E6+E7</f>
        <v/>
      </c>
      <c r="F8" s="138">
        <f>F5+F6+F7</f>
        <v/>
      </c>
      <c r="G8" s="138">
        <f>G5+G6+G7</f>
        <v/>
      </c>
      <c r="H8" s="138">
        <f>H5+H6+H7</f>
        <v/>
      </c>
      <c r="I8" s="138">
        <f>I5+I6+I7</f>
        <v/>
      </c>
      <c r="J8" s="138">
        <f>J5+J6+J7</f>
        <v/>
      </c>
      <c r="K8" s="138">
        <f>K5+K6+K7</f>
        <v/>
      </c>
      <c r="L8" s="138">
        <f>L5+L6+L7</f>
        <v/>
      </c>
      <c r="M8" s="138">
        <f>M5+M6+M7</f>
        <v/>
      </c>
      <c r="N8" s="138">
        <f>N5+N6+N7</f>
        <v/>
      </c>
      <c r="O8" s="138">
        <f>O5+O6+O7</f>
        <v/>
      </c>
      <c r="P8" s="138">
        <f>P5+P6+P7</f>
        <v/>
      </c>
      <c r="Q8" s="138">
        <f>Q5+Q6+Q7</f>
        <v/>
      </c>
      <c r="R8" s="138">
        <f>R5+R6+R7</f>
        <v/>
      </c>
      <c r="S8" s="138">
        <f>S5+S6+S7</f>
        <v/>
      </c>
      <c r="T8" s="138">
        <f>T5+T6+T7</f>
        <v/>
      </c>
      <c r="U8" s="138">
        <f>U5+U6+U7</f>
        <v/>
      </c>
      <c r="V8" s="138">
        <f>V5+V6+V7</f>
        <v/>
      </c>
      <c r="W8" s="138">
        <f>W5+W6+W7</f>
        <v/>
      </c>
      <c r="X8" s="138">
        <f>X5+X6+X7</f>
        <v/>
      </c>
      <c r="Y8" s="138">
        <f>Y5+Y6+Y7</f>
        <v/>
      </c>
      <c r="Z8" s="138">
        <f>Z5+Z6+Z7</f>
        <v/>
      </c>
      <c r="AA8" s="138">
        <f>AA5+AA6+AA7</f>
        <v/>
      </c>
      <c r="AB8" s="138">
        <f>AB5+AB6+AB7</f>
        <v/>
      </c>
      <c r="AC8" s="138">
        <f>AC5+AC6+AC7</f>
        <v/>
      </c>
      <c r="AD8" s="138">
        <f>AD5+AD6+AD7</f>
        <v/>
      </c>
      <c r="AE8" s="138">
        <f>AE5+AE6+AE7</f>
        <v/>
      </c>
      <c r="AF8" s="138">
        <f>AF5+AF6+AF7</f>
        <v/>
      </c>
      <c r="AG8" s="138">
        <f>AG5+AG6+AG7</f>
        <v/>
      </c>
      <c r="AH8" s="138">
        <f>AH5+AH6+AH7</f>
        <v/>
      </c>
      <c r="AI8" s="138">
        <f>AI5+AI6+AI7</f>
        <v/>
      </c>
      <c r="AJ8" s="138">
        <f>AJ5+AJ6+AJ7</f>
        <v/>
      </c>
      <c r="AK8" s="138">
        <f>AK5+AK6+AK7</f>
        <v/>
      </c>
      <c r="AL8" s="138">
        <f>AL5+AL6+AL7</f>
        <v/>
      </c>
      <c r="AM8" s="138">
        <f>AM5+AM6+AM7</f>
        <v/>
      </c>
      <c r="AN8" s="138">
        <f>AN5+AN6+AN7</f>
        <v/>
      </c>
      <c r="AO8" s="138">
        <f>AO5+AO6+AO7</f>
        <v/>
      </c>
      <c r="AP8" s="138">
        <f>AP5+AP6+AP7</f>
        <v/>
      </c>
      <c r="AQ8" s="138">
        <f>AQ5+AQ6+AQ7</f>
        <v/>
      </c>
      <c r="AR8" s="138">
        <f>AR5+AR6+AR7</f>
        <v/>
      </c>
      <c r="AS8" s="138">
        <f>AS5+AS6+AS7</f>
        <v/>
      </c>
      <c r="AT8" s="138">
        <f>AT5+AT6+AT7</f>
        <v/>
      </c>
      <c r="AU8" s="138">
        <f>AU5+AU6+AU7</f>
        <v/>
      </c>
      <c r="AV8" s="138">
        <f>AV5+AV6+AV7</f>
        <v/>
      </c>
      <c r="AW8" s="138">
        <f>AW5+AW6+AW7</f>
        <v/>
      </c>
      <c r="AX8" s="138">
        <f>AX5+AX6+AX7</f>
        <v/>
      </c>
      <c r="AY8" s="138">
        <f>AY5+AY6+AY7</f>
        <v/>
      </c>
      <c r="AZ8" s="138">
        <f>AZ5+AZ6+AZ7</f>
        <v/>
      </c>
      <c r="BA8" s="138">
        <f>BA5+BA6+BA7</f>
        <v/>
      </c>
    </row>
    <row r="9" ht="15" customHeight="1" s="91">
      <c r="A9" s="100" t="inlineStr">
        <is>
          <t xml:space="preserve">  IRR - ZAN 1</t>
        </is>
      </c>
      <c r="B9" s="129" t="inlineStr">
        <is>
          <t>%</t>
        </is>
      </c>
      <c r="C9" s="135">
        <f>IFERROR(IRR(D8:BA8),"-")</f>
        <v/>
      </c>
    </row>
    <row r="11" ht="15" customHeight="1" s="91">
      <c r="A11" s="139" t="inlineStr">
        <is>
          <t>ZAN 2</t>
        </is>
      </c>
      <c r="B11" s="140" t="n"/>
      <c r="C11" s="140" t="n"/>
      <c r="D11" s="140" t="n"/>
      <c r="E11" s="140" t="n"/>
      <c r="F11" s="140" t="n"/>
      <c r="G11" s="140" t="n"/>
      <c r="H11" s="140" t="n"/>
      <c r="I11" s="140" t="n"/>
      <c r="J11" s="140" t="n"/>
      <c r="K11" s="140" t="n"/>
      <c r="L11" s="140" t="n"/>
      <c r="M11" s="140" t="n"/>
      <c r="N11" s="140" t="n"/>
      <c r="O11" s="140" t="n"/>
      <c r="P11" s="140" t="n"/>
      <c r="Q11" s="140" t="n"/>
      <c r="R11" s="140" t="n"/>
      <c r="S11" s="140" t="n"/>
      <c r="T11" s="140" t="n"/>
      <c r="U11" s="140" t="n"/>
      <c r="V11" s="140" t="n"/>
      <c r="W11" s="140" t="n"/>
      <c r="X11" s="140" t="n"/>
      <c r="Y11" s="140" t="n"/>
      <c r="Z11" s="140" t="n"/>
      <c r="AA11" s="140" t="n"/>
      <c r="AB11" s="140" t="n"/>
      <c r="AC11" s="140" t="n"/>
      <c r="AD11" s="140" t="n"/>
      <c r="AE11" s="140" t="n"/>
      <c r="AF11" s="140" t="n"/>
      <c r="AG11" s="140" t="n"/>
      <c r="AH11" s="140" t="n"/>
      <c r="AI11" s="140" t="n"/>
      <c r="AJ11" s="140" t="n"/>
      <c r="AK11" s="140" t="n"/>
      <c r="AL11" s="140" t="n"/>
      <c r="AM11" s="140" t="n"/>
      <c r="AN11" s="140" t="n"/>
      <c r="AO11" s="140" t="n"/>
      <c r="AP11" s="140" t="n"/>
      <c r="AQ11" s="140" t="n"/>
      <c r="AR11" s="140" t="n"/>
      <c r="AS11" s="140" t="n"/>
      <c r="AT11" s="140" t="n"/>
      <c r="AU11" s="140" t="n"/>
      <c r="AV11" s="140" t="n"/>
      <c r="AW11" s="140" t="n"/>
      <c r="AX11" s="140" t="n"/>
      <c r="AY11" s="140" t="n"/>
      <c r="AZ11" s="140" t="n"/>
      <c r="BA11" s="140" t="n"/>
    </row>
    <row r="12" ht="15" customHeight="1" s="91">
      <c r="A12" s="129" t="inlineStr">
        <is>
          <t xml:space="preserve">  Income  الإيرادات</t>
        </is>
      </c>
      <c r="B12" s="129" t="inlineStr">
        <is>
          <t>SAR</t>
        </is>
      </c>
      <c r="C12" s="138">
        <f>SUM(D12:BA12)</f>
        <v/>
      </c>
      <c r="D12" s="138">
        <f>D176</f>
        <v/>
      </c>
      <c r="E12" s="138">
        <f>E176</f>
        <v/>
      </c>
      <c r="F12" s="138">
        <f>F176</f>
        <v/>
      </c>
      <c r="G12" s="138">
        <f>G176</f>
        <v/>
      </c>
      <c r="H12" s="138">
        <f>H176</f>
        <v/>
      </c>
      <c r="I12" s="138">
        <f>I176</f>
        <v/>
      </c>
      <c r="J12" s="138">
        <f>J176</f>
        <v/>
      </c>
      <c r="K12" s="138">
        <f>K176</f>
        <v/>
      </c>
      <c r="L12" s="138">
        <f>L176</f>
        <v/>
      </c>
      <c r="M12" s="138">
        <f>M176</f>
        <v/>
      </c>
      <c r="N12" s="138">
        <f>N176</f>
        <v/>
      </c>
      <c r="O12" s="138">
        <f>O176</f>
        <v/>
      </c>
      <c r="P12" s="138">
        <f>P176</f>
        <v/>
      </c>
      <c r="Q12" s="138">
        <f>Q176</f>
        <v/>
      </c>
      <c r="R12" s="138">
        <f>R176</f>
        <v/>
      </c>
      <c r="S12" s="138">
        <f>S176</f>
        <v/>
      </c>
      <c r="T12" s="138">
        <f>T176</f>
        <v/>
      </c>
      <c r="U12" s="138">
        <f>U176</f>
        <v/>
      </c>
      <c r="V12" s="138">
        <f>V176</f>
        <v/>
      </c>
      <c r="W12" s="138">
        <f>W176</f>
        <v/>
      </c>
      <c r="X12" s="138">
        <f>X176</f>
        <v/>
      </c>
      <c r="Y12" s="138">
        <f>Y176</f>
        <v/>
      </c>
      <c r="Z12" s="138">
        <f>Z176</f>
        <v/>
      </c>
      <c r="AA12" s="138">
        <f>AA176</f>
        <v/>
      </c>
      <c r="AB12" s="138">
        <f>AB176</f>
        <v/>
      </c>
      <c r="AC12" s="138">
        <f>AC176</f>
        <v/>
      </c>
      <c r="AD12" s="138">
        <f>AD176</f>
        <v/>
      </c>
      <c r="AE12" s="138">
        <f>AE176</f>
        <v/>
      </c>
      <c r="AF12" s="138">
        <f>AF176</f>
        <v/>
      </c>
      <c r="AG12" s="138">
        <f>AG176</f>
        <v/>
      </c>
      <c r="AH12" s="138">
        <f>AH176</f>
        <v/>
      </c>
      <c r="AI12" s="138">
        <f>AI176</f>
        <v/>
      </c>
      <c r="AJ12" s="138">
        <f>AJ176</f>
        <v/>
      </c>
      <c r="AK12" s="138">
        <f>AK176</f>
        <v/>
      </c>
      <c r="AL12" s="138">
        <f>AL176</f>
        <v/>
      </c>
      <c r="AM12" s="138">
        <f>AM176</f>
        <v/>
      </c>
      <c r="AN12" s="138">
        <f>AN176</f>
        <v/>
      </c>
      <c r="AO12" s="138">
        <f>AO176</f>
        <v/>
      </c>
      <c r="AP12" s="138">
        <f>AP176</f>
        <v/>
      </c>
      <c r="AQ12" s="138">
        <f>AQ176</f>
        <v/>
      </c>
      <c r="AR12" s="138">
        <f>AR176</f>
        <v/>
      </c>
      <c r="AS12" s="138">
        <f>AS176</f>
        <v/>
      </c>
      <c r="AT12" s="138">
        <f>AT176</f>
        <v/>
      </c>
      <c r="AU12" s="138">
        <f>AU176</f>
        <v/>
      </c>
      <c r="AV12" s="138">
        <f>AV176</f>
        <v/>
      </c>
      <c r="AW12" s="138">
        <f>AW176</f>
        <v/>
      </c>
      <c r="AX12" s="138">
        <f>AX176</f>
        <v/>
      </c>
      <c r="AY12" s="138">
        <f>AY176</f>
        <v/>
      </c>
      <c r="AZ12" s="138">
        <f>AZ176</f>
        <v/>
      </c>
      <c r="BA12" s="138">
        <f>BA176</f>
        <v/>
      </c>
    </row>
    <row r="13" ht="15" customHeight="1" s="91">
      <c r="A13" s="129" t="inlineStr">
        <is>
          <t xml:space="preserve">  Land Rent  إيجار الأرض</t>
        </is>
      </c>
      <c r="B13" s="129" t="inlineStr">
        <is>
          <t>SAR</t>
        </is>
      </c>
      <c r="C13" s="138">
        <f>SUM(D13:BA13)</f>
        <v/>
      </c>
      <c r="D13" s="138">
        <f>IF($E171="Lease",-D211,IF(AND($E171="Purchase",D$3=$C171),-$G171*$D$172,0))</f>
        <v/>
      </c>
      <c r="E13" s="138">
        <f>IF($E171="Lease",-E211,IF(AND($E171="Purchase",E$3=$C171),-$G171*$D$172,0))</f>
        <v/>
      </c>
      <c r="F13" s="138">
        <f>IF($E171="Lease",-F211,IF(AND($E171="Purchase",F$3=$C171),-$G171*$D$172,0))</f>
        <v/>
      </c>
      <c r="G13" s="138">
        <f>IF($E171="Lease",-G211,IF(AND($E171="Purchase",G$3=$C171),-$G171*$D$172,0))</f>
        <v/>
      </c>
      <c r="H13" s="138">
        <f>IF($E171="Lease",-H211,IF(AND($E171="Purchase",H$3=$C171),-$G171*$D$172,0))</f>
        <v/>
      </c>
      <c r="I13" s="138">
        <f>IF($E171="Lease",-I211,IF(AND($E171="Purchase",I$3=$C171),-$G171*$D$172,0))</f>
        <v/>
      </c>
      <c r="J13" s="138">
        <f>IF($E171="Lease",-J211,IF(AND($E171="Purchase",J$3=$C171),-$G171*$D$172,0))</f>
        <v/>
      </c>
      <c r="K13" s="138">
        <f>IF($E171="Lease",-K211,IF(AND($E171="Purchase",K$3=$C171),-$G171*$D$172,0))</f>
        <v/>
      </c>
      <c r="L13" s="138">
        <f>IF($E171="Lease",-L211,IF(AND($E171="Purchase",L$3=$C171),-$G171*$D$172,0))</f>
        <v/>
      </c>
      <c r="M13" s="138">
        <f>IF($E171="Lease",-M211,IF(AND($E171="Purchase",M$3=$C171),-$G171*$D$172,0))</f>
        <v/>
      </c>
      <c r="N13" s="138">
        <f>IF($E171="Lease",-N211,IF(AND($E171="Purchase",N$3=$C171),-$G171*$D$172,0))</f>
        <v/>
      </c>
      <c r="O13" s="138">
        <f>IF($E171="Lease",-O211,IF(AND($E171="Purchase",O$3=$C171),-$G171*$D$172,0))</f>
        <v/>
      </c>
      <c r="P13" s="138">
        <f>IF($E171="Lease",-P211,IF(AND($E171="Purchase",P$3=$C171),-$G171*$D$172,0))</f>
        <v/>
      </c>
      <c r="Q13" s="138">
        <f>IF($E171="Lease",-Q211,IF(AND($E171="Purchase",Q$3=$C171),-$G171*$D$172,0))</f>
        <v/>
      </c>
      <c r="R13" s="138">
        <f>IF($E171="Lease",-R211,IF(AND($E171="Purchase",R$3=$C171),-$G171*$D$172,0))</f>
        <v/>
      </c>
      <c r="S13" s="138">
        <f>IF($E171="Lease",-S211,IF(AND($E171="Purchase",S$3=$C171),-$G171*$D$172,0))</f>
        <v/>
      </c>
      <c r="T13" s="138">
        <f>IF($E171="Lease",-T211,IF(AND($E171="Purchase",T$3=$C171),-$G171*$D$172,0))</f>
        <v/>
      </c>
      <c r="U13" s="138">
        <f>IF($E171="Lease",-U211,IF(AND($E171="Purchase",U$3=$C171),-$G171*$D$172,0))</f>
        <v/>
      </c>
      <c r="V13" s="138">
        <f>IF($E171="Lease",-V211,IF(AND($E171="Purchase",V$3=$C171),-$G171*$D$172,0))</f>
        <v/>
      </c>
      <c r="W13" s="138">
        <f>IF($E171="Lease",-W211,IF(AND($E171="Purchase",W$3=$C171),-$G171*$D$172,0))</f>
        <v/>
      </c>
      <c r="X13" s="138">
        <f>IF($E171="Lease",-X211,IF(AND($E171="Purchase",X$3=$C171),-$G171*$D$172,0))</f>
        <v/>
      </c>
      <c r="Y13" s="138">
        <f>IF($E171="Lease",-Y211,IF(AND($E171="Purchase",Y$3=$C171),-$G171*$D$172,0))</f>
        <v/>
      </c>
      <c r="Z13" s="138">
        <f>IF($E171="Lease",-Z211,IF(AND($E171="Purchase",Z$3=$C171),-$G171*$D$172,0))</f>
        <v/>
      </c>
      <c r="AA13" s="138">
        <f>IF($E171="Lease",-AA211,IF(AND($E171="Purchase",AA$3=$C171),-$G171*$D$172,0))</f>
        <v/>
      </c>
      <c r="AB13" s="138">
        <f>IF($E171="Lease",-AB211,IF(AND($E171="Purchase",AB$3=$C171),-$G171*$D$172,0))</f>
        <v/>
      </c>
      <c r="AC13" s="138">
        <f>IF($E171="Lease",-AC211,IF(AND($E171="Purchase",AC$3=$C171),-$G171*$D$172,0))</f>
        <v/>
      </c>
      <c r="AD13" s="138">
        <f>IF($E171="Lease",-AD211,IF(AND($E171="Purchase",AD$3=$C171),-$G171*$D$172,0))</f>
        <v/>
      </c>
      <c r="AE13" s="138">
        <f>IF($E171="Lease",-AE211,IF(AND($E171="Purchase",AE$3=$C171),-$G171*$D$172,0))</f>
        <v/>
      </c>
      <c r="AF13" s="138">
        <f>IF($E171="Lease",-AF211,IF(AND($E171="Purchase",AF$3=$C171),-$G171*$D$172,0))</f>
        <v/>
      </c>
      <c r="AG13" s="138">
        <f>IF($E171="Lease",-AG211,IF(AND($E171="Purchase",AG$3=$C171),-$G171*$D$172,0))</f>
        <v/>
      </c>
      <c r="AH13" s="138">
        <f>IF($E171="Lease",-AH211,IF(AND($E171="Purchase",AH$3=$C171),-$G171*$D$172,0))</f>
        <v/>
      </c>
      <c r="AI13" s="138">
        <f>IF($E171="Lease",-AI211,IF(AND($E171="Purchase",AI$3=$C171),-$G171*$D$172,0))</f>
        <v/>
      </c>
      <c r="AJ13" s="138">
        <f>IF($E171="Lease",-AJ211,IF(AND($E171="Purchase",AJ$3=$C171),-$G171*$D$172,0))</f>
        <v/>
      </c>
      <c r="AK13" s="138">
        <f>IF($E171="Lease",-AK211,IF(AND($E171="Purchase",AK$3=$C171),-$G171*$D$172,0))</f>
        <v/>
      </c>
      <c r="AL13" s="138">
        <f>IF($E171="Lease",-AL211,IF(AND($E171="Purchase",AL$3=$C171),-$G171*$D$172,0))</f>
        <v/>
      </c>
      <c r="AM13" s="138">
        <f>IF($E171="Lease",-AM211,IF(AND($E171="Purchase",AM$3=$C171),-$G171*$D$172,0))</f>
        <v/>
      </c>
      <c r="AN13" s="138">
        <f>IF($E171="Lease",-AN211,IF(AND($E171="Purchase",AN$3=$C171),-$G171*$D$172,0))</f>
        <v/>
      </c>
      <c r="AO13" s="138">
        <f>IF($E171="Lease",-AO211,IF(AND($E171="Purchase",AO$3=$C171),-$G171*$D$172,0))</f>
        <v/>
      </c>
      <c r="AP13" s="138">
        <f>IF($E171="Lease",-AP211,IF(AND($E171="Purchase",AP$3=$C171),-$G171*$D$172,0))</f>
        <v/>
      </c>
      <c r="AQ13" s="138">
        <f>IF($E171="Lease",-AQ211,IF(AND($E171="Purchase",AQ$3=$C171),-$G171*$D$172,0))</f>
        <v/>
      </c>
      <c r="AR13" s="138">
        <f>IF($E171="Lease",-AR211,IF(AND($E171="Purchase",AR$3=$C171),-$G171*$D$172,0))</f>
        <v/>
      </c>
      <c r="AS13" s="138">
        <f>IF($E171="Lease",-AS211,IF(AND($E171="Purchase",AS$3=$C171),-$G171*$D$172,0))</f>
        <v/>
      </c>
      <c r="AT13" s="138">
        <f>IF($E171="Lease",-AT211,IF(AND($E171="Purchase",AT$3=$C171),-$G171*$D$172,0))</f>
        <v/>
      </c>
      <c r="AU13" s="138">
        <f>IF($E171="Lease",-AU211,IF(AND($E171="Purchase",AU$3=$C171),-$G171*$D$172,0))</f>
        <v/>
      </c>
      <c r="AV13" s="138">
        <f>IF($E171="Lease",-AV211,IF(AND($E171="Purchase",AV$3=$C171),-$G171*$D$172,0))</f>
        <v/>
      </c>
      <c r="AW13" s="138">
        <f>IF($E171="Lease",-AW211,IF(AND($E171="Purchase",AW$3=$C171),-$G171*$D$172,0))</f>
        <v/>
      </c>
      <c r="AX13" s="138">
        <f>IF($E171="Lease",-AX211,IF(AND($E171="Purchase",AX$3=$C171),-$G171*$D$172,0))</f>
        <v/>
      </c>
      <c r="AY13" s="138">
        <f>IF($E171="Lease",-AY211,IF(AND($E171="Purchase",AY$3=$C171),-$G171*$D$172,0))</f>
        <v/>
      </c>
      <c r="AZ13" s="138">
        <f>IF($E171="Lease",-AZ211,IF(AND($E171="Purchase",AZ$3=$C171),-$G171*$D$172,0))</f>
        <v/>
      </c>
      <c r="BA13" s="138">
        <f>IF($E171="Lease",-BA211,IF(AND($E171="Purchase",BA$3=$C171),-$G171*$D$172,0))</f>
        <v/>
      </c>
    </row>
    <row r="14" ht="15" customHeight="1" s="91">
      <c r="A14" s="129" t="inlineStr">
        <is>
          <t xml:space="preserve">  Development CAPEX  تكاليف التطوير</t>
        </is>
      </c>
      <c r="B14" s="129" t="inlineStr">
        <is>
          <t>SAR</t>
        </is>
      </c>
      <c r="C14" s="138">
        <f>SUM(D14:BA14)</f>
        <v/>
      </c>
      <c r="D14" s="138">
        <f>-D194</f>
        <v/>
      </c>
      <c r="E14" s="138">
        <f>-E194</f>
        <v/>
      </c>
      <c r="F14" s="138">
        <f>-F194</f>
        <v/>
      </c>
      <c r="G14" s="138">
        <f>-G194</f>
        <v/>
      </c>
      <c r="H14" s="138">
        <f>-H194</f>
        <v/>
      </c>
      <c r="I14" s="138">
        <f>-I194</f>
        <v/>
      </c>
      <c r="J14" s="138">
        <f>-J194</f>
        <v/>
      </c>
      <c r="K14" s="138">
        <f>-K194</f>
        <v/>
      </c>
      <c r="L14" s="138">
        <f>-L194</f>
        <v/>
      </c>
      <c r="M14" s="138">
        <f>-M194</f>
        <v/>
      </c>
      <c r="N14" s="138">
        <f>-N194</f>
        <v/>
      </c>
      <c r="O14" s="138">
        <f>-O194</f>
        <v/>
      </c>
      <c r="P14" s="138">
        <f>-P194</f>
        <v/>
      </c>
      <c r="Q14" s="138">
        <f>-Q194</f>
        <v/>
      </c>
      <c r="R14" s="138">
        <f>-R194</f>
        <v/>
      </c>
      <c r="S14" s="138">
        <f>-S194</f>
        <v/>
      </c>
      <c r="T14" s="138">
        <f>-T194</f>
        <v/>
      </c>
      <c r="U14" s="138">
        <f>-U194</f>
        <v/>
      </c>
      <c r="V14" s="138">
        <f>-V194</f>
        <v/>
      </c>
      <c r="W14" s="138">
        <f>-W194</f>
        <v/>
      </c>
      <c r="X14" s="138">
        <f>-X194</f>
        <v/>
      </c>
      <c r="Y14" s="138">
        <f>-Y194</f>
        <v/>
      </c>
      <c r="Z14" s="138">
        <f>-Z194</f>
        <v/>
      </c>
      <c r="AA14" s="138">
        <f>-AA194</f>
        <v/>
      </c>
      <c r="AB14" s="138">
        <f>-AB194</f>
        <v/>
      </c>
      <c r="AC14" s="138">
        <f>-AC194</f>
        <v/>
      </c>
      <c r="AD14" s="138">
        <f>-AD194</f>
        <v/>
      </c>
      <c r="AE14" s="138">
        <f>-AE194</f>
        <v/>
      </c>
      <c r="AF14" s="138">
        <f>-AF194</f>
        <v/>
      </c>
      <c r="AG14" s="138">
        <f>-AG194</f>
        <v/>
      </c>
      <c r="AH14" s="138">
        <f>-AH194</f>
        <v/>
      </c>
      <c r="AI14" s="138">
        <f>-AI194</f>
        <v/>
      </c>
      <c r="AJ14" s="138">
        <f>-AJ194</f>
        <v/>
      </c>
      <c r="AK14" s="138">
        <f>-AK194</f>
        <v/>
      </c>
      <c r="AL14" s="138">
        <f>-AL194</f>
        <v/>
      </c>
      <c r="AM14" s="138">
        <f>-AM194</f>
        <v/>
      </c>
      <c r="AN14" s="138">
        <f>-AN194</f>
        <v/>
      </c>
      <c r="AO14" s="138">
        <f>-AO194</f>
        <v/>
      </c>
      <c r="AP14" s="138">
        <f>-AP194</f>
        <v/>
      </c>
      <c r="AQ14" s="138">
        <f>-AQ194</f>
        <v/>
      </c>
      <c r="AR14" s="138">
        <f>-AR194</f>
        <v/>
      </c>
      <c r="AS14" s="138">
        <f>-AS194</f>
        <v/>
      </c>
      <c r="AT14" s="138">
        <f>-AT194</f>
        <v/>
      </c>
      <c r="AU14" s="138">
        <f>-AU194</f>
        <v/>
      </c>
      <c r="AV14" s="138">
        <f>-AV194</f>
        <v/>
      </c>
      <c r="AW14" s="138">
        <f>-AW194</f>
        <v/>
      </c>
      <c r="AX14" s="138">
        <f>-AX194</f>
        <v/>
      </c>
      <c r="AY14" s="138">
        <f>-AY194</f>
        <v/>
      </c>
      <c r="AZ14" s="138">
        <f>-AZ194</f>
        <v/>
      </c>
      <c r="BA14" s="138">
        <f>-BA194</f>
        <v/>
      </c>
    </row>
    <row r="15" ht="15" customHeight="1" s="91">
      <c r="A15" s="141" t="inlineStr">
        <is>
          <t xml:space="preserve">  Net Cash Flow - ZAN 2</t>
        </is>
      </c>
      <c r="B15" s="129" t="inlineStr">
        <is>
          <t>SAR</t>
        </is>
      </c>
      <c r="C15" s="138">
        <f>SUM(D15:BA15)</f>
        <v/>
      </c>
      <c r="D15" s="138">
        <f>D12+D13+D14</f>
        <v/>
      </c>
      <c r="E15" s="138">
        <f>E12+E13+E14</f>
        <v/>
      </c>
      <c r="F15" s="138">
        <f>F12+F13+F14</f>
        <v/>
      </c>
      <c r="G15" s="138">
        <f>G12+G13+G14</f>
        <v/>
      </c>
      <c r="H15" s="138">
        <f>H12+H13+H14</f>
        <v/>
      </c>
      <c r="I15" s="138">
        <f>I12+I13+I14</f>
        <v/>
      </c>
      <c r="J15" s="138">
        <f>J12+J13+J14</f>
        <v/>
      </c>
      <c r="K15" s="138">
        <f>K12+K13+K14</f>
        <v/>
      </c>
      <c r="L15" s="138">
        <f>L12+L13+L14</f>
        <v/>
      </c>
      <c r="M15" s="138">
        <f>M12+M13+M14</f>
        <v/>
      </c>
      <c r="N15" s="138">
        <f>N12+N13+N14</f>
        <v/>
      </c>
      <c r="O15" s="138">
        <f>O12+O13+O14</f>
        <v/>
      </c>
      <c r="P15" s="138">
        <f>P12+P13+P14</f>
        <v/>
      </c>
      <c r="Q15" s="138">
        <f>Q12+Q13+Q14</f>
        <v/>
      </c>
      <c r="R15" s="138">
        <f>R12+R13+R14</f>
        <v/>
      </c>
      <c r="S15" s="138">
        <f>S12+S13+S14</f>
        <v/>
      </c>
      <c r="T15" s="138">
        <f>T12+T13+T14</f>
        <v/>
      </c>
      <c r="U15" s="138">
        <f>U12+U13+U14</f>
        <v/>
      </c>
      <c r="V15" s="138">
        <f>V12+V13+V14</f>
        <v/>
      </c>
      <c r="W15" s="138">
        <f>W12+W13+W14</f>
        <v/>
      </c>
      <c r="X15" s="138">
        <f>X12+X13+X14</f>
        <v/>
      </c>
      <c r="Y15" s="138">
        <f>Y12+Y13+Y14</f>
        <v/>
      </c>
      <c r="Z15" s="138">
        <f>Z12+Z13+Z14</f>
        <v/>
      </c>
      <c r="AA15" s="138">
        <f>AA12+AA13+AA14</f>
        <v/>
      </c>
      <c r="AB15" s="138">
        <f>AB12+AB13+AB14</f>
        <v/>
      </c>
      <c r="AC15" s="138">
        <f>AC12+AC13+AC14</f>
        <v/>
      </c>
      <c r="AD15" s="138">
        <f>AD12+AD13+AD14</f>
        <v/>
      </c>
      <c r="AE15" s="138">
        <f>AE12+AE13+AE14</f>
        <v/>
      </c>
      <c r="AF15" s="138">
        <f>AF12+AF13+AF14</f>
        <v/>
      </c>
      <c r="AG15" s="138">
        <f>AG12+AG13+AG14</f>
        <v/>
      </c>
      <c r="AH15" s="138">
        <f>AH12+AH13+AH14</f>
        <v/>
      </c>
      <c r="AI15" s="138">
        <f>AI12+AI13+AI14</f>
        <v/>
      </c>
      <c r="AJ15" s="138">
        <f>AJ12+AJ13+AJ14</f>
        <v/>
      </c>
      <c r="AK15" s="138">
        <f>AK12+AK13+AK14</f>
        <v/>
      </c>
      <c r="AL15" s="138">
        <f>AL12+AL13+AL14</f>
        <v/>
      </c>
      <c r="AM15" s="138">
        <f>AM12+AM13+AM14</f>
        <v/>
      </c>
      <c r="AN15" s="138">
        <f>AN12+AN13+AN14</f>
        <v/>
      </c>
      <c r="AO15" s="138">
        <f>AO12+AO13+AO14</f>
        <v/>
      </c>
      <c r="AP15" s="138">
        <f>AP12+AP13+AP14</f>
        <v/>
      </c>
      <c r="AQ15" s="138">
        <f>AQ12+AQ13+AQ14</f>
        <v/>
      </c>
      <c r="AR15" s="138">
        <f>AR12+AR13+AR14</f>
        <v/>
      </c>
      <c r="AS15" s="138">
        <f>AS12+AS13+AS14</f>
        <v/>
      </c>
      <c r="AT15" s="138">
        <f>AT12+AT13+AT14</f>
        <v/>
      </c>
      <c r="AU15" s="138">
        <f>AU12+AU13+AU14</f>
        <v/>
      </c>
      <c r="AV15" s="138">
        <f>AV12+AV13+AV14</f>
        <v/>
      </c>
      <c r="AW15" s="138">
        <f>AW12+AW13+AW14</f>
        <v/>
      </c>
      <c r="AX15" s="138">
        <f>AX12+AX13+AX14</f>
        <v/>
      </c>
      <c r="AY15" s="138">
        <f>AY12+AY13+AY14</f>
        <v/>
      </c>
      <c r="AZ15" s="138">
        <f>AZ12+AZ13+AZ14</f>
        <v/>
      </c>
      <c r="BA15" s="138">
        <f>BA12+BA13+BA14</f>
        <v/>
      </c>
    </row>
    <row r="16" ht="15" customHeight="1" s="91">
      <c r="A16" s="100" t="inlineStr">
        <is>
          <t xml:space="preserve">  IRR - ZAN 2</t>
        </is>
      </c>
      <c r="B16" s="129" t="inlineStr">
        <is>
          <t>%</t>
        </is>
      </c>
      <c r="C16" s="135">
        <f>IFERROR(IRR(D15:BA15),"-")</f>
        <v/>
      </c>
    </row>
    <row r="18" ht="15" customHeight="1" s="91">
      <c r="A18" s="139" t="inlineStr">
        <is>
          <t>ZAN 3</t>
        </is>
      </c>
      <c r="B18" s="140" t="n"/>
      <c r="C18" s="140" t="n"/>
      <c r="D18" s="140" t="n"/>
      <c r="E18" s="140" t="n"/>
      <c r="F18" s="140" t="n"/>
      <c r="G18" s="140" t="n"/>
      <c r="H18" s="140" t="n"/>
      <c r="I18" s="140" t="n"/>
      <c r="J18" s="140" t="n"/>
      <c r="K18" s="140" t="n"/>
      <c r="L18" s="140" t="n"/>
      <c r="M18" s="140" t="n"/>
      <c r="N18" s="140" t="n"/>
      <c r="O18" s="140" t="n"/>
      <c r="P18" s="140" t="n"/>
      <c r="Q18" s="140" t="n"/>
      <c r="R18" s="140" t="n"/>
      <c r="S18" s="140" t="n"/>
      <c r="T18" s="140" t="n"/>
      <c r="U18" s="140" t="n"/>
      <c r="V18" s="140" t="n"/>
      <c r="W18" s="140" t="n"/>
      <c r="X18" s="140" t="n"/>
      <c r="Y18" s="140" t="n"/>
      <c r="Z18" s="140" t="n"/>
      <c r="AA18" s="140" t="n"/>
      <c r="AB18" s="140" t="n"/>
      <c r="AC18" s="140" t="n"/>
      <c r="AD18" s="140" t="n"/>
      <c r="AE18" s="140" t="n"/>
      <c r="AF18" s="140" t="n"/>
      <c r="AG18" s="140" t="n"/>
      <c r="AH18" s="140" t="n"/>
      <c r="AI18" s="140" t="n"/>
      <c r="AJ18" s="140" t="n"/>
      <c r="AK18" s="140" t="n"/>
      <c r="AL18" s="140" t="n"/>
      <c r="AM18" s="140" t="n"/>
      <c r="AN18" s="140" t="n"/>
      <c r="AO18" s="140" t="n"/>
      <c r="AP18" s="140" t="n"/>
      <c r="AQ18" s="140" t="n"/>
      <c r="AR18" s="140" t="n"/>
      <c r="AS18" s="140" t="n"/>
      <c r="AT18" s="140" t="n"/>
      <c r="AU18" s="140" t="n"/>
      <c r="AV18" s="140" t="n"/>
      <c r="AW18" s="140" t="n"/>
      <c r="AX18" s="140" t="n"/>
      <c r="AY18" s="140" t="n"/>
      <c r="AZ18" s="140" t="n"/>
      <c r="BA18" s="140" t="n"/>
    </row>
    <row r="19" ht="15" customHeight="1" s="91">
      <c r="A19" s="129" t="inlineStr">
        <is>
          <t xml:space="preserve">  Income  الإيرادات</t>
        </is>
      </c>
      <c r="B19" s="129" t="inlineStr">
        <is>
          <t>SAR</t>
        </is>
      </c>
      <c r="C19" s="138">
        <f>SUM(D19:BA19)</f>
        <v/>
      </c>
      <c r="D19" s="138">
        <f>D177</f>
        <v/>
      </c>
      <c r="E19" s="138">
        <f>E177</f>
        <v/>
      </c>
      <c r="F19" s="138">
        <f>F177</f>
        <v/>
      </c>
      <c r="G19" s="138">
        <f>G177</f>
        <v/>
      </c>
      <c r="H19" s="138">
        <f>H177</f>
        <v/>
      </c>
      <c r="I19" s="138">
        <f>I177</f>
        <v/>
      </c>
      <c r="J19" s="138">
        <f>J177</f>
        <v/>
      </c>
      <c r="K19" s="138">
        <f>K177</f>
        <v/>
      </c>
      <c r="L19" s="138">
        <f>L177</f>
        <v/>
      </c>
      <c r="M19" s="138">
        <f>M177</f>
        <v/>
      </c>
      <c r="N19" s="138">
        <f>N177</f>
        <v/>
      </c>
      <c r="O19" s="138">
        <f>O177</f>
        <v/>
      </c>
      <c r="P19" s="138">
        <f>P177</f>
        <v/>
      </c>
      <c r="Q19" s="138">
        <f>Q177</f>
        <v/>
      </c>
      <c r="R19" s="138">
        <f>R177</f>
        <v/>
      </c>
      <c r="S19" s="138">
        <f>S177</f>
        <v/>
      </c>
      <c r="T19" s="138">
        <f>T177</f>
        <v/>
      </c>
      <c r="U19" s="138">
        <f>U177</f>
        <v/>
      </c>
      <c r="V19" s="138">
        <f>V177</f>
        <v/>
      </c>
      <c r="W19" s="138">
        <f>W177</f>
        <v/>
      </c>
      <c r="X19" s="138">
        <f>X177</f>
        <v/>
      </c>
      <c r="Y19" s="138">
        <f>Y177</f>
        <v/>
      </c>
      <c r="Z19" s="138">
        <f>Z177</f>
        <v/>
      </c>
      <c r="AA19" s="138">
        <f>AA177</f>
        <v/>
      </c>
      <c r="AB19" s="138">
        <f>AB177</f>
        <v/>
      </c>
      <c r="AC19" s="138">
        <f>AC177</f>
        <v/>
      </c>
      <c r="AD19" s="138">
        <f>AD177</f>
        <v/>
      </c>
      <c r="AE19" s="138">
        <f>AE177</f>
        <v/>
      </c>
      <c r="AF19" s="138">
        <f>AF177</f>
        <v/>
      </c>
      <c r="AG19" s="138">
        <f>AG177</f>
        <v/>
      </c>
      <c r="AH19" s="138">
        <f>AH177</f>
        <v/>
      </c>
      <c r="AI19" s="138">
        <f>AI177</f>
        <v/>
      </c>
      <c r="AJ19" s="138">
        <f>AJ177</f>
        <v/>
      </c>
      <c r="AK19" s="138">
        <f>AK177</f>
        <v/>
      </c>
      <c r="AL19" s="138">
        <f>AL177</f>
        <v/>
      </c>
      <c r="AM19" s="138">
        <f>AM177</f>
        <v/>
      </c>
      <c r="AN19" s="138">
        <f>AN177</f>
        <v/>
      </c>
      <c r="AO19" s="138">
        <f>AO177</f>
        <v/>
      </c>
      <c r="AP19" s="138">
        <f>AP177</f>
        <v/>
      </c>
      <c r="AQ19" s="138">
        <f>AQ177</f>
        <v/>
      </c>
      <c r="AR19" s="138">
        <f>AR177</f>
        <v/>
      </c>
      <c r="AS19" s="138">
        <f>AS177</f>
        <v/>
      </c>
      <c r="AT19" s="138">
        <f>AT177</f>
        <v/>
      </c>
      <c r="AU19" s="138">
        <f>AU177</f>
        <v/>
      </c>
      <c r="AV19" s="138">
        <f>AV177</f>
        <v/>
      </c>
      <c r="AW19" s="138">
        <f>AW177</f>
        <v/>
      </c>
      <c r="AX19" s="138">
        <f>AX177</f>
        <v/>
      </c>
      <c r="AY19" s="138">
        <f>AY177</f>
        <v/>
      </c>
      <c r="AZ19" s="138">
        <f>AZ177</f>
        <v/>
      </c>
      <c r="BA19" s="138">
        <f>BA177</f>
        <v/>
      </c>
    </row>
    <row r="20" ht="15" customHeight="1" s="91">
      <c r="A20" s="129" t="inlineStr">
        <is>
          <t xml:space="preserve">  Land Rent  إيجار الأرض</t>
        </is>
      </c>
      <c r="B20" s="129" t="inlineStr">
        <is>
          <t>SAR</t>
        </is>
      </c>
      <c r="C20" s="138">
        <f>SUM(D20:BA20)</f>
        <v/>
      </c>
      <c r="D20" s="138">
        <f>IF($E171="Lease",-D212,IF(AND($E171="Purchase",D$3=$C171),-$G171*$E$172,0))</f>
        <v/>
      </c>
      <c r="E20" s="138">
        <f>IF($E171="Lease",-E212,IF(AND($E171="Purchase",E$3=$C171),-$G171*$E$172,0))</f>
        <v/>
      </c>
      <c r="F20" s="138">
        <f>IF($E171="Lease",-F212,IF(AND($E171="Purchase",F$3=$C171),-$G171*$E$172,0))</f>
        <v/>
      </c>
      <c r="G20" s="138">
        <f>IF($E171="Lease",-G212,IF(AND($E171="Purchase",G$3=$C171),-$G171*$E$172,0))</f>
        <v/>
      </c>
      <c r="H20" s="138">
        <f>IF($E171="Lease",-H212,IF(AND($E171="Purchase",H$3=$C171),-$G171*$E$172,0))</f>
        <v/>
      </c>
      <c r="I20" s="138">
        <f>IF($E171="Lease",-I212,IF(AND($E171="Purchase",I$3=$C171),-$G171*$E$172,0))</f>
        <v/>
      </c>
      <c r="J20" s="138">
        <f>IF($E171="Lease",-J212,IF(AND($E171="Purchase",J$3=$C171),-$G171*$E$172,0))</f>
        <v/>
      </c>
      <c r="K20" s="138">
        <f>IF($E171="Lease",-K212,IF(AND($E171="Purchase",K$3=$C171),-$G171*$E$172,0))</f>
        <v/>
      </c>
      <c r="L20" s="138">
        <f>IF($E171="Lease",-L212,IF(AND($E171="Purchase",L$3=$C171),-$G171*$E$172,0))</f>
        <v/>
      </c>
      <c r="M20" s="138">
        <f>IF($E171="Lease",-M212,IF(AND($E171="Purchase",M$3=$C171),-$G171*$E$172,0))</f>
        <v/>
      </c>
      <c r="N20" s="138">
        <f>IF($E171="Lease",-N212,IF(AND($E171="Purchase",N$3=$C171),-$G171*$E$172,0))</f>
        <v/>
      </c>
      <c r="O20" s="138">
        <f>IF($E171="Lease",-O212,IF(AND($E171="Purchase",O$3=$C171),-$G171*$E$172,0))</f>
        <v/>
      </c>
      <c r="P20" s="138">
        <f>IF($E171="Lease",-P212,IF(AND($E171="Purchase",P$3=$C171),-$G171*$E$172,0))</f>
        <v/>
      </c>
      <c r="Q20" s="138">
        <f>IF($E171="Lease",-Q212,IF(AND($E171="Purchase",Q$3=$C171),-$G171*$E$172,0))</f>
        <v/>
      </c>
      <c r="R20" s="138">
        <f>IF($E171="Lease",-R212,IF(AND($E171="Purchase",R$3=$C171),-$G171*$E$172,0))</f>
        <v/>
      </c>
      <c r="S20" s="138">
        <f>IF($E171="Lease",-S212,IF(AND($E171="Purchase",S$3=$C171),-$G171*$E$172,0))</f>
        <v/>
      </c>
      <c r="T20" s="138">
        <f>IF($E171="Lease",-T212,IF(AND($E171="Purchase",T$3=$C171),-$G171*$E$172,0))</f>
        <v/>
      </c>
      <c r="U20" s="138">
        <f>IF($E171="Lease",-U212,IF(AND($E171="Purchase",U$3=$C171),-$G171*$E$172,0))</f>
        <v/>
      </c>
      <c r="V20" s="138">
        <f>IF($E171="Lease",-V212,IF(AND($E171="Purchase",V$3=$C171),-$G171*$E$172,0))</f>
        <v/>
      </c>
      <c r="W20" s="138">
        <f>IF($E171="Lease",-W212,IF(AND($E171="Purchase",W$3=$C171),-$G171*$E$172,0))</f>
        <v/>
      </c>
      <c r="X20" s="138">
        <f>IF($E171="Lease",-X212,IF(AND($E171="Purchase",X$3=$C171),-$G171*$E$172,0))</f>
        <v/>
      </c>
      <c r="Y20" s="138">
        <f>IF($E171="Lease",-Y212,IF(AND($E171="Purchase",Y$3=$C171),-$G171*$E$172,0))</f>
        <v/>
      </c>
      <c r="Z20" s="138">
        <f>IF($E171="Lease",-Z212,IF(AND($E171="Purchase",Z$3=$C171),-$G171*$E$172,0))</f>
        <v/>
      </c>
      <c r="AA20" s="138">
        <f>IF($E171="Lease",-AA212,IF(AND($E171="Purchase",AA$3=$C171),-$G171*$E$172,0))</f>
        <v/>
      </c>
      <c r="AB20" s="138">
        <f>IF($E171="Lease",-AB212,IF(AND($E171="Purchase",AB$3=$C171),-$G171*$E$172,0))</f>
        <v/>
      </c>
      <c r="AC20" s="138">
        <f>IF($E171="Lease",-AC212,IF(AND($E171="Purchase",AC$3=$C171),-$G171*$E$172,0))</f>
        <v/>
      </c>
      <c r="AD20" s="138">
        <f>IF($E171="Lease",-AD212,IF(AND($E171="Purchase",AD$3=$C171),-$G171*$E$172,0))</f>
        <v/>
      </c>
      <c r="AE20" s="138">
        <f>IF($E171="Lease",-AE212,IF(AND($E171="Purchase",AE$3=$C171),-$G171*$E$172,0))</f>
        <v/>
      </c>
      <c r="AF20" s="138">
        <f>IF($E171="Lease",-AF212,IF(AND($E171="Purchase",AF$3=$C171),-$G171*$E$172,0))</f>
        <v/>
      </c>
      <c r="AG20" s="138">
        <f>IF($E171="Lease",-AG212,IF(AND($E171="Purchase",AG$3=$C171),-$G171*$E$172,0))</f>
        <v/>
      </c>
      <c r="AH20" s="138">
        <f>IF($E171="Lease",-AH212,IF(AND($E171="Purchase",AH$3=$C171),-$G171*$E$172,0))</f>
        <v/>
      </c>
      <c r="AI20" s="138">
        <f>IF($E171="Lease",-AI212,IF(AND($E171="Purchase",AI$3=$C171),-$G171*$E$172,0))</f>
        <v/>
      </c>
      <c r="AJ20" s="138">
        <f>IF($E171="Lease",-AJ212,IF(AND($E171="Purchase",AJ$3=$C171),-$G171*$E$172,0))</f>
        <v/>
      </c>
      <c r="AK20" s="138">
        <f>IF($E171="Lease",-AK212,IF(AND($E171="Purchase",AK$3=$C171),-$G171*$E$172,0))</f>
        <v/>
      </c>
      <c r="AL20" s="138">
        <f>IF($E171="Lease",-AL212,IF(AND($E171="Purchase",AL$3=$C171),-$G171*$E$172,0))</f>
        <v/>
      </c>
      <c r="AM20" s="138">
        <f>IF($E171="Lease",-AM212,IF(AND($E171="Purchase",AM$3=$C171),-$G171*$E$172,0))</f>
        <v/>
      </c>
      <c r="AN20" s="138">
        <f>IF($E171="Lease",-AN212,IF(AND($E171="Purchase",AN$3=$C171),-$G171*$E$172,0))</f>
        <v/>
      </c>
      <c r="AO20" s="138">
        <f>IF($E171="Lease",-AO212,IF(AND($E171="Purchase",AO$3=$C171),-$G171*$E$172,0))</f>
        <v/>
      </c>
      <c r="AP20" s="138">
        <f>IF($E171="Lease",-AP212,IF(AND($E171="Purchase",AP$3=$C171),-$G171*$E$172,0))</f>
        <v/>
      </c>
      <c r="AQ20" s="138">
        <f>IF($E171="Lease",-AQ212,IF(AND($E171="Purchase",AQ$3=$C171),-$G171*$E$172,0))</f>
        <v/>
      </c>
      <c r="AR20" s="138">
        <f>IF($E171="Lease",-AR212,IF(AND($E171="Purchase",AR$3=$C171),-$G171*$E$172,0))</f>
        <v/>
      </c>
      <c r="AS20" s="138">
        <f>IF($E171="Lease",-AS212,IF(AND($E171="Purchase",AS$3=$C171),-$G171*$E$172,0))</f>
        <v/>
      </c>
      <c r="AT20" s="138">
        <f>IF($E171="Lease",-AT212,IF(AND($E171="Purchase",AT$3=$C171),-$G171*$E$172,0))</f>
        <v/>
      </c>
      <c r="AU20" s="138">
        <f>IF($E171="Lease",-AU212,IF(AND($E171="Purchase",AU$3=$C171),-$G171*$E$172,0))</f>
        <v/>
      </c>
      <c r="AV20" s="138">
        <f>IF($E171="Lease",-AV212,IF(AND($E171="Purchase",AV$3=$C171),-$G171*$E$172,0))</f>
        <v/>
      </c>
      <c r="AW20" s="138">
        <f>IF($E171="Lease",-AW212,IF(AND($E171="Purchase",AW$3=$C171),-$G171*$E$172,0))</f>
        <v/>
      </c>
      <c r="AX20" s="138">
        <f>IF($E171="Lease",-AX212,IF(AND($E171="Purchase",AX$3=$C171),-$G171*$E$172,0))</f>
        <v/>
      </c>
      <c r="AY20" s="138">
        <f>IF($E171="Lease",-AY212,IF(AND($E171="Purchase",AY$3=$C171),-$G171*$E$172,0))</f>
        <v/>
      </c>
      <c r="AZ20" s="138">
        <f>IF($E171="Lease",-AZ212,IF(AND($E171="Purchase",AZ$3=$C171),-$G171*$E$172,0))</f>
        <v/>
      </c>
      <c r="BA20" s="138">
        <f>IF($E171="Lease",-BA212,IF(AND($E171="Purchase",BA$3=$C171),-$G171*$E$172,0))</f>
        <v/>
      </c>
    </row>
    <row r="21" ht="15" customHeight="1" s="91">
      <c r="A21" s="129" t="inlineStr">
        <is>
          <t xml:space="preserve">  Development CAPEX  تكاليف التطوير</t>
        </is>
      </c>
      <c r="B21" s="129" t="inlineStr">
        <is>
          <t>SAR</t>
        </is>
      </c>
      <c r="C21" s="138">
        <f>SUM(D21:BA21)</f>
        <v/>
      </c>
      <c r="D21" s="138">
        <f>-D195</f>
        <v/>
      </c>
      <c r="E21" s="138">
        <f>-E195</f>
        <v/>
      </c>
      <c r="F21" s="138">
        <f>-F195</f>
        <v/>
      </c>
      <c r="G21" s="138">
        <f>-G195</f>
        <v/>
      </c>
      <c r="H21" s="138">
        <f>-H195</f>
        <v/>
      </c>
      <c r="I21" s="138">
        <f>-I195</f>
        <v/>
      </c>
      <c r="J21" s="138">
        <f>-J195</f>
        <v/>
      </c>
      <c r="K21" s="138">
        <f>-K195</f>
        <v/>
      </c>
      <c r="L21" s="138">
        <f>-L195</f>
        <v/>
      </c>
      <c r="M21" s="138">
        <f>-M195</f>
        <v/>
      </c>
      <c r="N21" s="138">
        <f>-N195</f>
        <v/>
      </c>
      <c r="O21" s="138">
        <f>-O195</f>
        <v/>
      </c>
      <c r="P21" s="138">
        <f>-P195</f>
        <v/>
      </c>
      <c r="Q21" s="138">
        <f>-Q195</f>
        <v/>
      </c>
      <c r="R21" s="138">
        <f>-R195</f>
        <v/>
      </c>
      <c r="S21" s="138">
        <f>-S195</f>
        <v/>
      </c>
      <c r="T21" s="138">
        <f>-T195</f>
        <v/>
      </c>
      <c r="U21" s="138">
        <f>-U195</f>
        <v/>
      </c>
      <c r="V21" s="138">
        <f>-V195</f>
        <v/>
      </c>
      <c r="W21" s="138">
        <f>-W195</f>
        <v/>
      </c>
      <c r="X21" s="138">
        <f>-X195</f>
        <v/>
      </c>
      <c r="Y21" s="138">
        <f>-Y195</f>
        <v/>
      </c>
      <c r="Z21" s="138">
        <f>-Z195</f>
        <v/>
      </c>
      <c r="AA21" s="138">
        <f>-AA195</f>
        <v/>
      </c>
      <c r="AB21" s="138">
        <f>-AB195</f>
        <v/>
      </c>
      <c r="AC21" s="138">
        <f>-AC195</f>
        <v/>
      </c>
      <c r="AD21" s="138">
        <f>-AD195</f>
        <v/>
      </c>
      <c r="AE21" s="138">
        <f>-AE195</f>
        <v/>
      </c>
      <c r="AF21" s="138">
        <f>-AF195</f>
        <v/>
      </c>
      <c r="AG21" s="138">
        <f>-AG195</f>
        <v/>
      </c>
      <c r="AH21" s="138">
        <f>-AH195</f>
        <v/>
      </c>
      <c r="AI21" s="138">
        <f>-AI195</f>
        <v/>
      </c>
      <c r="AJ21" s="138">
        <f>-AJ195</f>
        <v/>
      </c>
      <c r="AK21" s="138">
        <f>-AK195</f>
        <v/>
      </c>
      <c r="AL21" s="138">
        <f>-AL195</f>
        <v/>
      </c>
      <c r="AM21" s="138">
        <f>-AM195</f>
        <v/>
      </c>
      <c r="AN21" s="138">
        <f>-AN195</f>
        <v/>
      </c>
      <c r="AO21" s="138">
        <f>-AO195</f>
        <v/>
      </c>
      <c r="AP21" s="138">
        <f>-AP195</f>
        <v/>
      </c>
      <c r="AQ21" s="138">
        <f>-AQ195</f>
        <v/>
      </c>
      <c r="AR21" s="138">
        <f>-AR195</f>
        <v/>
      </c>
      <c r="AS21" s="138">
        <f>-AS195</f>
        <v/>
      </c>
      <c r="AT21" s="138">
        <f>-AT195</f>
        <v/>
      </c>
      <c r="AU21" s="138">
        <f>-AU195</f>
        <v/>
      </c>
      <c r="AV21" s="138">
        <f>-AV195</f>
        <v/>
      </c>
      <c r="AW21" s="138">
        <f>-AW195</f>
        <v/>
      </c>
      <c r="AX21" s="138">
        <f>-AX195</f>
        <v/>
      </c>
      <c r="AY21" s="138">
        <f>-AY195</f>
        <v/>
      </c>
      <c r="AZ21" s="138">
        <f>-AZ195</f>
        <v/>
      </c>
      <c r="BA21" s="138">
        <f>-BA195</f>
        <v/>
      </c>
    </row>
    <row r="22" ht="15" customHeight="1" s="91">
      <c r="A22" s="141" t="inlineStr">
        <is>
          <t xml:space="preserve">  Net Cash Flow - ZAN 3</t>
        </is>
      </c>
      <c r="B22" s="129" t="inlineStr">
        <is>
          <t>SAR</t>
        </is>
      </c>
      <c r="C22" s="138">
        <f>SUM(D22:BA22)</f>
        <v/>
      </c>
      <c r="D22" s="138">
        <f>D19+D20+D21</f>
        <v/>
      </c>
      <c r="E22" s="138">
        <f>E19+E20+E21</f>
        <v/>
      </c>
      <c r="F22" s="138">
        <f>F19+F20+F21</f>
        <v/>
      </c>
      <c r="G22" s="138">
        <f>G19+G20+G21</f>
        <v/>
      </c>
      <c r="H22" s="138">
        <f>H19+H20+H21</f>
        <v/>
      </c>
      <c r="I22" s="138">
        <f>I19+I20+I21</f>
        <v/>
      </c>
      <c r="J22" s="138">
        <f>J19+J20+J21</f>
        <v/>
      </c>
      <c r="K22" s="138">
        <f>K19+K20+K21</f>
        <v/>
      </c>
      <c r="L22" s="138">
        <f>L19+L20+L21</f>
        <v/>
      </c>
      <c r="M22" s="138">
        <f>M19+M20+M21</f>
        <v/>
      </c>
      <c r="N22" s="138">
        <f>N19+N20+N21</f>
        <v/>
      </c>
      <c r="O22" s="138">
        <f>O19+O20+O21</f>
        <v/>
      </c>
      <c r="P22" s="138">
        <f>P19+P20+P21</f>
        <v/>
      </c>
      <c r="Q22" s="138">
        <f>Q19+Q20+Q21</f>
        <v/>
      </c>
      <c r="R22" s="138">
        <f>R19+R20+R21</f>
        <v/>
      </c>
      <c r="S22" s="138">
        <f>S19+S20+S21</f>
        <v/>
      </c>
      <c r="T22" s="138">
        <f>T19+T20+T21</f>
        <v/>
      </c>
      <c r="U22" s="138">
        <f>U19+U20+U21</f>
        <v/>
      </c>
      <c r="V22" s="138">
        <f>V19+V20+V21</f>
        <v/>
      </c>
      <c r="W22" s="138">
        <f>W19+W20+W21</f>
        <v/>
      </c>
      <c r="X22" s="138">
        <f>X19+X20+X21</f>
        <v/>
      </c>
      <c r="Y22" s="138">
        <f>Y19+Y20+Y21</f>
        <v/>
      </c>
      <c r="Z22" s="138">
        <f>Z19+Z20+Z21</f>
        <v/>
      </c>
      <c r="AA22" s="138">
        <f>AA19+AA20+AA21</f>
        <v/>
      </c>
      <c r="AB22" s="138">
        <f>AB19+AB20+AB21</f>
        <v/>
      </c>
      <c r="AC22" s="138">
        <f>AC19+AC20+AC21</f>
        <v/>
      </c>
      <c r="AD22" s="138">
        <f>AD19+AD20+AD21</f>
        <v/>
      </c>
      <c r="AE22" s="138">
        <f>AE19+AE20+AE21</f>
        <v/>
      </c>
      <c r="AF22" s="138">
        <f>AF19+AF20+AF21</f>
        <v/>
      </c>
      <c r="AG22" s="138">
        <f>AG19+AG20+AG21</f>
        <v/>
      </c>
      <c r="AH22" s="138">
        <f>AH19+AH20+AH21</f>
        <v/>
      </c>
      <c r="AI22" s="138">
        <f>AI19+AI20+AI21</f>
        <v/>
      </c>
      <c r="AJ22" s="138">
        <f>AJ19+AJ20+AJ21</f>
        <v/>
      </c>
      <c r="AK22" s="138">
        <f>AK19+AK20+AK21</f>
        <v/>
      </c>
      <c r="AL22" s="138">
        <f>AL19+AL20+AL21</f>
        <v/>
      </c>
      <c r="AM22" s="138">
        <f>AM19+AM20+AM21</f>
        <v/>
      </c>
      <c r="AN22" s="138">
        <f>AN19+AN20+AN21</f>
        <v/>
      </c>
      <c r="AO22" s="138">
        <f>AO19+AO20+AO21</f>
        <v/>
      </c>
      <c r="AP22" s="138">
        <f>AP19+AP20+AP21</f>
        <v/>
      </c>
      <c r="AQ22" s="138">
        <f>AQ19+AQ20+AQ21</f>
        <v/>
      </c>
      <c r="AR22" s="138">
        <f>AR19+AR20+AR21</f>
        <v/>
      </c>
      <c r="AS22" s="138">
        <f>AS19+AS20+AS21</f>
        <v/>
      </c>
      <c r="AT22" s="138">
        <f>AT19+AT20+AT21</f>
        <v/>
      </c>
      <c r="AU22" s="138">
        <f>AU19+AU20+AU21</f>
        <v/>
      </c>
      <c r="AV22" s="138">
        <f>AV19+AV20+AV21</f>
        <v/>
      </c>
      <c r="AW22" s="138">
        <f>AW19+AW20+AW21</f>
        <v/>
      </c>
      <c r="AX22" s="138">
        <f>AX19+AX20+AX21</f>
        <v/>
      </c>
      <c r="AY22" s="138">
        <f>AY19+AY20+AY21</f>
        <v/>
      </c>
      <c r="AZ22" s="138">
        <f>AZ19+AZ20+AZ21</f>
        <v/>
      </c>
      <c r="BA22" s="138">
        <f>BA19+BA20+BA21</f>
        <v/>
      </c>
    </row>
    <row r="23" ht="15" customHeight="1" s="91">
      <c r="A23" s="100" t="inlineStr">
        <is>
          <t xml:space="preserve">  IRR - ZAN 3</t>
        </is>
      </c>
      <c r="B23" s="129" t="inlineStr">
        <is>
          <t>%</t>
        </is>
      </c>
      <c r="C23" s="135">
        <f>IFERROR(IRR(D22:BA22),"-")</f>
        <v/>
      </c>
    </row>
    <row r="25" ht="15" customHeight="1" s="91">
      <c r="A25" s="139" t="inlineStr">
        <is>
          <t>ZAN 4</t>
        </is>
      </c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0" t="n"/>
      <c r="AG25" s="140" t="n"/>
      <c r="AH25" s="140" t="n"/>
      <c r="AI25" s="140" t="n"/>
      <c r="AJ25" s="140" t="n"/>
      <c r="AK25" s="140" t="n"/>
      <c r="AL25" s="140" t="n"/>
      <c r="AM25" s="140" t="n"/>
      <c r="AN25" s="140" t="n"/>
      <c r="AO25" s="140" t="n"/>
      <c r="AP25" s="140" t="n"/>
      <c r="AQ25" s="140" t="n"/>
      <c r="AR25" s="140" t="n"/>
      <c r="AS25" s="140" t="n"/>
      <c r="AT25" s="140" t="n"/>
      <c r="AU25" s="140" t="n"/>
      <c r="AV25" s="140" t="n"/>
      <c r="AW25" s="140" t="n"/>
      <c r="AX25" s="140" t="n"/>
      <c r="AY25" s="140" t="n"/>
      <c r="AZ25" s="140" t="n"/>
      <c r="BA25" s="140" t="n"/>
    </row>
    <row r="26" ht="15" customHeight="1" s="91">
      <c r="A26" s="129" t="inlineStr">
        <is>
          <t xml:space="preserve">  Income  الإيرادات</t>
        </is>
      </c>
      <c r="B26" s="129" t="inlineStr">
        <is>
          <t>SAR</t>
        </is>
      </c>
      <c r="C26" s="138">
        <f>SUM(D26:BA26)</f>
        <v/>
      </c>
      <c r="D26" s="138">
        <f>D178</f>
        <v/>
      </c>
      <c r="E26" s="138">
        <f>E178</f>
        <v/>
      </c>
      <c r="F26" s="138">
        <f>F178</f>
        <v/>
      </c>
      <c r="G26" s="138">
        <f>G178</f>
        <v/>
      </c>
      <c r="H26" s="138">
        <f>H178</f>
        <v/>
      </c>
      <c r="I26" s="138">
        <f>I178</f>
        <v/>
      </c>
      <c r="J26" s="138">
        <f>J178</f>
        <v/>
      </c>
      <c r="K26" s="138">
        <f>K178</f>
        <v/>
      </c>
      <c r="L26" s="138">
        <f>L178</f>
        <v/>
      </c>
      <c r="M26" s="138">
        <f>M178</f>
        <v/>
      </c>
      <c r="N26" s="138">
        <f>N178</f>
        <v/>
      </c>
      <c r="O26" s="138">
        <f>O178</f>
        <v/>
      </c>
      <c r="P26" s="138">
        <f>P178</f>
        <v/>
      </c>
      <c r="Q26" s="138">
        <f>Q178</f>
        <v/>
      </c>
      <c r="R26" s="138">
        <f>R178</f>
        <v/>
      </c>
      <c r="S26" s="138">
        <f>S178</f>
        <v/>
      </c>
      <c r="T26" s="138">
        <f>T178</f>
        <v/>
      </c>
      <c r="U26" s="138">
        <f>U178</f>
        <v/>
      </c>
      <c r="V26" s="138">
        <f>V178</f>
        <v/>
      </c>
      <c r="W26" s="138">
        <f>W178</f>
        <v/>
      </c>
      <c r="X26" s="138">
        <f>X178</f>
        <v/>
      </c>
      <c r="Y26" s="138">
        <f>Y178</f>
        <v/>
      </c>
      <c r="Z26" s="138">
        <f>Z178</f>
        <v/>
      </c>
      <c r="AA26" s="138">
        <f>AA178</f>
        <v/>
      </c>
      <c r="AB26" s="138">
        <f>AB178</f>
        <v/>
      </c>
      <c r="AC26" s="138">
        <f>AC178</f>
        <v/>
      </c>
      <c r="AD26" s="138">
        <f>AD178</f>
        <v/>
      </c>
      <c r="AE26" s="138">
        <f>AE178</f>
        <v/>
      </c>
      <c r="AF26" s="138">
        <f>AF178</f>
        <v/>
      </c>
      <c r="AG26" s="138">
        <f>AG178</f>
        <v/>
      </c>
      <c r="AH26" s="138">
        <f>AH178</f>
        <v/>
      </c>
      <c r="AI26" s="138">
        <f>AI178</f>
        <v/>
      </c>
      <c r="AJ26" s="138">
        <f>AJ178</f>
        <v/>
      </c>
      <c r="AK26" s="138">
        <f>AK178</f>
        <v/>
      </c>
      <c r="AL26" s="138">
        <f>AL178</f>
        <v/>
      </c>
      <c r="AM26" s="138">
        <f>AM178</f>
        <v/>
      </c>
      <c r="AN26" s="138">
        <f>AN178</f>
        <v/>
      </c>
      <c r="AO26" s="138">
        <f>AO178</f>
        <v/>
      </c>
      <c r="AP26" s="138">
        <f>AP178</f>
        <v/>
      </c>
      <c r="AQ26" s="138">
        <f>AQ178</f>
        <v/>
      </c>
      <c r="AR26" s="138">
        <f>AR178</f>
        <v/>
      </c>
      <c r="AS26" s="138">
        <f>AS178</f>
        <v/>
      </c>
      <c r="AT26" s="138">
        <f>AT178</f>
        <v/>
      </c>
      <c r="AU26" s="138">
        <f>AU178</f>
        <v/>
      </c>
      <c r="AV26" s="138">
        <f>AV178</f>
        <v/>
      </c>
      <c r="AW26" s="138">
        <f>AW178</f>
        <v/>
      </c>
      <c r="AX26" s="138">
        <f>AX178</f>
        <v/>
      </c>
      <c r="AY26" s="138">
        <f>AY178</f>
        <v/>
      </c>
      <c r="AZ26" s="138">
        <f>AZ178</f>
        <v/>
      </c>
      <c r="BA26" s="138">
        <f>BA178</f>
        <v/>
      </c>
    </row>
    <row r="27" ht="15" customHeight="1" s="91">
      <c r="A27" s="129" t="inlineStr">
        <is>
          <t xml:space="preserve">  Land Rent  إيجار الأرض</t>
        </is>
      </c>
      <c r="B27" s="129" t="inlineStr">
        <is>
          <t>SAR</t>
        </is>
      </c>
      <c r="C27" s="138">
        <f>SUM(D27:BA27)</f>
        <v/>
      </c>
      <c r="D27" s="138">
        <f>0</f>
        <v/>
      </c>
      <c r="E27" s="138">
        <f>0</f>
        <v/>
      </c>
      <c r="F27" s="138">
        <f>0</f>
        <v/>
      </c>
      <c r="G27" s="138">
        <f>0</f>
        <v/>
      </c>
      <c r="H27" s="138">
        <f>0</f>
        <v/>
      </c>
      <c r="I27" s="138">
        <f>0</f>
        <v/>
      </c>
      <c r="J27" s="138">
        <f>0</f>
        <v/>
      </c>
      <c r="K27" s="138">
        <f>0</f>
        <v/>
      </c>
      <c r="L27" s="138">
        <f>0</f>
        <v/>
      </c>
      <c r="M27" s="138">
        <f>0</f>
        <v/>
      </c>
      <c r="N27" s="138">
        <f>0</f>
        <v/>
      </c>
      <c r="O27" s="138">
        <f>0</f>
        <v/>
      </c>
      <c r="P27" s="138">
        <f>0</f>
        <v/>
      </c>
      <c r="Q27" s="138">
        <f>0</f>
        <v/>
      </c>
      <c r="R27" s="138">
        <f>0</f>
        <v/>
      </c>
      <c r="S27" s="138">
        <f>0</f>
        <v/>
      </c>
      <c r="T27" s="138">
        <f>0</f>
        <v/>
      </c>
      <c r="U27" s="138">
        <f>0</f>
        <v/>
      </c>
      <c r="V27" s="138">
        <f>0</f>
        <v/>
      </c>
      <c r="W27" s="138">
        <f>0</f>
        <v/>
      </c>
      <c r="X27" s="138">
        <f>0</f>
        <v/>
      </c>
      <c r="Y27" s="138">
        <f>0</f>
        <v/>
      </c>
      <c r="Z27" s="138">
        <f>0</f>
        <v/>
      </c>
      <c r="AA27" s="138">
        <f>0</f>
        <v/>
      </c>
      <c r="AB27" s="138">
        <f>0</f>
        <v/>
      </c>
      <c r="AC27" s="138">
        <f>0</f>
        <v/>
      </c>
      <c r="AD27" s="138">
        <f>0</f>
        <v/>
      </c>
      <c r="AE27" s="138">
        <f>0</f>
        <v/>
      </c>
      <c r="AF27" s="138">
        <f>0</f>
        <v/>
      </c>
      <c r="AG27" s="138">
        <f>0</f>
        <v/>
      </c>
      <c r="AH27" s="138">
        <f>0</f>
        <v/>
      </c>
      <c r="AI27" s="138">
        <f>0</f>
        <v/>
      </c>
      <c r="AJ27" s="138">
        <f>0</f>
        <v/>
      </c>
      <c r="AK27" s="138">
        <f>0</f>
        <v/>
      </c>
      <c r="AL27" s="138">
        <f>0</f>
        <v/>
      </c>
      <c r="AM27" s="138">
        <f>0</f>
        <v/>
      </c>
      <c r="AN27" s="138">
        <f>0</f>
        <v/>
      </c>
      <c r="AO27" s="138">
        <f>0</f>
        <v/>
      </c>
      <c r="AP27" s="138">
        <f>0</f>
        <v/>
      </c>
      <c r="AQ27" s="138">
        <f>0</f>
        <v/>
      </c>
      <c r="AR27" s="138">
        <f>0</f>
        <v/>
      </c>
      <c r="AS27" s="138">
        <f>0</f>
        <v/>
      </c>
      <c r="AT27" s="138">
        <f>0</f>
        <v/>
      </c>
      <c r="AU27" s="138">
        <f>0</f>
        <v/>
      </c>
      <c r="AV27" s="138">
        <f>0</f>
        <v/>
      </c>
      <c r="AW27" s="138">
        <f>0</f>
        <v/>
      </c>
      <c r="AX27" s="138">
        <f>0</f>
        <v/>
      </c>
      <c r="AY27" s="138">
        <f>0</f>
        <v/>
      </c>
      <c r="AZ27" s="138">
        <f>0</f>
        <v/>
      </c>
      <c r="BA27" s="138">
        <f>0</f>
        <v/>
      </c>
    </row>
    <row r="28" ht="15" customHeight="1" s="91">
      <c r="A28" s="129" t="inlineStr">
        <is>
          <t xml:space="preserve">  Development CAPEX  تكاليف التطوير</t>
        </is>
      </c>
      <c r="B28" s="129" t="inlineStr">
        <is>
          <t>SAR</t>
        </is>
      </c>
      <c r="C28" s="138">
        <f>SUM(D28:BA28)</f>
        <v/>
      </c>
      <c r="D28" s="138">
        <f>-D196</f>
        <v/>
      </c>
      <c r="E28" s="138">
        <f>-E196</f>
        <v/>
      </c>
      <c r="F28" s="138">
        <f>-F196</f>
        <v/>
      </c>
      <c r="G28" s="138">
        <f>-G196</f>
        <v/>
      </c>
      <c r="H28" s="138">
        <f>-H196</f>
        <v/>
      </c>
      <c r="I28" s="138">
        <f>-I196</f>
        <v/>
      </c>
      <c r="J28" s="138">
        <f>-J196</f>
        <v/>
      </c>
      <c r="K28" s="138">
        <f>-K196</f>
        <v/>
      </c>
      <c r="L28" s="138">
        <f>-L196</f>
        <v/>
      </c>
      <c r="M28" s="138">
        <f>-M196</f>
        <v/>
      </c>
      <c r="N28" s="138">
        <f>-N196</f>
        <v/>
      </c>
      <c r="O28" s="138">
        <f>-O196</f>
        <v/>
      </c>
      <c r="P28" s="138">
        <f>-P196</f>
        <v/>
      </c>
      <c r="Q28" s="138">
        <f>-Q196</f>
        <v/>
      </c>
      <c r="R28" s="138">
        <f>-R196</f>
        <v/>
      </c>
      <c r="S28" s="138">
        <f>-S196</f>
        <v/>
      </c>
      <c r="T28" s="138">
        <f>-T196</f>
        <v/>
      </c>
      <c r="U28" s="138">
        <f>-U196</f>
        <v/>
      </c>
      <c r="V28" s="138">
        <f>-V196</f>
        <v/>
      </c>
      <c r="W28" s="138">
        <f>-W196</f>
        <v/>
      </c>
      <c r="X28" s="138">
        <f>-X196</f>
        <v/>
      </c>
      <c r="Y28" s="138">
        <f>-Y196</f>
        <v/>
      </c>
      <c r="Z28" s="138">
        <f>-Z196</f>
        <v/>
      </c>
      <c r="AA28" s="138">
        <f>-AA196</f>
        <v/>
      </c>
      <c r="AB28" s="138">
        <f>-AB196</f>
        <v/>
      </c>
      <c r="AC28" s="138">
        <f>-AC196</f>
        <v/>
      </c>
      <c r="AD28" s="138">
        <f>-AD196</f>
        <v/>
      </c>
      <c r="AE28" s="138">
        <f>-AE196</f>
        <v/>
      </c>
      <c r="AF28" s="138">
        <f>-AF196</f>
        <v/>
      </c>
      <c r="AG28" s="138">
        <f>-AG196</f>
        <v/>
      </c>
      <c r="AH28" s="138">
        <f>-AH196</f>
        <v/>
      </c>
      <c r="AI28" s="138">
        <f>-AI196</f>
        <v/>
      </c>
      <c r="AJ28" s="138">
        <f>-AJ196</f>
        <v/>
      </c>
      <c r="AK28" s="138">
        <f>-AK196</f>
        <v/>
      </c>
      <c r="AL28" s="138">
        <f>-AL196</f>
        <v/>
      </c>
      <c r="AM28" s="138">
        <f>-AM196</f>
        <v/>
      </c>
      <c r="AN28" s="138">
        <f>-AN196</f>
        <v/>
      </c>
      <c r="AO28" s="138">
        <f>-AO196</f>
        <v/>
      </c>
      <c r="AP28" s="138">
        <f>-AP196</f>
        <v/>
      </c>
      <c r="AQ28" s="138">
        <f>-AQ196</f>
        <v/>
      </c>
      <c r="AR28" s="138">
        <f>-AR196</f>
        <v/>
      </c>
      <c r="AS28" s="138">
        <f>-AS196</f>
        <v/>
      </c>
      <c r="AT28" s="138">
        <f>-AT196</f>
        <v/>
      </c>
      <c r="AU28" s="138">
        <f>-AU196</f>
        <v/>
      </c>
      <c r="AV28" s="138">
        <f>-AV196</f>
        <v/>
      </c>
      <c r="AW28" s="138">
        <f>-AW196</f>
        <v/>
      </c>
      <c r="AX28" s="138">
        <f>-AX196</f>
        <v/>
      </c>
      <c r="AY28" s="138">
        <f>-AY196</f>
        <v/>
      </c>
      <c r="AZ28" s="138">
        <f>-AZ196</f>
        <v/>
      </c>
      <c r="BA28" s="138">
        <f>-BA196</f>
        <v/>
      </c>
    </row>
    <row r="29" ht="15" customHeight="1" s="91">
      <c r="A29" s="141" t="inlineStr">
        <is>
          <t xml:space="preserve">  Net Cash Flow - ZAN 4</t>
        </is>
      </c>
      <c r="B29" s="129" t="inlineStr">
        <is>
          <t>SAR</t>
        </is>
      </c>
      <c r="C29" s="138">
        <f>SUM(D29:BA29)</f>
        <v/>
      </c>
      <c r="D29" s="138">
        <f>D26+D27+D28</f>
        <v/>
      </c>
      <c r="E29" s="138">
        <f>E26+E27+E28</f>
        <v/>
      </c>
      <c r="F29" s="138">
        <f>F26+F27+F28</f>
        <v/>
      </c>
      <c r="G29" s="138">
        <f>G26+G27+G28</f>
        <v/>
      </c>
      <c r="H29" s="138">
        <f>H26+H27+H28</f>
        <v/>
      </c>
      <c r="I29" s="138">
        <f>I26+I27+I28</f>
        <v/>
      </c>
      <c r="J29" s="138">
        <f>J26+J27+J28</f>
        <v/>
      </c>
      <c r="K29" s="138">
        <f>K26+K27+K28</f>
        <v/>
      </c>
      <c r="L29" s="138">
        <f>L26+L27+L28</f>
        <v/>
      </c>
      <c r="M29" s="138">
        <f>M26+M27+M28</f>
        <v/>
      </c>
      <c r="N29" s="138">
        <f>N26+N27+N28</f>
        <v/>
      </c>
      <c r="O29" s="138">
        <f>O26+O27+O28</f>
        <v/>
      </c>
      <c r="P29" s="138">
        <f>P26+P27+P28</f>
        <v/>
      </c>
      <c r="Q29" s="138">
        <f>Q26+Q27+Q28</f>
        <v/>
      </c>
      <c r="R29" s="138">
        <f>R26+R27+R28</f>
        <v/>
      </c>
      <c r="S29" s="138">
        <f>S26+S27+S28</f>
        <v/>
      </c>
      <c r="T29" s="138">
        <f>T26+T27+T28</f>
        <v/>
      </c>
      <c r="U29" s="138">
        <f>U26+U27+U28</f>
        <v/>
      </c>
      <c r="V29" s="138">
        <f>V26+V27+V28</f>
        <v/>
      </c>
      <c r="W29" s="138">
        <f>W26+W27+W28</f>
        <v/>
      </c>
      <c r="X29" s="138">
        <f>X26+X27+X28</f>
        <v/>
      </c>
      <c r="Y29" s="138">
        <f>Y26+Y27+Y28</f>
        <v/>
      </c>
      <c r="Z29" s="138">
        <f>Z26+Z27+Z28</f>
        <v/>
      </c>
      <c r="AA29" s="138">
        <f>AA26+AA27+AA28</f>
        <v/>
      </c>
      <c r="AB29" s="138">
        <f>AB26+AB27+AB28</f>
        <v/>
      </c>
      <c r="AC29" s="138">
        <f>AC26+AC27+AC28</f>
        <v/>
      </c>
      <c r="AD29" s="138">
        <f>AD26+AD27+AD28</f>
        <v/>
      </c>
      <c r="AE29" s="138">
        <f>AE26+AE27+AE28</f>
        <v/>
      </c>
      <c r="AF29" s="138">
        <f>AF26+AF27+AF28</f>
        <v/>
      </c>
      <c r="AG29" s="138">
        <f>AG26+AG27+AG28</f>
        <v/>
      </c>
      <c r="AH29" s="138">
        <f>AH26+AH27+AH28</f>
        <v/>
      </c>
      <c r="AI29" s="138">
        <f>AI26+AI27+AI28</f>
        <v/>
      </c>
      <c r="AJ29" s="138">
        <f>AJ26+AJ27+AJ28</f>
        <v/>
      </c>
      <c r="AK29" s="138">
        <f>AK26+AK27+AK28</f>
        <v/>
      </c>
      <c r="AL29" s="138">
        <f>AL26+AL27+AL28</f>
        <v/>
      </c>
      <c r="AM29" s="138">
        <f>AM26+AM27+AM28</f>
        <v/>
      </c>
      <c r="AN29" s="138">
        <f>AN26+AN27+AN28</f>
        <v/>
      </c>
      <c r="AO29" s="138">
        <f>AO26+AO27+AO28</f>
        <v/>
      </c>
      <c r="AP29" s="138">
        <f>AP26+AP27+AP28</f>
        <v/>
      </c>
      <c r="AQ29" s="138">
        <f>AQ26+AQ27+AQ28</f>
        <v/>
      </c>
      <c r="AR29" s="138">
        <f>AR26+AR27+AR28</f>
        <v/>
      </c>
      <c r="AS29" s="138">
        <f>AS26+AS27+AS28</f>
        <v/>
      </c>
      <c r="AT29" s="138">
        <f>AT26+AT27+AT28</f>
        <v/>
      </c>
      <c r="AU29" s="138">
        <f>AU26+AU27+AU28</f>
        <v/>
      </c>
      <c r="AV29" s="138">
        <f>AV26+AV27+AV28</f>
        <v/>
      </c>
      <c r="AW29" s="138">
        <f>AW26+AW27+AW28</f>
        <v/>
      </c>
      <c r="AX29" s="138">
        <f>AX26+AX27+AX28</f>
        <v/>
      </c>
      <c r="AY29" s="138">
        <f>AY26+AY27+AY28</f>
        <v/>
      </c>
      <c r="AZ29" s="138">
        <f>AZ26+AZ27+AZ28</f>
        <v/>
      </c>
      <c r="BA29" s="138">
        <f>BA26+BA27+BA28</f>
        <v/>
      </c>
    </row>
    <row r="30" ht="15" customHeight="1" s="91">
      <c r="A30" s="100" t="inlineStr">
        <is>
          <t xml:space="preserve">  IRR - ZAN 4</t>
        </is>
      </c>
      <c r="B30" s="129" t="inlineStr">
        <is>
          <t>%</t>
        </is>
      </c>
      <c r="C30" s="135">
        <f>IFERROR(IRR(D29:BA29),"-")</f>
        <v/>
      </c>
    </row>
    <row r="32" ht="15" customHeight="1" s="91">
      <c r="A32" s="139" t="inlineStr">
        <is>
          <t>ZAN 5</t>
        </is>
      </c>
      <c r="B32" s="140" t="n"/>
      <c r="C32" s="140" t="n"/>
      <c r="D32" s="140" t="n"/>
      <c r="E32" s="140" t="n"/>
      <c r="F32" s="140" t="n"/>
      <c r="G32" s="140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40" t="n"/>
      <c r="U32" s="140" t="n"/>
      <c r="V32" s="140" t="n"/>
      <c r="W32" s="140" t="n"/>
      <c r="X32" s="140" t="n"/>
      <c r="Y32" s="140" t="n"/>
      <c r="Z32" s="140" t="n"/>
      <c r="AA32" s="140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  <c r="AK32" s="140" t="n"/>
      <c r="AL32" s="140" t="n"/>
      <c r="AM32" s="140" t="n"/>
      <c r="AN32" s="140" t="n"/>
      <c r="AO32" s="140" t="n"/>
      <c r="AP32" s="140" t="n"/>
      <c r="AQ32" s="140" t="n"/>
      <c r="AR32" s="140" t="n"/>
      <c r="AS32" s="140" t="n"/>
      <c r="AT32" s="140" t="n"/>
      <c r="AU32" s="140" t="n"/>
      <c r="AV32" s="140" t="n"/>
      <c r="AW32" s="140" t="n"/>
      <c r="AX32" s="140" t="n"/>
      <c r="AY32" s="140" t="n"/>
      <c r="AZ32" s="140" t="n"/>
      <c r="BA32" s="140" t="n"/>
    </row>
    <row r="33" ht="15" customHeight="1" s="91">
      <c r="A33" s="129" t="inlineStr">
        <is>
          <t xml:space="preserve">  Income  الإيرادات</t>
        </is>
      </c>
      <c r="B33" s="129" t="inlineStr">
        <is>
          <t>SAR</t>
        </is>
      </c>
      <c r="C33" s="138">
        <f>SUM(D33:BA33)</f>
        <v/>
      </c>
      <c r="D33" s="138">
        <f>D179</f>
        <v/>
      </c>
      <c r="E33" s="138">
        <f>E179</f>
        <v/>
      </c>
      <c r="F33" s="138">
        <f>F179</f>
        <v/>
      </c>
      <c r="G33" s="138">
        <f>G179</f>
        <v/>
      </c>
      <c r="H33" s="138">
        <f>H179</f>
        <v/>
      </c>
      <c r="I33" s="138">
        <f>I179</f>
        <v/>
      </c>
      <c r="J33" s="138">
        <f>J179</f>
        <v/>
      </c>
      <c r="K33" s="138">
        <f>K179</f>
        <v/>
      </c>
      <c r="L33" s="138">
        <f>L179</f>
        <v/>
      </c>
      <c r="M33" s="138">
        <f>M179</f>
        <v/>
      </c>
      <c r="N33" s="138">
        <f>N179</f>
        <v/>
      </c>
      <c r="O33" s="138">
        <f>O179</f>
        <v/>
      </c>
      <c r="P33" s="138">
        <f>P179</f>
        <v/>
      </c>
      <c r="Q33" s="138">
        <f>Q179</f>
        <v/>
      </c>
      <c r="R33" s="138">
        <f>R179</f>
        <v/>
      </c>
      <c r="S33" s="138">
        <f>S179</f>
        <v/>
      </c>
      <c r="T33" s="138">
        <f>T179</f>
        <v/>
      </c>
      <c r="U33" s="138">
        <f>U179</f>
        <v/>
      </c>
      <c r="V33" s="138">
        <f>V179</f>
        <v/>
      </c>
      <c r="W33" s="138">
        <f>W179</f>
        <v/>
      </c>
      <c r="X33" s="138">
        <f>X179</f>
        <v/>
      </c>
      <c r="Y33" s="138">
        <f>Y179</f>
        <v/>
      </c>
      <c r="Z33" s="138">
        <f>Z179</f>
        <v/>
      </c>
      <c r="AA33" s="138">
        <f>AA179</f>
        <v/>
      </c>
      <c r="AB33" s="138">
        <f>AB179</f>
        <v/>
      </c>
      <c r="AC33" s="138">
        <f>AC179</f>
        <v/>
      </c>
      <c r="AD33" s="138">
        <f>AD179</f>
        <v/>
      </c>
      <c r="AE33" s="138">
        <f>AE179</f>
        <v/>
      </c>
      <c r="AF33" s="138">
        <f>AF179</f>
        <v/>
      </c>
      <c r="AG33" s="138">
        <f>AG179</f>
        <v/>
      </c>
      <c r="AH33" s="138">
        <f>AH179</f>
        <v/>
      </c>
      <c r="AI33" s="138">
        <f>AI179</f>
        <v/>
      </c>
      <c r="AJ33" s="138">
        <f>AJ179</f>
        <v/>
      </c>
      <c r="AK33" s="138">
        <f>AK179</f>
        <v/>
      </c>
      <c r="AL33" s="138">
        <f>AL179</f>
        <v/>
      </c>
      <c r="AM33" s="138">
        <f>AM179</f>
        <v/>
      </c>
      <c r="AN33" s="138">
        <f>AN179</f>
        <v/>
      </c>
      <c r="AO33" s="138">
        <f>AO179</f>
        <v/>
      </c>
      <c r="AP33" s="138">
        <f>AP179</f>
        <v/>
      </c>
      <c r="AQ33" s="138">
        <f>AQ179</f>
        <v/>
      </c>
      <c r="AR33" s="138">
        <f>AR179</f>
        <v/>
      </c>
      <c r="AS33" s="138">
        <f>AS179</f>
        <v/>
      </c>
      <c r="AT33" s="138">
        <f>AT179</f>
        <v/>
      </c>
      <c r="AU33" s="138">
        <f>AU179</f>
        <v/>
      </c>
      <c r="AV33" s="138">
        <f>AV179</f>
        <v/>
      </c>
      <c r="AW33" s="138">
        <f>AW179</f>
        <v/>
      </c>
      <c r="AX33" s="138">
        <f>AX179</f>
        <v/>
      </c>
      <c r="AY33" s="138">
        <f>AY179</f>
        <v/>
      </c>
      <c r="AZ33" s="138">
        <f>AZ179</f>
        <v/>
      </c>
      <c r="BA33" s="138">
        <f>BA179</f>
        <v/>
      </c>
    </row>
    <row r="34" ht="15" customHeight="1" s="91">
      <c r="A34" s="129" t="inlineStr">
        <is>
          <t xml:space="preserve">  Land Rent  إيجار الأرض</t>
        </is>
      </c>
      <c r="B34" s="129" t="inlineStr">
        <is>
          <t>SAR</t>
        </is>
      </c>
      <c r="C34" s="138">
        <f>SUM(D34:BA34)</f>
        <v/>
      </c>
      <c r="D34" s="138">
        <f>0</f>
        <v/>
      </c>
      <c r="E34" s="138">
        <f>0</f>
        <v/>
      </c>
      <c r="F34" s="138">
        <f>0</f>
        <v/>
      </c>
      <c r="G34" s="138">
        <f>0</f>
        <v/>
      </c>
      <c r="H34" s="138">
        <f>0</f>
        <v/>
      </c>
      <c r="I34" s="138">
        <f>0</f>
        <v/>
      </c>
      <c r="J34" s="138">
        <f>0</f>
        <v/>
      </c>
      <c r="K34" s="138">
        <f>0</f>
        <v/>
      </c>
      <c r="L34" s="138">
        <f>0</f>
        <v/>
      </c>
      <c r="M34" s="138">
        <f>0</f>
        <v/>
      </c>
      <c r="N34" s="138">
        <f>0</f>
        <v/>
      </c>
      <c r="O34" s="138">
        <f>0</f>
        <v/>
      </c>
      <c r="P34" s="138">
        <f>0</f>
        <v/>
      </c>
      <c r="Q34" s="138">
        <f>0</f>
        <v/>
      </c>
      <c r="R34" s="138">
        <f>0</f>
        <v/>
      </c>
      <c r="S34" s="138">
        <f>0</f>
        <v/>
      </c>
      <c r="T34" s="138">
        <f>0</f>
        <v/>
      </c>
      <c r="U34" s="138">
        <f>0</f>
        <v/>
      </c>
      <c r="V34" s="138">
        <f>0</f>
        <v/>
      </c>
      <c r="W34" s="138">
        <f>0</f>
        <v/>
      </c>
      <c r="X34" s="138">
        <f>0</f>
        <v/>
      </c>
      <c r="Y34" s="138">
        <f>0</f>
        <v/>
      </c>
      <c r="Z34" s="138">
        <f>0</f>
        <v/>
      </c>
      <c r="AA34" s="138">
        <f>0</f>
        <v/>
      </c>
      <c r="AB34" s="138">
        <f>0</f>
        <v/>
      </c>
      <c r="AC34" s="138">
        <f>0</f>
        <v/>
      </c>
      <c r="AD34" s="138">
        <f>0</f>
        <v/>
      </c>
      <c r="AE34" s="138">
        <f>0</f>
        <v/>
      </c>
      <c r="AF34" s="138">
        <f>0</f>
        <v/>
      </c>
      <c r="AG34" s="138">
        <f>0</f>
        <v/>
      </c>
      <c r="AH34" s="138">
        <f>0</f>
        <v/>
      </c>
      <c r="AI34" s="138">
        <f>0</f>
        <v/>
      </c>
      <c r="AJ34" s="138">
        <f>0</f>
        <v/>
      </c>
      <c r="AK34" s="138">
        <f>0</f>
        <v/>
      </c>
      <c r="AL34" s="138">
        <f>0</f>
        <v/>
      </c>
      <c r="AM34" s="138">
        <f>0</f>
        <v/>
      </c>
      <c r="AN34" s="138">
        <f>0</f>
        <v/>
      </c>
      <c r="AO34" s="138">
        <f>0</f>
        <v/>
      </c>
      <c r="AP34" s="138">
        <f>0</f>
        <v/>
      </c>
      <c r="AQ34" s="138">
        <f>0</f>
        <v/>
      </c>
      <c r="AR34" s="138">
        <f>0</f>
        <v/>
      </c>
      <c r="AS34" s="138">
        <f>0</f>
        <v/>
      </c>
      <c r="AT34" s="138">
        <f>0</f>
        <v/>
      </c>
      <c r="AU34" s="138">
        <f>0</f>
        <v/>
      </c>
      <c r="AV34" s="138">
        <f>0</f>
        <v/>
      </c>
      <c r="AW34" s="138">
        <f>0</f>
        <v/>
      </c>
      <c r="AX34" s="138">
        <f>0</f>
        <v/>
      </c>
      <c r="AY34" s="138">
        <f>0</f>
        <v/>
      </c>
      <c r="AZ34" s="138">
        <f>0</f>
        <v/>
      </c>
      <c r="BA34" s="138">
        <f>0</f>
        <v/>
      </c>
    </row>
    <row r="35" ht="15" customHeight="1" s="91">
      <c r="A35" s="129" t="inlineStr">
        <is>
          <t xml:space="preserve">  Development CAPEX  تكاليف التطوير</t>
        </is>
      </c>
      <c r="B35" s="129" t="inlineStr">
        <is>
          <t>SAR</t>
        </is>
      </c>
      <c r="C35" s="138">
        <f>SUM(D35:BA35)</f>
        <v/>
      </c>
      <c r="D35" s="138">
        <f>-D197</f>
        <v/>
      </c>
      <c r="E35" s="138">
        <f>-E197</f>
        <v/>
      </c>
      <c r="F35" s="138">
        <f>-F197</f>
        <v/>
      </c>
      <c r="G35" s="138">
        <f>-G197</f>
        <v/>
      </c>
      <c r="H35" s="138">
        <f>-H197</f>
        <v/>
      </c>
      <c r="I35" s="138">
        <f>-I197</f>
        <v/>
      </c>
      <c r="J35" s="138">
        <f>-J197</f>
        <v/>
      </c>
      <c r="K35" s="138">
        <f>-K197</f>
        <v/>
      </c>
      <c r="L35" s="138">
        <f>-L197</f>
        <v/>
      </c>
      <c r="M35" s="138">
        <f>-M197</f>
        <v/>
      </c>
      <c r="N35" s="138">
        <f>-N197</f>
        <v/>
      </c>
      <c r="O35" s="138">
        <f>-O197</f>
        <v/>
      </c>
      <c r="P35" s="138">
        <f>-P197</f>
        <v/>
      </c>
      <c r="Q35" s="138">
        <f>-Q197</f>
        <v/>
      </c>
      <c r="R35" s="138">
        <f>-R197</f>
        <v/>
      </c>
      <c r="S35" s="138">
        <f>-S197</f>
        <v/>
      </c>
      <c r="T35" s="138">
        <f>-T197</f>
        <v/>
      </c>
      <c r="U35" s="138">
        <f>-U197</f>
        <v/>
      </c>
      <c r="V35" s="138">
        <f>-V197</f>
        <v/>
      </c>
      <c r="W35" s="138">
        <f>-W197</f>
        <v/>
      </c>
      <c r="X35" s="138">
        <f>-X197</f>
        <v/>
      </c>
      <c r="Y35" s="138">
        <f>-Y197</f>
        <v/>
      </c>
      <c r="Z35" s="138">
        <f>-Z197</f>
        <v/>
      </c>
      <c r="AA35" s="138">
        <f>-AA197</f>
        <v/>
      </c>
      <c r="AB35" s="138">
        <f>-AB197</f>
        <v/>
      </c>
      <c r="AC35" s="138">
        <f>-AC197</f>
        <v/>
      </c>
      <c r="AD35" s="138">
        <f>-AD197</f>
        <v/>
      </c>
      <c r="AE35" s="138">
        <f>-AE197</f>
        <v/>
      </c>
      <c r="AF35" s="138">
        <f>-AF197</f>
        <v/>
      </c>
      <c r="AG35" s="138">
        <f>-AG197</f>
        <v/>
      </c>
      <c r="AH35" s="138">
        <f>-AH197</f>
        <v/>
      </c>
      <c r="AI35" s="138">
        <f>-AI197</f>
        <v/>
      </c>
      <c r="AJ35" s="138">
        <f>-AJ197</f>
        <v/>
      </c>
      <c r="AK35" s="138">
        <f>-AK197</f>
        <v/>
      </c>
      <c r="AL35" s="138">
        <f>-AL197</f>
        <v/>
      </c>
      <c r="AM35" s="138">
        <f>-AM197</f>
        <v/>
      </c>
      <c r="AN35" s="138">
        <f>-AN197</f>
        <v/>
      </c>
      <c r="AO35" s="138">
        <f>-AO197</f>
        <v/>
      </c>
      <c r="AP35" s="138">
        <f>-AP197</f>
        <v/>
      </c>
      <c r="AQ35" s="138">
        <f>-AQ197</f>
        <v/>
      </c>
      <c r="AR35" s="138">
        <f>-AR197</f>
        <v/>
      </c>
      <c r="AS35" s="138">
        <f>-AS197</f>
        <v/>
      </c>
      <c r="AT35" s="138">
        <f>-AT197</f>
        <v/>
      </c>
      <c r="AU35" s="138">
        <f>-AU197</f>
        <v/>
      </c>
      <c r="AV35" s="138">
        <f>-AV197</f>
        <v/>
      </c>
      <c r="AW35" s="138">
        <f>-AW197</f>
        <v/>
      </c>
      <c r="AX35" s="138">
        <f>-AX197</f>
        <v/>
      </c>
      <c r="AY35" s="138">
        <f>-AY197</f>
        <v/>
      </c>
      <c r="AZ35" s="138">
        <f>-AZ197</f>
        <v/>
      </c>
      <c r="BA35" s="138">
        <f>-BA197</f>
        <v/>
      </c>
    </row>
    <row r="36" ht="15" customHeight="1" s="91">
      <c r="A36" s="141" t="inlineStr">
        <is>
          <t xml:space="preserve">  Net Cash Flow - ZAN 5</t>
        </is>
      </c>
      <c r="B36" s="129" t="inlineStr">
        <is>
          <t>SAR</t>
        </is>
      </c>
      <c r="C36" s="138">
        <f>SUM(D36:BA36)</f>
        <v/>
      </c>
      <c r="D36" s="138">
        <f>D33+D34+D35</f>
        <v/>
      </c>
      <c r="E36" s="138">
        <f>E33+E34+E35</f>
        <v/>
      </c>
      <c r="F36" s="138">
        <f>F33+F34+F35</f>
        <v/>
      </c>
      <c r="G36" s="138">
        <f>G33+G34+G35</f>
        <v/>
      </c>
      <c r="H36" s="138">
        <f>H33+H34+H35</f>
        <v/>
      </c>
      <c r="I36" s="138">
        <f>I33+I34+I35</f>
        <v/>
      </c>
      <c r="J36" s="138">
        <f>J33+J34+J35</f>
        <v/>
      </c>
      <c r="K36" s="138">
        <f>K33+K34+K35</f>
        <v/>
      </c>
      <c r="L36" s="138">
        <f>L33+L34+L35</f>
        <v/>
      </c>
      <c r="M36" s="138">
        <f>M33+M34+M35</f>
        <v/>
      </c>
      <c r="N36" s="138">
        <f>N33+N34+N35</f>
        <v/>
      </c>
      <c r="O36" s="138">
        <f>O33+O34+O35</f>
        <v/>
      </c>
      <c r="P36" s="138">
        <f>P33+P34+P35</f>
        <v/>
      </c>
      <c r="Q36" s="138">
        <f>Q33+Q34+Q35</f>
        <v/>
      </c>
      <c r="R36" s="138">
        <f>R33+R34+R35</f>
        <v/>
      </c>
      <c r="S36" s="138">
        <f>S33+S34+S35</f>
        <v/>
      </c>
      <c r="T36" s="138">
        <f>T33+T34+T35</f>
        <v/>
      </c>
      <c r="U36" s="138">
        <f>U33+U34+U35</f>
        <v/>
      </c>
      <c r="V36" s="138">
        <f>V33+V34+V35</f>
        <v/>
      </c>
      <c r="W36" s="138">
        <f>W33+W34+W35</f>
        <v/>
      </c>
      <c r="X36" s="138">
        <f>X33+X34+X35</f>
        <v/>
      </c>
      <c r="Y36" s="138">
        <f>Y33+Y34+Y35</f>
        <v/>
      </c>
      <c r="Z36" s="138">
        <f>Z33+Z34+Z35</f>
        <v/>
      </c>
      <c r="AA36" s="138">
        <f>AA33+AA34+AA35</f>
        <v/>
      </c>
      <c r="AB36" s="138">
        <f>AB33+AB34+AB35</f>
        <v/>
      </c>
      <c r="AC36" s="138">
        <f>AC33+AC34+AC35</f>
        <v/>
      </c>
      <c r="AD36" s="138">
        <f>AD33+AD34+AD35</f>
        <v/>
      </c>
      <c r="AE36" s="138">
        <f>AE33+AE34+AE35</f>
        <v/>
      </c>
      <c r="AF36" s="138">
        <f>AF33+AF34+AF35</f>
        <v/>
      </c>
      <c r="AG36" s="138">
        <f>AG33+AG34+AG35</f>
        <v/>
      </c>
      <c r="AH36" s="138">
        <f>AH33+AH34+AH35</f>
        <v/>
      </c>
      <c r="AI36" s="138">
        <f>AI33+AI34+AI35</f>
        <v/>
      </c>
      <c r="AJ36" s="138">
        <f>AJ33+AJ34+AJ35</f>
        <v/>
      </c>
      <c r="AK36" s="138">
        <f>AK33+AK34+AK35</f>
        <v/>
      </c>
      <c r="AL36" s="138">
        <f>AL33+AL34+AL35</f>
        <v/>
      </c>
      <c r="AM36" s="138">
        <f>AM33+AM34+AM35</f>
        <v/>
      </c>
      <c r="AN36" s="138">
        <f>AN33+AN34+AN35</f>
        <v/>
      </c>
      <c r="AO36" s="138">
        <f>AO33+AO34+AO35</f>
        <v/>
      </c>
      <c r="AP36" s="138">
        <f>AP33+AP34+AP35</f>
        <v/>
      </c>
      <c r="AQ36" s="138">
        <f>AQ33+AQ34+AQ35</f>
        <v/>
      </c>
      <c r="AR36" s="138">
        <f>AR33+AR34+AR35</f>
        <v/>
      </c>
      <c r="AS36" s="138">
        <f>AS33+AS34+AS35</f>
        <v/>
      </c>
      <c r="AT36" s="138">
        <f>AT33+AT34+AT35</f>
        <v/>
      </c>
      <c r="AU36" s="138">
        <f>AU33+AU34+AU35</f>
        <v/>
      </c>
      <c r="AV36" s="138">
        <f>AV33+AV34+AV35</f>
        <v/>
      </c>
      <c r="AW36" s="138">
        <f>AW33+AW34+AW35</f>
        <v/>
      </c>
      <c r="AX36" s="138">
        <f>AX33+AX34+AX35</f>
        <v/>
      </c>
      <c r="AY36" s="138">
        <f>AY33+AY34+AY35</f>
        <v/>
      </c>
      <c r="AZ36" s="138">
        <f>AZ33+AZ34+AZ35</f>
        <v/>
      </c>
      <c r="BA36" s="138">
        <f>BA33+BA34+BA35</f>
        <v/>
      </c>
    </row>
    <row r="37" ht="15" customHeight="1" s="91">
      <c r="A37" s="100" t="inlineStr">
        <is>
          <t xml:space="preserve">  IRR - ZAN 5</t>
        </is>
      </c>
      <c r="B37" s="129" t="inlineStr">
        <is>
          <t>%</t>
        </is>
      </c>
      <c r="C37" s="135">
        <f>IFERROR(IRR(D36:BA36),"-")</f>
        <v/>
      </c>
    </row>
    <row r="39" ht="15" customHeight="1" s="91">
      <c r="A39" s="139" t="inlineStr">
        <is>
          <t>ZAN 6</t>
        </is>
      </c>
      <c r="B39" s="140" t="n"/>
      <c r="C39" s="140" t="n"/>
      <c r="D39" s="140" t="n"/>
      <c r="E39" s="140" t="n"/>
      <c r="F39" s="140" t="n"/>
      <c r="G39" s="140" t="n"/>
      <c r="H39" s="140" t="n"/>
      <c r="I39" s="140" t="n"/>
      <c r="J39" s="140" t="n"/>
      <c r="K39" s="140" t="n"/>
      <c r="L39" s="140" t="n"/>
      <c r="M39" s="140" t="n"/>
      <c r="N39" s="140" t="n"/>
      <c r="O39" s="140" t="n"/>
      <c r="P39" s="140" t="n"/>
      <c r="Q39" s="140" t="n"/>
      <c r="R39" s="140" t="n"/>
      <c r="S39" s="140" t="n"/>
      <c r="T39" s="140" t="n"/>
      <c r="U39" s="140" t="n"/>
      <c r="V39" s="140" t="n"/>
      <c r="W39" s="140" t="n"/>
      <c r="X39" s="140" t="n"/>
      <c r="Y39" s="140" t="n"/>
      <c r="Z39" s="140" t="n"/>
      <c r="AA39" s="140" t="n"/>
      <c r="AB39" s="140" t="n"/>
      <c r="AC39" s="140" t="n"/>
      <c r="AD39" s="140" t="n"/>
      <c r="AE39" s="140" t="n"/>
      <c r="AF39" s="140" t="n"/>
      <c r="AG39" s="140" t="n"/>
      <c r="AH39" s="140" t="n"/>
      <c r="AI39" s="140" t="n"/>
      <c r="AJ39" s="140" t="n"/>
      <c r="AK39" s="140" t="n"/>
      <c r="AL39" s="140" t="n"/>
      <c r="AM39" s="140" t="n"/>
      <c r="AN39" s="140" t="n"/>
      <c r="AO39" s="140" t="n"/>
      <c r="AP39" s="140" t="n"/>
      <c r="AQ39" s="140" t="n"/>
      <c r="AR39" s="140" t="n"/>
      <c r="AS39" s="140" t="n"/>
      <c r="AT39" s="140" t="n"/>
      <c r="AU39" s="140" t="n"/>
      <c r="AV39" s="140" t="n"/>
      <c r="AW39" s="140" t="n"/>
      <c r="AX39" s="140" t="n"/>
      <c r="AY39" s="140" t="n"/>
      <c r="AZ39" s="140" t="n"/>
      <c r="BA39" s="140" t="n"/>
    </row>
    <row r="40" ht="15" customHeight="1" s="91">
      <c r="A40" s="129" t="inlineStr">
        <is>
          <t xml:space="preserve">  Income  الإيرادات</t>
        </is>
      </c>
      <c r="B40" s="129" t="inlineStr">
        <is>
          <t>SAR</t>
        </is>
      </c>
      <c r="C40" s="138">
        <f>SUM(D40:BA40)</f>
        <v/>
      </c>
      <c r="D40" s="138">
        <f>D180</f>
        <v/>
      </c>
      <c r="E40" s="138">
        <f>E180</f>
        <v/>
      </c>
      <c r="F40" s="138">
        <f>F180</f>
        <v/>
      </c>
      <c r="G40" s="138">
        <f>G180</f>
        <v/>
      </c>
      <c r="H40" s="138">
        <f>H180</f>
        <v/>
      </c>
      <c r="I40" s="138">
        <f>I180</f>
        <v/>
      </c>
      <c r="J40" s="138">
        <f>J180</f>
        <v/>
      </c>
      <c r="K40" s="138">
        <f>K180</f>
        <v/>
      </c>
      <c r="L40" s="138">
        <f>L180</f>
        <v/>
      </c>
      <c r="M40" s="138">
        <f>M180</f>
        <v/>
      </c>
      <c r="N40" s="138">
        <f>N180</f>
        <v/>
      </c>
      <c r="O40" s="138">
        <f>O180</f>
        <v/>
      </c>
      <c r="P40" s="138">
        <f>P180</f>
        <v/>
      </c>
      <c r="Q40" s="138">
        <f>Q180</f>
        <v/>
      </c>
      <c r="R40" s="138">
        <f>R180</f>
        <v/>
      </c>
      <c r="S40" s="138">
        <f>S180</f>
        <v/>
      </c>
      <c r="T40" s="138">
        <f>T180</f>
        <v/>
      </c>
      <c r="U40" s="138">
        <f>U180</f>
        <v/>
      </c>
      <c r="V40" s="138">
        <f>V180</f>
        <v/>
      </c>
      <c r="W40" s="138">
        <f>W180</f>
        <v/>
      </c>
      <c r="X40" s="138">
        <f>X180</f>
        <v/>
      </c>
      <c r="Y40" s="138">
        <f>Y180</f>
        <v/>
      </c>
      <c r="Z40" s="138">
        <f>Z180</f>
        <v/>
      </c>
      <c r="AA40" s="138">
        <f>AA180</f>
        <v/>
      </c>
      <c r="AB40" s="138">
        <f>AB180</f>
        <v/>
      </c>
      <c r="AC40" s="138">
        <f>AC180</f>
        <v/>
      </c>
      <c r="AD40" s="138">
        <f>AD180</f>
        <v/>
      </c>
      <c r="AE40" s="138">
        <f>AE180</f>
        <v/>
      </c>
      <c r="AF40" s="138">
        <f>AF180</f>
        <v/>
      </c>
      <c r="AG40" s="138">
        <f>AG180</f>
        <v/>
      </c>
      <c r="AH40" s="138">
        <f>AH180</f>
        <v/>
      </c>
      <c r="AI40" s="138">
        <f>AI180</f>
        <v/>
      </c>
      <c r="AJ40" s="138">
        <f>AJ180</f>
        <v/>
      </c>
      <c r="AK40" s="138">
        <f>AK180</f>
        <v/>
      </c>
      <c r="AL40" s="138">
        <f>AL180</f>
        <v/>
      </c>
      <c r="AM40" s="138">
        <f>AM180</f>
        <v/>
      </c>
      <c r="AN40" s="138">
        <f>AN180</f>
        <v/>
      </c>
      <c r="AO40" s="138">
        <f>AO180</f>
        <v/>
      </c>
      <c r="AP40" s="138">
        <f>AP180</f>
        <v/>
      </c>
      <c r="AQ40" s="138">
        <f>AQ180</f>
        <v/>
      </c>
      <c r="AR40" s="138">
        <f>AR180</f>
        <v/>
      </c>
      <c r="AS40" s="138">
        <f>AS180</f>
        <v/>
      </c>
      <c r="AT40" s="138">
        <f>AT180</f>
        <v/>
      </c>
      <c r="AU40" s="138">
        <f>AU180</f>
        <v/>
      </c>
      <c r="AV40" s="138">
        <f>AV180</f>
        <v/>
      </c>
      <c r="AW40" s="138">
        <f>AW180</f>
        <v/>
      </c>
      <c r="AX40" s="138">
        <f>AX180</f>
        <v/>
      </c>
      <c r="AY40" s="138">
        <f>AY180</f>
        <v/>
      </c>
      <c r="AZ40" s="138">
        <f>AZ180</f>
        <v/>
      </c>
      <c r="BA40" s="138">
        <f>BA180</f>
        <v/>
      </c>
    </row>
    <row r="41" ht="15" customHeight="1" s="91">
      <c r="A41" s="129" t="inlineStr">
        <is>
          <t xml:space="preserve">  Land Rent  إيجار الأرض</t>
        </is>
      </c>
      <c r="B41" s="129" t="inlineStr">
        <is>
          <t>SAR</t>
        </is>
      </c>
      <c r="C41" s="138">
        <f>SUM(D41:BA41)</f>
        <v/>
      </c>
      <c r="D41" s="138">
        <f>0</f>
        <v/>
      </c>
      <c r="E41" s="138">
        <f>0</f>
        <v/>
      </c>
      <c r="F41" s="138">
        <f>0</f>
        <v/>
      </c>
      <c r="G41" s="138">
        <f>0</f>
        <v/>
      </c>
      <c r="H41" s="138">
        <f>0</f>
        <v/>
      </c>
      <c r="I41" s="138">
        <f>0</f>
        <v/>
      </c>
      <c r="J41" s="138">
        <f>0</f>
        <v/>
      </c>
      <c r="K41" s="138">
        <f>0</f>
        <v/>
      </c>
      <c r="L41" s="138">
        <f>0</f>
        <v/>
      </c>
      <c r="M41" s="138">
        <f>0</f>
        <v/>
      </c>
      <c r="N41" s="138">
        <f>0</f>
        <v/>
      </c>
      <c r="O41" s="138">
        <f>0</f>
        <v/>
      </c>
      <c r="P41" s="138">
        <f>0</f>
        <v/>
      </c>
      <c r="Q41" s="138">
        <f>0</f>
        <v/>
      </c>
      <c r="R41" s="138">
        <f>0</f>
        <v/>
      </c>
      <c r="S41" s="138">
        <f>0</f>
        <v/>
      </c>
      <c r="T41" s="138">
        <f>0</f>
        <v/>
      </c>
      <c r="U41" s="138">
        <f>0</f>
        <v/>
      </c>
      <c r="V41" s="138">
        <f>0</f>
        <v/>
      </c>
      <c r="W41" s="138">
        <f>0</f>
        <v/>
      </c>
      <c r="X41" s="138">
        <f>0</f>
        <v/>
      </c>
      <c r="Y41" s="138">
        <f>0</f>
        <v/>
      </c>
      <c r="Z41" s="138">
        <f>0</f>
        <v/>
      </c>
      <c r="AA41" s="138">
        <f>0</f>
        <v/>
      </c>
      <c r="AB41" s="138">
        <f>0</f>
        <v/>
      </c>
      <c r="AC41" s="138">
        <f>0</f>
        <v/>
      </c>
      <c r="AD41" s="138">
        <f>0</f>
        <v/>
      </c>
      <c r="AE41" s="138">
        <f>0</f>
        <v/>
      </c>
      <c r="AF41" s="138">
        <f>0</f>
        <v/>
      </c>
      <c r="AG41" s="138">
        <f>0</f>
        <v/>
      </c>
      <c r="AH41" s="138">
        <f>0</f>
        <v/>
      </c>
      <c r="AI41" s="138">
        <f>0</f>
        <v/>
      </c>
      <c r="AJ41" s="138">
        <f>0</f>
        <v/>
      </c>
      <c r="AK41" s="138">
        <f>0</f>
        <v/>
      </c>
      <c r="AL41" s="138">
        <f>0</f>
        <v/>
      </c>
      <c r="AM41" s="138">
        <f>0</f>
        <v/>
      </c>
      <c r="AN41" s="138">
        <f>0</f>
        <v/>
      </c>
      <c r="AO41" s="138">
        <f>0</f>
        <v/>
      </c>
      <c r="AP41" s="138">
        <f>0</f>
        <v/>
      </c>
      <c r="AQ41" s="138">
        <f>0</f>
        <v/>
      </c>
      <c r="AR41" s="138">
        <f>0</f>
        <v/>
      </c>
      <c r="AS41" s="138">
        <f>0</f>
        <v/>
      </c>
      <c r="AT41" s="138">
        <f>0</f>
        <v/>
      </c>
      <c r="AU41" s="138">
        <f>0</f>
        <v/>
      </c>
      <c r="AV41" s="138">
        <f>0</f>
        <v/>
      </c>
      <c r="AW41" s="138">
        <f>0</f>
        <v/>
      </c>
      <c r="AX41" s="138">
        <f>0</f>
        <v/>
      </c>
      <c r="AY41" s="138">
        <f>0</f>
        <v/>
      </c>
      <c r="AZ41" s="138">
        <f>0</f>
        <v/>
      </c>
      <c r="BA41" s="138">
        <f>0</f>
        <v/>
      </c>
    </row>
    <row r="42" ht="15" customHeight="1" s="91">
      <c r="A42" s="129" t="inlineStr">
        <is>
          <t xml:space="preserve">  Development CAPEX  تكاليف التطوير</t>
        </is>
      </c>
      <c r="B42" s="129" t="inlineStr">
        <is>
          <t>SAR</t>
        </is>
      </c>
      <c r="C42" s="138">
        <f>SUM(D42:BA42)</f>
        <v/>
      </c>
      <c r="D42" s="138">
        <f>-D198</f>
        <v/>
      </c>
      <c r="E42" s="138">
        <f>-E198</f>
        <v/>
      </c>
      <c r="F42" s="138">
        <f>-F198</f>
        <v/>
      </c>
      <c r="G42" s="138">
        <f>-G198</f>
        <v/>
      </c>
      <c r="H42" s="138">
        <f>-H198</f>
        <v/>
      </c>
      <c r="I42" s="138">
        <f>-I198</f>
        <v/>
      </c>
      <c r="J42" s="138">
        <f>-J198</f>
        <v/>
      </c>
      <c r="K42" s="138">
        <f>-K198</f>
        <v/>
      </c>
      <c r="L42" s="138">
        <f>-L198</f>
        <v/>
      </c>
      <c r="M42" s="138">
        <f>-M198</f>
        <v/>
      </c>
      <c r="N42" s="138">
        <f>-N198</f>
        <v/>
      </c>
      <c r="O42" s="138">
        <f>-O198</f>
        <v/>
      </c>
      <c r="P42" s="138">
        <f>-P198</f>
        <v/>
      </c>
      <c r="Q42" s="138">
        <f>-Q198</f>
        <v/>
      </c>
      <c r="R42" s="138">
        <f>-R198</f>
        <v/>
      </c>
      <c r="S42" s="138">
        <f>-S198</f>
        <v/>
      </c>
      <c r="T42" s="138">
        <f>-T198</f>
        <v/>
      </c>
      <c r="U42" s="138">
        <f>-U198</f>
        <v/>
      </c>
      <c r="V42" s="138">
        <f>-V198</f>
        <v/>
      </c>
      <c r="W42" s="138">
        <f>-W198</f>
        <v/>
      </c>
      <c r="X42" s="138">
        <f>-X198</f>
        <v/>
      </c>
      <c r="Y42" s="138">
        <f>-Y198</f>
        <v/>
      </c>
      <c r="Z42" s="138">
        <f>-Z198</f>
        <v/>
      </c>
      <c r="AA42" s="138">
        <f>-AA198</f>
        <v/>
      </c>
      <c r="AB42" s="138">
        <f>-AB198</f>
        <v/>
      </c>
      <c r="AC42" s="138">
        <f>-AC198</f>
        <v/>
      </c>
      <c r="AD42" s="138">
        <f>-AD198</f>
        <v/>
      </c>
      <c r="AE42" s="138">
        <f>-AE198</f>
        <v/>
      </c>
      <c r="AF42" s="138">
        <f>-AF198</f>
        <v/>
      </c>
      <c r="AG42" s="138">
        <f>-AG198</f>
        <v/>
      </c>
      <c r="AH42" s="138">
        <f>-AH198</f>
        <v/>
      </c>
      <c r="AI42" s="138">
        <f>-AI198</f>
        <v/>
      </c>
      <c r="AJ42" s="138">
        <f>-AJ198</f>
        <v/>
      </c>
      <c r="AK42" s="138">
        <f>-AK198</f>
        <v/>
      </c>
      <c r="AL42" s="138">
        <f>-AL198</f>
        <v/>
      </c>
      <c r="AM42" s="138">
        <f>-AM198</f>
        <v/>
      </c>
      <c r="AN42" s="138">
        <f>-AN198</f>
        <v/>
      </c>
      <c r="AO42" s="138">
        <f>-AO198</f>
        <v/>
      </c>
      <c r="AP42" s="138">
        <f>-AP198</f>
        <v/>
      </c>
      <c r="AQ42" s="138">
        <f>-AQ198</f>
        <v/>
      </c>
      <c r="AR42" s="138">
        <f>-AR198</f>
        <v/>
      </c>
      <c r="AS42" s="138">
        <f>-AS198</f>
        <v/>
      </c>
      <c r="AT42" s="138">
        <f>-AT198</f>
        <v/>
      </c>
      <c r="AU42" s="138">
        <f>-AU198</f>
        <v/>
      </c>
      <c r="AV42" s="138">
        <f>-AV198</f>
        <v/>
      </c>
      <c r="AW42" s="138">
        <f>-AW198</f>
        <v/>
      </c>
      <c r="AX42" s="138">
        <f>-AX198</f>
        <v/>
      </c>
      <c r="AY42" s="138">
        <f>-AY198</f>
        <v/>
      </c>
      <c r="AZ42" s="138">
        <f>-AZ198</f>
        <v/>
      </c>
      <c r="BA42" s="138">
        <f>-BA198</f>
        <v/>
      </c>
    </row>
    <row r="43" ht="15" customHeight="1" s="91">
      <c r="A43" s="141" t="inlineStr">
        <is>
          <t xml:space="preserve">  Net Cash Flow - ZAN 6</t>
        </is>
      </c>
      <c r="B43" s="129" t="inlineStr">
        <is>
          <t>SAR</t>
        </is>
      </c>
      <c r="C43" s="138">
        <f>SUM(D43:BA43)</f>
        <v/>
      </c>
      <c r="D43" s="138">
        <f>D40+D41+D42</f>
        <v/>
      </c>
      <c r="E43" s="138">
        <f>E40+E41+E42</f>
        <v/>
      </c>
      <c r="F43" s="138">
        <f>F40+F41+F42</f>
        <v/>
      </c>
      <c r="G43" s="138">
        <f>G40+G41+G42</f>
        <v/>
      </c>
      <c r="H43" s="138">
        <f>H40+H41+H42</f>
        <v/>
      </c>
      <c r="I43" s="138">
        <f>I40+I41+I42</f>
        <v/>
      </c>
      <c r="J43" s="138">
        <f>J40+J41+J42</f>
        <v/>
      </c>
      <c r="K43" s="138">
        <f>K40+K41+K42</f>
        <v/>
      </c>
      <c r="L43" s="138">
        <f>L40+L41+L42</f>
        <v/>
      </c>
      <c r="M43" s="138">
        <f>M40+M41+M42</f>
        <v/>
      </c>
      <c r="N43" s="138">
        <f>N40+N41+N42</f>
        <v/>
      </c>
      <c r="O43" s="138">
        <f>O40+O41+O42</f>
        <v/>
      </c>
      <c r="P43" s="138">
        <f>P40+P41+P42</f>
        <v/>
      </c>
      <c r="Q43" s="138">
        <f>Q40+Q41+Q42</f>
        <v/>
      </c>
      <c r="R43" s="138">
        <f>R40+R41+R42</f>
        <v/>
      </c>
      <c r="S43" s="138">
        <f>S40+S41+S42</f>
        <v/>
      </c>
      <c r="T43" s="138">
        <f>T40+T41+T42</f>
        <v/>
      </c>
      <c r="U43" s="138">
        <f>U40+U41+U42</f>
        <v/>
      </c>
      <c r="V43" s="138">
        <f>V40+V41+V42</f>
        <v/>
      </c>
      <c r="W43" s="138">
        <f>W40+W41+W42</f>
        <v/>
      </c>
      <c r="X43" s="138">
        <f>X40+X41+X42</f>
        <v/>
      </c>
      <c r="Y43" s="138">
        <f>Y40+Y41+Y42</f>
        <v/>
      </c>
      <c r="Z43" s="138">
        <f>Z40+Z41+Z42</f>
        <v/>
      </c>
      <c r="AA43" s="138">
        <f>AA40+AA41+AA42</f>
        <v/>
      </c>
      <c r="AB43" s="138">
        <f>AB40+AB41+AB42</f>
        <v/>
      </c>
      <c r="AC43" s="138">
        <f>AC40+AC41+AC42</f>
        <v/>
      </c>
      <c r="AD43" s="138">
        <f>AD40+AD41+AD42</f>
        <v/>
      </c>
      <c r="AE43" s="138">
        <f>AE40+AE41+AE42</f>
        <v/>
      </c>
      <c r="AF43" s="138">
        <f>AF40+AF41+AF42</f>
        <v/>
      </c>
      <c r="AG43" s="138">
        <f>AG40+AG41+AG42</f>
        <v/>
      </c>
      <c r="AH43" s="138">
        <f>AH40+AH41+AH42</f>
        <v/>
      </c>
      <c r="AI43" s="138">
        <f>AI40+AI41+AI42</f>
        <v/>
      </c>
      <c r="AJ43" s="138">
        <f>AJ40+AJ41+AJ42</f>
        <v/>
      </c>
      <c r="AK43" s="138">
        <f>AK40+AK41+AK42</f>
        <v/>
      </c>
      <c r="AL43" s="138">
        <f>AL40+AL41+AL42</f>
        <v/>
      </c>
      <c r="AM43" s="138">
        <f>AM40+AM41+AM42</f>
        <v/>
      </c>
      <c r="AN43" s="138">
        <f>AN40+AN41+AN42</f>
        <v/>
      </c>
      <c r="AO43" s="138">
        <f>AO40+AO41+AO42</f>
        <v/>
      </c>
      <c r="AP43" s="138">
        <f>AP40+AP41+AP42</f>
        <v/>
      </c>
      <c r="AQ43" s="138">
        <f>AQ40+AQ41+AQ42</f>
        <v/>
      </c>
      <c r="AR43" s="138">
        <f>AR40+AR41+AR42</f>
        <v/>
      </c>
      <c r="AS43" s="138">
        <f>AS40+AS41+AS42</f>
        <v/>
      </c>
      <c r="AT43" s="138">
        <f>AT40+AT41+AT42</f>
        <v/>
      </c>
      <c r="AU43" s="138">
        <f>AU40+AU41+AU42</f>
        <v/>
      </c>
      <c r="AV43" s="138">
        <f>AV40+AV41+AV42</f>
        <v/>
      </c>
      <c r="AW43" s="138">
        <f>AW40+AW41+AW42</f>
        <v/>
      </c>
      <c r="AX43" s="138">
        <f>AX40+AX41+AX42</f>
        <v/>
      </c>
      <c r="AY43" s="138">
        <f>AY40+AY41+AY42</f>
        <v/>
      </c>
      <c r="AZ43" s="138">
        <f>AZ40+AZ41+AZ42</f>
        <v/>
      </c>
      <c r="BA43" s="138">
        <f>BA40+BA41+BA42</f>
        <v/>
      </c>
    </row>
    <row r="44" ht="15" customHeight="1" s="91">
      <c r="A44" s="100" t="inlineStr">
        <is>
          <t xml:space="preserve">  IRR - ZAN 6</t>
        </is>
      </c>
      <c r="B44" s="129" t="inlineStr">
        <is>
          <t>%</t>
        </is>
      </c>
      <c r="C44" s="135">
        <f>IFERROR(IRR(D43:BA43),"-")</f>
        <v/>
      </c>
    </row>
    <row r="46" ht="15" customHeight="1" s="91">
      <c r="A46" s="139" t="inlineStr">
        <is>
          <t>ZAN 7</t>
        </is>
      </c>
      <c r="B46" s="140" t="n"/>
      <c r="C46" s="140" t="n"/>
      <c r="D46" s="140" t="n"/>
      <c r="E46" s="140" t="n"/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0" t="n"/>
      <c r="O46" s="140" t="n"/>
      <c r="P46" s="140" t="n"/>
      <c r="Q46" s="140" t="n"/>
      <c r="R46" s="140" t="n"/>
      <c r="S46" s="140" t="n"/>
      <c r="T46" s="140" t="n"/>
      <c r="U46" s="140" t="n"/>
      <c r="V46" s="140" t="n"/>
      <c r="W46" s="140" t="n"/>
      <c r="X46" s="140" t="n"/>
      <c r="Y46" s="140" t="n"/>
      <c r="Z46" s="140" t="n"/>
      <c r="AA46" s="140" t="n"/>
      <c r="AB46" s="140" t="n"/>
      <c r="AC46" s="140" t="n"/>
      <c r="AD46" s="140" t="n"/>
      <c r="AE46" s="140" t="n"/>
      <c r="AF46" s="140" t="n"/>
      <c r="AG46" s="140" t="n"/>
      <c r="AH46" s="140" t="n"/>
      <c r="AI46" s="140" t="n"/>
      <c r="AJ46" s="140" t="n"/>
      <c r="AK46" s="140" t="n"/>
      <c r="AL46" s="140" t="n"/>
      <c r="AM46" s="140" t="n"/>
      <c r="AN46" s="140" t="n"/>
      <c r="AO46" s="140" t="n"/>
      <c r="AP46" s="140" t="n"/>
      <c r="AQ46" s="140" t="n"/>
      <c r="AR46" s="140" t="n"/>
      <c r="AS46" s="140" t="n"/>
      <c r="AT46" s="140" t="n"/>
      <c r="AU46" s="140" t="n"/>
      <c r="AV46" s="140" t="n"/>
      <c r="AW46" s="140" t="n"/>
      <c r="AX46" s="140" t="n"/>
      <c r="AY46" s="140" t="n"/>
      <c r="AZ46" s="140" t="n"/>
      <c r="BA46" s="140" t="n"/>
    </row>
    <row r="47" ht="15" customHeight="1" s="91">
      <c r="A47" s="129" t="inlineStr">
        <is>
          <t xml:space="preserve">  Income  الإيرادات</t>
        </is>
      </c>
      <c r="B47" s="129" t="inlineStr">
        <is>
          <t>SAR</t>
        </is>
      </c>
      <c r="C47" s="138">
        <f>SUM(D47:BA47)</f>
        <v/>
      </c>
      <c r="D47" s="138">
        <f>D181</f>
        <v/>
      </c>
      <c r="E47" s="138">
        <f>E181</f>
        <v/>
      </c>
      <c r="F47" s="138">
        <f>F181</f>
        <v/>
      </c>
      <c r="G47" s="138">
        <f>G181</f>
        <v/>
      </c>
      <c r="H47" s="138">
        <f>H181</f>
        <v/>
      </c>
      <c r="I47" s="138">
        <f>I181</f>
        <v/>
      </c>
      <c r="J47" s="138">
        <f>J181</f>
        <v/>
      </c>
      <c r="K47" s="138">
        <f>K181</f>
        <v/>
      </c>
      <c r="L47" s="138">
        <f>L181</f>
        <v/>
      </c>
      <c r="M47" s="138">
        <f>M181</f>
        <v/>
      </c>
      <c r="N47" s="138">
        <f>N181</f>
        <v/>
      </c>
      <c r="O47" s="138">
        <f>O181</f>
        <v/>
      </c>
      <c r="P47" s="138">
        <f>P181</f>
        <v/>
      </c>
      <c r="Q47" s="138">
        <f>Q181</f>
        <v/>
      </c>
      <c r="R47" s="138">
        <f>R181</f>
        <v/>
      </c>
      <c r="S47" s="138">
        <f>S181</f>
        <v/>
      </c>
      <c r="T47" s="138">
        <f>T181</f>
        <v/>
      </c>
      <c r="U47" s="138">
        <f>U181</f>
        <v/>
      </c>
      <c r="V47" s="138">
        <f>V181</f>
        <v/>
      </c>
      <c r="W47" s="138">
        <f>W181</f>
        <v/>
      </c>
      <c r="X47" s="138">
        <f>X181</f>
        <v/>
      </c>
      <c r="Y47" s="138">
        <f>Y181</f>
        <v/>
      </c>
      <c r="Z47" s="138">
        <f>Z181</f>
        <v/>
      </c>
      <c r="AA47" s="138">
        <f>AA181</f>
        <v/>
      </c>
      <c r="AB47" s="138">
        <f>AB181</f>
        <v/>
      </c>
      <c r="AC47" s="138">
        <f>AC181</f>
        <v/>
      </c>
      <c r="AD47" s="138">
        <f>AD181</f>
        <v/>
      </c>
      <c r="AE47" s="138">
        <f>AE181</f>
        <v/>
      </c>
      <c r="AF47" s="138">
        <f>AF181</f>
        <v/>
      </c>
      <c r="AG47" s="138">
        <f>AG181</f>
        <v/>
      </c>
      <c r="AH47" s="138">
        <f>AH181</f>
        <v/>
      </c>
      <c r="AI47" s="138">
        <f>AI181</f>
        <v/>
      </c>
      <c r="AJ47" s="138">
        <f>AJ181</f>
        <v/>
      </c>
      <c r="AK47" s="138">
        <f>AK181</f>
        <v/>
      </c>
      <c r="AL47" s="138">
        <f>AL181</f>
        <v/>
      </c>
      <c r="AM47" s="138">
        <f>AM181</f>
        <v/>
      </c>
      <c r="AN47" s="138">
        <f>AN181</f>
        <v/>
      </c>
      <c r="AO47" s="138">
        <f>AO181</f>
        <v/>
      </c>
      <c r="AP47" s="138">
        <f>AP181</f>
        <v/>
      </c>
      <c r="AQ47" s="138">
        <f>AQ181</f>
        <v/>
      </c>
      <c r="AR47" s="138">
        <f>AR181</f>
        <v/>
      </c>
      <c r="AS47" s="138">
        <f>AS181</f>
        <v/>
      </c>
      <c r="AT47" s="138">
        <f>AT181</f>
        <v/>
      </c>
      <c r="AU47" s="138">
        <f>AU181</f>
        <v/>
      </c>
      <c r="AV47" s="138">
        <f>AV181</f>
        <v/>
      </c>
      <c r="AW47" s="138">
        <f>AW181</f>
        <v/>
      </c>
      <c r="AX47" s="138">
        <f>AX181</f>
        <v/>
      </c>
      <c r="AY47" s="138">
        <f>AY181</f>
        <v/>
      </c>
      <c r="AZ47" s="138">
        <f>AZ181</f>
        <v/>
      </c>
      <c r="BA47" s="138">
        <f>BA181</f>
        <v/>
      </c>
    </row>
    <row r="48" ht="15" customHeight="1" s="91">
      <c r="A48" s="129" t="inlineStr">
        <is>
          <t xml:space="preserve">  Land Rent  إيجار الأرض</t>
        </is>
      </c>
      <c r="B48" s="129" t="inlineStr">
        <is>
          <t>SAR</t>
        </is>
      </c>
      <c r="C48" s="138">
        <f>SUM(D48:BA48)</f>
        <v/>
      </c>
      <c r="D48" s="138">
        <f>0</f>
        <v/>
      </c>
      <c r="E48" s="138">
        <f>0</f>
        <v/>
      </c>
      <c r="F48" s="138">
        <f>0</f>
        <v/>
      </c>
      <c r="G48" s="138">
        <f>0</f>
        <v/>
      </c>
      <c r="H48" s="138">
        <f>0</f>
        <v/>
      </c>
      <c r="I48" s="138">
        <f>0</f>
        <v/>
      </c>
      <c r="J48" s="138">
        <f>0</f>
        <v/>
      </c>
      <c r="K48" s="138">
        <f>0</f>
        <v/>
      </c>
      <c r="L48" s="138">
        <f>0</f>
        <v/>
      </c>
      <c r="M48" s="138">
        <f>0</f>
        <v/>
      </c>
      <c r="N48" s="138">
        <f>0</f>
        <v/>
      </c>
      <c r="O48" s="138">
        <f>0</f>
        <v/>
      </c>
      <c r="P48" s="138">
        <f>0</f>
        <v/>
      </c>
      <c r="Q48" s="138">
        <f>0</f>
        <v/>
      </c>
      <c r="R48" s="138">
        <f>0</f>
        <v/>
      </c>
      <c r="S48" s="138">
        <f>0</f>
        <v/>
      </c>
      <c r="T48" s="138">
        <f>0</f>
        <v/>
      </c>
      <c r="U48" s="138">
        <f>0</f>
        <v/>
      </c>
      <c r="V48" s="138">
        <f>0</f>
        <v/>
      </c>
      <c r="W48" s="138">
        <f>0</f>
        <v/>
      </c>
      <c r="X48" s="138">
        <f>0</f>
        <v/>
      </c>
      <c r="Y48" s="138">
        <f>0</f>
        <v/>
      </c>
      <c r="Z48" s="138">
        <f>0</f>
        <v/>
      </c>
      <c r="AA48" s="138">
        <f>0</f>
        <v/>
      </c>
      <c r="AB48" s="138">
        <f>0</f>
        <v/>
      </c>
      <c r="AC48" s="138">
        <f>0</f>
        <v/>
      </c>
      <c r="AD48" s="138">
        <f>0</f>
        <v/>
      </c>
      <c r="AE48" s="138">
        <f>0</f>
        <v/>
      </c>
      <c r="AF48" s="138">
        <f>0</f>
        <v/>
      </c>
      <c r="AG48" s="138">
        <f>0</f>
        <v/>
      </c>
      <c r="AH48" s="138">
        <f>0</f>
        <v/>
      </c>
      <c r="AI48" s="138">
        <f>0</f>
        <v/>
      </c>
      <c r="AJ48" s="138">
        <f>0</f>
        <v/>
      </c>
      <c r="AK48" s="138">
        <f>0</f>
        <v/>
      </c>
      <c r="AL48" s="138">
        <f>0</f>
        <v/>
      </c>
      <c r="AM48" s="138">
        <f>0</f>
        <v/>
      </c>
      <c r="AN48" s="138">
        <f>0</f>
        <v/>
      </c>
      <c r="AO48" s="138">
        <f>0</f>
        <v/>
      </c>
      <c r="AP48" s="138">
        <f>0</f>
        <v/>
      </c>
      <c r="AQ48" s="138">
        <f>0</f>
        <v/>
      </c>
      <c r="AR48" s="138">
        <f>0</f>
        <v/>
      </c>
      <c r="AS48" s="138">
        <f>0</f>
        <v/>
      </c>
      <c r="AT48" s="138">
        <f>0</f>
        <v/>
      </c>
      <c r="AU48" s="138">
        <f>0</f>
        <v/>
      </c>
      <c r="AV48" s="138">
        <f>0</f>
        <v/>
      </c>
      <c r="AW48" s="138">
        <f>0</f>
        <v/>
      </c>
      <c r="AX48" s="138">
        <f>0</f>
        <v/>
      </c>
      <c r="AY48" s="138">
        <f>0</f>
        <v/>
      </c>
      <c r="AZ48" s="138">
        <f>0</f>
        <v/>
      </c>
      <c r="BA48" s="138">
        <f>0</f>
        <v/>
      </c>
    </row>
    <row r="49" ht="15" customHeight="1" s="91">
      <c r="A49" s="129" t="inlineStr">
        <is>
          <t xml:space="preserve">  Development CAPEX  تكاليف التطوير</t>
        </is>
      </c>
      <c r="B49" s="129" t="inlineStr">
        <is>
          <t>SAR</t>
        </is>
      </c>
      <c r="C49" s="138">
        <f>SUM(D49:BA49)</f>
        <v/>
      </c>
      <c r="D49" s="138">
        <f>-D199</f>
        <v/>
      </c>
      <c r="E49" s="138">
        <f>-E199</f>
        <v/>
      </c>
      <c r="F49" s="138">
        <f>-F199</f>
        <v/>
      </c>
      <c r="G49" s="138">
        <f>-G199</f>
        <v/>
      </c>
      <c r="H49" s="138">
        <f>-H199</f>
        <v/>
      </c>
      <c r="I49" s="138">
        <f>-I199</f>
        <v/>
      </c>
      <c r="J49" s="138">
        <f>-J199</f>
        <v/>
      </c>
      <c r="K49" s="138">
        <f>-K199</f>
        <v/>
      </c>
      <c r="L49" s="138">
        <f>-L199</f>
        <v/>
      </c>
      <c r="M49" s="138">
        <f>-M199</f>
        <v/>
      </c>
      <c r="N49" s="138">
        <f>-N199</f>
        <v/>
      </c>
      <c r="O49" s="138">
        <f>-O199</f>
        <v/>
      </c>
      <c r="P49" s="138">
        <f>-P199</f>
        <v/>
      </c>
      <c r="Q49" s="138">
        <f>-Q199</f>
        <v/>
      </c>
      <c r="R49" s="138">
        <f>-R199</f>
        <v/>
      </c>
      <c r="S49" s="138">
        <f>-S199</f>
        <v/>
      </c>
      <c r="T49" s="138">
        <f>-T199</f>
        <v/>
      </c>
      <c r="U49" s="138">
        <f>-U199</f>
        <v/>
      </c>
      <c r="V49" s="138">
        <f>-V199</f>
        <v/>
      </c>
      <c r="W49" s="138">
        <f>-W199</f>
        <v/>
      </c>
      <c r="X49" s="138">
        <f>-X199</f>
        <v/>
      </c>
      <c r="Y49" s="138">
        <f>-Y199</f>
        <v/>
      </c>
      <c r="Z49" s="138">
        <f>-Z199</f>
        <v/>
      </c>
      <c r="AA49" s="138">
        <f>-AA199</f>
        <v/>
      </c>
      <c r="AB49" s="138">
        <f>-AB199</f>
        <v/>
      </c>
      <c r="AC49" s="138">
        <f>-AC199</f>
        <v/>
      </c>
      <c r="AD49" s="138">
        <f>-AD199</f>
        <v/>
      </c>
      <c r="AE49" s="138">
        <f>-AE199</f>
        <v/>
      </c>
      <c r="AF49" s="138">
        <f>-AF199</f>
        <v/>
      </c>
      <c r="AG49" s="138">
        <f>-AG199</f>
        <v/>
      </c>
      <c r="AH49" s="138">
        <f>-AH199</f>
        <v/>
      </c>
      <c r="AI49" s="138">
        <f>-AI199</f>
        <v/>
      </c>
      <c r="AJ49" s="138">
        <f>-AJ199</f>
        <v/>
      </c>
      <c r="AK49" s="138">
        <f>-AK199</f>
        <v/>
      </c>
      <c r="AL49" s="138">
        <f>-AL199</f>
        <v/>
      </c>
      <c r="AM49" s="138">
        <f>-AM199</f>
        <v/>
      </c>
      <c r="AN49" s="138">
        <f>-AN199</f>
        <v/>
      </c>
      <c r="AO49" s="138">
        <f>-AO199</f>
        <v/>
      </c>
      <c r="AP49" s="138">
        <f>-AP199</f>
        <v/>
      </c>
      <c r="AQ49" s="138">
        <f>-AQ199</f>
        <v/>
      </c>
      <c r="AR49" s="138">
        <f>-AR199</f>
        <v/>
      </c>
      <c r="AS49" s="138">
        <f>-AS199</f>
        <v/>
      </c>
      <c r="AT49" s="138">
        <f>-AT199</f>
        <v/>
      </c>
      <c r="AU49" s="138">
        <f>-AU199</f>
        <v/>
      </c>
      <c r="AV49" s="138">
        <f>-AV199</f>
        <v/>
      </c>
      <c r="AW49" s="138">
        <f>-AW199</f>
        <v/>
      </c>
      <c r="AX49" s="138">
        <f>-AX199</f>
        <v/>
      </c>
      <c r="AY49" s="138">
        <f>-AY199</f>
        <v/>
      </c>
      <c r="AZ49" s="138">
        <f>-AZ199</f>
        <v/>
      </c>
      <c r="BA49" s="138">
        <f>-BA199</f>
        <v/>
      </c>
    </row>
    <row r="50" ht="15" customHeight="1" s="91">
      <c r="A50" s="141" t="inlineStr">
        <is>
          <t xml:space="preserve">  Net Cash Flow - ZAN 7</t>
        </is>
      </c>
      <c r="B50" s="129" t="inlineStr">
        <is>
          <t>SAR</t>
        </is>
      </c>
      <c r="C50" s="138">
        <f>SUM(D50:BA50)</f>
        <v/>
      </c>
      <c r="D50" s="138">
        <f>D47+D48+D49</f>
        <v/>
      </c>
      <c r="E50" s="138">
        <f>E47+E48+E49</f>
        <v/>
      </c>
      <c r="F50" s="138">
        <f>F47+F48+F49</f>
        <v/>
      </c>
      <c r="G50" s="138">
        <f>G47+G48+G49</f>
        <v/>
      </c>
      <c r="H50" s="138">
        <f>H47+H48+H49</f>
        <v/>
      </c>
      <c r="I50" s="138">
        <f>I47+I48+I49</f>
        <v/>
      </c>
      <c r="J50" s="138">
        <f>J47+J48+J49</f>
        <v/>
      </c>
      <c r="K50" s="138">
        <f>K47+K48+K49</f>
        <v/>
      </c>
      <c r="L50" s="138">
        <f>L47+L48+L49</f>
        <v/>
      </c>
      <c r="M50" s="138">
        <f>M47+M48+M49</f>
        <v/>
      </c>
      <c r="N50" s="138">
        <f>N47+N48+N49</f>
        <v/>
      </c>
      <c r="O50" s="138">
        <f>O47+O48+O49</f>
        <v/>
      </c>
      <c r="P50" s="138">
        <f>P47+P48+P49</f>
        <v/>
      </c>
      <c r="Q50" s="138">
        <f>Q47+Q48+Q49</f>
        <v/>
      </c>
      <c r="R50" s="138">
        <f>R47+R48+R49</f>
        <v/>
      </c>
      <c r="S50" s="138">
        <f>S47+S48+S49</f>
        <v/>
      </c>
      <c r="T50" s="138">
        <f>T47+T48+T49</f>
        <v/>
      </c>
      <c r="U50" s="138">
        <f>U47+U48+U49</f>
        <v/>
      </c>
      <c r="V50" s="138">
        <f>V47+V48+V49</f>
        <v/>
      </c>
      <c r="W50" s="138">
        <f>W47+W48+W49</f>
        <v/>
      </c>
      <c r="X50" s="138">
        <f>X47+X48+X49</f>
        <v/>
      </c>
      <c r="Y50" s="138">
        <f>Y47+Y48+Y49</f>
        <v/>
      </c>
      <c r="Z50" s="138">
        <f>Z47+Z48+Z49</f>
        <v/>
      </c>
      <c r="AA50" s="138">
        <f>AA47+AA48+AA49</f>
        <v/>
      </c>
      <c r="AB50" s="138">
        <f>AB47+AB48+AB49</f>
        <v/>
      </c>
      <c r="AC50" s="138">
        <f>AC47+AC48+AC49</f>
        <v/>
      </c>
      <c r="AD50" s="138">
        <f>AD47+AD48+AD49</f>
        <v/>
      </c>
      <c r="AE50" s="138">
        <f>AE47+AE48+AE49</f>
        <v/>
      </c>
      <c r="AF50" s="138">
        <f>AF47+AF48+AF49</f>
        <v/>
      </c>
      <c r="AG50" s="138">
        <f>AG47+AG48+AG49</f>
        <v/>
      </c>
      <c r="AH50" s="138">
        <f>AH47+AH48+AH49</f>
        <v/>
      </c>
      <c r="AI50" s="138">
        <f>AI47+AI48+AI49</f>
        <v/>
      </c>
      <c r="AJ50" s="138">
        <f>AJ47+AJ48+AJ49</f>
        <v/>
      </c>
      <c r="AK50" s="138">
        <f>AK47+AK48+AK49</f>
        <v/>
      </c>
      <c r="AL50" s="138">
        <f>AL47+AL48+AL49</f>
        <v/>
      </c>
      <c r="AM50" s="138">
        <f>AM47+AM48+AM49</f>
        <v/>
      </c>
      <c r="AN50" s="138">
        <f>AN47+AN48+AN49</f>
        <v/>
      </c>
      <c r="AO50" s="138">
        <f>AO47+AO48+AO49</f>
        <v/>
      </c>
      <c r="AP50" s="138">
        <f>AP47+AP48+AP49</f>
        <v/>
      </c>
      <c r="AQ50" s="138">
        <f>AQ47+AQ48+AQ49</f>
        <v/>
      </c>
      <c r="AR50" s="138">
        <f>AR47+AR48+AR49</f>
        <v/>
      </c>
      <c r="AS50" s="138">
        <f>AS47+AS48+AS49</f>
        <v/>
      </c>
      <c r="AT50" s="138">
        <f>AT47+AT48+AT49</f>
        <v/>
      </c>
      <c r="AU50" s="138">
        <f>AU47+AU48+AU49</f>
        <v/>
      </c>
      <c r="AV50" s="138">
        <f>AV47+AV48+AV49</f>
        <v/>
      </c>
      <c r="AW50" s="138">
        <f>AW47+AW48+AW49</f>
        <v/>
      </c>
      <c r="AX50" s="138">
        <f>AX47+AX48+AX49</f>
        <v/>
      </c>
      <c r="AY50" s="138">
        <f>AY47+AY48+AY49</f>
        <v/>
      </c>
      <c r="AZ50" s="138">
        <f>AZ47+AZ48+AZ49</f>
        <v/>
      </c>
      <c r="BA50" s="138">
        <f>BA47+BA48+BA49</f>
        <v/>
      </c>
    </row>
    <row r="51" ht="15" customHeight="1" s="91">
      <c r="A51" s="100" t="inlineStr">
        <is>
          <t xml:space="preserve">  IRR - ZAN 7</t>
        </is>
      </c>
      <c r="B51" s="129" t="inlineStr">
        <is>
          <t>%</t>
        </is>
      </c>
      <c r="C51" s="135">
        <f>IFERROR(IRR(D50:BA50),"-")</f>
        <v/>
      </c>
    </row>
    <row r="53" ht="15" customHeight="1" s="91">
      <c r="A53" s="139" t="inlineStr">
        <is>
          <t>ZAN 8</t>
        </is>
      </c>
      <c r="B53" s="140" t="n"/>
      <c r="C53" s="140" t="n"/>
      <c r="D53" s="140" t="n"/>
      <c r="E53" s="140" t="n"/>
      <c r="F53" s="140" t="n"/>
      <c r="G53" s="140" t="n"/>
      <c r="H53" s="140" t="n"/>
      <c r="I53" s="140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40" t="n"/>
      <c r="U53" s="140" t="n"/>
      <c r="V53" s="140" t="n"/>
      <c r="W53" s="140" t="n"/>
      <c r="X53" s="140" t="n"/>
      <c r="Y53" s="140" t="n"/>
      <c r="Z53" s="140" t="n"/>
      <c r="AA53" s="140" t="n"/>
      <c r="AB53" s="140" t="n"/>
      <c r="AC53" s="140" t="n"/>
      <c r="AD53" s="140" t="n"/>
      <c r="AE53" s="140" t="n"/>
      <c r="AF53" s="140" t="n"/>
      <c r="AG53" s="140" t="n"/>
      <c r="AH53" s="140" t="n"/>
      <c r="AI53" s="140" t="n"/>
      <c r="AJ53" s="140" t="n"/>
      <c r="AK53" s="140" t="n"/>
      <c r="AL53" s="140" t="n"/>
      <c r="AM53" s="140" t="n"/>
      <c r="AN53" s="140" t="n"/>
      <c r="AO53" s="140" t="n"/>
      <c r="AP53" s="140" t="n"/>
      <c r="AQ53" s="140" t="n"/>
      <c r="AR53" s="140" t="n"/>
      <c r="AS53" s="140" t="n"/>
      <c r="AT53" s="140" t="n"/>
      <c r="AU53" s="140" t="n"/>
      <c r="AV53" s="140" t="n"/>
      <c r="AW53" s="140" t="n"/>
      <c r="AX53" s="140" t="n"/>
      <c r="AY53" s="140" t="n"/>
      <c r="AZ53" s="140" t="n"/>
      <c r="BA53" s="140" t="n"/>
    </row>
    <row r="54" ht="15" customHeight="1" s="91">
      <c r="A54" s="129" t="inlineStr">
        <is>
          <t xml:space="preserve">  Income  الإيرادات</t>
        </is>
      </c>
      <c r="B54" s="129" t="inlineStr">
        <is>
          <t>SAR</t>
        </is>
      </c>
      <c r="C54" s="138">
        <f>SUM(D54:BA54)</f>
        <v/>
      </c>
      <c r="D54" s="138">
        <f>D182</f>
        <v/>
      </c>
      <c r="E54" s="138">
        <f>E182</f>
        <v/>
      </c>
      <c r="F54" s="138">
        <f>F182</f>
        <v/>
      </c>
      <c r="G54" s="138">
        <f>G182</f>
        <v/>
      </c>
      <c r="H54" s="138">
        <f>H182</f>
        <v/>
      </c>
      <c r="I54" s="138">
        <f>I182</f>
        <v/>
      </c>
      <c r="J54" s="138">
        <f>J182</f>
        <v/>
      </c>
      <c r="K54" s="138">
        <f>K182</f>
        <v/>
      </c>
      <c r="L54" s="138">
        <f>L182</f>
        <v/>
      </c>
      <c r="M54" s="138">
        <f>M182</f>
        <v/>
      </c>
      <c r="N54" s="138">
        <f>N182</f>
        <v/>
      </c>
      <c r="O54" s="138">
        <f>O182</f>
        <v/>
      </c>
      <c r="P54" s="138">
        <f>P182</f>
        <v/>
      </c>
      <c r="Q54" s="138">
        <f>Q182</f>
        <v/>
      </c>
      <c r="R54" s="138">
        <f>R182</f>
        <v/>
      </c>
      <c r="S54" s="138">
        <f>S182</f>
        <v/>
      </c>
      <c r="T54" s="138">
        <f>T182</f>
        <v/>
      </c>
      <c r="U54" s="138">
        <f>U182</f>
        <v/>
      </c>
      <c r="V54" s="138">
        <f>V182</f>
        <v/>
      </c>
      <c r="W54" s="138">
        <f>W182</f>
        <v/>
      </c>
      <c r="X54" s="138">
        <f>X182</f>
        <v/>
      </c>
      <c r="Y54" s="138">
        <f>Y182</f>
        <v/>
      </c>
      <c r="Z54" s="138">
        <f>Z182</f>
        <v/>
      </c>
      <c r="AA54" s="138">
        <f>AA182</f>
        <v/>
      </c>
      <c r="AB54" s="138">
        <f>AB182</f>
        <v/>
      </c>
      <c r="AC54" s="138">
        <f>AC182</f>
        <v/>
      </c>
      <c r="AD54" s="138">
        <f>AD182</f>
        <v/>
      </c>
      <c r="AE54" s="138">
        <f>AE182</f>
        <v/>
      </c>
      <c r="AF54" s="138">
        <f>AF182</f>
        <v/>
      </c>
      <c r="AG54" s="138">
        <f>AG182</f>
        <v/>
      </c>
      <c r="AH54" s="138">
        <f>AH182</f>
        <v/>
      </c>
      <c r="AI54" s="138">
        <f>AI182</f>
        <v/>
      </c>
      <c r="AJ54" s="138">
        <f>AJ182</f>
        <v/>
      </c>
      <c r="AK54" s="138">
        <f>AK182</f>
        <v/>
      </c>
      <c r="AL54" s="138">
        <f>AL182</f>
        <v/>
      </c>
      <c r="AM54" s="138">
        <f>AM182</f>
        <v/>
      </c>
      <c r="AN54" s="138">
        <f>AN182</f>
        <v/>
      </c>
      <c r="AO54" s="138">
        <f>AO182</f>
        <v/>
      </c>
      <c r="AP54" s="138">
        <f>AP182</f>
        <v/>
      </c>
      <c r="AQ54" s="138">
        <f>AQ182</f>
        <v/>
      </c>
      <c r="AR54" s="138">
        <f>AR182</f>
        <v/>
      </c>
      <c r="AS54" s="138">
        <f>AS182</f>
        <v/>
      </c>
      <c r="AT54" s="138">
        <f>AT182</f>
        <v/>
      </c>
      <c r="AU54" s="138">
        <f>AU182</f>
        <v/>
      </c>
      <c r="AV54" s="138">
        <f>AV182</f>
        <v/>
      </c>
      <c r="AW54" s="138">
        <f>AW182</f>
        <v/>
      </c>
      <c r="AX54" s="138">
        <f>AX182</f>
        <v/>
      </c>
      <c r="AY54" s="138">
        <f>AY182</f>
        <v/>
      </c>
      <c r="AZ54" s="138">
        <f>AZ182</f>
        <v/>
      </c>
      <c r="BA54" s="138">
        <f>BA182</f>
        <v/>
      </c>
    </row>
    <row r="55" ht="15" customHeight="1" s="91">
      <c r="A55" s="129" t="inlineStr">
        <is>
          <t xml:space="preserve">  Land Rent  إيجار الأرض</t>
        </is>
      </c>
      <c r="B55" s="129" t="inlineStr">
        <is>
          <t>SAR</t>
        </is>
      </c>
      <c r="C55" s="138">
        <f>SUM(D55:BA55)</f>
        <v/>
      </c>
      <c r="D55" s="138">
        <f>0</f>
        <v/>
      </c>
      <c r="E55" s="138">
        <f>0</f>
        <v/>
      </c>
      <c r="F55" s="138">
        <f>0</f>
        <v/>
      </c>
      <c r="G55" s="138">
        <f>0</f>
        <v/>
      </c>
      <c r="H55" s="138">
        <f>0</f>
        <v/>
      </c>
      <c r="I55" s="138">
        <f>0</f>
        <v/>
      </c>
      <c r="J55" s="138">
        <f>0</f>
        <v/>
      </c>
      <c r="K55" s="138">
        <f>0</f>
        <v/>
      </c>
      <c r="L55" s="138">
        <f>0</f>
        <v/>
      </c>
      <c r="M55" s="138">
        <f>0</f>
        <v/>
      </c>
      <c r="N55" s="138">
        <f>0</f>
        <v/>
      </c>
      <c r="O55" s="138">
        <f>0</f>
        <v/>
      </c>
      <c r="P55" s="138">
        <f>0</f>
        <v/>
      </c>
      <c r="Q55" s="138">
        <f>0</f>
        <v/>
      </c>
      <c r="R55" s="138">
        <f>0</f>
        <v/>
      </c>
      <c r="S55" s="138">
        <f>0</f>
        <v/>
      </c>
      <c r="T55" s="138">
        <f>0</f>
        <v/>
      </c>
      <c r="U55" s="138">
        <f>0</f>
        <v/>
      </c>
      <c r="V55" s="138">
        <f>0</f>
        <v/>
      </c>
      <c r="W55" s="138">
        <f>0</f>
        <v/>
      </c>
      <c r="X55" s="138">
        <f>0</f>
        <v/>
      </c>
      <c r="Y55" s="138">
        <f>0</f>
        <v/>
      </c>
      <c r="Z55" s="138">
        <f>0</f>
        <v/>
      </c>
      <c r="AA55" s="138">
        <f>0</f>
        <v/>
      </c>
      <c r="AB55" s="138">
        <f>0</f>
        <v/>
      </c>
      <c r="AC55" s="138">
        <f>0</f>
        <v/>
      </c>
      <c r="AD55" s="138">
        <f>0</f>
        <v/>
      </c>
      <c r="AE55" s="138">
        <f>0</f>
        <v/>
      </c>
      <c r="AF55" s="138">
        <f>0</f>
        <v/>
      </c>
      <c r="AG55" s="138">
        <f>0</f>
        <v/>
      </c>
      <c r="AH55" s="138">
        <f>0</f>
        <v/>
      </c>
      <c r="AI55" s="138">
        <f>0</f>
        <v/>
      </c>
      <c r="AJ55" s="138">
        <f>0</f>
        <v/>
      </c>
      <c r="AK55" s="138">
        <f>0</f>
        <v/>
      </c>
      <c r="AL55" s="138">
        <f>0</f>
        <v/>
      </c>
      <c r="AM55" s="138">
        <f>0</f>
        <v/>
      </c>
      <c r="AN55" s="138">
        <f>0</f>
        <v/>
      </c>
      <c r="AO55" s="138">
        <f>0</f>
        <v/>
      </c>
      <c r="AP55" s="138">
        <f>0</f>
        <v/>
      </c>
      <c r="AQ55" s="138">
        <f>0</f>
        <v/>
      </c>
      <c r="AR55" s="138">
        <f>0</f>
        <v/>
      </c>
      <c r="AS55" s="138">
        <f>0</f>
        <v/>
      </c>
      <c r="AT55" s="138">
        <f>0</f>
        <v/>
      </c>
      <c r="AU55" s="138">
        <f>0</f>
        <v/>
      </c>
      <c r="AV55" s="138">
        <f>0</f>
        <v/>
      </c>
      <c r="AW55" s="138">
        <f>0</f>
        <v/>
      </c>
      <c r="AX55" s="138">
        <f>0</f>
        <v/>
      </c>
      <c r="AY55" s="138">
        <f>0</f>
        <v/>
      </c>
      <c r="AZ55" s="138">
        <f>0</f>
        <v/>
      </c>
      <c r="BA55" s="138">
        <f>0</f>
        <v/>
      </c>
    </row>
    <row r="56" ht="15" customHeight="1" s="91">
      <c r="A56" s="129" t="inlineStr">
        <is>
          <t xml:space="preserve">  Development CAPEX  تكاليف التطوير</t>
        </is>
      </c>
      <c r="B56" s="129" t="inlineStr">
        <is>
          <t>SAR</t>
        </is>
      </c>
      <c r="C56" s="138">
        <f>SUM(D56:BA56)</f>
        <v/>
      </c>
      <c r="D56" s="138">
        <f>-D200</f>
        <v/>
      </c>
      <c r="E56" s="138">
        <f>-E200</f>
        <v/>
      </c>
      <c r="F56" s="138">
        <f>-F200</f>
        <v/>
      </c>
      <c r="G56" s="138">
        <f>-G200</f>
        <v/>
      </c>
      <c r="H56" s="138">
        <f>-H200</f>
        <v/>
      </c>
      <c r="I56" s="138">
        <f>-I200</f>
        <v/>
      </c>
      <c r="J56" s="138">
        <f>-J200</f>
        <v/>
      </c>
      <c r="K56" s="138">
        <f>-K200</f>
        <v/>
      </c>
      <c r="L56" s="138">
        <f>-L200</f>
        <v/>
      </c>
      <c r="M56" s="138">
        <f>-M200</f>
        <v/>
      </c>
      <c r="N56" s="138">
        <f>-N200</f>
        <v/>
      </c>
      <c r="O56" s="138">
        <f>-O200</f>
        <v/>
      </c>
      <c r="P56" s="138">
        <f>-P200</f>
        <v/>
      </c>
      <c r="Q56" s="138">
        <f>-Q200</f>
        <v/>
      </c>
      <c r="R56" s="138">
        <f>-R200</f>
        <v/>
      </c>
      <c r="S56" s="138">
        <f>-S200</f>
        <v/>
      </c>
      <c r="T56" s="138">
        <f>-T200</f>
        <v/>
      </c>
      <c r="U56" s="138">
        <f>-U200</f>
        <v/>
      </c>
      <c r="V56" s="138">
        <f>-V200</f>
        <v/>
      </c>
      <c r="W56" s="138">
        <f>-W200</f>
        <v/>
      </c>
      <c r="X56" s="138">
        <f>-X200</f>
        <v/>
      </c>
      <c r="Y56" s="138">
        <f>-Y200</f>
        <v/>
      </c>
      <c r="Z56" s="138">
        <f>-Z200</f>
        <v/>
      </c>
      <c r="AA56" s="138">
        <f>-AA200</f>
        <v/>
      </c>
      <c r="AB56" s="138">
        <f>-AB200</f>
        <v/>
      </c>
      <c r="AC56" s="138">
        <f>-AC200</f>
        <v/>
      </c>
      <c r="AD56" s="138">
        <f>-AD200</f>
        <v/>
      </c>
      <c r="AE56" s="138">
        <f>-AE200</f>
        <v/>
      </c>
      <c r="AF56" s="138">
        <f>-AF200</f>
        <v/>
      </c>
      <c r="AG56" s="138">
        <f>-AG200</f>
        <v/>
      </c>
      <c r="AH56" s="138">
        <f>-AH200</f>
        <v/>
      </c>
      <c r="AI56" s="138">
        <f>-AI200</f>
        <v/>
      </c>
      <c r="AJ56" s="138">
        <f>-AJ200</f>
        <v/>
      </c>
      <c r="AK56" s="138">
        <f>-AK200</f>
        <v/>
      </c>
      <c r="AL56" s="138">
        <f>-AL200</f>
        <v/>
      </c>
      <c r="AM56" s="138">
        <f>-AM200</f>
        <v/>
      </c>
      <c r="AN56" s="138">
        <f>-AN200</f>
        <v/>
      </c>
      <c r="AO56" s="138">
        <f>-AO200</f>
        <v/>
      </c>
      <c r="AP56" s="138">
        <f>-AP200</f>
        <v/>
      </c>
      <c r="AQ56" s="138">
        <f>-AQ200</f>
        <v/>
      </c>
      <c r="AR56" s="138">
        <f>-AR200</f>
        <v/>
      </c>
      <c r="AS56" s="138">
        <f>-AS200</f>
        <v/>
      </c>
      <c r="AT56" s="138">
        <f>-AT200</f>
        <v/>
      </c>
      <c r="AU56" s="138">
        <f>-AU200</f>
        <v/>
      </c>
      <c r="AV56" s="138">
        <f>-AV200</f>
        <v/>
      </c>
      <c r="AW56" s="138">
        <f>-AW200</f>
        <v/>
      </c>
      <c r="AX56" s="138">
        <f>-AX200</f>
        <v/>
      </c>
      <c r="AY56" s="138">
        <f>-AY200</f>
        <v/>
      </c>
      <c r="AZ56" s="138">
        <f>-AZ200</f>
        <v/>
      </c>
      <c r="BA56" s="138">
        <f>-BA200</f>
        <v/>
      </c>
    </row>
    <row r="57" ht="15" customHeight="1" s="91">
      <c r="A57" s="141" t="inlineStr">
        <is>
          <t xml:space="preserve">  Net Cash Flow - ZAN 8</t>
        </is>
      </c>
      <c r="B57" s="129" t="inlineStr">
        <is>
          <t>SAR</t>
        </is>
      </c>
      <c r="C57" s="138">
        <f>SUM(D57:BA57)</f>
        <v/>
      </c>
      <c r="D57" s="138">
        <f>D54+D55+D56</f>
        <v/>
      </c>
      <c r="E57" s="138">
        <f>E54+E55+E56</f>
        <v/>
      </c>
      <c r="F57" s="138">
        <f>F54+F55+F56</f>
        <v/>
      </c>
      <c r="G57" s="138">
        <f>G54+G55+G56</f>
        <v/>
      </c>
      <c r="H57" s="138">
        <f>H54+H55+H56</f>
        <v/>
      </c>
      <c r="I57" s="138">
        <f>I54+I55+I56</f>
        <v/>
      </c>
      <c r="J57" s="138">
        <f>J54+J55+J56</f>
        <v/>
      </c>
      <c r="K57" s="138">
        <f>K54+K55+K56</f>
        <v/>
      </c>
      <c r="L57" s="138">
        <f>L54+L55+L56</f>
        <v/>
      </c>
      <c r="M57" s="138">
        <f>M54+M55+M56</f>
        <v/>
      </c>
      <c r="N57" s="138">
        <f>N54+N55+N56</f>
        <v/>
      </c>
      <c r="O57" s="138">
        <f>O54+O55+O56</f>
        <v/>
      </c>
      <c r="P57" s="138">
        <f>P54+P55+P56</f>
        <v/>
      </c>
      <c r="Q57" s="138">
        <f>Q54+Q55+Q56</f>
        <v/>
      </c>
      <c r="R57" s="138">
        <f>R54+R55+R56</f>
        <v/>
      </c>
      <c r="S57" s="138">
        <f>S54+S55+S56</f>
        <v/>
      </c>
      <c r="T57" s="138">
        <f>T54+T55+T56</f>
        <v/>
      </c>
      <c r="U57" s="138">
        <f>U54+U55+U56</f>
        <v/>
      </c>
      <c r="V57" s="138">
        <f>V54+V55+V56</f>
        <v/>
      </c>
      <c r="W57" s="138">
        <f>W54+W55+W56</f>
        <v/>
      </c>
      <c r="X57" s="138">
        <f>X54+X55+X56</f>
        <v/>
      </c>
      <c r="Y57" s="138">
        <f>Y54+Y55+Y56</f>
        <v/>
      </c>
      <c r="Z57" s="138">
        <f>Z54+Z55+Z56</f>
        <v/>
      </c>
      <c r="AA57" s="138">
        <f>AA54+AA55+AA56</f>
        <v/>
      </c>
      <c r="AB57" s="138">
        <f>AB54+AB55+AB56</f>
        <v/>
      </c>
      <c r="AC57" s="138">
        <f>AC54+AC55+AC56</f>
        <v/>
      </c>
      <c r="AD57" s="138">
        <f>AD54+AD55+AD56</f>
        <v/>
      </c>
      <c r="AE57" s="138">
        <f>AE54+AE55+AE56</f>
        <v/>
      </c>
      <c r="AF57" s="138">
        <f>AF54+AF55+AF56</f>
        <v/>
      </c>
      <c r="AG57" s="138">
        <f>AG54+AG55+AG56</f>
        <v/>
      </c>
      <c r="AH57" s="138">
        <f>AH54+AH55+AH56</f>
        <v/>
      </c>
      <c r="AI57" s="138">
        <f>AI54+AI55+AI56</f>
        <v/>
      </c>
      <c r="AJ57" s="138">
        <f>AJ54+AJ55+AJ56</f>
        <v/>
      </c>
      <c r="AK57" s="138">
        <f>AK54+AK55+AK56</f>
        <v/>
      </c>
      <c r="AL57" s="138">
        <f>AL54+AL55+AL56</f>
        <v/>
      </c>
      <c r="AM57" s="138">
        <f>AM54+AM55+AM56</f>
        <v/>
      </c>
      <c r="AN57" s="138">
        <f>AN54+AN55+AN56</f>
        <v/>
      </c>
      <c r="AO57" s="138">
        <f>AO54+AO55+AO56</f>
        <v/>
      </c>
      <c r="AP57" s="138">
        <f>AP54+AP55+AP56</f>
        <v/>
      </c>
      <c r="AQ57" s="138">
        <f>AQ54+AQ55+AQ56</f>
        <v/>
      </c>
      <c r="AR57" s="138">
        <f>AR54+AR55+AR56</f>
        <v/>
      </c>
      <c r="AS57" s="138">
        <f>AS54+AS55+AS56</f>
        <v/>
      </c>
      <c r="AT57" s="138">
        <f>AT54+AT55+AT56</f>
        <v/>
      </c>
      <c r="AU57" s="138">
        <f>AU54+AU55+AU56</f>
        <v/>
      </c>
      <c r="AV57" s="138">
        <f>AV54+AV55+AV56</f>
        <v/>
      </c>
      <c r="AW57" s="138">
        <f>AW54+AW55+AW56</f>
        <v/>
      </c>
      <c r="AX57" s="138">
        <f>AX54+AX55+AX56</f>
        <v/>
      </c>
      <c r="AY57" s="138">
        <f>AY54+AY55+AY56</f>
        <v/>
      </c>
      <c r="AZ57" s="138">
        <f>AZ54+AZ55+AZ56</f>
        <v/>
      </c>
      <c r="BA57" s="138">
        <f>BA54+BA55+BA56</f>
        <v/>
      </c>
    </row>
    <row r="58" ht="15" customHeight="1" s="91">
      <c r="A58" s="100" t="inlineStr">
        <is>
          <t xml:space="preserve">  IRR - ZAN 8</t>
        </is>
      </c>
      <c r="B58" s="129" t="inlineStr">
        <is>
          <t>%</t>
        </is>
      </c>
      <c r="C58" s="135">
        <f>IFERROR(IRR(D57:BA57),"-")</f>
        <v/>
      </c>
    </row>
    <row r="60" ht="15" customHeight="1" s="91">
      <c r="A60" s="139" t="inlineStr">
        <is>
          <t>ZAN 9</t>
        </is>
      </c>
      <c r="B60" s="140" t="n"/>
      <c r="C60" s="140" t="n"/>
      <c r="D60" s="140" t="n"/>
      <c r="E60" s="140" t="n"/>
      <c r="F60" s="140" t="n"/>
      <c r="G60" s="140" t="n"/>
      <c r="H60" s="140" t="n"/>
      <c r="I60" s="140" t="n"/>
      <c r="J60" s="140" t="n"/>
      <c r="K60" s="140" t="n"/>
      <c r="L60" s="140" t="n"/>
      <c r="M60" s="140" t="n"/>
      <c r="N60" s="140" t="n"/>
      <c r="O60" s="140" t="n"/>
      <c r="P60" s="140" t="n"/>
      <c r="Q60" s="140" t="n"/>
      <c r="R60" s="140" t="n"/>
      <c r="S60" s="140" t="n"/>
      <c r="T60" s="140" t="n"/>
      <c r="U60" s="140" t="n"/>
      <c r="V60" s="140" t="n"/>
      <c r="W60" s="140" t="n"/>
      <c r="X60" s="140" t="n"/>
      <c r="Y60" s="140" t="n"/>
      <c r="Z60" s="140" t="n"/>
      <c r="AA60" s="140" t="n"/>
      <c r="AB60" s="140" t="n"/>
      <c r="AC60" s="140" t="n"/>
      <c r="AD60" s="140" t="n"/>
      <c r="AE60" s="140" t="n"/>
      <c r="AF60" s="140" t="n"/>
      <c r="AG60" s="140" t="n"/>
      <c r="AH60" s="140" t="n"/>
      <c r="AI60" s="140" t="n"/>
      <c r="AJ60" s="140" t="n"/>
      <c r="AK60" s="140" t="n"/>
      <c r="AL60" s="140" t="n"/>
      <c r="AM60" s="140" t="n"/>
      <c r="AN60" s="140" t="n"/>
      <c r="AO60" s="140" t="n"/>
      <c r="AP60" s="140" t="n"/>
      <c r="AQ60" s="140" t="n"/>
      <c r="AR60" s="140" t="n"/>
      <c r="AS60" s="140" t="n"/>
      <c r="AT60" s="140" t="n"/>
      <c r="AU60" s="140" t="n"/>
      <c r="AV60" s="140" t="n"/>
      <c r="AW60" s="140" t="n"/>
      <c r="AX60" s="140" t="n"/>
      <c r="AY60" s="140" t="n"/>
      <c r="AZ60" s="140" t="n"/>
      <c r="BA60" s="140" t="n"/>
    </row>
    <row r="61" ht="15" customHeight="1" s="91">
      <c r="A61" s="129" t="inlineStr">
        <is>
          <t xml:space="preserve">  Income  الإيرادات</t>
        </is>
      </c>
      <c r="B61" s="129" t="inlineStr">
        <is>
          <t>SAR</t>
        </is>
      </c>
      <c r="C61" s="138">
        <f>SUM(D61:BA61)</f>
        <v/>
      </c>
      <c r="D61" s="138">
        <f>D183</f>
        <v/>
      </c>
      <c r="E61" s="138">
        <f>E183</f>
        <v/>
      </c>
      <c r="F61" s="138">
        <f>F183</f>
        <v/>
      </c>
      <c r="G61" s="138">
        <f>G183</f>
        <v/>
      </c>
      <c r="H61" s="138">
        <f>H183</f>
        <v/>
      </c>
      <c r="I61" s="138">
        <f>I183</f>
        <v/>
      </c>
      <c r="J61" s="138">
        <f>J183</f>
        <v/>
      </c>
      <c r="K61" s="138">
        <f>K183</f>
        <v/>
      </c>
      <c r="L61" s="138">
        <f>L183</f>
        <v/>
      </c>
      <c r="M61" s="138">
        <f>M183</f>
        <v/>
      </c>
      <c r="N61" s="138">
        <f>N183</f>
        <v/>
      </c>
      <c r="O61" s="138">
        <f>O183</f>
        <v/>
      </c>
      <c r="P61" s="138">
        <f>P183</f>
        <v/>
      </c>
      <c r="Q61" s="138">
        <f>Q183</f>
        <v/>
      </c>
      <c r="R61" s="138">
        <f>R183</f>
        <v/>
      </c>
      <c r="S61" s="138">
        <f>S183</f>
        <v/>
      </c>
      <c r="T61" s="138">
        <f>T183</f>
        <v/>
      </c>
      <c r="U61" s="138">
        <f>U183</f>
        <v/>
      </c>
      <c r="V61" s="138">
        <f>V183</f>
        <v/>
      </c>
      <c r="W61" s="138">
        <f>W183</f>
        <v/>
      </c>
      <c r="X61" s="138">
        <f>X183</f>
        <v/>
      </c>
      <c r="Y61" s="138">
        <f>Y183</f>
        <v/>
      </c>
      <c r="Z61" s="138">
        <f>Z183</f>
        <v/>
      </c>
      <c r="AA61" s="138">
        <f>AA183</f>
        <v/>
      </c>
      <c r="AB61" s="138">
        <f>AB183</f>
        <v/>
      </c>
      <c r="AC61" s="138">
        <f>AC183</f>
        <v/>
      </c>
      <c r="AD61" s="138">
        <f>AD183</f>
        <v/>
      </c>
      <c r="AE61" s="138">
        <f>AE183</f>
        <v/>
      </c>
      <c r="AF61" s="138">
        <f>AF183</f>
        <v/>
      </c>
      <c r="AG61" s="138">
        <f>AG183</f>
        <v/>
      </c>
      <c r="AH61" s="138">
        <f>AH183</f>
        <v/>
      </c>
      <c r="AI61" s="138">
        <f>AI183</f>
        <v/>
      </c>
      <c r="AJ61" s="138">
        <f>AJ183</f>
        <v/>
      </c>
      <c r="AK61" s="138">
        <f>AK183</f>
        <v/>
      </c>
      <c r="AL61" s="138">
        <f>AL183</f>
        <v/>
      </c>
      <c r="AM61" s="138">
        <f>AM183</f>
        <v/>
      </c>
      <c r="AN61" s="138">
        <f>AN183</f>
        <v/>
      </c>
      <c r="AO61" s="138">
        <f>AO183</f>
        <v/>
      </c>
      <c r="AP61" s="138">
        <f>AP183</f>
        <v/>
      </c>
      <c r="AQ61" s="138">
        <f>AQ183</f>
        <v/>
      </c>
      <c r="AR61" s="138">
        <f>AR183</f>
        <v/>
      </c>
      <c r="AS61" s="138">
        <f>AS183</f>
        <v/>
      </c>
      <c r="AT61" s="138">
        <f>AT183</f>
        <v/>
      </c>
      <c r="AU61" s="138">
        <f>AU183</f>
        <v/>
      </c>
      <c r="AV61" s="138">
        <f>AV183</f>
        <v/>
      </c>
      <c r="AW61" s="138">
        <f>AW183</f>
        <v/>
      </c>
      <c r="AX61" s="138">
        <f>AX183</f>
        <v/>
      </c>
      <c r="AY61" s="138">
        <f>AY183</f>
        <v/>
      </c>
      <c r="AZ61" s="138">
        <f>AZ183</f>
        <v/>
      </c>
      <c r="BA61" s="138">
        <f>BA183</f>
        <v/>
      </c>
    </row>
    <row r="62" ht="15" customHeight="1" s="91">
      <c r="A62" s="129" t="inlineStr">
        <is>
          <t xml:space="preserve">  Land Rent  إيجار الأرض</t>
        </is>
      </c>
      <c r="B62" s="129" t="inlineStr">
        <is>
          <t>SAR</t>
        </is>
      </c>
      <c r="C62" s="138">
        <f>SUM(D62:BA62)</f>
        <v/>
      </c>
      <c r="D62" s="138">
        <f>0</f>
        <v/>
      </c>
      <c r="E62" s="138">
        <f>0</f>
        <v/>
      </c>
      <c r="F62" s="138">
        <f>0</f>
        <v/>
      </c>
      <c r="G62" s="138">
        <f>0</f>
        <v/>
      </c>
      <c r="H62" s="138">
        <f>0</f>
        <v/>
      </c>
      <c r="I62" s="138">
        <f>0</f>
        <v/>
      </c>
      <c r="J62" s="138">
        <f>0</f>
        <v/>
      </c>
      <c r="K62" s="138">
        <f>0</f>
        <v/>
      </c>
      <c r="L62" s="138">
        <f>0</f>
        <v/>
      </c>
      <c r="M62" s="138">
        <f>0</f>
        <v/>
      </c>
      <c r="N62" s="138">
        <f>0</f>
        <v/>
      </c>
      <c r="O62" s="138">
        <f>0</f>
        <v/>
      </c>
      <c r="P62" s="138">
        <f>0</f>
        <v/>
      </c>
      <c r="Q62" s="138">
        <f>0</f>
        <v/>
      </c>
      <c r="R62" s="138">
        <f>0</f>
        <v/>
      </c>
      <c r="S62" s="138">
        <f>0</f>
        <v/>
      </c>
      <c r="T62" s="138">
        <f>0</f>
        <v/>
      </c>
      <c r="U62" s="138">
        <f>0</f>
        <v/>
      </c>
      <c r="V62" s="138">
        <f>0</f>
        <v/>
      </c>
      <c r="W62" s="138">
        <f>0</f>
        <v/>
      </c>
      <c r="X62" s="138">
        <f>0</f>
        <v/>
      </c>
      <c r="Y62" s="138">
        <f>0</f>
        <v/>
      </c>
      <c r="Z62" s="138">
        <f>0</f>
        <v/>
      </c>
      <c r="AA62" s="138">
        <f>0</f>
        <v/>
      </c>
      <c r="AB62" s="138">
        <f>0</f>
        <v/>
      </c>
      <c r="AC62" s="138">
        <f>0</f>
        <v/>
      </c>
      <c r="AD62" s="138">
        <f>0</f>
        <v/>
      </c>
      <c r="AE62" s="138">
        <f>0</f>
        <v/>
      </c>
      <c r="AF62" s="138">
        <f>0</f>
        <v/>
      </c>
      <c r="AG62" s="138">
        <f>0</f>
        <v/>
      </c>
      <c r="AH62" s="138">
        <f>0</f>
        <v/>
      </c>
      <c r="AI62" s="138">
        <f>0</f>
        <v/>
      </c>
      <c r="AJ62" s="138">
        <f>0</f>
        <v/>
      </c>
      <c r="AK62" s="138">
        <f>0</f>
        <v/>
      </c>
      <c r="AL62" s="138">
        <f>0</f>
        <v/>
      </c>
      <c r="AM62" s="138">
        <f>0</f>
        <v/>
      </c>
      <c r="AN62" s="138">
        <f>0</f>
        <v/>
      </c>
      <c r="AO62" s="138">
        <f>0</f>
        <v/>
      </c>
      <c r="AP62" s="138">
        <f>0</f>
        <v/>
      </c>
      <c r="AQ62" s="138">
        <f>0</f>
        <v/>
      </c>
      <c r="AR62" s="138">
        <f>0</f>
        <v/>
      </c>
      <c r="AS62" s="138">
        <f>0</f>
        <v/>
      </c>
      <c r="AT62" s="138">
        <f>0</f>
        <v/>
      </c>
      <c r="AU62" s="138">
        <f>0</f>
        <v/>
      </c>
      <c r="AV62" s="138">
        <f>0</f>
        <v/>
      </c>
      <c r="AW62" s="138">
        <f>0</f>
        <v/>
      </c>
      <c r="AX62" s="138">
        <f>0</f>
        <v/>
      </c>
      <c r="AY62" s="138">
        <f>0</f>
        <v/>
      </c>
      <c r="AZ62" s="138">
        <f>0</f>
        <v/>
      </c>
      <c r="BA62" s="138">
        <f>0</f>
        <v/>
      </c>
    </row>
    <row r="63" ht="15" customHeight="1" s="91">
      <c r="A63" s="129" t="inlineStr">
        <is>
          <t xml:space="preserve">  Development CAPEX  تكاليف التطوير</t>
        </is>
      </c>
      <c r="B63" s="129" t="inlineStr">
        <is>
          <t>SAR</t>
        </is>
      </c>
      <c r="C63" s="138">
        <f>SUM(D63:BA63)</f>
        <v/>
      </c>
      <c r="D63" s="138">
        <f>-D201</f>
        <v/>
      </c>
      <c r="E63" s="138">
        <f>-E201</f>
        <v/>
      </c>
      <c r="F63" s="138">
        <f>-F201</f>
        <v/>
      </c>
      <c r="G63" s="138">
        <f>-G201</f>
        <v/>
      </c>
      <c r="H63" s="138">
        <f>-H201</f>
        <v/>
      </c>
      <c r="I63" s="138">
        <f>-I201</f>
        <v/>
      </c>
      <c r="J63" s="138">
        <f>-J201</f>
        <v/>
      </c>
      <c r="K63" s="138">
        <f>-K201</f>
        <v/>
      </c>
      <c r="L63" s="138">
        <f>-L201</f>
        <v/>
      </c>
      <c r="M63" s="138">
        <f>-M201</f>
        <v/>
      </c>
      <c r="N63" s="138">
        <f>-N201</f>
        <v/>
      </c>
      <c r="O63" s="138">
        <f>-O201</f>
        <v/>
      </c>
      <c r="P63" s="138">
        <f>-P201</f>
        <v/>
      </c>
      <c r="Q63" s="138">
        <f>-Q201</f>
        <v/>
      </c>
      <c r="R63" s="138">
        <f>-R201</f>
        <v/>
      </c>
      <c r="S63" s="138">
        <f>-S201</f>
        <v/>
      </c>
      <c r="T63" s="138">
        <f>-T201</f>
        <v/>
      </c>
      <c r="U63" s="138">
        <f>-U201</f>
        <v/>
      </c>
      <c r="V63" s="138">
        <f>-V201</f>
        <v/>
      </c>
      <c r="W63" s="138">
        <f>-W201</f>
        <v/>
      </c>
      <c r="X63" s="138">
        <f>-X201</f>
        <v/>
      </c>
      <c r="Y63" s="138">
        <f>-Y201</f>
        <v/>
      </c>
      <c r="Z63" s="138">
        <f>-Z201</f>
        <v/>
      </c>
      <c r="AA63" s="138">
        <f>-AA201</f>
        <v/>
      </c>
      <c r="AB63" s="138">
        <f>-AB201</f>
        <v/>
      </c>
      <c r="AC63" s="138">
        <f>-AC201</f>
        <v/>
      </c>
      <c r="AD63" s="138">
        <f>-AD201</f>
        <v/>
      </c>
      <c r="AE63" s="138">
        <f>-AE201</f>
        <v/>
      </c>
      <c r="AF63" s="138">
        <f>-AF201</f>
        <v/>
      </c>
      <c r="AG63" s="138">
        <f>-AG201</f>
        <v/>
      </c>
      <c r="AH63" s="138">
        <f>-AH201</f>
        <v/>
      </c>
      <c r="AI63" s="138">
        <f>-AI201</f>
        <v/>
      </c>
      <c r="AJ63" s="138">
        <f>-AJ201</f>
        <v/>
      </c>
      <c r="AK63" s="138">
        <f>-AK201</f>
        <v/>
      </c>
      <c r="AL63" s="138">
        <f>-AL201</f>
        <v/>
      </c>
      <c r="AM63" s="138">
        <f>-AM201</f>
        <v/>
      </c>
      <c r="AN63" s="138">
        <f>-AN201</f>
        <v/>
      </c>
      <c r="AO63" s="138">
        <f>-AO201</f>
        <v/>
      </c>
      <c r="AP63" s="138">
        <f>-AP201</f>
        <v/>
      </c>
      <c r="AQ63" s="138">
        <f>-AQ201</f>
        <v/>
      </c>
      <c r="AR63" s="138">
        <f>-AR201</f>
        <v/>
      </c>
      <c r="AS63" s="138">
        <f>-AS201</f>
        <v/>
      </c>
      <c r="AT63" s="138">
        <f>-AT201</f>
        <v/>
      </c>
      <c r="AU63" s="138">
        <f>-AU201</f>
        <v/>
      </c>
      <c r="AV63" s="138">
        <f>-AV201</f>
        <v/>
      </c>
      <c r="AW63" s="138">
        <f>-AW201</f>
        <v/>
      </c>
      <c r="AX63" s="138">
        <f>-AX201</f>
        <v/>
      </c>
      <c r="AY63" s="138">
        <f>-AY201</f>
        <v/>
      </c>
      <c r="AZ63" s="138">
        <f>-AZ201</f>
        <v/>
      </c>
      <c r="BA63" s="138">
        <f>-BA201</f>
        <v/>
      </c>
    </row>
    <row r="64" ht="15" customHeight="1" s="91">
      <c r="A64" s="141" t="inlineStr">
        <is>
          <t xml:space="preserve">  Net Cash Flow - ZAN 9</t>
        </is>
      </c>
      <c r="B64" s="129" t="inlineStr">
        <is>
          <t>SAR</t>
        </is>
      </c>
      <c r="C64" s="138">
        <f>SUM(D64:BA64)</f>
        <v/>
      </c>
      <c r="D64" s="138">
        <f>D61+D62+D63</f>
        <v/>
      </c>
      <c r="E64" s="138">
        <f>E61+E62+E63</f>
        <v/>
      </c>
      <c r="F64" s="138">
        <f>F61+F62+F63</f>
        <v/>
      </c>
      <c r="G64" s="138">
        <f>G61+G62+G63</f>
        <v/>
      </c>
      <c r="H64" s="138">
        <f>H61+H62+H63</f>
        <v/>
      </c>
      <c r="I64" s="138">
        <f>I61+I62+I63</f>
        <v/>
      </c>
      <c r="J64" s="138">
        <f>J61+J62+J63</f>
        <v/>
      </c>
      <c r="K64" s="138">
        <f>K61+K62+K63</f>
        <v/>
      </c>
      <c r="L64" s="138">
        <f>L61+L62+L63</f>
        <v/>
      </c>
      <c r="M64" s="138">
        <f>M61+M62+M63</f>
        <v/>
      </c>
      <c r="N64" s="138">
        <f>N61+N62+N63</f>
        <v/>
      </c>
      <c r="O64" s="138">
        <f>O61+O62+O63</f>
        <v/>
      </c>
      <c r="P64" s="138">
        <f>P61+P62+P63</f>
        <v/>
      </c>
      <c r="Q64" s="138">
        <f>Q61+Q62+Q63</f>
        <v/>
      </c>
      <c r="R64" s="138">
        <f>R61+R62+R63</f>
        <v/>
      </c>
      <c r="S64" s="138">
        <f>S61+S62+S63</f>
        <v/>
      </c>
      <c r="T64" s="138">
        <f>T61+T62+T63</f>
        <v/>
      </c>
      <c r="U64" s="138">
        <f>U61+U62+U63</f>
        <v/>
      </c>
      <c r="V64" s="138">
        <f>V61+V62+V63</f>
        <v/>
      </c>
      <c r="W64" s="138">
        <f>W61+W62+W63</f>
        <v/>
      </c>
      <c r="X64" s="138">
        <f>X61+X62+X63</f>
        <v/>
      </c>
      <c r="Y64" s="138">
        <f>Y61+Y62+Y63</f>
        <v/>
      </c>
      <c r="Z64" s="138">
        <f>Z61+Z62+Z63</f>
        <v/>
      </c>
      <c r="AA64" s="138">
        <f>AA61+AA62+AA63</f>
        <v/>
      </c>
      <c r="AB64" s="138">
        <f>AB61+AB62+AB63</f>
        <v/>
      </c>
      <c r="AC64" s="138">
        <f>AC61+AC62+AC63</f>
        <v/>
      </c>
      <c r="AD64" s="138">
        <f>AD61+AD62+AD63</f>
        <v/>
      </c>
      <c r="AE64" s="138">
        <f>AE61+AE62+AE63</f>
        <v/>
      </c>
      <c r="AF64" s="138">
        <f>AF61+AF62+AF63</f>
        <v/>
      </c>
      <c r="AG64" s="138">
        <f>AG61+AG62+AG63</f>
        <v/>
      </c>
      <c r="AH64" s="138">
        <f>AH61+AH62+AH63</f>
        <v/>
      </c>
      <c r="AI64" s="138">
        <f>AI61+AI62+AI63</f>
        <v/>
      </c>
      <c r="AJ64" s="138">
        <f>AJ61+AJ62+AJ63</f>
        <v/>
      </c>
      <c r="AK64" s="138">
        <f>AK61+AK62+AK63</f>
        <v/>
      </c>
      <c r="AL64" s="138">
        <f>AL61+AL62+AL63</f>
        <v/>
      </c>
      <c r="AM64" s="138">
        <f>AM61+AM62+AM63</f>
        <v/>
      </c>
      <c r="AN64" s="138">
        <f>AN61+AN62+AN63</f>
        <v/>
      </c>
      <c r="AO64" s="138">
        <f>AO61+AO62+AO63</f>
        <v/>
      </c>
      <c r="AP64" s="138">
        <f>AP61+AP62+AP63</f>
        <v/>
      </c>
      <c r="AQ64" s="138">
        <f>AQ61+AQ62+AQ63</f>
        <v/>
      </c>
      <c r="AR64" s="138">
        <f>AR61+AR62+AR63</f>
        <v/>
      </c>
      <c r="AS64" s="138">
        <f>AS61+AS62+AS63</f>
        <v/>
      </c>
      <c r="AT64" s="138">
        <f>AT61+AT62+AT63</f>
        <v/>
      </c>
      <c r="AU64" s="138">
        <f>AU61+AU62+AU63</f>
        <v/>
      </c>
      <c r="AV64" s="138">
        <f>AV61+AV62+AV63</f>
        <v/>
      </c>
      <c r="AW64" s="138">
        <f>AW61+AW62+AW63</f>
        <v/>
      </c>
      <c r="AX64" s="138">
        <f>AX61+AX62+AX63</f>
        <v/>
      </c>
      <c r="AY64" s="138">
        <f>AY61+AY62+AY63</f>
        <v/>
      </c>
      <c r="AZ64" s="138">
        <f>AZ61+AZ62+AZ63</f>
        <v/>
      </c>
      <c r="BA64" s="138">
        <f>BA61+BA62+BA63</f>
        <v/>
      </c>
    </row>
    <row r="65" ht="15" customHeight="1" s="91">
      <c r="A65" s="100" t="inlineStr">
        <is>
          <t xml:space="preserve">  IRR - ZAN 9</t>
        </is>
      </c>
      <c r="B65" s="129" t="inlineStr">
        <is>
          <t>%</t>
        </is>
      </c>
      <c r="C65" s="135">
        <f>IFERROR(IRR(D64:BA64),"-")</f>
        <v/>
      </c>
    </row>
    <row r="67" ht="15" customHeight="1" s="91">
      <c r="A67" s="139" t="inlineStr">
        <is>
          <t>ZAN 10</t>
        </is>
      </c>
      <c r="B67" s="140" t="n"/>
      <c r="C67" s="140" t="n"/>
      <c r="D67" s="140" t="n"/>
      <c r="E67" s="140" t="n"/>
      <c r="F67" s="140" t="n"/>
      <c r="G67" s="140" t="n"/>
      <c r="H67" s="140" t="n"/>
      <c r="I67" s="140" t="n"/>
      <c r="J67" s="140" t="n"/>
      <c r="K67" s="140" t="n"/>
      <c r="L67" s="140" t="n"/>
      <c r="M67" s="140" t="n"/>
      <c r="N67" s="140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  <c r="X67" s="140" t="n"/>
      <c r="Y67" s="140" t="n"/>
      <c r="Z67" s="140" t="n"/>
      <c r="AA67" s="140" t="n"/>
      <c r="AB67" s="140" t="n"/>
      <c r="AC67" s="140" t="n"/>
      <c r="AD67" s="140" t="n"/>
      <c r="AE67" s="140" t="n"/>
      <c r="AF67" s="140" t="n"/>
      <c r="AG67" s="140" t="n"/>
      <c r="AH67" s="140" t="n"/>
      <c r="AI67" s="140" t="n"/>
      <c r="AJ67" s="140" t="n"/>
      <c r="AK67" s="140" t="n"/>
      <c r="AL67" s="140" t="n"/>
      <c r="AM67" s="140" t="n"/>
      <c r="AN67" s="140" t="n"/>
      <c r="AO67" s="140" t="n"/>
      <c r="AP67" s="140" t="n"/>
      <c r="AQ67" s="140" t="n"/>
      <c r="AR67" s="140" t="n"/>
      <c r="AS67" s="140" t="n"/>
      <c r="AT67" s="140" t="n"/>
      <c r="AU67" s="140" t="n"/>
      <c r="AV67" s="140" t="n"/>
      <c r="AW67" s="140" t="n"/>
      <c r="AX67" s="140" t="n"/>
      <c r="AY67" s="140" t="n"/>
      <c r="AZ67" s="140" t="n"/>
      <c r="BA67" s="140" t="n"/>
    </row>
    <row r="68" ht="15" customHeight="1" s="91">
      <c r="A68" s="129" t="inlineStr">
        <is>
          <t xml:space="preserve">  Income  الإيرادات</t>
        </is>
      </c>
      <c r="B68" s="129" t="inlineStr">
        <is>
          <t>SAR</t>
        </is>
      </c>
      <c r="C68" s="138">
        <f>SUM(D68:BA68)</f>
        <v/>
      </c>
      <c r="D68" s="138">
        <f>D184</f>
        <v/>
      </c>
      <c r="E68" s="138">
        <f>E184</f>
        <v/>
      </c>
      <c r="F68" s="138">
        <f>F184</f>
        <v/>
      </c>
      <c r="G68" s="138">
        <f>G184</f>
        <v/>
      </c>
      <c r="H68" s="138">
        <f>H184</f>
        <v/>
      </c>
      <c r="I68" s="138">
        <f>I184</f>
        <v/>
      </c>
      <c r="J68" s="138">
        <f>J184</f>
        <v/>
      </c>
      <c r="K68" s="138">
        <f>K184</f>
        <v/>
      </c>
      <c r="L68" s="138">
        <f>L184</f>
        <v/>
      </c>
      <c r="M68" s="138">
        <f>M184</f>
        <v/>
      </c>
      <c r="N68" s="138">
        <f>N184</f>
        <v/>
      </c>
      <c r="O68" s="138">
        <f>O184</f>
        <v/>
      </c>
      <c r="P68" s="138">
        <f>P184</f>
        <v/>
      </c>
      <c r="Q68" s="138">
        <f>Q184</f>
        <v/>
      </c>
      <c r="R68" s="138">
        <f>R184</f>
        <v/>
      </c>
      <c r="S68" s="138">
        <f>S184</f>
        <v/>
      </c>
      <c r="T68" s="138">
        <f>T184</f>
        <v/>
      </c>
      <c r="U68" s="138">
        <f>U184</f>
        <v/>
      </c>
      <c r="V68" s="138">
        <f>V184</f>
        <v/>
      </c>
      <c r="W68" s="138">
        <f>W184</f>
        <v/>
      </c>
      <c r="X68" s="138">
        <f>X184</f>
        <v/>
      </c>
      <c r="Y68" s="138">
        <f>Y184</f>
        <v/>
      </c>
      <c r="Z68" s="138">
        <f>Z184</f>
        <v/>
      </c>
      <c r="AA68" s="138">
        <f>AA184</f>
        <v/>
      </c>
      <c r="AB68" s="138">
        <f>AB184</f>
        <v/>
      </c>
      <c r="AC68" s="138">
        <f>AC184</f>
        <v/>
      </c>
      <c r="AD68" s="138">
        <f>AD184</f>
        <v/>
      </c>
      <c r="AE68" s="138">
        <f>AE184</f>
        <v/>
      </c>
      <c r="AF68" s="138">
        <f>AF184</f>
        <v/>
      </c>
      <c r="AG68" s="138">
        <f>AG184</f>
        <v/>
      </c>
      <c r="AH68" s="138">
        <f>AH184</f>
        <v/>
      </c>
      <c r="AI68" s="138">
        <f>AI184</f>
        <v/>
      </c>
      <c r="AJ68" s="138">
        <f>AJ184</f>
        <v/>
      </c>
      <c r="AK68" s="138">
        <f>AK184</f>
        <v/>
      </c>
      <c r="AL68" s="138">
        <f>AL184</f>
        <v/>
      </c>
      <c r="AM68" s="138">
        <f>AM184</f>
        <v/>
      </c>
      <c r="AN68" s="138">
        <f>AN184</f>
        <v/>
      </c>
      <c r="AO68" s="138">
        <f>AO184</f>
        <v/>
      </c>
      <c r="AP68" s="138">
        <f>AP184</f>
        <v/>
      </c>
      <c r="AQ68" s="138">
        <f>AQ184</f>
        <v/>
      </c>
      <c r="AR68" s="138">
        <f>AR184</f>
        <v/>
      </c>
      <c r="AS68" s="138">
        <f>AS184</f>
        <v/>
      </c>
      <c r="AT68" s="138">
        <f>AT184</f>
        <v/>
      </c>
      <c r="AU68" s="138">
        <f>AU184</f>
        <v/>
      </c>
      <c r="AV68" s="138">
        <f>AV184</f>
        <v/>
      </c>
      <c r="AW68" s="138">
        <f>AW184</f>
        <v/>
      </c>
      <c r="AX68" s="138">
        <f>AX184</f>
        <v/>
      </c>
      <c r="AY68" s="138">
        <f>AY184</f>
        <v/>
      </c>
      <c r="AZ68" s="138">
        <f>AZ184</f>
        <v/>
      </c>
      <c r="BA68" s="138">
        <f>BA184</f>
        <v/>
      </c>
    </row>
    <row r="69" ht="15" customHeight="1" s="91">
      <c r="A69" s="129" t="inlineStr">
        <is>
          <t xml:space="preserve">  Land Rent  إيجار الأرض</t>
        </is>
      </c>
      <c r="B69" s="129" t="inlineStr">
        <is>
          <t>SAR</t>
        </is>
      </c>
      <c r="C69" s="138">
        <f>SUM(D69:BA69)</f>
        <v/>
      </c>
      <c r="D69" s="138">
        <f>0</f>
        <v/>
      </c>
      <c r="E69" s="138">
        <f>0</f>
        <v/>
      </c>
      <c r="F69" s="138">
        <f>0</f>
        <v/>
      </c>
      <c r="G69" s="138">
        <f>0</f>
        <v/>
      </c>
      <c r="H69" s="138">
        <f>0</f>
        <v/>
      </c>
      <c r="I69" s="138">
        <f>0</f>
        <v/>
      </c>
      <c r="J69" s="138">
        <f>0</f>
        <v/>
      </c>
      <c r="K69" s="138">
        <f>0</f>
        <v/>
      </c>
      <c r="L69" s="138">
        <f>0</f>
        <v/>
      </c>
      <c r="M69" s="138">
        <f>0</f>
        <v/>
      </c>
      <c r="N69" s="138">
        <f>0</f>
        <v/>
      </c>
      <c r="O69" s="138">
        <f>0</f>
        <v/>
      </c>
      <c r="P69" s="138">
        <f>0</f>
        <v/>
      </c>
      <c r="Q69" s="138">
        <f>0</f>
        <v/>
      </c>
      <c r="R69" s="138">
        <f>0</f>
        <v/>
      </c>
      <c r="S69" s="138">
        <f>0</f>
        <v/>
      </c>
      <c r="T69" s="138">
        <f>0</f>
        <v/>
      </c>
      <c r="U69" s="138">
        <f>0</f>
        <v/>
      </c>
      <c r="V69" s="138">
        <f>0</f>
        <v/>
      </c>
      <c r="W69" s="138">
        <f>0</f>
        <v/>
      </c>
      <c r="X69" s="138">
        <f>0</f>
        <v/>
      </c>
      <c r="Y69" s="138">
        <f>0</f>
        <v/>
      </c>
      <c r="Z69" s="138">
        <f>0</f>
        <v/>
      </c>
      <c r="AA69" s="138">
        <f>0</f>
        <v/>
      </c>
      <c r="AB69" s="138">
        <f>0</f>
        <v/>
      </c>
      <c r="AC69" s="138">
        <f>0</f>
        <v/>
      </c>
      <c r="AD69" s="138">
        <f>0</f>
        <v/>
      </c>
      <c r="AE69" s="138">
        <f>0</f>
        <v/>
      </c>
      <c r="AF69" s="138">
        <f>0</f>
        <v/>
      </c>
      <c r="AG69" s="138">
        <f>0</f>
        <v/>
      </c>
      <c r="AH69" s="138">
        <f>0</f>
        <v/>
      </c>
      <c r="AI69" s="138">
        <f>0</f>
        <v/>
      </c>
      <c r="AJ69" s="138">
        <f>0</f>
        <v/>
      </c>
      <c r="AK69" s="138">
        <f>0</f>
        <v/>
      </c>
      <c r="AL69" s="138">
        <f>0</f>
        <v/>
      </c>
      <c r="AM69" s="138">
        <f>0</f>
        <v/>
      </c>
      <c r="AN69" s="138">
        <f>0</f>
        <v/>
      </c>
      <c r="AO69" s="138">
        <f>0</f>
        <v/>
      </c>
      <c r="AP69" s="138">
        <f>0</f>
        <v/>
      </c>
      <c r="AQ69" s="138">
        <f>0</f>
        <v/>
      </c>
      <c r="AR69" s="138">
        <f>0</f>
        <v/>
      </c>
      <c r="AS69" s="138">
        <f>0</f>
        <v/>
      </c>
      <c r="AT69" s="138">
        <f>0</f>
        <v/>
      </c>
      <c r="AU69" s="138">
        <f>0</f>
        <v/>
      </c>
      <c r="AV69" s="138">
        <f>0</f>
        <v/>
      </c>
      <c r="AW69" s="138">
        <f>0</f>
        <v/>
      </c>
      <c r="AX69" s="138">
        <f>0</f>
        <v/>
      </c>
      <c r="AY69" s="138">
        <f>0</f>
        <v/>
      </c>
      <c r="AZ69" s="138">
        <f>0</f>
        <v/>
      </c>
      <c r="BA69" s="138">
        <f>0</f>
        <v/>
      </c>
    </row>
    <row r="70" ht="15" customHeight="1" s="91">
      <c r="A70" s="129" t="inlineStr">
        <is>
          <t xml:space="preserve">  Development CAPEX  تكاليف التطوير</t>
        </is>
      </c>
      <c r="B70" s="129" t="inlineStr">
        <is>
          <t>SAR</t>
        </is>
      </c>
      <c r="C70" s="138">
        <f>SUM(D70:BA70)</f>
        <v/>
      </c>
      <c r="D70" s="138">
        <f>-D202</f>
        <v/>
      </c>
      <c r="E70" s="138">
        <f>-E202</f>
        <v/>
      </c>
      <c r="F70" s="138">
        <f>-F202</f>
        <v/>
      </c>
      <c r="G70" s="138">
        <f>-G202</f>
        <v/>
      </c>
      <c r="H70" s="138">
        <f>-H202</f>
        <v/>
      </c>
      <c r="I70" s="138">
        <f>-I202</f>
        <v/>
      </c>
      <c r="J70" s="138">
        <f>-J202</f>
        <v/>
      </c>
      <c r="K70" s="138">
        <f>-K202</f>
        <v/>
      </c>
      <c r="L70" s="138">
        <f>-L202</f>
        <v/>
      </c>
      <c r="M70" s="138">
        <f>-M202</f>
        <v/>
      </c>
      <c r="N70" s="138">
        <f>-N202</f>
        <v/>
      </c>
      <c r="O70" s="138">
        <f>-O202</f>
        <v/>
      </c>
      <c r="P70" s="138">
        <f>-P202</f>
        <v/>
      </c>
      <c r="Q70" s="138">
        <f>-Q202</f>
        <v/>
      </c>
      <c r="R70" s="138">
        <f>-R202</f>
        <v/>
      </c>
      <c r="S70" s="138">
        <f>-S202</f>
        <v/>
      </c>
      <c r="T70" s="138">
        <f>-T202</f>
        <v/>
      </c>
      <c r="U70" s="138">
        <f>-U202</f>
        <v/>
      </c>
      <c r="V70" s="138">
        <f>-V202</f>
        <v/>
      </c>
      <c r="W70" s="138">
        <f>-W202</f>
        <v/>
      </c>
      <c r="X70" s="138">
        <f>-X202</f>
        <v/>
      </c>
      <c r="Y70" s="138">
        <f>-Y202</f>
        <v/>
      </c>
      <c r="Z70" s="138">
        <f>-Z202</f>
        <v/>
      </c>
      <c r="AA70" s="138">
        <f>-AA202</f>
        <v/>
      </c>
      <c r="AB70" s="138">
        <f>-AB202</f>
        <v/>
      </c>
      <c r="AC70" s="138">
        <f>-AC202</f>
        <v/>
      </c>
      <c r="AD70" s="138">
        <f>-AD202</f>
        <v/>
      </c>
      <c r="AE70" s="138">
        <f>-AE202</f>
        <v/>
      </c>
      <c r="AF70" s="138">
        <f>-AF202</f>
        <v/>
      </c>
      <c r="AG70" s="138">
        <f>-AG202</f>
        <v/>
      </c>
      <c r="AH70" s="138">
        <f>-AH202</f>
        <v/>
      </c>
      <c r="AI70" s="138">
        <f>-AI202</f>
        <v/>
      </c>
      <c r="AJ70" s="138">
        <f>-AJ202</f>
        <v/>
      </c>
      <c r="AK70" s="138">
        <f>-AK202</f>
        <v/>
      </c>
      <c r="AL70" s="138">
        <f>-AL202</f>
        <v/>
      </c>
      <c r="AM70" s="138">
        <f>-AM202</f>
        <v/>
      </c>
      <c r="AN70" s="138">
        <f>-AN202</f>
        <v/>
      </c>
      <c r="AO70" s="138">
        <f>-AO202</f>
        <v/>
      </c>
      <c r="AP70" s="138">
        <f>-AP202</f>
        <v/>
      </c>
      <c r="AQ70" s="138">
        <f>-AQ202</f>
        <v/>
      </c>
      <c r="AR70" s="138">
        <f>-AR202</f>
        <v/>
      </c>
      <c r="AS70" s="138">
        <f>-AS202</f>
        <v/>
      </c>
      <c r="AT70" s="138">
        <f>-AT202</f>
        <v/>
      </c>
      <c r="AU70" s="138">
        <f>-AU202</f>
        <v/>
      </c>
      <c r="AV70" s="138">
        <f>-AV202</f>
        <v/>
      </c>
      <c r="AW70" s="138">
        <f>-AW202</f>
        <v/>
      </c>
      <c r="AX70" s="138">
        <f>-AX202</f>
        <v/>
      </c>
      <c r="AY70" s="138">
        <f>-AY202</f>
        <v/>
      </c>
      <c r="AZ70" s="138">
        <f>-AZ202</f>
        <v/>
      </c>
      <c r="BA70" s="138">
        <f>-BA202</f>
        <v/>
      </c>
    </row>
    <row r="71" ht="15" customHeight="1" s="91">
      <c r="A71" s="141" t="inlineStr">
        <is>
          <t xml:space="preserve">  Net Cash Flow - ZAN 10</t>
        </is>
      </c>
      <c r="B71" s="129" t="inlineStr">
        <is>
          <t>SAR</t>
        </is>
      </c>
      <c r="C71" s="138">
        <f>SUM(D71:BA71)</f>
        <v/>
      </c>
      <c r="D71" s="138">
        <f>D68+D69+D70</f>
        <v/>
      </c>
      <c r="E71" s="138">
        <f>E68+E69+E70</f>
        <v/>
      </c>
      <c r="F71" s="138">
        <f>F68+F69+F70</f>
        <v/>
      </c>
      <c r="G71" s="138">
        <f>G68+G69+G70</f>
        <v/>
      </c>
      <c r="H71" s="138">
        <f>H68+H69+H70</f>
        <v/>
      </c>
      <c r="I71" s="138">
        <f>I68+I69+I70</f>
        <v/>
      </c>
      <c r="J71" s="138">
        <f>J68+J69+J70</f>
        <v/>
      </c>
      <c r="K71" s="138">
        <f>K68+K69+K70</f>
        <v/>
      </c>
      <c r="L71" s="138">
        <f>L68+L69+L70</f>
        <v/>
      </c>
      <c r="M71" s="138">
        <f>M68+M69+M70</f>
        <v/>
      </c>
      <c r="N71" s="138">
        <f>N68+N69+N70</f>
        <v/>
      </c>
      <c r="O71" s="138">
        <f>O68+O69+O70</f>
        <v/>
      </c>
      <c r="P71" s="138">
        <f>P68+P69+P70</f>
        <v/>
      </c>
      <c r="Q71" s="138">
        <f>Q68+Q69+Q70</f>
        <v/>
      </c>
      <c r="R71" s="138">
        <f>R68+R69+R70</f>
        <v/>
      </c>
      <c r="S71" s="138">
        <f>S68+S69+S70</f>
        <v/>
      </c>
      <c r="T71" s="138">
        <f>T68+T69+T70</f>
        <v/>
      </c>
      <c r="U71" s="138">
        <f>U68+U69+U70</f>
        <v/>
      </c>
      <c r="V71" s="138">
        <f>V68+V69+V70</f>
        <v/>
      </c>
      <c r="W71" s="138">
        <f>W68+W69+W70</f>
        <v/>
      </c>
      <c r="X71" s="138">
        <f>X68+X69+X70</f>
        <v/>
      </c>
      <c r="Y71" s="138">
        <f>Y68+Y69+Y70</f>
        <v/>
      </c>
      <c r="Z71" s="138">
        <f>Z68+Z69+Z70</f>
        <v/>
      </c>
      <c r="AA71" s="138">
        <f>AA68+AA69+AA70</f>
        <v/>
      </c>
      <c r="AB71" s="138">
        <f>AB68+AB69+AB70</f>
        <v/>
      </c>
      <c r="AC71" s="138">
        <f>AC68+AC69+AC70</f>
        <v/>
      </c>
      <c r="AD71" s="138">
        <f>AD68+AD69+AD70</f>
        <v/>
      </c>
      <c r="AE71" s="138">
        <f>AE68+AE69+AE70</f>
        <v/>
      </c>
      <c r="AF71" s="138">
        <f>AF68+AF69+AF70</f>
        <v/>
      </c>
      <c r="AG71" s="138">
        <f>AG68+AG69+AG70</f>
        <v/>
      </c>
      <c r="AH71" s="138">
        <f>AH68+AH69+AH70</f>
        <v/>
      </c>
      <c r="AI71" s="138">
        <f>AI68+AI69+AI70</f>
        <v/>
      </c>
      <c r="AJ71" s="138">
        <f>AJ68+AJ69+AJ70</f>
        <v/>
      </c>
      <c r="AK71" s="138">
        <f>AK68+AK69+AK70</f>
        <v/>
      </c>
      <c r="AL71" s="138">
        <f>AL68+AL69+AL70</f>
        <v/>
      </c>
      <c r="AM71" s="138">
        <f>AM68+AM69+AM70</f>
        <v/>
      </c>
      <c r="AN71" s="138">
        <f>AN68+AN69+AN70</f>
        <v/>
      </c>
      <c r="AO71" s="138">
        <f>AO68+AO69+AO70</f>
        <v/>
      </c>
      <c r="AP71" s="138">
        <f>AP68+AP69+AP70</f>
        <v/>
      </c>
      <c r="AQ71" s="138">
        <f>AQ68+AQ69+AQ70</f>
        <v/>
      </c>
      <c r="AR71" s="138">
        <f>AR68+AR69+AR70</f>
        <v/>
      </c>
      <c r="AS71" s="138">
        <f>AS68+AS69+AS70</f>
        <v/>
      </c>
      <c r="AT71" s="138">
        <f>AT68+AT69+AT70</f>
        <v/>
      </c>
      <c r="AU71" s="138">
        <f>AU68+AU69+AU70</f>
        <v/>
      </c>
      <c r="AV71" s="138">
        <f>AV68+AV69+AV70</f>
        <v/>
      </c>
      <c r="AW71" s="138">
        <f>AW68+AW69+AW70</f>
        <v/>
      </c>
      <c r="AX71" s="138">
        <f>AX68+AX69+AX70</f>
        <v/>
      </c>
      <c r="AY71" s="138">
        <f>AY68+AY69+AY70</f>
        <v/>
      </c>
      <c r="AZ71" s="138">
        <f>AZ68+AZ69+AZ70</f>
        <v/>
      </c>
      <c r="BA71" s="138">
        <f>BA68+BA69+BA70</f>
        <v/>
      </c>
    </row>
    <row r="72" ht="15" customHeight="1" s="91">
      <c r="A72" s="100" t="inlineStr">
        <is>
          <t xml:space="preserve">  IRR - ZAN 10</t>
        </is>
      </c>
      <c r="B72" s="129" t="inlineStr">
        <is>
          <t>%</t>
        </is>
      </c>
      <c r="C72" s="135">
        <f>IFERROR(IRR(D71:BA71),"-")</f>
        <v/>
      </c>
    </row>
    <row r="74" ht="15" customHeight="1" s="91">
      <c r="A74" s="139" t="inlineStr">
        <is>
          <t>ZAN 11</t>
        </is>
      </c>
      <c r="B74" s="140" t="n"/>
      <c r="C74" s="140" t="n"/>
      <c r="D74" s="140" t="n"/>
      <c r="E74" s="140" t="n"/>
      <c r="F74" s="140" t="n"/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n"/>
      <c r="AD74" s="140" t="n"/>
      <c r="AE74" s="140" t="n"/>
      <c r="AF74" s="140" t="n"/>
      <c r="AG74" s="140" t="n"/>
      <c r="AH74" s="140" t="n"/>
      <c r="AI74" s="140" t="n"/>
      <c r="AJ74" s="140" t="n"/>
      <c r="AK74" s="140" t="n"/>
      <c r="AL74" s="140" t="n"/>
      <c r="AM74" s="140" t="n"/>
      <c r="AN74" s="140" t="n"/>
      <c r="AO74" s="140" t="n"/>
      <c r="AP74" s="140" t="n"/>
      <c r="AQ74" s="140" t="n"/>
      <c r="AR74" s="140" t="n"/>
      <c r="AS74" s="140" t="n"/>
      <c r="AT74" s="140" t="n"/>
      <c r="AU74" s="140" t="n"/>
      <c r="AV74" s="140" t="n"/>
      <c r="AW74" s="140" t="n"/>
      <c r="AX74" s="140" t="n"/>
      <c r="AY74" s="140" t="n"/>
      <c r="AZ74" s="140" t="n"/>
      <c r="BA74" s="140" t="n"/>
    </row>
    <row r="75" ht="15" customHeight="1" s="91">
      <c r="A75" s="129" t="inlineStr">
        <is>
          <t xml:space="preserve">  Income  الإيرادات</t>
        </is>
      </c>
      <c r="B75" s="129" t="inlineStr">
        <is>
          <t>SAR</t>
        </is>
      </c>
      <c r="C75" s="138">
        <f>SUM(D75:BA75)</f>
        <v/>
      </c>
      <c r="D75" s="138">
        <f>D185</f>
        <v/>
      </c>
      <c r="E75" s="138">
        <f>E185</f>
        <v/>
      </c>
      <c r="F75" s="138">
        <f>F185</f>
        <v/>
      </c>
      <c r="G75" s="138">
        <f>G185</f>
        <v/>
      </c>
      <c r="H75" s="138">
        <f>H185</f>
        <v/>
      </c>
      <c r="I75" s="138">
        <f>I185</f>
        <v/>
      </c>
      <c r="J75" s="138">
        <f>J185</f>
        <v/>
      </c>
      <c r="K75" s="138">
        <f>K185</f>
        <v/>
      </c>
      <c r="L75" s="138">
        <f>L185</f>
        <v/>
      </c>
      <c r="M75" s="138">
        <f>M185</f>
        <v/>
      </c>
      <c r="N75" s="138">
        <f>N185</f>
        <v/>
      </c>
      <c r="O75" s="138">
        <f>O185</f>
        <v/>
      </c>
      <c r="P75" s="138">
        <f>P185</f>
        <v/>
      </c>
      <c r="Q75" s="138">
        <f>Q185</f>
        <v/>
      </c>
      <c r="R75" s="138">
        <f>R185</f>
        <v/>
      </c>
      <c r="S75" s="138">
        <f>S185</f>
        <v/>
      </c>
      <c r="T75" s="138">
        <f>T185</f>
        <v/>
      </c>
      <c r="U75" s="138">
        <f>U185</f>
        <v/>
      </c>
      <c r="V75" s="138">
        <f>V185</f>
        <v/>
      </c>
      <c r="W75" s="138">
        <f>W185</f>
        <v/>
      </c>
      <c r="X75" s="138">
        <f>X185</f>
        <v/>
      </c>
      <c r="Y75" s="138">
        <f>Y185</f>
        <v/>
      </c>
      <c r="Z75" s="138">
        <f>Z185</f>
        <v/>
      </c>
      <c r="AA75" s="138">
        <f>AA185</f>
        <v/>
      </c>
      <c r="AB75" s="138">
        <f>AB185</f>
        <v/>
      </c>
      <c r="AC75" s="138">
        <f>AC185</f>
        <v/>
      </c>
      <c r="AD75" s="138">
        <f>AD185</f>
        <v/>
      </c>
      <c r="AE75" s="138">
        <f>AE185</f>
        <v/>
      </c>
      <c r="AF75" s="138">
        <f>AF185</f>
        <v/>
      </c>
      <c r="AG75" s="138">
        <f>AG185</f>
        <v/>
      </c>
      <c r="AH75" s="138">
        <f>AH185</f>
        <v/>
      </c>
      <c r="AI75" s="138">
        <f>AI185</f>
        <v/>
      </c>
      <c r="AJ75" s="138">
        <f>AJ185</f>
        <v/>
      </c>
      <c r="AK75" s="138">
        <f>AK185</f>
        <v/>
      </c>
      <c r="AL75" s="138">
        <f>AL185</f>
        <v/>
      </c>
      <c r="AM75" s="138">
        <f>AM185</f>
        <v/>
      </c>
      <c r="AN75" s="138">
        <f>AN185</f>
        <v/>
      </c>
      <c r="AO75" s="138">
        <f>AO185</f>
        <v/>
      </c>
      <c r="AP75" s="138">
        <f>AP185</f>
        <v/>
      </c>
      <c r="AQ75" s="138">
        <f>AQ185</f>
        <v/>
      </c>
      <c r="AR75" s="138">
        <f>AR185</f>
        <v/>
      </c>
      <c r="AS75" s="138">
        <f>AS185</f>
        <v/>
      </c>
      <c r="AT75" s="138">
        <f>AT185</f>
        <v/>
      </c>
      <c r="AU75" s="138">
        <f>AU185</f>
        <v/>
      </c>
      <c r="AV75" s="138">
        <f>AV185</f>
        <v/>
      </c>
      <c r="AW75" s="138">
        <f>AW185</f>
        <v/>
      </c>
      <c r="AX75" s="138">
        <f>AX185</f>
        <v/>
      </c>
      <c r="AY75" s="138">
        <f>AY185</f>
        <v/>
      </c>
      <c r="AZ75" s="138">
        <f>AZ185</f>
        <v/>
      </c>
      <c r="BA75" s="138">
        <f>BA185</f>
        <v/>
      </c>
    </row>
    <row r="76" ht="15" customHeight="1" s="91">
      <c r="A76" s="129" t="inlineStr">
        <is>
          <t xml:space="preserve">  Land Rent  إيجار الأرض</t>
        </is>
      </c>
      <c r="B76" s="129" t="inlineStr">
        <is>
          <t>SAR</t>
        </is>
      </c>
      <c r="C76" s="138">
        <f>SUM(D76:BA76)</f>
        <v/>
      </c>
      <c r="D76" s="138">
        <f>0</f>
        <v/>
      </c>
      <c r="E76" s="138">
        <f>0</f>
        <v/>
      </c>
      <c r="F76" s="138">
        <f>0</f>
        <v/>
      </c>
      <c r="G76" s="138">
        <f>0</f>
        <v/>
      </c>
      <c r="H76" s="138">
        <f>0</f>
        <v/>
      </c>
      <c r="I76" s="138">
        <f>0</f>
        <v/>
      </c>
      <c r="J76" s="138">
        <f>0</f>
        <v/>
      </c>
      <c r="K76" s="138">
        <f>0</f>
        <v/>
      </c>
      <c r="L76" s="138">
        <f>0</f>
        <v/>
      </c>
      <c r="M76" s="138">
        <f>0</f>
        <v/>
      </c>
      <c r="N76" s="138">
        <f>0</f>
        <v/>
      </c>
      <c r="O76" s="138">
        <f>0</f>
        <v/>
      </c>
      <c r="P76" s="138">
        <f>0</f>
        <v/>
      </c>
      <c r="Q76" s="138">
        <f>0</f>
        <v/>
      </c>
      <c r="R76" s="138">
        <f>0</f>
        <v/>
      </c>
      <c r="S76" s="138">
        <f>0</f>
        <v/>
      </c>
      <c r="T76" s="138">
        <f>0</f>
        <v/>
      </c>
      <c r="U76" s="138">
        <f>0</f>
        <v/>
      </c>
      <c r="V76" s="138">
        <f>0</f>
        <v/>
      </c>
      <c r="W76" s="138">
        <f>0</f>
        <v/>
      </c>
      <c r="X76" s="138">
        <f>0</f>
        <v/>
      </c>
      <c r="Y76" s="138">
        <f>0</f>
        <v/>
      </c>
      <c r="Z76" s="138">
        <f>0</f>
        <v/>
      </c>
      <c r="AA76" s="138">
        <f>0</f>
        <v/>
      </c>
      <c r="AB76" s="138">
        <f>0</f>
        <v/>
      </c>
      <c r="AC76" s="138">
        <f>0</f>
        <v/>
      </c>
      <c r="AD76" s="138">
        <f>0</f>
        <v/>
      </c>
      <c r="AE76" s="138">
        <f>0</f>
        <v/>
      </c>
      <c r="AF76" s="138">
        <f>0</f>
        <v/>
      </c>
      <c r="AG76" s="138">
        <f>0</f>
        <v/>
      </c>
      <c r="AH76" s="138">
        <f>0</f>
        <v/>
      </c>
      <c r="AI76" s="138">
        <f>0</f>
        <v/>
      </c>
      <c r="AJ76" s="138">
        <f>0</f>
        <v/>
      </c>
      <c r="AK76" s="138">
        <f>0</f>
        <v/>
      </c>
      <c r="AL76" s="138">
        <f>0</f>
        <v/>
      </c>
      <c r="AM76" s="138">
        <f>0</f>
        <v/>
      </c>
      <c r="AN76" s="138">
        <f>0</f>
        <v/>
      </c>
      <c r="AO76" s="138">
        <f>0</f>
        <v/>
      </c>
      <c r="AP76" s="138">
        <f>0</f>
        <v/>
      </c>
      <c r="AQ76" s="138">
        <f>0</f>
        <v/>
      </c>
      <c r="AR76" s="138">
        <f>0</f>
        <v/>
      </c>
      <c r="AS76" s="138">
        <f>0</f>
        <v/>
      </c>
      <c r="AT76" s="138">
        <f>0</f>
        <v/>
      </c>
      <c r="AU76" s="138">
        <f>0</f>
        <v/>
      </c>
      <c r="AV76" s="138">
        <f>0</f>
        <v/>
      </c>
      <c r="AW76" s="138">
        <f>0</f>
        <v/>
      </c>
      <c r="AX76" s="138">
        <f>0</f>
        <v/>
      </c>
      <c r="AY76" s="138">
        <f>0</f>
        <v/>
      </c>
      <c r="AZ76" s="138">
        <f>0</f>
        <v/>
      </c>
      <c r="BA76" s="138">
        <f>0</f>
        <v/>
      </c>
    </row>
    <row r="77" ht="15" customHeight="1" s="91">
      <c r="A77" s="129" t="inlineStr">
        <is>
          <t xml:space="preserve">  Development CAPEX  تكاليف التطوير</t>
        </is>
      </c>
      <c r="B77" s="129" t="inlineStr">
        <is>
          <t>SAR</t>
        </is>
      </c>
      <c r="C77" s="138">
        <f>SUM(D77:BA77)</f>
        <v/>
      </c>
      <c r="D77" s="138">
        <f>-D203</f>
        <v/>
      </c>
      <c r="E77" s="138">
        <f>-E203</f>
        <v/>
      </c>
      <c r="F77" s="138">
        <f>-F203</f>
        <v/>
      </c>
      <c r="G77" s="138">
        <f>-G203</f>
        <v/>
      </c>
      <c r="H77" s="138">
        <f>-H203</f>
        <v/>
      </c>
      <c r="I77" s="138">
        <f>-I203</f>
        <v/>
      </c>
      <c r="J77" s="138">
        <f>-J203</f>
        <v/>
      </c>
      <c r="K77" s="138">
        <f>-K203</f>
        <v/>
      </c>
      <c r="L77" s="138">
        <f>-L203</f>
        <v/>
      </c>
      <c r="M77" s="138">
        <f>-M203</f>
        <v/>
      </c>
      <c r="N77" s="138">
        <f>-N203</f>
        <v/>
      </c>
      <c r="O77" s="138">
        <f>-O203</f>
        <v/>
      </c>
      <c r="P77" s="138">
        <f>-P203</f>
        <v/>
      </c>
      <c r="Q77" s="138">
        <f>-Q203</f>
        <v/>
      </c>
      <c r="R77" s="138">
        <f>-R203</f>
        <v/>
      </c>
      <c r="S77" s="138">
        <f>-S203</f>
        <v/>
      </c>
      <c r="T77" s="138">
        <f>-T203</f>
        <v/>
      </c>
      <c r="U77" s="138">
        <f>-U203</f>
        <v/>
      </c>
      <c r="V77" s="138">
        <f>-V203</f>
        <v/>
      </c>
      <c r="W77" s="138">
        <f>-W203</f>
        <v/>
      </c>
      <c r="X77" s="138">
        <f>-X203</f>
        <v/>
      </c>
      <c r="Y77" s="138">
        <f>-Y203</f>
        <v/>
      </c>
      <c r="Z77" s="138">
        <f>-Z203</f>
        <v/>
      </c>
      <c r="AA77" s="138">
        <f>-AA203</f>
        <v/>
      </c>
      <c r="AB77" s="138">
        <f>-AB203</f>
        <v/>
      </c>
      <c r="AC77" s="138">
        <f>-AC203</f>
        <v/>
      </c>
      <c r="AD77" s="138">
        <f>-AD203</f>
        <v/>
      </c>
      <c r="AE77" s="138">
        <f>-AE203</f>
        <v/>
      </c>
      <c r="AF77" s="138">
        <f>-AF203</f>
        <v/>
      </c>
      <c r="AG77" s="138">
        <f>-AG203</f>
        <v/>
      </c>
      <c r="AH77" s="138">
        <f>-AH203</f>
        <v/>
      </c>
      <c r="AI77" s="138">
        <f>-AI203</f>
        <v/>
      </c>
      <c r="AJ77" s="138">
        <f>-AJ203</f>
        <v/>
      </c>
      <c r="AK77" s="138">
        <f>-AK203</f>
        <v/>
      </c>
      <c r="AL77" s="138">
        <f>-AL203</f>
        <v/>
      </c>
      <c r="AM77" s="138">
        <f>-AM203</f>
        <v/>
      </c>
      <c r="AN77" s="138">
        <f>-AN203</f>
        <v/>
      </c>
      <c r="AO77" s="138">
        <f>-AO203</f>
        <v/>
      </c>
      <c r="AP77" s="138">
        <f>-AP203</f>
        <v/>
      </c>
      <c r="AQ77" s="138">
        <f>-AQ203</f>
        <v/>
      </c>
      <c r="AR77" s="138">
        <f>-AR203</f>
        <v/>
      </c>
      <c r="AS77" s="138">
        <f>-AS203</f>
        <v/>
      </c>
      <c r="AT77" s="138">
        <f>-AT203</f>
        <v/>
      </c>
      <c r="AU77" s="138">
        <f>-AU203</f>
        <v/>
      </c>
      <c r="AV77" s="138">
        <f>-AV203</f>
        <v/>
      </c>
      <c r="AW77" s="138">
        <f>-AW203</f>
        <v/>
      </c>
      <c r="AX77" s="138">
        <f>-AX203</f>
        <v/>
      </c>
      <c r="AY77" s="138">
        <f>-AY203</f>
        <v/>
      </c>
      <c r="AZ77" s="138">
        <f>-AZ203</f>
        <v/>
      </c>
      <c r="BA77" s="138">
        <f>-BA203</f>
        <v/>
      </c>
    </row>
    <row r="78" ht="15" customHeight="1" s="91">
      <c r="A78" s="141" t="inlineStr">
        <is>
          <t xml:space="preserve">  Net Cash Flow - ZAN 11</t>
        </is>
      </c>
      <c r="B78" s="129" t="inlineStr">
        <is>
          <t>SAR</t>
        </is>
      </c>
      <c r="C78" s="138">
        <f>SUM(D78:BA78)</f>
        <v/>
      </c>
      <c r="D78" s="138">
        <f>D75+D76+D77</f>
        <v/>
      </c>
      <c r="E78" s="138">
        <f>E75+E76+E77</f>
        <v/>
      </c>
      <c r="F78" s="138">
        <f>F75+F76+F77</f>
        <v/>
      </c>
      <c r="G78" s="138">
        <f>G75+G76+G77</f>
        <v/>
      </c>
      <c r="H78" s="138">
        <f>H75+H76+H77</f>
        <v/>
      </c>
      <c r="I78" s="138">
        <f>I75+I76+I77</f>
        <v/>
      </c>
      <c r="J78" s="138">
        <f>J75+J76+J77</f>
        <v/>
      </c>
      <c r="K78" s="138">
        <f>K75+K76+K77</f>
        <v/>
      </c>
      <c r="L78" s="138">
        <f>L75+L76+L77</f>
        <v/>
      </c>
      <c r="M78" s="138">
        <f>M75+M76+M77</f>
        <v/>
      </c>
      <c r="N78" s="138">
        <f>N75+N76+N77</f>
        <v/>
      </c>
      <c r="O78" s="138">
        <f>O75+O76+O77</f>
        <v/>
      </c>
      <c r="P78" s="138">
        <f>P75+P76+P77</f>
        <v/>
      </c>
      <c r="Q78" s="138">
        <f>Q75+Q76+Q77</f>
        <v/>
      </c>
      <c r="R78" s="138">
        <f>R75+R76+R77</f>
        <v/>
      </c>
      <c r="S78" s="138">
        <f>S75+S76+S77</f>
        <v/>
      </c>
      <c r="T78" s="138">
        <f>T75+T76+T77</f>
        <v/>
      </c>
      <c r="U78" s="138">
        <f>U75+U76+U77</f>
        <v/>
      </c>
      <c r="V78" s="138">
        <f>V75+V76+V77</f>
        <v/>
      </c>
      <c r="W78" s="138">
        <f>W75+W76+W77</f>
        <v/>
      </c>
      <c r="X78" s="138">
        <f>X75+X76+X77</f>
        <v/>
      </c>
      <c r="Y78" s="138">
        <f>Y75+Y76+Y77</f>
        <v/>
      </c>
      <c r="Z78" s="138">
        <f>Z75+Z76+Z77</f>
        <v/>
      </c>
      <c r="AA78" s="138">
        <f>AA75+AA76+AA77</f>
        <v/>
      </c>
      <c r="AB78" s="138">
        <f>AB75+AB76+AB77</f>
        <v/>
      </c>
      <c r="AC78" s="138">
        <f>AC75+AC76+AC77</f>
        <v/>
      </c>
      <c r="AD78" s="138">
        <f>AD75+AD76+AD77</f>
        <v/>
      </c>
      <c r="AE78" s="138">
        <f>AE75+AE76+AE77</f>
        <v/>
      </c>
      <c r="AF78" s="138">
        <f>AF75+AF76+AF77</f>
        <v/>
      </c>
      <c r="AG78" s="138">
        <f>AG75+AG76+AG77</f>
        <v/>
      </c>
      <c r="AH78" s="138">
        <f>AH75+AH76+AH77</f>
        <v/>
      </c>
      <c r="AI78" s="138">
        <f>AI75+AI76+AI77</f>
        <v/>
      </c>
      <c r="AJ78" s="138">
        <f>AJ75+AJ76+AJ77</f>
        <v/>
      </c>
      <c r="AK78" s="138">
        <f>AK75+AK76+AK77</f>
        <v/>
      </c>
      <c r="AL78" s="138">
        <f>AL75+AL76+AL77</f>
        <v/>
      </c>
      <c r="AM78" s="138">
        <f>AM75+AM76+AM77</f>
        <v/>
      </c>
      <c r="AN78" s="138">
        <f>AN75+AN76+AN77</f>
        <v/>
      </c>
      <c r="AO78" s="138">
        <f>AO75+AO76+AO77</f>
        <v/>
      </c>
      <c r="AP78" s="138">
        <f>AP75+AP76+AP77</f>
        <v/>
      </c>
      <c r="AQ78" s="138">
        <f>AQ75+AQ76+AQ77</f>
        <v/>
      </c>
      <c r="AR78" s="138">
        <f>AR75+AR76+AR77</f>
        <v/>
      </c>
      <c r="AS78" s="138">
        <f>AS75+AS76+AS77</f>
        <v/>
      </c>
      <c r="AT78" s="138">
        <f>AT75+AT76+AT77</f>
        <v/>
      </c>
      <c r="AU78" s="138">
        <f>AU75+AU76+AU77</f>
        <v/>
      </c>
      <c r="AV78" s="138">
        <f>AV75+AV76+AV77</f>
        <v/>
      </c>
      <c r="AW78" s="138">
        <f>AW75+AW76+AW77</f>
        <v/>
      </c>
      <c r="AX78" s="138">
        <f>AX75+AX76+AX77</f>
        <v/>
      </c>
      <c r="AY78" s="138">
        <f>AY75+AY76+AY77</f>
        <v/>
      </c>
      <c r="AZ78" s="138">
        <f>AZ75+AZ76+AZ77</f>
        <v/>
      </c>
      <c r="BA78" s="138">
        <f>BA75+BA76+BA77</f>
        <v/>
      </c>
    </row>
    <row r="79" ht="15" customHeight="1" s="91">
      <c r="A79" s="100" t="inlineStr">
        <is>
          <t xml:space="preserve">  IRR - ZAN 11</t>
        </is>
      </c>
      <c r="B79" s="129" t="inlineStr">
        <is>
          <t>%</t>
        </is>
      </c>
      <c r="C79" s="135">
        <f>IFERROR(IRR(D78:BA78),"-")</f>
        <v/>
      </c>
    </row>
    <row r="81" ht="15" customHeight="1" s="91">
      <c r="A81" s="139" t="inlineStr">
        <is>
          <t>ZAN 12</t>
        </is>
      </c>
      <c r="B81" s="140" t="n"/>
      <c r="C81" s="140" t="n"/>
      <c r="D81" s="140" t="n"/>
      <c r="E81" s="140" t="n"/>
      <c r="F81" s="140" t="n"/>
      <c r="G81" s="140" t="n"/>
      <c r="H81" s="140" t="n"/>
      <c r="I81" s="140" t="n"/>
      <c r="J81" s="140" t="n"/>
      <c r="K81" s="140" t="n"/>
      <c r="L81" s="140" t="n"/>
      <c r="M81" s="140" t="n"/>
      <c r="N81" s="140" t="n"/>
      <c r="O81" s="140" t="n"/>
      <c r="P81" s="140" t="n"/>
      <c r="Q81" s="140" t="n"/>
      <c r="R81" s="140" t="n"/>
      <c r="S81" s="140" t="n"/>
      <c r="T81" s="140" t="n"/>
      <c r="U81" s="140" t="n"/>
      <c r="V81" s="140" t="n"/>
      <c r="W81" s="140" t="n"/>
      <c r="X81" s="140" t="n"/>
      <c r="Y81" s="140" t="n"/>
      <c r="Z81" s="140" t="n"/>
      <c r="AA81" s="140" t="n"/>
      <c r="AB81" s="140" t="n"/>
      <c r="AC81" s="140" t="n"/>
      <c r="AD81" s="140" t="n"/>
      <c r="AE81" s="140" t="n"/>
      <c r="AF81" s="140" t="n"/>
      <c r="AG81" s="140" t="n"/>
      <c r="AH81" s="140" t="n"/>
      <c r="AI81" s="140" t="n"/>
      <c r="AJ81" s="140" t="n"/>
      <c r="AK81" s="140" t="n"/>
      <c r="AL81" s="140" t="n"/>
      <c r="AM81" s="140" t="n"/>
      <c r="AN81" s="140" t="n"/>
      <c r="AO81" s="140" t="n"/>
      <c r="AP81" s="140" t="n"/>
      <c r="AQ81" s="140" t="n"/>
      <c r="AR81" s="140" t="n"/>
      <c r="AS81" s="140" t="n"/>
      <c r="AT81" s="140" t="n"/>
      <c r="AU81" s="140" t="n"/>
      <c r="AV81" s="140" t="n"/>
      <c r="AW81" s="140" t="n"/>
      <c r="AX81" s="140" t="n"/>
      <c r="AY81" s="140" t="n"/>
      <c r="AZ81" s="140" t="n"/>
      <c r="BA81" s="140" t="n"/>
    </row>
    <row r="82" ht="15" customHeight="1" s="91">
      <c r="A82" s="129" t="inlineStr">
        <is>
          <t xml:space="preserve">  Income  الإيرادات</t>
        </is>
      </c>
      <c r="B82" s="129" t="inlineStr">
        <is>
          <t>SAR</t>
        </is>
      </c>
      <c r="C82" s="138">
        <f>SUM(D82:BA82)</f>
        <v/>
      </c>
      <c r="D82" s="138">
        <f>D186</f>
        <v/>
      </c>
      <c r="E82" s="138">
        <f>E186</f>
        <v/>
      </c>
      <c r="F82" s="138">
        <f>F186</f>
        <v/>
      </c>
      <c r="G82" s="138">
        <f>G186</f>
        <v/>
      </c>
      <c r="H82" s="138">
        <f>H186</f>
        <v/>
      </c>
      <c r="I82" s="138">
        <f>I186</f>
        <v/>
      </c>
      <c r="J82" s="138">
        <f>J186</f>
        <v/>
      </c>
      <c r="K82" s="138">
        <f>K186</f>
        <v/>
      </c>
      <c r="L82" s="138">
        <f>L186</f>
        <v/>
      </c>
      <c r="M82" s="138">
        <f>M186</f>
        <v/>
      </c>
      <c r="N82" s="138">
        <f>N186</f>
        <v/>
      </c>
      <c r="O82" s="138">
        <f>O186</f>
        <v/>
      </c>
      <c r="P82" s="138">
        <f>P186</f>
        <v/>
      </c>
      <c r="Q82" s="138">
        <f>Q186</f>
        <v/>
      </c>
      <c r="R82" s="138">
        <f>R186</f>
        <v/>
      </c>
      <c r="S82" s="138">
        <f>S186</f>
        <v/>
      </c>
      <c r="T82" s="138">
        <f>T186</f>
        <v/>
      </c>
      <c r="U82" s="138">
        <f>U186</f>
        <v/>
      </c>
      <c r="V82" s="138">
        <f>V186</f>
        <v/>
      </c>
      <c r="W82" s="138">
        <f>W186</f>
        <v/>
      </c>
      <c r="X82" s="138">
        <f>X186</f>
        <v/>
      </c>
      <c r="Y82" s="138">
        <f>Y186</f>
        <v/>
      </c>
      <c r="Z82" s="138">
        <f>Z186</f>
        <v/>
      </c>
      <c r="AA82" s="138">
        <f>AA186</f>
        <v/>
      </c>
      <c r="AB82" s="138">
        <f>AB186</f>
        <v/>
      </c>
      <c r="AC82" s="138">
        <f>AC186</f>
        <v/>
      </c>
      <c r="AD82" s="138">
        <f>AD186</f>
        <v/>
      </c>
      <c r="AE82" s="138">
        <f>AE186</f>
        <v/>
      </c>
      <c r="AF82" s="138">
        <f>AF186</f>
        <v/>
      </c>
      <c r="AG82" s="138">
        <f>AG186</f>
        <v/>
      </c>
      <c r="AH82" s="138">
        <f>AH186</f>
        <v/>
      </c>
      <c r="AI82" s="138">
        <f>AI186</f>
        <v/>
      </c>
      <c r="AJ82" s="138">
        <f>AJ186</f>
        <v/>
      </c>
      <c r="AK82" s="138">
        <f>AK186</f>
        <v/>
      </c>
      <c r="AL82" s="138">
        <f>AL186</f>
        <v/>
      </c>
      <c r="AM82" s="138">
        <f>AM186</f>
        <v/>
      </c>
      <c r="AN82" s="138">
        <f>AN186</f>
        <v/>
      </c>
      <c r="AO82" s="138">
        <f>AO186</f>
        <v/>
      </c>
      <c r="AP82" s="138">
        <f>AP186</f>
        <v/>
      </c>
      <c r="AQ82" s="138">
        <f>AQ186</f>
        <v/>
      </c>
      <c r="AR82" s="138">
        <f>AR186</f>
        <v/>
      </c>
      <c r="AS82" s="138">
        <f>AS186</f>
        <v/>
      </c>
      <c r="AT82" s="138">
        <f>AT186</f>
        <v/>
      </c>
      <c r="AU82" s="138">
        <f>AU186</f>
        <v/>
      </c>
      <c r="AV82" s="138">
        <f>AV186</f>
        <v/>
      </c>
      <c r="AW82" s="138">
        <f>AW186</f>
        <v/>
      </c>
      <c r="AX82" s="138">
        <f>AX186</f>
        <v/>
      </c>
      <c r="AY82" s="138">
        <f>AY186</f>
        <v/>
      </c>
      <c r="AZ82" s="138">
        <f>AZ186</f>
        <v/>
      </c>
      <c r="BA82" s="138">
        <f>BA186</f>
        <v/>
      </c>
    </row>
    <row r="83" ht="15" customHeight="1" s="91">
      <c r="A83" s="129" t="inlineStr">
        <is>
          <t xml:space="preserve">  Land Rent  إيجار الأرض</t>
        </is>
      </c>
      <c r="B83" s="129" t="inlineStr">
        <is>
          <t>SAR</t>
        </is>
      </c>
      <c r="C83" s="138">
        <f>SUM(D83:BA83)</f>
        <v/>
      </c>
      <c r="D83" s="138">
        <f>0</f>
        <v/>
      </c>
      <c r="E83" s="138">
        <f>0</f>
        <v/>
      </c>
      <c r="F83" s="138">
        <f>0</f>
        <v/>
      </c>
      <c r="G83" s="138">
        <f>0</f>
        <v/>
      </c>
      <c r="H83" s="138">
        <f>0</f>
        <v/>
      </c>
      <c r="I83" s="138">
        <f>0</f>
        <v/>
      </c>
      <c r="J83" s="138">
        <f>0</f>
        <v/>
      </c>
      <c r="K83" s="138">
        <f>0</f>
        <v/>
      </c>
      <c r="L83" s="138">
        <f>0</f>
        <v/>
      </c>
      <c r="M83" s="138">
        <f>0</f>
        <v/>
      </c>
      <c r="N83" s="138">
        <f>0</f>
        <v/>
      </c>
      <c r="O83" s="138">
        <f>0</f>
        <v/>
      </c>
      <c r="P83" s="138">
        <f>0</f>
        <v/>
      </c>
      <c r="Q83" s="138">
        <f>0</f>
        <v/>
      </c>
      <c r="R83" s="138">
        <f>0</f>
        <v/>
      </c>
      <c r="S83" s="138">
        <f>0</f>
        <v/>
      </c>
      <c r="T83" s="138">
        <f>0</f>
        <v/>
      </c>
      <c r="U83" s="138">
        <f>0</f>
        <v/>
      </c>
      <c r="V83" s="138">
        <f>0</f>
        <v/>
      </c>
      <c r="W83" s="138">
        <f>0</f>
        <v/>
      </c>
      <c r="X83" s="138">
        <f>0</f>
        <v/>
      </c>
      <c r="Y83" s="138">
        <f>0</f>
        <v/>
      </c>
      <c r="Z83" s="138">
        <f>0</f>
        <v/>
      </c>
      <c r="AA83" s="138">
        <f>0</f>
        <v/>
      </c>
      <c r="AB83" s="138">
        <f>0</f>
        <v/>
      </c>
      <c r="AC83" s="138">
        <f>0</f>
        <v/>
      </c>
      <c r="AD83" s="138">
        <f>0</f>
        <v/>
      </c>
      <c r="AE83" s="138">
        <f>0</f>
        <v/>
      </c>
      <c r="AF83" s="138">
        <f>0</f>
        <v/>
      </c>
      <c r="AG83" s="138">
        <f>0</f>
        <v/>
      </c>
      <c r="AH83" s="138">
        <f>0</f>
        <v/>
      </c>
      <c r="AI83" s="138">
        <f>0</f>
        <v/>
      </c>
      <c r="AJ83" s="138">
        <f>0</f>
        <v/>
      </c>
      <c r="AK83" s="138">
        <f>0</f>
        <v/>
      </c>
      <c r="AL83" s="138">
        <f>0</f>
        <v/>
      </c>
      <c r="AM83" s="138">
        <f>0</f>
        <v/>
      </c>
      <c r="AN83" s="138">
        <f>0</f>
        <v/>
      </c>
      <c r="AO83" s="138">
        <f>0</f>
        <v/>
      </c>
      <c r="AP83" s="138">
        <f>0</f>
        <v/>
      </c>
      <c r="AQ83" s="138">
        <f>0</f>
        <v/>
      </c>
      <c r="AR83" s="138">
        <f>0</f>
        <v/>
      </c>
      <c r="AS83" s="138">
        <f>0</f>
        <v/>
      </c>
      <c r="AT83" s="138">
        <f>0</f>
        <v/>
      </c>
      <c r="AU83" s="138">
        <f>0</f>
        <v/>
      </c>
      <c r="AV83" s="138">
        <f>0</f>
        <v/>
      </c>
      <c r="AW83" s="138">
        <f>0</f>
        <v/>
      </c>
      <c r="AX83" s="138">
        <f>0</f>
        <v/>
      </c>
      <c r="AY83" s="138">
        <f>0</f>
        <v/>
      </c>
      <c r="AZ83" s="138">
        <f>0</f>
        <v/>
      </c>
      <c r="BA83" s="138">
        <f>0</f>
        <v/>
      </c>
    </row>
    <row r="84" ht="15" customHeight="1" s="91">
      <c r="A84" s="129" t="inlineStr">
        <is>
          <t xml:space="preserve">  Development CAPEX  تكاليف التطوير</t>
        </is>
      </c>
      <c r="B84" s="129" t="inlineStr">
        <is>
          <t>SAR</t>
        </is>
      </c>
      <c r="C84" s="138">
        <f>SUM(D84:BA84)</f>
        <v/>
      </c>
      <c r="D84" s="138">
        <f>-D204</f>
        <v/>
      </c>
      <c r="E84" s="138">
        <f>-E204</f>
        <v/>
      </c>
      <c r="F84" s="138">
        <f>-F204</f>
        <v/>
      </c>
      <c r="G84" s="138">
        <f>-G204</f>
        <v/>
      </c>
      <c r="H84" s="138">
        <f>-H204</f>
        <v/>
      </c>
      <c r="I84" s="138">
        <f>-I204</f>
        <v/>
      </c>
      <c r="J84" s="138">
        <f>-J204</f>
        <v/>
      </c>
      <c r="K84" s="138">
        <f>-K204</f>
        <v/>
      </c>
      <c r="L84" s="138">
        <f>-L204</f>
        <v/>
      </c>
      <c r="M84" s="138">
        <f>-M204</f>
        <v/>
      </c>
      <c r="N84" s="138">
        <f>-N204</f>
        <v/>
      </c>
      <c r="O84" s="138">
        <f>-O204</f>
        <v/>
      </c>
      <c r="P84" s="138">
        <f>-P204</f>
        <v/>
      </c>
      <c r="Q84" s="138">
        <f>-Q204</f>
        <v/>
      </c>
      <c r="R84" s="138">
        <f>-R204</f>
        <v/>
      </c>
      <c r="S84" s="138">
        <f>-S204</f>
        <v/>
      </c>
      <c r="T84" s="138">
        <f>-T204</f>
        <v/>
      </c>
      <c r="U84" s="138">
        <f>-U204</f>
        <v/>
      </c>
      <c r="V84" s="138">
        <f>-V204</f>
        <v/>
      </c>
      <c r="W84" s="138">
        <f>-W204</f>
        <v/>
      </c>
      <c r="X84" s="138">
        <f>-X204</f>
        <v/>
      </c>
      <c r="Y84" s="138">
        <f>-Y204</f>
        <v/>
      </c>
      <c r="Z84" s="138">
        <f>-Z204</f>
        <v/>
      </c>
      <c r="AA84" s="138">
        <f>-AA204</f>
        <v/>
      </c>
      <c r="AB84" s="138">
        <f>-AB204</f>
        <v/>
      </c>
      <c r="AC84" s="138">
        <f>-AC204</f>
        <v/>
      </c>
      <c r="AD84" s="138">
        <f>-AD204</f>
        <v/>
      </c>
      <c r="AE84" s="138">
        <f>-AE204</f>
        <v/>
      </c>
      <c r="AF84" s="138">
        <f>-AF204</f>
        <v/>
      </c>
      <c r="AG84" s="138">
        <f>-AG204</f>
        <v/>
      </c>
      <c r="AH84" s="138">
        <f>-AH204</f>
        <v/>
      </c>
      <c r="AI84" s="138">
        <f>-AI204</f>
        <v/>
      </c>
      <c r="AJ84" s="138">
        <f>-AJ204</f>
        <v/>
      </c>
      <c r="AK84" s="138">
        <f>-AK204</f>
        <v/>
      </c>
      <c r="AL84" s="138">
        <f>-AL204</f>
        <v/>
      </c>
      <c r="AM84" s="138">
        <f>-AM204</f>
        <v/>
      </c>
      <c r="AN84" s="138">
        <f>-AN204</f>
        <v/>
      </c>
      <c r="AO84" s="138">
        <f>-AO204</f>
        <v/>
      </c>
      <c r="AP84" s="138">
        <f>-AP204</f>
        <v/>
      </c>
      <c r="AQ84" s="138">
        <f>-AQ204</f>
        <v/>
      </c>
      <c r="AR84" s="138">
        <f>-AR204</f>
        <v/>
      </c>
      <c r="AS84" s="138">
        <f>-AS204</f>
        <v/>
      </c>
      <c r="AT84" s="138">
        <f>-AT204</f>
        <v/>
      </c>
      <c r="AU84" s="138">
        <f>-AU204</f>
        <v/>
      </c>
      <c r="AV84" s="138">
        <f>-AV204</f>
        <v/>
      </c>
      <c r="AW84" s="138">
        <f>-AW204</f>
        <v/>
      </c>
      <c r="AX84" s="138">
        <f>-AX204</f>
        <v/>
      </c>
      <c r="AY84" s="138">
        <f>-AY204</f>
        <v/>
      </c>
      <c r="AZ84" s="138">
        <f>-AZ204</f>
        <v/>
      </c>
      <c r="BA84" s="138">
        <f>-BA204</f>
        <v/>
      </c>
    </row>
    <row r="85" ht="15" customHeight="1" s="91">
      <c r="A85" s="141" t="inlineStr">
        <is>
          <t xml:space="preserve">  Net Cash Flow - ZAN 12</t>
        </is>
      </c>
      <c r="B85" s="129" t="inlineStr">
        <is>
          <t>SAR</t>
        </is>
      </c>
      <c r="C85" s="138">
        <f>SUM(D85:BA85)</f>
        <v/>
      </c>
      <c r="D85" s="138">
        <f>D82+D83+D84</f>
        <v/>
      </c>
      <c r="E85" s="138">
        <f>E82+E83+E84</f>
        <v/>
      </c>
      <c r="F85" s="138">
        <f>F82+F83+F84</f>
        <v/>
      </c>
      <c r="G85" s="138">
        <f>G82+G83+G84</f>
        <v/>
      </c>
      <c r="H85" s="138">
        <f>H82+H83+H84</f>
        <v/>
      </c>
      <c r="I85" s="138">
        <f>I82+I83+I84</f>
        <v/>
      </c>
      <c r="J85" s="138">
        <f>J82+J83+J84</f>
        <v/>
      </c>
      <c r="K85" s="138">
        <f>K82+K83+K84</f>
        <v/>
      </c>
      <c r="L85" s="138">
        <f>L82+L83+L84</f>
        <v/>
      </c>
      <c r="M85" s="138">
        <f>M82+M83+M84</f>
        <v/>
      </c>
      <c r="N85" s="138">
        <f>N82+N83+N84</f>
        <v/>
      </c>
      <c r="O85" s="138">
        <f>O82+O83+O84</f>
        <v/>
      </c>
      <c r="P85" s="138">
        <f>P82+P83+P84</f>
        <v/>
      </c>
      <c r="Q85" s="138">
        <f>Q82+Q83+Q84</f>
        <v/>
      </c>
      <c r="R85" s="138">
        <f>R82+R83+R84</f>
        <v/>
      </c>
      <c r="S85" s="138">
        <f>S82+S83+S84</f>
        <v/>
      </c>
      <c r="T85" s="138">
        <f>T82+T83+T84</f>
        <v/>
      </c>
      <c r="U85" s="138">
        <f>U82+U83+U84</f>
        <v/>
      </c>
      <c r="V85" s="138">
        <f>V82+V83+V84</f>
        <v/>
      </c>
      <c r="W85" s="138">
        <f>W82+W83+W84</f>
        <v/>
      </c>
      <c r="X85" s="138">
        <f>X82+X83+X84</f>
        <v/>
      </c>
      <c r="Y85" s="138">
        <f>Y82+Y83+Y84</f>
        <v/>
      </c>
      <c r="Z85" s="138">
        <f>Z82+Z83+Z84</f>
        <v/>
      </c>
      <c r="AA85" s="138">
        <f>AA82+AA83+AA84</f>
        <v/>
      </c>
      <c r="AB85" s="138">
        <f>AB82+AB83+AB84</f>
        <v/>
      </c>
      <c r="AC85" s="138">
        <f>AC82+AC83+AC84</f>
        <v/>
      </c>
      <c r="AD85" s="138">
        <f>AD82+AD83+AD84</f>
        <v/>
      </c>
      <c r="AE85" s="138">
        <f>AE82+AE83+AE84</f>
        <v/>
      </c>
      <c r="AF85" s="138">
        <f>AF82+AF83+AF84</f>
        <v/>
      </c>
      <c r="AG85" s="138">
        <f>AG82+AG83+AG84</f>
        <v/>
      </c>
      <c r="AH85" s="138">
        <f>AH82+AH83+AH84</f>
        <v/>
      </c>
      <c r="AI85" s="138">
        <f>AI82+AI83+AI84</f>
        <v/>
      </c>
      <c r="AJ85" s="138">
        <f>AJ82+AJ83+AJ84</f>
        <v/>
      </c>
      <c r="AK85" s="138">
        <f>AK82+AK83+AK84</f>
        <v/>
      </c>
      <c r="AL85" s="138">
        <f>AL82+AL83+AL84</f>
        <v/>
      </c>
      <c r="AM85" s="138">
        <f>AM82+AM83+AM84</f>
        <v/>
      </c>
      <c r="AN85" s="138">
        <f>AN82+AN83+AN84</f>
        <v/>
      </c>
      <c r="AO85" s="138">
        <f>AO82+AO83+AO84</f>
        <v/>
      </c>
      <c r="AP85" s="138">
        <f>AP82+AP83+AP84</f>
        <v/>
      </c>
      <c r="AQ85" s="138">
        <f>AQ82+AQ83+AQ84</f>
        <v/>
      </c>
      <c r="AR85" s="138">
        <f>AR82+AR83+AR84</f>
        <v/>
      </c>
      <c r="AS85" s="138">
        <f>AS82+AS83+AS84</f>
        <v/>
      </c>
      <c r="AT85" s="138">
        <f>AT82+AT83+AT84</f>
        <v/>
      </c>
      <c r="AU85" s="138">
        <f>AU82+AU83+AU84</f>
        <v/>
      </c>
      <c r="AV85" s="138">
        <f>AV82+AV83+AV84</f>
        <v/>
      </c>
      <c r="AW85" s="138">
        <f>AW82+AW83+AW84</f>
        <v/>
      </c>
      <c r="AX85" s="138">
        <f>AX82+AX83+AX84</f>
        <v/>
      </c>
      <c r="AY85" s="138">
        <f>AY82+AY83+AY84</f>
        <v/>
      </c>
      <c r="AZ85" s="138">
        <f>AZ82+AZ83+AZ84</f>
        <v/>
      </c>
      <c r="BA85" s="138">
        <f>BA82+BA83+BA84</f>
        <v/>
      </c>
    </row>
    <row r="86" ht="15" customHeight="1" s="91">
      <c r="A86" s="100" t="inlineStr">
        <is>
          <t xml:space="preserve">  IRR - ZAN 12</t>
        </is>
      </c>
      <c r="B86" s="129" t="inlineStr">
        <is>
          <t>%</t>
        </is>
      </c>
      <c r="C86" s="135">
        <f>IFERROR(IRR(D85:BA85),"-")</f>
        <v/>
      </c>
    </row>
    <row r="88" ht="15" customHeight="1" s="91">
      <c r="A88" s="139" t="inlineStr">
        <is>
          <t>ZAN 13</t>
        </is>
      </c>
      <c r="B88" s="140" t="n"/>
      <c r="C88" s="140" t="n"/>
      <c r="D88" s="140" t="n"/>
      <c r="E88" s="140" t="n"/>
      <c r="F88" s="140" t="n"/>
      <c r="G88" s="140" t="n"/>
      <c r="H88" s="140" t="n"/>
      <c r="I88" s="140" t="n"/>
      <c r="J88" s="140" t="n"/>
      <c r="K88" s="140" t="n"/>
      <c r="L88" s="140" t="n"/>
      <c r="M88" s="140" t="n"/>
      <c r="N88" s="140" t="n"/>
      <c r="O88" s="140" t="n"/>
      <c r="P88" s="140" t="n"/>
      <c r="Q88" s="140" t="n"/>
      <c r="R88" s="140" t="n"/>
      <c r="S88" s="140" t="n"/>
      <c r="T88" s="140" t="n"/>
      <c r="U88" s="140" t="n"/>
      <c r="V88" s="140" t="n"/>
      <c r="W88" s="140" t="n"/>
      <c r="X88" s="140" t="n"/>
      <c r="Y88" s="140" t="n"/>
      <c r="Z88" s="140" t="n"/>
      <c r="AA88" s="140" t="n"/>
      <c r="AB88" s="140" t="n"/>
      <c r="AC88" s="140" t="n"/>
      <c r="AD88" s="140" t="n"/>
      <c r="AE88" s="140" t="n"/>
      <c r="AF88" s="140" t="n"/>
      <c r="AG88" s="140" t="n"/>
      <c r="AH88" s="140" t="n"/>
      <c r="AI88" s="140" t="n"/>
      <c r="AJ88" s="140" t="n"/>
      <c r="AK88" s="140" t="n"/>
      <c r="AL88" s="140" t="n"/>
      <c r="AM88" s="140" t="n"/>
      <c r="AN88" s="140" t="n"/>
      <c r="AO88" s="140" t="n"/>
      <c r="AP88" s="140" t="n"/>
      <c r="AQ88" s="140" t="n"/>
      <c r="AR88" s="140" t="n"/>
      <c r="AS88" s="140" t="n"/>
      <c r="AT88" s="140" t="n"/>
      <c r="AU88" s="140" t="n"/>
      <c r="AV88" s="140" t="n"/>
      <c r="AW88" s="140" t="n"/>
      <c r="AX88" s="140" t="n"/>
      <c r="AY88" s="140" t="n"/>
      <c r="AZ88" s="140" t="n"/>
      <c r="BA88" s="140" t="n"/>
    </row>
    <row r="89" ht="15" customHeight="1" s="91">
      <c r="A89" s="129" t="inlineStr">
        <is>
          <t xml:space="preserve">  Income  الإيرادات</t>
        </is>
      </c>
      <c r="B89" s="129" t="inlineStr">
        <is>
          <t>SAR</t>
        </is>
      </c>
      <c r="C89" s="138">
        <f>SUM(D89:BA89)</f>
        <v/>
      </c>
      <c r="D89" s="138">
        <f>D187</f>
        <v/>
      </c>
      <c r="E89" s="138">
        <f>E187</f>
        <v/>
      </c>
      <c r="F89" s="138">
        <f>F187</f>
        <v/>
      </c>
      <c r="G89" s="138">
        <f>G187</f>
        <v/>
      </c>
      <c r="H89" s="138">
        <f>H187</f>
        <v/>
      </c>
      <c r="I89" s="138">
        <f>I187</f>
        <v/>
      </c>
      <c r="J89" s="138">
        <f>J187</f>
        <v/>
      </c>
      <c r="K89" s="138">
        <f>K187</f>
        <v/>
      </c>
      <c r="L89" s="138">
        <f>L187</f>
        <v/>
      </c>
      <c r="M89" s="138">
        <f>M187</f>
        <v/>
      </c>
      <c r="N89" s="138">
        <f>N187</f>
        <v/>
      </c>
      <c r="O89" s="138">
        <f>O187</f>
        <v/>
      </c>
      <c r="P89" s="138">
        <f>P187</f>
        <v/>
      </c>
      <c r="Q89" s="138">
        <f>Q187</f>
        <v/>
      </c>
      <c r="R89" s="138">
        <f>R187</f>
        <v/>
      </c>
      <c r="S89" s="138">
        <f>S187</f>
        <v/>
      </c>
      <c r="T89" s="138">
        <f>T187</f>
        <v/>
      </c>
      <c r="U89" s="138">
        <f>U187</f>
        <v/>
      </c>
      <c r="V89" s="138">
        <f>V187</f>
        <v/>
      </c>
      <c r="W89" s="138">
        <f>W187</f>
        <v/>
      </c>
      <c r="X89" s="138">
        <f>X187</f>
        <v/>
      </c>
      <c r="Y89" s="138">
        <f>Y187</f>
        <v/>
      </c>
      <c r="Z89" s="138">
        <f>Z187</f>
        <v/>
      </c>
      <c r="AA89" s="138">
        <f>AA187</f>
        <v/>
      </c>
      <c r="AB89" s="138">
        <f>AB187</f>
        <v/>
      </c>
      <c r="AC89" s="138">
        <f>AC187</f>
        <v/>
      </c>
      <c r="AD89" s="138">
        <f>AD187</f>
        <v/>
      </c>
      <c r="AE89" s="138">
        <f>AE187</f>
        <v/>
      </c>
      <c r="AF89" s="138">
        <f>AF187</f>
        <v/>
      </c>
      <c r="AG89" s="138">
        <f>AG187</f>
        <v/>
      </c>
      <c r="AH89" s="138">
        <f>AH187</f>
        <v/>
      </c>
      <c r="AI89" s="138">
        <f>AI187</f>
        <v/>
      </c>
      <c r="AJ89" s="138">
        <f>AJ187</f>
        <v/>
      </c>
      <c r="AK89" s="138">
        <f>AK187</f>
        <v/>
      </c>
      <c r="AL89" s="138">
        <f>AL187</f>
        <v/>
      </c>
      <c r="AM89" s="138">
        <f>AM187</f>
        <v/>
      </c>
      <c r="AN89" s="138">
        <f>AN187</f>
        <v/>
      </c>
      <c r="AO89" s="138">
        <f>AO187</f>
        <v/>
      </c>
      <c r="AP89" s="138">
        <f>AP187</f>
        <v/>
      </c>
      <c r="AQ89" s="138">
        <f>AQ187</f>
        <v/>
      </c>
      <c r="AR89" s="138">
        <f>AR187</f>
        <v/>
      </c>
      <c r="AS89" s="138">
        <f>AS187</f>
        <v/>
      </c>
      <c r="AT89" s="138">
        <f>AT187</f>
        <v/>
      </c>
      <c r="AU89" s="138">
        <f>AU187</f>
        <v/>
      </c>
      <c r="AV89" s="138">
        <f>AV187</f>
        <v/>
      </c>
      <c r="AW89" s="138">
        <f>AW187</f>
        <v/>
      </c>
      <c r="AX89" s="138">
        <f>AX187</f>
        <v/>
      </c>
      <c r="AY89" s="138">
        <f>AY187</f>
        <v/>
      </c>
      <c r="AZ89" s="138">
        <f>AZ187</f>
        <v/>
      </c>
      <c r="BA89" s="138">
        <f>BA187</f>
        <v/>
      </c>
    </row>
    <row r="90" ht="15" customHeight="1" s="91">
      <c r="A90" s="129" t="inlineStr">
        <is>
          <t xml:space="preserve">  Land Rent  إيجار الأرض</t>
        </is>
      </c>
      <c r="B90" s="129" t="inlineStr">
        <is>
          <t>SAR</t>
        </is>
      </c>
      <c r="C90" s="138">
        <f>SUM(D90:BA90)</f>
        <v/>
      </c>
      <c r="D90" s="138">
        <f>0</f>
        <v/>
      </c>
      <c r="E90" s="138">
        <f>0</f>
        <v/>
      </c>
      <c r="F90" s="138">
        <f>0</f>
        <v/>
      </c>
      <c r="G90" s="138">
        <f>0</f>
        <v/>
      </c>
      <c r="H90" s="138">
        <f>0</f>
        <v/>
      </c>
      <c r="I90" s="138">
        <f>0</f>
        <v/>
      </c>
      <c r="J90" s="138">
        <f>0</f>
        <v/>
      </c>
      <c r="K90" s="138">
        <f>0</f>
        <v/>
      </c>
      <c r="L90" s="138">
        <f>0</f>
        <v/>
      </c>
      <c r="M90" s="138">
        <f>0</f>
        <v/>
      </c>
      <c r="N90" s="138">
        <f>0</f>
        <v/>
      </c>
      <c r="O90" s="138">
        <f>0</f>
        <v/>
      </c>
      <c r="P90" s="138">
        <f>0</f>
        <v/>
      </c>
      <c r="Q90" s="138">
        <f>0</f>
        <v/>
      </c>
      <c r="R90" s="138">
        <f>0</f>
        <v/>
      </c>
      <c r="S90" s="138">
        <f>0</f>
        <v/>
      </c>
      <c r="T90" s="138">
        <f>0</f>
        <v/>
      </c>
      <c r="U90" s="138">
        <f>0</f>
        <v/>
      </c>
      <c r="V90" s="138">
        <f>0</f>
        <v/>
      </c>
      <c r="W90" s="138">
        <f>0</f>
        <v/>
      </c>
      <c r="X90" s="138">
        <f>0</f>
        <v/>
      </c>
      <c r="Y90" s="138">
        <f>0</f>
        <v/>
      </c>
      <c r="Z90" s="138">
        <f>0</f>
        <v/>
      </c>
      <c r="AA90" s="138">
        <f>0</f>
        <v/>
      </c>
      <c r="AB90" s="138">
        <f>0</f>
        <v/>
      </c>
      <c r="AC90" s="138">
        <f>0</f>
        <v/>
      </c>
      <c r="AD90" s="138">
        <f>0</f>
        <v/>
      </c>
      <c r="AE90" s="138">
        <f>0</f>
        <v/>
      </c>
      <c r="AF90" s="138">
        <f>0</f>
        <v/>
      </c>
      <c r="AG90" s="138">
        <f>0</f>
        <v/>
      </c>
      <c r="AH90" s="138">
        <f>0</f>
        <v/>
      </c>
      <c r="AI90" s="138">
        <f>0</f>
        <v/>
      </c>
      <c r="AJ90" s="138">
        <f>0</f>
        <v/>
      </c>
      <c r="AK90" s="138">
        <f>0</f>
        <v/>
      </c>
      <c r="AL90" s="138">
        <f>0</f>
        <v/>
      </c>
      <c r="AM90" s="138">
        <f>0</f>
        <v/>
      </c>
      <c r="AN90" s="138">
        <f>0</f>
        <v/>
      </c>
      <c r="AO90" s="138">
        <f>0</f>
        <v/>
      </c>
      <c r="AP90" s="138">
        <f>0</f>
        <v/>
      </c>
      <c r="AQ90" s="138">
        <f>0</f>
        <v/>
      </c>
      <c r="AR90" s="138">
        <f>0</f>
        <v/>
      </c>
      <c r="AS90" s="138">
        <f>0</f>
        <v/>
      </c>
      <c r="AT90" s="138">
        <f>0</f>
        <v/>
      </c>
      <c r="AU90" s="138">
        <f>0</f>
        <v/>
      </c>
      <c r="AV90" s="138">
        <f>0</f>
        <v/>
      </c>
      <c r="AW90" s="138">
        <f>0</f>
        <v/>
      </c>
      <c r="AX90" s="138">
        <f>0</f>
        <v/>
      </c>
      <c r="AY90" s="138">
        <f>0</f>
        <v/>
      </c>
      <c r="AZ90" s="138">
        <f>0</f>
        <v/>
      </c>
      <c r="BA90" s="138">
        <f>0</f>
        <v/>
      </c>
    </row>
    <row r="91" ht="15" customHeight="1" s="91">
      <c r="A91" s="129" t="inlineStr">
        <is>
          <t xml:space="preserve">  Development CAPEX  تكاليف التطوير</t>
        </is>
      </c>
      <c r="B91" s="129" t="inlineStr">
        <is>
          <t>SAR</t>
        </is>
      </c>
      <c r="C91" s="138">
        <f>SUM(D91:BA91)</f>
        <v/>
      </c>
      <c r="D91" s="138">
        <f>-D205</f>
        <v/>
      </c>
      <c r="E91" s="138">
        <f>-E205</f>
        <v/>
      </c>
      <c r="F91" s="138">
        <f>-F205</f>
        <v/>
      </c>
      <c r="G91" s="138">
        <f>-G205</f>
        <v/>
      </c>
      <c r="H91" s="138">
        <f>-H205</f>
        <v/>
      </c>
      <c r="I91" s="138">
        <f>-I205</f>
        <v/>
      </c>
      <c r="J91" s="138">
        <f>-J205</f>
        <v/>
      </c>
      <c r="K91" s="138">
        <f>-K205</f>
        <v/>
      </c>
      <c r="L91" s="138">
        <f>-L205</f>
        <v/>
      </c>
      <c r="M91" s="138">
        <f>-M205</f>
        <v/>
      </c>
      <c r="N91" s="138">
        <f>-N205</f>
        <v/>
      </c>
      <c r="O91" s="138">
        <f>-O205</f>
        <v/>
      </c>
      <c r="P91" s="138">
        <f>-P205</f>
        <v/>
      </c>
      <c r="Q91" s="138">
        <f>-Q205</f>
        <v/>
      </c>
      <c r="R91" s="138">
        <f>-R205</f>
        <v/>
      </c>
      <c r="S91" s="138">
        <f>-S205</f>
        <v/>
      </c>
      <c r="T91" s="138">
        <f>-T205</f>
        <v/>
      </c>
      <c r="U91" s="138">
        <f>-U205</f>
        <v/>
      </c>
      <c r="V91" s="138">
        <f>-V205</f>
        <v/>
      </c>
      <c r="W91" s="138">
        <f>-W205</f>
        <v/>
      </c>
      <c r="X91" s="138">
        <f>-X205</f>
        <v/>
      </c>
      <c r="Y91" s="138">
        <f>-Y205</f>
        <v/>
      </c>
      <c r="Z91" s="138">
        <f>-Z205</f>
        <v/>
      </c>
      <c r="AA91" s="138">
        <f>-AA205</f>
        <v/>
      </c>
      <c r="AB91" s="138">
        <f>-AB205</f>
        <v/>
      </c>
      <c r="AC91" s="138">
        <f>-AC205</f>
        <v/>
      </c>
      <c r="AD91" s="138">
        <f>-AD205</f>
        <v/>
      </c>
      <c r="AE91" s="138">
        <f>-AE205</f>
        <v/>
      </c>
      <c r="AF91" s="138">
        <f>-AF205</f>
        <v/>
      </c>
      <c r="AG91" s="138">
        <f>-AG205</f>
        <v/>
      </c>
      <c r="AH91" s="138">
        <f>-AH205</f>
        <v/>
      </c>
      <c r="AI91" s="138">
        <f>-AI205</f>
        <v/>
      </c>
      <c r="AJ91" s="138">
        <f>-AJ205</f>
        <v/>
      </c>
      <c r="AK91" s="138">
        <f>-AK205</f>
        <v/>
      </c>
      <c r="AL91" s="138">
        <f>-AL205</f>
        <v/>
      </c>
      <c r="AM91" s="138">
        <f>-AM205</f>
        <v/>
      </c>
      <c r="AN91" s="138">
        <f>-AN205</f>
        <v/>
      </c>
      <c r="AO91" s="138">
        <f>-AO205</f>
        <v/>
      </c>
      <c r="AP91" s="138">
        <f>-AP205</f>
        <v/>
      </c>
      <c r="AQ91" s="138">
        <f>-AQ205</f>
        <v/>
      </c>
      <c r="AR91" s="138">
        <f>-AR205</f>
        <v/>
      </c>
      <c r="AS91" s="138">
        <f>-AS205</f>
        <v/>
      </c>
      <c r="AT91" s="138">
        <f>-AT205</f>
        <v/>
      </c>
      <c r="AU91" s="138">
        <f>-AU205</f>
        <v/>
      </c>
      <c r="AV91" s="138">
        <f>-AV205</f>
        <v/>
      </c>
      <c r="AW91" s="138">
        <f>-AW205</f>
        <v/>
      </c>
      <c r="AX91" s="138">
        <f>-AX205</f>
        <v/>
      </c>
      <c r="AY91" s="138">
        <f>-AY205</f>
        <v/>
      </c>
      <c r="AZ91" s="138">
        <f>-AZ205</f>
        <v/>
      </c>
      <c r="BA91" s="138">
        <f>-BA205</f>
        <v/>
      </c>
    </row>
    <row r="92" ht="15" customHeight="1" s="91">
      <c r="A92" s="141" t="inlineStr">
        <is>
          <t xml:space="preserve">  Net Cash Flow - ZAN 13</t>
        </is>
      </c>
      <c r="B92" s="129" t="inlineStr">
        <is>
          <t>SAR</t>
        </is>
      </c>
      <c r="C92" s="138">
        <f>SUM(D92:BA92)</f>
        <v/>
      </c>
      <c r="D92" s="138">
        <f>D89+D90+D91</f>
        <v/>
      </c>
      <c r="E92" s="138">
        <f>E89+E90+E91</f>
        <v/>
      </c>
      <c r="F92" s="138">
        <f>F89+F90+F91</f>
        <v/>
      </c>
      <c r="G92" s="138">
        <f>G89+G90+G91</f>
        <v/>
      </c>
      <c r="H92" s="138">
        <f>H89+H90+H91</f>
        <v/>
      </c>
      <c r="I92" s="138">
        <f>I89+I90+I91</f>
        <v/>
      </c>
      <c r="J92" s="138">
        <f>J89+J90+J91</f>
        <v/>
      </c>
      <c r="K92" s="138">
        <f>K89+K90+K91</f>
        <v/>
      </c>
      <c r="L92" s="138">
        <f>L89+L90+L91</f>
        <v/>
      </c>
      <c r="M92" s="138">
        <f>M89+M90+M91</f>
        <v/>
      </c>
      <c r="N92" s="138">
        <f>N89+N90+N91</f>
        <v/>
      </c>
      <c r="O92" s="138">
        <f>O89+O90+O91</f>
        <v/>
      </c>
      <c r="P92" s="138">
        <f>P89+P90+P91</f>
        <v/>
      </c>
      <c r="Q92" s="138">
        <f>Q89+Q90+Q91</f>
        <v/>
      </c>
      <c r="R92" s="138">
        <f>R89+R90+R91</f>
        <v/>
      </c>
      <c r="S92" s="138">
        <f>S89+S90+S91</f>
        <v/>
      </c>
      <c r="T92" s="138">
        <f>T89+T90+T91</f>
        <v/>
      </c>
      <c r="U92" s="138">
        <f>U89+U90+U91</f>
        <v/>
      </c>
      <c r="V92" s="138">
        <f>V89+V90+V91</f>
        <v/>
      </c>
      <c r="W92" s="138">
        <f>W89+W90+W91</f>
        <v/>
      </c>
      <c r="X92" s="138">
        <f>X89+X90+X91</f>
        <v/>
      </c>
      <c r="Y92" s="138">
        <f>Y89+Y90+Y91</f>
        <v/>
      </c>
      <c r="Z92" s="138">
        <f>Z89+Z90+Z91</f>
        <v/>
      </c>
      <c r="AA92" s="138">
        <f>AA89+AA90+AA91</f>
        <v/>
      </c>
      <c r="AB92" s="138">
        <f>AB89+AB90+AB91</f>
        <v/>
      </c>
      <c r="AC92" s="138">
        <f>AC89+AC90+AC91</f>
        <v/>
      </c>
      <c r="AD92" s="138">
        <f>AD89+AD90+AD91</f>
        <v/>
      </c>
      <c r="AE92" s="138">
        <f>AE89+AE90+AE91</f>
        <v/>
      </c>
      <c r="AF92" s="138">
        <f>AF89+AF90+AF91</f>
        <v/>
      </c>
      <c r="AG92" s="138">
        <f>AG89+AG90+AG91</f>
        <v/>
      </c>
      <c r="AH92" s="138">
        <f>AH89+AH90+AH91</f>
        <v/>
      </c>
      <c r="AI92" s="138">
        <f>AI89+AI90+AI91</f>
        <v/>
      </c>
      <c r="AJ92" s="138">
        <f>AJ89+AJ90+AJ91</f>
        <v/>
      </c>
      <c r="AK92" s="138">
        <f>AK89+AK90+AK91</f>
        <v/>
      </c>
      <c r="AL92" s="138">
        <f>AL89+AL90+AL91</f>
        <v/>
      </c>
      <c r="AM92" s="138">
        <f>AM89+AM90+AM91</f>
        <v/>
      </c>
      <c r="AN92" s="138">
        <f>AN89+AN90+AN91</f>
        <v/>
      </c>
      <c r="AO92" s="138">
        <f>AO89+AO90+AO91</f>
        <v/>
      </c>
      <c r="AP92" s="138">
        <f>AP89+AP90+AP91</f>
        <v/>
      </c>
      <c r="AQ92" s="138">
        <f>AQ89+AQ90+AQ91</f>
        <v/>
      </c>
      <c r="AR92" s="138">
        <f>AR89+AR90+AR91</f>
        <v/>
      </c>
      <c r="AS92" s="138">
        <f>AS89+AS90+AS91</f>
        <v/>
      </c>
      <c r="AT92" s="138">
        <f>AT89+AT90+AT91</f>
        <v/>
      </c>
      <c r="AU92" s="138">
        <f>AU89+AU90+AU91</f>
        <v/>
      </c>
      <c r="AV92" s="138">
        <f>AV89+AV90+AV91</f>
        <v/>
      </c>
      <c r="AW92" s="138">
        <f>AW89+AW90+AW91</f>
        <v/>
      </c>
      <c r="AX92" s="138">
        <f>AX89+AX90+AX91</f>
        <v/>
      </c>
      <c r="AY92" s="138">
        <f>AY89+AY90+AY91</f>
        <v/>
      </c>
      <c r="AZ92" s="138">
        <f>AZ89+AZ90+AZ91</f>
        <v/>
      </c>
      <c r="BA92" s="138">
        <f>BA89+BA90+BA91</f>
        <v/>
      </c>
    </row>
    <row r="93" ht="15" customHeight="1" s="91">
      <c r="A93" s="100" t="inlineStr">
        <is>
          <t xml:space="preserve">  IRR - ZAN 13</t>
        </is>
      </c>
      <c r="B93" s="129" t="inlineStr">
        <is>
          <t>%</t>
        </is>
      </c>
      <c r="C93" s="135">
        <f>IFERROR(IRR(D92:BA92),"-")</f>
        <v/>
      </c>
    </row>
    <row r="95" ht="15" customHeight="1" s="91">
      <c r="A95" s="139" t="inlineStr">
        <is>
          <t>ZAN 14</t>
        </is>
      </c>
      <c r="B95" s="140" t="n"/>
      <c r="C95" s="140" t="n"/>
      <c r="D95" s="140" t="n"/>
      <c r="E95" s="140" t="n"/>
      <c r="F95" s="140" t="n"/>
      <c r="G95" s="140" t="n"/>
      <c r="H95" s="140" t="n"/>
      <c r="I95" s="140" t="n"/>
      <c r="J95" s="140" t="n"/>
      <c r="K95" s="140" t="n"/>
      <c r="L95" s="140" t="n"/>
      <c r="M95" s="140" t="n"/>
      <c r="N95" s="140" t="n"/>
      <c r="O95" s="140" t="n"/>
      <c r="P95" s="140" t="n"/>
      <c r="Q95" s="140" t="n"/>
      <c r="R95" s="140" t="n"/>
      <c r="S95" s="140" t="n"/>
      <c r="T95" s="140" t="n"/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0" t="n"/>
      <c r="AG95" s="140" t="n"/>
      <c r="AH95" s="140" t="n"/>
      <c r="AI95" s="140" t="n"/>
      <c r="AJ95" s="140" t="n"/>
      <c r="AK95" s="140" t="n"/>
      <c r="AL95" s="140" t="n"/>
      <c r="AM95" s="140" t="n"/>
      <c r="AN95" s="140" t="n"/>
      <c r="AO95" s="140" t="n"/>
      <c r="AP95" s="140" t="n"/>
      <c r="AQ95" s="140" t="n"/>
      <c r="AR95" s="140" t="n"/>
      <c r="AS95" s="140" t="n"/>
      <c r="AT95" s="140" t="n"/>
      <c r="AU95" s="140" t="n"/>
      <c r="AV95" s="140" t="n"/>
      <c r="AW95" s="140" t="n"/>
      <c r="AX95" s="140" t="n"/>
      <c r="AY95" s="140" t="n"/>
      <c r="AZ95" s="140" t="n"/>
      <c r="BA95" s="140" t="n"/>
    </row>
    <row r="96" ht="15" customHeight="1" s="91">
      <c r="A96" s="129" t="inlineStr">
        <is>
          <t xml:space="preserve">  Income  الإيرادات</t>
        </is>
      </c>
      <c r="B96" s="129" t="inlineStr">
        <is>
          <t>SAR</t>
        </is>
      </c>
      <c r="C96" s="138">
        <f>SUM(D96:BA96)</f>
        <v/>
      </c>
      <c r="D96" s="138">
        <f>D188</f>
        <v/>
      </c>
      <c r="E96" s="138">
        <f>E188</f>
        <v/>
      </c>
      <c r="F96" s="138">
        <f>F188</f>
        <v/>
      </c>
      <c r="G96" s="138">
        <f>G188</f>
        <v/>
      </c>
      <c r="H96" s="138">
        <f>H188</f>
        <v/>
      </c>
      <c r="I96" s="138">
        <f>I188</f>
        <v/>
      </c>
      <c r="J96" s="138">
        <f>J188</f>
        <v/>
      </c>
      <c r="K96" s="138">
        <f>K188</f>
        <v/>
      </c>
      <c r="L96" s="138">
        <f>L188</f>
        <v/>
      </c>
      <c r="M96" s="138">
        <f>M188</f>
        <v/>
      </c>
      <c r="N96" s="138">
        <f>N188</f>
        <v/>
      </c>
      <c r="O96" s="138">
        <f>O188</f>
        <v/>
      </c>
      <c r="P96" s="138">
        <f>P188</f>
        <v/>
      </c>
      <c r="Q96" s="138">
        <f>Q188</f>
        <v/>
      </c>
      <c r="R96" s="138">
        <f>R188</f>
        <v/>
      </c>
      <c r="S96" s="138">
        <f>S188</f>
        <v/>
      </c>
      <c r="T96" s="138">
        <f>T188</f>
        <v/>
      </c>
      <c r="U96" s="138">
        <f>U188</f>
        <v/>
      </c>
      <c r="V96" s="138">
        <f>V188</f>
        <v/>
      </c>
      <c r="W96" s="138">
        <f>W188</f>
        <v/>
      </c>
      <c r="X96" s="138">
        <f>X188</f>
        <v/>
      </c>
      <c r="Y96" s="138">
        <f>Y188</f>
        <v/>
      </c>
      <c r="Z96" s="138">
        <f>Z188</f>
        <v/>
      </c>
      <c r="AA96" s="138">
        <f>AA188</f>
        <v/>
      </c>
      <c r="AB96" s="138">
        <f>AB188</f>
        <v/>
      </c>
      <c r="AC96" s="138">
        <f>AC188</f>
        <v/>
      </c>
      <c r="AD96" s="138">
        <f>AD188</f>
        <v/>
      </c>
      <c r="AE96" s="138">
        <f>AE188</f>
        <v/>
      </c>
      <c r="AF96" s="138">
        <f>AF188</f>
        <v/>
      </c>
      <c r="AG96" s="138">
        <f>AG188</f>
        <v/>
      </c>
      <c r="AH96" s="138">
        <f>AH188</f>
        <v/>
      </c>
      <c r="AI96" s="138">
        <f>AI188</f>
        <v/>
      </c>
      <c r="AJ96" s="138">
        <f>AJ188</f>
        <v/>
      </c>
      <c r="AK96" s="138">
        <f>AK188</f>
        <v/>
      </c>
      <c r="AL96" s="138">
        <f>AL188</f>
        <v/>
      </c>
      <c r="AM96" s="138">
        <f>AM188</f>
        <v/>
      </c>
      <c r="AN96" s="138">
        <f>AN188</f>
        <v/>
      </c>
      <c r="AO96" s="138">
        <f>AO188</f>
        <v/>
      </c>
      <c r="AP96" s="138">
        <f>AP188</f>
        <v/>
      </c>
      <c r="AQ96" s="138">
        <f>AQ188</f>
        <v/>
      </c>
      <c r="AR96" s="138">
        <f>AR188</f>
        <v/>
      </c>
      <c r="AS96" s="138">
        <f>AS188</f>
        <v/>
      </c>
      <c r="AT96" s="138">
        <f>AT188</f>
        <v/>
      </c>
      <c r="AU96" s="138">
        <f>AU188</f>
        <v/>
      </c>
      <c r="AV96" s="138">
        <f>AV188</f>
        <v/>
      </c>
      <c r="AW96" s="138">
        <f>AW188</f>
        <v/>
      </c>
      <c r="AX96" s="138">
        <f>AX188</f>
        <v/>
      </c>
      <c r="AY96" s="138">
        <f>AY188</f>
        <v/>
      </c>
      <c r="AZ96" s="138">
        <f>AZ188</f>
        <v/>
      </c>
      <c r="BA96" s="138">
        <f>BA188</f>
        <v/>
      </c>
    </row>
    <row r="97" ht="15" customHeight="1" s="91">
      <c r="A97" s="129" t="inlineStr">
        <is>
          <t xml:space="preserve">  Land Rent  إيجار الأرض</t>
        </is>
      </c>
      <c r="B97" s="129" t="inlineStr">
        <is>
          <t>SAR</t>
        </is>
      </c>
      <c r="C97" s="138">
        <f>SUM(D97:BA97)</f>
        <v/>
      </c>
      <c r="D97" s="138">
        <f>0</f>
        <v/>
      </c>
      <c r="E97" s="138">
        <f>0</f>
        <v/>
      </c>
      <c r="F97" s="138">
        <f>0</f>
        <v/>
      </c>
      <c r="G97" s="138">
        <f>0</f>
        <v/>
      </c>
      <c r="H97" s="138">
        <f>0</f>
        <v/>
      </c>
      <c r="I97" s="138">
        <f>0</f>
        <v/>
      </c>
      <c r="J97" s="138">
        <f>0</f>
        <v/>
      </c>
      <c r="K97" s="138">
        <f>0</f>
        <v/>
      </c>
      <c r="L97" s="138">
        <f>0</f>
        <v/>
      </c>
      <c r="M97" s="138">
        <f>0</f>
        <v/>
      </c>
      <c r="N97" s="138">
        <f>0</f>
        <v/>
      </c>
      <c r="O97" s="138">
        <f>0</f>
        <v/>
      </c>
      <c r="P97" s="138">
        <f>0</f>
        <v/>
      </c>
      <c r="Q97" s="138">
        <f>0</f>
        <v/>
      </c>
      <c r="R97" s="138">
        <f>0</f>
        <v/>
      </c>
      <c r="S97" s="138">
        <f>0</f>
        <v/>
      </c>
      <c r="T97" s="138">
        <f>0</f>
        <v/>
      </c>
      <c r="U97" s="138">
        <f>0</f>
        <v/>
      </c>
      <c r="V97" s="138">
        <f>0</f>
        <v/>
      </c>
      <c r="W97" s="138">
        <f>0</f>
        <v/>
      </c>
      <c r="X97" s="138">
        <f>0</f>
        <v/>
      </c>
      <c r="Y97" s="138">
        <f>0</f>
        <v/>
      </c>
      <c r="Z97" s="138">
        <f>0</f>
        <v/>
      </c>
      <c r="AA97" s="138">
        <f>0</f>
        <v/>
      </c>
      <c r="AB97" s="138">
        <f>0</f>
        <v/>
      </c>
      <c r="AC97" s="138">
        <f>0</f>
        <v/>
      </c>
      <c r="AD97" s="138">
        <f>0</f>
        <v/>
      </c>
      <c r="AE97" s="138">
        <f>0</f>
        <v/>
      </c>
      <c r="AF97" s="138">
        <f>0</f>
        <v/>
      </c>
      <c r="AG97" s="138">
        <f>0</f>
        <v/>
      </c>
      <c r="AH97" s="138">
        <f>0</f>
        <v/>
      </c>
      <c r="AI97" s="138">
        <f>0</f>
        <v/>
      </c>
      <c r="AJ97" s="138">
        <f>0</f>
        <v/>
      </c>
      <c r="AK97" s="138">
        <f>0</f>
        <v/>
      </c>
      <c r="AL97" s="138">
        <f>0</f>
        <v/>
      </c>
      <c r="AM97" s="138">
        <f>0</f>
        <v/>
      </c>
      <c r="AN97" s="138">
        <f>0</f>
        <v/>
      </c>
      <c r="AO97" s="138">
        <f>0</f>
        <v/>
      </c>
      <c r="AP97" s="138">
        <f>0</f>
        <v/>
      </c>
      <c r="AQ97" s="138">
        <f>0</f>
        <v/>
      </c>
      <c r="AR97" s="138">
        <f>0</f>
        <v/>
      </c>
      <c r="AS97" s="138">
        <f>0</f>
        <v/>
      </c>
      <c r="AT97" s="138">
        <f>0</f>
        <v/>
      </c>
      <c r="AU97" s="138">
        <f>0</f>
        <v/>
      </c>
      <c r="AV97" s="138">
        <f>0</f>
        <v/>
      </c>
      <c r="AW97" s="138">
        <f>0</f>
        <v/>
      </c>
      <c r="AX97" s="138">
        <f>0</f>
        <v/>
      </c>
      <c r="AY97" s="138">
        <f>0</f>
        <v/>
      </c>
      <c r="AZ97" s="138">
        <f>0</f>
        <v/>
      </c>
      <c r="BA97" s="138">
        <f>0</f>
        <v/>
      </c>
    </row>
    <row r="98" ht="15" customHeight="1" s="91">
      <c r="A98" s="129" t="inlineStr">
        <is>
          <t xml:space="preserve">  Development CAPEX  تكاليف التطوير</t>
        </is>
      </c>
      <c r="B98" s="129" t="inlineStr">
        <is>
          <t>SAR</t>
        </is>
      </c>
      <c r="C98" s="138">
        <f>SUM(D98:BA98)</f>
        <v/>
      </c>
      <c r="D98" s="138">
        <f>-D206</f>
        <v/>
      </c>
      <c r="E98" s="138">
        <f>-E206</f>
        <v/>
      </c>
      <c r="F98" s="138">
        <f>-F206</f>
        <v/>
      </c>
      <c r="G98" s="138">
        <f>-G206</f>
        <v/>
      </c>
      <c r="H98" s="138">
        <f>-H206</f>
        <v/>
      </c>
      <c r="I98" s="138">
        <f>-I206</f>
        <v/>
      </c>
      <c r="J98" s="138">
        <f>-J206</f>
        <v/>
      </c>
      <c r="K98" s="138">
        <f>-K206</f>
        <v/>
      </c>
      <c r="L98" s="138">
        <f>-L206</f>
        <v/>
      </c>
      <c r="M98" s="138">
        <f>-M206</f>
        <v/>
      </c>
      <c r="N98" s="138">
        <f>-N206</f>
        <v/>
      </c>
      <c r="O98" s="138">
        <f>-O206</f>
        <v/>
      </c>
      <c r="P98" s="138">
        <f>-P206</f>
        <v/>
      </c>
      <c r="Q98" s="138">
        <f>-Q206</f>
        <v/>
      </c>
      <c r="R98" s="138">
        <f>-R206</f>
        <v/>
      </c>
      <c r="S98" s="138">
        <f>-S206</f>
        <v/>
      </c>
      <c r="T98" s="138">
        <f>-T206</f>
        <v/>
      </c>
      <c r="U98" s="138">
        <f>-U206</f>
        <v/>
      </c>
      <c r="V98" s="138">
        <f>-V206</f>
        <v/>
      </c>
      <c r="W98" s="138">
        <f>-W206</f>
        <v/>
      </c>
      <c r="X98" s="138">
        <f>-X206</f>
        <v/>
      </c>
      <c r="Y98" s="138">
        <f>-Y206</f>
        <v/>
      </c>
      <c r="Z98" s="138">
        <f>-Z206</f>
        <v/>
      </c>
      <c r="AA98" s="138">
        <f>-AA206</f>
        <v/>
      </c>
      <c r="AB98" s="138">
        <f>-AB206</f>
        <v/>
      </c>
      <c r="AC98" s="138">
        <f>-AC206</f>
        <v/>
      </c>
      <c r="AD98" s="138">
        <f>-AD206</f>
        <v/>
      </c>
      <c r="AE98" s="138">
        <f>-AE206</f>
        <v/>
      </c>
      <c r="AF98" s="138">
        <f>-AF206</f>
        <v/>
      </c>
      <c r="AG98" s="138">
        <f>-AG206</f>
        <v/>
      </c>
      <c r="AH98" s="138">
        <f>-AH206</f>
        <v/>
      </c>
      <c r="AI98" s="138">
        <f>-AI206</f>
        <v/>
      </c>
      <c r="AJ98" s="138">
        <f>-AJ206</f>
        <v/>
      </c>
      <c r="AK98" s="138">
        <f>-AK206</f>
        <v/>
      </c>
      <c r="AL98" s="138">
        <f>-AL206</f>
        <v/>
      </c>
      <c r="AM98" s="138">
        <f>-AM206</f>
        <v/>
      </c>
      <c r="AN98" s="138">
        <f>-AN206</f>
        <v/>
      </c>
      <c r="AO98" s="138">
        <f>-AO206</f>
        <v/>
      </c>
      <c r="AP98" s="138">
        <f>-AP206</f>
        <v/>
      </c>
      <c r="AQ98" s="138">
        <f>-AQ206</f>
        <v/>
      </c>
      <c r="AR98" s="138">
        <f>-AR206</f>
        <v/>
      </c>
      <c r="AS98" s="138">
        <f>-AS206</f>
        <v/>
      </c>
      <c r="AT98" s="138">
        <f>-AT206</f>
        <v/>
      </c>
      <c r="AU98" s="138">
        <f>-AU206</f>
        <v/>
      </c>
      <c r="AV98" s="138">
        <f>-AV206</f>
        <v/>
      </c>
      <c r="AW98" s="138">
        <f>-AW206</f>
        <v/>
      </c>
      <c r="AX98" s="138">
        <f>-AX206</f>
        <v/>
      </c>
      <c r="AY98" s="138">
        <f>-AY206</f>
        <v/>
      </c>
      <c r="AZ98" s="138">
        <f>-AZ206</f>
        <v/>
      </c>
      <c r="BA98" s="138">
        <f>-BA206</f>
        <v/>
      </c>
    </row>
    <row r="99" ht="15" customHeight="1" s="91">
      <c r="A99" s="141" t="inlineStr">
        <is>
          <t xml:space="preserve">  Net Cash Flow - ZAN 14</t>
        </is>
      </c>
      <c r="B99" s="129" t="inlineStr">
        <is>
          <t>SAR</t>
        </is>
      </c>
      <c r="C99" s="138">
        <f>SUM(D99:BA99)</f>
        <v/>
      </c>
      <c r="D99" s="138">
        <f>D96+D97+D98</f>
        <v/>
      </c>
      <c r="E99" s="138">
        <f>E96+E97+E98</f>
        <v/>
      </c>
      <c r="F99" s="138">
        <f>F96+F97+F98</f>
        <v/>
      </c>
      <c r="G99" s="138">
        <f>G96+G97+G98</f>
        <v/>
      </c>
      <c r="H99" s="138">
        <f>H96+H97+H98</f>
        <v/>
      </c>
      <c r="I99" s="138">
        <f>I96+I97+I98</f>
        <v/>
      </c>
      <c r="J99" s="138">
        <f>J96+J97+J98</f>
        <v/>
      </c>
      <c r="K99" s="138">
        <f>K96+K97+K98</f>
        <v/>
      </c>
      <c r="L99" s="138">
        <f>L96+L97+L98</f>
        <v/>
      </c>
      <c r="M99" s="138">
        <f>M96+M97+M98</f>
        <v/>
      </c>
      <c r="N99" s="138">
        <f>N96+N97+N98</f>
        <v/>
      </c>
      <c r="O99" s="138">
        <f>O96+O97+O98</f>
        <v/>
      </c>
      <c r="P99" s="138">
        <f>P96+P97+P98</f>
        <v/>
      </c>
      <c r="Q99" s="138">
        <f>Q96+Q97+Q98</f>
        <v/>
      </c>
      <c r="R99" s="138">
        <f>R96+R97+R98</f>
        <v/>
      </c>
      <c r="S99" s="138">
        <f>S96+S97+S98</f>
        <v/>
      </c>
      <c r="T99" s="138">
        <f>T96+T97+T98</f>
        <v/>
      </c>
      <c r="U99" s="138">
        <f>U96+U97+U98</f>
        <v/>
      </c>
      <c r="V99" s="138">
        <f>V96+V97+V98</f>
        <v/>
      </c>
      <c r="W99" s="138">
        <f>W96+W97+W98</f>
        <v/>
      </c>
      <c r="X99" s="138">
        <f>X96+X97+X98</f>
        <v/>
      </c>
      <c r="Y99" s="138">
        <f>Y96+Y97+Y98</f>
        <v/>
      </c>
      <c r="Z99" s="138">
        <f>Z96+Z97+Z98</f>
        <v/>
      </c>
      <c r="AA99" s="138">
        <f>AA96+AA97+AA98</f>
        <v/>
      </c>
      <c r="AB99" s="138">
        <f>AB96+AB97+AB98</f>
        <v/>
      </c>
      <c r="AC99" s="138">
        <f>AC96+AC97+AC98</f>
        <v/>
      </c>
      <c r="AD99" s="138">
        <f>AD96+AD97+AD98</f>
        <v/>
      </c>
      <c r="AE99" s="138">
        <f>AE96+AE97+AE98</f>
        <v/>
      </c>
      <c r="AF99" s="138">
        <f>AF96+AF97+AF98</f>
        <v/>
      </c>
      <c r="AG99" s="138">
        <f>AG96+AG97+AG98</f>
        <v/>
      </c>
      <c r="AH99" s="138">
        <f>AH96+AH97+AH98</f>
        <v/>
      </c>
      <c r="AI99" s="138">
        <f>AI96+AI97+AI98</f>
        <v/>
      </c>
      <c r="AJ99" s="138">
        <f>AJ96+AJ97+AJ98</f>
        <v/>
      </c>
      <c r="AK99" s="138">
        <f>AK96+AK97+AK98</f>
        <v/>
      </c>
      <c r="AL99" s="138">
        <f>AL96+AL97+AL98</f>
        <v/>
      </c>
      <c r="AM99" s="138">
        <f>AM96+AM97+AM98</f>
        <v/>
      </c>
      <c r="AN99" s="138">
        <f>AN96+AN97+AN98</f>
        <v/>
      </c>
      <c r="AO99" s="138">
        <f>AO96+AO97+AO98</f>
        <v/>
      </c>
      <c r="AP99" s="138">
        <f>AP96+AP97+AP98</f>
        <v/>
      </c>
      <c r="AQ99" s="138">
        <f>AQ96+AQ97+AQ98</f>
        <v/>
      </c>
      <c r="AR99" s="138">
        <f>AR96+AR97+AR98</f>
        <v/>
      </c>
      <c r="AS99" s="138">
        <f>AS96+AS97+AS98</f>
        <v/>
      </c>
      <c r="AT99" s="138">
        <f>AT96+AT97+AT98</f>
        <v/>
      </c>
      <c r="AU99" s="138">
        <f>AU96+AU97+AU98</f>
        <v/>
      </c>
      <c r="AV99" s="138">
        <f>AV96+AV97+AV98</f>
        <v/>
      </c>
      <c r="AW99" s="138">
        <f>AW96+AW97+AW98</f>
        <v/>
      </c>
      <c r="AX99" s="138">
        <f>AX96+AX97+AX98</f>
        <v/>
      </c>
      <c r="AY99" s="138">
        <f>AY96+AY97+AY98</f>
        <v/>
      </c>
      <c r="AZ99" s="138">
        <f>AZ96+AZ97+AZ98</f>
        <v/>
      </c>
      <c r="BA99" s="138">
        <f>BA96+BA97+BA98</f>
        <v/>
      </c>
    </row>
    <row r="100" ht="15" customHeight="1" s="91">
      <c r="A100" s="100" t="inlineStr">
        <is>
          <t xml:space="preserve">  IRR - ZAN 14</t>
        </is>
      </c>
      <c r="B100" s="129" t="inlineStr">
        <is>
          <t>%</t>
        </is>
      </c>
      <c r="C100" s="135">
        <f>IFERROR(IRR(D99:BA99),"-")</f>
        <v/>
      </c>
    </row>
    <row r="102" ht="15" customHeight="1" s="91">
      <c r="A102" s="139" t="inlineStr">
        <is>
          <t>ZAN 15</t>
        </is>
      </c>
      <c r="B102" s="140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S102" s="140" t="n"/>
      <c r="T102" s="140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0" t="n"/>
      <c r="AJ102" s="140" t="n"/>
      <c r="AK102" s="140" t="n"/>
      <c r="AL102" s="140" t="n"/>
      <c r="AM102" s="140" t="n"/>
      <c r="AN102" s="140" t="n"/>
      <c r="AO102" s="140" t="n"/>
      <c r="AP102" s="140" t="n"/>
      <c r="AQ102" s="140" t="n"/>
      <c r="AR102" s="140" t="n"/>
      <c r="AS102" s="140" t="n"/>
      <c r="AT102" s="140" t="n"/>
      <c r="AU102" s="140" t="n"/>
      <c r="AV102" s="140" t="n"/>
      <c r="AW102" s="140" t="n"/>
      <c r="AX102" s="140" t="n"/>
      <c r="AY102" s="140" t="n"/>
      <c r="AZ102" s="140" t="n"/>
      <c r="BA102" s="140" t="n"/>
    </row>
    <row r="103" ht="15" customHeight="1" s="91">
      <c r="A103" s="129" t="inlineStr">
        <is>
          <t xml:space="preserve">  Income  الإيرادات</t>
        </is>
      </c>
      <c r="B103" s="129" t="inlineStr">
        <is>
          <t>SAR</t>
        </is>
      </c>
      <c r="C103" s="138">
        <f>SUM(D103:BA103)</f>
        <v/>
      </c>
      <c r="D103" s="138">
        <f>D189</f>
        <v/>
      </c>
      <c r="E103" s="138">
        <f>E189</f>
        <v/>
      </c>
      <c r="F103" s="138">
        <f>F189</f>
        <v/>
      </c>
      <c r="G103" s="138">
        <f>G189</f>
        <v/>
      </c>
      <c r="H103" s="138">
        <f>H189</f>
        <v/>
      </c>
      <c r="I103" s="138">
        <f>I189</f>
        <v/>
      </c>
      <c r="J103" s="138">
        <f>J189</f>
        <v/>
      </c>
      <c r="K103" s="138">
        <f>K189</f>
        <v/>
      </c>
      <c r="L103" s="138">
        <f>L189</f>
        <v/>
      </c>
      <c r="M103" s="138">
        <f>M189</f>
        <v/>
      </c>
      <c r="N103" s="138">
        <f>N189</f>
        <v/>
      </c>
      <c r="O103" s="138">
        <f>O189</f>
        <v/>
      </c>
      <c r="P103" s="138">
        <f>P189</f>
        <v/>
      </c>
      <c r="Q103" s="138">
        <f>Q189</f>
        <v/>
      </c>
      <c r="R103" s="138">
        <f>R189</f>
        <v/>
      </c>
      <c r="S103" s="138">
        <f>S189</f>
        <v/>
      </c>
      <c r="T103" s="138">
        <f>T189</f>
        <v/>
      </c>
      <c r="U103" s="138">
        <f>U189</f>
        <v/>
      </c>
      <c r="V103" s="138">
        <f>V189</f>
        <v/>
      </c>
      <c r="W103" s="138">
        <f>W189</f>
        <v/>
      </c>
      <c r="X103" s="138">
        <f>X189</f>
        <v/>
      </c>
      <c r="Y103" s="138">
        <f>Y189</f>
        <v/>
      </c>
      <c r="Z103" s="138">
        <f>Z189</f>
        <v/>
      </c>
      <c r="AA103" s="138">
        <f>AA189</f>
        <v/>
      </c>
      <c r="AB103" s="138">
        <f>AB189</f>
        <v/>
      </c>
      <c r="AC103" s="138">
        <f>AC189</f>
        <v/>
      </c>
      <c r="AD103" s="138">
        <f>AD189</f>
        <v/>
      </c>
      <c r="AE103" s="138">
        <f>AE189</f>
        <v/>
      </c>
      <c r="AF103" s="138">
        <f>AF189</f>
        <v/>
      </c>
      <c r="AG103" s="138">
        <f>AG189</f>
        <v/>
      </c>
      <c r="AH103" s="138">
        <f>AH189</f>
        <v/>
      </c>
      <c r="AI103" s="138">
        <f>AI189</f>
        <v/>
      </c>
      <c r="AJ103" s="138">
        <f>AJ189</f>
        <v/>
      </c>
      <c r="AK103" s="138">
        <f>AK189</f>
        <v/>
      </c>
      <c r="AL103" s="138">
        <f>AL189</f>
        <v/>
      </c>
      <c r="AM103" s="138">
        <f>AM189</f>
        <v/>
      </c>
      <c r="AN103" s="138">
        <f>AN189</f>
        <v/>
      </c>
      <c r="AO103" s="138">
        <f>AO189</f>
        <v/>
      </c>
      <c r="AP103" s="138">
        <f>AP189</f>
        <v/>
      </c>
      <c r="AQ103" s="138">
        <f>AQ189</f>
        <v/>
      </c>
      <c r="AR103" s="138">
        <f>AR189</f>
        <v/>
      </c>
      <c r="AS103" s="138">
        <f>AS189</f>
        <v/>
      </c>
      <c r="AT103" s="138">
        <f>AT189</f>
        <v/>
      </c>
      <c r="AU103" s="138">
        <f>AU189</f>
        <v/>
      </c>
      <c r="AV103" s="138">
        <f>AV189</f>
        <v/>
      </c>
      <c r="AW103" s="138">
        <f>AW189</f>
        <v/>
      </c>
      <c r="AX103" s="138">
        <f>AX189</f>
        <v/>
      </c>
      <c r="AY103" s="138">
        <f>AY189</f>
        <v/>
      </c>
      <c r="AZ103" s="138">
        <f>AZ189</f>
        <v/>
      </c>
      <c r="BA103" s="138">
        <f>BA189</f>
        <v/>
      </c>
    </row>
    <row r="104" ht="15" customHeight="1" s="91">
      <c r="A104" s="129" t="inlineStr">
        <is>
          <t xml:space="preserve">  Land Rent  إيجار الأرض</t>
        </is>
      </c>
      <c r="B104" s="129" t="inlineStr">
        <is>
          <t>SAR</t>
        </is>
      </c>
      <c r="C104" s="138">
        <f>SUM(D104:BA104)</f>
        <v/>
      </c>
      <c r="D104" s="138">
        <f>0</f>
        <v/>
      </c>
      <c r="E104" s="138">
        <f>0</f>
        <v/>
      </c>
      <c r="F104" s="138">
        <f>0</f>
        <v/>
      </c>
      <c r="G104" s="138">
        <f>0</f>
        <v/>
      </c>
      <c r="H104" s="138">
        <f>0</f>
        <v/>
      </c>
      <c r="I104" s="138">
        <f>0</f>
        <v/>
      </c>
      <c r="J104" s="138">
        <f>0</f>
        <v/>
      </c>
      <c r="K104" s="138">
        <f>0</f>
        <v/>
      </c>
      <c r="L104" s="138">
        <f>0</f>
        <v/>
      </c>
      <c r="M104" s="138">
        <f>0</f>
        <v/>
      </c>
      <c r="N104" s="138">
        <f>0</f>
        <v/>
      </c>
      <c r="O104" s="138">
        <f>0</f>
        <v/>
      </c>
      <c r="P104" s="138">
        <f>0</f>
        <v/>
      </c>
      <c r="Q104" s="138">
        <f>0</f>
        <v/>
      </c>
      <c r="R104" s="138">
        <f>0</f>
        <v/>
      </c>
      <c r="S104" s="138">
        <f>0</f>
        <v/>
      </c>
      <c r="T104" s="138">
        <f>0</f>
        <v/>
      </c>
      <c r="U104" s="138">
        <f>0</f>
        <v/>
      </c>
      <c r="V104" s="138">
        <f>0</f>
        <v/>
      </c>
      <c r="W104" s="138">
        <f>0</f>
        <v/>
      </c>
      <c r="X104" s="138">
        <f>0</f>
        <v/>
      </c>
      <c r="Y104" s="138">
        <f>0</f>
        <v/>
      </c>
      <c r="Z104" s="138">
        <f>0</f>
        <v/>
      </c>
      <c r="AA104" s="138">
        <f>0</f>
        <v/>
      </c>
      <c r="AB104" s="138">
        <f>0</f>
        <v/>
      </c>
      <c r="AC104" s="138">
        <f>0</f>
        <v/>
      </c>
      <c r="AD104" s="138">
        <f>0</f>
        <v/>
      </c>
      <c r="AE104" s="138">
        <f>0</f>
        <v/>
      </c>
      <c r="AF104" s="138">
        <f>0</f>
        <v/>
      </c>
      <c r="AG104" s="138">
        <f>0</f>
        <v/>
      </c>
      <c r="AH104" s="138">
        <f>0</f>
        <v/>
      </c>
      <c r="AI104" s="138">
        <f>0</f>
        <v/>
      </c>
      <c r="AJ104" s="138">
        <f>0</f>
        <v/>
      </c>
      <c r="AK104" s="138">
        <f>0</f>
        <v/>
      </c>
      <c r="AL104" s="138">
        <f>0</f>
        <v/>
      </c>
      <c r="AM104" s="138">
        <f>0</f>
        <v/>
      </c>
      <c r="AN104" s="138">
        <f>0</f>
        <v/>
      </c>
      <c r="AO104" s="138">
        <f>0</f>
        <v/>
      </c>
      <c r="AP104" s="138">
        <f>0</f>
        <v/>
      </c>
      <c r="AQ104" s="138">
        <f>0</f>
        <v/>
      </c>
      <c r="AR104" s="138">
        <f>0</f>
        <v/>
      </c>
      <c r="AS104" s="138">
        <f>0</f>
        <v/>
      </c>
      <c r="AT104" s="138">
        <f>0</f>
        <v/>
      </c>
      <c r="AU104" s="138">
        <f>0</f>
        <v/>
      </c>
      <c r="AV104" s="138">
        <f>0</f>
        <v/>
      </c>
      <c r="AW104" s="138">
        <f>0</f>
        <v/>
      </c>
      <c r="AX104" s="138">
        <f>0</f>
        <v/>
      </c>
      <c r="AY104" s="138">
        <f>0</f>
        <v/>
      </c>
      <c r="AZ104" s="138">
        <f>0</f>
        <v/>
      </c>
      <c r="BA104" s="138">
        <f>0</f>
        <v/>
      </c>
    </row>
    <row r="105" ht="15" customHeight="1" s="91">
      <c r="A105" s="129" t="inlineStr">
        <is>
          <t xml:space="preserve">  Development CAPEX  تكاليف التطوير</t>
        </is>
      </c>
      <c r="B105" s="129" t="inlineStr">
        <is>
          <t>SAR</t>
        </is>
      </c>
      <c r="C105" s="138">
        <f>SUM(D105:BA105)</f>
        <v/>
      </c>
      <c r="D105" s="138">
        <f>-D207</f>
        <v/>
      </c>
      <c r="E105" s="138">
        <f>-E207</f>
        <v/>
      </c>
      <c r="F105" s="138">
        <f>-F207</f>
        <v/>
      </c>
      <c r="G105" s="138">
        <f>-G207</f>
        <v/>
      </c>
      <c r="H105" s="138">
        <f>-H207</f>
        <v/>
      </c>
      <c r="I105" s="138">
        <f>-I207</f>
        <v/>
      </c>
      <c r="J105" s="138">
        <f>-J207</f>
        <v/>
      </c>
      <c r="K105" s="138">
        <f>-K207</f>
        <v/>
      </c>
      <c r="L105" s="138">
        <f>-L207</f>
        <v/>
      </c>
      <c r="M105" s="138">
        <f>-M207</f>
        <v/>
      </c>
      <c r="N105" s="138">
        <f>-N207</f>
        <v/>
      </c>
      <c r="O105" s="138">
        <f>-O207</f>
        <v/>
      </c>
      <c r="P105" s="138">
        <f>-P207</f>
        <v/>
      </c>
      <c r="Q105" s="138">
        <f>-Q207</f>
        <v/>
      </c>
      <c r="R105" s="138">
        <f>-R207</f>
        <v/>
      </c>
      <c r="S105" s="138">
        <f>-S207</f>
        <v/>
      </c>
      <c r="T105" s="138">
        <f>-T207</f>
        <v/>
      </c>
      <c r="U105" s="138">
        <f>-U207</f>
        <v/>
      </c>
      <c r="V105" s="138">
        <f>-V207</f>
        <v/>
      </c>
      <c r="W105" s="138">
        <f>-W207</f>
        <v/>
      </c>
      <c r="X105" s="138">
        <f>-X207</f>
        <v/>
      </c>
      <c r="Y105" s="138">
        <f>-Y207</f>
        <v/>
      </c>
      <c r="Z105" s="138">
        <f>-Z207</f>
        <v/>
      </c>
      <c r="AA105" s="138">
        <f>-AA207</f>
        <v/>
      </c>
      <c r="AB105" s="138">
        <f>-AB207</f>
        <v/>
      </c>
      <c r="AC105" s="138">
        <f>-AC207</f>
        <v/>
      </c>
      <c r="AD105" s="138">
        <f>-AD207</f>
        <v/>
      </c>
      <c r="AE105" s="138">
        <f>-AE207</f>
        <v/>
      </c>
      <c r="AF105" s="138">
        <f>-AF207</f>
        <v/>
      </c>
      <c r="AG105" s="138">
        <f>-AG207</f>
        <v/>
      </c>
      <c r="AH105" s="138">
        <f>-AH207</f>
        <v/>
      </c>
      <c r="AI105" s="138">
        <f>-AI207</f>
        <v/>
      </c>
      <c r="AJ105" s="138">
        <f>-AJ207</f>
        <v/>
      </c>
      <c r="AK105" s="138">
        <f>-AK207</f>
        <v/>
      </c>
      <c r="AL105" s="138">
        <f>-AL207</f>
        <v/>
      </c>
      <c r="AM105" s="138">
        <f>-AM207</f>
        <v/>
      </c>
      <c r="AN105" s="138">
        <f>-AN207</f>
        <v/>
      </c>
      <c r="AO105" s="138">
        <f>-AO207</f>
        <v/>
      </c>
      <c r="AP105" s="138">
        <f>-AP207</f>
        <v/>
      </c>
      <c r="AQ105" s="138">
        <f>-AQ207</f>
        <v/>
      </c>
      <c r="AR105" s="138">
        <f>-AR207</f>
        <v/>
      </c>
      <c r="AS105" s="138">
        <f>-AS207</f>
        <v/>
      </c>
      <c r="AT105" s="138">
        <f>-AT207</f>
        <v/>
      </c>
      <c r="AU105" s="138">
        <f>-AU207</f>
        <v/>
      </c>
      <c r="AV105" s="138">
        <f>-AV207</f>
        <v/>
      </c>
      <c r="AW105" s="138">
        <f>-AW207</f>
        <v/>
      </c>
      <c r="AX105" s="138">
        <f>-AX207</f>
        <v/>
      </c>
      <c r="AY105" s="138">
        <f>-AY207</f>
        <v/>
      </c>
      <c r="AZ105" s="138">
        <f>-AZ207</f>
        <v/>
      </c>
      <c r="BA105" s="138">
        <f>-BA207</f>
        <v/>
      </c>
    </row>
    <row r="106" ht="15" customHeight="1" s="91">
      <c r="A106" s="141" t="inlineStr">
        <is>
          <t xml:space="preserve">  Net Cash Flow - ZAN 15</t>
        </is>
      </c>
      <c r="B106" s="129" t="inlineStr">
        <is>
          <t>SAR</t>
        </is>
      </c>
      <c r="C106" s="138">
        <f>SUM(D106:BA106)</f>
        <v/>
      </c>
      <c r="D106" s="138">
        <f>D103+D104+D105</f>
        <v/>
      </c>
      <c r="E106" s="138">
        <f>E103+E104+E105</f>
        <v/>
      </c>
      <c r="F106" s="138">
        <f>F103+F104+F105</f>
        <v/>
      </c>
      <c r="G106" s="138">
        <f>G103+G104+G105</f>
        <v/>
      </c>
      <c r="H106" s="138">
        <f>H103+H104+H105</f>
        <v/>
      </c>
      <c r="I106" s="138">
        <f>I103+I104+I105</f>
        <v/>
      </c>
      <c r="J106" s="138">
        <f>J103+J104+J105</f>
        <v/>
      </c>
      <c r="K106" s="138">
        <f>K103+K104+K105</f>
        <v/>
      </c>
      <c r="L106" s="138">
        <f>L103+L104+L105</f>
        <v/>
      </c>
      <c r="M106" s="138">
        <f>M103+M104+M105</f>
        <v/>
      </c>
      <c r="N106" s="138">
        <f>N103+N104+N105</f>
        <v/>
      </c>
      <c r="O106" s="138">
        <f>O103+O104+O105</f>
        <v/>
      </c>
      <c r="P106" s="138">
        <f>P103+P104+P105</f>
        <v/>
      </c>
      <c r="Q106" s="138">
        <f>Q103+Q104+Q105</f>
        <v/>
      </c>
      <c r="R106" s="138">
        <f>R103+R104+R105</f>
        <v/>
      </c>
      <c r="S106" s="138">
        <f>S103+S104+S105</f>
        <v/>
      </c>
      <c r="T106" s="138">
        <f>T103+T104+T105</f>
        <v/>
      </c>
      <c r="U106" s="138">
        <f>U103+U104+U105</f>
        <v/>
      </c>
      <c r="V106" s="138">
        <f>V103+V104+V105</f>
        <v/>
      </c>
      <c r="W106" s="138">
        <f>W103+W104+W105</f>
        <v/>
      </c>
      <c r="X106" s="138">
        <f>X103+X104+X105</f>
        <v/>
      </c>
      <c r="Y106" s="138">
        <f>Y103+Y104+Y105</f>
        <v/>
      </c>
      <c r="Z106" s="138">
        <f>Z103+Z104+Z105</f>
        <v/>
      </c>
      <c r="AA106" s="138">
        <f>AA103+AA104+AA105</f>
        <v/>
      </c>
      <c r="AB106" s="138">
        <f>AB103+AB104+AB105</f>
        <v/>
      </c>
      <c r="AC106" s="138">
        <f>AC103+AC104+AC105</f>
        <v/>
      </c>
      <c r="AD106" s="138">
        <f>AD103+AD104+AD105</f>
        <v/>
      </c>
      <c r="AE106" s="138">
        <f>AE103+AE104+AE105</f>
        <v/>
      </c>
      <c r="AF106" s="138">
        <f>AF103+AF104+AF105</f>
        <v/>
      </c>
      <c r="AG106" s="138">
        <f>AG103+AG104+AG105</f>
        <v/>
      </c>
      <c r="AH106" s="138">
        <f>AH103+AH104+AH105</f>
        <v/>
      </c>
      <c r="AI106" s="138">
        <f>AI103+AI104+AI105</f>
        <v/>
      </c>
      <c r="AJ106" s="138">
        <f>AJ103+AJ104+AJ105</f>
        <v/>
      </c>
      <c r="AK106" s="138">
        <f>AK103+AK104+AK105</f>
        <v/>
      </c>
      <c r="AL106" s="138">
        <f>AL103+AL104+AL105</f>
        <v/>
      </c>
      <c r="AM106" s="138">
        <f>AM103+AM104+AM105</f>
        <v/>
      </c>
      <c r="AN106" s="138">
        <f>AN103+AN104+AN105</f>
        <v/>
      </c>
      <c r="AO106" s="138">
        <f>AO103+AO104+AO105</f>
        <v/>
      </c>
      <c r="AP106" s="138">
        <f>AP103+AP104+AP105</f>
        <v/>
      </c>
      <c r="AQ106" s="138">
        <f>AQ103+AQ104+AQ105</f>
        <v/>
      </c>
      <c r="AR106" s="138">
        <f>AR103+AR104+AR105</f>
        <v/>
      </c>
      <c r="AS106" s="138">
        <f>AS103+AS104+AS105</f>
        <v/>
      </c>
      <c r="AT106" s="138">
        <f>AT103+AT104+AT105</f>
        <v/>
      </c>
      <c r="AU106" s="138">
        <f>AU103+AU104+AU105</f>
        <v/>
      </c>
      <c r="AV106" s="138">
        <f>AV103+AV104+AV105</f>
        <v/>
      </c>
      <c r="AW106" s="138">
        <f>AW103+AW104+AW105</f>
        <v/>
      </c>
      <c r="AX106" s="138">
        <f>AX103+AX104+AX105</f>
        <v/>
      </c>
      <c r="AY106" s="138">
        <f>AY103+AY104+AY105</f>
        <v/>
      </c>
      <c r="AZ106" s="138">
        <f>AZ103+AZ104+AZ105</f>
        <v/>
      </c>
      <c r="BA106" s="138">
        <f>BA103+BA104+BA105</f>
        <v/>
      </c>
    </row>
    <row r="107" ht="15" customHeight="1" s="91">
      <c r="A107" s="100" t="inlineStr">
        <is>
          <t xml:space="preserve">  IRR - ZAN 15</t>
        </is>
      </c>
      <c r="B107" s="129" t="inlineStr">
        <is>
          <t>%</t>
        </is>
      </c>
      <c r="C107" s="135">
        <f>IFERROR(IRR(D106:BA106),"-")</f>
        <v/>
      </c>
    </row>
    <row r="109" ht="13.5" customHeight="1" s="91">
      <c r="A109" s="113" t="inlineStr">
        <is>
          <t>CONSOLIDATED  المجمّع</t>
        </is>
      </c>
    </row>
    <row r="110" ht="15" customHeight="1" s="91">
      <c r="A110" s="149" t="inlineStr">
        <is>
          <t>Total Income</t>
        </is>
      </c>
      <c r="B110" s="129" t="inlineStr">
        <is>
          <t>SAR</t>
        </is>
      </c>
      <c r="C110" s="138">
        <f>SUM(D110:BA110)</f>
        <v/>
      </c>
      <c r="D110" s="138">
        <f>D190</f>
        <v/>
      </c>
      <c r="E110" s="138">
        <f>E190</f>
        <v/>
      </c>
      <c r="F110" s="138">
        <f>F190</f>
        <v/>
      </c>
      <c r="G110" s="138">
        <f>G190</f>
        <v/>
      </c>
      <c r="H110" s="138">
        <f>H190</f>
        <v/>
      </c>
      <c r="I110" s="138">
        <f>I190</f>
        <v/>
      </c>
      <c r="J110" s="138">
        <f>J190</f>
        <v/>
      </c>
      <c r="K110" s="138">
        <f>K190</f>
        <v/>
      </c>
      <c r="L110" s="138">
        <f>L190</f>
        <v/>
      </c>
      <c r="M110" s="138">
        <f>M190</f>
        <v/>
      </c>
      <c r="N110" s="138">
        <f>N190</f>
        <v/>
      </c>
      <c r="O110" s="138">
        <f>O190</f>
        <v/>
      </c>
      <c r="P110" s="138">
        <f>P190</f>
        <v/>
      </c>
      <c r="Q110" s="138">
        <f>Q190</f>
        <v/>
      </c>
      <c r="R110" s="138">
        <f>R190</f>
        <v/>
      </c>
      <c r="S110" s="138">
        <f>S190</f>
        <v/>
      </c>
      <c r="T110" s="138">
        <f>T190</f>
        <v/>
      </c>
      <c r="U110" s="138">
        <f>U190</f>
        <v/>
      </c>
      <c r="V110" s="138">
        <f>V190</f>
        <v/>
      </c>
      <c r="W110" s="138">
        <f>W190</f>
        <v/>
      </c>
      <c r="X110" s="138">
        <f>X190</f>
        <v/>
      </c>
      <c r="Y110" s="138">
        <f>Y190</f>
        <v/>
      </c>
      <c r="Z110" s="138">
        <f>Z190</f>
        <v/>
      </c>
      <c r="AA110" s="138">
        <f>AA190</f>
        <v/>
      </c>
      <c r="AB110" s="138">
        <f>AB190</f>
        <v/>
      </c>
      <c r="AC110" s="138">
        <f>AC190</f>
        <v/>
      </c>
      <c r="AD110" s="138">
        <f>AD190</f>
        <v/>
      </c>
      <c r="AE110" s="138">
        <f>AE190</f>
        <v/>
      </c>
      <c r="AF110" s="138">
        <f>AF190</f>
        <v/>
      </c>
      <c r="AG110" s="138">
        <f>AG190</f>
        <v/>
      </c>
      <c r="AH110" s="138">
        <f>AH190</f>
        <v/>
      </c>
      <c r="AI110" s="138">
        <f>AI190</f>
        <v/>
      </c>
      <c r="AJ110" s="138">
        <f>AJ190</f>
        <v/>
      </c>
      <c r="AK110" s="138">
        <f>AK190</f>
        <v/>
      </c>
      <c r="AL110" s="138">
        <f>AL190</f>
        <v/>
      </c>
      <c r="AM110" s="138">
        <f>AM190</f>
        <v/>
      </c>
      <c r="AN110" s="138">
        <f>AN190</f>
        <v/>
      </c>
      <c r="AO110" s="138">
        <f>AO190</f>
        <v/>
      </c>
      <c r="AP110" s="138">
        <f>AP190</f>
        <v/>
      </c>
      <c r="AQ110" s="138">
        <f>AQ190</f>
        <v/>
      </c>
      <c r="AR110" s="138">
        <f>AR190</f>
        <v/>
      </c>
      <c r="AS110" s="138">
        <f>AS190</f>
        <v/>
      </c>
      <c r="AT110" s="138">
        <f>AT190</f>
        <v/>
      </c>
      <c r="AU110" s="138">
        <f>AU190</f>
        <v/>
      </c>
      <c r="AV110" s="138">
        <f>AV190</f>
        <v/>
      </c>
      <c r="AW110" s="138">
        <f>AW190</f>
        <v/>
      </c>
      <c r="AX110" s="138">
        <f>AX190</f>
        <v/>
      </c>
      <c r="AY110" s="138">
        <f>AY190</f>
        <v/>
      </c>
      <c r="AZ110" s="138">
        <f>AZ190</f>
        <v/>
      </c>
      <c r="BA110" s="138">
        <f>BA190</f>
        <v/>
      </c>
    </row>
    <row r="111" ht="15" customHeight="1" s="91">
      <c r="A111" s="149" t="inlineStr">
        <is>
          <t>Total Land Rent</t>
        </is>
      </c>
      <c r="B111" s="129" t="inlineStr">
        <is>
          <t>SAR</t>
        </is>
      </c>
      <c r="C111" s="138">
        <f>SUM(D111:BA111)</f>
        <v/>
      </c>
      <c r="D111" s="138">
        <f>IF($E171="Lease",-D209,IF(AND($E171="Purchase",D$3=$C171),-$G171,0))</f>
        <v/>
      </c>
      <c r="E111" s="138">
        <f>IF($E171="Lease",-E209,IF(AND($E171="Purchase",E$3=$C171),-$G171,0))</f>
        <v/>
      </c>
      <c r="F111" s="138">
        <f>IF($E171="Lease",-F209,IF(AND($E171="Purchase",F$3=$C171),-$G171,0))</f>
        <v/>
      </c>
      <c r="G111" s="138">
        <f>IF($E171="Lease",-G209,IF(AND($E171="Purchase",G$3=$C171),-$G171,0))</f>
        <v/>
      </c>
      <c r="H111" s="138">
        <f>IF($E171="Lease",-H209,IF(AND($E171="Purchase",H$3=$C171),-$G171,0))</f>
        <v/>
      </c>
      <c r="I111" s="138">
        <f>IF($E171="Lease",-I209,IF(AND($E171="Purchase",I$3=$C171),-$G171,0))</f>
        <v/>
      </c>
      <c r="J111" s="138">
        <f>IF($E171="Lease",-J209,IF(AND($E171="Purchase",J$3=$C171),-$G171,0))</f>
        <v/>
      </c>
      <c r="K111" s="138">
        <f>IF($E171="Lease",-K209,IF(AND($E171="Purchase",K$3=$C171),-$G171,0))</f>
        <v/>
      </c>
      <c r="L111" s="138">
        <f>IF($E171="Lease",-L209,IF(AND($E171="Purchase",L$3=$C171),-$G171,0))</f>
        <v/>
      </c>
      <c r="M111" s="138">
        <f>IF($E171="Lease",-M209,IF(AND($E171="Purchase",M$3=$C171),-$G171,0))</f>
        <v/>
      </c>
      <c r="N111" s="138">
        <f>IF($E171="Lease",-N209,IF(AND($E171="Purchase",N$3=$C171),-$G171,0))</f>
        <v/>
      </c>
      <c r="O111" s="138">
        <f>IF($E171="Lease",-O209,IF(AND($E171="Purchase",O$3=$C171),-$G171,0))</f>
        <v/>
      </c>
      <c r="P111" s="138">
        <f>IF($E171="Lease",-P209,IF(AND($E171="Purchase",P$3=$C171),-$G171,0))</f>
        <v/>
      </c>
      <c r="Q111" s="138">
        <f>IF($E171="Lease",-Q209,IF(AND($E171="Purchase",Q$3=$C171),-$G171,0))</f>
        <v/>
      </c>
      <c r="R111" s="138">
        <f>IF($E171="Lease",-R209,IF(AND($E171="Purchase",R$3=$C171),-$G171,0))</f>
        <v/>
      </c>
      <c r="S111" s="138">
        <f>IF($E171="Lease",-S209,IF(AND($E171="Purchase",S$3=$C171),-$G171,0))</f>
        <v/>
      </c>
      <c r="T111" s="138">
        <f>IF($E171="Lease",-T209,IF(AND($E171="Purchase",T$3=$C171),-$G171,0))</f>
        <v/>
      </c>
      <c r="U111" s="138">
        <f>IF($E171="Lease",-U209,IF(AND($E171="Purchase",U$3=$C171),-$G171,0))</f>
        <v/>
      </c>
      <c r="V111" s="138">
        <f>IF($E171="Lease",-V209,IF(AND($E171="Purchase",V$3=$C171),-$G171,0))</f>
        <v/>
      </c>
      <c r="W111" s="138">
        <f>IF($E171="Lease",-W209,IF(AND($E171="Purchase",W$3=$C171),-$G171,0))</f>
        <v/>
      </c>
      <c r="X111" s="138">
        <f>IF($E171="Lease",-X209,IF(AND($E171="Purchase",X$3=$C171),-$G171,0))</f>
        <v/>
      </c>
      <c r="Y111" s="138">
        <f>IF($E171="Lease",-Y209,IF(AND($E171="Purchase",Y$3=$C171),-$G171,0))</f>
        <v/>
      </c>
      <c r="Z111" s="138">
        <f>IF($E171="Lease",-Z209,IF(AND($E171="Purchase",Z$3=$C171),-$G171,0))</f>
        <v/>
      </c>
      <c r="AA111" s="138">
        <f>IF($E171="Lease",-AA209,IF(AND($E171="Purchase",AA$3=$C171),-$G171,0))</f>
        <v/>
      </c>
      <c r="AB111" s="138">
        <f>IF($E171="Lease",-AB209,IF(AND($E171="Purchase",AB$3=$C171),-$G171,0))</f>
        <v/>
      </c>
      <c r="AC111" s="138">
        <f>IF($E171="Lease",-AC209,IF(AND($E171="Purchase",AC$3=$C171),-$G171,0))</f>
        <v/>
      </c>
      <c r="AD111" s="138">
        <f>IF($E171="Lease",-AD209,IF(AND($E171="Purchase",AD$3=$C171),-$G171,0))</f>
        <v/>
      </c>
      <c r="AE111" s="138">
        <f>IF($E171="Lease",-AE209,IF(AND($E171="Purchase",AE$3=$C171),-$G171,0))</f>
        <v/>
      </c>
      <c r="AF111" s="138">
        <f>IF($E171="Lease",-AF209,IF(AND($E171="Purchase",AF$3=$C171),-$G171,0))</f>
        <v/>
      </c>
      <c r="AG111" s="138">
        <f>IF($E171="Lease",-AG209,IF(AND($E171="Purchase",AG$3=$C171),-$G171,0))</f>
        <v/>
      </c>
      <c r="AH111" s="138">
        <f>IF($E171="Lease",-AH209,IF(AND($E171="Purchase",AH$3=$C171),-$G171,0))</f>
        <v/>
      </c>
      <c r="AI111" s="138">
        <f>IF($E171="Lease",-AI209,IF(AND($E171="Purchase",AI$3=$C171),-$G171,0))</f>
        <v/>
      </c>
      <c r="AJ111" s="138">
        <f>IF($E171="Lease",-AJ209,IF(AND($E171="Purchase",AJ$3=$C171),-$G171,0))</f>
        <v/>
      </c>
      <c r="AK111" s="138">
        <f>IF($E171="Lease",-AK209,IF(AND($E171="Purchase",AK$3=$C171),-$G171,0))</f>
        <v/>
      </c>
      <c r="AL111" s="138">
        <f>IF($E171="Lease",-AL209,IF(AND($E171="Purchase",AL$3=$C171),-$G171,0))</f>
        <v/>
      </c>
      <c r="AM111" s="138">
        <f>IF($E171="Lease",-AM209,IF(AND($E171="Purchase",AM$3=$C171),-$G171,0))</f>
        <v/>
      </c>
      <c r="AN111" s="138">
        <f>IF($E171="Lease",-AN209,IF(AND($E171="Purchase",AN$3=$C171),-$G171,0))</f>
        <v/>
      </c>
      <c r="AO111" s="138">
        <f>IF($E171="Lease",-AO209,IF(AND($E171="Purchase",AO$3=$C171),-$G171,0))</f>
        <v/>
      </c>
      <c r="AP111" s="138">
        <f>IF($E171="Lease",-AP209,IF(AND($E171="Purchase",AP$3=$C171),-$G171,0))</f>
        <v/>
      </c>
      <c r="AQ111" s="138">
        <f>IF($E171="Lease",-AQ209,IF(AND($E171="Purchase",AQ$3=$C171),-$G171,0))</f>
        <v/>
      </c>
      <c r="AR111" s="138">
        <f>IF($E171="Lease",-AR209,IF(AND($E171="Purchase",AR$3=$C171),-$G171,0))</f>
        <v/>
      </c>
      <c r="AS111" s="138">
        <f>IF($E171="Lease",-AS209,IF(AND($E171="Purchase",AS$3=$C171),-$G171,0))</f>
        <v/>
      </c>
      <c r="AT111" s="138">
        <f>IF($E171="Lease",-AT209,IF(AND($E171="Purchase",AT$3=$C171),-$G171,0))</f>
        <v/>
      </c>
      <c r="AU111" s="138">
        <f>IF($E171="Lease",-AU209,IF(AND($E171="Purchase",AU$3=$C171),-$G171,0))</f>
        <v/>
      </c>
      <c r="AV111" s="138">
        <f>IF($E171="Lease",-AV209,IF(AND($E171="Purchase",AV$3=$C171),-$G171,0))</f>
        <v/>
      </c>
      <c r="AW111" s="138">
        <f>IF($E171="Lease",-AW209,IF(AND($E171="Purchase",AW$3=$C171),-$G171,0))</f>
        <v/>
      </c>
      <c r="AX111" s="138">
        <f>IF($E171="Lease",-AX209,IF(AND($E171="Purchase",AX$3=$C171),-$G171,0))</f>
        <v/>
      </c>
      <c r="AY111" s="138">
        <f>IF($E171="Lease",-AY209,IF(AND($E171="Purchase",AY$3=$C171),-$G171,0))</f>
        <v/>
      </c>
      <c r="AZ111" s="138">
        <f>IF($E171="Lease",-AZ209,IF(AND($E171="Purchase",AZ$3=$C171),-$G171,0))</f>
        <v/>
      </c>
      <c r="BA111" s="138">
        <f>IF($E171="Lease",-BA209,IF(AND($E171="Purchase",BA$3=$C171),-$G171,0))</f>
        <v/>
      </c>
    </row>
    <row r="112" ht="15" customHeight="1" s="91">
      <c r="A112" s="149" t="inlineStr">
        <is>
          <t>Total Development CAPEX</t>
        </is>
      </c>
      <c r="B112" s="129" t="inlineStr">
        <is>
          <t>SAR</t>
        </is>
      </c>
      <c r="C112" s="138">
        <f>SUM(D112:BA112)</f>
        <v/>
      </c>
      <c r="D112" s="138">
        <f>-D208</f>
        <v/>
      </c>
      <c r="E112" s="138">
        <f>-E208</f>
        <v/>
      </c>
      <c r="F112" s="138">
        <f>-F208</f>
        <v/>
      </c>
      <c r="G112" s="138">
        <f>-G208</f>
        <v/>
      </c>
      <c r="H112" s="138">
        <f>-H208</f>
        <v/>
      </c>
      <c r="I112" s="138">
        <f>-I208</f>
        <v/>
      </c>
      <c r="J112" s="138">
        <f>-J208</f>
        <v/>
      </c>
      <c r="K112" s="138">
        <f>-K208</f>
        <v/>
      </c>
      <c r="L112" s="138">
        <f>-L208</f>
        <v/>
      </c>
      <c r="M112" s="138">
        <f>-M208</f>
        <v/>
      </c>
      <c r="N112" s="138">
        <f>-N208</f>
        <v/>
      </c>
      <c r="O112" s="138">
        <f>-O208</f>
        <v/>
      </c>
      <c r="P112" s="138">
        <f>-P208</f>
        <v/>
      </c>
      <c r="Q112" s="138">
        <f>-Q208</f>
        <v/>
      </c>
      <c r="R112" s="138">
        <f>-R208</f>
        <v/>
      </c>
      <c r="S112" s="138">
        <f>-S208</f>
        <v/>
      </c>
      <c r="T112" s="138">
        <f>-T208</f>
        <v/>
      </c>
      <c r="U112" s="138">
        <f>-U208</f>
        <v/>
      </c>
      <c r="V112" s="138">
        <f>-V208</f>
        <v/>
      </c>
      <c r="W112" s="138">
        <f>-W208</f>
        <v/>
      </c>
      <c r="X112" s="138">
        <f>-X208</f>
        <v/>
      </c>
      <c r="Y112" s="138">
        <f>-Y208</f>
        <v/>
      </c>
      <c r="Z112" s="138">
        <f>-Z208</f>
        <v/>
      </c>
      <c r="AA112" s="138">
        <f>-AA208</f>
        <v/>
      </c>
      <c r="AB112" s="138">
        <f>-AB208</f>
        <v/>
      </c>
      <c r="AC112" s="138">
        <f>-AC208</f>
        <v/>
      </c>
      <c r="AD112" s="138">
        <f>-AD208</f>
        <v/>
      </c>
      <c r="AE112" s="138">
        <f>-AE208</f>
        <v/>
      </c>
      <c r="AF112" s="138">
        <f>-AF208</f>
        <v/>
      </c>
      <c r="AG112" s="138">
        <f>-AG208</f>
        <v/>
      </c>
      <c r="AH112" s="138">
        <f>-AH208</f>
        <v/>
      </c>
      <c r="AI112" s="138">
        <f>-AI208</f>
        <v/>
      </c>
      <c r="AJ112" s="138">
        <f>-AJ208</f>
        <v/>
      </c>
      <c r="AK112" s="138">
        <f>-AK208</f>
        <v/>
      </c>
      <c r="AL112" s="138">
        <f>-AL208</f>
        <v/>
      </c>
      <c r="AM112" s="138">
        <f>-AM208</f>
        <v/>
      </c>
      <c r="AN112" s="138">
        <f>-AN208</f>
        <v/>
      </c>
      <c r="AO112" s="138">
        <f>-AO208</f>
        <v/>
      </c>
      <c r="AP112" s="138">
        <f>-AP208</f>
        <v/>
      </c>
      <c r="AQ112" s="138">
        <f>-AQ208</f>
        <v/>
      </c>
      <c r="AR112" s="138">
        <f>-AR208</f>
        <v/>
      </c>
      <c r="AS112" s="138">
        <f>-AS208</f>
        <v/>
      </c>
      <c r="AT112" s="138">
        <f>-AT208</f>
        <v/>
      </c>
      <c r="AU112" s="138">
        <f>-AU208</f>
        <v/>
      </c>
      <c r="AV112" s="138">
        <f>-AV208</f>
        <v/>
      </c>
      <c r="AW112" s="138">
        <f>-AW208</f>
        <v/>
      </c>
      <c r="AX112" s="138">
        <f>-AX208</f>
        <v/>
      </c>
      <c r="AY112" s="138">
        <f>-AY208</f>
        <v/>
      </c>
      <c r="AZ112" s="138">
        <f>-AZ208</f>
        <v/>
      </c>
      <c r="BA112" s="138">
        <f>-BA208</f>
        <v/>
      </c>
    </row>
    <row r="113" ht="15" customHeight="1" s="91">
      <c r="A113" s="142" t="inlineStr">
        <is>
          <t>Net Cash Flow - Consolidated</t>
        </is>
      </c>
      <c r="B113" s="129" t="inlineStr">
        <is>
          <t>SAR</t>
        </is>
      </c>
      <c r="C113" s="138">
        <f>SUM(D113:BA113)</f>
        <v/>
      </c>
      <c r="D113" s="138">
        <f>D110+D111+D112</f>
        <v/>
      </c>
      <c r="E113" s="138">
        <f>E110+E111+E112</f>
        <v/>
      </c>
      <c r="F113" s="138">
        <f>F110+F111+F112</f>
        <v/>
      </c>
      <c r="G113" s="138">
        <f>G110+G111+G112</f>
        <v/>
      </c>
      <c r="H113" s="138">
        <f>H110+H111+H112</f>
        <v/>
      </c>
      <c r="I113" s="138">
        <f>I110+I111+I112</f>
        <v/>
      </c>
      <c r="J113" s="138">
        <f>J110+J111+J112</f>
        <v/>
      </c>
      <c r="K113" s="138">
        <f>K110+K111+K112</f>
        <v/>
      </c>
      <c r="L113" s="138">
        <f>L110+L111+L112</f>
        <v/>
      </c>
      <c r="M113" s="138">
        <f>M110+M111+M112</f>
        <v/>
      </c>
      <c r="N113" s="138">
        <f>N110+N111+N112</f>
        <v/>
      </c>
      <c r="O113" s="138">
        <f>O110+O111+O112</f>
        <v/>
      </c>
      <c r="P113" s="138">
        <f>P110+P111+P112</f>
        <v/>
      </c>
      <c r="Q113" s="138">
        <f>Q110+Q111+Q112</f>
        <v/>
      </c>
      <c r="R113" s="138">
        <f>R110+R111+R112</f>
        <v/>
      </c>
      <c r="S113" s="138">
        <f>S110+S111+S112</f>
        <v/>
      </c>
      <c r="T113" s="138">
        <f>T110+T111+T112</f>
        <v/>
      </c>
      <c r="U113" s="138">
        <f>U110+U111+U112</f>
        <v/>
      </c>
      <c r="V113" s="138">
        <f>V110+V111+V112</f>
        <v/>
      </c>
      <c r="W113" s="138">
        <f>W110+W111+W112</f>
        <v/>
      </c>
      <c r="X113" s="138">
        <f>X110+X111+X112</f>
        <v/>
      </c>
      <c r="Y113" s="138">
        <f>Y110+Y111+Y112</f>
        <v/>
      </c>
      <c r="Z113" s="138">
        <f>Z110+Z111+Z112</f>
        <v/>
      </c>
      <c r="AA113" s="138">
        <f>AA110+AA111+AA112</f>
        <v/>
      </c>
      <c r="AB113" s="138">
        <f>AB110+AB111+AB112</f>
        <v/>
      </c>
      <c r="AC113" s="138">
        <f>AC110+AC111+AC112</f>
        <v/>
      </c>
      <c r="AD113" s="138">
        <f>AD110+AD111+AD112</f>
        <v/>
      </c>
      <c r="AE113" s="138">
        <f>AE110+AE111+AE112</f>
        <v/>
      </c>
      <c r="AF113" s="138">
        <f>AF110+AF111+AF112</f>
        <v/>
      </c>
      <c r="AG113" s="138">
        <f>AG110+AG111+AG112</f>
        <v/>
      </c>
      <c r="AH113" s="138">
        <f>AH110+AH111+AH112</f>
        <v/>
      </c>
      <c r="AI113" s="138">
        <f>AI110+AI111+AI112</f>
        <v/>
      </c>
      <c r="AJ113" s="138">
        <f>AJ110+AJ111+AJ112</f>
        <v/>
      </c>
      <c r="AK113" s="138">
        <f>AK110+AK111+AK112</f>
        <v/>
      </c>
      <c r="AL113" s="138">
        <f>AL110+AL111+AL112</f>
        <v/>
      </c>
      <c r="AM113" s="138">
        <f>AM110+AM111+AM112</f>
        <v/>
      </c>
      <c r="AN113" s="138">
        <f>AN110+AN111+AN112</f>
        <v/>
      </c>
      <c r="AO113" s="138">
        <f>AO110+AO111+AO112</f>
        <v/>
      </c>
      <c r="AP113" s="138">
        <f>AP110+AP111+AP112</f>
        <v/>
      </c>
      <c r="AQ113" s="138">
        <f>AQ110+AQ111+AQ112</f>
        <v/>
      </c>
      <c r="AR113" s="138">
        <f>AR110+AR111+AR112</f>
        <v/>
      </c>
      <c r="AS113" s="138">
        <f>AS110+AS111+AS112</f>
        <v/>
      </c>
      <c r="AT113" s="138">
        <f>AT110+AT111+AT112</f>
        <v/>
      </c>
      <c r="AU113" s="138">
        <f>AU110+AU111+AU112</f>
        <v/>
      </c>
      <c r="AV113" s="138">
        <f>AV110+AV111+AV112</f>
        <v/>
      </c>
      <c r="AW113" s="138">
        <f>AW110+AW111+AW112</f>
        <v/>
      </c>
      <c r="AX113" s="138">
        <f>AX110+AX111+AX112</f>
        <v/>
      </c>
      <c r="AY113" s="138">
        <f>AY110+AY111+AY112</f>
        <v/>
      </c>
      <c r="AZ113" s="138">
        <f>AZ110+AZ111+AZ112</f>
        <v/>
      </c>
      <c r="BA113" s="138">
        <f>BA110+BA111+BA112</f>
        <v/>
      </c>
    </row>
    <row r="114" ht="15" customHeight="1" s="91">
      <c r="A114" s="149" t="inlineStr">
        <is>
          <t>Cumulative Cash Flow</t>
        </is>
      </c>
      <c r="B114" s="129" t="inlineStr">
        <is>
          <t>SAR</t>
        </is>
      </c>
      <c r="D114" s="138">
        <f>D113</f>
        <v/>
      </c>
      <c r="E114" s="138">
        <f>D114+E113</f>
        <v/>
      </c>
      <c r="F114" s="138">
        <f>E114+F113</f>
        <v/>
      </c>
      <c r="G114" s="138">
        <f>F114+G113</f>
        <v/>
      </c>
      <c r="H114" s="138">
        <f>G114+H113</f>
        <v/>
      </c>
      <c r="I114" s="138">
        <f>H114+I113</f>
        <v/>
      </c>
      <c r="J114" s="138">
        <f>I114+J113</f>
        <v/>
      </c>
      <c r="K114" s="138">
        <f>J114+K113</f>
        <v/>
      </c>
      <c r="L114" s="138">
        <f>K114+L113</f>
        <v/>
      </c>
      <c r="M114" s="138">
        <f>L114+M113</f>
        <v/>
      </c>
      <c r="N114" s="138">
        <f>M114+N113</f>
        <v/>
      </c>
      <c r="O114" s="138">
        <f>N114+O113</f>
        <v/>
      </c>
      <c r="P114" s="138">
        <f>O114+P113</f>
        <v/>
      </c>
      <c r="Q114" s="138">
        <f>P114+Q113</f>
        <v/>
      </c>
      <c r="R114" s="138">
        <f>Q114+R113</f>
        <v/>
      </c>
      <c r="S114" s="138">
        <f>R114+S113</f>
        <v/>
      </c>
      <c r="T114" s="138">
        <f>S114+T113</f>
        <v/>
      </c>
      <c r="U114" s="138">
        <f>T114+U113</f>
        <v/>
      </c>
      <c r="V114" s="138">
        <f>U114+V113</f>
        <v/>
      </c>
      <c r="W114" s="138">
        <f>V114+W113</f>
        <v/>
      </c>
      <c r="X114" s="138">
        <f>W114+X113</f>
        <v/>
      </c>
      <c r="Y114" s="138">
        <f>X114+Y113</f>
        <v/>
      </c>
      <c r="Z114" s="138">
        <f>Y114+Z113</f>
        <v/>
      </c>
      <c r="AA114" s="138">
        <f>Z114+AA113</f>
        <v/>
      </c>
      <c r="AB114" s="138">
        <f>AA114+AB113</f>
        <v/>
      </c>
      <c r="AC114" s="138">
        <f>AB114+AC113</f>
        <v/>
      </c>
      <c r="AD114" s="138">
        <f>AC114+AD113</f>
        <v/>
      </c>
      <c r="AE114" s="138">
        <f>AD114+AE113</f>
        <v/>
      </c>
      <c r="AF114" s="138">
        <f>AE114+AF113</f>
        <v/>
      </c>
      <c r="AG114" s="138">
        <f>AF114+AG113</f>
        <v/>
      </c>
      <c r="AH114" s="138">
        <f>AG114+AH113</f>
        <v/>
      </c>
      <c r="AI114" s="138">
        <f>AH114+AI113</f>
        <v/>
      </c>
      <c r="AJ114" s="138">
        <f>AI114+AJ113</f>
        <v/>
      </c>
      <c r="AK114" s="138">
        <f>AJ114+AK113</f>
        <v/>
      </c>
      <c r="AL114" s="138">
        <f>AK114+AL113</f>
        <v/>
      </c>
      <c r="AM114" s="138">
        <f>AL114+AM113</f>
        <v/>
      </c>
      <c r="AN114" s="138">
        <f>AM114+AN113</f>
        <v/>
      </c>
      <c r="AO114" s="138">
        <f>AN114+AO113</f>
        <v/>
      </c>
      <c r="AP114" s="138">
        <f>AO114+AP113</f>
        <v/>
      </c>
      <c r="AQ114" s="138">
        <f>AP114+AQ113</f>
        <v/>
      </c>
      <c r="AR114" s="138">
        <f>AQ114+AR113</f>
        <v/>
      </c>
      <c r="AS114" s="138">
        <f>AR114+AS113</f>
        <v/>
      </c>
      <c r="AT114" s="138">
        <f>AS114+AT113</f>
        <v/>
      </c>
      <c r="AU114" s="138">
        <f>AT114+AU113</f>
        <v/>
      </c>
      <c r="AV114" s="138">
        <f>AU114+AV113</f>
        <v/>
      </c>
      <c r="AW114" s="138">
        <f>AV114+AW113</f>
        <v/>
      </c>
      <c r="AX114" s="138">
        <f>AW114+AX113</f>
        <v/>
      </c>
      <c r="AY114" s="138">
        <f>AX114+AY113</f>
        <v/>
      </c>
      <c r="AZ114" s="138">
        <f>AY114+AZ113</f>
        <v/>
      </c>
      <c r="BA114" s="138">
        <f>AZ114+BA113</f>
        <v/>
      </c>
    </row>
    <row r="115" ht="15" customHeight="1" s="91">
      <c r="A115" s="142" t="inlineStr">
        <is>
          <t>IRR - Consolidated</t>
        </is>
      </c>
      <c r="B115" s="129" t="inlineStr">
        <is>
          <t>%</t>
        </is>
      </c>
      <c r="C115" s="135">
        <f>IFERROR(IRR(D113:BA113),"-")</f>
        <v/>
      </c>
    </row>
    <row r="117" ht="15" customHeight="1" s="91">
      <c r="A117" s="113" t="inlineStr">
        <is>
          <t>NPV ANALYSIS</t>
        </is>
      </c>
    </row>
    <row r="119" ht="15" customHeight="1" s="91">
      <c r="A119" s="149" t="inlineStr">
        <is>
          <t>NPV @ 10%</t>
        </is>
      </c>
      <c r="B119" s="116" t="n">
        <v>0.1</v>
      </c>
      <c r="C119" s="138">
        <f>IFERROR(D113+NPV(B119,E113:BA113),"-")</f>
        <v/>
      </c>
    </row>
    <row r="120" ht="15" customHeight="1" s="91">
      <c r="A120" s="149" t="inlineStr">
        <is>
          <t>NPV @ 12%</t>
        </is>
      </c>
      <c r="B120" s="116" t="n">
        <v>0.12</v>
      </c>
      <c r="C120" s="138">
        <f>IFERROR(D113+NPV(B120,E113:BA113),"-")</f>
        <v/>
      </c>
    </row>
    <row r="121" ht="15" customHeight="1" s="91">
      <c r="A121" s="149" t="inlineStr">
        <is>
          <t>NPV @ 14%</t>
        </is>
      </c>
      <c r="B121" s="116" t="n">
        <v>0.14</v>
      </c>
      <c r="C121" s="138">
        <f>IFERROR(D113+NPV(B121,E113:BA113),"-")</f>
        <v/>
      </c>
    </row>
    <row r="123" ht="15" customHeight="1" s="91">
      <c r="A123" s="149" t="inlineStr">
        <is>
          <t>Payback Period (years)</t>
        </is>
      </c>
      <c r="C123" s="138">
        <f>IFERROR(MATCH(TRUE(),D114:BA114&gt;0,0),"-")</f>
        <v/>
      </c>
    </row>
    <row r="170" outlineLevel="1" ht="15" customHeight="1" s="91">
      <c r="A170" s="143" t="inlineStr">
        <is>
          <t>IMPORT  البيانات المستوردة (يمكن طيها ▼)</t>
        </is>
      </c>
    </row>
    <row r="171" outlineLevel="1" ht="15" customHeight="1" s="91">
      <c r="A171" s="144" t="inlineStr">
        <is>
          <t>Inputs:</t>
        </is>
      </c>
      <c r="B171" s="145" t="inlineStr">
        <is>
          <t>StartYear</t>
        </is>
      </c>
      <c r="C171" s="146">
        <f>Inputs!C7</f>
        <v/>
      </c>
      <c r="D171" s="145" t="inlineStr">
        <is>
          <t>LandType</t>
        </is>
      </c>
      <c r="E171" s="146">
        <f>Inputs!C88</f>
        <v/>
      </c>
      <c r="F171" s="145" t="inlineStr">
        <is>
          <t>LandPrice</t>
        </is>
      </c>
      <c r="G171" s="146">
        <f>Inputs!C93</f>
        <v/>
      </c>
    </row>
    <row r="172" outlineLevel="1" ht="15" customHeight="1" s="91">
      <c r="B172" s="145" t="inlineStr">
        <is>
          <t>PhaseAlloc</t>
        </is>
      </c>
      <c r="C172" s="147">
        <f>Inputs!E45</f>
        <v/>
      </c>
      <c r="D172" s="147">
        <f>Inputs!E46</f>
        <v/>
      </c>
      <c r="E172" s="147">
        <f>Inputs!E47</f>
        <v/>
      </c>
    </row>
    <row r="173" outlineLevel="1" ht="15" customHeight="1" s="91"/>
    <row r="174" outlineLevel="1" ht="15" customHeight="1" s="91">
      <c r="A174" s="144" t="inlineStr">
        <is>
          <t>Revenue:</t>
        </is>
      </c>
    </row>
    <row r="175" outlineLevel="1" ht="15" customHeight="1" s="91">
      <c r="B175" s="145" t="inlineStr">
        <is>
          <t>ZAN 1</t>
        </is>
      </c>
      <c r="C175" s="138">
        <f>SUM(D175:BA175)</f>
        <v/>
      </c>
      <c r="D175" s="146">
        <f>Revenue!E36</f>
        <v/>
      </c>
      <c r="E175" s="146">
        <f>Revenue!F36</f>
        <v/>
      </c>
      <c r="F175" s="146">
        <f>Revenue!G36</f>
        <v/>
      </c>
      <c r="G175" s="146">
        <f>Revenue!H36</f>
        <v/>
      </c>
      <c r="H175" s="146">
        <f>Revenue!I36</f>
        <v/>
      </c>
      <c r="I175" s="146">
        <f>Revenue!J36</f>
        <v/>
      </c>
      <c r="J175" s="146">
        <f>Revenue!K36</f>
        <v/>
      </c>
      <c r="K175" s="146">
        <f>Revenue!L36</f>
        <v/>
      </c>
      <c r="L175" s="146">
        <f>Revenue!M36</f>
        <v/>
      </c>
      <c r="M175" s="146">
        <f>Revenue!N36</f>
        <v/>
      </c>
      <c r="N175" s="146">
        <f>Revenue!O36</f>
        <v/>
      </c>
      <c r="O175" s="146">
        <f>Revenue!P36</f>
        <v/>
      </c>
      <c r="P175" s="146">
        <f>Revenue!Q36</f>
        <v/>
      </c>
      <c r="Q175" s="146">
        <f>Revenue!R36</f>
        <v/>
      </c>
      <c r="R175" s="146">
        <f>Revenue!S36</f>
        <v/>
      </c>
      <c r="S175" s="146">
        <f>Revenue!T36</f>
        <v/>
      </c>
      <c r="T175" s="146">
        <f>Revenue!U36</f>
        <v/>
      </c>
      <c r="U175" s="146">
        <f>Revenue!V36</f>
        <v/>
      </c>
      <c r="V175" s="146">
        <f>Revenue!W36</f>
        <v/>
      </c>
      <c r="W175" s="146">
        <f>Revenue!X36</f>
        <v/>
      </c>
      <c r="X175" s="146">
        <f>Revenue!Y36</f>
        <v/>
      </c>
      <c r="Y175" s="146">
        <f>Revenue!Z36</f>
        <v/>
      </c>
      <c r="Z175" s="146">
        <f>Revenue!AA36</f>
        <v/>
      </c>
      <c r="AA175" s="146">
        <f>Revenue!AB36</f>
        <v/>
      </c>
      <c r="AB175" s="146">
        <f>Revenue!AC36</f>
        <v/>
      </c>
      <c r="AC175" s="146">
        <f>Revenue!AD36</f>
        <v/>
      </c>
      <c r="AD175" s="146">
        <f>Revenue!AE36</f>
        <v/>
      </c>
      <c r="AE175" s="146">
        <f>Revenue!AF36</f>
        <v/>
      </c>
      <c r="AF175" s="146">
        <f>Revenue!AG36</f>
        <v/>
      </c>
      <c r="AG175" s="146">
        <f>Revenue!AH36</f>
        <v/>
      </c>
      <c r="AH175" s="146">
        <f>Revenue!AI36</f>
        <v/>
      </c>
      <c r="AI175" s="146">
        <f>Revenue!AJ36</f>
        <v/>
      </c>
      <c r="AJ175" s="146">
        <f>Revenue!AK36</f>
        <v/>
      </c>
      <c r="AK175" s="146">
        <f>Revenue!AL36</f>
        <v/>
      </c>
      <c r="AL175" s="146">
        <f>Revenue!AM36</f>
        <v/>
      </c>
      <c r="AM175" s="146">
        <f>Revenue!AN36</f>
        <v/>
      </c>
      <c r="AN175" s="146">
        <f>Revenue!AO36</f>
        <v/>
      </c>
      <c r="AO175" s="146">
        <f>Revenue!AP36</f>
        <v/>
      </c>
      <c r="AP175" s="146">
        <f>Revenue!AQ36</f>
        <v/>
      </c>
      <c r="AQ175" s="146">
        <f>Revenue!AR36</f>
        <v/>
      </c>
      <c r="AR175" s="146">
        <f>Revenue!AS36</f>
        <v/>
      </c>
      <c r="AS175" s="146">
        <f>Revenue!AT36</f>
        <v/>
      </c>
      <c r="AT175" s="146">
        <f>Revenue!AU36</f>
        <v/>
      </c>
      <c r="AU175" s="146">
        <f>Revenue!AV36</f>
        <v/>
      </c>
      <c r="AV175" s="146">
        <f>Revenue!AW36</f>
        <v/>
      </c>
      <c r="AW175" s="146">
        <f>Revenue!AX36</f>
        <v/>
      </c>
      <c r="AX175" s="146">
        <f>Revenue!AY36</f>
        <v/>
      </c>
      <c r="AY175" s="146">
        <f>Revenue!AZ36</f>
        <v/>
      </c>
      <c r="AZ175" s="146">
        <f>Revenue!BA36</f>
        <v/>
      </c>
      <c r="BA175" s="146">
        <f>Revenue!BB36</f>
        <v/>
      </c>
    </row>
    <row r="176" outlineLevel="1" ht="15" customHeight="1" s="91">
      <c r="B176" s="145" t="inlineStr">
        <is>
          <t>ZAN 2</t>
        </is>
      </c>
      <c r="C176" s="138">
        <f>SUM(D176:BA176)</f>
        <v/>
      </c>
      <c r="D176" s="146">
        <f>Revenue!E37</f>
        <v/>
      </c>
      <c r="E176" s="146">
        <f>Revenue!F37</f>
        <v/>
      </c>
      <c r="F176" s="146">
        <f>Revenue!G37</f>
        <v/>
      </c>
      <c r="G176" s="146">
        <f>Revenue!H37</f>
        <v/>
      </c>
      <c r="H176" s="146">
        <f>Revenue!I37</f>
        <v/>
      </c>
      <c r="I176" s="146">
        <f>Revenue!J37</f>
        <v/>
      </c>
      <c r="J176" s="146">
        <f>Revenue!K37</f>
        <v/>
      </c>
      <c r="K176" s="146">
        <f>Revenue!L37</f>
        <v/>
      </c>
      <c r="L176" s="146">
        <f>Revenue!M37</f>
        <v/>
      </c>
      <c r="M176" s="146">
        <f>Revenue!N37</f>
        <v/>
      </c>
      <c r="N176" s="146">
        <f>Revenue!O37</f>
        <v/>
      </c>
      <c r="O176" s="146">
        <f>Revenue!P37</f>
        <v/>
      </c>
      <c r="P176" s="146">
        <f>Revenue!Q37</f>
        <v/>
      </c>
      <c r="Q176" s="146">
        <f>Revenue!R37</f>
        <v/>
      </c>
      <c r="R176" s="146">
        <f>Revenue!S37</f>
        <v/>
      </c>
      <c r="S176" s="146">
        <f>Revenue!T37</f>
        <v/>
      </c>
      <c r="T176" s="146">
        <f>Revenue!U37</f>
        <v/>
      </c>
      <c r="U176" s="146">
        <f>Revenue!V37</f>
        <v/>
      </c>
      <c r="V176" s="146">
        <f>Revenue!W37</f>
        <v/>
      </c>
      <c r="W176" s="146">
        <f>Revenue!X37</f>
        <v/>
      </c>
      <c r="X176" s="146">
        <f>Revenue!Y37</f>
        <v/>
      </c>
      <c r="Y176" s="146">
        <f>Revenue!Z37</f>
        <v/>
      </c>
      <c r="Z176" s="146">
        <f>Revenue!AA37</f>
        <v/>
      </c>
      <c r="AA176" s="146">
        <f>Revenue!AB37</f>
        <v/>
      </c>
      <c r="AB176" s="146">
        <f>Revenue!AC37</f>
        <v/>
      </c>
      <c r="AC176" s="146">
        <f>Revenue!AD37</f>
        <v/>
      </c>
      <c r="AD176" s="146">
        <f>Revenue!AE37</f>
        <v/>
      </c>
      <c r="AE176" s="146">
        <f>Revenue!AF37</f>
        <v/>
      </c>
      <c r="AF176" s="146">
        <f>Revenue!AG37</f>
        <v/>
      </c>
      <c r="AG176" s="146">
        <f>Revenue!AH37</f>
        <v/>
      </c>
      <c r="AH176" s="146">
        <f>Revenue!AI37</f>
        <v/>
      </c>
      <c r="AI176" s="146">
        <f>Revenue!AJ37</f>
        <v/>
      </c>
      <c r="AJ176" s="146">
        <f>Revenue!AK37</f>
        <v/>
      </c>
      <c r="AK176" s="146">
        <f>Revenue!AL37</f>
        <v/>
      </c>
      <c r="AL176" s="146">
        <f>Revenue!AM37</f>
        <v/>
      </c>
      <c r="AM176" s="146">
        <f>Revenue!AN37</f>
        <v/>
      </c>
      <c r="AN176" s="146">
        <f>Revenue!AO37</f>
        <v/>
      </c>
      <c r="AO176" s="146">
        <f>Revenue!AP37</f>
        <v/>
      </c>
      <c r="AP176" s="146">
        <f>Revenue!AQ37</f>
        <v/>
      </c>
      <c r="AQ176" s="146">
        <f>Revenue!AR37</f>
        <v/>
      </c>
      <c r="AR176" s="146">
        <f>Revenue!AS37</f>
        <v/>
      </c>
      <c r="AS176" s="146">
        <f>Revenue!AT37</f>
        <v/>
      </c>
      <c r="AT176" s="146">
        <f>Revenue!AU37</f>
        <v/>
      </c>
      <c r="AU176" s="146">
        <f>Revenue!AV37</f>
        <v/>
      </c>
      <c r="AV176" s="146">
        <f>Revenue!AW37</f>
        <v/>
      </c>
      <c r="AW176" s="146">
        <f>Revenue!AX37</f>
        <v/>
      </c>
      <c r="AX176" s="146">
        <f>Revenue!AY37</f>
        <v/>
      </c>
      <c r="AY176" s="146">
        <f>Revenue!AZ37</f>
        <v/>
      </c>
      <c r="AZ176" s="146">
        <f>Revenue!BA37</f>
        <v/>
      </c>
      <c r="BA176" s="146">
        <f>Revenue!BB37</f>
        <v/>
      </c>
    </row>
    <row r="177" outlineLevel="1" ht="15" customHeight="1" s="91">
      <c r="B177" s="145" t="inlineStr">
        <is>
          <t>ZAN 3</t>
        </is>
      </c>
      <c r="C177" s="138">
        <f>SUM(D177:BA177)</f>
        <v/>
      </c>
      <c r="D177" s="146">
        <f>Revenue!E38</f>
        <v/>
      </c>
      <c r="E177" s="146">
        <f>Revenue!F38</f>
        <v/>
      </c>
      <c r="F177" s="146">
        <f>Revenue!G38</f>
        <v/>
      </c>
      <c r="G177" s="146">
        <f>Revenue!H38</f>
        <v/>
      </c>
      <c r="H177" s="146">
        <f>Revenue!I38</f>
        <v/>
      </c>
      <c r="I177" s="146">
        <f>Revenue!J38</f>
        <v/>
      </c>
      <c r="J177" s="146">
        <f>Revenue!K38</f>
        <v/>
      </c>
      <c r="K177" s="146">
        <f>Revenue!L38</f>
        <v/>
      </c>
      <c r="L177" s="146">
        <f>Revenue!M38</f>
        <v/>
      </c>
      <c r="M177" s="146">
        <f>Revenue!N38</f>
        <v/>
      </c>
      <c r="N177" s="146">
        <f>Revenue!O38</f>
        <v/>
      </c>
      <c r="O177" s="146">
        <f>Revenue!P38</f>
        <v/>
      </c>
      <c r="P177" s="146">
        <f>Revenue!Q38</f>
        <v/>
      </c>
      <c r="Q177" s="146">
        <f>Revenue!R38</f>
        <v/>
      </c>
      <c r="R177" s="146">
        <f>Revenue!S38</f>
        <v/>
      </c>
      <c r="S177" s="146">
        <f>Revenue!T38</f>
        <v/>
      </c>
      <c r="T177" s="146">
        <f>Revenue!U38</f>
        <v/>
      </c>
      <c r="U177" s="146">
        <f>Revenue!V38</f>
        <v/>
      </c>
      <c r="V177" s="146">
        <f>Revenue!W38</f>
        <v/>
      </c>
      <c r="W177" s="146">
        <f>Revenue!X38</f>
        <v/>
      </c>
      <c r="X177" s="146">
        <f>Revenue!Y38</f>
        <v/>
      </c>
      <c r="Y177" s="146">
        <f>Revenue!Z38</f>
        <v/>
      </c>
      <c r="Z177" s="146">
        <f>Revenue!AA38</f>
        <v/>
      </c>
      <c r="AA177" s="146">
        <f>Revenue!AB38</f>
        <v/>
      </c>
      <c r="AB177" s="146">
        <f>Revenue!AC38</f>
        <v/>
      </c>
      <c r="AC177" s="146">
        <f>Revenue!AD38</f>
        <v/>
      </c>
      <c r="AD177" s="146">
        <f>Revenue!AE38</f>
        <v/>
      </c>
      <c r="AE177" s="146">
        <f>Revenue!AF38</f>
        <v/>
      </c>
      <c r="AF177" s="146">
        <f>Revenue!AG38</f>
        <v/>
      </c>
      <c r="AG177" s="146">
        <f>Revenue!AH38</f>
        <v/>
      </c>
      <c r="AH177" s="146">
        <f>Revenue!AI38</f>
        <v/>
      </c>
      <c r="AI177" s="146">
        <f>Revenue!AJ38</f>
        <v/>
      </c>
      <c r="AJ177" s="146">
        <f>Revenue!AK38</f>
        <v/>
      </c>
      <c r="AK177" s="146">
        <f>Revenue!AL38</f>
        <v/>
      </c>
      <c r="AL177" s="146">
        <f>Revenue!AM38</f>
        <v/>
      </c>
      <c r="AM177" s="146">
        <f>Revenue!AN38</f>
        <v/>
      </c>
      <c r="AN177" s="146">
        <f>Revenue!AO38</f>
        <v/>
      </c>
      <c r="AO177" s="146">
        <f>Revenue!AP38</f>
        <v/>
      </c>
      <c r="AP177" s="146">
        <f>Revenue!AQ38</f>
        <v/>
      </c>
      <c r="AQ177" s="146">
        <f>Revenue!AR38</f>
        <v/>
      </c>
      <c r="AR177" s="146">
        <f>Revenue!AS38</f>
        <v/>
      </c>
      <c r="AS177" s="146">
        <f>Revenue!AT38</f>
        <v/>
      </c>
      <c r="AT177" s="146">
        <f>Revenue!AU38</f>
        <v/>
      </c>
      <c r="AU177" s="146">
        <f>Revenue!AV38</f>
        <v/>
      </c>
      <c r="AV177" s="146">
        <f>Revenue!AW38</f>
        <v/>
      </c>
      <c r="AW177" s="146">
        <f>Revenue!AX38</f>
        <v/>
      </c>
      <c r="AX177" s="146">
        <f>Revenue!AY38</f>
        <v/>
      </c>
      <c r="AY177" s="146">
        <f>Revenue!AZ38</f>
        <v/>
      </c>
      <c r="AZ177" s="146">
        <f>Revenue!BA38</f>
        <v/>
      </c>
      <c r="BA177" s="146">
        <f>Revenue!BB38</f>
        <v/>
      </c>
    </row>
    <row r="178" outlineLevel="1" ht="15" customHeight="1" s="91">
      <c r="B178" s="145" t="inlineStr">
        <is>
          <t>ZAN 4</t>
        </is>
      </c>
      <c r="C178" s="138">
        <f>SUM(D178:BA178)</f>
        <v/>
      </c>
      <c r="D178" s="146">
        <f>Revenue!E39</f>
        <v/>
      </c>
      <c r="E178" s="146">
        <f>Revenue!F39</f>
        <v/>
      </c>
      <c r="F178" s="146">
        <f>Revenue!G39</f>
        <v/>
      </c>
      <c r="G178" s="146">
        <f>Revenue!H39</f>
        <v/>
      </c>
      <c r="H178" s="146">
        <f>Revenue!I39</f>
        <v/>
      </c>
      <c r="I178" s="146">
        <f>Revenue!J39</f>
        <v/>
      </c>
      <c r="J178" s="146">
        <f>Revenue!K39</f>
        <v/>
      </c>
      <c r="K178" s="146">
        <f>Revenue!L39</f>
        <v/>
      </c>
      <c r="L178" s="146">
        <f>Revenue!M39</f>
        <v/>
      </c>
      <c r="M178" s="146">
        <f>Revenue!N39</f>
        <v/>
      </c>
      <c r="N178" s="146">
        <f>Revenue!O39</f>
        <v/>
      </c>
      <c r="O178" s="146">
        <f>Revenue!P39</f>
        <v/>
      </c>
      <c r="P178" s="146">
        <f>Revenue!Q39</f>
        <v/>
      </c>
      <c r="Q178" s="146">
        <f>Revenue!R39</f>
        <v/>
      </c>
      <c r="R178" s="146">
        <f>Revenue!S39</f>
        <v/>
      </c>
      <c r="S178" s="146">
        <f>Revenue!T39</f>
        <v/>
      </c>
      <c r="T178" s="146">
        <f>Revenue!U39</f>
        <v/>
      </c>
      <c r="U178" s="146">
        <f>Revenue!V39</f>
        <v/>
      </c>
      <c r="V178" s="146">
        <f>Revenue!W39</f>
        <v/>
      </c>
      <c r="W178" s="146">
        <f>Revenue!X39</f>
        <v/>
      </c>
      <c r="X178" s="146">
        <f>Revenue!Y39</f>
        <v/>
      </c>
      <c r="Y178" s="146">
        <f>Revenue!Z39</f>
        <v/>
      </c>
      <c r="Z178" s="146">
        <f>Revenue!AA39</f>
        <v/>
      </c>
      <c r="AA178" s="146">
        <f>Revenue!AB39</f>
        <v/>
      </c>
      <c r="AB178" s="146">
        <f>Revenue!AC39</f>
        <v/>
      </c>
      <c r="AC178" s="146">
        <f>Revenue!AD39</f>
        <v/>
      </c>
      <c r="AD178" s="146">
        <f>Revenue!AE39</f>
        <v/>
      </c>
      <c r="AE178" s="146">
        <f>Revenue!AF39</f>
        <v/>
      </c>
      <c r="AF178" s="146">
        <f>Revenue!AG39</f>
        <v/>
      </c>
      <c r="AG178" s="146">
        <f>Revenue!AH39</f>
        <v/>
      </c>
      <c r="AH178" s="146">
        <f>Revenue!AI39</f>
        <v/>
      </c>
      <c r="AI178" s="146">
        <f>Revenue!AJ39</f>
        <v/>
      </c>
      <c r="AJ178" s="146">
        <f>Revenue!AK39</f>
        <v/>
      </c>
      <c r="AK178" s="146">
        <f>Revenue!AL39</f>
        <v/>
      </c>
      <c r="AL178" s="146">
        <f>Revenue!AM39</f>
        <v/>
      </c>
      <c r="AM178" s="146">
        <f>Revenue!AN39</f>
        <v/>
      </c>
      <c r="AN178" s="146">
        <f>Revenue!AO39</f>
        <v/>
      </c>
      <c r="AO178" s="146">
        <f>Revenue!AP39</f>
        <v/>
      </c>
      <c r="AP178" s="146">
        <f>Revenue!AQ39</f>
        <v/>
      </c>
      <c r="AQ178" s="146">
        <f>Revenue!AR39</f>
        <v/>
      </c>
      <c r="AR178" s="146">
        <f>Revenue!AS39</f>
        <v/>
      </c>
      <c r="AS178" s="146">
        <f>Revenue!AT39</f>
        <v/>
      </c>
      <c r="AT178" s="146">
        <f>Revenue!AU39</f>
        <v/>
      </c>
      <c r="AU178" s="146">
        <f>Revenue!AV39</f>
        <v/>
      </c>
      <c r="AV178" s="146">
        <f>Revenue!AW39</f>
        <v/>
      </c>
      <c r="AW178" s="146">
        <f>Revenue!AX39</f>
        <v/>
      </c>
      <c r="AX178" s="146">
        <f>Revenue!AY39</f>
        <v/>
      </c>
      <c r="AY178" s="146">
        <f>Revenue!AZ39</f>
        <v/>
      </c>
      <c r="AZ178" s="146">
        <f>Revenue!BA39</f>
        <v/>
      </c>
      <c r="BA178" s="146">
        <f>Revenue!BB39</f>
        <v/>
      </c>
    </row>
    <row r="179" outlineLevel="1" ht="15" customHeight="1" s="91">
      <c r="B179" s="145" t="inlineStr">
        <is>
          <t>ZAN 5</t>
        </is>
      </c>
      <c r="C179" s="138">
        <f>SUM(D179:BA179)</f>
        <v/>
      </c>
      <c r="D179" s="146">
        <f>Revenue!E40</f>
        <v/>
      </c>
      <c r="E179" s="146">
        <f>Revenue!F40</f>
        <v/>
      </c>
      <c r="F179" s="146">
        <f>Revenue!G40</f>
        <v/>
      </c>
      <c r="G179" s="146">
        <f>Revenue!H40</f>
        <v/>
      </c>
      <c r="H179" s="146">
        <f>Revenue!I40</f>
        <v/>
      </c>
      <c r="I179" s="146">
        <f>Revenue!J40</f>
        <v/>
      </c>
      <c r="J179" s="146">
        <f>Revenue!K40</f>
        <v/>
      </c>
      <c r="K179" s="146">
        <f>Revenue!L40</f>
        <v/>
      </c>
      <c r="L179" s="146">
        <f>Revenue!M40</f>
        <v/>
      </c>
      <c r="M179" s="146">
        <f>Revenue!N40</f>
        <v/>
      </c>
      <c r="N179" s="146">
        <f>Revenue!O40</f>
        <v/>
      </c>
      <c r="O179" s="146">
        <f>Revenue!P40</f>
        <v/>
      </c>
      <c r="P179" s="146">
        <f>Revenue!Q40</f>
        <v/>
      </c>
      <c r="Q179" s="146">
        <f>Revenue!R40</f>
        <v/>
      </c>
      <c r="R179" s="146">
        <f>Revenue!S40</f>
        <v/>
      </c>
      <c r="S179" s="146">
        <f>Revenue!T40</f>
        <v/>
      </c>
      <c r="T179" s="146">
        <f>Revenue!U40</f>
        <v/>
      </c>
      <c r="U179" s="146">
        <f>Revenue!V40</f>
        <v/>
      </c>
      <c r="V179" s="146">
        <f>Revenue!W40</f>
        <v/>
      </c>
      <c r="W179" s="146">
        <f>Revenue!X40</f>
        <v/>
      </c>
      <c r="X179" s="146">
        <f>Revenue!Y40</f>
        <v/>
      </c>
      <c r="Y179" s="146">
        <f>Revenue!Z40</f>
        <v/>
      </c>
      <c r="Z179" s="146">
        <f>Revenue!AA40</f>
        <v/>
      </c>
      <c r="AA179" s="146">
        <f>Revenue!AB40</f>
        <v/>
      </c>
      <c r="AB179" s="146">
        <f>Revenue!AC40</f>
        <v/>
      </c>
      <c r="AC179" s="146">
        <f>Revenue!AD40</f>
        <v/>
      </c>
      <c r="AD179" s="146">
        <f>Revenue!AE40</f>
        <v/>
      </c>
      <c r="AE179" s="146">
        <f>Revenue!AF40</f>
        <v/>
      </c>
      <c r="AF179" s="146">
        <f>Revenue!AG40</f>
        <v/>
      </c>
      <c r="AG179" s="146">
        <f>Revenue!AH40</f>
        <v/>
      </c>
      <c r="AH179" s="146">
        <f>Revenue!AI40</f>
        <v/>
      </c>
      <c r="AI179" s="146">
        <f>Revenue!AJ40</f>
        <v/>
      </c>
      <c r="AJ179" s="146">
        <f>Revenue!AK40</f>
        <v/>
      </c>
      <c r="AK179" s="146">
        <f>Revenue!AL40</f>
        <v/>
      </c>
      <c r="AL179" s="146">
        <f>Revenue!AM40</f>
        <v/>
      </c>
      <c r="AM179" s="146">
        <f>Revenue!AN40</f>
        <v/>
      </c>
      <c r="AN179" s="146">
        <f>Revenue!AO40</f>
        <v/>
      </c>
      <c r="AO179" s="146">
        <f>Revenue!AP40</f>
        <v/>
      </c>
      <c r="AP179" s="146">
        <f>Revenue!AQ40</f>
        <v/>
      </c>
      <c r="AQ179" s="146">
        <f>Revenue!AR40</f>
        <v/>
      </c>
      <c r="AR179" s="146">
        <f>Revenue!AS40</f>
        <v/>
      </c>
      <c r="AS179" s="146">
        <f>Revenue!AT40</f>
        <v/>
      </c>
      <c r="AT179" s="146">
        <f>Revenue!AU40</f>
        <v/>
      </c>
      <c r="AU179" s="146">
        <f>Revenue!AV40</f>
        <v/>
      </c>
      <c r="AV179" s="146">
        <f>Revenue!AW40</f>
        <v/>
      </c>
      <c r="AW179" s="146">
        <f>Revenue!AX40</f>
        <v/>
      </c>
      <c r="AX179" s="146">
        <f>Revenue!AY40</f>
        <v/>
      </c>
      <c r="AY179" s="146">
        <f>Revenue!AZ40</f>
        <v/>
      </c>
      <c r="AZ179" s="146">
        <f>Revenue!BA40</f>
        <v/>
      </c>
      <c r="BA179" s="146">
        <f>Revenue!BB40</f>
        <v/>
      </c>
    </row>
    <row r="180" outlineLevel="1" ht="15" customHeight="1" s="91">
      <c r="B180" s="145" t="inlineStr">
        <is>
          <t>ZAN 6</t>
        </is>
      </c>
      <c r="C180" s="138">
        <f>SUM(D180:BA180)</f>
        <v/>
      </c>
      <c r="D180" s="146">
        <f>Revenue!E41</f>
        <v/>
      </c>
      <c r="E180" s="146">
        <f>Revenue!F41</f>
        <v/>
      </c>
      <c r="F180" s="146">
        <f>Revenue!G41</f>
        <v/>
      </c>
      <c r="G180" s="146">
        <f>Revenue!H41</f>
        <v/>
      </c>
      <c r="H180" s="146">
        <f>Revenue!I41</f>
        <v/>
      </c>
      <c r="I180" s="146">
        <f>Revenue!J41</f>
        <v/>
      </c>
      <c r="J180" s="146">
        <f>Revenue!K41</f>
        <v/>
      </c>
      <c r="K180" s="146">
        <f>Revenue!L41</f>
        <v/>
      </c>
      <c r="L180" s="146">
        <f>Revenue!M41</f>
        <v/>
      </c>
      <c r="M180" s="146">
        <f>Revenue!N41</f>
        <v/>
      </c>
      <c r="N180" s="146">
        <f>Revenue!O41</f>
        <v/>
      </c>
      <c r="O180" s="146">
        <f>Revenue!P41</f>
        <v/>
      </c>
      <c r="P180" s="146">
        <f>Revenue!Q41</f>
        <v/>
      </c>
      <c r="Q180" s="146">
        <f>Revenue!R41</f>
        <v/>
      </c>
      <c r="R180" s="146">
        <f>Revenue!S41</f>
        <v/>
      </c>
      <c r="S180" s="146">
        <f>Revenue!T41</f>
        <v/>
      </c>
      <c r="T180" s="146">
        <f>Revenue!U41</f>
        <v/>
      </c>
      <c r="U180" s="146">
        <f>Revenue!V41</f>
        <v/>
      </c>
      <c r="V180" s="146">
        <f>Revenue!W41</f>
        <v/>
      </c>
      <c r="W180" s="146">
        <f>Revenue!X41</f>
        <v/>
      </c>
      <c r="X180" s="146">
        <f>Revenue!Y41</f>
        <v/>
      </c>
      <c r="Y180" s="146">
        <f>Revenue!Z41</f>
        <v/>
      </c>
      <c r="Z180" s="146">
        <f>Revenue!AA41</f>
        <v/>
      </c>
      <c r="AA180" s="146">
        <f>Revenue!AB41</f>
        <v/>
      </c>
      <c r="AB180" s="146">
        <f>Revenue!AC41</f>
        <v/>
      </c>
      <c r="AC180" s="146">
        <f>Revenue!AD41</f>
        <v/>
      </c>
      <c r="AD180" s="146">
        <f>Revenue!AE41</f>
        <v/>
      </c>
      <c r="AE180" s="146">
        <f>Revenue!AF41</f>
        <v/>
      </c>
      <c r="AF180" s="146">
        <f>Revenue!AG41</f>
        <v/>
      </c>
      <c r="AG180" s="146">
        <f>Revenue!AH41</f>
        <v/>
      </c>
      <c r="AH180" s="146">
        <f>Revenue!AI41</f>
        <v/>
      </c>
      <c r="AI180" s="146">
        <f>Revenue!AJ41</f>
        <v/>
      </c>
      <c r="AJ180" s="146">
        <f>Revenue!AK41</f>
        <v/>
      </c>
      <c r="AK180" s="146">
        <f>Revenue!AL41</f>
        <v/>
      </c>
      <c r="AL180" s="146">
        <f>Revenue!AM41</f>
        <v/>
      </c>
      <c r="AM180" s="146">
        <f>Revenue!AN41</f>
        <v/>
      </c>
      <c r="AN180" s="146">
        <f>Revenue!AO41</f>
        <v/>
      </c>
      <c r="AO180" s="146">
        <f>Revenue!AP41</f>
        <v/>
      </c>
      <c r="AP180" s="146">
        <f>Revenue!AQ41</f>
        <v/>
      </c>
      <c r="AQ180" s="146">
        <f>Revenue!AR41</f>
        <v/>
      </c>
      <c r="AR180" s="146">
        <f>Revenue!AS41</f>
        <v/>
      </c>
      <c r="AS180" s="146">
        <f>Revenue!AT41</f>
        <v/>
      </c>
      <c r="AT180" s="146">
        <f>Revenue!AU41</f>
        <v/>
      </c>
      <c r="AU180" s="146">
        <f>Revenue!AV41</f>
        <v/>
      </c>
      <c r="AV180" s="146">
        <f>Revenue!AW41</f>
        <v/>
      </c>
      <c r="AW180" s="146">
        <f>Revenue!AX41</f>
        <v/>
      </c>
      <c r="AX180" s="146">
        <f>Revenue!AY41</f>
        <v/>
      </c>
      <c r="AY180" s="146">
        <f>Revenue!AZ41</f>
        <v/>
      </c>
      <c r="AZ180" s="146">
        <f>Revenue!BA41</f>
        <v/>
      </c>
      <c r="BA180" s="146">
        <f>Revenue!BB41</f>
        <v/>
      </c>
    </row>
    <row r="181" outlineLevel="1" ht="15" customHeight="1" s="91">
      <c r="B181" s="145" t="inlineStr">
        <is>
          <t>ZAN 7</t>
        </is>
      </c>
      <c r="C181" s="138">
        <f>SUM(D181:BA181)</f>
        <v/>
      </c>
      <c r="D181" s="146">
        <f>Revenue!E42</f>
        <v/>
      </c>
      <c r="E181" s="146">
        <f>Revenue!F42</f>
        <v/>
      </c>
      <c r="F181" s="146">
        <f>Revenue!G42</f>
        <v/>
      </c>
      <c r="G181" s="146">
        <f>Revenue!H42</f>
        <v/>
      </c>
      <c r="H181" s="146">
        <f>Revenue!I42</f>
        <v/>
      </c>
      <c r="I181" s="146">
        <f>Revenue!J42</f>
        <v/>
      </c>
      <c r="J181" s="146">
        <f>Revenue!K42</f>
        <v/>
      </c>
      <c r="K181" s="146">
        <f>Revenue!L42</f>
        <v/>
      </c>
      <c r="L181" s="146">
        <f>Revenue!M42</f>
        <v/>
      </c>
      <c r="M181" s="146">
        <f>Revenue!N42</f>
        <v/>
      </c>
      <c r="N181" s="146">
        <f>Revenue!O42</f>
        <v/>
      </c>
      <c r="O181" s="146">
        <f>Revenue!P42</f>
        <v/>
      </c>
      <c r="P181" s="146">
        <f>Revenue!Q42</f>
        <v/>
      </c>
      <c r="Q181" s="146">
        <f>Revenue!R42</f>
        <v/>
      </c>
      <c r="R181" s="146">
        <f>Revenue!S42</f>
        <v/>
      </c>
      <c r="S181" s="146">
        <f>Revenue!T42</f>
        <v/>
      </c>
      <c r="T181" s="146">
        <f>Revenue!U42</f>
        <v/>
      </c>
      <c r="U181" s="146">
        <f>Revenue!V42</f>
        <v/>
      </c>
      <c r="V181" s="146">
        <f>Revenue!W42</f>
        <v/>
      </c>
      <c r="W181" s="146">
        <f>Revenue!X42</f>
        <v/>
      </c>
      <c r="X181" s="146">
        <f>Revenue!Y42</f>
        <v/>
      </c>
      <c r="Y181" s="146">
        <f>Revenue!Z42</f>
        <v/>
      </c>
      <c r="Z181" s="146">
        <f>Revenue!AA42</f>
        <v/>
      </c>
      <c r="AA181" s="146">
        <f>Revenue!AB42</f>
        <v/>
      </c>
      <c r="AB181" s="146">
        <f>Revenue!AC42</f>
        <v/>
      </c>
      <c r="AC181" s="146">
        <f>Revenue!AD42</f>
        <v/>
      </c>
      <c r="AD181" s="146">
        <f>Revenue!AE42</f>
        <v/>
      </c>
      <c r="AE181" s="146">
        <f>Revenue!AF42</f>
        <v/>
      </c>
      <c r="AF181" s="146">
        <f>Revenue!AG42</f>
        <v/>
      </c>
      <c r="AG181" s="146">
        <f>Revenue!AH42</f>
        <v/>
      </c>
      <c r="AH181" s="146">
        <f>Revenue!AI42</f>
        <v/>
      </c>
      <c r="AI181" s="146">
        <f>Revenue!AJ42</f>
        <v/>
      </c>
      <c r="AJ181" s="146">
        <f>Revenue!AK42</f>
        <v/>
      </c>
      <c r="AK181" s="146">
        <f>Revenue!AL42</f>
        <v/>
      </c>
      <c r="AL181" s="146">
        <f>Revenue!AM42</f>
        <v/>
      </c>
      <c r="AM181" s="146">
        <f>Revenue!AN42</f>
        <v/>
      </c>
      <c r="AN181" s="146">
        <f>Revenue!AO42</f>
        <v/>
      </c>
      <c r="AO181" s="146">
        <f>Revenue!AP42</f>
        <v/>
      </c>
      <c r="AP181" s="146">
        <f>Revenue!AQ42</f>
        <v/>
      </c>
      <c r="AQ181" s="146">
        <f>Revenue!AR42</f>
        <v/>
      </c>
      <c r="AR181" s="146">
        <f>Revenue!AS42</f>
        <v/>
      </c>
      <c r="AS181" s="146">
        <f>Revenue!AT42</f>
        <v/>
      </c>
      <c r="AT181" s="146">
        <f>Revenue!AU42</f>
        <v/>
      </c>
      <c r="AU181" s="146">
        <f>Revenue!AV42</f>
        <v/>
      </c>
      <c r="AV181" s="146">
        <f>Revenue!AW42</f>
        <v/>
      </c>
      <c r="AW181" s="146">
        <f>Revenue!AX42</f>
        <v/>
      </c>
      <c r="AX181" s="146">
        <f>Revenue!AY42</f>
        <v/>
      </c>
      <c r="AY181" s="146">
        <f>Revenue!AZ42</f>
        <v/>
      </c>
      <c r="AZ181" s="146">
        <f>Revenue!BA42</f>
        <v/>
      </c>
      <c r="BA181" s="146">
        <f>Revenue!BB42</f>
        <v/>
      </c>
    </row>
    <row r="182" outlineLevel="1" ht="15" customHeight="1" s="91">
      <c r="B182" s="145" t="inlineStr">
        <is>
          <t>ZAN 8</t>
        </is>
      </c>
      <c r="C182" s="138">
        <f>SUM(D182:BA182)</f>
        <v/>
      </c>
      <c r="D182" s="146">
        <f>Revenue!E43</f>
        <v/>
      </c>
      <c r="E182" s="146">
        <f>Revenue!F43</f>
        <v/>
      </c>
      <c r="F182" s="146">
        <f>Revenue!G43</f>
        <v/>
      </c>
      <c r="G182" s="146">
        <f>Revenue!H43</f>
        <v/>
      </c>
      <c r="H182" s="146">
        <f>Revenue!I43</f>
        <v/>
      </c>
      <c r="I182" s="146">
        <f>Revenue!J43</f>
        <v/>
      </c>
      <c r="J182" s="146">
        <f>Revenue!K43</f>
        <v/>
      </c>
      <c r="K182" s="146">
        <f>Revenue!L43</f>
        <v/>
      </c>
      <c r="L182" s="146">
        <f>Revenue!M43</f>
        <v/>
      </c>
      <c r="M182" s="146">
        <f>Revenue!N43</f>
        <v/>
      </c>
      <c r="N182" s="146">
        <f>Revenue!O43</f>
        <v/>
      </c>
      <c r="O182" s="146">
        <f>Revenue!P43</f>
        <v/>
      </c>
      <c r="P182" s="146">
        <f>Revenue!Q43</f>
        <v/>
      </c>
      <c r="Q182" s="146">
        <f>Revenue!R43</f>
        <v/>
      </c>
      <c r="R182" s="146">
        <f>Revenue!S43</f>
        <v/>
      </c>
      <c r="S182" s="146">
        <f>Revenue!T43</f>
        <v/>
      </c>
      <c r="T182" s="146">
        <f>Revenue!U43</f>
        <v/>
      </c>
      <c r="U182" s="146">
        <f>Revenue!V43</f>
        <v/>
      </c>
      <c r="V182" s="146">
        <f>Revenue!W43</f>
        <v/>
      </c>
      <c r="W182" s="146">
        <f>Revenue!X43</f>
        <v/>
      </c>
      <c r="X182" s="146">
        <f>Revenue!Y43</f>
        <v/>
      </c>
      <c r="Y182" s="146">
        <f>Revenue!Z43</f>
        <v/>
      </c>
      <c r="Z182" s="146">
        <f>Revenue!AA43</f>
        <v/>
      </c>
      <c r="AA182" s="146">
        <f>Revenue!AB43</f>
        <v/>
      </c>
      <c r="AB182" s="146">
        <f>Revenue!AC43</f>
        <v/>
      </c>
      <c r="AC182" s="146">
        <f>Revenue!AD43</f>
        <v/>
      </c>
      <c r="AD182" s="146">
        <f>Revenue!AE43</f>
        <v/>
      </c>
      <c r="AE182" s="146">
        <f>Revenue!AF43</f>
        <v/>
      </c>
      <c r="AF182" s="146">
        <f>Revenue!AG43</f>
        <v/>
      </c>
      <c r="AG182" s="146">
        <f>Revenue!AH43</f>
        <v/>
      </c>
      <c r="AH182" s="146">
        <f>Revenue!AI43</f>
        <v/>
      </c>
      <c r="AI182" s="146">
        <f>Revenue!AJ43</f>
        <v/>
      </c>
      <c r="AJ182" s="146">
        <f>Revenue!AK43</f>
        <v/>
      </c>
      <c r="AK182" s="146">
        <f>Revenue!AL43</f>
        <v/>
      </c>
      <c r="AL182" s="146">
        <f>Revenue!AM43</f>
        <v/>
      </c>
      <c r="AM182" s="146">
        <f>Revenue!AN43</f>
        <v/>
      </c>
      <c r="AN182" s="146">
        <f>Revenue!AO43</f>
        <v/>
      </c>
      <c r="AO182" s="146">
        <f>Revenue!AP43</f>
        <v/>
      </c>
      <c r="AP182" s="146">
        <f>Revenue!AQ43</f>
        <v/>
      </c>
      <c r="AQ182" s="146">
        <f>Revenue!AR43</f>
        <v/>
      </c>
      <c r="AR182" s="146">
        <f>Revenue!AS43</f>
        <v/>
      </c>
      <c r="AS182" s="146">
        <f>Revenue!AT43</f>
        <v/>
      </c>
      <c r="AT182" s="146">
        <f>Revenue!AU43</f>
        <v/>
      </c>
      <c r="AU182" s="146">
        <f>Revenue!AV43</f>
        <v/>
      </c>
      <c r="AV182" s="146">
        <f>Revenue!AW43</f>
        <v/>
      </c>
      <c r="AW182" s="146">
        <f>Revenue!AX43</f>
        <v/>
      </c>
      <c r="AX182" s="146">
        <f>Revenue!AY43</f>
        <v/>
      </c>
      <c r="AY182" s="146">
        <f>Revenue!AZ43</f>
        <v/>
      </c>
      <c r="AZ182" s="146">
        <f>Revenue!BA43</f>
        <v/>
      </c>
      <c r="BA182" s="146">
        <f>Revenue!BB43</f>
        <v/>
      </c>
    </row>
    <row r="183" outlineLevel="1" ht="15" customHeight="1" s="91">
      <c r="B183" s="145" t="inlineStr">
        <is>
          <t>ZAN 9</t>
        </is>
      </c>
      <c r="C183" s="138">
        <f>SUM(D183:BA183)</f>
        <v/>
      </c>
      <c r="D183" s="146">
        <f>Revenue!E44</f>
        <v/>
      </c>
      <c r="E183" s="146">
        <f>Revenue!F44</f>
        <v/>
      </c>
      <c r="F183" s="146">
        <f>Revenue!G44</f>
        <v/>
      </c>
      <c r="G183" s="146">
        <f>Revenue!H44</f>
        <v/>
      </c>
      <c r="H183" s="146">
        <f>Revenue!I44</f>
        <v/>
      </c>
      <c r="I183" s="146">
        <f>Revenue!J44</f>
        <v/>
      </c>
      <c r="J183" s="146">
        <f>Revenue!K44</f>
        <v/>
      </c>
      <c r="K183" s="146">
        <f>Revenue!L44</f>
        <v/>
      </c>
      <c r="L183" s="146">
        <f>Revenue!M44</f>
        <v/>
      </c>
      <c r="M183" s="146">
        <f>Revenue!N44</f>
        <v/>
      </c>
      <c r="N183" s="146">
        <f>Revenue!O44</f>
        <v/>
      </c>
      <c r="O183" s="146">
        <f>Revenue!P44</f>
        <v/>
      </c>
      <c r="P183" s="146">
        <f>Revenue!Q44</f>
        <v/>
      </c>
      <c r="Q183" s="146">
        <f>Revenue!R44</f>
        <v/>
      </c>
      <c r="R183" s="146">
        <f>Revenue!S44</f>
        <v/>
      </c>
      <c r="S183" s="146">
        <f>Revenue!T44</f>
        <v/>
      </c>
      <c r="T183" s="146">
        <f>Revenue!U44</f>
        <v/>
      </c>
      <c r="U183" s="146">
        <f>Revenue!V44</f>
        <v/>
      </c>
      <c r="V183" s="146">
        <f>Revenue!W44</f>
        <v/>
      </c>
      <c r="W183" s="146">
        <f>Revenue!X44</f>
        <v/>
      </c>
      <c r="X183" s="146">
        <f>Revenue!Y44</f>
        <v/>
      </c>
      <c r="Y183" s="146">
        <f>Revenue!Z44</f>
        <v/>
      </c>
      <c r="Z183" s="146">
        <f>Revenue!AA44</f>
        <v/>
      </c>
      <c r="AA183" s="146">
        <f>Revenue!AB44</f>
        <v/>
      </c>
      <c r="AB183" s="146">
        <f>Revenue!AC44</f>
        <v/>
      </c>
      <c r="AC183" s="146">
        <f>Revenue!AD44</f>
        <v/>
      </c>
      <c r="AD183" s="146">
        <f>Revenue!AE44</f>
        <v/>
      </c>
      <c r="AE183" s="146">
        <f>Revenue!AF44</f>
        <v/>
      </c>
      <c r="AF183" s="146">
        <f>Revenue!AG44</f>
        <v/>
      </c>
      <c r="AG183" s="146">
        <f>Revenue!AH44</f>
        <v/>
      </c>
      <c r="AH183" s="146">
        <f>Revenue!AI44</f>
        <v/>
      </c>
      <c r="AI183" s="146">
        <f>Revenue!AJ44</f>
        <v/>
      </c>
      <c r="AJ183" s="146">
        <f>Revenue!AK44</f>
        <v/>
      </c>
      <c r="AK183" s="146">
        <f>Revenue!AL44</f>
        <v/>
      </c>
      <c r="AL183" s="146">
        <f>Revenue!AM44</f>
        <v/>
      </c>
      <c r="AM183" s="146">
        <f>Revenue!AN44</f>
        <v/>
      </c>
      <c r="AN183" s="146">
        <f>Revenue!AO44</f>
        <v/>
      </c>
      <c r="AO183" s="146">
        <f>Revenue!AP44</f>
        <v/>
      </c>
      <c r="AP183" s="146">
        <f>Revenue!AQ44</f>
        <v/>
      </c>
      <c r="AQ183" s="146">
        <f>Revenue!AR44</f>
        <v/>
      </c>
      <c r="AR183" s="146">
        <f>Revenue!AS44</f>
        <v/>
      </c>
      <c r="AS183" s="146">
        <f>Revenue!AT44</f>
        <v/>
      </c>
      <c r="AT183" s="146">
        <f>Revenue!AU44</f>
        <v/>
      </c>
      <c r="AU183" s="146">
        <f>Revenue!AV44</f>
        <v/>
      </c>
      <c r="AV183" s="146">
        <f>Revenue!AW44</f>
        <v/>
      </c>
      <c r="AW183" s="146">
        <f>Revenue!AX44</f>
        <v/>
      </c>
      <c r="AX183" s="146">
        <f>Revenue!AY44</f>
        <v/>
      </c>
      <c r="AY183" s="146">
        <f>Revenue!AZ44</f>
        <v/>
      </c>
      <c r="AZ183" s="146">
        <f>Revenue!BA44</f>
        <v/>
      </c>
      <c r="BA183" s="146">
        <f>Revenue!BB44</f>
        <v/>
      </c>
    </row>
    <row r="184" outlineLevel="1" ht="15" customHeight="1" s="91">
      <c r="B184" s="145" t="inlineStr">
        <is>
          <t>ZAN 10</t>
        </is>
      </c>
      <c r="C184" s="138">
        <f>SUM(D184:BA184)</f>
        <v/>
      </c>
      <c r="D184" s="146">
        <f>Revenue!E45</f>
        <v/>
      </c>
      <c r="E184" s="146">
        <f>Revenue!F45</f>
        <v/>
      </c>
      <c r="F184" s="146">
        <f>Revenue!G45</f>
        <v/>
      </c>
      <c r="G184" s="146">
        <f>Revenue!H45</f>
        <v/>
      </c>
      <c r="H184" s="146">
        <f>Revenue!I45</f>
        <v/>
      </c>
      <c r="I184" s="146">
        <f>Revenue!J45</f>
        <v/>
      </c>
      <c r="J184" s="146">
        <f>Revenue!K45</f>
        <v/>
      </c>
      <c r="K184" s="146">
        <f>Revenue!L45</f>
        <v/>
      </c>
      <c r="L184" s="146">
        <f>Revenue!M45</f>
        <v/>
      </c>
      <c r="M184" s="146">
        <f>Revenue!N45</f>
        <v/>
      </c>
      <c r="N184" s="146">
        <f>Revenue!O45</f>
        <v/>
      </c>
      <c r="O184" s="146">
        <f>Revenue!P45</f>
        <v/>
      </c>
      <c r="P184" s="146">
        <f>Revenue!Q45</f>
        <v/>
      </c>
      <c r="Q184" s="146">
        <f>Revenue!R45</f>
        <v/>
      </c>
      <c r="R184" s="146">
        <f>Revenue!S45</f>
        <v/>
      </c>
      <c r="S184" s="146">
        <f>Revenue!T45</f>
        <v/>
      </c>
      <c r="T184" s="146">
        <f>Revenue!U45</f>
        <v/>
      </c>
      <c r="U184" s="146">
        <f>Revenue!V45</f>
        <v/>
      </c>
      <c r="V184" s="146">
        <f>Revenue!W45</f>
        <v/>
      </c>
      <c r="W184" s="146">
        <f>Revenue!X45</f>
        <v/>
      </c>
      <c r="X184" s="146">
        <f>Revenue!Y45</f>
        <v/>
      </c>
      <c r="Y184" s="146">
        <f>Revenue!Z45</f>
        <v/>
      </c>
      <c r="Z184" s="146">
        <f>Revenue!AA45</f>
        <v/>
      </c>
      <c r="AA184" s="146">
        <f>Revenue!AB45</f>
        <v/>
      </c>
      <c r="AB184" s="146">
        <f>Revenue!AC45</f>
        <v/>
      </c>
      <c r="AC184" s="146">
        <f>Revenue!AD45</f>
        <v/>
      </c>
      <c r="AD184" s="146">
        <f>Revenue!AE45</f>
        <v/>
      </c>
      <c r="AE184" s="146">
        <f>Revenue!AF45</f>
        <v/>
      </c>
      <c r="AF184" s="146">
        <f>Revenue!AG45</f>
        <v/>
      </c>
      <c r="AG184" s="146">
        <f>Revenue!AH45</f>
        <v/>
      </c>
      <c r="AH184" s="146">
        <f>Revenue!AI45</f>
        <v/>
      </c>
      <c r="AI184" s="146">
        <f>Revenue!AJ45</f>
        <v/>
      </c>
      <c r="AJ184" s="146">
        <f>Revenue!AK45</f>
        <v/>
      </c>
      <c r="AK184" s="146">
        <f>Revenue!AL45</f>
        <v/>
      </c>
      <c r="AL184" s="146">
        <f>Revenue!AM45</f>
        <v/>
      </c>
      <c r="AM184" s="146">
        <f>Revenue!AN45</f>
        <v/>
      </c>
      <c r="AN184" s="146">
        <f>Revenue!AO45</f>
        <v/>
      </c>
      <c r="AO184" s="146">
        <f>Revenue!AP45</f>
        <v/>
      </c>
      <c r="AP184" s="146">
        <f>Revenue!AQ45</f>
        <v/>
      </c>
      <c r="AQ184" s="146">
        <f>Revenue!AR45</f>
        <v/>
      </c>
      <c r="AR184" s="146">
        <f>Revenue!AS45</f>
        <v/>
      </c>
      <c r="AS184" s="146">
        <f>Revenue!AT45</f>
        <v/>
      </c>
      <c r="AT184" s="146">
        <f>Revenue!AU45</f>
        <v/>
      </c>
      <c r="AU184" s="146">
        <f>Revenue!AV45</f>
        <v/>
      </c>
      <c r="AV184" s="146">
        <f>Revenue!AW45</f>
        <v/>
      </c>
      <c r="AW184" s="146">
        <f>Revenue!AX45</f>
        <v/>
      </c>
      <c r="AX184" s="146">
        <f>Revenue!AY45</f>
        <v/>
      </c>
      <c r="AY184" s="146">
        <f>Revenue!AZ45</f>
        <v/>
      </c>
      <c r="AZ184" s="146">
        <f>Revenue!BA45</f>
        <v/>
      </c>
      <c r="BA184" s="146">
        <f>Revenue!BB45</f>
        <v/>
      </c>
    </row>
    <row r="185" outlineLevel="1" ht="15" customHeight="1" s="91">
      <c r="B185" s="145" t="inlineStr">
        <is>
          <t>ZAN 11</t>
        </is>
      </c>
      <c r="C185" s="138">
        <f>SUM(D185:BA185)</f>
        <v/>
      </c>
      <c r="D185" s="146">
        <f>Revenue!E46</f>
        <v/>
      </c>
      <c r="E185" s="146">
        <f>Revenue!F46</f>
        <v/>
      </c>
      <c r="F185" s="146">
        <f>Revenue!G46</f>
        <v/>
      </c>
      <c r="G185" s="146">
        <f>Revenue!H46</f>
        <v/>
      </c>
      <c r="H185" s="146">
        <f>Revenue!I46</f>
        <v/>
      </c>
      <c r="I185" s="146">
        <f>Revenue!J46</f>
        <v/>
      </c>
      <c r="J185" s="146">
        <f>Revenue!K46</f>
        <v/>
      </c>
      <c r="K185" s="146">
        <f>Revenue!L46</f>
        <v/>
      </c>
      <c r="L185" s="146">
        <f>Revenue!M46</f>
        <v/>
      </c>
      <c r="M185" s="146">
        <f>Revenue!N46</f>
        <v/>
      </c>
      <c r="N185" s="146">
        <f>Revenue!O46</f>
        <v/>
      </c>
      <c r="O185" s="146">
        <f>Revenue!P46</f>
        <v/>
      </c>
      <c r="P185" s="146">
        <f>Revenue!Q46</f>
        <v/>
      </c>
      <c r="Q185" s="146">
        <f>Revenue!R46</f>
        <v/>
      </c>
      <c r="R185" s="146">
        <f>Revenue!S46</f>
        <v/>
      </c>
      <c r="S185" s="146">
        <f>Revenue!T46</f>
        <v/>
      </c>
      <c r="T185" s="146">
        <f>Revenue!U46</f>
        <v/>
      </c>
      <c r="U185" s="146">
        <f>Revenue!V46</f>
        <v/>
      </c>
      <c r="V185" s="146">
        <f>Revenue!W46</f>
        <v/>
      </c>
      <c r="W185" s="146">
        <f>Revenue!X46</f>
        <v/>
      </c>
      <c r="X185" s="146">
        <f>Revenue!Y46</f>
        <v/>
      </c>
      <c r="Y185" s="146">
        <f>Revenue!Z46</f>
        <v/>
      </c>
      <c r="Z185" s="146">
        <f>Revenue!AA46</f>
        <v/>
      </c>
      <c r="AA185" s="146">
        <f>Revenue!AB46</f>
        <v/>
      </c>
      <c r="AB185" s="146">
        <f>Revenue!AC46</f>
        <v/>
      </c>
      <c r="AC185" s="146">
        <f>Revenue!AD46</f>
        <v/>
      </c>
      <c r="AD185" s="146">
        <f>Revenue!AE46</f>
        <v/>
      </c>
      <c r="AE185" s="146">
        <f>Revenue!AF46</f>
        <v/>
      </c>
      <c r="AF185" s="146">
        <f>Revenue!AG46</f>
        <v/>
      </c>
      <c r="AG185" s="146">
        <f>Revenue!AH46</f>
        <v/>
      </c>
      <c r="AH185" s="146">
        <f>Revenue!AI46</f>
        <v/>
      </c>
      <c r="AI185" s="146">
        <f>Revenue!AJ46</f>
        <v/>
      </c>
      <c r="AJ185" s="146">
        <f>Revenue!AK46</f>
        <v/>
      </c>
      <c r="AK185" s="146">
        <f>Revenue!AL46</f>
        <v/>
      </c>
      <c r="AL185" s="146">
        <f>Revenue!AM46</f>
        <v/>
      </c>
      <c r="AM185" s="146">
        <f>Revenue!AN46</f>
        <v/>
      </c>
      <c r="AN185" s="146">
        <f>Revenue!AO46</f>
        <v/>
      </c>
      <c r="AO185" s="146">
        <f>Revenue!AP46</f>
        <v/>
      </c>
      <c r="AP185" s="146">
        <f>Revenue!AQ46</f>
        <v/>
      </c>
      <c r="AQ185" s="146">
        <f>Revenue!AR46</f>
        <v/>
      </c>
      <c r="AR185" s="146">
        <f>Revenue!AS46</f>
        <v/>
      </c>
      <c r="AS185" s="146">
        <f>Revenue!AT46</f>
        <v/>
      </c>
      <c r="AT185" s="146">
        <f>Revenue!AU46</f>
        <v/>
      </c>
      <c r="AU185" s="146">
        <f>Revenue!AV46</f>
        <v/>
      </c>
      <c r="AV185" s="146">
        <f>Revenue!AW46</f>
        <v/>
      </c>
      <c r="AW185" s="146">
        <f>Revenue!AX46</f>
        <v/>
      </c>
      <c r="AX185" s="146">
        <f>Revenue!AY46</f>
        <v/>
      </c>
      <c r="AY185" s="146">
        <f>Revenue!AZ46</f>
        <v/>
      </c>
      <c r="AZ185" s="146">
        <f>Revenue!BA46</f>
        <v/>
      </c>
      <c r="BA185" s="146">
        <f>Revenue!BB46</f>
        <v/>
      </c>
    </row>
    <row r="186" outlineLevel="1" ht="15" customHeight="1" s="91">
      <c r="B186" s="145" t="inlineStr">
        <is>
          <t>ZAN 12</t>
        </is>
      </c>
      <c r="C186" s="138">
        <f>SUM(D186:BA186)</f>
        <v/>
      </c>
      <c r="D186" s="146">
        <f>Revenue!E47</f>
        <v/>
      </c>
      <c r="E186" s="146">
        <f>Revenue!F47</f>
        <v/>
      </c>
      <c r="F186" s="146">
        <f>Revenue!G47</f>
        <v/>
      </c>
      <c r="G186" s="146">
        <f>Revenue!H47</f>
        <v/>
      </c>
      <c r="H186" s="146">
        <f>Revenue!I47</f>
        <v/>
      </c>
      <c r="I186" s="146">
        <f>Revenue!J47</f>
        <v/>
      </c>
      <c r="J186" s="146">
        <f>Revenue!K47</f>
        <v/>
      </c>
      <c r="K186" s="146">
        <f>Revenue!L47</f>
        <v/>
      </c>
      <c r="L186" s="146">
        <f>Revenue!M47</f>
        <v/>
      </c>
      <c r="M186" s="146">
        <f>Revenue!N47</f>
        <v/>
      </c>
      <c r="N186" s="146">
        <f>Revenue!O47</f>
        <v/>
      </c>
      <c r="O186" s="146">
        <f>Revenue!P47</f>
        <v/>
      </c>
      <c r="P186" s="146">
        <f>Revenue!Q47</f>
        <v/>
      </c>
      <c r="Q186" s="146">
        <f>Revenue!R47</f>
        <v/>
      </c>
      <c r="R186" s="146">
        <f>Revenue!S47</f>
        <v/>
      </c>
      <c r="S186" s="146">
        <f>Revenue!T47</f>
        <v/>
      </c>
      <c r="T186" s="146">
        <f>Revenue!U47</f>
        <v/>
      </c>
      <c r="U186" s="146">
        <f>Revenue!V47</f>
        <v/>
      </c>
      <c r="V186" s="146">
        <f>Revenue!W47</f>
        <v/>
      </c>
      <c r="W186" s="146">
        <f>Revenue!X47</f>
        <v/>
      </c>
      <c r="X186" s="146">
        <f>Revenue!Y47</f>
        <v/>
      </c>
      <c r="Y186" s="146">
        <f>Revenue!Z47</f>
        <v/>
      </c>
      <c r="Z186" s="146">
        <f>Revenue!AA47</f>
        <v/>
      </c>
      <c r="AA186" s="146">
        <f>Revenue!AB47</f>
        <v/>
      </c>
      <c r="AB186" s="146">
        <f>Revenue!AC47</f>
        <v/>
      </c>
      <c r="AC186" s="146">
        <f>Revenue!AD47</f>
        <v/>
      </c>
      <c r="AD186" s="146">
        <f>Revenue!AE47</f>
        <v/>
      </c>
      <c r="AE186" s="146">
        <f>Revenue!AF47</f>
        <v/>
      </c>
      <c r="AF186" s="146">
        <f>Revenue!AG47</f>
        <v/>
      </c>
      <c r="AG186" s="146">
        <f>Revenue!AH47</f>
        <v/>
      </c>
      <c r="AH186" s="146">
        <f>Revenue!AI47</f>
        <v/>
      </c>
      <c r="AI186" s="146">
        <f>Revenue!AJ47</f>
        <v/>
      </c>
      <c r="AJ186" s="146">
        <f>Revenue!AK47</f>
        <v/>
      </c>
      <c r="AK186" s="146">
        <f>Revenue!AL47</f>
        <v/>
      </c>
      <c r="AL186" s="146">
        <f>Revenue!AM47</f>
        <v/>
      </c>
      <c r="AM186" s="146">
        <f>Revenue!AN47</f>
        <v/>
      </c>
      <c r="AN186" s="146">
        <f>Revenue!AO47</f>
        <v/>
      </c>
      <c r="AO186" s="146">
        <f>Revenue!AP47</f>
        <v/>
      </c>
      <c r="AP186" s="146">
        <f>Revenue!AQ47</f>
        <v/>
      </c>
      <c r="AQ186" s="146">
        <f>Revenue!AR47</f>
        <v/>
      </c>
      <c r="AR186" s="146">
        <f>Revenue!AS47</f>
        <v/>
      </c>
      <c r="AS186" s="146">
        <f>Revenue!AT47</f>
        <v/>
      </c>
      <c r="AT186" s="146">
        <f>Revenue!AU47</f>
        <v/>
      </c>
      <c r="AU186" s="146">
        <f>Revenue!AV47</f>
        <v/>
      </c>
      <c r="AV186" s="146">
        <f>Revenue!AW47</f>
        <v/>
      </c>
      <c r="AW186" s="146">
        <f>Revenue!AX47</f>
        <v/>
      </c>
      <c r="AX186" s="146">
        <f>Revenue!AY47</f>
        <v/>
      </c>
      <c r="AY186" s="146">
        <f>Revenue!AZ47</f>
        <v/>
      </c>
      <c r="AZ186" s="146">
        <f>Revenue!BA47</f>
        <v/>
      </c>
      <c r="BA186" s="146">
        <f>Revenue!BB47</f>
        <v/>
      </c>
    </row>
    <row r="187" outlineLevel="1" ht="15" customHeight="1" s="91">
      <c r="B187" s="145" t="inlineStr">
        <is>
          <t>ZAN 13</t>
        </is>
      </c>
      <c r="C187" s="138">
        <f>SUM(D187:BA187)</f>
        <v/>
      </c>
      <c r="D187" s="146">
        <f>Revenue!E48</f>
        <v/>
      </c>
      <c r="E187" s="146">
        <f>Revenue!F48</f>
        <v/>
      </c>
      <c r="F187" s="146">
        <f>Revenue!G48</f>
        <v/>
      </c>
      <c r="G187" s="146">
        <f>Revenue!H48</f>
        <v/>
      </c>
      <c r="H187" s="146">
        <f>Revenue!I48</f>
        <v/>
      </c>
      <c r="I187" s="146">
        <f>Revenue!J48</f>
        <v/>
      </c>
      <c r="J187" s="146">
        <f>Revenue!K48</f>
        <v/>
      </c>
      <c r="K187" s="146">
        <f>Revenue!L48</f>
        <v/>
      </c>
      <c r="L187" s="146">
        <f>Revenue!M48</f>
        <v/>
      </c>
      <c r="M187" s="146">
        <f>Revenue!N48</f>
        <v/>
      </c>
      <c r="N187" s="146">
        <f>Revenue!O48</f>
        <v/>
      </c>
      <c r="O187" s="146">
        <f>Revenue!P48</f>
        <v/>
      </c>
      <c r="P187" s="146">
        <f>Revenue!Q48</f>
        <v/>
      </c>
      <c r="Q187" s="146">
        <f>Revenue!R48</f>
        <v/>
      </c>
      <c r="R187" s="146">
        <f>Revenue!S48</f>
        <v/>
      </c>
      <c r="S187" s="146">
        <f>Revenue!T48</f>
        <v/>
      </c>
      <c r="T187" s="146">
        <f>Revenue!U48</f>
        <v/>
      </c>
      <c r="U187" s="146">
        <f>Revenue!V48</f>
        <v/>
      </c>
      <c r="V187" s="146">
        <f>Revenue!W48</f>
        <v/>
      </c>
      <c r="W187" s="146">
        <f>Revenue!X48</f>
        <v/>
      </c>
      <c r="X187" s="146">
        <f>Revenue!Y48</f>
        <v/>
      </c>
      <c r="Y187" s="146">
        <f>Revenue!Z48</f>
        <v/>
      </c>
      <c r="Z187" s="146">
        <f>Revenue!AA48</f>
        <v/>
      </c>
      <c r="AA187" s="146">
        <f>Revenue!AB48</f>
        <v/>
      </c>
      <c r="AB187" s="146">
        <f>Revenue!AC48</f>
        <v/>
      </c>
      <c r="AC187" s="146">
        <f>Revenue!AD48</f>
        <v/>
      </c>
      <c r="AD187" s="146">
        <f>Revenue!AE48</f>
        <v/>
      </c>
      <c r="AE187" s="146">
        <f>Revenue!AF48</f>
        <v/>
      </c>
      <c r="AF187" s="146">
        <f>Revenue!AG48</f>
        <v/>
      </c>
      <c r="AG187" s="146">
        <f>Revenue!AH48</f>
        <v/>
      </c>
      <c r="AH187" s="146">
        <f>Revenue!AI48</f>
        <v/>
      </c>
      <c r="AI187" s="146">
        <f>Revenue!AJ48</f>
        <v/>
      </c>
      <c r="AJ187" s="146">
        <f>Revenue!AK48</f>
        <v/>
      </c>
      <c r="AK187" s="146">
        <f>Revenue!AL48</f>
        <v/>
      </c>
      <c r="AL187" s="146">
        <f>Revenue!AM48</f>
        <v/>
      </c>
      <c r="AM187" s="146">
        <f>Revenue!AN48</f>
        <v/>
      </c>
      <c r="AN187" s="146">
        <f>Revenue!AO48</f>
        <v/>
      </c>
      <c r="AO187" s="146">
        <f>Revenue!AP48</f>
        <v/>
      </c>
      <c r="AP187" s="146">
        <f>Revenue!AQ48</f>
        <v/>
      </c>
      <c r="AQ187" s="146">
        <f>Revenue!AR48</f>
        <v/>
      </c>
      <c r="AR187" s="146">
        <f>Revenue!AS48</f>
        <v/>
      </c>
      <c r="AS187" s="146">
        <f>Revenue!AT48</f>
        <v/>
      </c>
      <c r="AT187" s="146">
        <f>Revenue!AU48</f>
        <v/>
      </c>
      <c r="AU187" s="146">
        <f>Revenue!AV48</f>
        <v/>
      </c>
      <c r="AV187" s="146">
        <f>Revenue!AW48</f>
        <v/>
      </c>
      <c r="AW187" s="146">
        <f>Revenue!AX48</f>
        <v/>
      </c>
      <c r="AX187" s="146">
        <f>Revenue!AY48</f>
        <v/>
      </c>
      <c r="AY187" s="146">
        <f>Revenue!AZ48</f>
        <v/>
      </c>
      <c r="AZ187" s="146">
        <f>Revenue!BA48</f>
        <v/>
      </c>
      <c r="BA187" s="146">
        <f>Revenue!BB48</f>
        <v/>
      </c>
    </row>
    <row r="188" outlineLevel="1" ht="15" customHeight="1" s="91">
      <c r="B188" s="145" t="inlineStr">
        <is>
          <t>ZAN 14</t>
        </is>
      </c>
      <c r="C188" s="138">
        <f>SUM(D188:BA188)</f>
        <v/>
      </c>
      <c r="D188" s="146">
        <f>Revenue!E49</f>
        <v/>
      </c>
      <c r="E188" s="146">
        <f>Revenue!F49</f>
        <v/>
      </c>
      <c r="F188" s="146">
        <f>Revenue!G49</f>
        <v/>
      </c>
      <c r="G188" s="146">
        <f>Revenue!H49</f>
        <v/>
      </c>
      <c r="H188" s="146">
        <f>Revenue!I49</f>
        <v/>
      </c>
      <c r="I188" s="146">
        <f>Revenue!J49</f>
        <v/>
      </c>
      <c r="J188" s="146">
        <f>Revenue!K49</f>
        <v/>
      </c>
      <c r="K188" s="146">
        <f>Revenue!L49</f>
        <v/>
      </c>
      <c r="L188" s="146">
        <f>Revenue!M49</f>
        <v/>
      </c>
      <c r="M188" s="146">
        <f>Revenue!N49</f>
        <v/>
      </c>
      <c r="N188" s="146">
        <f>Revenue!O49</f>
        <v/>
      </c>
      <c r="O188" s="146">
        <f>Revenue!P49</f>
        <v/>
      </c>
      <c r="P188" s="146">
        <f>Revenue!Q49</f>
        <v/>
      </c>
      <c r="Q188" s="146">
        <f>Revenue!R49</f>
        <v/>
      </c>
      <c r="R188" s="146">
        <f>Revenue!S49</f>
        <v/>
      </c>
      <c r="S188" s="146">
        <f>Revenue!T49</f>
        <v/>
      </c>
      <c r="T188" s="146">
        <f>Revenue!U49</f>
        <v/>
      </c>
      <c r="U188" s="146">
        <f>Revenue!V49</f>
        <v/>
      </c>
      <c r="V188" s="146">
        <f>Revenue!W49</f>
        <v/>
      </c>
      <c r="W188" s="146">
        <f>Revenue!X49</f>
        <v/>
      </c>
      <c r="X188" s="146">
        <f>Revenue!Y49</f>
        <v/>
      </c>
      <c r="Y188" s="146">
        <f>Revenue!Z49</f>
        <v/>
      </c>
      <c r="Z188" s="146">
        <f>Revenue!AA49</f>
        <v/>
      </c>
      <c r="AA188" s="146">
        <f>Revenue!AB49</f>
        <v/>
      </c>
      <c r="AB188" s="146">
        <f>Revenue!AC49</f>
        <v/>
      </c>
      <c r="AC188" s="146">
        <f>Revenue!AD49</f>
        <v/>
      </c>
      <c r="AD188" s="146">
        <f>Revenue!AE49</f>
        <v/>
      </c>
      <c r="AE188" s="146">
        <f>Revenue!AF49</f>
        <v/>
      </c>
      <c r="AF188" s="146">
        <f>Revenue!AG49</f>
        <v/>
      </c>
      <c r="AG188" s="146">
        <f>Revenue!AH49</f>
        <v/>
      </c>
      <c r="AH188" s="146">
        <f>Revenue!AI49</f>
        <v/>
      </c>
      <c r="AI188" s="146">
        <f>Revenue!AJ49</f>
        <v/>
      </c>
      <c r="AJ188" s="146">
        <f>Revenue!AK49</f>
        <v/>
      </c>
      <c r="AK188" s="146">
        <f>Revenue!AL49</f>
        <v/>
      </c>
      <c r="AL188" s="146">
        <f>Revenue!AM49</f>
        <v/>
      </c>
      <c r="AM188" s="146">
        <f>Revenue!AN49</f>
        <v/>
      </c>
      <c r="AN188" s="146">
        <f>Revenue!AO49</f>
        <v/>
      </c>
      <c r="AO188" s="146">
        <f>Revenue!AP49</f>
        <v/>
      </c>
      <c r="AP188" s="146">
        <f>Revenue!AQ49</f>
        <v/>
      </c>
      <c r="AQ188" s="146">
        <f>Revenue!AR49</f>
        <v/>
      </c>
      <c r="AR188" s="146">
        <f>Revenue!AS49</f>
        <v/>
      </c>
      <c r="AS188" s="146">
        <f>Revenue!AT49</f>
        <v/>
      </c>
      <c r="AT188" s="146">
        <f>Revenue!AU49</f>
        <v/>
      </c>
      <c r="AU188" s="146">
        <f>Revenue!AV49</f>
        <v/>
      </c>
      <c r="AV188" s="146">
        <f>Revenue!AW49</f>
        <v/>
      </c>
      <c r="AW188" s="146">
        <f>Revenue!AX49</f>
        <v/>
      </c>
      <c r="AX188" s="146">
        <f>Revenue!AY49</f>
        <v/>
      </c>
      <c r="AY188" s="146">
        <f>Revenue!AZ49</f>
        <v/>
      </c>
      <c r="AZ188" s="146">
        <f>Revenue!BA49</f>
        <v/>
      </c>
      <c r="BA188" s="146">
        <f>Revenue!BB49</f>
        <v/>
      </c>
    </row>
    <row r="189" outlineLevel="1" ht="15" customHeight="1" s="91">
      <c r="B189" s="145" t="inlineStr">
        <is>
          <t>ZAN 15</t>
        </is>
      </c>
      <c r="C189" s="138">
        <f>SUM(D189:BA189)</f>
        <v/>
      </c>
      <c r="D189" s="146">
        <f>Revenue!E50</f>
        <v/>
      </c>
      <c r="E189" s="146">
        <f>Revenue!F50</f>
        <v/>
      </c>
      <c r="F189" s="146">
        <f>Revenue!G50</f>
        <v/>
      </c>
      <c r="G189" s="146">
        <f>Revenue!H50</f>
        <v/>
      </c>
      <c r="H189" s="146">
        <f>Revenue!I50</f>
        <v/>
      </c>
      <c r="I189" s="146">
        <f>Revenue!J50</f>
        <v/>
      </c>
      <c r="J189" s="146">
        <f>Revenue!K50</f>
        <v/>
      </c>
      <c r="K189" s="146">
        <f>Revenue!L50</f>
        <v/>
      </c>
      <c r="L189" s="146">
        <f>Revenue!M50</f>
        <v/>
      </c>
      <c r="M189" s="146">
        <f>Revenue!N50</f>
        <v/>
      </c>
      <c r="N189" s="146">
        <f>Revenue!O50</f>
        <v/>
      </c>
      <c r="O189" s="146">
        <f>Revenue!P50</f>
        <v/>
      </c>
      <c r="P189" s="146">
        <f>Revenue!Q50</f>
        <v/>
      </c>
      <c r="Q189" s="146">
        <f>Revenue!R50</f>
        <v/>
      </c>
      <c r="R189" s="146">
        <f>Revenue!S50</f>
        <v/>
      </c>
      <c r="S189" s="146">
        <f>Revenue!T50</f>
        <v/>
      </c>
      <c r="T189" s="146">
        <f>Revenue!U50</f>
        <v/>
      </c>
      <c r="U189" s="146">
        <f>Revenue!V50</f>
        <v/>
      </c>
      <c r="V189" s="146">
        <f>Revenue!W50</f>
        <v/>
      </c>
      <c r="W189" s="146">
        <f>Revenue!X50</f>
        <v/>
      </c>
      <c r="X189" s="146">
        <f>Revenue!Y50</f>
        <v/>
      </c>
      <c r="Y189" s="146">
        <f>Revenue!Z50</f>
        <v/>
      </c>
      <c r="Z189" s="146">
        <f>Revenue!AA50</f>
        <v/>
      </c>
      <c r="AA189" s="146">
        <f>Revenue!AB50</f>
        <v/>
      </c>
      <c r="AB189" s="146">
        <f>Revenue!AC50</f>
        <v/>
      </c>
      <c r="AC189" s="146">
        <f>Revenue!AD50</f>
        <v/>
      </c>
      <c r="AD189" s="146">
        <f>Revenue!AE50</f>
        <v/>
      </c>
      <c r="AE189" s="146">
        <f>Revenue!AF50</f>
        <v/>
      </c>
      <c r="AF189" s="146">
        <f>Revenue!AG50</f>
        <v/>
      </c>
      <c r="AG189" s="146">
        <f>Revenue!AH50</f>
        <v/>
      </c>
      <c r="AH189" s="146">
        <f>Revenue!AI50</f>
        <v/>
      </c>
      <c r="AI189" s="146">
        <f>Revenue!AJ50</f>
        <v/>
      </c>
      <c r="AJ189" s="146">
        <f>Revenue!AK50</f>
        <v/>
      </c>
      <c r="AK189" s="146">
        <f>Revenue!AL50</f>
        <v/>
      </c>
      <c r="AL189" s="146">
        <f>Revenue!AM50</f>
        <v/>
      </c>
      <c r="AM189" s="146">
        <f>Revenue!AN50</f>
        <v/>
      </c>
      <c r="AN189" s="146">
        <f>Revenue!AO50</f>
        <v/>
      </c>
      <c r="AO189" s="146">
        <f>Revenue!AP50</f>
        <v/>
      </c>
      <c r="AP189" s="146">
        <f>Revenue!AQ50</f>
        <v/>
      </c>
      <c r="AQ189" s="146">
        <f>Revenue!AR50</f>
        <v/>
      </c>
      <c r="AR189" s="146">
        <f>Revenue!AS50</f>
        <v/>
      </c>
      <c r="AS189" s="146">
        <f>Revenue!AT50</f>
        <v/>
      </c>
      <c r="AT189" s="146">
        <f>Revenue!AU50</f>
        <v/>
      </c>
      <c r="AU189" s="146">
        <f>Revenue!AV50</f>
        <v/>
      </c>
      <c r="AV189" s="146">
        <f>Revenue!AW50</f>
        <v/>
      </c>
      <c r="AW189" s="146">
        <f>Revenue!AX50</f>
        <v/>
      </c>
      <c r="AX189" s="146">
        <f>Revenue!AY50</f>
        <v/>
      </c>
      <c r="AY189" s="146">
        <f>Revenue!AZ50</f>
        <v/>
      </c>
      <c r="AZ189" s="146">
        <f>Revenue!BA50</f>
        <v/>
      </c>
      <c r="BA189" s="146">
        <f>Revenue!BB50</f>
        <v/>
      </c>
    </row>
    <row r="190" outlineLevel="1" ht="15" customHeight="1" s="91">
      <c r="B190" s="144" t="inlineStr">
        <is>
          <t>TOTAL</t>
        </is>
      </c>
      <c r="C190" s="138">
        <f>SUM(D190:BA190)</f>
        <v/>
      </c>
      <c r="D190" s="146">
        <f>Revenue!E52</f>
        <v/>
      </c>
      <c r="E190" s="146">
        <f>Revenue!F52</f>
        <v/>
      </c>
      <c r="F190" s="146">
        <f>Revenue!G52</f>
        <v/>
      </c>
      <c r="G190" s="146">
        <f>Revenue!H52</f>
        <v/>
      </c>
      <c r="H190" s="146">
        <f>Revenue!I52</f>
        <v/>
      </c>
      <c r="I190" s="146">
        <f>Revenue!J52</f>
        <v/>
      </c>
      <c r="J190" s="146">
        <f>Revenue!K52</f>
        <v/>
      </c>
      <c r="K190" s="146">
        <f>Revenue!L52</f>
        <v/>
      </c>
      <c r="L190" s="146">
        <f>Revenue!M52</f>
        <v/>
      </c>
      <c r="M190" s="146">
        <f>Revenue!N52</f>
        <v/>
      </c>
      <c r="N190" s="146">
        <f>Revenue!O52</f>
        <v/>
      </c>
      <c r="O190" s="146">
        <f>Revenue!P52</f>
        <v/>
      </c>
      <c r="P190" s="146">
        <f>Revenue!Q52</f>
        <v/>
      </c>
      <c r="Q190" s="146">
        <f>Revenue!R52</f>
        <v/>
      </c>
      <c r="R190" s="146">
        <f>Revenue!S52</f>
        <v/>
      </c>
      <c r="S190" s="146">
        <f>Revenue!T52</f>
        <v/>
      </c>
      <c r="T190" s="146">
        <f>Revenue!U52</f>
        <v/>
      </c>
      <c r="U190" s="146">
        <f>Revenue!V52</f>
        <v/>
      </c>
      <c r="V190" s="146">
        <f>Revenue!W52</f>
        <v/>
      </c>
      <c r="W190" s="146">
        <f>Revenue!X52</f>
        <v/>
      </c>
      <c r="X190" s="146">
        <f>Revenue!Y52</f>
        <v/>
      </c>
      <c r="Y190" s="146">
        <f>Revenue!Z52</f>
        <v/>
      </c>
      <c r="Z190" s="146">
        <f>Revenue!AA52</f>
        <v/>
      </c>
      <c r="AA190" s="146">
        <f>Revenue!AB52</f>
        <v/>
      </c>
      <c r="AB190" s="146">
        <f>Revenue!AC52</f>
        <v/>
      </c>
      <c r="AC190" s="146">
        <f>Revenue!AD52</f>
        <v/>
      </c>
      <c r="AD190" s="146">
        <f>Revenue!AE52</f>
        <v/>
      </c>
      <c r="AE190" s="146">
        <f>Revenue!AF52</f>
        <v/>
      </c>
      <c r="AF190" s="146">
        <f>Revenue!AG52</f>
        <v/>
      </c>
      <c r="AG190" s="146">
        <f>Revenue!AH52</f>
        <v/>
      </c>
      <c r="AH190" s="146">
        <f>Revenue!AI52</f>
        <v/>
      </c>
      <c r="AI190" s="146">
        <f>Revenue!AJ52</f>
        <v/>
      </c>
      <c r="AJ190" s="146">
        <f>Revenue!AK52</f>
        <v/>
      </c>
      <c r="AK190" s="146">
        <f>Revenue!AL52</f>
        <v/>
      </c>
      <c r="AL190" s="146">
        <f>Revenue!AM52</f>
        <v/>
      </c>
      <c r="AM190" s="146">
        <f>Revenue!AN52</f>
        <v/>
      </c>
      <c r="AN190" s="146">
        <f>Revenue!AO52</f>
        <v/>
      </c>
      <c r="AO190" s="146">
        <f>Revenue!AP52</f>
        <v/>
      </c>
      <c r="AP190" s="146">
        <f>Revenue!AQ52</f>
        <v/>
      </c>
      <c r="AQ190" s="146">
        <f>Revenue!AR52</f>
        <v/>
      </c>
      <c r="AR190" s="146">
        <f>Revenue!AS52</f>
        <v/>
      </c>
      <c r="AS190" s="146">
        <f>Revenue!AT52</f>
        <v/>
      </c>
      <c r="AT190" s="146">
        <f>Revenue!AU52</f>
        <v/>
      </c>
      <c r="AU190" s="146">
        <f>Revenue!AV52</f>
        <v/>
      </c>
      <c r="AV190" s="146">
        <f>Revenue!AW52</f>
        <v/>
      </c>
      <c r="AW190" s="146">
        <f>Revenue!AX52</f>
        <v/>
      </c>
      <c r="AX190" s="146">
        <f>Revenue!AY52</f>
        <v/>
      </c>
      <c r="AY190" s="146">
        <f>Revenue!AZ52</f>
        <v/>
      </c>
      <c r="AZ190" s="146">
        <f>Revenue!BA52</f>
        <v/>
      </c>
      <c r="BA190" s="146">
        <f>Revenue!BB52</f>
        <v/>
      </c>
    </row>
    <row r="191" outlineLevel="1" ht="15" customHeight="1" s="91"/>
    <row r="192" outlineLevel="1" ht="15" customHeight="1" s="91">
      <c r="A192" s="144" t="inlineStr">
        <is>
          <t>CAPEX:</t>
        </is>
      </c>
    </row>
    <row r="193" outlineLevel="1" ht="15" customHeight="1" s="91">
      <c r="B193" s="145" t="inlineStr">
        <is>
          <t>ZAN 1</t>
        </is>
      </c>
      <c r="C193" s="138">
        <f>SUM(D193:BA193)</f>
        <v/>
      </c>
      <c r="D193" s="146">
        <f>CAPEX!E36</f>
        <v/>
      </c>
      <c r="E193" s="146">
        <f>CAPEX!F36</f>
        <v/>
      </c>
      <c r="F193" s="146">
        <f>CAPEX!G36</f>
        <v/>
      </c>
      <c r="G193" s="146">
        <f>CAPEX!H36</f>
        <v/>
      </c>
      <c r="H193" s="146">
        <f>CAPEX!I36</f>
        <v/>
      </c>
      <c r="I193" s="146">
        <f>CAPEX!J36</f>
        <v/>
      </c>
      <c r="J193" s="146">
        <f>CAPEX!K36</f>
        <v/>
      </c>
      <c r="K193" s="146">
        <f>CAPEX!L36</f>
        <v/>
      </c>
      <c r="L193" s="146">
        <f>CAPEX!M36</f>
        <v/>
      </c>
      <c r="M193" s="146">
        <f>CAPEX!N36</f>
        <v/>
      </c>
      <c r="N193" s="146">
        <f>CAPEX!O36</f>
        <v/>
      </c>
      <c r="O193" s="146">
        <f>CAPEX!P36</f>
        <v/>
      </c>
      <c r="P193" s="146">
        <f>CAPEX!Q36</f>
        <v/>
      </c>
      <c r="Q193" s="146">
        <f>CAPEX!R36</f>
        <v/>
      </c>
      <c r="R193" s="146">
        <f>CAPEX!S36</f>
        <v/>
      </c>
      <c r="S193" s="146">
        <f>CAPEX!T36</f>
        <v/>
      </c>
      <c r="T193" s="146">
        <f>CAPEX!U36</f>
        <v/>
      </c>
      <c r="U193" s="146">
        <f>CAPEX!V36</f>
        <v/>
      </c>
      <c r="V193" s="146">
        <f>CAPEX!W36</f>
        <v/>
      </c>
      <c r="W193" s="146">
        <f>CAPEX!X36</f>
        <v/>
      </c>
      <c r="X193" s="146">
        <f>CAPEX!Y36</f>
        <v/>
      </c>
      <c r="Y193" s="146">
        <f>CAPEX!Z36</f>
        <v/>
      </c>
      <c r="Z193" s="146">
        <f>CAPEX!AA36</f>
        <v/>
      </c>
      <c r="AA193" s="146">
        <f>CAPEX!AB36</f>
        <v/>
      </c>
      <c r="AB193" s="146">
        <f>CAPEX!AC36</f>
        <v/>
      </c>
      <c r="AC193" s="146">
        <f>CAPEX!AD36</f>
        <v/>
      </c>
      <c r="AD193" s="146">
        <f>CAPEX!AE36</f>
        <v/>
      </c>
      <c r="AE193" s="146">
        <f>CAPEX!AF36</f>
        <v/>
      </c>
      <c r="AF193" s="146">
        <f>CAPEX!AG36</f>
        <v/>
      </c>
      <c r="AG193" s="146">
        <f>CAPEX!AH36</f>
        <v/>
      </c>
      <c r="AH193" s="146">
        <f>CAPEX!AI36</f>
        <v/>
      </c>
      <c r="AI193" s="146">
        <f>CAPEX!AJ36</f>
        <v/>
      </c>
      <c r="AJ193" s="146">
        <f>CAPEX!AK36</f>
        <v/>
      </c>
      <c r="AK193" s="146">
        <f>CAPEX!AL36</f>
        <v/>
      </c>
      <c r="AL193" s="146">
        <f>CAPEX!AM36</f>
        <v/>
      </c>
      <c r="AM193" s="146">
        <f>CAPEX!AN36</f>
        <v/>
      </c>
      <c r="AN193" s="146">
        <f>CAPEX!AO36</f>
        <v/>
      </c>
      <c r="AO193" s="146">
        <f>CAPEX!AP36</f>
        <v/>
      </c>
      <c r="AP193" s="146">
        <f>CAPEX!AQ36</f>
        <v/>
      </c>
      <c r="AQ193" s="146">
        <f>CAPEX!AR36</f>
        <v/>
      </c>
      <c r="AR193" s="146">
        <f>CAPEX!AS36</f>
        <v/>
      </c>
      <c r="AS193" s="146">
        <f>CAPEX!AT36</f>
        <v/>
      </c>
      <c r="AT193" s="146">
        <f>CAPEX!AU36</f>
        <v/>
      </c>
      <c r="AU193" s="146">
        <f>CAPEX!AV36</f>
        <v/>
      </c>
      <c r="AV193" s="146">
        <f>CAPEX!AW36</f>
        <v/>
      </c>
      <c r="AW193" s="146">
        <f>CAPEX!AX36</f>
        <v/>
      </c>
      <c r="AX193" s="146">
        <f>CAPEX!AY36</f>
        <v/>
      </c>
      <c r="AY193" s="146">
        <f>CAPEX!AZ36</f>
        <v/>
      </c>
      <c r="AZ193" s="146">
        <f>CAPEX!BA36</f>
        <v/>
      </c>
      <c r="BA193" s="146">
        <f>CAPEX!BB36</f>
        <v/>
      </c>
    </row>
    <row r="194" outlineLevel="1" ht="15" customHeight="1" s="91">
      <c r="B194" s="145" t="inlineStr">
        <is>
          <t>ZAN 2</t>
        </is>
      </c>
      <c r="C194" s="138">
        <f>SUM(D194:BA194)</f>
        <v/>
      </c>
      <c r="D194" s="146">
        <f>CAPEX!E37</f>
        <v/>
      </c>
      <c r="E194" s="146">
        <f>CAPEX!F37</f>
        <v/>
      </c>
      <c r="F194" s="146">
        <f>CAPEX!G37</f>
        <v/>
      </c>
      <c r="G194" s="146">
        <f>CAPEX!H37</f>
        <v/>
      </c>
      <c r="H194" s="146">
        <f>CAPEX!I37</f>
        <v/>
      </c>
      <c r="I194" s="146">
        <f>CAPEX!J37</f>
        <v/>
      </c>
      <c r="J194" s="146">
        <f>CAPEX!K37</f>
        <v/>
      </c>
      <c r="K194" s="146">
        <f>CAPEX!L37</f>
        <v/>
      </c>
      <c r="L194" s="146">
        <f>CAPEX!M37</f>
        <v/>
      </c>
      <c r="M194" s="146">
        <f>CAPEX!N37</f>
        <v/>
      </c>
      <c r="N194" s="146">
        <f>CAPEX!O37</f>
        <v/>
      </c>
      <c r="O194" s="146">
        <f>CAPEX!P37</f>
        <v/>
      </c>
      <c r="P194" s="146">
        <f>CAPEX!Q37</f>
        <v/>
      </c>
      <c r="Q194" s="146">
        <f>CAPEX!R37</f>
        <v/>
      </c>
      <c r="R194" s="146">
        <f>CAPEX!S37</f>
        <v/>
      </c>
      <c r="S194" s="146">
        <f>CAPEX!T37</f>
        <v/>
      </c>
      <c r="T194" s="146">
        <f>CAPEX!U37</f>
        <v/>
      </c>
      <c r="U194" s="146">
        <f>CAPEX!V37</f>
        <v/>
      </c>
      <c r="V194" s="146">
        <f>CAPEX!W37</f>
        <v/>
      </c>
      <c r="W194" s="146">
        <f>CAPEX!X37</f>
        <v/>
      </c>
      <c r="X194" s="146">
        <f>CAPEX!Y37</f>
        <v/>
      </c>
      <c r="Y194" s="146">
        <f>CAPEX!Z37</f>
        <v/>
      </c>
      <c r="Z194" s="146">
        <f>CAPEX!AA37</f>
        <v/>
      </c>
      <c r="AA194" s="146">
        <f>CAPEX!AB37</f>
        <v/>
      </c>
      <c r="AB194" s="146">
        <f>CAPEX!AC37</f>
        <v/>
      </c>
      <c r="AC194" s="146">
        <f>CAPEX!AD37</f>
        <v/>
      </c>
      <c r="AD194" s="146">
        <f>CAPEX!AE37</f>
        <v/>
      </c>
      <c r="AE194" s="146">
        <f>CAPEX!AF37</f>
        <v/>
      </c>
      <c r="AF194" s="146">
        <f>CAPEX!AG37</f>
        <v/>
      </c>
      <c r="AG194" s="146">
        <f>CAPEX!AH37</f>
        <v/>
      </c>
      <c r="AH194" s="146">
        <f>CAPEX!AI37</f>
        <v/>
      </c>
      <c r="AI194" s="146">
        <f>CAPEX!AJ37</f>
        <v/>
      </c>
      <c r="AJ194" s="146">
        <f>CAPEX!AK37</f>
        <v/>
      </c>
      <c r="AK194" s="146">
        <f>CAPEX!AL37</f>
        <v/>
      </c>
      <c r="AL194" s="146">
        <f>CAPEX!AM37</f>
        <v/>
      </c>
      <c r="AM194" s="146">
        <f>CAPEX!AN37</f>
        <v/>
      </c>
      <c r="AN194" s="146">
        <f>CAPEX!AO37</f>
        <v/>
      </c>
      <c r="AO194" s="146">
        <f>CAPEX!AP37</f>
        <v/>
      </c>
      <c r="AP194" s="146">
        <f>CAPEX!AQ37</f>
        <v/>
      </c>
      <c r="AQ194" s="146">
        <f>CAPEX!AR37</f>
        <v/>
      </c>
      <c r="AR194" s="146">
        <f>CAPEX!AS37</f>
        <v/>
      </c>
      <c r="AS194" s="146">
        <f>CAPEX!AT37</f>
        <v/>
      </c>
      <c r="AT194" s="146">
        <f>CAPEX!AU37</f>
        <v/>
      </c>
      <c r="AU194" s="146">
        <f>CAPEX!AV37</f>
        <v/>
      </c>
      <c r="AV194" s="146">
        <f>CAPEX!AW37</f>
        <v/>
      </c>
      <c r="AW194" s="146">
        <f>CAPEX!AX37</f>
        <v/>
      </c>
      <c r="AX194" s="146">
        <f>CAPEX!AY37</f>
        <v/>
      </c>
      <c r="AY194" s="146">
        <f>CAPEX!AZ37</f>
        <v/>
      </c>
      <c r="AZ194" s="146">
        <f>CAPEX!BA37</f>
        <v/>
      </c>
      <c r="BA194" s="146">
        <f>CAPEX!BB37</f>
        <v/>
      </c>
    </row>
    <row r="195" outlineLevel="1" ht="15" customHeight="1" s="91">
      <c r="B195" s="145" t="inlineStr">
        <is>
          <t>ZAN 3</t>
        </is>
      </c>
      <c r="C195" s="138">
        <f>SUM(D195:BA195)</f>
        <v/>
      </c>
      <c r="D195" s="146">
        <f>CAPEX!E38</f>
        <v/>
      </c>
      <c r="E195" s="146">
        <f>CAPEX!F38</f>
        <v/>
      </c>
      <c r="F195" s="146">
        <f>CAPEX!G38</f>
        <v/>
      </c>
      <c r="G195" s="146">
        <f>CAPEX!H38</f>
        <v/>
      </c>
      <c r="H195" s="146">
        <f>CAPEX!I38</f>
        <v/>
      </c>
      <c r="I195" s="146">
        <f>CAPEX!J38</f>
        <v/>
      </c>
      <c r="J195" s="146">
        <f>CAPEX!K38</f>
        <v/>
      </c>
      <c r="K195" s="146">
        <f>CAPEX!L38</f>
        <v/>
      </c>
      <c r="L195" s="146">
        <f>CAPEX!M38</f>
        <v/>
      </c>
      <c r="M195" s="146">
        <f>CAPEX!N38</f>
        <v/>
      </c>
      <c r="N195" s="146">
        <f>CAPEX!O38</f>
        <v/>
      </c>
      <c r="O195" s="146">
        <f>CAPEX!P38</f>
        <v/>
      </c>
      <c r="P195" s="146">
        <f>CAPEX!Q38</f>
        <v/>
      </c>
      <c r="Q195" s="146">
        <f>CAPEX!R38</f>
        <v/>
      </c>
      <c r="R195" s="146">
        <f>CAPEX!S38</f>
        <v/>
      </c>
      <c r="S195" s="146">
        <f>CAPEX!T38</f>
        <v/>
      </c>
      <c r="T195" s="146">
        <f>CAPEX!U38</f>
        <v/>
      </c>
      <c r="U195" s="146">
        <f>CAPEX!V38</f>
        <v/>
      </c>
      <c r="V195" s="146">
        <f>CAPEX!W38</f>
        <v/>
      </c>
      <c r="W195" s="146">
        <f>CAPEX!X38</f>
        <v/>
      </c>
      <c r="X195" s="146">
        <f>CAPEX!Y38</f>
        <v/>
      </c>
      <c r="Y195" s="146">
        <f>CAPEX!Z38</f>
        <v/>
      </c>
      <c r="Z195" s="146">
        <f>CAPEX!AA38</f>
        <v/>
      </c>
      <c r="AA195" s="146">
        <f>CAPEX!AB38</f>
        <v/>
      </c>
      <c r="AB195" s="146">
        <f>CAPEX!AC38</f>
        <v/>
      </c>
      <c r="AC195" s="146">
        <f>CAPEX!AD38</f>
        <v/>
      </c>
      <c r="AD195" s="146">
        <f>CAPEX!AE38</f>
        <v/>
      </c>
      <c r="AE195" s="146">
        <f>CAPEX!AF38</f>
        <v/>
      </c>
      <c r="AF195" s="146">
        <f>CAPEX!AG38</f>
        <v/>
      </c>
      <c r="AG195" s="146">
        <f>CAPEX!AH38</f>
        <v/>
      </c>
      <c r="AH195" s="146">
        <f>CAPEX!AI38</f>
        <v/>
      </c>
      <c r="AI195" s="146">
        <f>CAPEX!AJ38</f>
        <v/>
      </c>
      <c r="AJ195" s="146">
        <f>CAPEX!AK38</f>
        <v/>
      </c>
      <c r="AK195" s="146">
        <f>CAPEX!AL38</f>
        <v/>
      </c>
      <c r="AL195" s="146">
        <f>CAPEX!AM38</f>
        <v/>
      </c>
      <c r="AM195" s="146">
        <f>CAPEX!AN38</f>
        <v/>
      </c>
      <c r="AN195" s="146">
        <f>CAPEX!AO38</f>
        <v/>
      </c>
      <c r="AO195" s="146">
        <f>CAPEX!AP38</f>
        <v/>
      </c>
      <c r="AP195" s="146">
        <f>CAPEX!AQ38</f>
        <v/>
      </c>
      <c r="AQ195" s="146">
        <f>CAPEX!AR38</f>
        <v/>
      </c>
      <c r="AR195" s="146">
        <f>CAPEX!AS38</f>
        <v/>
      </c>
      <c r="AS195" s="146">
        <f>CAPEX!AT38</f>
        <v/>
      </c>
      <c r="AT195" s="146">
        <f>CAPEX!AU38</f>
        <v/>
      </c>
      <c r="AU195" s="146">
        <f>CAPEX!AV38</f>
        <v/>
      </c>
      <c r="AV195" s="146">
        <f>CAPEX!AW38</f>
        <v/>
      </c>
      <c r="AW195" s="146">
        <f>CAPEX!AX38</f>
        <v/>
      </c>
      <c r="AX195" s="146">
        <f>CAPEX!AY38</f>
        <v/>
      </c>
      <c r="AY195" s="146">
        <f>CAPEX!AZ38</f>
        <v/>
      </c>
      <c r="AZ195" s="146">
        <f>CAPEX!BA38</f>
        <v/>
      </c>
      <c r="BA195" s="146">
        <f>CAPEX!BB38</f>
        <v/>
      </c>
    </row>
    <row r="196" outlineLevel="1" ht="15" customHeight="1" s="91">
      <c r="B196" s="145" t="inlineStr">
        <is>
          <t>ZAN 4</t>
        </is>
      </c>
      <c r="C196" s="138">
        <f>SUM(D196:BA196)</f>
        <v/>
      </c>
      <c r="D196" s="146">
        <f>CAPEX!E39</f>
        <v/>
      </c>
      <c r="E196" s="146">
        <f>CAPEX!F39</f>
        <v/>
      </c>
      <c r="F196" s="146">
        <f>CAPEX!G39</f>
        <v/>
      </c>
      <c r="G196" s="146">
        <f>CAPEX!H39</f>
        <v/>
      </c>
      <c r="H196" s="146">
        <f>CAPEX!I39</f>
        <v/>
      </c>
      <c r="I196" s="146">
        <f>CAPEX!J39</f>
        <v/>
      </c>
      <c r="J196" s="146">
        <f>CAPEX!K39</f>
        <v/>
      </c>
      <c r="K196" s="146">
        <f>CAPEX!L39</f>
        <v/>
      </c>
      <c r="L196" s="146">
        <f>CAPEX!M39</f>
        <v/>
      </c>
      <c r="M196" s="146">
        <f>CAPEX!N39</f>
        <v/>
      </c>
      <c r="N196" s="146">
        <f>CAPEX!O39</f>
        <v/>
      </c>
      <c r="O196" s="146">
        <f>CAPEX!P39</f>
        <v/>
      </c>
      <c r="P196" s="146">
        <f>CAPEX!Q39</f>
        <v/>
      </c>
      <c r="Q196" s="146">
        <f>CAPEX!R39</f>
        <v/>
      </c>
      <c r="R196" s="146">
        <f>CAPEX!S39</f>
        <v/>
      </c>
      <c r="S196" s="146">
        <f>CAPEX!T39</f>
        <v/>
      </c>
      <c r="T196" s="146">
        <f>CAPEX!U39</f>
        <v/>
      </c>
      <c r="U196" s="146">
        <f>CAPEX!V39</f>
        <v/>
      </c>
      <c r="V196" s="146">
        <f>CAPEX!W39</f>
        <v/>
      </c>
      <c r="W196" s="146">
        <f>CAPEX!X39</f>
        <v/>
      </c>
      <c r="X196" s="146">
        <f>CAPEX!Y39</f>
        <v/>
      </c>
      <c r="Y196" s="146">
        <f>CAPEX!Z39</f>
        <v/>
      </c>
      <c r="Z196" s="146">
        <f>CAPEX!AA39</f>
        <v/>
      </c>
      <c r="AA196" s="146">
        <f>CAPEX!AB39</f>
        <v/>
      </c>
      <c r="AB196" s="146">
        <f>CAPEX!AC39</f>
        <v/>
      </c>
      <c r="AC196" s="146">
        <f>CAPEX!AD39</f>
        <v/>
      </c>
      <c r="AD196" s="146">
        <f>CAPEX!AE39</f>
        <v/>
      </c>
      <c r="AE196" s="146">
        <f>CAPEX!AF39</f>
        <v/>
      </c>
      <c r="AF196" s="146">
        <f>CAPEX!AG39</f>
        <v/>
      </c>
      <c r="AG196" s="146">
        <f>CAPEX!AH39</f>
        <v/>
      </c>
      <c r="AH196" s="146">
        <f>CAPEX!AI39</f>
        <v/>
      </c>
      <c r="AI196" s="146">
        <f>CAPEX!AJ39</f>
        <v/>
      </c>
      <c r="AJ196" s="146">
        <f>CAPEX!AK39</f>
        <v/>
      </c>
      <c r="AK196" s="146">
        <f>CAPEX!AL39</f>
        <v/>
      </c>
      <c r="AL196" s="146">
        <f>CAPEX!AM39</f>
        <v/>
      </c>
      <c r="AM196" s="146">
        <f>CAPEX!AN39</f>
        <v/>
      </c>
      <c r="AN196" s="146">
        <f>CAPEX!AO39</f>
        <v/>
      </c>
      <c r="AO196" s="146">
        <f>CAPEX!AP39</f>
        <v/>
      </c>
      <c r="AP196" s="146">
        <f>CAPEX!AQ39</f>
        <v/>
      </c>
      <c r="AQ196" s="146">
        <f>CAPEX!AR39</f>
        <v/>
      </c>
      <c r="AR196" s="146">
        <f>CAPEX!AS39</f>
        <v/>
      </c>
      <c r="AS196" s="146">
        <f>CAPEX!AT39</f>
        <v/>
      </c>
      <c r="AT196" s="146">
        <f>CAPEX!AU39</f>
        <v/>
      </c>
      <c r="AU196" s="146">
        <f>CAPEX!AV39</f>
        <v/>
      </c>
      <c r="AV196" s="146">
        <f>CAPEX!AW39</f>
        <v/>
      </c>
      <c r="AW196" s="146">
        <f>CAPEX!AX39</f>
        <v/>
      </c>
      <c r="AX196" s="146">
        <f>CAPEX!AY39</f>
        <v/>
      </c>
      <c r="AY196" s="146">
        <f>CAPEX!AZ39</f>
        <v/>
      </c>
      <c r="AZ196" s="146">
        <f>CAPEX!BA39</f>
        <v/>
      </c>
      <c r="BA196" s="146">
        <f>CAPEX!BB39</f>
        <v/>
      </c>
    </row>
    <row r="197" outlineLevel="1" ht="15" customHeight="1" s="91">
      <c r="B197" s="145" t="inlineStr">
        <is>
          <t>ZAN 5</t>
        </is>
      </c>
      <c r="C197" s="138">
        <f>SUM(D197:BA197)</f>
        <v/>
      </c>
      <c r="D197" s="146">
        <f>CAPEX!E40</f>
        <v/>
      </c>
      <c r="E197" s="146">
        <f>CAPEX!F40</f>
        <v/>
      </c>
      <c r="F197" s="146">
        <f>CAPEX!G40</f>
        <v/>
      </c>
      <c r="G197" s="146">
        <f>CAPEX!H40</f>
        <v/>
      </c>
      <c r="H197" s="146">
        <f>CAPEX!I40</f>
        <v/>
      </c>
      <c r="I197" s="146">
        <f>CAPEX!J40</f>
        <v/>
      </c>
      <c r="J197" s="146">
        <f>CAPEX!K40</f>
        <v/>
      </c>
      <c r="K197" s="146">
        <f>CAPEX!L40</f>
        <v/>
      </c>
      <c r="L197" s="146">
        <f>CAPEX!M40</f>
        <v/>
      </c>
      <c r="M197" s="146">
        <f>CAPEX!N40</f>
        <v/>
      </c>
      <c r="N197" s="146">
        <f>CAPEX!O40</f>
        <v/>
      </c>
      <c r="O197" s="146">
        <f>CAPEX!P40</f>
        <v/>
      </c>
      <c r="P197" s="146">
        <f>CAPEX!Q40</f>
        <v/>
      </c>
      <c r="Q197" s="146">
        <f>CAPEX!R40</f>
        <v/>
      </c>
      <c r="R197" s="146">
        <f>CAPEX!S40</f>
        <v/>
      </c>
      <c r="S197" s="146">
        <f>CAPEX!T40</f>
        <v/>
      </c>
      <c r="T197" s="146">
        <f>CAPEX!U40</f>
        <v/>
      </c>
      <c r="U197" s="146">
        <f>CAPEX!V40</f>
        <v/>
      </c>
      <c r="V197" s="146">
        <f>CAPEX!W40</f>
        <v/>
      </c>
      <c r="W197" s="146">
        <f>CAPEX!X40</f>
        <v/>
      </c>
      <c r="X197" s="146">
        <f>CAPEX!Y40</f>
        <v/>
      </c>
      <c r="Y197" s="146">
        <f>CAPEX!Z40</f>
        <v/>
      </c>
      <c r="Z197" s="146">
        <f>CAPEX!AA40</f>
        <v/>
      </c>
      <c r="AA197" s="146">
        <f>CAPEX!AB40</f>
        <v/>
      </c>
      <c r="AB197" s="146">
        <f>CAPEX!AC40</f>
        <v/>
      </c>
      <c r="AC197" s="146">
        <f>CAPEX!AD40</f>
        <v/>
      </c>
      <c r="AD197" s="146">
        <f>CAPEX!AE40</f>
        <v/>
      </c>
      <c r="AE197" s="146">
        <f>CAPEX!AF40</f>
        <v/>
      </c>
      <c r="AF197" s="146">
        <f>CAPEX!AG40</f>
        <v/>
      </c>
      <c r="AG197" s="146">
        <f>CAPEX!AH40</f>
        <v/>
      </c>
      <c r="AH197" s="146">
        <f>CAPEX!AI40</f>
        <v/>
      </c>
      <c r="AI197" s="146">
        <f>CAPEX!AJ40</f>
        <v/>
      </c>
      <c r="AJ197" s="146">
        <f>CAPEX!AK40</f>
        <v/>
      </c>
      <c r="AK197" s="146">
        <f>CAPEX!AL40</f>
        <v/>
      </c>
      <c r="AL197" s="146">
        <f>CAPEX!AM40</f>
        <v/>
      </c>
      <c r="AM197" s="146">
        <f>CAPEX!AN40</f>
        <v/>
      </c>
      <c r="AN197" s="146">
        <f>CAPEX!AO40</f>
        <v/>
      </c>
      <c r="AO197" s="146">
        <f>CAPEX!AP40</f>
        <v/>
      </c>
      <c r="AP197" s="146">
        <f>CAPEX!AQ40</f>
        <v/>
      </c>
      <c r="AQ197" s="146">
        <f>CAPEX!AR40</f>
        <v/>
      </c>
      <c r="AR197" s="146">
        <f>CAPEX!AS40</f>
        <v/>
      </c>
      <c r="AS197" s="146">
        <f>CAPEX!AT40</f>
        <v/>
      </c>
      <c r="AT197" s="146">
        <f>CAPEX!AU40</f>
        <v/>
      </c>
      <c r="AU197" s="146">
        <f>CAPEX!AV40</f>
        <v/>
      </c>
      <c r="AV197" s="146">
        <f>CAPEX!AW40</f>
        <v/>
      </c>
      <c r="AW197" s="146">
        <f>CAPEX!AX40</f>
        <v/>
      </c>
      <c r="AX197" s="146">
        <f>CAPEX!AY40</f>
        <v/>
      </c>
      <c r="AY197" s="146">
        <f>CAPEX!AZ40</f>
        <v/>
      </c>
      <c r="AZ197" s="146">
        <f>CAPEX!BA40</f>
        <v/>
      </c>
      <c r="BA197" s="146">
        <f>CAPEX!BB40</f>
        <v/>
      </c>
    </row>
    <row r="198" outlineLevel="1" ht="15" customHeight="1" s="91">
      <c r="B198" s="145" t="inlineStr">
        <is>
          <t>ZAN 6</t>
        </is>
      </c>
      <c r="C198" s="138">
        <f>SUM(D198:BA198)</f>
        <v/>
      </c>
      <c r="D198" s="146">
        <f>CAPEX!E41</f>
        <v/>
      </c>
      <c r="E198" s="146">
        <f>CAPEX!F41</f>
        <v/>
      </c>
      <c r="F198" s="146">
        <f>CAPEX!G41</f>
        <v/>
      </c>
      <c r="G198" s="146">
        <f>CAPEX!H41</f>
        <v/>
      </c>
      <c r="H198" s="146">
        <f>CAPEX!I41</f>
        <v/>
      </c>
      <c r="I198" s="146">
        <f>CAPEX!J41</f>
        <v/>
      </c>
      <c r="J198" s="146">
        <f>CAPEX!K41</f>
        <v/>
      </c>
      <c r="K198" s="146">
        <f>CAPEX!L41</f>
        <v/>
      </c>
      <c r="L198" s="146">
        <f>CAPEX!M41</f>
        <v/>
      </c>
      <c r="M198" s="146">
        <f>CAPEX!N41</f>
        <v/>
      </c>
      <c r="N198" s="146">
        <f>CAPEX!O41</f>
        <v/>
      </c>
      <c r="O198" s="146">
        <f>CAPEX!P41</f>
        <v/>
      </c>
      <c r="P198" s="146">
        <f>CAPEX!Q41</f>
        <v/>
      </c>
      <c r="Q198" s="146">
        <f>CAPEX!R41</f>
        <v/>
      </c>
      <c r="R198" s="146">
        <f>CAPEX!S41</f>
        <v/>
      </c>
      <c r="S198" s="146">
        <f>CAPEX!T41</f>
        <v/>
      </c>
      <c r="T198" s="146">
        <f>CAPEX!U41</f>
        <v/>
      </c>
      <c r="U198" s="146">
        <f>CAPEX!V41</f>
        <v/>
      </c>
      <c r="V198" s="146">
        <f>CAPEX!W41</f>
        <v/>
      </c>
      <c r="W198" s="146">
        <f>CAPEX!X41</f>
        <v/>
      </c>
      <c r="X198" s="146">
        <f>CAPEX!Y41</f>
        <v/>
      </c>
      <c r="Y198" s="146">
        <f>CAPEX!Z41</f>
        <v/>
      </c>
      <c r="Z198" s="146">
        <f>CAPEX!AA41</f>
        <v/>
      </c>
      <c r="AA198" s="146">
        <f>CAPEX!AB41</f>
        <v/>
      </c>
      <c r="AB198" s="146">
        <f>CAPEX!AC41</f>
        <v/>
      </c>
      <c r="AC198" s="146">
        <f>CAPEX!AD41</f>
        <v/>
      </c>
      <c r="AD198" s="146">
        <f>CAPEX!AE41</f>
        <v/>
      </c>
      <c r="AE198" s="146">
        <f>CAPEX!AF41</f>
        <v/>
      </c>
      <c r="AF198" s="146">
        <f>CAPEX!AG41</f>
        <v/>
      </c>
      <c r="AG198" s="146">
        <f>CAPEX!AH41</f>
        <v/>
      </c>
      <c r="AH198" s="146">
        <f>CAPEX!AI41</f>
        <v/>
      </c>
      <c r="AI198" s="146">
        <f>CAPEX!AJ41</f>
        <v/>
      </c>
      <c r="AJ198" s="146">
        <f>CAPEX!AK41</f>
        <v/>
      </c>
      <c r="AK198" s="146">
        <f>CAPEX!AL41</f>
        <v/>
      </c>
      <c r="AL198" s="146">
        <f>CAPEX!AM41</f>
        <v/>
      </c>
      <c r="AM198" s="146">
        <f>CAPEX!AN41</f>
        <v/>
      </c>
      <c r="AN198" s="146">
        <f>CAPEX!AO41</f>
        <v/>
      </c>
      <c r="AO198" s="146">
        <f>CAPEX!AP41</f>
        <v/>
      </c>
      <c r="AP198" s="146">
        <f>CAPEX!AQ41</f>
        <v/>
      </c>
      <c r="AQ198" s="146">
        <f>CAPEX!AR41</f>
        <v/>
      </c>
      <c r="AR198" s="146">
        <f>CAPEX!AS41</f>
        <v/>
      </c>
      <c r="AS198" s="146">
        <f>CAPEX!AT41</f>
        <v/>
      </c>
      <c r="AT198" s="146">
        <f>CAPEX!AU41</f>
        <v/>
      </c>
      <c r="AU198" s="146">
        <f>CAPEX!AV41</f>
        <v/>
      </c>
      <c r="AV198" s="146">
        <f>CAPEX!AW41</f>
        <v/>
      </c>
      <c r="AW198" s="146">
        <f>CAPEX!AX41</f>
        <v/>
      </c>
      <c r="AX198" s="146">
        <f>CAPEX!AY41</f>
        <v/>
      </c>
      <c r="AY198" s="146">
        <f>CAPEX!AZ41</f>
        <v/>
      </c>
      <c r="AZ198" s="146">
        <f>CAPEX!BA41</f>
        <v/>
      </c>
      <c r="BA198" s="146">
        <f>CAPEX!BB41</f>
        <v/>
      </c>
    </row>
    <row r="199" outlineLevel="1" ht="15" customHeight="1" s="91">
      <c r="B199" s="145" t="inlineStr">
        <is>
          <t>ZAN 7</t>
        </is>
      </c>
      <c r="C199" s="138">
        <f>SUM(D199:BA199)</f>
        <v/>
      </c>
      <c r="D199" s="146">
        <f>CAPEX!E42</f>
        <v/>
      </c>
      <c r="E199" s="146">
        <f>CAPEX!F42</f>
        <v/>
      </c>
      <c r="F199" s="146">
        <f>CAPEX!G42</f>
        <v/>
      </c>
      <c r="G199" s="146">
        <f>CAPEX!H42</f>
        <v/>
      </c>
      <c r="H199" s="146">
        <f>CAPEX!I42</f>
        <v/>
      </c>
      <c r="I199" s="146">
        <f>CAPEX!J42</f>
        <v/>
      </c>
      <c r="J199" s="146">
        <f>CAPEX!K42</f>
        <v/>
      </c>
      <c r="K199" s="146">
        <f>CAPEX!L42</f>
        <v/>
      </c>
      <c r="L199" s="146">
        <f>CAPEX!M42</f>
        <v/>
      </c>
      <c r="M199" s="146">
        <f>CAPEX!N42</f>
        <v/>
      </c>
      <c r="N199" s="146">
        <f>CAPEX!O42</f>
        <v/>
      </c>
      <c r="O199" s="146">
        <f>CAPEX!P42</f>
        <v/>
      </c>
      <c r="P199" s="146">
        <f>CAPEX!Q42</f>
        <v/>
      </c>
      <c r="Q199" s="146">
        <f>CAPEX!R42</f>
        <v/>
      </c>
      <c r="R199" s="146">
        <f>CAPEX!S42</f>
        <v/>
      </c>
      <c r="S199" s="146">
        <f>CAPEX!T42</f>
        <v/>
      </c>
      <c r="T199" s="146">
        <f>CAPEX!U42</f>
        <v/>
      </c>
      <c r="U199" s="146">
        <f>CAPEX!V42</f>
        <v/>
      </c>
      <c r="V199" s="146">
        <f>CAPEX!W42</f>
        <v/>
      </c>
      <c r="W199" s="146">
        <f>CAPEX!X42</f>
        <v/>
      </c>
      <c r="X199" s="146">
        <f>CAPEX!Y42</f>
        <v/>
      </c>
      <c r="Y199" s="146">
        <f>CAPEX!Z42</f>
        <v/>
      </c>
      <c r="Z199" s="146">
        <f>CAPEX!AA42</f>
        <v/>
      </c>
      <c r="AA199" s="146">
        <f>CAPEX!AB42</f>
        <v/>
      </c>
      <c r="AB199" s="146">
        <f>CAPEX!AC42</f>
        <v/>
      </c>
      <c r="AC199" s="146">
        <f>CAPEX!AD42</f>
        <v/>
      </c>
      <c r="AD199" s="146">
        <f>CAPEX!AE42</f>
        <v/>
      </c>
      <c r="AE199" s="146">
        <f>CAPEX!AF42</f>
        <v/>
      </c>
      <c r="AF199" s="146">
        <f>CAPEX!AG42</f>
        <v/>
      </c>
      <c r="AG199" s="146">
        <f>CAPEX!AH42</f>
        <v/>
      </c>
      <c r="AH199" s="146">
        <f>CAPEX!AI42</f>
        <v/>
      </c>
      <c r="AI199" s="146">
        <f>CAPEX!AJ42</f>
        <v/>
      </c>
      <c r="AJ199" s="146">
        <f>CAPEX!AK42</f>
        <v/>
      </c>
      <c r="AK199" s="146">
        <f>CAPEX!AL42</f>
        <v/>
      </c>
      <c r="AL199" s="146">
        <f>CAPEX!AM42</f>
        <v/>
      </c>
      <c r="AM199" s="146">
        <f>CAPEX!AN42</f>
        <v/>
      </c>
      <c r="AN199" s="146">
        <f>CAPEX!AO42</f>
        <v/>
      </c>
      <c r="AO199" s="146">
        <f>CAPEX!AP42</f>
        <v/>
      </c>
      <c r="AP199" s="146">
        <f>CAPEX!AQ42</f>
        <v/>
      </c>
      <c r="AQ199" s="146">
        <f>CAPEX!AR42</f>
        <v/>
      </c>
      <c r="AR199" s="146">
        <f>CAPEX!AS42</f>
        <v/>
      </c>
      <c r="AS199" s="146">
        <f>CAPEX!AT42</f>
        <v/>
      </c>
      <c r="AT199" s="146">
        <f>CAPEX!AU42</f>
        <v/>
      </c>
      <c r="AU199" s="146">
        <f>CAPEX!AV42</f>
        <v/>
      </c>
      <c r="AV199" s="146">
        <f>CAPEX!AW42</f>
        <v/>
      </c>
      <c r="AW199" s="146">
        <f>CAPEX!AX42</f>
        <v/>
      </c>
      <c r="AX199" s="146">
        <f>CAPEX!AY42</f>
        <v/>
      </c>
      <c r="AY199" s="146">
        <f>CAPEX!AZ42</f>
        <v/>
      </c>
      <c r="AZ199" s="146">
        <f>CAPEX!BA42</f>
        <v/>
      </c>
      <c r="BA199" s="146">
        <f>CAPEX!BB42</f>
        <v/>
      </c>
    </row>
    <row r="200" outlineLevel="1" ht="15" customHeight="1" s="91">
      <c r="B200" s="145" t="inlineStr">
        <is>
          <t>ZAN 8</t>
        </is>
      </c>
      <c r="C200" s="138">
        <f>SUM(D200:BA200)</f>
        <v/>
      </c>
      <c r="D200" s="146">
        <f>CAPEX!E43</f>
        <v/>
      </c>
      <c r="E200" s="146">
        <f>CAPEX!F43</f>
        <v/>
      </c>
      <c r="F200" s="146">
        <f>CAPEX!G43</f>
        <v/>
      </c>
      <c r="G200" s="146">
        <f>CAPEX!H43</f>
        <v/>
      </c>
      <c r="H200" s="146">
        <f>CAPEX!I43</f>
        <v/>
      </c>
      <c r="I200" s="146">
        <f>CAPEX!J43</f>
        <v/>
      </c>
      <c r="J200" s="146">
        <f>CAPEX!K43</f>
        <v/>
      </c>
      <c r="K200" s="146">
        <f>CAPEX!L43</f>
        <v/>
      </c>
      <c r="L200" s="146">
        <f>CAPEX!M43</f>
        <v/>
      </c>
      <c r="M200" s="146">
        <f>CAPEX!N43</f>
        <v/>
      </c>
      <c r="N200" s="146">
        <f>CAPEX!O43</f>
        <v/>
      </c>
      <c r="O200" s="146">
        <f>CAPEX!P43</f>
        <v/>
      </c>
      <c r="P200" s="146">
        <f>CAPEX!Q43</f>
        <v/>
      </c>
      <c r="Q200" s="146">
        <f>CAPEX!R43</f>
        <v/>
      </c>
      <c r="R200" s="146">
        <f>CAPEX!S43</f>
        <v/>
      </c>
      <c r="S200" s="146">
        <f>CAPEX!T43</f>
        <v/>
      </c>
      <c r="T200" s="146">
        <f>CAPEX!U43</f>
        <v/>
      </c>
      <c r="U200" s="146">
        <f>CAPEX!V43</f>
        <v/>
      </c>
      <c r="V200" s="146">
        <f>CAPEX!W43</f>
        <v/>
      </c>
      <c r="W200" s="146">
        <f>CAPEX!X43</f>
        <v/>
      </c>
      <c r="X200" s="146">
        <f>CAPEX!Y43</f>
        <v/>
      </c>
      <c r="Y200" s="146">
        <f>CAPEX!Z43</f>
        <v/>
      </c>
      <c r="Z200" s="146">
        <f>CAPEX!AA43</f>
        <v/>
      </c>
      <c r="AA200" s="146">
        <f>CAPEX!AB43</f>
        <v/>
      </c>
      <c r="AB200" s="146">
        <f>CAPEX!AC43</f>
        <v/>
      </c>
      <c r="AC200" s="146">
        <f>CAPEX!AD43</f>
        <v/>
      </c>
      <c r="AD200" s="146">
        <f>CAPEX!AE43</f>
        <v/>
      </c>
      <c r="AE200" s="146">
        <f>CAPEX!AF43</f>
        <v/>
      </c>
      <c r="AF200" s="146">
        <f>CAPEX!AG43</f>
        <v/>
      </c>
      <c r="AG200" s="146">
        <f>CAPEX!AH43</f>
        <v/>
      </c>
      <c r="AH200" s="146">
        <f>CAPEX!AI43</f>
        <v/>
      </c>
      <c r="AI200" s="146">
        <f>CAPEX!AJ43</f>
        <v/>
      </c>
      <c r="AJ200" s="146">
        <f>CAPEX!AK43</f>
        <v/>
      </c>
      <c r="AK200" s="146">
        <f>CAPEX!AL43</f>
        <v/>
      </c>
      <c r="AL200" s="146">
        <f>CAPEX!AM43</f>
        <v/>
      </c>
      <c r="AM200" s="146">
        <f>CAPEX!AN43</f>
        <v/>
      </c>
      <c r="AN200" s="146">
        <f>CAPEX!AO43</f>
        <v/>
      </c>
      <c r="AO200" s="146">
        <f>CAPEX!AP43</f>
        <v/>
      </c>
      <c r="AP200" s="146">
        <f>CAPEX!AQ43</f>
        <v/>
      </c>
      <c r="AQ200" s="146">
        <f>CAPEX!AR43</f>
        <v/>
      </c>
      <c r="AR200" s="146">
        <f>CAPEX!AS43</f>
        <v/>
      </c>
      <c r="AS200" s="146">
        <f>CAPEX!AT43</f>
        <v/>
      </c>
      <c r="AT200" s="146">
        <f>CAPEX!AU43</f>
        <v/>
      </c>
      <c r="AU200" s="146">
        <f>CAPEX!AV43</f>
        <v/>
      </c>
      <c r="AV200" s="146">
        <f>CAPEX!AW43</f>
        <v/>
      </c>
      <c r="AW200" s="146">
        <f>CAPEX!AX43</f>
        <v/>
      </c>
      <c r="AX200" s="146">
        <f>CAPEX!AY43</f>
        <v/>
      </c>
      <c r="AY200" s="146">
        <f>CAPEX!AZ43</f>
        <v/>
      </c>
      <c r="AZ200" s="146">
        <f>CAPEX!BA43</f>
        <v/>
      </c>
      <c r="BA200" s="146">
        <f>CAPEX!BB43</f>
        <v/>
      </c>
    </row>
    <row r="201" outlineLevel="1" ht="15" customHeight="1" s="91">
      <c r="B201" s="145" t="inlineStr">
        <is>
          <t>ZAN 9</t>
        </is>
      </c>
      <c r="C201" s="138">
        <f>SUM(D201:BA201)</f>
        <v/>
      </c>
      <c r="D201" s="146">
        <f>CAPEX!E44</f>
        <v/>
      </c>
      <c r="E201" s="146">
        <f>CAPEX!F44</f>
        <v/>
      </c>
      <c r="F201" s="146">
        <f>CAPEX!G44</f>
        <v/>
      </c>
      <c r="G201" s="146">
        <f>CAPEX!H44</f>
        <v/>
      </c>
      <c r="H201" s="146">
        <f>CAPEX!I44</f>
        <v/>
      </c>
      <c r="I201" s="146">
        <f>CAPEX!J44</f>
        <v/>
      </c>
      <c r="J201" s="146">
        <f>CAPEX!K44</f>
        <v/>
      </c>
      <c r="K201" s="146">
        <f>CAPEX!L44</f>
        <v/>
      </c>
      <c r="L201" s="146">
        <f>CAPEX!M44</f>
        <v/>
      </c>
      <c r="M201" s="146">
        <f>CAPEX!N44</f>
        <v/>
      </c>
      <c r="N201" s="146">
        <f>CAPEX!O44</f>
        <v/>
      </c>
      <c r="O201" s="146">
        <f>CAPEX!P44</f>
        <v/>
      </c>
      <c r="P201" s="146">
        <f>CAPEX!Q44</f>
        <v/>
      </c>
      <c r="Q201" s="146">
        <f>CAPEX!R44</f>
        <v/>
      </c>
      <c r="R201" s="146">
        <f>CAPEX!S44</f>
        <v/>
      </c>
      <c r="S201" s="146">
        <f>CAPEX!T44</f>
        <v/>
      </c>
      <c r="T201" s="146">
        <f>CAPEX!U44</f>
        <v/>
      </c>
      <c r="U201" s="146">
        <f>CAPEX!V44</f>
        <v/>
      </c>
      <c r="V201" s="146">
        <f>CAPEX!W44</f>
        <v/>
      </c>
      <c r="W201" s="146">
        <f>CAPEX!X44</f>
        <v/>
      </c>
      <c r="X201" s="146">
        <f>CAPEX!Y44</f>
        <v/>
      </c>
      <c r="Y201" s="146">
        <f>CAPEX!Z44</f>
        <v/>
      </c>
      <c r="Z201" s="146">
        <f>CAPEX!AA44</f>
        <v/>
      </c>
      <c r="AA201" s="146">
        <f>CAPEX!AB44</f>
        <v/>
      </c>
      <c r="AB201" s="146">
        <f>CAPEX!AC44</f>
        <v/>
      </c>
      <c r="AC201" s="146">
        <f>CAPEX!AD44</f>
        <v/>
      </c>
      <c r="AD201" s="146">
        <f>CAPEX!AE44</f>
        <v/>
      </c>
      <c r="AE201" s="146">
        <f>CAPEX!AF44</f>
        <v/>
      </c>
      <c r="AF201" s="146">
        <f>CAPEX!AG44</f>
        <v/>
      </c>
      <c r="AG201" s="146">
        <f>CAPEX!AH44</f>
        <v/>
      </c>
      <c r="AH201" s="146">
        <f>CAPEX!AI44</f>
        <v/>
      </c>
      <c r="AI201" s="146">
        <f>CAPEX!AJ44</f>
        <v/>
      </c>
      <c r="AJ201" s="146">
        <f>CAPEX!AK44</f>
        <v/>
      </c>
      <c r="AK201" s="146">
        <f>CAPEX!AL44</f>
        <v/>
      </c>
      <c r="AL201" s="146">
        <f>CAPEX!AM44</f>
        <v/>
      </c>
      <c r="AM201" s="146">
        <f>CAPEX!AN44</f>
        <v/>
      </c>
      <c r="AN201" s="146">
        <f>CAPEX!AO44</f>
        <v/>
      </c>
      <c r="AO201" s="146">
        <f>CAPEX!AP44</f>
        <v/>
      </c>
      <c r="AP201" s="146">
        <f>CAPEX!AQ44</f>
        <v/>
      </c>
      <c r="AQ201" s="146">
        <f>CAPEX!AR44</f>
        <v/>
      </c>
      <c r="AR201" s="146">
        <f>CAPEX!AS44</f>
        <v/>
      </c>
      <c r="AS201" s="146">
        <f>CAPEX!AT44</f>
        <v/>
      </c>
      <c r="AT201" s="146">
        <f>CAPEX!AU44</f>
        <v/>
      </c>
      <c r="AU201" s="146">
        <f>CAPEX!AV44</f>
        <v/>
      </c>
      <c r="AV201" s="146">
        <f>CAPEX!AW44</f>
        <v/>
      </c>
      <c r="AW201" s="146">
        <f>CAPEX!AX44</f>
        <v/>
      </c>
      <c r="AX201" s="146">
        <f>CAPEX!AY44</f>
        <v/>
      </c>
      <c r="AY201" s="146">
        <f>CAPEX!AZ44</f>
        <v/>
      </c>
      <c r="AZ201" s="146">
        <f>CAPEX!BA44</f>
        <v/>
      </c>
      <c r="BA201" s="146">
        <f>CAPEX!BB44</f>
        <v/>
      </c>
    </row>
    <row r="202" outlineLevel="1" ht="15" customHeight="1" s="91">
      <c r="B202" s="145" t="inlineStr">
        <is>
          <t>ZAN 10</t>
        </is>
      </c>
      <c r="C202" s="138">
        <f>SUM(D202:BA202)</f>
        <v/>
      </c>
      <c r="D202" s="146">
        <f>CAPEX!E45</f>
        <v/>
      </c>
      <c r="E202" s="146">
        <f>CAPEX!F45</f>
        <v/>
      </c>
      <c r="F202" s="146">
        <f>CAPEX!G45</f>
        <v/>
      </c>
      <c r="G202" s="146">
        <f>CAPEX!H45</f>
        <v/>
      </c>
      <c r="H202" s="146">
        <f>CAPEX!I45</f>
        <v/>
      </c>
      <c r="I202" s="146">
        <f>CAPEX!J45</f>
        <v/>
      </c>
      <c r="J202" s="146">
        <f>CAPEX!K45</f>
        <v/>
      </c>
      <c r="K202" s="146">
        <f>CAPEX!L45</f>
        <v/>
      </c>
      <c r="L202" s="146">
        <f>CAPEX!M45</f>
        <v/>
      </c>
      <c r="M202" s="146">
        <f>CAPEX!N45</f>
        <v/>
      </c>
      <c r="N202" s="146">
        <f>CAPEX!O45</f>
        <v/>
      </c>
      <c r="O202" s="146">
        <f>CAPEX!P45</f>
        <v/>
      </c>
      <c r="P202" s="146">
        <f>CAPEX!Q45</f>
        <v/>
      </c>
      <c r="Q202" s="146">
        <f>CAPEX!R45</f>
        <v/>
      </c>
      <c r="R202" s="146">
        <f>CAPEX!S45</f>
        <v/>
      </c>
      <c r="S202" s="146">
        <f>CAPEX!T45</f>
        <v/>
      </c>
      <c r="T202" s="146">
        <f>CAPEX!U45</f>
        <v/>
      </c>
      <c r="U202" s="146">
        <f>CAPEX!V45</f>
        <v/>
      </c>
      <c r="V202" s="146">
        <f>CAPEX!W45</f>
        <v/>
      </c>
      <c r="W202" s="146">
        <f>CAPEX!X45</f>
        <v/>
      </c>
      <c r="X202" s="146">
        <f>CAPEX!Y45</f>
        <v/>
      </c>
      <c r="Y202" s="146">
        <f>CAPEX!Z45</f>
        <v/>
      </c>
      <c r="Z202" s="146">
        <f>CAPEX!AA45</f>
        <v/>
      </c>
      <c r="AA202" s="146">
        <f>CAPEX!AB45</f>
        <v/>
      </c>
      <c r="AB202" s="146">
        <f>CAPEX!AC45</f>
        <v/>
      </c>
      <c r="AC202" s="146">
        <f>CAPEX!AD45</f>
        <v/>
      </c>
      <c r="AD202" s="146">
        <f>CAPEX!AE45</f>
        <v/>
      </c>
      <c r="AE202" s="146">
        <f>CAPEX!AF45</f>
        <v/>
      </c>
      <c r="AF202" s="146">
        <f>CAPEX!AG45</f>
        <v/>
      </c>
      <c r="AG202" s="146">
        <f>CAPEX!AH45</f>
        <v/>
      </c>
      <c r="AH202" s="146">
        <f>CAPEX!AI45</f>
        <v/>
      </c>
      <c r="AI202" s="146">
        <f>CAPEX!AJ45</f>
        <v/>
      </c>
      <c r="AJ202" s="146">
        <f>CAPEX!AK45</f>
        <v/>
      </c>
      <c r="AK202" s="146">
        <f>CAPEX!AL45</f>
        <v/>
      </c>
      <c r="AL202" s="146">
        <f>CAPEX!AM45</f>
        <v/>
      </c>
      <c r="AM202" s="146">
        <f>CAPEX!AN45</f>
        <v/>
      </c>
      <c r="AN202" s="146">
        <f>CAPEX!AO45</f>
        <v/>
      </c>
      <c r="AO202" s="146">
        <f>CAPEX!AP45</f>
        <v/>
      </c>
      <c r="AP202" s="146">
        <f>CAPEX!AQ45</f>
        <v/>
      </c>
      <c r="AQ202" s="146">
        <f>CAPEX!AR45</f>
        <v/>
      </c>
      <c r="AR202" s="146">
        <f>CAPEX!AS45</f>
        <v/>
      </c>
      <c r="AS202" s="146">
        <f>CAPEX!AT45</f>
        <v/>
      </c>
      <c r="AT202" s="146">
        <f>CAPEX!AU45</f>
        <v/>
      </c>
      <c r="AU202" s="146">
        <f>CAPEX!AV45</f>
        <v/>
      </c>
      <c r="AV202" s="146">
        <f>CAPEX!AW45</f>
        <v/>
      </c>
      <c r="AW202" s="146">
        <f>CAPEX!AX45</f>
        <v/>
      </c>
      <c r="AX202" s="146">
        <f>CAPEX!AY45</f>
        <v/>
      </c>
      <c r="AY202" s="146">
        <f>CAPEX!AZ45</f>
        <v/>
      </c>
      <c r="AZ202" s="146">
        <f>CAPEX!BA45</f>
        <v/>
      </c>
      <c r="BA202" s="146">
        <f>CAPEX!BB45</f>
        <v/>
      </c>
    </row>
    <row r="203" outlineLevel="1" ht="15" customHeight="1" s="91">
      <c r="B203" s="145" t="inlineStr">
        <is>
          <t>ZAN 11</t>
        </is>
      </c>
      <c r="C203" s="138">
        <f>SUM(D203:BA203)</f>
        <v/>
      </c>
      <c r="D203" s="146">
        <f>CAPEX!E46</f>
        <v/>
      </c>
      <c r="E203" s="146">
        <f>CAPEX!F46</f>
        <v/>
      </c>
      <c r="F203" s="146">
        <f>CAPEX!G46</f>
        <v/>
      </c>
      <c r="G203" s="146">
        <f>CAPEX!H46</f>
        <v/>
      </c>
      <c r="H203" s="146">
        <f>CAPEX!I46</f>
        <v/>
      </c>
      <c r="I203" s="146">
        <f>CAPEX!J46</f>
        <v/>
      </c>
      <c r="J203" s="146">
        <f>CAPEX!K46</f>
        <v/>
      </c>
      <c r="K203" s="146">
        <f>CAPEX!L46</f>
        <v/>
      </c>
      <c r="L203" s="146">
        <f>CAPEX!M46</f>
        <v/>
      </c>
      <c r="M203" s="146">
        <f>CAPEX!N46</f>
        <v/>
      </c>
      <c r="N203" s="146">
        <f>CAPEX!O46</f>
        <v/>
      </c>
      <c r="O203" s="146">
        <f>CAPEX!P46</f>
        <v/>
      </c>
      <c r="P203" s="146">
        <f>CAPEX!Q46</f>
        <v/>
      </c>
      <c r="Q203" s="146">
        <f>CAPEX!R46</f>
        <v/>
      </c>
      <c r="R203" s="146">
        <f>CAPEX!S46</f>
        <v/>
      </c>
      <c r="S203" s="146">
        <f>CAPEX!T46</f>
        <v/>
      </c>
      <c r="T203" s="146">
        <f>CAPEX!U46</f>
        <v/>
      </c>
      <c r="U203" s="146">
        <f>CAPEX!V46</f>
        <v/>
      </c>
      <c r="V203" s="146">
        <f>CAPEX!W46</f>
        <v/>
      </c>
      <c r="W203" s="146">
        <f>CAPEX!X46</f>
        <v/>
      </c>
      <c r="X203" s="146">
        <f>CAPEX!Y46</f>
        <v/>
      </c>
      <c r="Y203" s="146">
        <f>CAPEX!Z46</f>
        <v/>
      </c>
      <c r="Z203" s="146">
        <f>CAPEX!AA46</f>
        <v/>
      </c>
      <c r="AA203" s="146">
        <f>CAPEX!AB46</f>
        <v/>
      </c>
      <c r="AB203" s="146">
        <f>CAPEX!AC46</f>
        <v/>
      </c>
      <c r="AC203" s="146">
        <f>CAPEX!AD46</f>
        <v/>
      </c>
      <c r="AD203" s="146">
        <f>CAPEX!AE46</f>
        <v/>
      </c>
      <c r="AE203" s="146">
        <f>CAPEX!AF46</f>
        <v/>
      </c>
      <c r="AF203" s="146">
        <f>CAPEX!AG46</f>
        <v/>
      </c>
      <c r="AG203" s="146">
        <f>CAPEX!AH46</f>
        <v/>
      </c>
      <c r="AH203" s="146">
        <f>CAPEX!AI46</f>
        <v/>
      </c>
      <c r="AI203" s="146">
        <f>CAPEX!AJ46</f>
        <v/>
      </c>
      <c r="AJ203" s="146">
        <f>CAPEX!AK46</f>
        <v/>
      </c>
      <c r="AK203" s="146">
        <f>CAPEX!AL46</f>
        <v/>
      </c>
      <c r="AL203" s="146">
        <f>CAPEX!AM46</f>
        <v/>
      </c>
      <c r="AM203" s="146">
        <f>CAPEX!AN46</f>
        <v/>
      </c>
      <c r="AN203" s="146">
        <f>CAPEX!AO46</f>
        <v/>
      </c>
      <c r="AO203" s="146">
        <f>CAPEX!AP46</f>
        <v/>
      </c>
      <c r="AP203" s="146">
        <f>CAPEX!AQ46</f>
        <v/>
      </c>
      <c r="AQ203" s="146">
        <f>CAPEX!AR46</f>
        <v/>
      </c>
      <c r="AR203" s="146">
        <f>CAPEX!AS46</f>
        <v/>
      </c>
      <c r="AS203" s="146">
        <f>CAPEX!AT46</f>
        <v/>
      </c>
      <c r="AT203" s="146">
        <f>CAPEX!AU46</f>
        <v/>
      </c>
      <c r="AU203" s="146">
        <f>CAPEX!AV46</f>
        <v/>
      </c>
      <c r="AV203" s="146">
        <f>CAPEX!AW46</f>
        <v/>
      </c>
      <c r="AW203" s="146">
        <f>CAPEX!AX46</f>
        <v/>
      </c>
      <c r="AX203" s="146">
        <f>CAPEX!AY46</f>
        <v/>
      </c>
      <c r="AY203" s="146">
        <f>CAPEX!AZ46</f>
        <v/>
      </c>
      <c r="AZ203" s="146">
        <f>CAPEX!BA46</f>
        <v/>
      </c>
      <c r="BA203" s="146">
        <f>CAPEX!BB46</f>
        <v/>
      </c>
    </row>
    <row r="204" outlineLevel="1" ht="15" customHeight="1" s="91">
      <c r="B204" s="145" t="inlineStr">
        <is>
          <t>ZAN 12</t>
        </is>
      </c>
      <c r="C204" s="138">
        <f>SUM(D204:BA204)</f>
        <v/>
      </c>
      <c r="D204" s="146">
        <f>CAPEX!E47</f>
        <v/>
      </c>
      <c r="E204" s="146">
        <f>CAPEX!F47</f>
        <v/>
      </c>
      <c r="F204" s="146">
        <f>CAPEX!G47</f>
        <v/>
      </c>
      <c r="G204" s="146">
        <f>CAPEX!H47</f>
        <v/>
      </c>
      <c r="H204" s="146">
        <f>CAPEX!I47</f>
        <v/>
      </c>
      <c r="I204" s="146">
        <f>CAPEX!J47</f>
        <v/>
      </c>
      <c r="J204" s="146">
        <f>CAPEX!K47</f>
        <v/>
      </c>
      <c r="K204" s="146">
        <f>CAPEX!L47</f>
        <v/>
      </c>
      <c r="L204" s="146">
        <f>CAPEX!M47</f>
        <v/>
      </c>
      <c r="M204" s="146">
        <f>CAPEX!N47</f>
        <v/>
      </c>
      <c r="N204" s="146">
        <f>CAPEX!O47</f>
        <v/>
      </c>
      <c r="O204" s="146">
        <f>CAPEX!P47</f>
        <v/>
      </c>
      <c r="P204" s="146">
        <f>CAPEX!Q47</f>
        <v/>
      </c>
      <c r="Q204" s="146">
        <f>CAPEX!R47</f>
        <v/>
      </c>
      <c r="R204" s="146">
        <f>CAPEX!S47</f>
        <v/>
      </c>
      <c r="S204" s="146">
        <f>CAPEX!T47</f>
        <v/>
      </c>
      <c r="T204" s="146">
        <f>CAPEX!U47</f>
        <v/>
      </c>
      <c r="U204" s="146">
        <f>CAPEX!V47</f>
        <v/>
      </c>
      <c r="V204" s="146">
        <f>CAPEX!W47</f>
        <v/>
      </c>
      <c r="W204" s="146">
        <f>CAPEX!X47</f>
        <v/>
      </c>
      <c r="X204" s="146">
        <f>CAPEX!Y47</f>
        <v/>
      </c>
      <c r="Y204" s="146">
        <f>CAPEX!Z47</f>
        <v/>
      </c>
      <c r="Z204" s="146">
        <f>CAPEX!AA47</f>
        <v/>
      </c>
      <c r="AA204" s="146">
        <f>CAPEX!AB47</f>
        <v/>
      </c>
      <c r="AB204" s="146">
        <f>CAPEX!AC47</f>
        <v/>
      </c>
      <c r="AC204" s="146">
        <f>CAPEX!AD47</f>
        <v/>
      </c>
      <c r="AD204" s="146">
        <f>CAPEX!AE47</f>
        <v/>
      </c>
      <c r="AE204" s="146">
        <f>CAPEX!AF47</f>
        <v/>
      </c>
      <c r="AF204" s="146">
        <f>CAPEX!AG47</f>
        <v/>
      </c>
      <c r="AG204" s="146">
        <f>CAPEX!AH47</f>
        <v/>
      </c>
      <c r="AH204" s="146">
        <f>CAPEX!AI47</f>
        <v/>
      </c>
      <c r="AI204" s="146">
        <f>CAPEX!AJ47</f>
        <v/>
      </c>
      <c r="AJ204" s="146">
        <f>CAPEX!AK47</f>
        <v/>
      </c>
      <c r="AK204" s="146">
        <f>CAPEX!AL47</f>
        <v/>
      </c>
      <c r="AL204" s="146">
        <f>CAPEX!AM47</f>
        <v/>
      </c>
      <c r="AM204" s="146">
        <f>CAPEX!AN47</f>
        <v/>
      </c>
      <c r="AN204" s="146">
        <f>CAPEX!AO47</f>
        <v/>
      </c>
      <c r="AO204" s="146">
        <f>CAPEX!AP47</f>
        <v/>
      </c>
      <c r="AP204" s="146">
        <f>CAPEX!AQ47</f>
        <v/>
      </c>
      <c r="AQ204" s="146">
        <f>CAPEX!AR47</f>
        <v/>
      </c>
      <c r="AR204" s="146">
        <f>CAPEX!AS47</f>
        <v/>
      </c>
      <c r="AS204" s="146">
        <f>CAPEX!AT47</f>
        <v/>
      </c>
      <c r="AT204" s="146">
        <f>CAPEX!AU47</f>
        <v/>
      </c>
      <c r="AU204" s="146">
        <f>CAPEX!AV47</f>
        <v/>
      </c>
      <c r="AV204" s="146">
        <f>CAPEX!AW47</f>
        <v/>
      </c>
      <c r="AW204" s="146">
        <f>CAPEX!AX47</f>
        <v/>
      </c>
      <c r="AX204" s="146">
        <f>CAPEX!AY47</f>
        <v/>
      </c>
      <c r="AY204" s="146">
        <f>CAPEX!AZ47</f>
        <v/>
      </c>
      <c r="AZ204" s="146">
        <f>CAPEX!BA47</f>
        <v/>
      </c>
      <c r="BA204" s="146">
        <f>CAPEX!BB47</f>
        <v/>
      </c>
    </row>
    <row r="205" outlineLevel="1" ht="15" customHeight="1" s="91">
      <c r="B205" s="145" t="inlineStr">
        <is>
          <t>ZAN 13</t>
        </is>
      </c>
      <c r="C205" s="138">
        <f>SUM(D205:BA205)</f>
        <v/>
      </c>
      <c r="D205" s="146">
        <f>CAPEX!E48</f>
        <v/>
      </c>
      <c r="E205" s="146">
        <f>CAPEX!F48</f>
        <v/>
      </c>
      <c r="F205" s="146">
        <f>CAPEX!G48</f>
        <v/>
      </c>
      <c r="G205" s="146">
        <f>CAPEX!H48</f>
        <v/>
      </c>
      <c r="H205" s="146">
        <f>CAPEX!I48</f>
        <v/>
      </c>
      <c r="I205" s="146">
        <f>CAPEX!J48</f>
        <v/>
      </c>
      <c r="J205" s="146">
        <f>CAPEX!K48</f>
        <v/>
      </c>
      <c r="K205" s="146">
        <f>CAPEX!L48</f>
        <v/>
      </c>
      <c r="L205" s="146">
        <f>CAPEX!M48</f>
        <v/>
      </c>
      <c r="M205" s="146">
        <f>CAPEX!N48</f>
        <v/>
      </c>
      <c r="N205" s="146">
        <f>CAPEX!O48</f>
        <v/>
      </c>
      <c r="O205" s="146">
        <f>CAPEX!P48</f>
        <v/>
      </c>
      <c r="P205" s="146">
        <f>CAPEX!Q48</f>
        <v/>
      </c>
      <c r="Q205" s="146">
        <f>CAPEX!R48</f>
        <v/>
      </c>
      <c r="R205" s="146">
        <f>CAPEX!S48</f>
        <v/>
      </c>
      <c r="S205" s="146">
        <f>CAPEX!T48</f>
        <v/>
      </c>
      <c r="T205" s="146">
        <f>CAPEX!U48</f>
        <v/>
      </c>
      <c r="U205" s="146">
        <f>CAPEX!V48</f>
        <v/>
      </c>
      <c r="V205" s="146">
        <f>CAPEX!W48</f>
        <v/>
      </c>
      <c r="W205" s="146">
        <f>CAPEX!X48</f>
        <v/>
      </c>
      <c r="X205" s="146">
        <f>CAPEX!Y48</f>
        <v/>
      </c>
      <c r="Y205" s="146">
        <f>CAPEX!Z48</f>
        <v/>
      </c>
      <c r="Z205" s="146">
        <f>CAPEX!AA48</f>
        <v/>
      </c>
      <c r="AA205" s="146">
        <f>CAPEX!AB48</f>
        <v/>
      </c>
      <c r="AB205" s="146">
        <f>CAPEX!AC48</f>
        <v/>
      </c>
      <c r="AC205" s="146">
        <f>CAPEX!AD48</f>
        <v/>
      </c>
      <c r="AD205" s="146">
        <f>CAPEX!AE48</f>
        <v/>
      </c>
      <c r="AE205" s="146">
        <f>CAPEX!AF48</f>
        <v/>
      </c>
      <c r="AF205" s="146">
        <f>CAPEX!AG48</f>
        <v/>
      </c>
      <c r="AG205" s="146">
        <f>CAPEX!AH48</f>
        <v/>
      </c>
      <c r="AH205" s="146">
        <f>CAPEX!AI48</f>
        <v/>
      </c>
      <c r="AI205" s="146">
        <f>CAPEX!AJ48</f>
        <v/>
      </c>
      <c r="AJ205" s="146">
        <f>CAPEX!AK48</f>
        <v/>
      </c>
      <c r="AK205" s="146">
        <f>CAPEX!AL48</f>
        <v/>
      </c>
      <c r="AL205" s="146">
        <f>CAPEX!AM48</f>
        <v/>
      </c>
      <c r="AM205" s="146">
        <f>CAPEX!AN48</f>
        <v/>
      </c>
      <c r="AN205" s="146">
        <f>CAPEX!AO48</f>
        <v/>
      </c>
      <c r="AO205" s="146">
        <f>CAPEX!AP48</f>
        <v/>
      </c>
      <c r="AP205" s="146">
        <f>CAPEX!AQ48</f>
        <v/>
      </c>
      <c r="AQ205" s="146">
        <f>CAPEX!AR48</f>
        <v/>
      </c>
      <c r="AR205" s="146">
        <f>CAPEX!AS48</f>
        <v/>
      </c>
      <c r="AS205" s="146">
        <f>CAPEX!AT48</f>
        <v/>
      </c>
      <c r="AT205" s="146">
        <f>CAPEX!AU48</f>
        <v/>
      </c>
      <c r="AU205" s="146">
        <f>CAPEX!AV48</f>
        <v/>
      </c>
      <c r="AV205" s="146">
        <f>CAPEX!AW48</f>
        <v/>
      </c>
      <c r="AW205" s="146">
        <f>CAPEX!AX48</f>
        <v/>
      </c>
      <c r="AX205" s="146">
        <f>CAPEX!AY48</f>
        <v/>
      </c>
      <c r="AY205" s="146">
        <f>CAPEX!AZ48</f>
        <v/>
      </c>
      <c r="AZ205" s="146">
        <f>CAPEX!BA48</f>
        <v/>
      </c>
      <c r="BA205" s="146">
        <f>CAPEX!BB48</f>
        <v/>
      </c>
    </row>
    <row r="206" outlineLevel="1" ht="15" customHeight="1" s="91">
      <c r="B206" s="145" t="inlineStr">
        <is>
          <t>ZAN 14</t>
        </is>
      </c>
      <c r="C206" s="138">
        <f>SUM(D206:BA206)</f>
        <v/>
      </c>
      <c r="D206" s="146">
        <f>CAPEX!E49</f>
        <v/>
      </c>
      <c r="E206" s="146">
        <f>CAPEX!F49</f>
        <v/>
      </c>
      <c r="F206" s="146">
        <f>CAPEX!G49</f>
        <v/>
      </c>
      <c r="G206" s="146">
        <f>CAPEX!H49</f>
        <v/>
      </c>
      <c r="H206" s="146">
        <f>CAPEX!I49</f>
        <v/>
      </c>
      <c r="I206" s="146">
        <f>CAPEX!J49</f>
        <v/>
      </c>
      <c r="J206" s="146">
        <f>CAPEX!K49</f>
        <v/>
      </c>
      <c r="K206" s="146">
        <f>CAPEX!L49</f>
        <v/>
      </c>
      <c r="L206" s="146">
        <f>CAPEX!M49</f>
        <v/>
      </c>
      <c r="M206" s="146">
        <f>CAPEX!N49</f>
        <v/>
      </c>
      <c r="N206" s="146">
        <f>CAPEX!O49</f>
        <v/>
      </c>
      <c r="O206" s="146">
        <f>CAPEX!P49</f>
        <v/>
      </c>
      <c r="P206" s="146">
        <f>CAPEX!Q49</f>
        <v/>
      </c>
      <c r="Q206" s="146">
        <f>CAPEX!R49</f>
        <v/>
      </c>
      <c r="R206" s="146">
        <f>CAPEX!S49</f>
        <v/>
      </c>
      <c r="S206" s="146">
        <f>CAPEX!T49</f>
        <v/>
      </c>
      <c r="T206" s="146">
        <f>CAPEX!U49</f>
        <v/>
      </c>
      <c r="U206" s="146">
        <f>CAPEX!V49</f>
        <v/>
      </c>
      <c r="V206" s="146">
        <f>CAPEX!W49</f>
        <v/>
      </c>
      <c r="W206" s="146">
        <f>CAPEX!X49</f>
        <v/>
      </c>
      <c r="X206" s="146">
        <f>CAPEX!Y49</f>
        <v/>
      </c>
      <c r="Y206" s="146">
        <f>CAPEX!Z49</f>
        <v/>
      </c>
      <c r="Z206" s="146">
        <f>CAPEX!AA49</f>
        <v/>
      </c>
      <c r="AA206" s="146">
        <f>CAPEX!AB49</f>
        <v/>
      </c>
      <c r="AB206" s="146">
        <f>CAPEX!AC49</f>
        <v/>
      </c>
      <c r="AC206" s="146">
        <f>CAPEX!AD49</f>
        <v/>
      </c>
      <c r="AD206" s="146">
        <f>CAPEX!AE49</f>
        <v/>
      </c>
      <c r="AE206" s="146">
        <f>CAPEX!AF49</f>
        <v/>
      </c>
      <c r="AF206" s="146">
        <f>CAPEX!AG49</f>
        <v/>
      </c>
      <c r="AG206" s="146">
        <f>CAPEX!AH49</f>
        <v/>
      </c>
      <c r="AH206" s="146">
        <f>CAPEX!AI49</f>
        <v/>
      </c>
      <c r="AI206" s="146">
        <f>CAPEX!AJ49</f>
        <v/>
      </c>
      <c r="AJ206" s="146">
        <f>CAPEX!AK49</f>
        <v/>
      </c>
      <c r="AK206" s="146">
        <f>CAPEX!AL49</f>
        <v/>
      </c>
      <c r="AL206" s="146">
        <f>CAPEX!AM49</f>
        <v/>
      </c>
      <c r="AM206" s="146">
        <f>CAPEX!AN49</f>
        <v/>
      </c>
      <c r="AN206" s="146">
        <f>CAPEX!AO49</f>
        <v/>
      </c>
      <c r="AO206" s="146">
        <f>CAPEX!AP49</f>
        <v/>
      </c>
      <c r="AP206" s="146">
        <f>CAPEX!AQ49</f>
        <v/>
      </c>
      <c r="AQ206" s="146">
        <f>CAPEX!AR49</f>
        <v/>
      </c>
      <c r="AR206" s="146">
        <f>CAPEX!AS49</f>
        <v/>
      </c>
      <c r="AS206" s="146">
        <f>CAPEX!AT49</f>
        <v/>
      </c>
      <c r="AT206" s="146">
        <f>CAPEX!AU49</f>
        <v/>
      </c>
      <c r="AU206" s="146">
        <f>CAPEX!AV49</f>
        <v/>
      </c>
      <c r="AV206" s="146">
        <f>CAPEX!AW49</f>
        <v/>
      </c>
      <c r="AW206" s="146">
        <f>CAPEX!AX49</f>
        <v/>
      </c>
      <c r="AX206" s="146">
        <f>CAPEX!AY49</f>
        <v/>
      </c>
      <c r="AY206" s="146">
        <f>CAPEX!AZ49</f>
        <v/>
      </c>
      <c r="AZ206" s="146">
        <f>CAPEX!BA49</f>
        <v/>
      </c>
      <c r="BA206" s="146">
        <f>CAPEX!BB49</f>
        <v/>
      </c>
    </row>
    <row r="207" outlineLevel="1" ht="15" customHeight="1" s="91">
      <c r="B207" s="145" t="inlineStr">
        <is>
          <t>ZAN 15</t>
        </is>
      </c>
      <c r="C207" s="138">
        <f>SUM(D207:BA207)</f>
        <v/>
      </c>
      <c r="D207" s="146">
        <f>CAPEX!E50</f>
        <v/>
      </c>
      <c r="E207" s="146">
        <f>CAPEX!F50</f>
        <v/>
      </c>
      <c r="F207" s="146">
        <f>CAPEX!G50</f>
        <v/>
      </c>
      <c r="G207" s="146">
        <f>CAPEX!H50</f>
        <v/>
      </c>
      <c r="H207" s="146">
        <f>CAPEX!I50</f>
        <v/>
      </c>
      <c r="I207" s="146">
        <f>CAPEX!J50</f>
        <v/>
      </c>
      <c r="J207" s="146">
        <f>CAPEX!K50</f>
        <v/>
      </c>
      <c r="K207" s="146">
        <f>CAPEX!L50</f>
        <v/>
      </c>
      <c r="L207" s="146">
        <f>CAPEX!M50</f>
        <v/>
      </c>
      <c r="M207" s="146">
        <f>CAPEX!N50</f>
        <v/>
      </c>
      <c r="N207" s="146">
        <f>CAPEX!O50</f>
        <v/>
      </c>
      <c r="O207" s="146">
        <f>CAPEX!P50</f>
        <v/>
      </c>
      <c r="P207" s="146">
        <f>CAPEX!Q50</f>
        <v/>
      </c>
      <c r="Q207" s="146">
        <f>CAPEX!R50</f>
        <v/>
      </c>
      <c r="R207" s="146">
        <f>CAPEX!S50</f>
        <v/>
      </c>
      <c r="S207" s="146">
        <f>CAPEX!T50</f>
        <v/>
      </c>
      <c r="T207" s="146">
        <f>CAPEX!U50</f>
        <v/>
      </c>
      <c r="U207" s="146">
        <f>CAPEX!V50</f>
        <v/>
      </c>
      <c r="V207" s="146">
        <f>CAPEX!W50</f>
        <v/>
      </c>
      <c r="W207" s="146">
        <f>CAPEX!X50</f>
        <v/>
      </c>
      <c r="X207" s="146">
        <f>CAPEX!Y50</f>
        <v/>
      </c>
      <c r="Y207" s="146">
        <f>CAPEX!Z50</f>
        <v/>
      </c>
      <c r="Z207" s="146">
        <f>CAPEX!AA50</f>
        <v/>
      </c>
      <c r="AA207" s="146">
        <f>CAPEX!AB50</f>
        <v/>
      </c>
      <c r="AB207" s="146">
        <f>CAPEX!AC50</f>
        <v/>
      </c>
      <c r="AC207" s="146">
        <f>CAPEX!AD50</f>
        <v/>
      </c>
      <c r="AD207" s="146">
        <f>CAPEX!AE50</f>
        <v/>
      </c>
      <c r="AE207" s="146">
        <f>CAPEX!AF50</f>
        <v/>
      </c>
      <c r="AF207" s="146">
        <f>CAPEX!AG50</f>
        <v/>
      </c>
      <c r="AG207" s="146">
        <f>CAPEX!AH50</f>
        <v/>
      </c>
      <c r="AH207" s="146">
        <f>CAPEX!AI50</f>
        <v/>
      </c>
      <c r="AI207" s="146">
        <f>CAPEX!AJ50</f>
        <v/>
      </c>
      <c r="AJ207" s="146">
        <f>CAPEX!AK50</f>
        <v/>
      </c>
      <c r="AK207" s="146">
        <f>CAPEX!AL50</f>
        <v/>
      </c>
      <c r="AL207" s="146">
        <f>CAPEX!AM50</f>
        <v/>
      </c>
      <c r="AM207" s="146">
        <f>CAPEX!AN50</f>
        <v/>
      </c>
      <c r="AN207" s="146">
        <f>CAPEX!AO50</f>
        <v/>
      </c>
      <c r="AO207" s="146">
        <f>CAPEX!AP50</f>
        <v/>
      </c>
      <c r="AP207" s="146">
        <f>CAPEX!AQ50</f>
        <v/>
      </c>
      <c r="AQ207" s="146">
        <f>CAPEX!AR50</f>
        <v/>
      </c>
      <c r="AR207" s="146">
        <f>CAPEX!AS50</f>
        <v/>
      </c>
      <c r="AS207" s="146">
        <f>CAPEX!AT50</f>
        <v/>
      </c>
      <c r="AT207" s="146">
        <f>CAPEX!AU50</f>
        <v/>
      </c>
      <c r="AU207" s="146">
        <f>CAPEX!AV50</f>
        <v/>
      </c>
      <c r="AV207" s="146">
        <f>CAPEX!AW50</f>
        <v/>
      </c>
      <c r="AW207" s="146">
        <f>CAPEX!AX50</f>
        <v/>
      </c>
      <c r="AX207" s="146">
        <f>CAPEX!AY50</f>
        <v/>
      </c>
      <c r="AY207" s="146">
        <f>CAPEX!AZ50</f>
        <v/>
      </c>
      <c r="AZ207" s="146">
        <f>CAPEX!BA50</f>
        <v/>
      </c>
      <c r="BA207" s="146">
        <f>CAPEX!BB50</f>
        <v/>
      </c>
    </row>
    <row r="208" outlineLevel="1" ht="15" customHeight="1" s="91">
      <c r="B208" s="144" t="inlineStr">
        <is>
          <t>TOTAL</t>
        </is>
      </c>
      <c r="C208" s="138">
        <f>SUM(D208:BA208)</f>
        <v/>
      </c>
      <c r="D208" s="146">
        <f>CAPEX!E52</f>
        <v/>
      </c>
      <c r="E208" s="146">
        <f>CAPEX!F52</f>
        <v/>
      </c>
      <c r="F208" s="146">
        <f>CAPEX!G52</f>
        <v/>
      </c>
      <c r="G208" s="146">
        <f>CAPEX!H52</f>
        <v/>
      </c>
      <c r="H208" s="146">
        <f>CAPEX!I52</f>
        <v/>
      </c>
      <c r="I208" s="146">
        <f>CAPEX!J52</f>
        <v/>
      </c>
      <c r="J208" s="146">
        <f>CAPEX!K52</f>
        <v/>
      </c>
      <c r="K208" s="146">
        <f>CAPEX!L52</f>
        <v/>
      </c>
      <c r="L208" s="146">
        <f>CAPEX!M52</f>
        <v/>
      </c>
      <c r="M208" s="146">
        <f>CAPEX!N52</f>
        <v/>
      </c>
      <c r="N208" s="146">
        <f>CAPEX!O52</f>
        <v/>
      </c>
      <c r="O208" s="146">
        <f>CAPEX!P52</f>
        <v/>
      </c>
      <c r="P208" s="146">
        <f>CAPEX!Q52</f>
        <v/>
      </c>
      <c r="Q208" s="146">
        <f>CAPEX!R52</f>
        <v/>
      </c>
      <c r="R208" s="146">
        <f>CAPEX!S52</f>
        <v/>
      </c>
      <c r="S208" s="146">
        <f>CAPEX!T52</f>
        <v/>
      </c>
      <c r="T208" s="146">
        <f>CAPEX!U52</f>
        <v/>
      </c>
      <c r="U208" s="146">
        <f>CAPEX!V52</f>
        <v/>
      </c>
      <c r="V208" s="146">
        <f>CAPEX!W52</f>
        <v/>
      </c>
      <c r="W208" s="146">
        <f>CAPEX!X52</f>
        <v/>
      </c>
      <c r="X208" s="146">
        <f>CAPEX!Y52</f>
        <v/>
      </c>
      <c r="Y208" s="146">
        <f>CAPEX!Z52</f>
        <v/>
      </c>
      <c r="Z208" s="146">
        <f>CAPEX!AA52</f>
        <v/>
      </c>
      <c r="AA208" s="146">
        <f>CAPEX!AB52</f>
        <v/>
      </c>
      <c r="AB208" s="146">
        <f>CAPEX!AC52</f>
        <v/>
      </c>
      <c r="AC208" s="146">
        <f>CAPEX!AD52</f>
        <v/>
      </c>
      <c r="AD208" s="146">
        <f>CAPEX!AE52</f>
        <v/>
      </c>
      <c r="AE208" s="146">
        <f>CAPEX!AF52</f>
        <v/>
      </c>
      <c r="AF208" s="146">
        <f>CAPEX!AG52</f>
        <v/>
      </c>
      <c r="AG208" s="146">
        <f>CAPEX!AH52</f>
        <v/>
      </c>
      <c r="AH208" s="146">
        <f>CAPEX!AI52</f>
        <v/>
      </c>
      <c r="AI208" s="146">
        <f>CAPEX!AJ52</f>
        <v/>
      </c>
      <c r="AJ208" s="146">
        <f>CAPEX!AK52</f>
        <v/>
      </c>
      <c r="AK208" s="146">
        <f>CAPEX!AL52</f>
        <v/>
      </c>
      <c r="AL208" s="146">
        <f>CAPEX!AM52</f>
        <v/>
      </c>
      <c r="AM208" s="146">
        <f>CAPEX!AN52</f>
        <v/>
      </c>
      <c r="AN208" s="146">
        <f>CAPEX!AO52</f>
        <v/>
      </c>
      <c r="AO208" s="146">
        <f>CAPEX!AP52</f>
        <v/>
      </c>
      <c r="AP208" s="146">
        <f>CAPEX!AQ52</f>
        <v/>
      </c>
      <c r="AQ208" s="146">
        <f>CAPEX!AR52</f>
        <v/>
      </c>
      <c r="AR208" s="146">
        <f>CAPEX!AS52</f>
        <v/>
      </c>
      <c r="AS208" s="146">
        <f>CAPEX!AT52</f>
        <v/>
      </c>
      <c r="AT208" s="146">
        <f>CAPEX!AU52</f>
        <v/>
      </c>
      <c r="AU208" s="146">
        <f>CAPEX!AV52</f>
        <v/>
      </c>
      <c r="AV208" s="146">
        <f>CAPEX!AW52</f>
        <v/>
      </c>
      <c r="AW208" s="146">
        <f>CAPEX!AX52</f>
        <v/>
      </c>
      <c r="AX208" s="146">
        <f>CAPEX!AY52</f>
        <v/>
      </c>
      <c r="AY208" s="146">
        <f>CAPEX!AZ52</f>
        <v/>
      </c>
      <c r="AZ208" s="146">
        <f>CAPEX!BA52</f>
        <v/>
      </c>
      <c r="BA208" s="146">
        <f>CAPEX!BB52</f>
        <v/>
      </c>
    </row>
    <row r="209" outlineLevel="1" ht="15" customHeight="1" s="91">
      <c r="B209" s="145" t="inlineStr">
        <is>
          <t>LandRent</t>
        </is>
      </c>
      <c r="C209" s="138">
        <f>SUM(D209:BA209)</f>
        <v/>
      </c>
      <c r="D209" s="146">
        <f>CAPEX!E55</f>
        <v/>
      </c>
      <c r="E209" s="146">
        <f>CAPEX!F55</f>
        <v/>
      </c>
      <c r="F209" s="146">
        <f>CAPEX!G55</f>
        <v/>
      </c>
      <c r="G209" s="146">
        <f>CAPEX!H55</f>
        <v/>
      </c>
      <c r="H209" s="146">
        <f>CAPEX!I55</f>
        <v/>
      </c>
      <c r="I209" s="146">
        <f>CAPEX!J55</f>
        <v/>
      </c>
      <c r="J209" s="146">
        <f>CAPEX!K55</f>
        <v/>
      </c>
      <c r="K209" s="146">
        <f>CAPEX!L55</f>
        <v/>
      </c>
      <c r="L209" s="146">
        <f>CAPEX!M55</f>
        <v/>
      </c>
      <c r="M209" s="146">
        <f>CAPEX!N55</f>
        <v/>
      </c>
      <c r="N209" s="146">
        <f>CAPEX!O55</f>
        <v/>
      </c>
      <c r="O209" s="146">
        <f>CAPEX!P55</f>
        <v/>
      </c>
      <c r="P209" s="146">
        <f>CAPEX!Q55</f>
        <v/>
      </c>
      <c r="Q209" s="146">
        <f>CAPEX!R55</f>
        <v/>
      </c>
      <c r="R209" s="146">
        <f>CAPEX!S55</f>
        <v/>
      </c>
      <c r="S209" s="146">
        <f>CAPEX!T55</f>
        <v/>
      </c>
      <c r="T209" s="146">
        <f>CAPEX!U55</f>
        <v/>
      </c>
      <c r="U209" s="146">
        <f>CAPEX!V55</f>
        <v/>
      </c>
      <c r="V209" s="146">
        <f>CAPEX!W55</f>
        <v/>
      </c>
      <c r="W209" s="146">
        <f>CAPEX!X55</f>
        <v/>
      </c>
      <c r="X209" s="146">
        <f>CAPEX!Y55</f>
        <v/>
      </c>
      <c r="Y209" s="146">
        <f>CAPEX!Z55</f>
        <v/>
      </c>
      <c r="Z209" s="146">
        <f>CAPEX!AA55</f>
        <v/>
      </c>
      <c r="AA209" s="146">
        <f>CAPEX!AB55</f>
        <v/>
      </c>
      <c r="AB209" s="146">
        <f>CAPEX!AC55</f>
        <v/>
      </c>
      <c r="AC209" s="146">
        <f>CAPEX!AD55</f>
        <v/>
      </c>
      <c r="AD209" s="146">
        <f>CAPEX!AE55</f>
        <v/>
      </c>
      <c r="AE209" s="146">
        <f>CAPEX!AF55</f>
        <v/>
      </c>
      <c r="AF209" s="146">
        <f>CAPEX!AG55</f>
        <v/>
      </c>
      <c r="AG209" s="146">
        <f>CAPEX!AH55</f>
        <v/>
      </c>
      <c r="AH209" s="146">
        <f>CAPEX!AI55</f>
        <v/>
      </c>
      <c r="AI209" s="146">
        <f>CAPEX!AJ55</f>
        <v/>
      </c>
      <c r="AJ209" s="146">
        <f>CAPEX!AK55</f>
        <v/>
      </c>
      <c r="AK209" s="146">
        <f>CAPEX!AL55</f>
        <v/>
      </c>
      <c r="AL209" s="146">
        <f>CAPEX!AM55</f>
        <v/>
      </c>
      <c r="AM209" s="146">
        <f>CAPEX!AN55</f>
        <v/>
      </c>
      <c r="AN209" s="146">
        <f>CAPEX!AO55</f>
        <v/>
      </c>
      <c r="AO209" s="146">
        <f>CAPEX!AP55</f>
        <v/>
      </c>
      <c r="AP209" s="146">
        <f>CAPEX!AQ55</f>
        <v/>
      </c>
      <c r="AQ209" s="146">
        <f>CAPEX!AR55</f>
        <v/>
      </c>
      <c r="AR209" s="146">
        <f>CAPEX!AS55</f>
        <v/>
      </c>
      <c r="AS209" s="146">
        <f>CAPEX!AT55</f>
        <v/>
      </c>
      <c r="AT209" s="146">
        <f>CAPEX!AU55</f>
        <v/>
      </c>
      <c r="AU209" s="146">
        <f>CAPEX!AV55</f>
        <v/>
      </c>
      <c r="AV209" s="146">
        <f>CAPEX!AW55</f>
        <v/>
      </c>
      <c r="AW209" s="146">
        <f>CAPEX!AX55</f>
        <v/>
      </c>
      <c r="AX209" s="146">
        <f>CAPEX!AY55</f>
        <v/>
      </c>
      <c r="AY209" s="146">
        <f>CAPEX!AZ55</f>
        <v/>
      </c>
      <c r="AZ209" s="146">
        <f>CAPEX!BA55</f>
        <v/>
      </c>
      <c r="BA209" s="146">
        <f>CAPEX!BB55</f>
        <v/>
      </c>
    </row>
    <row r="210" outlineLevel="1" ht="15" customHeight="1" s="91">
      <c r="B210" s="145" t="inlineStr">
        <is>
          <t xml:space="preserve">  ZAN 1</t>
        </is>
      </c>
      <c r="C210" s="138">
        <f>SUM(D210:BA210)</f>
        <v/>
      </c>
      <c r="D210" s="146">
        <f>CAPEX!E56</f>
        <v/>
      </c>
      <c r="E210" s="146">
        <f>CAPEX!F56</f>
        <v/>
      </c>
      <c r="F210" s="146">
        <f>CAPEX!G56</f>
        <v/>
      </c>
      <c r="G210" s="146">
        <f>CAPEX!H56</f>
        <v/>
      </c>
      <c r="H210" s="146">
        <f>CAPEX!I56</f>
        <v/>
      </c>
      <c r="I210" s="146">
        <f>CAPEX!J56</f>
        <v/>
      </c>
      <c r="J210" s="146">
        <f>CAPEX!K56</f>
        <v/>
      </c>
      <c r="K210" s="146">
        <f>CAPEX!L56</f>
        <v/>
      </c>
      <c r="L210" s="146">
        <f>CAPEX!M56</f>
        <v/>
      </c>
      <c r="M210" s="146">
        <f>CAPEX!N56</f>
        <v/>
      </c>
      <c r="N210" s="146">
        <f>CAPEX!O56</f>
        <v/>
      </c>
      <c r="O210" s="146">
        <f>CAPEX!P56</f>
        <v/>
      </c>
      <c r="P210" s="146">
        <f>CAPEX!Q56</f>
        <v/>
      </c>
      <c r="Q210" s="146">
        <f>CAPEX!R56</f>
        <v/>
      </c>
      <c r="R210" s="146">
        <f>CAPEX!S56</f>
        <v/>
      </c>
      <c r="S210" s="146">
        <f>CAPEX!T56</f>
        <v/>
      </c>
      <c r="T210" s="146">
        <f>CAPEX!U56</f>
        <v/>
      </c>
      <c r="U210" s="146">
        <f>CAPEX!V56</f>
        <v/>
      </c>
      <c r="V210" s="146">
        <f>CAPEX!W56</f>
        <v/>
      </c>
      <c r="W210" s="146">
        <f>CAPEX!X56</f>
        <v/>
      </c>
      <c r="X210" s="146">
        <f>CAPEX!Y56</f>
        <v/>
      </c>
      <c r="Y210" s="146">
        <f>CAPEX!Z56</f>
        <v/>
      </c>
      <c r="Z210" s="146">
        <f>CAPEX!AA56</f>
        <v/>
      </c>
      <c r="AA210" s="146">
        <f>CAPEX!AB56</f>
        <v/>
      </c>
      <c r="AB210" s="146">
        <f>CAPEX!AC56</f>
        <v/>
      </c>
      <c r="AC210" s="146">
        <f>CAPEX!AD56</f>
        <v/>
      </c>
      <c r="AD210" s="146">
        <f>CAPEX!AE56</f>
        <v/>
      </c>
      <c r="AE210" s="146">
        <f>CAPEX!AF56</f>
        <v/>
      </c>
      <c r="AF210" s="146">
        <f>CAPEX!AG56</f>
        <v/>
      </c>
      <c r="AG210" s="146">
        <f>CAPEX!AH56</f>
        <v/>
      </c>
      <c r="AH210" s="146">
        <f>CAPEX!AI56</f>
        <v/>
      </c>
      <c r="AI210" s="146">
        <f>CAPEX!AJ56</f>
        <v/>
      </c>
      <c r="AJ210" s="146">
        <f>CAPEX!AK56</f>
        <v/>
      </c>
      <c r="AK210" s="146">
        <f>CAPEX!AL56</f>
        <v/>
      </c>
      <c r="AL210" s="146">
        <f>CAPEX!AM56</f>
        <v/>
      </c>
      <c r="AM210" s="146">
        <f>CAPEX!AN56</f>
        <v/>
      </c>
      <c r="AN210" s="146">
        <f>CAPEX!AO56</f>
        <v/>
      </c>
      <c r="AO210" s="146">
        <f>CAPEX!AP56</f>
        <v/>
      </c>
      <c r="AP210" s="146">
        <f>CAPEX!AQ56</f>
        <v/>
      </c>
      <c r="AQ210" s="146">
        <f>CAPEX!AR56</f>
        <v/>
      </c>
      <c r="AR210" s="146">
        <f>CAPEX!AS56</f>
        <v/>
      </c>
      <c r="AS210" s="146">
        <f>CAPEX!AT56</f>
        <v/>
      </c>
      <c r="AT210" s="146">
        <f>CAPEX!AU56</f>
        <v/>
      </c>
      <c r="AU210" s="146">
        <f>CAPEX!AV56</f>
        <v/>
      </c>
      <c r="AV210" s="146">
        <f>CAPEX!AW56</f>
        <v/>
      </c>
      <c r="AW210" s="146">
        <f>CAPEX!AX56</f>
        <v/>
      </c>
      <c r="AX210" s="146">
        <f>CAPEX!AY56</f>
        <v/>
      </c>
      <c r="AY210" s="146">
        <f>CAPEX!AZ56</f>
        <v/>
      </c>
      <c r="AZ210" s="146">
        <f>CAPEX!BA56</f>
        <v/>
      </c>
      <c r="BA210" s="146">
        <f>CAPEX!BB56</f>
        <v/>
      </c>
    </row>
    <row r="211" outlineLevel="1" ht="15" customHeight="1" s="91">
      <c r="B211" s="145" t="inlineStr">
        <is>
          <t xml:space="preserve">  ZAN 2</t>
        </is>
      </c>
      <c r="C211" s="138">
        <f>SUM(D211:BA211)</f>
        <v/>
      </c>
      <c r="D211" s="146">
        <f>CAPEX!E57</f>
        <v/>
      </c>
      <c r="E211" s="146">
        <f>CAPEX!F57</f>
        <v/>
      </c>
      <c r="F211" s="146">
        <f>CAPEX!G57</f>
        <v/>
      </c>
      <c r="G211" s="146">
        <f>CAPEX!H57</f>
        <v/>
      </c>
      <c r="H211" s="146">
        <f>CAPEX!I57</f>
        <v/>
      </c>
      <c r="I211" s="146">
        <f>CAPEX!J57</f>
        <v/>
      </c>
      <c r="J211" s="146">
        <f>CAPEX!K57</f>
        <v/>
      </c>
      <c r="K211" s="146">
        <f>CAPEX!L57</f>
        <v/>
      </c>
      <c r="L211" s="146">
        <f>CAPEX!M57</f>
        <v/>
      </c>
      <c r="M211" s="146">
        <f>CAPEX!N57</f>
        <v/>
      </c>
      <c r="N211" s="146">
        <f>CAPEX!O57</f>
        <v/>
      </c>
      <c r="O211" s="146">
        <f>CAPEX!P57</f>
        <v/>
      </c>
      <c r="P211" s="146">
        <f>CAPEX!Q57</f>
        <v/>
      </c>
      <c r="Q211" s="146">
        <f>CAPEX!R57</f>
        <v/>
      </c>
      <c r="R211" s="146">
        <f>CAPEX!S57</f>
        <v/>
      </c>
      <c r="S211" s="146">
        <f>CAPEX!T57</f>
        <v/>
      </c>
      <c r="T211" s="146">
        <f>CAPEX!U57</f>
        <v/>
      </c>
      <c r="U211" s="146">
        <f>CAPEX!V57</f>
        <v/>
      </c>
      <c r="V211" s="146">
        <f>CAPEX!W57</f>
        <v/>
      </c>
      <c r="W211" s="146">
        <f>CAPEX!X57</f>
        <v/>
      </c>
      <c r="X211" s="146">
        <f>CAPEX!Y57</f>
        <v/>
      </c>
      <c r="Y211" s="146">
        <f>CAPEX!Z57</f>
        <v/>
      </c>
      <c r="Z211" s="146">
        <f>CAPEX!AA57</f>
        <v/>
      </c>
      <c r="AA211" s="146">
        <f>CAPEX!AB57</f>
        <v/>
      </c>
      <c r="AB211" s="146">
        <f>CAPEX!AC57</f>
        <v/>
      </c>
      <c r="AC211" s="146">
        <f>CAPEX!AD57</f>
        <v/>
      </c>
      <c r="AD211" s="146">
        <f>CAPEX!AE57</f>
        <v/>
      </c>
      <c r="AE211" s="146">
        <f>CAPEX!AF57</f>
        <v/>
      </c>
      <c r="AF211" s="146">
        <f>CAPEX!AG57</f>
        <v/>
      </c>
      <c r="AG211" s="146">
        <f>CAPEX!AH57</f>
        <v/>
      </c>
      <c r="AH211" s="146">
        <f>CAPEX!AI57</f>
        <v/>
      </c>
      <c r="AI211" s="146">
        <f>CAPEX!AJ57</f>
        <v/>
      </c>
      <c r="AJ211" s="146">
        <f>CAPEX!AK57</f>
        <v/>
      </c>
      <c r="AK211" s="146">
        <f>CAPEX!AL57</f>
        <v/>
      </c>
      <c r="AL211" s="146">
        <f>CAPEX!AM57</f>
        <v/>
      </c>
      <c r="AM211" s="146">
        <f>CAPEX!AN57</f>
        <v/>
      </c>
      <c r="AN211" s="146">
        <f>CAPEX!AO57</f>
        <v/>
      </c>
      <c r="AO211" s="146">
        <f>CAPEX!AP57</f>
        <v/>
      </c>
      <c r="AP211" s="146">
        <f>CAPEX!AQ57</f>
        <v/>
      </c>
      <c r="AQ211" s="146">
        <f>CAPEX!AR57</f>
        <v/>
      </c>
      <c r="AR211" s="146">
        <f>CAPEX!AS57</f>
        <v/>
      </c>
      <c r="AS211" s="146">
        <f>CAPEX!AT57</f>
        <v/>
      </c>
      <c r="AT211" s="146">
        <f>CAPEX!AU57</f>
        <v/>
      </c>
      <c r="AU211" s="146">
        <f>CAPEX!AV57</f>
        <v/>
      </c>
      <c r="AV211" s="146">
        <f>CAPEX!AW57</f>
        <v/>
      </c>
      <c r="AW211" s="146">
        <f>CAPEX!AX57</f>
        <v/>
      </c>
      <c r="AX211" s="146">
        <f>CAPEX!AY57</f>
        <v/>
      </c>
      <c r="AY211" s="146">
        <f>CAPEX!AZ57</f>
        <v/>
      </c>
      <c r="AZ211" s="146">
        <f>CAPEX!BA57</f>
        <v/>
      </c>
      <c r="BA211" s="146">
        <f>CAPEX!BB57</f>
        <v/>
      </c>
    </row>
    <row r="212" outlineLevel="1" ht="15" customHeight="1" s="91">
      <c r="B212" s="145" t="inlineStr">
        <is>
          <t xml:space="preserve">  ZAN 3</t>
        </is>
      </c>
      <c r="C212" s="138">
        <f>SUM(D212:BA212)</f>
        <v/>
      </c>
      <c r="D212" s="146">
        <f>CAPEX!E58</f>
        <v/>
      </c>
      <c r="E212" s="146">
        <f>CAPEX!F58</f>
        <v/>
      </c>
      <c r="F212" s="146">
        <f>CAPEX!G58</f>
        <v/>
      </c>
      <c r="G212" s="146">
        <f>CAPEX!H58</f>
        <v/>
      </c>
      <c r="H212" s="146">
        <f>CAPEX!I58</f>
        <v/>
      </c>
      <c r="I212" s="146">
        <f>CAPEX!J58</f>
        <v/>
      </c>
      <c r="J212" s="146">
        <f>CAPEX!K58</f>
        <v/>
      </c>
      <c r="K212" s="146">
        <f>CAPEX!L58</f>
        <v/>
      </c>
      <c r="L212" s="146">
        <f>CAPEX!M58</f>
        <v/>
      </c>
      <c r="M212" s="146">
        <f>CAPEX!N58</f>
        <v/>
      </c>
      <c r="N212" s="146">
        <f>CAPEX!O58</f>
        <v/>
      </c>
      <c r="O212" s="146">
        <f>CAPEX!P58</f>
        <v/>
      </c>
      <c r="P212" s="146">
        <f>CAPEX!Q58</f>
        <v/>
      </c>
      <c r="Q212" s="146">
        <f>CAPEX!R58</f>
        <v/>
      </c>
      <c r="R212" s="146">
        <f>CAPEX!S58</f>
        <v/>
      </c>
      <c r="S212" s="146">
        <f>CAPEX!T58</f>
        <v/>
      </c>
      <c r="T212" s="146">
        <f>CAPEX!U58</f>
        <v/>
      </c>
      <c r="U212" s="146">
        <f>CAPEX!V58</f>
        <v/>
      </c>
      <c r="V212" s="146">
        <f>CAPEX!W58</f>
        <v/>
      </c>
      <c r="W212" s="146">
        <f>CAPEX!X58</f>
        <v/>
      </c>
      <c r="X212" s="146">
        <f>CAPEX!Y58</f>
        <v/>
      </c>
      <c r="Y212" s="146">
        <f>CAPEX!Z58</f>
        <v/>
      </c>
      <c r="Z212" s="146">
        <f>CAPEX!AA58</f>
        <v/>
      </c>
      <c r="AA212" s="146">
        <f>CAPEX!AB58</f>
        <v/>
      </c>
      <c r="AB212" s="146">
        <f>CAPEX!AC58</f>
        <v/>
      </c>
      <c r="AC212" s="146">
        <f>CAPEX!AD58</f>
        <v/>
      </c>
      <c r="AD212" s="146">
        <f>CAPEX!AE58</f>
        <v/>
      </c>
      <c r="AE212" s="146">
        <f>CAPEX!AF58</f>
        <v/>
      </c>
      <c r="AF212" s="146">
        <f>CAPEX!AG58</f>
        <v/>
      </c>
      <c r="AG212" s="146">
        <f>CAPEX!AH58</f>
        <v/>
      </c>
      <c r="AH212" s="146">
        <f>CAPEX!AI58</f>
        <v/>
      </c>
      <c r="AI212" s="146">
        <f>CAPEX!AJ58</f>
        <v/>
      </c>
      <c r="AJ212" s="146">
        <f>CAPEX!AK58</f>
        <v/>
      </c>
      <c r="AK212" s="146">
        <f>CAPEX!AL58</f>
        <v/>
      </c>
      <c r="AL212" s="146">
        <f>CAPEX!AM58</f>
        <v/>
      </c>
      <c r="AM212" s="146">
        <f>CAPEX!AN58</f>
        <v/>
      </c>
      <c r="AN212" s="146">
        <f>CAPEX!AO58</f>
        <v/>
      </c>
      <c r="AO212" s="146">
        <f>CAPEX!AP58</f>
        <v/>
      </c>
      <c r="AP212" s="146">
        <f>CAPEX!AQ58</f>
        <v/>
      </c>
      <c r="AQ212" s="146">
        <f>CAPEX!AR58</f>
        <v/>
      </c>
      <c r="AR212" s="146">
        <f>CAPEX!AS58</f>
        <v/>
      </c>
      <c r="AS212" s="146">
        <f>CAPEX!AT58</f>
        <v/>
      </c>
      <c r="AT212" s="146">
        <f>CAPEX!AU58</f>
        <v/>
      </c>
      <c r="AU212" s="146">
        <f>CAPEX!AV58</f>
        <v/>
      </c>
      <c r="AV212" s="146">
        <f>CAPEX!AW58</f>
        <v/>
      </c>
      <c r="AW212" s="146">
        <f>CAPEX!AX58</f>
        <v/>
      </c>
      <c r="AX212" s="146">
        <f>CAPEX!AY58</f>
        <v/>
      </c>
      <c r="AY212" s="146">
        <f>CAPEX!AZ58</f>
        <v/>
      </c>
      <c r="AZ212" s="146">
        <f>CAPEX!BA58</f>
        <v/>
      </c>
      <c r="BA212" s="146">
        <f>CAPEX!BB58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4">
    <mergeCell ref="A170:H170"/>
    <mergeCell ref="A1:BA1"/>
    <mergeCell ref="A109:BA109"/>
    <mergeCell ref="A117:BA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90" min="1" max="1"/>
    <col width="32" customWidth="1" style="90" min="2" max="2"/>
    <col width="18" customWidth="1" style="90" min="3" max="4"/>
    <col width="32" customWidth="1" style="90" min="5" max="5"/>
  </cols>
  <sheetData>
    <row r="1" ht="36" customHeight="1" s="91">
      <c r="A1" s="136" t="inlineStr">
        <is>
          <t>OPERATING P&amp;L  قائمة الأرباح والخسائر التشغيلية</t>
        </is>
      </c>
    </row>
    <row r="3" ht="24" customHeight="1" s="91">
      <c r="A3" s="113" t="inlineStr">
        <is>
          <t>HOTEL / RESORT P&amp;L  الفنادق والمنتجعات</t>
        </is>
      </c>
    </row>
    <row r="4" ht="15" customHeight="1" s="91">
      <c r="B4" s="149" t="inlineStr">
        <is>
          <t>Property</t>
        </is>
      </c>
      <c r="C4" s="149" t="inlineStr">
        <is>
          <t>Hotel (4★)</t>
        </is>
      </c>
      <c r="D4" s="149" t="inlineStr">
        <is>
          <t>Resort (5★)</t>
        </is>
      </c>
    </row>
    <row r="6" ht="24" customHeight="1" s="91">
      <c r="A6" s="150" t="inlineStr">
        <is>
          <t>1</t>
        </is>
      </c>
      <c r="B6" s="113" t="inlineStr">
        <is>
          <t>KEY INPUTS  المدخلات الرئيسية</t>
        </is>
      </c>
    </row>
    <row r="7" ht="15" customHeight="1" s="91">
      <c r="B7" s="106" t="inlineStr">
        <is>
          <t>Links to Program Row</t>
        </is>
      </c>
      <c r="C7" s="114" t="n">
        <v>4</v>
      </c>
      <c r="D7" s="114" t="n">
        <v>12</v>
      </c>
    </row>
    <row r="8" ht="15" customHeight="1" s="91">
      <c r="B8" s="106" t="inlineStr">
        <is>
          <t>Keys  عدد الغرف/المفاتيح</t>
        </is>
      </c>
      <c r="C8" s="114" t="n">
        <v>230</v>
      </c>
      <c r="D8" s="114" t="n">
        <v>175</v>
      </c>
    </row>
    <row r="9" ht="15" customHeight="1" s="91">
      <c r="B9" s="106" t="inlineStr">
        <is>
          <t>ADR (SAR/night)  متوسط سعر الغرفة</t>
        </is>
      </c>
      <c r="C9" s="114" t="n">
        <v>548</v>
      </c>
      <c r="D9" s="114" t="n">
        <v>920</v>
      </c>
    </row>
    <row r="10" ht="15" customHeight="1" s="91">
      <c r="B10" s="106" t="inlineStr">
        <is>
          <t>Stabilized Occupancy  الإشغال المستقر</t>
        </is>
      </c>
      <c r="C10" s="116" t="n">
        <v>0.7</v>
      </c>
      <c r="D10" s="116" t="n">
        <v>0.73</v>
      </c>
    </row>
    <row r="11" ht="15" customHeight="1" s="91">
      <c r="B11" s="106" t="inlineStr">
        <is>
          <t>Days / Year  أيام السنة</t>
        </is>
      </c>
      <c r="C11" s="114" t="n">
        <v>365</v>
      </c>
      <c r="D11" s="114" t="n">
        <v>365</v>
      </c>
    </row>
    <row r="12" ht="15" customHeight="1" s="91">
      <c r="B12" s="106" t="inlineStr">
        <is>
          <t>Escalation %  الزيادة السنوية</t>
        </is>
      </c>
      <c r="C12" s="109">
        <f>Inputs!C41</f>
        <v/>
      </c>
      <c r="D12" s="109">
        <f>Inputs!C41</f>
        <v/>
      </c>
    </row>
    <row r="14" ht="24" customHeight="1" s="91">
      <c r="B14" s="113" t="inlineStr">
        <is>
          <t>REVENUE MIX  مزيج الإيرادات</t>
        </is>
      </c>
    </row>
    <row r="15" ht="15" customHeight="1" s="91">
      <c r="B15" s="106" t="inlineStr">
        <is>
          <t>Rooms %  الغرف</t>
        </is>
      </c>
      <c r="C15" s="116" t="n">
        <v>0.72</v>
      </c>
      <c r="D15" s="116" t="n">
        <v>0.64</v>
      </c>
    </row>
    <row r="16" ht="15" customHeight="1" s="91">
      <c r="B16" s="106" t="inlineStr">
        <is>
          <t>F&amp;B %  الأغذية والمشروبات</t>
        </is>
      </c>
      <c r="C16" s="116" t="n">
        <v>0.22</v>
      </c>
      <c r="D16" s="116" t="n">
        <v>0.25</v>
      </c>
    </row>
    <row r="17" ht="15" customHeight="1" s="91">
      <c r="B17" s="106" t="inlineStr">
        <is>
          <t>MICE %  المؤتمرات</t>
        </is>
      </c>
      <c r="C17" s="116" t="n">
        <v>0.04</v>
      </c>
      <c r="D17" s="116" t="n">
        <v>0.07000000000000001</v>
      </c>
    </row>
    <row r="18" ht="15" customHeight="1" s="91">
      <c r="B18" s="106" t="inlineStr">
        <is>
          <t>Other %  أخرى</t>
        </is>
      </c>
      <c r="C18" s="116" t="n">
        <v>0.02</v>
      </c>
      <c r="D18" s="116" t="n">
        <v>0.04</v>
      </c>
    </row>
    <row r="20" ht="24" customHeight="1" s="91">
      <c r="B20" s="113" t="inlineStr">
        <is>
          <t>STABILIZED REVENUE  الإيرادات عند الاستقرار</t>
        </is>
      </c>
    </row>
    <row r="21" ht="15" customHeight="1" s="91">
      <c r="B21" s="106" t="inlineStr">
        <is>
          <t>Rooms Revenue  إيرادات الغرف</t>
        </is>
      </c>
      <c r="C21" s="132">
        <f>C8*C9*C11*C10</f>
        <v/>
      </c>
      <c r="D21" s="132">
        <f>D8*D9*D11*D10</f>
        <v/>
      </c>
    </row>
    <row r="22" ht="15" customHeight="1" s="91">
      <c r="B22" s="106" t="inlineStr">
        <is>
          <t>Total Revenue  إجمالي الإيرادات</t>
        </is>
      </c>
      <c r="C22" s="132">
        <f>C21/C15</f>
        <v/>
      </c>
      <c r="D22" s="132">
        <f>D21/D15</f>
        <v/>
      </c>
    </row>
    <row r="23" ht="15" customHeight="1" s="91">
      <c r="B23" s="106" t="inlineStr">
        <is>
          <t>F&amp;B Revenue  إيرادات الأغذية</t>
        </is>
      </c>
      <c r="C23" s="132">
        <f>C22*C16</f>
        <v/>
      </c>
      <c r="D23" s="132">
        <f>D22*D16</f>
        <v/>
      </c>
    </row>
    <row r="24" ht="15" customHeight="1" s="91">
      <c r="B24" s="106" t="inlineStr">
        <is>
          <t>MICE Revenue  إيرادات المؤتمرات</t>
        </is>
      </c>
      <c r="C24" s="132">
        <f>C22*C17</f>
        <v/>
      </c>
      <c r="D24" s="132">
        <f>D22*D17</f>
        <v/>
      </c>
    </row>
    <row r="25" ht="15" customHeight="1" s="91">
      <c r="B25" s="106" t="inlineStr">
        <is>
          <t>Other Revenue  إيرادات أخرى</t>
        </is>
      </c>
      <c r="C25" s="132">
        <f>C22*C18</f>
        <v/>
      </c>
      <c r="D25" s="132">
        <f>D22*D18</f>
        <v/>
      </c>
    </row>
    <row r="27" ht="24" customHeight="1" s="91">
      <c r="B27" s="113" t="inlineStr">
        <is>
          <t>OPEX RATIOS  نسب المصاريف التشغيلية</t>
        </is>
      </c>
    </row>
    <row r="28" ht="15" customHeight="1" s="91">
      <c r="B28" s="106" t="inlineStr">
        <is>
          <t>Room Expense %  مصاريف الغرف</t>
        </is>
      </c>
      <c r="C28" s="116" t="n">
        <v>0.2</v>
      </c>
      <c r="D28" s="116" t="n">
        <v>0.2</v>
      </c>
    </row>
    <row r="29" ht="15" customHeight="1" s="91">
      <c r="B29" s="106" t="inlineStr">
        <is>
          <t>F&amp;B Expense %  مصاريف الأغذية</t>
        </is>
      </c>
      <c r="C29" s="116" t="n">
        <v>0.6</v>
      </c>
      <c r="D29" s="116" t="n">
        <v>0.6</v>
      </c>
    </row>
    <row r="30" ht="15" customHeight="1" s="91">
      <c r="B30" s="106" t="inlineStr">
        <is>
          <t>MICE Expense %  مصاريف المؤتمرات</t>
        </is>
      </c>
      <c r="C30" s="116" t="n">
        <v>0.58</v>
      </c>
      <c r="D30" s="116" t="n">
        <v>0.58</v>
      </c>
    </row>
    <row r="31" ht="15" customHeight="1" s="91">
      <c r="B31" s="106" t="inlineStr">
        <is>
          <t>Other Expense %  مصاريف أخرى</t>
        </is>
      </c>
      <c r="C31" s="116" t="n">
        <v>0.5</v>
      </c>
      <c r="D31" s="116" t="n">
        <v>0.55</v>
      </c>
    </row>
    <row r="32" ht="15" customHeight="1" s="91">
      <c r="B32" s="106" t="inlineStr">
        <is>
          <t>Undistributed % of Rev  غير موزعة</t>
        </is>
      </c>
      <c r="C32" s="116" t="n">
        <v>0.29</v>
      </c>
      <c r="D32" s="116" t="n">
        <v>0.28</v>
      </c>
    </row>
    <row r="33" ht="15" customHeight="1" s="91">
      <c r="B33" s="106" t="inlineStr">
        <is>
          <t>Fixed Charges % of Rev  تكاليف ثابتة</t>
        </is>
      </c>
      <c r="C33" s="116" t="n">
        <v>0.09</v>
      </c>
      <c r="D33" s="116" t="n">
        <v>0.09</v>
      </c>
    </row>
    <row r="35" ht="24" customHeight="1" s="91">
      <c r="B35" s="113" t="inlineStr">
        <is>
          <t>STABILIZED OPEX  المصاريف عند الاستقرار</t>
        </is>
      </c>
    </row>
    <row r="36" ht="15" customHeight="1" s="91">
      <c r="B36" s="106" t="inlineStr">
        <is>
          <t>Room Expense</t>
        </is>
      </c>
      <c r="C36" s="132">
        <f>C21*C28</f>
        <v/>
      </c>
      <c r="D36" s="132">
        <f>D21*D28</f>
        <v/>
      </c>
    </row>
    <row r="37" ht="15" customHeight="1" s="91">
      <c r="B37" s="106" t="inlineStr">
        <is>
          <t>F&amp;B Expense</t>
        </is>
      </c>
      <c r="C37" s="132">
        <f>C23*C29</f>
        <v/>
      </c>
      <c r="D37" s="132">
        <f>D23*D29</f>
        <v/>
      </c>
    </row>
    <row r="38" ht="15" customHeight="1" s="91">
      <c r="B38" s="106" t="inlineStr">
        <is>
          <t>MICE Expense</t>
        </is>
      </c>
      <c r="C38" s="132">
        <f>C24*C30</f>
        <v/>
      </c>
      <c r="D38" s="132">
        <f>D24*D30</f>
        <v/>
      </c>
    </row>
    <row r="39" ht="15" customHeight="1" s="91">
      <c r="B39" s="106" t="inlineStr">
        <is>
          <t>Other Expense</t>
        </is>
      </c>
      <c r="C39" s="132">
        <f>C25*C31</f>
        <v/>
      </c>
      <c r="D39" s="132">
        <f>D25*D31</f>
        <v/>
      </c>
    </row>
    <row r="40" ht="15" customHeight="1" s="91">
      <c r="B40" s="106" t="inlineStr">
        <is>
          <t>Undistributed</t>
        </is>
      </c>
      <c r="C40" s="132">
        <f>C22*C32</f>
        <v/>
      </c>
      <c r="D40" s="132">
        <f>D22*D32</f>
        <v/>
      </c>
    </row>
    <row r="41" ht="15" customHeight="1" s="91">
      <c r="B41" s="106" t="inlineStr">
        <is>
          <t>Fixed Charges</t>
        </is>
      </c>
      <c r="C41" s="132">
        <f>C22*C33</f>
        <v/>
      </c>
      <c r="D41" s="132">
        <f>D22*D33</f>
        <v/>
      </c>
    </row>
    <row r="42" ht="15" customHeight="1" s="91">
      <c r="B42" s="106" t="inlineStr">
        <is>
          <t>Total OPEX  إجمالي المصاريف</t>
        </is>
      </c>
      <c r="C42" s="151">
        <f>SUM(C36:C41)</f>
        <v/>
      </c>
      <c r="D42" s="151">
        <f>SUM(D36:D41)</f>
        <v/>
      </c>
    </row>
    <row r="44" ht="15" customHeight="1" s="91">
      <c r="B44" s="106" t="inlineStr">
        <is>
          <t>EBITDA  الأرباح قبل الفوائد والاستهلاك</t>
        </is>
      </c>
      <c r="C44" s="151">
        <f>C22-C42</f>
        <v/>
      </c>
      <c r="D44" s="151">
        <f>D22-D42</f>
        <v/>
      </c>
    </row>
    <row r="45" ht="15" customHeight="1" s="91">
      <c r="B45" s="106" t="inlineStr">
        <is>
          <t>EBITDA Margin  هامش الأرباح</t>
        </is>
      </c>
      <c r="C45" s="109">
        <f>IF(C22&gt;0,C44/C22,0)</f>
        <v/>
      </c>
      <c r="D45" s="109">
        <f>IF(D22&gt;0,D44/D22,0)</f>
        <v/>
      </c>
    </row>
    <row r="48" ht="24" customHeight="1" s="91">
      <c r="A48" s="113" t="inlineStr">
        <is>
          <t>MARINA P&amp;L  قائمة أرباح المارينا</t>
        </is>
      </c>
    </row>
    <row r="49" ht="15" customHeight="1" s="91">
      <c r="B49" s="149" t="inlineStr">
        <is>
          <t>Property</t>
        </is>
      </c>
      <c r="C49" s="149" t="inlineStr">
        <is>
          <t>Marina Berths</t>
        </is>
      </c>
    </row>
    <row r="50" ht="15" customHeight="1" s="91">
      <c r="B50" s="106" t="inlineStr">
        <is>
          <t>Links to Program Row</t>
        </is>
      </c>
      <c r="C50" s="114" t="n">
        <v>8</v>
      </c>
    </row>
    <row r="52" ht="24" customHeight="1" s="91">
      <c r="B52" s="113" t="inlineStr">
        <is>
          <t>KEY INPUTS  المدخلات</t>
        </is>
      </c>
    </row>
    <row r="53" ht="15" customHeight="1" s="91">
      <c r="B53" s="106" t="inlineStr">
        <is>
          <t>Berths  عدد المراسي</t>
        </is>
      </c>
      <c r="C53" s="114" t="n">
        <v>80</v>
      </c>
    </row>
    <row r="54" ht="15" customHeight="1" s="91">
      <c r="B54" s="106" t="inlineStr">
        <is>
          <t>Avg Berth Length (m)  متوسط الطول</t>
        </is>
      </c>
      <c r="C54" s="114" t="n">
        <v>14</v>
      </c>
    </row>
    <row r="55" ht="15" customHeight="1" s="91">
      <c r="B55" s="106" t="inlineStr">
        <is>
          <t>Unit Price (SAR/m/yr)  سعر المتر</t>
        </is>
      </c>
      <c r="C55" s="115" t="n">
        <v>2063</v>
      </c>
    </row>
    <row r="56" ht="15" customHeight="1" s="91">
      <c r="B56" s="106" t="inlineStr">
        <is>
          <t>Stabilized Occupancy  الإشغال</t>
        </is>
      </c>
      <c r="C56" s="116" t="n">
        <v>0.9</v>
      </c>
    </row>
    <row r="57" ht="15" customHeight="1" s="91">
      <c r="B57" s="106" t="inlineStr">
        <is>
          <t>Escalation %</t>
        </is>
      </c>
      <c r="C57" s="109">
        <f>Inputs!C41</f>
        <v/>
      </c>
    </row>
    <row r="59" ht="24" customHeight="1" s="91">
      <c r="B59" s="113" t="inlineStr">
        <is>
          <t>REVENUE MIX  مزيج الإيرادات</t>
        </is>
      </c>
    </row>
    <row r="60" ht="15" customHeight="1" s="91">
      <c r="B60" s="106" t="inlineStr">
        <is>
          <t>Fuel % of Total  نسبة الوقود</t>
        </is>
      </c>
      <c r="C60" s="116" t="n">
        <v>0.25</v>
      </c>
    </row>
    <row r="61" ht="15" customHeight="1" s="91">
      <c r="B61" s="106" t="inlineStr">
        <is>
          <t>Other % of Total  أخرى</t>
        </is>
      </c>
      <c r="C61" s="116" t="n">
        <v>0.1</v>
      </c>
    </row>
    <row r="63" ht="24" customHeight="1" s="91">
      <c r="B63" s="113" t="inlineStr">
        <is>
          <t>STABILIZED REVENUE  الإيرادات</t>
        </is>
      </c>
    </row>
    <row r="64" ht="15" customHeight="1" s="91">
      <c r="B64" s="106" t="inlineStr">
        <is>
          <t>Berthing Revenue  إيرادات الرسو</t>
        </is>
      </c>
      <c r="C64" s="132">
        <f>C53*C54*C55*C56</f>
        <v/>
      </c>
    </row>
    <row r="65" ht="15" customHeight="1" s="91">
      <c r="B65" s="106" t="inlineStr">
        <is>
          <t>Total Revenue  إجمالي الإيرادات</t>
        </is>
      </c>
      <c r="C65" s="132">
        <f>C64/(1-C60-C61)</f>
        <v/>
      </c>
    </row>
    <row r="66" ht="15" customHeight="1" s="91">
      <c r="B66" s="106" t="inlineStr">
        <is>
          <t>Fuel Revenue  إيرادات الوقود</t>
        </is>
      </c>
      <c r="C66" s="132">
        <f>C65*C60</f>
        <v/>
      </c>
    </row>
    <row r="67" ht="15" customHeight="1" s="91">
      <c r="B67" s="106" t="inlineStr">
        <is>
          <t>Other Revenue  أخرى</t>
        </is>
      </c>
      <c r="C67" s="132">
        <f>C65*C61</f>
        <v/>
      </c>
    </row>
    <row r="69" ht="24" customHeight="1" s="91">
      <c r="B69" s="113" t="inlineStr">
        <is>
          <t>OPEX RATIOS  نسب المصاريف</t>
        </is>
      </c>
    </row>
    <row r="70" ht="15" customHeight="1" s="91">
      <c r="B70" s="106" t="inlineStr">
        <is>
          <t>Berthing OPEX %</t>
        </is>
      </c>
      <c r="C70" s="116" t="n">
        <v>0.58</v>
      </c>
    </row>
    <row r="71" ht="15" customHeight="1" s="91">
      <c r="B71" s="106" t="inlineStr">
        <is>
          <t>Fuel OPEX %</t>
        </is>
      </c>
      <c r="C71" s="116" t="n">
        <v>0.96</v>
      </c>
    </row>
    <row r="72" ht="15" customHeight="1" s="91">
      <c r="B72" s="106" t="inlineStr">
        <is>
          <t>Other OPEX %</t>
        </is>
      </c>
      <c r="C72" s="116" t="n">
        <v>0.3</v>
      </c>
    </row>
    <row r="74" ht="24" customHeight="1" s="91">
      <c r="B74" s="113" t="inlineStr">
        <is>
          <t>STABILIZED OPEX  المصاريف</t>
        </is>
      </c>
    </row>
    <row r="75" ht="15" customHeight="1" s="91">
      <c r="B75" s="106" t="inlineStr">
        <is>
          <t>Berthing OPEX</t>
        </is>
      </c>
      <c r="C75" s="132">
        <f>C64*C70</f>
        <v/>
      </c>
    </row>
    <row r="76" ht="15" customHeight="1" s="91">
      <c r="B76" s="106" t="inlineStr">
        <is>
          <t>Fuel OPEX</t>
        </is>
      </c>
      <c r="C76" s="132">
        <f>C66*C71</f>
        <v/>
      </c>
    </row>
    <row r="77" ht="15" customHeight="1" s="91">
      <c r="B77" s="106" t="inlineStr">
        <is>
          <t>Other OPEX</t>
        </is>
      </c>
      <c r="C77" s="132">
        <f>C67*C72</f>
        <v/>
      </c>
    </row>
    <row r="78" ht="15" customHeight="1" s="91">
      <c r="B78" s="106" t="inlineStr">
        <is>
          <t>Total OPEX</t>
        </is>
      </c>
      <c r="C78" s="151">
        <f>SUM(C75:C77)</f>
        <v/>
      </c>
    </row>
    <row r="80" ht="15" customHeight="1" s="91">
      <c r="B80" s="106" t="inlineStr">
        <is>
          <t>EBITDA  الأرباح</t>
        </is>
      </c>
      <c r="C80" s="151">
        <f>C65-C78</f>
        <v/>
      </c>
    </row>
    <row r="81" ht="15" customHeight="1" s="91">
      <c r="B81" s="106" t="inlineStr">
        <is>
          <t>EBITDA Margin</t>
        </is>
      </c>
      <c r="C81" s="109">
        <f>IF(C65&gt;0,C80/C65,0)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mergeCells count="13">
    <mergeCell ref="B63:E63"/>
    <mergeCell ref="B27:E27"/>
    <mergeCell ref="A48:E48"/>
    <mergeCell ref="B35:E35"/>
    <mergeCell ref="B74:E74"/>
    <mergeCell ref="B69:E69"/>
    <mergeCell ref="B6:E6"/>
    <mergeCell ref="B52:E52"/>
    <mergeCell ref="A1:E1"/>
    <mergeCell ref="B59:E59"/>
    <mergeCell ref="B20:E20"/>
    <mergeCell ref="B14:E14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90" min="1" max="1"/>
    <col width="5" customWidth="1" style="90" min="2" max="2"/>
    <col width="28" customWidth="1" style="90" min="3" max="3"/>
    <col width="16" customWidth="1" style="90" min="4" max="14"/>
  </cols>
  <sheetData>
    <row r="1" ht="15" customHeight="1" s="91">
      <c r="A1" s="152" t="inlineStr">
        <is>
          <t>ZAN FUND PERFORMANCE DASHBOARD  لوحة أداء الصناديق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</row>
    <row r="3" ht="15" customHeight="1" s="91">
      <c r="C3" s="153" t="inlineStr">
        <is>
          <t>Fund Settings Mode:</t>
        </is>
      </c>
      <c r="D3" s="112">
        <f>Inputs!C118</f>
        <v/>
      </c>
    </row>
    <row r="5" ht="15" customHeight="1" s="91">
      <c r="A5" s="152" t="inlineStr">
        <is>
          <t>◆  Fund Performance Comparison  مقارنة أداء الصناديق</t>
        </is>
      </c>
      <c r="B5" s="152" t="n"/>
      <c r="C5" s="152" t="n"/>
      <c r="D5" s="152" t="n"/>
      <c r="E5" s="152" t="n"/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</row>
    <row r="7" ht="23.25" customHeight="1" s="91">
      <c r="C7" s="154" t="inlineStr">
        <is>
          <t>Fund
الصندوق</t>
        </is>
      </c>
      <c r="D7" s="154" t="inlineStr">
        <is>
          <t>Total Equity
رأس المال</t>
        </is>
      </c>
      <c r="E7" s="154" t="inlineStr">
        <is>
          <t>Dev Cost
تكلفة التطوير</t>
        </is>
      </c>
      <c r="F7" s="154" t="inlineStr">
        <is>
          <t>Max Debt
الدين الأقصى</t>
        </is>
      </c>
      <c r="G7" s="154" t="inlineStr">
        <is>
          <t>Total Fees
الرسوم</t>
        </is>
      </c>
      <c r="H7" s="154" t="inlineStr">
        <is>
          <t>Exit Proceeds
حصيلة التخارج</t>
        </is>
      </c>
      <c r="I7" s="154" t="inlineStr">
        <is>
          <t>LP Dist
توزيعات المستثمر</t>
        </is>
      </c>
      <c r="J7" s="154" t="inlineStr">
        <is>
          <t>GP Dist
توزيعات المطور</t>
        </is>
      </c>
      <c r="K7" s="154" t="inlineStr">
        <is>
          <t>Project IRR</t>
        </is>
      </c>
      <c r="L7" s="154" t="inlineStr">
        <is>
          <t>LP IRR</t>
        </is>
      </c>
      <c r="M7" s="154" t="inlineStr">
        <is>
          <t>GP IRR</t>
        </is>
      </c>
    </row>
    <row r="8" ht="15" customHeight="1" s="91">
      <c r="C8" s="110" t="inlineStr">
        <is>
          <t>ZAN 1</t>
        </is>
      </c>
      <c r="D8" s="155">
        <f>'Fund_ZAN 1'!C14</f>
        <v/>
      </c>
      <c r="E8" s="155">
        <f>'Fund_ZAN 1'!C18</f>
        <v/>
      </c>
      <c r="F8" s="155">
        <f>'Fund_ZAN 1'!C19</f>
        <v/>
      </c>
      <c r="G8" s="155">
        <f>'Fund_ZAN 1'!D69</f>
        <v/>
      </c>
      <c r="H8" s="155">
        <f>'Fund_ZAN 1'!D51</f>
        <v/>
      </c>
      <c r="I8" s="155">
        <f>'Fund_ZAN 1'!D93</f>
        <v/>
      </c>
      <c r="J8" s="155">
        <f>'Fund_ZAN 1'!D94</f>
        <v/>
      </c>
      <c r="K8" s="156">
        <f>'Fund_ZAN 1'!C107</f>
        <v/>
      </c>
      <c r="L8" s="156">
        <f>'Fund_ZAN 1'!E101</f>
        <v/>
      </c>
      <c r="M8" s="156">
        <f>'Fund_ZAN 1'!E104</f>
        <v/>
      </c>
    </row>
    <row r="9" ht="15" customHeight="1" s="91">
      <c r="C9" s="110" t="inlineStr">
        <is>
          <t>ZAN 2</t>
        </is>
      </c>
      <c r="D9" s="155">
        <f>'Fund_ZAN 2'!C14</f>
        <v/>
      </c>
      <c r="E9" s="155">
        <f>'Fund_ZAN 2'!C18</f>
        <v/>
      </c>
      <c r="F9" s="155">
        <f>'Fund_ZAN 2'!C19</f>
        <v/>
      </c>
      <c r="G9" s="155">
        <f>'Fund_ZAN 2'!D69</f>
        <v/>
      </c>
      <c r="H9" s="155">
        <f>'Fund_ZAN 2'!D51</f>
        <v/>
      </c>
      <c r="I9" s="155">
        <f>'Fund_ZAN 2'!D93</f>
        <v/>
      </c>
      <c r="J9" s="155">
        <f>'Fund_ZAN 2'!D94</f>
        <v/>
      </c>
      <c r="K9" s="156">
        <f>'Fund_ZAN 2'!C107</f>
        <v/>
      </c>
      <c r="L9" s="156">
        <f>'Fund_ZAN 2'!E101</f>
        <v/>
      </c>
      <c r="M9" s="156">
        <f>'Fund_ZAN 2'!E104</f>
        <v/>
      </c>
    </row>
    <row r="10" ht="15" customHeight="1" s="91">
      <c r="C10" s="110" t="inlineStr">
        <is>
          <t>ZAN 3</t>
        </is>
      </c>
      <c r="D10" s="155">
        <f>'Fund_ZAN 3'!C14</f>
        <v/>
      </c>
      <c r="E10" s="155">
        <f>'Fund_ZAN 3'!C18</f>
        <v/>
      </c>
      <c r="F10" s="155">
        <f>'Fund_ZAN 3'!C19</f>
        <v/>
      </c>
      <c r="G10" s="155">
        <f>'Fund_ZAN 3'!D69</f>
        <v/>
      </c>
      <c r="H10" s="155">
        <f>'Fund_ZAN 3'!D51</f>
        <v/>
      </c>
      <c r="I10" s="155">
        <f>'Fund_ZAN 3'!D93</f>
        <v/>
      </c>
      <c r="J10" s="155">
        <f>'Fund_ZAN 3'!D94</f>
        <v/>
      </c>
      <c r="K10" s="156">
        <f>'Fund_ZAN 3'!C107</f>
        <v/>
      </c>
      <c r="L10" s="156">
        <f>'Fund_ZAN 3'!E101</f>
        <v/>
      </c>
      <c r="M10" s="156">
        <f>'Fund_ZAN 3'!E104</f>
        <v/>
      </c>
    </row>
    <row r="11" ht="15" customHeight="1" s="91">
      <c r="C11" s="110" t="inlineStr">
        <is>
          <t>ZAN 4</t>
        </is>
      </c>
      <c r="D11" s="155">
        <f>'Fund_ZAN 4'!C14</f>
        <v/>
      </c>
      <c r="E11" s="155">
        <f>'Fund_ZAN 4'!C18</f>
        <v/>
      </c>
      <c r="F11" s="155">
        <f>'Fund_ZAN 4'!C19</f>
        <v/>
      </c>
      <c r="G11" s="155">
        <f>'Fund_ZAN 4'!D69</f>
        <v/>
      </c>
      <c r="H11" s="155">
        <f>'Fund_ZAN 4'!D51</f>
        <v/>
      </c>
      <c r="I11" s="155">
        <f>'Fund_ZAN 4'!D93</f>
        <v/>
      </c>
      <c r="J11" s="155">
        <f>'Fund_ZAN 4'!D94</f>
        <v/>
      </c>
      <c r="K11" s="156">
        <f>'Fund_ZAN 4'!C107</f>
        <v/>
      </c>
      <c r="L11" s="156">
        <f>'Fund_ZAN 4'!E101</f>
        <v/>
      </c>
      <c r="M11" s="156">
        <f>'Fund_ZAN 4'!E104</f>
        <v/>
      </c>
    </row>
    <row r="12" ht="15" customHeight="1" s="91">
      <c r="C12" s="110" t="inlineStr">
        <is>
          <t>ZAN 5</t>
        </is>
      </c>
      <c r="D12" s="155">
        <f>'Fund_ZAN 5'!C14</f>
        <v/>
      </c>
      <c r="E12" s="155">
        <f>'Fund_ZAN 5'!C18</f>
        <v/>
      </c>
      <c r="F12" s="155">
        <f>'Fund_ZAN 5'!C19</f>
        <v/>
      </c>
      <c r="G12" s="155">
        <f>'Fund_ZAN 5'!D69</f>
        <v/>
      </c>
      <c r="H12" s="155">
        <f>'Fund_ZAN 5'!D51</f>
        <v/>
      </c>
      <c r="I12" s="155">
        <f>'Fund_ZAN 5'!D93</f>
        <v/>
      </c>
      <c r="J12" s="155">
        <f>'Fund_ZAN 5'!D94</f>
        <v/>
      </c>
      <c r="K12" s="156">
        <f>'Fund_ZAN 5'!C107</f>
        <v/>
      </c>
      <c r="L12" s="156">
        <f>'Fund_ZAN 5'!E101</f>
        <v/>
      </c>
      <c r="M12" s="156">
        <f>'Fund_ZAN 5'!E104</f>
        <v/>
      </c>
    </row>
    <row r="13" ht="15" customHeight="1" s="91">
      <c r="C13" s="110" t="inlineStr">
        <is>
          <t>ZAN 6</t>
        </is>
      </c>
      <c r="D13" s="155">
        <f>'Fund_ZAN 6'!C14</f>
        <v/>
      </c>
      <c r="E13" s="155">
        <f>'Fund_ZAN 6'!C18</f>
        <v/>
      </c>
      <c r="F13" s="155">
        <f>'Fund_ZAN 6'!C19</f>
        <v/>
      </c>
      <c r="G13" s="155">
        <f>'Fund_ZAN 6'!D69</f>
        <v/>
      </c>
      <c r="H13" s="155">
        <f>'Fund_ZAN 6'!D51</f>
        <v/>
      </c>
      <c r="I13" s="155">
        <f>'Fund_ZAN 6'!D93</f>
        <v/>
      </c>
      <c r="J13" s="155">
        <f>'Fund_ZAN 6'!D94</f>
        <v/>
      </c>
      <c r="K13" s="156">
        <f>'Fund_ZAN 6'!C107</f>
        <v/>
      </c>
      <c r="L13" s="156">
        <f>'Fund_ZAN 6'!E101</f>
        <v/>
      </c>
      <c r="M13" s="156">
        <f>'Fund_ZAN 6'!E104</f>
        <v/>
      </c>
    </row>
    <row r="14" ht="15" customHeight="1" s="91">
      <c r="C14" s="110" t="inlineStr">
        <is>
          <t>TOTAL  الإجمالي</t>
        </is>
      </c>
      <c r="D14" s="157">
        <f>SUM(D8:D13)</f>
        <v/>
      </c>
      <c r="E14" s="157">
        <f>SUM(E8:E13)</f>
        <v/>
      </c>
      <c r="F14" s="157">
        <f>SUM(F8:F13)</f>
        <v/>
      </c>
      <c r="G14" s="157">
        <f>SUM(G8:G13)</f>
        <v/>
      </c>
      <c r="H14" s="157">
        <f>SUM(H8:H13)</f>
        <v/>
      </c>
      <c r="I14" s="157">
        <f>SUM(I8:I13)</f>
        <v/>
      </c>
      <c r="J14" s="157">
        <f>SUM(J8:J13)</f>
        <v/>
      </c>
      <c r="K14" s="110" t="inlineStr">
        <is>
          <t>-</t>
        </is>
      </c>
      <c r="L14" s="110" t="inlineStr">
        <is>
          <t>-</t>
        </is>
      </c>
      <c r="M14" s="110" t="inlineStr">
        <is>
          <t>-</t>
        </is>
      </c>
    </row>
    <row r="16" ht="15" customHeight="1" s="91">
      <c r="A16" s="152" t="inlineStr">
        <is>
          <t>◆  Equity &amp; Capital Structure  هيكل رأس المال</t>
        </is>
      </c>
      <c r="B16" s="152" t="n"/>
      <c r="C16" s="152" t="n"/>
      <c r="D16" s="152" t="n"/>
      <c r="E16" s="152" t="n"/>
      <c r="F16" s="152" t="n"/>
      <c r="G16" s="152" t="n"/>
      <c r="H16" s="152" t="n"/>
      <c r="I16" s="152" t="n"/>
      <c r="J16" s="152" t="n"/>
      <c r="K16" s="152" t="n"/>
      <c r="L16" s="152" t="n"/>
      <c r="M16" s="152" t="n"/>
      <c r="N16" s="152" t="n"/>
    </row>
    <row r="18" ht="23.25" customHeight="1" s="91">
      <c r="C18" s="154" t="inlineStr">
        <is>
          <t>Fund</t>
        </is>
      </c>
      <c r="D18" s="154" t="inlineStr">
        <is>
          <t>GP Equity
إكوتي المطور</t>
        </is>
      </c>
      <c r="E18" s="154" t="inlineStr">
        <is>
          <t>LP Equity
إكوتي المستثمر</t>
        </is>
      </c>
      <c r="F18" s="154" t="inlineStr">
        <is>
          <t>GP %</t>
        </is>
      </c>
      <c r="G18" s="154" t="inlineStr">
        <is>
          <t>LP %</t>
        </is>
      </c>
      <c r="H18" s="154" t="inlineStr">
        <is>
          <t>LP MOIC</t>
        </is>
      </c>
      <c r="I18" s="154" t="inlineStr">
        <is>
          <t>GP MOIC</t>
        </is>
      </c>
    </row>
    <row r="19" ht="15" customHeight="1" s="91">
      <c r="C19" s="110" t="inlineStr">
        <is>
          <t>ZAN 1</t>
        </is>
      </c>
      <c r="D19" s="155">
        <f>'Fund_ZAN 1'!C12</f>
        <v/>
      </c>
      <c r="E19" s="155">
        <f>'Fund_ZAN 1'!C13</f>
        <v/>
      </c>
      <c r="F19" s="156">
        <f>'Fund_ZAN 1'!C15</f>
        <v/>
      </c>
      <c r="G19" s="156">
        <f>'Fund_ZAN 1'!C16</f>
        <v/>
      </c>
      <c r="H19" s="158">
        <f>'Fund_ZAN 1'!C110</f>
        <v/>
      </c>
      <c r="I19" s="158">
        <f>'Fund_ZAN 1'!C111</f>
        <v/>
      </c>
    </row>
    <row r="20" ht="15" customHeight="1" s="91">
      <c r="C20" s="110" t="inlineStr">
        <is>
          <t>ZAN 2</t>
        </is>
      </c>
      <c r="D20" s="155">
        <f>'Fund_ZAN 2'!C12</f>
        <v/>
      </c>
      <c r="E20" s="155">
        <f>'Fund_ZAN 2'!C13</f>
        <v/>
      </c>
      <c r="F20" s="156">
        <f>'Fund_ZAN 2'!C15</f>
        <v/>
      </c>
      <c r="G20" s="156">
        <f>'Fund_ZAN 2'!C16</f>
        <v/>
      </c>
      <c r="H20" s="158">
        <f>'Fund_ZAN 2'!C110</f>
        <v/>
      </c>
      <c r="I20" s="158">
        <f>'Fund_ZAN 2'!C111</f>
        <v/>
      </c>
    </row>
    <row r="21" ht="15" customHeight="1" s="91">
      <c r="C21" s="110" t="inlineStr">
        <is>
          <t>ZAN 3</t>
        </is>
      </c>
      <c r="D21" s="155">
        <f>'Fund_ZAN 3'!C12</f>
        <v/>
      </c>
      <c r="E21" s="155">
        <f>'Fund_ZAN 3'!C13</f>
        <v/>
      </c>
      <c r="F21" s="156">
        <f>'Fund_ZAN 3'!C15</f>
        <v/>
      </c>
      <c r="G21" s="156">
        <f>'Fund_ZAN 3'!C16</f>
        <v/>
      </c>
      <c r="H21" s="158">
        <f>'Fund_ZAN 3'!C110</f>
        <v/>
      </c>
      <c r="I21" s="158">
        <f>'Fund_ZAN 3'!C111</f>
        <v/>
      </c>
    </row>
    <row r="22" ht="15" customHeight="1" s="91">
      <c r="C22" s="110" t="inlineStr">
        <is>
          <t>ZAN 4</t>
        </is>
      </c>
      <c r="D22" s="155">
        <f>'Fund_ZAN 4'!C12</f>
        <v/>
      </c>
      <c r="E22" s="155">
        <f>'Fund_ZAN 4'!C13</f>
        <v/>
      </c>
      <c r="F22" s="156">
        <f>'Fund_ZAN 4'!C15</f>
        <v/>
      </c>
      <c r="G22" s="156">
        <f>'Fund_ZAN 4'!C16</f>
        <v/>
      </c>
      <c r="H22" s="158">
        <f>'Fund_ZAN 4'!C110</f>
        <v/>
      </c>
      <c r="I22" s="158">
        <f>'Fund_ZAN 4'!C111</f>
        <v/>
      </c>
    </row>
    <row r="23" ht="15" customHeight="1" s="91">
      <c r="C23" s="110" t="inlineStr">
        <is>
          <t>ZAN 5</t>
        </is>
      </c>
      <c r="D23" s="155">
        <f>'Fund_ZAN 5'!C12</f>
        <v/>
      </c>
      <c r="E23" s="155">
        <f>'Fund_ZAN 5'!C13</f>
        <v/>
      </c>
      <c r="F23" s="156">
        <f>'Fund_ZAN 5'!C15</f>
        <v/>
      </c>
      <c r="G23" s="156">
        <f>'Fund_ZAN 5'!C16</f>
        <v/>
      </c>
      <c r="H23" s="158">
        <f>'Fund_ZAN 5'!C110</f>
        <v/>
      </c>
      <c r="I23" s="158">
        <f>'Fund_ZAN 5'!C111</f>
        <v/>
      </c>
    </row>
    <row r="24" ht="15" customHeight="1" s="91">
      <c r="C24" s="110" t="inlineStr">
        <is>
          <t>ZAN 6</t>
        </is>
      </c>
      <c r="D24" s="155">
        <f>'Fund_ZAN 6'!C12</f>
        <v/>
      </c>
      <c r="E24" s="155">
        <f>'Fund_ZAN 6'!C13</f>
        <v/>
      </c>
      <c r="F24" s="156">
        <f>'Fund_ZAN 6'!C15</f>
        <v/>
      </c>
      <c r="G24" s="156">
        <f>'Fund_ZAN 6'!C16</f>
        <v/>
      </c>
      <c r="H24" s="158">
        <f>'Fund_ZAN 6'!C110</f>
        <v/>
      </c>
      <c r="I24" s="158">
        <f>'Fund_ZAN 6'!C111</f>
        <v/>
      </c>
    </row>
    <row r="25" ht="15" customHeight="1" s="91">
      <c r="C25" s="110" t="inlineStr">
        <is>
          <t>TOTAL</t>
        </is>
      </c>
      <c r="D25" s="157">
        <f>SUM(D19:D24)</f>
        <v/>
      </c>
      <c r="E25" s="157">
        <f>SUM(E19:E24)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B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42" customWidth="1" style="90" min="2" max="2"/>
    <col width="14" customWidth="1" style="90" min="3" max="3"/>
    <col width="18" customWidth="1" style="90" min="4" max="4"/>
    <col width="14" customWidth="1" style="90" min="5" max="54"/>
  </cols>
  <sheetData>
    <row r="1" ht="15" customHeight="1" s="91">
      <c r="A1" s="152" t="inlineStr">
        <is>
          <t>FUND MODEL - ZAN 1  نموذج الصندوق - ZAN 1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</row>
    <row r="3" ht="15" customHeight="1" s="91">
      <c r="A3" s="152" t="inlineStr">
        <is>
          <t>1  FUND INFORMATION  معلومات الصندوق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2" t="n"/>
      <c r="AS3" s="152" t="n"/>
      <c r="AT3" s="152" t="n"/>
      <c r="AU3" s="152" t="n"/>
      <c r="AV3" s="152" t="n"/>
      <c r="AW3" s="152" t="n"/>
      <c r="AX3" s="152" t="n"/>
      <c r="AY3" s="152" t="n"/>
      <c r="AZ3" s="152" t="n"/>
      <c r="BA3" s="152" t="n"/>
      <c r="BB3" s="152" t="n"/>
    </row>
    <row r="4" ht="15" customHeight="1" s="91">
      <c r="B4" s="153" t="inlineStr">
        <is>
          <t>Fund Name</t>
        </is>
      </c>
      <c r="C4" s="114" t="inlineStr">
        <is>
          <t>ZAN Infrastructure Fund</t>
        </is>
      </c>
      <c r="D4" s="120" t="inlineStr">
        <is>
          <t>اسم الصندوق</t>
        </is>
      </c>
    </row>
    <row r="5" ht="15" customHeight="1" s="91">
      <c r="B5" s="153" t="inlineStr">
        <is>
          <t>ZAN Section</t>
        </is>
      </c>
      <c r="C5" s="153" t="inlineStr">
        <is>
          <t>ZAN 1</t>
        </is>
      </c>
      <c r="D5" s="120" t="inlineStr">
        <is>
          <t>القسم</t>
        </is>
      </c>
    </row>
    <row r="6" ht="15" customHeight="1" s="91">
      <c r="B6" s="153" t="inlineStr">
        <is>
          <t>Vehicle Type</t>
        </is>
      </c>
      <c r="C6" s="114" t="inlineStr">
        <is>
          <t>Fund</t>
        </is>
      </c>
      <c r="D6" s="120" t="inlineStr">
        <is>
          <t>نوع الأداة</t>
        </is>
      </c>
    </row>
    <row r="7" ht="15" customHeight="1" s="91">
      <c r="B7" s="153" t="inlineStr">
        <is>
          <t>Strategy</t>
        </is>
      </c>
      <c r="C7" s="114" t="inlineStr">
        <is>
          <t>Develop &amp; Hold</t>
        </is>
      </c>
      <c r="D7" s="120" t="inlineStr">
        <is>
          <t>الاستراتيجية</t>
        </is>
      </c>
    </row>
    <row r="8" ht="15" customHeight="1" s="91">
      <c r="B8" s="153" t="inlineStr">
        <is>
          <t>Currency</t>
        </is>
      </c>
      <c r="C8" s="112">
        <f>Inputs!C9</f>
        <v/>
      </c>
      <c r="D8" s="120" t="inlineStr">
        <is>
          <t>العملة</t>
        </is>
      </c>
    </row>
    <row r="9" ht="15" customHeight="1" s="91">
      <c r="B9" s="153" t="inlineStr">
        <is>
          <t>Fund Start Year  سنة بداية الصندوق</t>
        </is>
      </c>
      <c r="C9" s="159">
        <f>Inputs!C7+Inputs!C45-1</f>
        <v/>
      </c>
      <c r="D9" s="120" t="inlineStr">
        <is>
          <t>سنة بداية الصندوق</t>
        </is>
      </c>
    </row>
    <row r="11" ht="15" customHeight="1" s="91">
      <c r="A11" s="152" t="inlineStr">
        <is>
          <t>2  CAPITAL STRUCTURE  هيكل رأس المال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</row>
    <row r="12" ht="15" customHeight="1" s="91">
      <c r="B12" s="153" t="inlineStr">
        <is>
          <t>GP Equity (Sponsor/Land)</t>
        </is>
      </c>
      <c r="C12" s="155">
        <f>Inputs!E67</f>
        <v/>
      </c>
      <c r="D12" s="120" t="inlineStr">
        <is>
          <t>حصة المطور (الأرض)</t>
        </is>
      </c>
    </row>
    <row r="13" ht="15" customHeight="1" s="91">
      <c r="B13" s="153" t="inlineStr">
        <is>
          <t>LP Equity (Investors)</t>
        </is>
      </c>
      <c r="C13" s="160">
        <f>C14-C12</f>
        <v/>
      </c>
      <c r="D13" s="120" t="inlineStr">
        <is>
          <t>حصة المستثمرين</t>
        </is>
      </c>
    </row>
    <row r="14" ht="15" customHeight="1" s="91">
      <c r="B14" s="153" t="inlineStr">
        <is>
          <t>Total Equity</t>
        </is>
      </c>
      <c r="C14" s="157">
        <f>C18-C19</f>
        <v/>
      </c>
      <c r="D14" s="120" t="inlineStr">
        <is>
          <t>إجمالي حقوق الملكية</t>
        </is>
      </c>
    </row>
    <row r="15" ht="15" customHeight="1" s="91">
      <c r="B15" s="153" t="inlineStr">
        <is>
          <t>Sponsor %</t>
        </is>
      </c>
      <c r="C15" s="161">
        <f>IF(C14=0,0,C12/C14)</f>
        <v/>
      </c>
    </row>
    <row r="16" ht="15" customHeight="1" s="91">
      <c r="B16" s="153" t="inlineStr">
        <is>
          <t>LP %</t>
        </is>
      </c>
      <c r="C16" s="161">
        <f>IF(C14=0,0,C13/C14)</f>
        <v/>
      </c>
    </row>
    <row r="17" ht="15" customHeight="1" s="91">
      <c r="B17" s="153" t="inlineStr">
        <is>
          <t>Development Cost (excl. Land)</t>
        </is>
      </c>
      <c r="C17" s="155">
        <f>CAPEX!D36</f>
        <v/>
      </c>
    </row>
    <row r="18" ht="15" customHeight="1" s="91">
      <c r="B18" s="153" t="inlineStr">
        <is>
          <t>Development Cost (incl. Land)</t>
        </is>
      </c>
      <c r="C18" s="157">
        <f>C17+C12</f>
        <v/>
      </c>
      <c r="D18" s="120" t="inlineStr">
        <is>
          <t>تكاليف التطوير شاملة الأرض</t>
        </is>
      </c>
    </row>
    <row r="19" ht="15" customHeight="1" s="91">
      <c r="B19" s="153" t="inlineStr">
        <is>
          <t>Max Debt</t>
        </is>
      </c>
      <c r="C19" s="155">
        <f>IF($C$22="Y",C18*Inputs!$C$85,0)</f>
        <v/>
      </c>
      <c r="D19" s="120" t="inlineStr">
        <is>
          <t>الحد الأقصى للدين</t>
        </is>
      </c>
    </row>
    <row r="21" ht="15" customHeight="1" s="91">
      <c r="A21" s="152" t="inlineStr">
        <is>
          <t>3  DEBT  الدين</t>
        </is>
      </c>
      <c r="B21" s="152" t="n"/>
      <c r="C21" s="152" t="n"/>
      <c r="D21" s="152" t="n"/>
      <c r="E21" s="152" t="n"/>
      <c r="F21" s="152" t="n"/>
      <c r="G21" s="152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  <c r="AK21" s="152" t="n"/>
      <c r="AL21" s="152" t="n"/>
      <c r="AM21" s="152" t="n"/>
      <c r="AN21" s="152" t="n"/>
      <c r="AO21" s="152" t="n"/>
      <c r="AP21" s="152" t="n"/>
      <c r="AQ21" s="152" t="n"/>
      <c r="AR21" s="152" t="n"/>
      <c r="AS21" s="152" t="n"/>
      <c r="AT21" s="152" t="n"/>
      <c r="AU21" s="152" t="n"/>
      <c r="AV21" s="152" t="n"/>
      <c r="AW21" s="152" t="n"/>
      <c r="AX21" s="152" t="n"/>
      <c r="AY21" s="152" t="n"/>
      <c r="AZ21" s="152" t="n"/>
      <c r="BA21" s="152" t="n"/>
      <c r="BB21" s="152" t="n"/>
    </row>
    <row r="22" ht="15" customHeight="1" s="91">
      <c r="B22" s="153" t="inlineStr">
        <is>
          <t>Debt Allowed (Y/N)</t>
        </is>
      </c>
      <c r="C22" s="114" t="inlineStr">
        <is>
          <t>Y</t>
        </is>
      </c>
      <c r="D22" s="120" t="inlineStr">
        <is>
          <t>هل الدين مسموح؟</t>
        </is>
      </c>
    </row>
    <row r="23" ht="15" customHeight="1" s="91">
      <c r="B23" s="153" t="inlineStr">
        <is>
          <t>Annual Financing Rate</t>
        </is>
      </c>
      <c r="C23" s="156">
        <f>Inputs!C$126</f>
        <v/>
      </c>
      <c r="D23" s="120" t="inlineStr">
        <is>
          <t>معدل التمويل السنوي</t>
        </is>
      </c>
    </row>
    <row r="24" ht="15" customHeight="1" s="91">
      <c r="B24" s="153" t="inlineStr">
        <is>
          <t>Total Loan Tenor (incl. Grace)</t>
        </is>
      </c>
      <c r="C24" s="159">
        <f>Inputs!C$127</f>
        <v/>
      </c>
      <c r="D24" s="120" t="inlineStr">
        <is>
          <t>مدة القرض شاملة السماح</t>
        </is>
      </c>
    </row>
    <row r="25" ht="15" customHeight="1" s="91">
      <c r="B25" s="153" t="inlineStr">
        <is>
          <t>Upfront Fee %</t>
        </is>
      </c>
      <c r="C25" s="156">
        <f>Inputs!C$129</f>
        <v/>
      </c>
      <c r="D25" s="120" t="inlineStr">
        <is>
          <t>رسوم إصدار القرض</t>
        </is>
      </c>
    </row>
    <row r="26" ht="15" customHeight="1" s="91">
      <c r="B26" s="153" t="inlineStr">
        <is>
          <t>Grace Period (years)</t>
        </is>
      </c>
      <c r="C26" s="159">
        <f>Inputs!C$128</f>
        <v/>
      </c>
      <c r="D26" s="120" t="inlineStr">
        <is>
          <t>فترة السماح</t>
        </is>
      </c>
    </row>
    <row r="27" ht="15" customHeight="1" s="91">
      <c r="B27" s="90" t="inlineStr">
        <is>
          <t>Repay Years  سنوات السداد</t>
        </is>
      </c>
      <c r="C27" s="90">
        <f>C24-C26</f>
        <v/>
      </c>
    </row>
    <row r="28" ht="15" customHeight="1" s="91">
      <c r="A28" s="152" t="inlineStr">
        <is>
          <t>4  FEES  الرسوم</t>
        </is>
      </c>
      <c r="B28" s="152" t="inlineStr">
        <is>
          <t>Debt Tranche Mode  نمط الشرائح</t>
        </is>
      </c>
      <c r="C28" s="152">
        <f>Inputs!C$144</f>
        <v/>
      </c>
      <c r="D28" s="152" t="n"/>
      <c r="E28" s="152" t="n"/>
      <c r="F28" s="152" t="n"/>
      <c r="G28" s="152" t="n"/>
      <c r="H28" s="152" t="n"/>
      <c r="I28" s="152" t="n"/>
      <c r="J28" s="152" t="n"/>
      <c r="K28" s="152" t="n"/>
      <c r="L28" s="152" t="n"/>
      <c r="M28" s="152" t="n"/>
      <c r="N28" s="152" t="n"/>
      <c r="O28" s="152" t="n"/>
      <c r="P28" s="152" t="n"/>
      <c r="Q28" s="152" t="n"/>
      <c r="R28" s="152" t="n"/>
      <c r="S28" s="152" t="n"/>
      <c r="T28" s="152" t="n"/>
      <c r="U28" s="152" t="n"/>
      <c r="V28" s="152" t="n"/>
      <c r="W28" s="152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  <c r="AK28" s="152" t="n"/>
      <c r="AL28" s="152" t="n"/>
      <c r="AM28" s="152" t="n"/>
      <c r="AN28" s="152" t="n"/>
      <c r="AO28" s="152" t="n"/>
      <c r="AP28" s="152" t="n"/>
      <c r="AQ28" s="152" t="n"/>
      <c r="AR28" s="152" t="n"/>
      <c r="AS28" s="152" t="n"/>
      <c r="AT28" s="152" t="n"/>
      <c r="AU28" s="152" t="n"/>
      <c r="AV28" s="152" t="n"/>
      <c r="AW28" s="152" t="n"/>
      <c r="AX28" s="152" t="n"/>
      <c r="AY28" s="152" t="n"/>
      <c r="AZ28" s="152" t="n"/>
      <c r="BA28" s="152" t="n"/>
      <c r="BB28" s="152" t="n"/>
    </row>
    <row r="29" ht="15" customHeight="1" s="91">
      <c r="B29" s="153" t="inlineStr">
        <is>
          <t>Subscription Fee</t>
        </is>
      </c>
      <c r="C29" s="156">
        <f>Inputs!C$130</f>
        <v/>
      </c>
      <c r="D29" s="120" t="inlineStr">
        <is>
          <t>رسوم الاشتراك</t>
        </is>
      </c>
    </row>
    <row r="30" ht="15" customHeight="1" s="91">
      <c r="B30" s="153" t="inlineStr">
        <is>
          <t>Annual Management Fee</t>
        </is>
      </c>
      <c r="C30" s="156">
        <f>Inputs!C$131</f>
        <v/>
      </c>
      <c r="D30" s="120" t="inlineStr">
        <is>
          <t>رسوم الإدارة السنوية</t>
        </is>
      </c>
    </row>
    <row r="31" ht="15" customHeight="1" s="91">
      <c r="B31" s="153" t="inlineStr">
        <is>
          <t>Annual Custody Fee (Fixed SAR)</t>
        </is>
      </c>
      <c r="C31" s="155">
        <f>Inputs!C$132</f>
        <v/>
      </c>
      <c r="D31" s="120" t="inlineStr">
        <is>
          <t>رسوم الحفظ السنوية</t>
        </is>
      </c>
    </row>
    <row r="32" ht="15" customHeight="1" s="91">
      <c r="B32" s="153" t="inlineStr">
        <is>
          <t>Developer Fee % (of CAPEX)</t>
        </is>
      </c>
      <c r="C32" s="156">
        <f>Inputs!C$133</f>
        <v/>
      </c>
      <c r="D32" s="120" t="inlineStr">
        <is>
          <t>رسوم المطور</t>
        </is>
      </c>
    </row>
    <row r="33" ht="15" customHeight="1" s="91">
      <c r="B33" s="153" t="inlineStr">
        <is>
          <t>Structuring Fee</t>
        </is>
      </c>
      <c r="C33" s="156">
        <f>Inputs!C$134</f>
        <v/>
      </c>
      <c r="D33" s="120" t="inlineStr">
        <is>
          <t>رسوم الهيكلة</t>
        </is>
      </c>
    </row>
    <row r="35" ht="15" customHeight="1" s="91">
      <c r="A35" s="152" t="inlineStr">
        <is>
          <t>5  WATERFALL  شلال التوزيعات</t>
        </is>
      </c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2" t="n"/>
      <c r="S35" s="152" t="n"/>
      <c r="T35" s="152" t="n"/>
      <c r="U35" s="152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  <c r="AP35" s="152" t="n"/>
      <c r="AQ35" s="152" t="n"/>
      <c r="AR35" s="152" t="n"/>
      <c r="AS35" s="152" t="n"/>
      <c r="AT35" s="152" t="n"/>
      <c r="AU35" s="152" t="n"/>
      <c r="AV35" s="152" t="n"/>
      <c r="AW35" s="152" t="n"/>
      <c r="AX35" s="152" t="n"/>
      <c r="AY35" s="152" t="n"/>
      <c r="AZ35" s="152" t="n"/>
      <c r="BA35" s="152" t="n"/>
      <c r="BB35" s="152" t="n"/>
    </row>
    <row r="36" ht="15" customHeight="1" s="91">
      <c r="B36" s="153" t="inlineStr">
        <is>
          <t>Preferred Return %</t>
        </is>
      </c>
      <c r="C36" s="156">
        <f>Inputs!C$135</f>
        <v/>
      </c>
      <c r="D36" s="120" t="inlineStr">
        <is>
          <t>العائد التفضيلي</t>
        </is>
      </c>
    </row>
    <row r="37" ht="15" customHeight="1" s="91">
      <c r="B37" s="153" t="inlineStr">
        <is>
          <t>GP Catch-up? (Y/N)</t>
        </is>
      </c>
      <c r="C37" s="112">
        <f>Inputs!C$136</f>
        <v/>
      </c>
      <c r="D37" s="120" t="inlineStr">
        <is>
          <t>تعويض المطور</t>
        </is>
      </c>
    </row>
    <row r="38" ht="15" customHeight="1" s="91">
      <c r="B38" s="153" t="inlineStr">
        <is>
          <t>Carry %</t>
        </is>
      </c>
      <c r="C38" s="156">
        <f>Inputs!C$137</f>
        <v/>
      </c>
      <c r="D38" s="120" t="inlineStr">
        <is>
          <t>نسبة الأداء</t>
        </is>
      </c>
    </row>
    <row r="40" ht="15" customHeight="1" s="91">
      <c r="A40" s="152" t="inlineStr">
        <is>
          <t>6  EXIT  التخارج</t>
        </is>
      </c>
      <c r="B40" s="152" t="n"/>
      <c r="C40" s="152" t="n"/>
      <c r="D40" s="152" t="n"/>
      <c r="E40" s="152" t="n"/>
      <c r="F40" s="152" t="n"/>
      <c r="G40" s="152" t="n"/>
      <c r="H40" s="152" t="n"/>
      <c r="I40" s="152" t="n"/>
      <c r="J40" s="152" t="n"/>
      <c r="K40" s="152" t="n"/>
      <c r="L40" s="152" t="n"/>
      <c r="M40" s="152" t="n"/>
      <c r="N40" s="152" t="n"/>
      <c r="O40" s="152" t="n"/>
      <c r="P40" s="152" t="n"/>
      <c r="Q40" s="152" t="n"/>
      <c r="R40" s="152" t="n"/>
      <c r="S40" s="152" t="n"/>
      <c r="T40" s="152" t="n"/>
      <c r="U40" s="152" t="n"/>
      <c r="V40" s="152" t="n"/>
      <c r="W40" s="152" t="n"/>
      <c r="X40" s="152" t="n"/>
      <c r="Y40" s="152" t="n"/>
      <c r="Z40" s="152" t="n"/>
      <c r="AA40" s="15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  <c r="AK40" s="152" t="n"/>
      <c r="AL40" s="152" t="n"/>
      <c r="AM40" s="152" t="n"/>
      <c r="AN40" s="152" t="n"/>
      <c r="AO40" s="152" t="n"/>
      <c r="AP40" s="152" t="n"/>
      <c r="AQ40" s="152" t="n"/>
      <c r="AR40" s="152" t="n"/>
      <c r="AS40" s="152" t="n"/>
      <c r="AT40" s="152" t="n"/>
      <c r="AU40" s="152" t="n"/>
      <c r="AV40" s="152" t="n"/>
      <c r="AW40" s="152" t="n"/>
      <c r="AX40" s="152" t="n"/>
      <c r="AY40" s="152" t="n"/>
      <c r="AZ40" s="152" t="n"/>
      <c r="BA40" s="152" t="n"/>
      <c r="BB40" s="152" t="n"/>
    </row>
    <row r="41" ht="15" customHeight="1" s="91">
      <c r="B41" s="153" t="inlineStr">
        <is>
          <t>Exit Year</t>
        </is>
      </c>
      <c r="C41" s="159">
        <f>Inputs!C$138</f>
        <v/>
      </c>
      <c r="D41" s="120" t="inlineStr">
        <is>
          <t>سنة التخارج</t>
        </is>
      </c>
    </row>
    <row r="42" ht="15" customHeight="1" s="91">
      <c r="B42" s="153" t="inlineStr">
        <is>
          <t>Exit Multiple (x rent)</t>
        </is>
      </c>
      <c r="C42" s="162">
        <f>Inputs!C$139</f>
        <v/>
      </c>
      <c r="D42" s="120" t="inlineStr">
        <is>
          <t>مضاعف الإيجار</t>
        </is>
      </c>
    </row>
    <row r="43" ht="15" customHeight="1" s="91">
      <c r="B43" s="153" t="inlineStr">
        <is>
          <t>Exit Cost %</t>
        </is>
      </c>
      <c r="C43" s="156">
        <f>Inputs!C$140</f>
        <v/>
      </c>
      <c r="D43" s="120" t="inlineStr">
        <is>
          <t>تكلفة التخارج</t>
        </is>
      </c>
    </row>
    <row r="44" ht="15" customHeight="1" s="91">
      <c r="B44" s="90" t="inlineStr">
        <is>
          <t>Exit Method</t>
        </is>
      </c>
      <c r="C44" s="90">
        <f>Inputs!$C$107</f>
        <v/>
      </c>
      <c r="D44" s="163" t="inlineStr">
        <is>
          <t>طريقة التخارج</t>
        </is>
      </c>
    </row>
    <row r="45" ht="15" customHeight="1" s="91">
      <c r="A45" s="152" t="inlineStr">
        <is>
          <t>7  PROJECT CASH FLOWS (Unlevered)  تدفقات المشروع</t>
        </is>
      </c>
      <c r="B45" s="152" t="inlineStr">
        <is>
          <t>Exit Cap Rate %</t>
        </is>
      </c>
      <c r="C45" s="164">
        <f>Inputs!C$141</f>
        <v/>
      </c>
      <c r="D45" s="152" t="inlineStr">
        <is>
          <t>معدل الرسملة</t>
        </is>
      </c>
      <c r="E45" s="152" t="n"/>
      <c r="F45" s="152" t="n"/>
      <c r="G45" s="152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2" t="n"/>
      <c r="S45" s="152" t="n"/>
      <c r="T45" s="152" t="n"/>
      <c r="U45" s="152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  <c r="AK45" s="152" t="n"/>
      <c r="AL45" s="152" t="n"/>
      <c r="AM45" s="152" t="n"/>
      <c r="AN45" s="152" t="n"/>
      <c r="AO45" s="152" t="n"/>
      <c r="AP45" s="152" t="n"/>
      <c r="AQ45" s="152" t="n"/>
      <c r="AR45" s="152" t="n"/>
      <c r="AS45" s="152" t="n"/>
      <c r="AT45" s="152" t="n"/>
      <c r="AU45" s="152" t="n"/>
      <c r="AV45" s="152" t="n"/>
      <c r="AW45" s="152" t="n"/>
      <c r="AX45" s="152" t="n"/>
      <c r="AY45" s="152" t="n"/>
      <c r="AZ45" s="152" t="n"/>
      <c r="BA45" s="152" t="n"/>
      <c r="BB45" s="152" t="n"/>
    </row>
    <row r="46" ht="15" customHeight="1" s="91">
      <c r="C46" s="165" t="inlineStr">
        <is>
          <t>Unit</t>
        </is>
      </c>
      <c r="D46" s="165" t="inlineStr">
        <is>
          <t>Total</t>
        </is>
      </c>
      <c r="E46" s="166">
        <f>Inputs!$C$7+0</f>
        <v/>
      </c>
      <c r="F46" s="166">
        <f>Inputs!$C$7+1</f>
        <v/>
      </c>
      <c r="G46" s="166">
        <f>Inputs!$C$7+2</f>
        <v/>
      </c>
      <c r="H46" s="166">
        <f>Inputs!$C$7+3</f>
        <v/>
      </c>
      <c r="I46" s="166">
        <f>Inputs!$C$7+4</f>
        <v/>
      </c>
      <c r="J46" s="166">
        <f>Inputs!$C$7+5</f>
        <v/>
      </c>
      <c r="K46" s="166">
        <f>Inputs!$C$7+6</f>
        <v/>
      </c>
      <c r="L46" s="166">
        <f>Inputs!$C$7+7</f>
        <v/>
      </c>
      <c r="M46" s="166">
        <f>Inputs!$C$7+8</f>
        <v/>
      </c>
      <c r="N46" s="166">
        <f>Inputs!$C$7+9</f>
        <v/>
      </c>
      <c r="O46" s="166">
        <f>Inputs!$C$7+10</f>
        <v/>
      </c>
      <c r="P46" s="166">
        <f>Inputs!$C$7+11</f>
        <v/>
      </c>
      <c r="Q46" s="166">
        <f>Inputs!$C$7+12</f>
        <v/>
      </c>
      <c r="R46" s="166">
        <f>Inputs!$C$7+13</f>
        <v/>
      </c>
      <c r="S46" s="166">
        <f>Inputs!$C$7+14</f>
        <v/>
      </c>
      <c r="T46" s="166">
        <f>Inputs!$C$7+15</f>
        <v/>
      </c>
      <c r="U46" s="166">
        <f>Inputs!$C$7+16</f>
        <v/>
      </c>
      <c r="V46" s="166">
        <f>Inputs!$C$7+17</f>
        <v/>
      </c>
      <c r="W46" s="166">
        <f>Inputs!$C$7+18</f>
        <v/>
      </c>
      <c r="X46" s="166">
        <f>Inputs!$C$7+19</f>
        <v/>
      </c>
      <c r="Y46" s="166">
        <f>Inputs!$C$7+20</f>
        <v/>
      </c>
      <c r="Z46" s="166">
        <f>Inputs!$C$7+21</f>
        <v/>
      </c>
      <c r="AA46" s="166">
        <f>Inputs!$C$7+22</f>
        <v/>
      </c>
      <c r="AB46" s="166">
        <f>Inputs!$C$7+23</f>
        <v/>
      </c>
      <c r="AC46" s="166">
        <f>Inputs!$C$7+24</f>
        <v/>
      </c>
      <c r="AD46" s="166">
        <f>Inputs!$C$7+25</f>
        <v/>
      </c>
      <c r="AE46" s="166">
        <f>Inputs!$C$7+26</f>
        <v/>
      </c>
      <c r="AF46" s="166">
        <f>Inputs!$C$7+27</f>
        <v/>
      </c>
      <c r="AG46" s="166">
        <f>Inputs!$C$7+28</f>
        <v/>
      </c>
      <c r="AH46" s="166">
        <f>Inputs!$C$7+29</f>
        <v/>
      </c>
      <c r="AI46" s="166">
        <f>Inputs!$C$7+30</f>
        <v/>
      </c>
      <c r="AJ46" s="166">
        <f>Inputs!$C$7+31</f>
        <v/>
      </c>
      <c r="AK46" s="166">
        <f>Inputs!$C$7+32</f>
        <v/>
      </c>
      <c r="AL46" s="166">
        <f>Inputs!$C$7+33</f>
        <v/>
      </c>
      <c r="AM46" s="166">
        <f>Inputs!$C$7+34</f>
        <v/>
      </c>
      <c r="AN46" s="166">
        <f>Inputs!$C$7+35</f>
        <v/>
      </c>
      <c r="AO46" s="166">
        <f>Inputs!$C$7+36</f>
        <v/>
      </c>
      <c r="AP46" s="166">
        <f>Inputs!$C$7+37</f>
        <v/>
      </c>
      <c r="AQ46" s="166">
        <f>Inputs!$C$7+38</f>
        <v/>
      </c>
      <c r="AR46" s="166">
        <f>Inputs!$C$7+39</f>
        <v/>
      </c>
      <c r="AS46" s="166">
        <f>Inputs!$C$7+40</f>
        <v/>
      </c>
      <c r="AT46" s="166">
        <f>Inputs!$C$7+41</f>
        <v/>
      </c>
      <c r="AU46" s="166">
        <f>Inputs!$C$7+42</f>
        <v/>
      </c>
      <c r="AV46" s="166">
        <f>Inputs!$C$7+43</f>
        <v/>
      </c>
      <c r="AW46" s="166">
        <f>Inputs!$C$7+44</f>
        <v/>
      </c>
      <c r="AX46" s="166">
        <f>Inputs!$C$7+45</f>
        <v/>
      </c>
      <c r="AY46" s="166">
        <f>Inputs!$C$7+46</f>
        <v/>
      </c>
      <c r="AZ46" s="166">
        <f>Inputs!$C$7+47</f>
        <v/>
      </c>
      <c r="BA46" s="166">
        <f>Inputs!$C$7+48</f>
        <v/>
      </c>
      <c r="BB46" s="166">
        <f>Inputs!$C$7+49</f>
        <v/>
      </c>
    </row>
    <row r="47" ht="15" customHeight="1" s="91">
      <c r="B47" s="153" t="inlineStr">
        <is>
          <t>Rental Income  الإيرادات</t>
        </is>
      </c>
      <c r="C47" s="153" t="inlineStr">
        <is>
          <t>SAR</t>
        </is>
      </c>
      <c r="D47" s="157">
        <f>SUM(E47:BB47)</f>
        <v/>
      </c>
      <c r="E47" s="155">
        <f>CashFlow!D5</f>
        <v/>
      </c>
      <c r="F47" s="155">
        <f>CashFlow!E5</f>
        <v/>
      </c>
      <c r="G47" s="155">
        <f>CashFlow!F5</f>
        <v/>
      </c>
      <c r="H47" s="155">
        <f>CashFlow!G5</f>
        <v/>
      </c>
      <c r="I47" s="155">
        <f>CashFlow!H5</f>
        <v/>
      </c>
      <c r="J47" s="155">
        <f>CashFlow!I5</f>
        <v/>
      </c>
      <c r="K47" s="155">
        <f>CashFlow!J5</f>
        <v/>
      </c>
      <c r="L47" s="155">
        <f>CashFlow!K5</f>
        <v/>
      </c>
      <c r="M47" s="155">
        <f>CashFlow!L5</f>
        <v/>
      </c>
      <c r="N47" s="155">
        <f>CashFlow!M5</f>
        <v/>
      </c>
      <c r="O47" s="155">
        <f>CashFlow!N5</f>
        <v/>
      </c>
      <c r="P47" s="155">
        <f>CashFlow!O5</f>
        <v/>
      </c>
      <c r="Q47" s="155">
        <f>CashFlow!P5</f>
        <v/>
      </c>
      <c r="R47" s="155">
        <f>CashFlow!Q5</f>
        <v/>
      </c>
      <c r="S47" s="155">
        <f>CashFlow!R5</f>
        <v/>
      </c>
      <c r="T47" s="155">
        <f>CashFlow!S5</f>
        <v/>
      </c>
      <c r="U47" s="155">
        <f>CashFlow!T5</f>
        <v/>
      </c>
      <c r="V47" s="155">
        <f>CashFlow!U5</f>
        <v/>
      </c>
      <c r="W47" s="155">
        <f>CashFlow!V5</f>
        <v/>
      </c>
      <c r="X47" s="155">
        <f>CashFlow!W5</f>
        <v/>
      </c>
      <c r="Y47" s="155">
        <f>CashFlow!X5</f>
        <v/>
      </c>
      <c r="Z47" s="155">
        <f>CashFlow!Y5</f>
        <v/>
      </c>
      <c r="AA47" s="155">
        <f>CashFlow!Z5</f>
        <v/>
      </c>
      <c r="AB47" s="155">
        <f>CashFlow!AA5</f>
        <v/>
      </c>
      <c r="AC47" s="155">
        <f>CashFlow!AB5</f>
        <v/>
      </c>
      <c r="AD47" s="155">
        <f>CashFlow!AC5</f>
        <v/>
      </c>
      <c r="AE47" s="155">
        <f>CashFlow!AD5</f>
        <v/>
      </c>
      <c r="AF47" s="155">
        <f>CashFlow!AE5</f>
        <v/>
      </c>
      <c r="AG47" s="155">
        <f>CashFlow!AF5</f>
        <v/>
      </c>
      <c r="AH47" s="155">
        <f>CashFlow!AG5</f>
        <v/>
      </c>
      <c r="AI47" s="155">
        <f>CashFlow!AH5</f>
        <v/>
      </c>
      <c r="AJ47" s="155">
        <f>CashFlow!AI5</f>
        <v/>
      </c>
      <c r="AK47" s="155">
        <f>CashFlow!AJ5</f>
        <v/>
      </c>
      <c r="AL47" s="155">
        <f>CashFlow!AK5</f>
        <v/>
      </c>
      <c r="AM47" s="155">
        <f>CashFlow!AL5</f>
        <v/>
      </c>
      <c r="AN47" s="155">
        <f>CashFlow!AM5</f>
        <v/>
      </c>
      <c r="AO47" s="155">
        <f>CashFlow!AN5</f>
        <v/>
      </c>
      <c r="AP47" s="155">
        <f>CashFlow!AO5</f>
        <v/>
      </c>
      <c r="AQ47" s="155">
        <f>CashFlow!AP5</f>
        <v/>
      </c>
      <c r="AR47" s="155">
        <f>CashFlow!AQ5</f>
        <v/>
      </c>
      <c r="AS47" s="155">
        <f>CashFlow!AR5</f>
        <v/>
      </c>
      <c r="AT47" s="155">
        <f>CashFlow!AS5</f>
        <v/>
      </c>
      <c r="AU47" s="155">
        <f>CashFlow!AT5</f>
        <v/>
      </c>
      <c r="AV47" s="155">
        <f>CashFlow!AU5</f>
        <v/>
      </c>
      <c r="AW47" s="155">
        <f>CashFlow!AV5</f>
        <v/>
      </c>
      <c r="AX47" s="155">
        <f>CashFlow!AW5</f>
        <v/>
      </c>
      <c r="AY47" s="155">
        <f>CashFlow!AX5</f>
        <v/>
      </c>
      <c r="AZ47" s="155">
        <f>CashFlow!AY5</f>
        <v/>
      </c>
      <c r="BA47" s="155">
        <f>CashFlow!AZ5</f>
        <v/>
      </c>
      <c r="BB47" s="155">
        <f>CashFlow!BA5</f>
        <v/>
      </c>
    </row>
    <row r="48" ht="15" customHeight="1" s="91">
      <c r="B48" s="153" t="inlineStr">
        <is>
          <t>Land Rent  إيجار الأرض</t>
        </is>
      </c>
      <c r="C48" s="153" t="inlineStr">
        <is>
          <t>SAR</t>
        </is>
      </c>
      <c r="D48" s="157">
        <f>SUM(E48:BB48)</f>
        <v/>
      </c>
      <c r="E48" s="155">
        <f>CashFlow!D6</f>
        <v/>
      </c>
      <c r="F48" s="155">
        <f>CashFlow!E6</f>
        <v/>
      </c>
      <c r="G48" s="155">
        <f>CashFlow!F6</f>
        <v/>
      </c>
      <c r="H48" s="155">
        <f>CashFlow!G6</f>
        <v/>
      </c>
      <c r="I48" s="155">
        <f>CashFlow!H6</f>
        <v/>
      </c>
      <c r="J48" s="155">
        <f>CashFlow!I6</f>
        <v/>
      </c>
      <c r="K48" s="155">
        <f>CashFlow!J6</f>
        <v/>
      </c>
      <c r="L48" s="155">
        <f>CashFlow!K6</f>
        <v/>
      </c>
      <c r="M48" s="155">
        <f>CashFlow!L6</f>
        <v/>
      </c>
      <c r="N48" s="155">
        <f>CashFlow!M6</f>
        <v/>
      </c>
      <c r="O48" s="155">
        <f>CashFlow!N6</f>
        <v/>
      </c>
      <c r="P48" s="155">
        <f>CashFlow!O6</f>
        <v/>
      </c>
      <c r="Q48" s="155">
        <f>CashFlow!P6</f>
        <v/>
      </c>
      <c r="R48" s="155">
        <f>CashFlow!Q6</f>
        <v/>
      </c>
      <c r="S48" s="155">
        <f>CashFlow!R6</f>
        <v/>
      </c>
      <c r="T48" s="155">
        <f>CashFlow!S6</f>
        <v/>
      </c>
      <c r="U48" s="155">
        <f>CashFlow!T6</f>
        <v/>
      </c>
      <c r="V48" s="155">
        <f>CashFlow!U6</f>
        <v/>
      </c>
      <c r="W48" s="155">
        <f>CashFlow!V6</f>
        <v/>
      </c>
      <c r="X48" s="155">
        <f>CashFlow!W6</f>
        <v/>
      </c>
      <c r="Y48" s="155">
        <f>CashFlow!X6</f>
        <v/>
      </c>
      <c r="Z48" s="155">
        <f>CashFlow!Y6</f>
        <v/>
      </c>
      <c r="AA48" s="155">
        <f>CashFlow!Z6</f>
        <v/>
      </c>
      <c r="AB48" s="155">
        <f>CashFlow!AA6</f>
        <v/>
      </c>
      <c r="AC48" s="155">
        <f>CashFlow!AB6</f>
        <v/>
      </c>
      <c r="AD48" s="155">
        <f>CashFlow!AC6</f>
        <v/>
      </c>
      <c r="AE48" s="155">
        <f>CashFlow!AD6</f>
        <v/>
      </c>
      <c r="AF48" s="155">
        <f>CashFlow!AE6</f>
        <v/>
      </c>
      <c r="AG48" s="155">
        <f>CashFlow!AF6</f>
        <v/>
      </c>
      <c r="AH48" s="155">
        <f>CashFlow!AG6</f>
        <v/>
      </c>
      <c r="AI48" s="155">
        <f>CashFlow!AH6</f>
        <v/>
      </c>
      <c r="AJ48" s="155">
        <f>CashFlow!AI6</f>
        <v/>
      </c>
      <c r="AK48" s="155">
        <f>CashFlow!AJ6</f>
        <v/>
      </c>
      <c r="AL48" s="155">
        <f>CashFlow!AK6</f>
        <v/>
      </c>
      <c r="AM48" s="155">
        <f>CashFlow!AL6</f>
        <v/>
      </c>
      <c r="AN48" s="155">
        <f>CashFlow!AM6</f>
        <v/>
      </c>
      <c r="AO48" s="155">
        <f>CashFlow!AN6</f>
        <v/>
      </c>
      <c r="AP48" s="155">
        <f>CashFlow!AO6</f>
        <v/>
      </c>
      <c r="AQ48" s="155">
        <f>CashFlow!AP6</f>
        <v/>
      </c>
      <c r="AR48" s="155">
        <f>CashFlow!AQ6</f>
        <v/>
      </c>
      <c r="AS48" s="155">
        <f>CashFlow!AR6</f>
        <v/>
      </c>
      <c r="AT48" s="155">
        <f>CashFlow!AS6</f>
        <v/>
      </c>
      <c r="AU48" s="155">
        <f>CashFlow!AT6</f>
        <v/>
      </c>
      <c r="AV48" s="155">
        <f>CashFlow!AU6</f>
        <v/>
      </c>
      <c r="AW48" s="155">
        <f>CashFlow!AV6</f>
        <v/>
      </c>
      <c r="AX48" s="155">
        <f>CashFlow!AW6</f>
        <v/>
      </c>
      <c r="AY48" s="155">
        <f>CashFlow!AX6</f>
        <v/>
      </c>
      <c r="AZ48" s="155">
        <f>CashFlow!AY6</f>
        <v/>
      </c>
      <c r="BA48" s="155">
        <f>CashFlow!AZ6</f>
        <v/>
      </c>
      <c r="BB48" s="155">
        <f>CashFlow!BA6</f>
        <v/>
      </c>
    </row>
    <row r="49" ht="15" customHeight="1" s="91">
      <c r="B49" s="153" t="inlineStr">
        <is>
          <t>Development CAPEX  تكاليف التطوير</t>
        </is>
      </c>
      <c r="C49" s="153" t="inlineStr">
        <is>
          <t>SAR</t>
        </is>
      </c>
      <c r="D49" s="157">
        <f>SUM(E49:BB49)</f>
        <v/>
      </c>
      <c r="E49" s="155">
        <f>CashFlow!D7</f>
        <v/>
      </c>
      <c r="F49" s="155">
        <f>CashFlow!E7</f>
        <v/>
      </c>
      <c r="G49" s="155">
        <f>CashFlow!F7</f>
        <v/>
      </c>
      <c r="H49" s="155">
        <f>CashFlow!G7</f>
        <v/>
      </c>
      <c r="I49" s="155">
        <f>CashFlow!H7</f>
        <v/>
      </c>
      <c r="J49" s="155">
        <f>CashFlow!I7</f>
        <v/>
      </c>
      <c r="K49" s="155">
        <f>CashFlow!J7</f>
        <v/>
      </c>
      <c r="L49" s="155">
        <f>CashFlow!K7</f>
        <v/>
      </c>
      <c r="M49" s="155">
        <f>CashFlow!L7</f>
        <v/>
      </c>
      <c r="N49" s="155">
        <f>CashFlow!M7</f>
        <v/>
      </c>
      <c r="O49" s="155">
        <f>CashFlow!N7</f>
        <v/>
      </c>
      <c r="P49" s="155">
        <f>CashFlow!O7</f>
        <v/>
      </c>
      <c r="Q49" s="155">
        <f>CashFlow!P7</f>
        <v/>
      </c>
      <c r="R49" s="155">
        <f>CashFlow!Q7</f>
        <v/>
      </c>
      <c r="S49" s="155">
        <f>CashFlow!R7</f>
        <v/>
      </c>
      <c r="T49" s="155">
        <f>CashFlow!S7</f>
        <v/>
      </c>
      <c r="U49" s="155">
        <f>CashFlow!T7</f>
        <v/>
      </c>
      <c r="V49" s="155">
        <f>CashFlow!U7</f>
        <v/>
      </c>
      <c r="W49" s="155">
        <f>CashFlow!V7</f>
        <v/>
      </c>
      <c r="X49" s="155">
        <f>CashFlow!W7</f>
        <v/>
      </c>
      <c r="Y49" s="155">
        <f>CashFlow!X7</f>
        <v/>
      </c>
      <c r="Z49" s="155">
        <f>CashFlow!Y7</f>
        <v/>
      </c>
      <c r="AA49" s="155">
        <f>CashFlow!Z7</f>
        <v/>
      </c>
      <c r="AB49" s="155">
        <f>CashFlow!AA7</f>
        <v/>
      </c>
      <c r="AC49" s="155">
        <f>CashFlow!AB7</f>
        <v/>
      </c>
      <c r="AD49" s="155">
        <f>CashFlow!AC7</f>
        <v/>
      </c>
      <c r="AE49" s="155">
        <f>CashFlow!AD7</f>
        <v/>
      </c>
      <c r="AF49" s="155">
        <f>CashFlow!AE7</f>
        <v/>
      </c>
      <c r="AG49" s="155">
        <f>CashFlow!AF7</f>
        <v/>
      </c>
      <c r="AH49" s="155">
        <f>CashFlow!AG7</f>
        <v/>
      </c>
      <c r="AI49" s="155">
        <f>CashFlow!AH7</f>
        <v/>
      </c>
      <c r="AJ49" s="155">
        <f>CashFlow!AI7</f>
        <v/>
      </c>
      <c r="AK49" s="155">
        <f>CashFlow!AJ7</f>
        <v/>
      </c>
      <c r="AL49" s="155">
        <f>CashFlow!AK7</f>
        <v/>
      </c>
      <c r="AM49" s="155">
        <f>CashFlow!AL7</f>
        <v/>
      </c>
      <c r="AN49" s="155">
        <f>CashFlow!AM7</f>
        <v/>
      </c>
      <c r="AO49" s="155">
        <f>CashFlow!AN7</f>
        <v/>
      </c>
      <c r="AP49" s="155">
        <f>CashFlow!AO7</f>
        <v/>
      </c>
      <c r="AQ49" s="155">
        <f>CashFlow!AP7</f>
        <v/>
      </c>
      <c r="AR49" s="155">
        <f>CashFlow!AQ7</f>
        <v/>
      </c>
      <c r="AS49" s="155">
        <f>CashFlow!AR7</f>
        <v/>
      </c>
      <c r="AT49" s="155">
        <f>CashFlow!AS7</f>
        <v/>
      </c>
      <c r="AU49" s="155">
        <f>CashFlow!AT7</f>
        <v/>
      </c>
      <c r="AV49" s="155">
        <f>CashFlow!AU7</f>
        <v/>
      </c>
      <c r="AW49" s="155">
        <f>CashFlow!AV7</f>
        <v/>
      </c>
      <c r="AX49" s="155">
        <f>CashFlow!AW7</f>
        <v/>
      </c>
      <c r="AY49" s="155">
        <f>CashFlow!AX7</f>
        <v/>
      </c>
      <c r="AZ49" s="155">
        <f>CashFlow!AY7</f>
        <v/>
      </c>
      <c r="BA49" s="155">
        <f>CashFlow!AZ7</f>
        <v/>
      </c>
      <c r="BB49" s="155">
        <f>CashFlow!BA7</f>
        <v/>
      </c>
    </row>
    <row r="50" ht="15" customHeight="1" s="91">
      <c r="B50" s="110" t="inlineStr">
        <is>
          <t>Net Project CF (Unlevered)</t>
        </is>
      </c>
      <c r="C50" s="153" t="inlineStr">
        <is>
          <t>SAR</t>
        </is>
      </c>
      <c r="D50" s="157">
        <f>SUM(E50:BB50)</f>
        <v/>
      </c>
      <c r="E50" s="157">
        <f>E47+E48+E49</f>
        <v/>
      </c>
      <c r="F50" s="157">
        <f>F47+F48+F49</f>
        <v/>
      </c>
      <c r="G50" s="157">
        <f>G47+G48+G49</f>
        <v/>
      </c>
      <c r="H50" s="157">
        <f>H47+H48+H49</f>
        <v/>
      </c>
      <c r="I50" s="157">
        <f>I47+I48+I49</f>
        <v/>
      </c>
      <c r="J50" s="157">
        <f>J47+J48+J49</f>
        <v/>
      </c>
      <c r="K50" s="157">
        <f>K47+K48+K49</f>
        <v/>
      </c>
      <c r="L50" s="157">
        <f>L47+L48+L49</f>
        <v/>
      </c>
      <c r="M50" s="157">
        <f>M47+M48+M49</f>
        <v/>
      </c>
      <c r="N50" s="157">
        <f>N47+N48+N49</f>
        <v/>
      </c>
      <c r="O50" s="157">
        <f>O47+O48+O49</f>
        <v/>
      </c>
      <c r="P50" s="157">
        <f>P47+P48+P49</f>
        <v/>
      </c>
      <c r="Q50" s="157">
        <f>Q47+Q48+Q49</f>
        <v/>
      </c>
      <c r="R50" s="157">
        <f>R47+R48+R49</f>
        <v/>
      </c>
      <c r="S50" s="157">
        <f>S47+S48+S49</f>
        <v/>
      </c>
      <c r="T50" s="157">
        <f>T47+T48+T49</f>
        <v/>
      </c>
      <c r="U50" s="157">
        <f>U47+U48+U49</f>
        <v/>
      </c>
      <c r="V50" s="157">
        <f>V47+V48+V49</f>
        <v/>
      </c>
      <c r="W50" s="157">
        <f>W47+W48+W49</f>
        <v/>
      </c>
      <c r="X50" s="157">
        <f>X47+X48+X49</f>
        <v/>
      </c>
      <c r="Y50" s="157">
        <f>Y47+Y48+Y49</f>
        <v/>
      </c>
      <c r="Z50" s="157">
        <f>Z47+Z48+Z49</f>
        <v/>
      </c>
      <c r="AA50" s="157">
        <f>AA47+AA48+AA49</f>
        <v/>
      </c>
      <c r="AB50" s="157">
        <f>AB47+AB48+AB49</f>
        <v/>
      </c>
      <c r="AC50" s="157">
        <f>AC47+AC48+AC49</f>
        <v/>
      </c>
      <c r="AD50" s="157">
        <f>AD47+AD48+AD49</f>
        <v/>
      </c>
      <c r="AE50" s="157">
        <f>AE47+AE48+AE49</f>
        <v/>
      </c>
      <c r="AF50" s="157">
        <f>AF47+AF48+AF49</f>
        <v/>
      </c>
      <c r="AG50" s="157">
        <f>AG47+AG48+AG49</f>
        <v/>
      </c>
      <c r="AH50" s="157">
        <f>AH47+AH48+AH49</f>
        <v/>
      </c>
      <c r="AI50" s="157">
        <f>AI47+AI48+AI49</f>
        <v/>
      </c>
      <c r="AJ50" s="157">
        <f>AJ47+AJ48+AJ49</f>
        <v/>
      </c>
      <c r="AK50" s="157">
        <f>AK47+AK48+AK49</f>
        <v/>
      </c>
      <c r="AL50" s="157">
        <f>AL47+AL48+AL49</f>
        <v/>
      </c>
      <c r="AM50" s="157">
        <f>AM47+AM48+AM49</f>
        <v/>
      </c>
      <c r="AN50" s="157">
        <f>AN47+AN48+AN49</f>
        <v/>
      </c>
      <c r="AO50" s="157">
        <f>AO47+AO48+AO49</f>
        <v/>
      </c>
      <c r="AP50" s="157">
        <f>AP47+AP48+AP49</f>
        <v/>
      </c>
      <c r="AQ50" s="157">
        <f>AQ47+AQ48+AQ49</f>
        <v/>
      </c>
      <c r="AR50" s="157">
        <f>AR47+AR48+AR49</f>
        <v/>
      </c>
      <c r="AS50" s="157">
        <f>AS47+AS48+AS49</f>
        <v/>
      </c>
      <c r="AT50" s="157">
        <f>AT47+AT48+AT49</f>
        <v/>
      </c>
      <c r="AU50" s="157">
        <f>AU47+AU48+AU49</f>
        <v/>
      </c>
      <c r="AV50" s="157">
        <f>AV47+AV48+AV49</f>
        <v/>
      </c>
      <c r="AW50" s="157">
        <f>AW47+AW48+AW49</f>
        <v/>
      </c>
      <c r="AX50" s="157">
        <f>AX47+AX48+AX49</f>
        <v/>
      </c>
      <c r="AY50" s="157">
        <f>AY47+AY48+AY49</f>
        <v/>
      </c>
      <c r="AZ50" s="157">
        <f>AZ47+AZ48+AZ49</f>
        <v/>
      </c>
      <c r="BA50" s="157">
        <f>BA47+BA48+BA49</f>
        <v/>
      </c>
      <c r="BB50" s="157">
        <f>BB47+BB48+BB49</f>
        <v/>
      </c>
    </row>
    <row r="51" ht="15" customHeight="1" s="91">
      <c r="B51" s="153" t="inlineStr">
        <is>
          <t>Exit Proceeds  حصيلة التخارج</t>
        </is>
      </c>
      <c r="C51" s="153" t="inlineStr">
        <is>
          <t>SAR</t>
        </is>
      </c>
      <c r="D51" s="157">
        <f>SUM(E51:BB51)</f>
        <v/>
      </c>
      <c r="E51" s="160">
        <f>IF(E$46=$C$41,IF($C$44="Sale",E47*$C$42*(1-$C$43),E47/$C$45*(1-$C$43)),0)</f>
        <v/>
      </c>
      <c r="F51" s="160">
        <f>IF(F$46=$C$41,IF($C$44="Sale",F47*$C$42*(1-$C$43),F47/$C$45*(1-$C$43)),0)</f>
        <v/>
      </c>
      <c r="G51" s="160">
        <f>IF(G$46=$C$41,IF($C$44="Sale",G47*$C$42*(1-$C$43),G47/$C$45*(1-$C$43)),0)</f>
        <v/>
      </c>
      <c r="H51" s="160">
        <f>IF(H$46=$C$41,IF($C$44="Sale",H47*$C$42*(1-$C$43),H47/$C$45*(1-$C$43)),0)</f>
        <v/>
      </c>
      <c r="I51" s="160">
        <f>IF(I$46=$C$41,IF($C$44="Sale",I47*$C$42*(1-$C$43),I47/$C$45*(1-$C$43)),0)</f>
        <v/>
      </c>
      <c r="J51" s="160">
        <f>IF(J$46=$C$41,IF($C$44="Sale",J47*$C$42*(1-$C$43),J47/$C$45*(1-$C$43)),0)</f>
        <v/>
      </c>
      <c r="K51" s="160">
        <f>IF(K$46=$C$41,IF($C$44="Sale",K47*$C$42*(1-$C$43),K47/$C$45*(1-$C$43)),0)</f>
        <v/>
      </c>
      <c r="L51" s="160">
        <f>IF(L$46=$C$41,IF($C$44="Sale",L47*$C$42*(1-$C$43),L47/$C$45*(1-$C$43)),0)</f>
        <v/>
      </c>
      <c r="M51" s="160">
        <f>IF(M$46=$C$41,IF($C$44="Sale",M47*$C$42*(1-$C$43),M47/$C$45*(1-$C$43)),0)</f>
        <v/>
      </c>
      <c r="N51" s="160">
        <f>IF(N$46=$C$41,IF($C$44="Sale",N47*$C$42*(1-$C$43),N47/$C$45*(1-$C$43)),0)</f>
        <v/>
      </c>
      <c r="O51" s="160">
        <f>IF(O$46=$C$41,IF($C$44="Sale",O47*$C$42*(1-$C$43),O47/$C$45*(1-$C$43)),0)</f>
        <v/>
      </c>
      <c r="P51" s="160">
        <f>IF(P$46=$C$41,IF($C$44="Sale",P47*$C$42*(1-$C$43),P47/$C$45*(1-$C$43)),0)</f>
        <v/>
      </c>
      <c r="Q51" s="160">
        <f>IF(Q$46=$C$41,IF($C$44="Sale",Q47*$C$42*(1-$C$43),Q47/$C$45*(1-$C$43)),0)</f>
        <v/>
      </c>
      <c r="R51" s="160">
        <f>IF(R$46=$C$41,IF($C$44="Sale",R47*$C$42*(1-$C$43),R47/$C$45*(1-$C$43)),0)</f>
        <v/>
      </c>
      <c r="S51" s="160">
        <f>IF(S$46=$C$41,IF($C$44="Sale",S47*$C$42*(1-$C$43),S47/$C$45*(1-$C$43)),0)</f>
        <v/>
      </c>
      <c r="T51" s="160">
        <f>IF(T$46=$C$41,IF($C$44="Sale",T47*$C$42*(1-$C$43),T47/$C$45*(1-$C$43)),0)</f>
        <v/>
      </c>
      <c r="U51" s="160">
        <f>IF(U$46=$C$41,IF($C$44="Sale",U47*$C$42*(1-$C$43),U47/$C$45*(1-$C$43)),0)</f>
        <v/>
      </c>
      <c r="V51" s="160">
        <f>IF(V$46=$C$41,IF($C$44="Sale",V47*$C$42*(1-$C$43),V47/$C$45*(1-$C$43)),0)</f>
        <v/>
      </c>
      <c r="W51" s="160">
        <f>IF(W$46=$C$41,IF($C$44="Sale",W47*$C$42*(1-$C$43),W47/$C$45*(1-$C$43)),0)</f>
        <v/>
      </c>
      <c r="X51" s="160">
        <f>IF(X$46=$C$41,IF($C$44="Sale",X47*$C$42*(1-$C$43),X47/$C$45*(1-$C$43)),0)</f>
        <v/>
      </c>
      <c r="Y51" s="160">
        <f>IF(Y$46=$C$41,IF($C$44="Sale",Y47*$C$42*(1-$C$43),Y47/$C$45*(1-$C$43)),0)</f>
        <v/>
      </c>
      <c r="Z51" s="160">
        <f>IF(Z$46=$C$41,IF($C$44="Sale",Z47*$C$42*(1-$C$43),Z47/$C$45*(1-$C$43)),0)</f>
        <v/>
      </c>
      <c r="AA51" s="160">
        <f>IF(AA$46=$C$41,IF($C$44="Sale",AA47*$C$42*(1-$C$43),AA47/$C$45*(1-$C$43)),0)</f>
        <v/>
      </c>
      <c r="AB51" s="160">
        <f>IF(AB$46=$C$41,IF($C$44="Sale",AB47*$C$42*(1-$C$43),AB47/$C$45*(1-$C$43)),0)</f>
        <v/>
      </c>
      <c r="AC51" s="160">
        <f>IF(AC$46=$C$41,IF($C$44="Sale",AC47*$C$42*(1-$C$43),AC47/$C$45*(1-$C$43)),0)</f>
        <v/>
      </c>
      <c r="AD51" s="160">
        <f>IF(AD$46=$C$41,IF($C$44="Sale",AD47*$C$42*(1-$C$43),AD47/$C$45*(1-$C$43)),0)</f>
        <v/>
      </c>
      <c r="AE51" s="160">
        <f>IF(AE$46=$C$41,IF($C$44="Sale",AE47*$C$42*(1-$C$43),AE47/$C$45*(1-$C$43)),0)</f>
        <v/>
      </c>
      <c r="AF51" s="160">
        <f>IF(AF$46=$C$41,IF($C$44="Sale",AF47*$C$42*(1-$C$43),AF47/$C$45*(1-$C$43)),0)</f>
        <v/>
      </c>
      <c r="AG51" s="160">
        <f>IF(AG$46=$C$41,IF($C$44="Sale",AG47*$C$42*(1-$C$43),AG47/$C$45*(1-$C$43)),0)</f>
        <v/>
      </c>
      <c r="AH51" s="160">
        <f>IF(AH$46=$C$41,IF($C$44="Sale",AH47*$C$42*(1-$C$43),AH47/$C$45*(1-$C$43)),0)</f>
        <v/>
      </c>
      <c r="AI51" s="160">
        <f>IF(AI$46=$C$41,IF($C$44="Sale",AI47*$C$42*(1-$C$43),AI47/$C$45*(1-$C$43)),0)</f>
        <v/>
      </c>
      <c r="AJ51" s="160">
        <f>IF(AJ$46=$C$41,IF($C$44="Sale",AJ47*$C$42*(1-$C$43),AJ47/$C$45*(1-$C$43)),0)</f>
        <v/>
      </c>
      <c r="AK51" s="160">
        <f>IF(AK$46=$C$41,IF($C$44="Sale",AK47*$C$42*(1-$C$43),AK47/$C$45*(1-$C$43)),0)</f>
        <v/>
      </c>
      <c r="AL51" s="160">
        <f>IF(AL$46=$C$41,IF($C$44="Sale",AL47*$C$42*(1-$C$43),AL47/$C$45*(1-$C$43)),0)</f>
        <v/>
      </c>
      <c r="AM51" s="160">
        <f>IF(AM$46=$C$41,IF($C$44="Sale",AM47*$C$42*(1-$C$43),AM47/$C$45*(1-$C$43)),0)</f>
        <v/>
      </c>
      <c r="AN51" s="160">
        <f>IF(AN$46=$C$41,IF($C$44="Sale",AN47*$C$42*(1-$C$43),AN47/$C$45*(1-$C$43)),0)</f>
        <v/>
      </c>
      <c r="AO51" s="160">
        <f>IF(AO$46=$C$41,IF($C$44="Sale",AO47*$C$42*(1-$C$43),AO47/$C$45*(1-$C$43)),0)</f>
        <v/>
      </c>
      <c r="AP51" s="160">
        <f>IF(AP$46=$C$41,IF($C$44="Sale",AP47*$C$42*(1-$C$43),AP47/$C$45*(1-$C$43)),0)</f>
        <v/>
      </c>
      <c r="AQ51" s="160">
        <f>IF(AQ$46=$C$41,IF($C$44="Sale",AQ47*$C$42*(1-$C$43),AQ47/$C$45*(1-$C$43)),0)</f>
        <v/>
      </c>
      <c r="AR51" s="160">
        <f>IF(AR$46=$C$41,IF($C$44="Sale",AR47*$C$42*(1-$C$43),AR47/$C$45*(1-$C$43)),0)</f>
        <v/>
      </c>
      <c r="AS51" s="160">
        <f>IF(AS$46=$C$41,IF($C$44="Sale",AS47*$C$42*(1-$C$43),AS47/$C$45*(1-$C$43)),0)</f>
        <v/>
      </c>
      <c r="AT51" s="160">
        <f>IF(AT$46=$C$41,IF($C$44="Sale",AT47*$C$42*(1-$C$43),AT47/$C$45*(1-$C$43)),0)</f>
        <v/>
      </c>
      <c r="AU51" s="160">
        <f>IF(AU$46=$C$41,IF($C$44="Sale",AU47*$C$42*(1-$C$43),AU47/$C$45*(1-$C$43)),0)</f>
        <v/>
      </c>
      <c r="AV51" s="160">
        <f>IF(AV$46=$C$41,IF($C$44="Sale",AV47*$C$42*(1-$C$43),AV47/$C$45*(1-$C$43)),0)</f>
        <v/>
      </c>
      <c r="AW51" s="160">
        <f>IF(AW$46=$C$41,IF($C$44="Sale",AW47*$C$42*(1-$C$43),AW47/$C$45*(1-$C$43)),0)</f>
        <v/>
      </c>
      <c r="AX51" s="160">
        <f>IF(AX$46=$C$41,IF($C$44="Sale",AX47*$C$42*(1-$C$43),AX47/$C$45*(1-$C$43)),0)</f>
        <v/>
      </c>
      <c r="AY51" s="160">
        <f>IF(AY$46=$C$41,IF($C$44="Sale",AY47*$C$42*(1-$C$43),AY47/$C$45*(1-$C$43)),0)</f>
        <v/>
      </c>
      <c r="AZ51" s="160">
        <f>IF(AZ$46=$C$41,IF($C$44="Sale",AZ47*$C$42*(1-$C$43),AZ47/$C$45*(1-$C$43)),0)</f>
        <v/>
      </c>
      <c r="BA51" s="160">
        <f>IF(BA$46=$C$41,IF($C$44="Sale",BA47*$C$42*(1-$C$43),BA47/$C$45*(1-$C$43)),0)</f>
        <v/>
      </c>
      <c r="BB51" s="160">
        <f>IF(BB$46=$C$41,IF($C$44="Sale",BB47*$C$42*(1-$C$43),BB47/$C$45*(1-$C$43)),0)</f>
        <v/>
      </c>
    </row>
    <row r="52" ht="15" customHeight="1" s="91">
      <c r="B52" s="153" t="inlineStr">
        <is>
          <t>Unlevered CF (incl. Exit)  التدفق شامل التخارج</t>
        </is>
      </c>
      <c r="C52" s="153" t="inlineStr">
        <is>
          <t>SAR</t>
        </is>
      </c>
      <c r="D52" s="157">
        <f>SUM(E52:BB52)</f>
        <v/>
      </c>
      <c r="E52" s="160">
        <f>IF(AND(E$46&gt;=$C$9,E$46&lt;=$C$41),E50+E51,0)</f>
        <v/>
      </c>
      <c r="F52" s="160">
        <f>IF(AND(F$46&gt;=$C$9,F$46&lt;=$C$41),F50+F51,0)</f>
        <v/>
      </c>
      <c r="G52" s="160">
        <f>IF(AND(G$46&gt;=$C$9,G$46&lt;=$C$41),G50+G51,0)</f>
        <v/>
      </c>
      <c r="H52" s="160">
        <f>IF(AND(H$46&gt;=$C$9,H$46&lt;=$C$41),H50+H51,0)</f>
        <v/>
      </c>
      <c r="I52" s="160">
        <f>IF(AND(I$46&gt;=$C$9,I$46&lt;=$C$41),I50+I51,0)</f>
        <v/>
      </c>
      <c r="J52" s="160">
        <f>IF(AND(J$46&gt;=$C$9,J$46&lt;=$C$41),J50+J51,0)</f>
        <v/>
      </c>
      <c r="K52" s="160">
        <f>IF(AND(K$46&gt;=$C$9,K$46&lt;=$C$41),K50+K51,0)</f>
        <v/>
      </c>
      <c r="L52" s="160">
        <f>IF(AND(L$46&gt;=$C$9,L$46&lt;=$C$41),L50+L51,0)</f>
        <v/>
      </c>
      <c r="M52" s="160">
        <f>IF(AND(M$46&gt;=$C$9,M$46&lt;=$C$41),M50+M51,0)</f>
        <v/>
      </c>
      <c r="N52" s="160">
        <f>IF(AND(N$46&gt;=$C$9,N$46&lt;=$C$41),N50+N51,0)</f>
        <v/>
      </c>
      <c r="O52" s="160">
        <f>IF(AND(O$46&gt;=$C$9,O$46&lt;=$C$41),O50+O51,0)</f>
        <v/>
      </c>
      <c r="P52" s="160">
        <f>IF(AND(P$46&gt;=$C$9,P$46&lt;=$C$41),P50+P51,0)</f>
        <v/>
      </c>
      <c r="Q52" s="160">
        <f>IF(AND(Q$46&gt;=$C$9,Q$46&lt;=$C$41),Q50+Q51,0)</f>
        <v/>
      </c>
      <c r="R52" s="160">
        <f>IF(AND(R$46&gt;=$C$9,R$46&lt;=$C$41),R50+R51,0)</f>
        <v/>
      </c>
      <c r="S52" s="160">
        <f>IF(AND(S$46&gt;=$C$9,S$46&lt;=$C$41),S50+S51,0)</f>
        <v/>
      </c>
      <c r="T52" s="160">
        <f>IF(AND(T$46&gt;=$C$9,T$46&lt;=$C$41),T50+T51,0)</f>
        <v/>
      </c>
      <c r="U52" s="160">
        <f>IF(AND(U$46&gt;=$C$9,U$46&lt;=$C$41),U50+U51,0)</f>
        <v/>
      </c>
      <c r="V52" s="160">
        <f>IF(AND(V$46&gt;=$C$9,V$46&lt;=$C$41),V50+V51,0)</f>
        <v/>
      </c>
      <c r="W52" s="160">
        <f>IF(AND(W$46&gt;=$C$9,W$46&lt;=$C$41),W50+W51,0)</f>
        <v/>
      </c>
      <c r="X52" s="160">
        <f>IF(AND(X$46&gt;=$C$9,X$46&lt;=$C$41),X50+X51,0)</f>
        <v/>
      </c>
      <c r="Y52" s="160">
        <f>IF(AND(Y$46&gt;=$C$9,Y$46&lt;=$C$41),Y50+Y51,0)</f>
        <v/>
      </c>
      <c r="Z52" s="160">
        <f>IF(AND(Z$46&gt;=$C$9,Z$46&lt;=$C$41),Z50+Z51,0)</f>
        <v/>
      </c>
      <c r="AA52" s="160">
        <f>IF(AND(AA$46&gt;=$C$9,AA$46&lt;=$C$41),AA50+AA51,0)</f>
        <v/>
      </c>
      <c r="AB52" s="160">
        <f>IF(AND(AB$46&gt;=$C$9,AB$46&lt;=$C$41),AB50+AB51,0)</f>
        <v/>
      </c>
      <c r="AC52" s="160">
        <f>IF(AND(AC$46&gt;=$C$9,AC$46&lt;=$C$41),AC50+AC51,0)</f>
        <v/>
      </c>
      <c r="AD52" s="160">
        <f>IF(AND(AD$46&gt;=$C$9,AD$46&lt;=$C$41),AD50+AD51,0)</f>
        <v/>
      </c>
      <c r="AE52" s="160">
        <f>IF(AND(AE$46&gt;=$C$9,AE$46&lt;=$C$41),AE50+AE51,0)</f>
        <v/>
      </c>
      <c r="AF52" s="160">
        <f>IF(AND(AF$46&gt;=$C$9,AF$46&lt;=$C$41),AF50+AF51,0)</f>
        <v/>
      </c>
      <c r="AG52" s="160">
        <f>IF(AND(AG$46&gt;=$C$9,AG$46&lt;=$C$41),AG50+AG51,0)</f>
        <v/>
      </c>
      <c r="AH52" s="160">
        <f>IF(AND(AH$46&gt;=$C$9,AH$46&lt;=$C$41),AH50+AH51,0)</f>
        <v/>
      </c>
      <c r="AI52" s="160">
        <f>IF(AND(AI$46&gt;=$C$9,AI$46&lt;=$C$41),AI50+AI51,0)</f>
        <v/>
      </c>
      <c r="AJ52" s="160">
        <f>IF(AND(AJ$46&gt;=$C$9,AJ$46&lt;=$C$41),AJ50+AJ51,0)</f>
        <v/>
      </c>
      <c r="AK52" s="160">
        <f>IF(AND(AK$46&gt;=$C$9,AK$46&lt;=$C$41),AK50+AK51,0)</f>
        <v/>
      </c>
      <c r="AL52" s="160">
        <f>IF(AND(AL$46&gt;=$C$9,AL$46&lt;=$C$41),AL50+AL51,0)</f>
        <v/>
      </c>
      <c r="AM52" s="160">
        <f>IF(AND(AM$46&gt;=$C$9,AM$46&lt;=$C$41),AM50+AM51,0)</f>
        <v/>
      </c>
      <c r="AN52" s="160">
        <f>IF(AND(AN$46&gt;=$C$9,AN$46&lt;=$C$41),AN50+AN51,0)</f>
        <v/>
      </c>
      <c r="AO52" s="160">
        <f>IF(AND(AO$46&gt;=$C$9,AO$46&lt;=$C$41),AO50+AO51,0)</f>
        <v/>
      </c>
      <c r="AP52" s="160">
        <f>IF(AND(AP$46&gt;=$C$9,AP$46&lt;=$C$41),AP50+AP51,0)</f>
        <v/>
      </c>
      <c r="AQ52" s="160">
        <f>IF(AND(AQ$46&gt;=$C$9,AQ$46&lt;=$C$41),AQ50+AQ51,0)</f>
        <v/>
      </c>
      <c r="AR52" s="160">
        <f>IF(AND(AR$46&gt;=$C$9,AR$46&lt;=$C$41),AR50+AR51,0)</f>
        <v/>
      </c>
      <c r="AS52" s="160">
        <f>IF(AND(AS$46&gt;=$C$9,AS$46&lt;=$C$41),AS50+AS51,0)</f>
        <v/>
      </c>
      <c r="AT52" s="160">
        <f>IF(AND(AT$46&gt;=$C$9,AT$46&lt;=$C$41),AT50+AT51,0)</f>
        <v/>
      </c>
      <c r="AU52" s="160">
        <f>IF(AND(AU$46&gt;=$C$9,AU$46&lt;=$C$41),AU50+AU51,0)</f>
        <v/>
      </c>
      <c r="AV52" s="160">
        <f>IF(AND(AV$46&gt;=$C$9,AV$46&lt;=$C$41),AV50+AV51,0)</f>
        <v/>
      </c>
      <c r="AW52" s="160">
        <f>IF(AND(AW$46&gt;=$C$9,AW$46&lt;=$C$41),AW50+AW51,0)</f>
        <v/>
      </c>
      <c r="AX52" s="160">
        <f>IF(AND(AX$46&gt;=$C$9,AX$46&lt;=$C$41),AX50+AX51,0)</f>
        <v/>
      </c>
      <c r="AY52" s="160">
        <f>IF(AND(AY$46&gt;=$C$9,AY$46&lt;=$C$41),AY50+AY51,0)</f>
        <v/>
      </c>
      <c r="AZ52" s="160">
        <f>IF(AND(AZ$46&gt;=$C$9,AZ$46&lt;=$C$41),AZ50+AZ51,0)</f>
        <v/>
      </c>
      <c r="BA52" s="160">
        <f>IF(AND(BA$46&gt;=$C$9,BA$46&lt;=$C$41),BA50+BA51,0)</f>
        <v/>
      </c>
      <c r="BB52" s="160">
        <f>IF(AND(BB$46&gt;=$C$9,BB$46&lt;=$C$41),BB50+BB51,0)</f>
        <v/>
      </c>
    </row>
    <row r="53">
      <c r="B53" t="inlineStr">
        <is>
          <t>(helper: single repay)</t>
        </is>
      </c>
      <c r="D53">
        <f>SUM(E53:BB53)</f>
        <v/>
      </c>
      <c r="E53">
        <f>IF(AND($C$22="Y",(E$46-$C$9+1)&gt;$C$26,E58&gt;0),-MIN(E58,$C$19/$C$27),0)</f>
        <v/>
      </c>
      <c r="F53">
        <f>IF(AND($C$22="Y",(F$46-$C$9+1)&gt;$C$26,F58&gt;0),-MIN(F58,$C$19/$C$27),0)</f>
        <v/>
      </c>
      <c r="G53">
        <f>IF(AND($C$22="Y",(G$46-$C$9+1)&gt;$C$26,G58&gt;0),-MIN(G58,$C$19/$C$27),0)</f>
        <v/>
      </c>
      <c r="H53">
        <f>IF(AND($C$22="Y",(H$46-$C$9+1)&gt;$C$26,H58&gt;0),-MIN(H58,$C$19/$C$27),0)</f>
        <v/>
      </c>
      <c r="I53">
        <f>IF(AND($C$22="Y",(I$46-$C$9+1)&gt;$C$26,I58&gt;0),-MIN(I58,$C$19/$C$27),0)</f>
        <v/>
      </c>
      <c r="J53">
        <f>IF(AND($C$22="Y",(J$46-$C$9+1)&gt;$C$26,J58&gt;0),-MIN(J58,$C$19/$C$27),0)</f>
        <v/>
      </c>
      <c r="K53">
        <f>IF(AND($C$22="Y",(K$46-$C$9+1)&gt;$C$26,K58&gt;0),-MIN(K58,$C$19/$C$27),0)</f>
        <v/>
      </c>
      <c r="L53">
        <f>IF(AND($C$22="Y",(L$46-$C$9+1)&gt;$C$26,L58&gt;0),-MIN(L58,$C$19/$C$27),0)</f>
        <v/>
      </c>
      <c r="M53">
        <f>IF(AND($C$22="Y",(M$46-$C$9+1)&gt;$C$26,M58&gt;0),-MIN(M58,$C$19/$C$27),0)</f>
        <v/>
      </c>
      <c r="N53">
        <f>IF(AND($C$22="Y",(N$46-$C$9+1)&gt;$C$26,N58&gt;0),-MIN(N58,$C$19/$C$27),0)</f>
        <v/>
      </c>
      <c r="O53">
        <f>IF(AND($C$22="Y",(O$46-$C$9+1)&gt;$C$26,O58&gt;0),-MIN(O58,$C$19/$C$27),0)</f>
        <v/>
      </c>
      <c r="P53">
        <f>IF(AND($C$22="Y",(P$46-$C$9+1)&gt;$C$26,P58&gt;0),-MIN(P58,$C$19/$C$27),0)</f>
        <v/>
      </c>
      <c r="Q53">
        <f>IF(AND($C$22="Y",(Q$46-$C$9+1)&gt;$C$26,Q58&gt;0),-MIN(Q58,$C$19/$C$27),0)</f>
        <v/>
      </c>
      <c r="R53">
        <f>IF(AND($C$22="Y",(R$46-$C$9+1)&gt;$C$26,R58&gt;0),-MIN(R58,$C$19/$C$27),0)</f>
        <v/>
      </c>
      <c r="S53">
        <f>IF(AND($C$22="Y",(S$46-$C$9+1)&gt;$C$26,S58&gt;0),-MIN(S58,$C$19/$C$27),0)</f>
        <v/>
      </c>
      <c r="T53">
        <f>IF(AND($C$22="Y",(T$46-$C$9+1)&gt;$C$26,T58&gt;0),-MIN(T58,$C$19/$C$27),0)</f>
        <v/>
      </c>
      <c r="U53">
        <f>IF(AND($C$22="Y",(U$46-$C$9+1)&gt;$C$26,U58&gt;0),-MIN(U58,$C$19/$C$27),0)</f>
        <v/>
      </c>
      <c r="V53">
        <f>IF(AND($C$22="Y",(V$46-$C$9+1)&gt;$C$26,V58&gt;0),-MIN(V58,$C$19/$C$27),0)</f>
        <v/>
      </c>
      <c r="W53">
        <f>IF(AND($C$22="Y",(W$46-$C$9+1)&gt;$C$26,W58&gt;0),-MIN(W58,$C$19/$C$27),0)</f>
        <v/>
      </c>
      <c r="X53">
        <f>IF(AND($C$22="Y",(X$46-$C$9+1)&gt;$C$26,X58&gt;0),-MIN(X58,$C$19/$C$27),0)</f>
        <v/>
      </c>
      <c r="Y53">
        <f>IF(AND($C$22="Y",(Y$46-$C$9+1)&gt;$C$26,Y58&gt;0),-MIN(Y58,$C$19/$C$27),0)</f>
        <v/>
      </c>
      <c r="Z53">
        <f>IF(AND($C$22="Y",(Z$46-$C$9+1)&gt;$C$26,Z58&gt;0),-MIN(Z58,$C$19/$C$27),0)</f>
        <v/>
      </c>
      <c r="AA53">
        <f>IF(AND($C$22="Y",(AA$46-$C$9+1)&gt;$C$26,AA58&gt;0),-MIN(AA58,$C$19/$C$27),0)</f>
        <v/>
      </c>
      <c r="AB53">
        <f>IF(AND($C$22="Y",(AB$46-$C$9+1)&gt;$C$26,AB58&gt;0),-MIN(AB58,$C$19/$C$27),0)</f>
        <v/>
      </c>
      <c r="AC53">
        <f>IF(AND($C$22="Y",(AC$46-$C$9+1)&gt;$C$26,AC58&gt;0),-MIN(AC58,$C$19/$C$27),0)</f>
        <v/>
      </c>
      <c r="AD53">
        <f>IF(AND($C$22="Y",(AD$46-$C$9+1)&gt;$C$26,AD58&gt;0),-MIN(AD58,$C$19/$C$27),0)</f>
        <v/>
      </c>
      <c r="AE53">
        <f>IF(AND($C$22="Y",(AE$46-$C$9+1)&gt;$C$26,AE58&gt;0),-MIN(AE58,$C$19/$C$27),0)</f>
        <v/>
      </c>
      <c r="AF53">
        <f>IF(AND($C$22="Y",(AF$46-$C$9+1)&gt;$C$26,AF58&gt;0),-MIN(AF58,$C$19/$C$27),0)</f>
        <v/>
      </c>
      <c r="AG53">
        <f>IF(AND($C$22="Y",(AG$46-$C$9+1)&gt;$C$26,AG58&gt;0),-MIN(AG58,$C$19/$C$27),0)</f>
        <v/>
      </c>
      <c r="AH53">
        <f>IF(AND($C$22="Y",(AH$46-$C$9+1)&gt;$C$26,AH58&gt;0),-MIN(AH58,$C$19/$C$27),0)</f>
        <v/>
      </c>
      <c r="AI53">
        <f>IF(AND($C$22="Y",(AI$46-$C$9+1)&gt;$C$26,AI58&gt;0),-MIN(AI58,$C$19/$C$27),0)</f>
        <v/>
      </c>
      <c r="AJ53">
        <f>IF(AND($C$22="Y",(AJ$46-$C$9+1)&gt;$C$26,AJ58&gt;0),-MIN(AJ58,$C$19/$C$27),0)</f>
        <v/>
      </c>
      <c r="AK53">
        <f>IF(AND($C$22="Y",(AK$46-$C$9+1)&gt;$C$26,AK58&gt;0),-MIN(AK58,$C$19/$C$27),0)</f>
        <v/>
      </c>
      <c r="AL53">
        <f>IF(AND($C$22="Y",(AL$46-$C$9+1)&gt;$C$26,AL58&gt;0),-MIN(AL58,$C$19/$C$27),0)</f>
        <v/>
      </c>
      <c r="AM53">
        <f>IF(AND($C$22="Y",(AM$46-$C$9+1)&gt;$C$26,AM58&gt;0),-MIN(AM58,$C$19/$C$27),0)</f>
        <v/>
      </c>
      <c r="AN53">
        <f>IF(AND($C$22="Y",(AN$46-$C$9+1)&gt;$C$26,AN58&gt;0),-MIN(AN58,$C$19/$C$27),0)</f>
        <v/>
      </c>
      <c r="AO53">
        <f>IF(AND($C$22="Y",(AO$46-$C$9+1)&gt;$C$26,AO58&gt;0),-MIN(AO58,$C$19/$C$27),0)</f>
        <v/>
      </c>
      <c r="AP53">
        <f>IF(AND($C$22="Y",(AP$46-$C$9+1)&gt;$C$26,AP58&gt;0),-MIN(AP58,$C$19/$C$27),0)</f>
        <v/>
      </c>
      <c r="AQ53">
        <f>IF(AND($C$22="Y",(AQ$46-$C$9+1)&gt;$C$26,AQ58&gt;0),-MIN(AQ58,$C$19/$C$27),0)</f>
        <v/>
      </c>
      <c r="AR53">
        <f>IF(AND($C$22="Y",(AR$46-$C$9+1)&gt;$C$26,AR58&gt;0),-MIN(AR58,$C$19/$C$27),0)</f>
        <v/>
      </c>
      <c r="AS53">
        <f>IF(AND($C$22="Y",(AS$46-$C$9+1)&gt;$C$26,AS58&gt;0),-MIN(AS58,$C$19/$C$27),0)</f>
        <v/>
      </c>
      <c r="AT53">
        <f>IF(AND($C$22="Y",(AT$46-$C$9+1)&gt;$C$26,AT58&gt;0),-MIN(AT58,$C$19/$C$27),0)</f>
        <v/>
      </c>
      <c r="AU53">
        <f>IF(AND($C$22="Y",(AU$46-$C$9+1)&gt;$C$26,AU58&gt;0),-MIN(AU58,$C$19/$C$27),0)</f>
        <v/>
      </c>
      <c r="AV53">
        <f>IF(AND($C$22="Y",(AV$46-$C$9+1)&gt;$C$26,AV58&gt;0),-MIN(AV58,$C$19/$C$27),0)</f>
        <v/>
      </c>
      <c r="AW53">
        <f>IF(AND($C$22="Y",(AW$46-$C$9+1)&gt;$C$26,AW58&gt;0),-MIN(AW58,$C$19/$C$27),0)</f>
        <v/>
      </c>
      <c r="AX53">
        <f>IF(AND($C$22="Y",(AX$46-$C$9+1)&gt;$C$26,AX58&gt;0),-MIN(AX58,$C$19/$C$27),0)</f>
        <v/>
      </c>
      <c r="AY53">
        <f>IF(AND($C$22="Y",(AY$46-$C$9+1)&gt;$C$26,AY58&gt;0),-MIN(AY58,$C$19/$C$27),0)</f>
        <v/>
      </c>
      <c r="AZ53">
        <f>IF(AND($C$22="Y",(AZ$46-$C$9+1)&gt;$C$26,AZ58&gt;0),-MIN(AZ58,$C$19/$C$27),0)</f>
        <v/>
      </c>
      <c r="BA53">
        <f>IF(AND($C$22="Y",(BA$46-$C$9+1)&gt;$C$26,BA58&gt;0),-MIN(BA58,$C$19/$C$27),0)</f>
        <v/>
      </c>
      <c r="BB53">
        <f>IF(AND($C$22="Y",(BB$46-$C$9+1)&gt;$C$26,BB58&gt;0),-MIN(BB58,$C$19/$C$27),0)</f>
        <v/>
      </c>
    </row>
    <row r="54" ht="15" customHeight="1" s="91">
      <c r="A54" s="152" t="inlineStr">
        <is>
          <t>8  FUND CASH FLOW (Levered)  تدفقات الصندوق الممولة</t>
        </is>
      </c>
      <c r="B54" s="152" t="inlineStr">
        <is>
          <t>(helper: perDraw repay)</t>
        </is>
      </c>
      <c r="C54" s="152" t="n"/>
      <c r="D54" s="152">
        <f>SUM(E54:BB54)</f>
        <v/>
      </c>
      <c r="E54" s="152">
        <f>-E140</f>
        <v/>
      </c>
      <c r="F54" s="152">
        <f>-F140</f>
        <v/>
      </c>
      <c r="G54" s="152">
        <f>-G140</f>
        <v/>
      </c>
      <c r="H54" s="152">
        <f>-H140</f>
        <v/>
      </c>
      <c r="I54" s="152">
        <f>-I140</f>
        <v/>
      </c>
      <c r="J54" s="152">
        <f>-J140</f>
        <v/>
      </c>
      <c r="K54" s="152">
        <f>-K140</f>
        <v/>
      </c>
      <c r="L54" s="152">
        <f>-L140</f>
        <v/>
      </c>
      <c r="M54" s="152">
        <f>-M140</f>
        <v/>
      </c>
      <c r="N54" s="152">
        <f>-N140</f>
        <v/>
      </c>
      <c r="O54" s="152">
        <f>-O140</f>
        <v/>
      </c>
      <c r="P54" s="152">
        <f>-P140</f>
        <v/>
      </c>
      <c r="Q54" s="152">
        <f>-Q140</f>
        <v/>
      </c>
      <c r="R54" s="152">
        <f>-R140</f>
        <v/>
      </c>
      <c r="S54" s="152">
        <f>-S140</f>
        <v/>
      </c>
      <c r="T54" s="152">
        <f>-T140</f>
        <v/>
      </c>
      <c r="U54" s="152">
        <f>-U140</f>
        <v/>
      </c>
      <c r="V54" s="152">
        <f>-V140</f>
        <v/>
      </c>
      <c r="W54" s="152">
        <f>-W140</f>
        <v/>
      </c>
      <c r="X54" s="152">
        <f>-X140</f>
        <v/>
      </c>
      <c r="Y54" s="152">
        <f>-Y140</f>
        <v/>
      </c>
      <c r="Z54" s="152">
        <f>-Z140</f>
        <v/>
      </c>
      <c r="AA54" s="152">
        <f>-AA140</f>
        <v/>
      </c>
      <c r="AB54" s="152">
        <f>-AB140</f>
        <v/>
      </c>
      <c r="AC54" s="152">
        <f>-AC140</f>
        <v/>
      </c>
      <c r="AD54" s="152">
        <f>-AD140</f>
        <v/>
      </c>
      <c r="AE54" s="152">
        <f>-AE140</f>
        <v/>
      </c>
      <c r="AF54" s="152">
        <f>-AF140</f>
        <v/>
      </c>
      <c r="AG54" s="152">
        <f>-AG140</f>
        <v/>
      </c>
      <c r="AH54" s="152">
        <f>-AH140</f>
        <v/>
      </c>
      <c r="AI54" s="152">
        <f>-AI140</f>
        <v/>
      </c>
      <c r="AJ54" s="152">
        <f>-AJ140</f>
        <v/>
      </c>
      <c r="AK54" s="152">
        <f>-AK140</f>
        <v/>
      </c>
      <c r="AL54" s="152">
        <f>-AL140</f>
        <v/>
      </c>
      <c r="AM54" s="152">
        <f>-AM140</f>
        <v/>
      </c>
      <c r="AN54" s="152">
        <f>-AN140</f>
        <v/>
      </c>
      <c r="AO54" s="152">
        <f>-AO140</f>
        <v/>
      </c>
      <c r="AP54" s="152">
        <f>-AP140</f>
        <v/>
      </c>
      <c r="AQ54" s="152">
        <f>-AQ140</f>
        <v/>
      </c>
      <c r="AR54" s="152">
        <f>-AR140</f>
        <v/>
      </c>
      <c r="AS54" s="152">
        <f>-AS140</f>
        <v/>
      </c>
      <c r="AT54" s="152">
        <f>-AT140</f>
        <v/>
      </c>
      <c r="AU54" s="152">
        <f>-AU140</f>
        <v/>
      </c>
      <c r="AV54" s="152">
        <f>-AV140</f>
        <v/>
      </c>
      <c r="AW54" s="152">
        <f>-AW140</f>
        <v/>
      </c>
      <c r="AX54" s="152">
        <f>-AX140</f>
        <v/>
      </c>
      <c r="AY54" s="152">
        <f>-AY140</f>
        <v/>
      </c>
      <c r="AZ54" s="152">
        <f>-AZ140</f>
        <v/>
      </c>
      <c r="BA54" s="152">
        <f>-BA140</f>
        <v/>
      </c>
      <c r="BB54" s="152">
        <f>-BB140</f>
        <v/>
      </c>
    </row>
    <row r="55" ht="15" customHeight="1" s="91">
      <c r="C55" s="165" t="inlineStr">
        <is>
          <t>Unit</t>
        </is>
      </c>
      <c r="D55" s="165" t="inlineStr">
        <is>
          <t>Total</t>
        </is>
      </c>
      <c r="E55" s="166">
        <f>E$46</f>
        <v/>
      </c>
      <c r="F55" s="166">
        <f>F$46</f>
        <v/>
      </c>
      <c r="G55" s="166">
        <f>G$46</f>
        <v/>
      </c>
      <c r="H55" s="166">
        <f>H$46</f>
        <v/>
      </c>
      <c r="I55" s="166">
        <f>I$46</f>
        <v/>
      </c>
      <c r="J55" s="166">
        <f>J$46</f>
        <v/>
      </c>
      <c r="K55" s="166">
        <f>K$46</f>
        <v/>
      </c>
      <c r="L55" s="166">
        <f>L$46</f>
        <v/>
      </c>
      <c r="M55" s="166">
        <f>M$46</f>
        <v/>
      </c>
      <c r="N55" s="166">
        <f>N$46</f>
        <v/>
      </c>
      <c r="O55" s="166">
        <f>O$46</f>
        <v/>
      </c>
      <c r="P55" s="166">
        <f>P$46</f>
        <v/>
      </c>
      <c r="Q55" s="166">
        <f>Q$46</f>
        <v/>
      </c>
      <c r="R55" s="166">
        <f>R$46</f>
        <v/>
      </c>
      <c r="S55" s="166">
        <f>S$46</f>
        <v/>
      </c>
      <c r="T55" s="166">
        <f>T$46</f>
        <v/>
      </c>
      <c r="U55" s="166">
        <f>U$46</f>
        <v/>
      </c>
      <c r="V55" s="166">
        <f>V$46</f>
        <v/>
      </c>
      <c r="W55" s="166">
        <f>W$46</f>
        <v/>
      </c>
      <c r="X55" s="166">
        <f>X$46</f>
        <v/>
      </c>
      <c r="Y55" s="166">
        <f>Y$46</f>
        <v/>
      </c>
      <c r="Z55" s="166">
        <f>Z$46</f>
        <v/>
      </c>
      <c r="AA55" s="166">
        <f>AA$46</f>
        <v/>
      </c>
      <c r="AB55" s="166">
        <f>AB$46</f>
        <v/>
      </c>
      <c r="AC55" s="166">
        <f>AC$46</f>
        <v/>
      </c>
      <c r="AD55" s="166">
        <f>AD$46</f>
        <v/>
      </c>
      <c r="AE55" s="166">
        <f>AE$46</f>
        <v/>
      </c>
      <c r="AF55" s="166">
        <f>AF$46</f>
        <v/>
      </c>
      <c r="AG55" s="166">
        <f>AG$46</f>
        <v/>
      </c>
      <c r="AH55" s="166">
        <f>AH$46</f>
        <v/>
      </c>
      <c r="AI55" s="166">
        <f>AI$46</f>
        <v/>
      </c>
      <c r="AJ55" s="166">
        <f>AJ$46</f>
        <v/>
      </c>
      <c r="AK55" s="166">
        <f>AK$46</f>
        <v/>
      </c>
      <c r="AL55" s="166">
        <f>AL$46</f>
        <v/>
      </c>
      <c r="AM55" s="166">
        <f>AM$46</f>
        <v/>
      </c>
      <c r="AN55" s="166">
        <f>AN$46</f>
        <v/>
      </c>
      <c r="AO55" s="166">
        <f>AO$46</f>
        <v/>
      </c>
      <c r="AP55" s="166">
        <f>AP$46</f>
        <v/>
      </c>
      <c r="AQ55" s="166">
        <f>AQ$46</f>
        <v/>
      </c>
      <c r="AR55" s="166">
        <f>AR$46</f>
        <v/>
      </c>
      <c r="AS55" s="166">
        <f>AS$46</f>
        <v/>
      </c>
      <c r="AT55" s="166">
        <f>AT$46</f>
        <v/>
      </c>
      <c r="AU55" s="166">
        <f>AU$46</f>
        <v/>
      </c>
      <c r="AV55" s="166">
        <f>AV$46</f>
        <v/>
      </c>
      <c r="AW55" s="166">
        <f>AW$46</f>
        <v/>
      </c>
      <c r="AX55" s="166">
        <f>AX$46</f>
        <v/>
      </c>
      <c r="AY55" s="166">
        <f>AY$46</f>
        <v/>
      </c>
      <c r="AZ55" s="166">
        <f>AZ$46</f>
        <v/>
      </c>
      <c r="BA55" s="166">
        <f>BA$46</f>
        <v/>
      </c>
      <c r="BB55" s="166">
        <f>BB$46</f>
        <v/>
      </c>
    </row>
    <row r="56" ht="15" customHeight="1" s="91">
      <c r="B56" s="153" t="inlineStr">
        <is>
          <t>Equity Calls  سحب رأس المال</t>
        </is>
      </c>
      <c r="C56" s="153" t="inlineStr">
        <is>
          <t>SAR</t>
        </is>
      </c>
      <c r="D56" s="157">
        <f>SUM(E56:BB56)</f>
        <v/>
      </c>
      <c r="E56" s="160">
        <f>IF(AND(E49&lt;0,E$46&gt;=$C$9,E$46&lt;=$C$41),ABS(E49/$D$49)*$C$14,0)+E70</f>
        <v/>
      </c>
      <c r="F56" s="160">
        <f>IF(AND(F49&lt;0,F$46&gt;=$C$9,F$46&lt;=$C$41),ABS(F49/$D$49)*$C$14,0)+F70</f>
        <v/>
      </c>
      <c r="G56" s="160">
        <f>IF(AND(G49&lt;0,G$46&gt;=$C$9,G$46&lt;=$C$41),ABS(G49/$D$49)*$C$14,0)+G70</f>
        <v/>
      </c>
      <c r="H56" s="160">
        <f>IF(AND(H49&lt;0,H$46&gt;=$C$9,H$46&lt;=$C$41),ABS(H49/$D$49)*$C$14,0)+H70</f>
        <v/>
      </c>
      <c r="I56" s="160">
        <f>IF(AND(I49&lt;0,I$46&gt;=$C$9,I$46&lt;=$C$41),ABS(I49/$D$49)*$C$14,0)+I70</f>
        <v/>
      </c>
      <c r="J56" s="160">
        <f>IF(AND(J49&lt;0,J$46&gt;=$C$9,J$46&lt;=$C$41),ABS(J49/$D$49)*$C$14,0)+J70</f>
        <v/>
      </c>
      <c r="K56" s="160">
        <f>IF(AND(K49&lt;0,K$46&gt;=$C$9,K$46&lt;=$C$41),ABS(K49/$D$49)*$C$14,0)+K70</f>
        <v/>
      </c>
      <c r="L56" s="160">
        <f>IF(AND(L49&lt;0,L$46&gt;=$C$9,L$46&lt;=$C$41),ABS(L49/$D$49)*$C$14,0)+L70</f>
        <v/>
      </c>
      <c r="M56" s="160">
        <f>IF(AND(M49&lt;0,M$46&gt;=$C$9,M$46&lt;=$C$41),ABS(M49/$D$49)*$C$14,0)+M70</f>
        <v/>
      </c>
      <c r="N56" s="160">
        <f>IF(AND(N49&lt;0,N$46&gt;=$C$9,N$46&lt;=$C$41),ABS(N49/$D$49)*$C$14,0)+N70</f>
        <v/>
      </c>
      <c r="O56" s="160">
        <f>IF(AND(O49&lt;0,O$46&gt;=$C$9,O$46&lt;=$C$41),ABS(O49/$D$49)*$C$14,0)+O70</f>
        <v/>
      </c>
      <c r="P56" s="160">
        <f>IF(AND(P49&lt;0,P$46&gt;=$C$9,P$46&lt;=$C$41),ABS(P49/$D$49)*$C$14,0)+P70</f>
        <v/>
      </c>
      <c r="Q56" s="160">
        <f>IF(AND(Q49&lt;0,Q$46&gt;=$C$9,Q$46&lt;=$C$41),ABS(Q49/$D$49)*$C$14,0)+Q70</f>
        <v/>
      </c>
      <c r="R56" s="160">
        <f>IF(AND(R49&lt;0,R$46&gt;=$C$9,R$46&lt;=$C$41),ABS(R49/$D$49)*$C$14,0)+R70</f>
        <v/>
      </c>
      <c r="S56" s="160">
        <f>IF(AND(S49&lt;0,S$46&gt;=$C$9,S$46&lt;=$C$41),ABS(S49/$D$49)*$C$14,0)+S70</f>
        <v/>
      </c>
      <c r="T56" s="160">
        <f>IF(AND(T49&lt;0,T$46&gt;=$C$9,T$46&lt;=$C$41),ABS(T49/$D$49)*$C$14,0)+T70</f>
        <v/>
      </c>
      <c r="U56" s="160">
        <f>IF(AND(U49&lt;0,U$46&gt;=$C$9,U$46&lt;=$C$41),ABS(U49/$D$49)*$C$14,0)+U70</f>
        <v/>
      </c>
      <c r="V56" s="160">
        <f>IF(AND(V49&lt;0,V$46&gt;=$C$9,V$46&lt;=$C$41),ABS(V49/$D$49)*$C$14,0)+V70</f>
        <v/>
      </c>
      <c r="W56" s="160">
        <f>IF(AND(W49&lt;0,W$46&gt;=$C$9,W$46&lt;=$C$41),ABS(W49/$D$49)*$C$14,0)+W70</f>
        <v/>
      </c>
      <c r="X56" s="160">
        <f>IF(AND(X49&lt;0,X$46&gt;=$C$9,X$46&lt;=$C$41),ABS(X49/$D$49)*$C$14,0)+X70</f>
        <v/>
      </c>
      <c r="Y56" s="160">
        <f>IF(AND(Y49&lt;0,Y$46&gt;=$C$9,Y$46&lt;=$C$41),ABS(Y49/$D$49)*$C$14,0)+Y70</f>
        <v/>
      </c>
      <c r="Z56" s="160">
        <f>IF(AND(Z49&lt;0,Z$46&gt;=$C$9,Z$46&lt;=$C$41),ABS(Z49/$D$49)*$C$14,0)+Z70</f>
        <v/>
      </c>
      <c r="AA56" s="160">
        <f>IF(AND(AA49&lt;0,AA$46&gt;=$C$9,AA$46&lt;=$C$41),ABS(AA49/$D$49)*$C$14,0)+AA70</f>
        <v/>
      </c>
      <c r="AB56" s="160">
        <f>IF(AND(AB49&lt;0,AB$46&gt;=$C$9,AB$46&lt;=$C$41),ABS(AB49/$D$49)*$C$14,0)+AB70</f>
        <v/>
      </c>
      <c r="AC56" s="160">
        <f>IF(AND(AC49&lt;0,AC$46&gt;=$C$9,AC$46&lt;=$C$41),ABS(AC49/$D$49)*$C$14,0)+AC70</f>
        <v/>
      </c>
      <c r="AD56" s="160">
        <f>IF(AND(AD49&lt;0,AD$46&gt;=$C$9,AD$46&lt;=$C$41),ABS(AD49/$D$49)*$C$14,0)+AD70</f>
        <v/>
      </c>
      <c r="AE56" s="160">
        <f>IF(AND(AE49&lt;0,AE$46&gt;=$C$9,AE$46&lt;=$C$41),ABS(AE49/$D$49)*$C$14,0)+AE70</f>
        <v/>
      </c>
      <c r="AF56" s="160">
        <f>IF(AND(AF49&lt;0,AF$46&gt;=$C$9,AF$46&lt;=$C$41),ABS(AF49/$D$49)*$C$14,0)+AF70</f>
        <v/>
      </c>
      <c r="AG56" s="160">
        <f>IF(AND(AG49&lt;0,AG$46&gt;=$C$9,AG$46&lt;=$C$41),ABS(AG49/$D$49)*$C$14,0)+AG70</f>
        <v/>
      </c>
      <c r="AH56" s="160">
        <f>IF(AND(AH49&lt;0,AH$46&gt;=$C$9,AH$46&lt;=$C$41),ABS(AH49/$D$49)*$C$14,0)+AH70</f>
        <v/>
      </c>
      <c r="AI56" s="160">
        <f>IF(AND(AI49&lt;0,AI$46&gt;=$C$9,AI$46&lt;=$C$41),ABS(AI49/$D$49)*$C$14,0)+AI70</f>
        <v/>
      </c>
      <c r="AJ56" s="160">
        <f>IF(AND(AJ49&lt;0,AJ$46&gt;=$C$9,AJ$46&lt;=$C$41),ABS(AJ49/$D$49)*$C$14,0)+AJ70</f>
        <v/>
      </c>
      <c r="AK56" s="160">
        <f>IF(AND(AK49&lt;0,AK$46&gt;=$C$9,AK$46&lt;=$C$41),ABS(AK49/$D$49)*$C$14,0)+AK70</f>
        <v/>
      </c>
      <c r="AL56" s="160">
        <f>IF(AND(AL49&lt;0,AL$46&gt;=$C$9,AL$46&lt;=$C$41),ABS(AL49/$D$49)*$C$14,0)+AL70</f>
        <v/>
      </c>
      <c r="AM56" s="160">
        <f>IF(AND(AM49&lt;0,AM$46&gt;=$C$9,AM$46&lt;=$C$41),ABS(AM49/$D$49)*$C$14,0)+AM70</f>
        <v/>
      </c>
      <c r="AN56" s="160">
        <f>IF(AND(AN49&lt;0,AN$46&gt;=$C$9,AN$46&lt;=$C$41),ABS(AN49/$D$49)*$C$14,0)+AN70</f>
        <v/>
      </c>
      <c r="AO56" s="160">
        <f>IF(AND(AO49&lt;0,AO$46&gt;=$C$9,AO$46&lt;=$C$41),ABS(AO49/$D$49)*$C$14,0)+AO70</f>
        <v/>
      </c>
      <c r="AP56" s="160">
        <f>IF(AND(AP49&lt;0,AP$46&gt;=$C$9,AP$46&lt;=$C$41),ABS(AP49/$D$49)*$C$14,0)+AP70</f>
        <v/>
      </c>
      <c r="AQ56" s="160">
        <f>IF(AND(AQ49&lt;0,AQ$46&gt;=$C$9,AQ$46&lt;=$C$41),ABS(AQ49/$D$49)*$C$14,0)+AQ70</f>
        <v/>
      </c>
      <c r="AR56" s="160">
        <f>IF(AND(AR49&lt;0,AR$46&gt;=$C$9,AR$46&lt;=$C$41),ABS(AR49/$D$49)*$C$14,0)+AR70</f>
        <v/>
      </c>
      <c r="AS56" s="160">
        <f>IF(AND(AS49&lt;0,AS$46&gt;=$C$9,AS$46&lt;=$C$41),ABS(AS49/$D$49)*$C$14,0)+AS70</f>
        <v/>
      </c>
      <c r="AT56" s="160">
        <f>IF(AND(AT49&lt;0,AT$46&gt;=$C$9,AT$46&lt;=$C$41),ABS(AT49/$D$49)*$C$14,0)+AT70</f>
        <v/>
      </c>
      <c r="AU56" s="160">
        <f>IF(AND(AU49&lt;0,AU$46&gt;=$C$9,AU$46&lt;=$C$41),ABS(AU49/$D$49)*$C$14,0)+AU70</f>
        <v/>
      </c>
      <c r="AV56" s="160">
        <f>IF(AND(AV49&lt;0,AV$46&gt;=$C$9,AV$46&lt;=$C$41),ABS(AV49/$D$49)*$C$14,0)+AV70</f>
        <v/>
      </c>
      <c r="AW56" s="160">
        <f>IF(AND(AW49&lt;0,AW$46&gt;=$C$9,AW$46&lt;=$C$41),ABS(AW49/$D$49)*$C$14,0)+AW70</f>
        <v/>
      </c>
      <c r="AX56" s="160">
        <f>IF(AND(AX49&lt;0,AX$46&gt;=$C$9,AX$46&lt;=$C$41),ABS(AX49/$D$49)*$C$14,0)+AX70</f>
        <v/>
      </c>
      <c r="AY56" s="160">
        <f>IF(AND(AY49&lt;0,AY$46&gt;=$C$9,AY$46&lt;=$C$41),ABS(AY49/$D$49)*$C$14,0)+AY70</f>
        <v/>
      </c>
      <c r="AZ56" s="160">
        <f>IF(AND(AZ49&lt;0,AZ$46&gt;=$C$9,AZ$46&lt;=$C$41),ABS(AZ49/$D$49)*$C$14,0)+AZ70</f>
        <v/>
      </c>
      <c r="BA56" s="160">
        <f>IF(AND(BA49&lt;0,BA$46&gt;=$C$9,BA$46&lt;=$C$41),ABS(BA49/$D$49)*$C$14,0)+BA70</f>
        <v/>
      </c>
      <c r="BB56" s="160">
        <f>IF(AND(BB49&lt;0,BB$46&gt;=$C$9,BB$46&lt;=$C$41),ABS(BB49/$D$49)*$C$14,0)+BB70</f>
        <v/>
      </c>
    </row>
    <row r="57" ht="15" customHeight="1" s="91">
      <c r="B57" s="153" t="inlineStr">
        <is>
          <t>Debt Drawdown  سحب القرض</t>
        </is>
      </c>
      <c r="C57" s="153" t="inlineStr">
        <is>
          <t>SAR</t>
        </is>
      </c>
      <c r="D57" s="157">
        <f>SUM(E57:BB57)</f>
        <v/>
      </c>
      <c r="E57" s="160">
        <f>IF(AND($C$22="Y",E49&lt;0,E$46&gt;=$C$9,E$46&lt;=$C$41),MIN(ABS(E49/$D$49)*$C$19,MAX(0,$C$19-0)),0)</f>
        <v/>
      </c>
      <c r="F57" s="160">
        <f>IF(AND($C$22="Y",F49&lt;0,F$46&gt;=$C$9,F$46&lt;=$C$41),MIN(ABS(F49/$D$49)*$C$19,MAX(0,$C$19-E60)),0)</f>
        <v/>
      </c>
      <c r="G57" s="160">
        <f>IF(AND($C$22="Y",G49&lt;0,G$46&gt;=$C$9,G$46&lt;=$C$41),MIN(ABS(G49/$D$49)*$C$19,MAX(0,$C$19-F60)),0)</f>
        <v/>
      </c>
      <c r="H57" s="160">
        <f>IF(AND($C$22="Y",H49&lt;0,H$46&gt;=$C$9,H$46&lt;=$C$41),MIN(ABS(H49/$D$49)*$C$19,MAX(0,$C$19-G60)),0)</f>
        <v/>
      </c>
      <c r="I57" s="160">
        <f>IF(AND($C$22="Y",I49&lt;0,I$46&gt;=$C$9,I$46&lt;=$C$41),MIN(ABS(I49/$D$49)*$C$19,MAX(0,$C$19-H60)),0)</f>
        <v/>
      </c>
      <c r="J57" s="160">
        <f>IF(AND($C$22="Y",J49&lt;0,J$46&gt;=$C$9,J$46&lt;=$C$41),MIN(ABS(J49/$D$49)*$C$19,MAX(0,$C$19-I60)),0)</f>
        <v/>
      </c>
      <c r="K57" s="160">
        <f>IF(AND($C$22="Y",K49&lt;0,K$46&gt;=$C$9,K$46&lt;=$C$41),MIN(ABS(K49/$D$49)*$C$19,MAX(0,$C$19-J60)),0)</f>
        <v/>
      </c>
      <c r="L57" s="160">
        <f>IF(AND($C$22="Y",L49&lt;0,L$46&gt;=$C$9,L$46&lt;=$C$41),MIN(ABS(L49/$D$49)*$C$19,MAX(0,$C$19-K60)),0)</f>
        <v/>
      </c>
      <c r="M57" s="160">
        <f>IF(AND($C$22="Y",M49&lt;0,M$46&gt;=$C$9,M$46&lt;=$C$41),MIN(ABS(M49/$D$49)*$C$19,MAX(0,$C$19-L60)),0)</f>
        <v/>
      </c>
      <c r="N57" s="160">
        <f>IF(AND($C$22="Y",N49&lt;0,N$46&gt;=$C$9,N$46&lt;=$C$41),MIN(ABS(N49/$D$49)*$C$19,MAX(0,$C$19-M60)),0)</f>
        <v/>
      </c>
      <c r="O57" s="160">
        <f>IF(AND($C$22="Y",O49&lt;0,O$46&gt;=$C$9,O$46&lt;=$C$41),MIN(ABS(O49/$D$49)*$C$19,MAX(0,$C$19-N60)),0)</f>
        <v/>
      </c>
      <c r="P57" s="160">
        <f>IF(AND($C$22="Y",P49&lt;0,P$46&gt;=$C$9,P$46&lt;=$C$41),MIN(ABS(P49/$D$49)*$C$19,MAX(0,$C$19-O60)),0)</f>
        <v/>
      </c>
      <c r="Q57" s="160">
        <f>IF(AND($C$22="Y",Q49&lt;0,Q$46&gt;=$C$9,Q$46&lt;=$C$41),MIN(ABS(Q49/$D$49)*$C$19,MAX(0,$C$19-P60)),0)</f>
        <v/>
      </c>
      <c r="R57" s="160">
        <f>IF(AND($C$22="Y",R49&lt;0,R$46&gt;=$C$9,R$46&lt;=$C$41),MIN(ABS(R49/$D$49)*$C$19,MAX(0,$C$19-Q60)),0)</f>
        <v/>
      </c>
      <c r="S57" s="160">
        <f>IF(AND($C$22="Y",S49&lt;0,S$46&gt;=$C$9,S$46&lt;=$C$41),MIN(ABS(S49/$D$49)*$C$19,MAX(0,$C$19-R60)),0)</f>
        <v/>
      </c>
      <c r="T57" s="160">
        <f>IF(AND($C$22="Y",T49&lt;0,T$46&gt;=$C$9,T$46&lt;=$C$41),MIN(ABS(T49/$D$49)*$C$19,MAX(0,$C$19-S60)),0)</f>
        <v/>
      </c>
      <c r="U57" s="160">
        <f>IF(AND($C$22="Y",U49&lt;0,U$46&gt;=$C$9,U$46&lt;=$C$41),MIN(ABS(U49/$D$49)*$C$19,MAX(0,$C$19-T60)),0)</f>
        <v/>
      </c>
      <c r="V57" s="160">
        <f>IF(AND($C$22="Y",V49&lt;0,V$46&gt;=$C$9,V$46&lt;=$C$41),MIN(ABS(V49/$D$49)*$C$19,MAX(0,$C$19-U60)),0)</f>
        <v/>
      </c>
      <c r="W57" s="160">
        <f>IF(AND($C$22="Y",W49&lt;0,W$46&gt;=$C$9,W$46&lt;=$C$41),MIN(ABS(W49/$D$49)*$C$19,MAX(0,$C$19-V60)),0)</f>
        <v/>
      </c>
      <c r="X57" s="160">
        <f>IF(AND($C$22="Y",X49&lt;0,X$46&gt;=$C$9,X$46&lt;=$C$41),MIN(ABS(X49/$D$49)*$C$19,MAX(0,$C$19-W60)),0)</f>
        <v/>
      </c>
      <c r="Y57" s="160">
        <f>IF(AND($C$22="Y",Y49&lt;0,Y$46&gt;=$C$9,Y$46&lt;=$C$41),MIN(ABS(Y49/$D$49)*$C$19,MAX(0,$C$19-X60)),0)</f>
        <v/>
      </c>
      <c r="Z57" s="160">
        <f>IF(AND($C$22="Y",Z49&lt;0,Z$46&gt;=$C$9,Z$46&lt;=$C$41),MIN(ABS(Z49/$D$49)*$C$19,MAX(0,$C$19-Y60)),0)</f>
        <v/>
      </c>
      <c r="AA57" s="160">
        <f>IF(AND($C$22="Y",AA49&lt;0,AA$46&gt;=$C$9,AA$46&lt;=$C$41),MIN(ABS(AA49/$D$49)*$C$19,MAX(0,$C$19-Z60)),0)</f>
        <v/>
      </c>
      <c r="AB57" s="160">
        <f>IF(AND($C$22="Y",AB49&lt;0,AB$46&gt;=$C$9,AB$46&lt;=$C$41),MIN(ABS(AB49/$D$49)*$C$19,MAX(0,$C$19-AA60)),0)</f>
        <v/>
      </c>
      <c r="AC57" s="160">
        <f>IF(AND($C$22="Y",AC49&lt;0,AC$46&gt;=$C$9,AC$46&lt;=$C$41),MIN(ABS(AC49/$D$49)*$C$19,MAX(0,$C$19-AB60)),0)</f>
        <v/>
      </c>
      <c r="AD57" s="160">
        <f>IF(AND($C$22="Y",AD49&lt;0,AD$46&gt;=$C$9,AD$46&lt;=$C$41),MIN(ABS(AD49/$D$49)*$C$19,MAX(0,$C$19-AC60)),0)</f>
        <v/>
      </c>
      <c r="AE57" s="160">
        <f>IF(AND($C$22="Y",AE49&lt;0,AE$46&gt;=$C$9,AE$46&lt;=$C$41),MIN(ABS(AE49/$D$49)*$C$19,MAX(0,$C$19-AD60)),0)</f>
        <v/>
      </c>
      <c r="AF57" s="160">
        <f>IF(AND($C$22="Y",AF49&lt;0,AF$46&gt;=$C$9,AF$46&lt;=$C$41),MIN(ABS(AF49/$D$49)*$C$19,MAX(0,$C$19-AE60)),0)</f>
        <v/>
      </c>
      <c r="AG57" s="160">
        <f>IF(AND($C$22="Y",AG49&lt;0,AG$46&gt;=$C$9,AG$46&lt;=$C$41),MIN(ABS(AG49/$D$49)*$C$19,MAX(0,$C$19-AF60)),0)</f>
        <v/>
      </c>
      <c r="AH57" s="160">
        <f>IF(AND($C$22="Y",AH49&lt;0,AH$46&gt;=$C$9,AH$46&lt;=$C$41),MIN(ABS(AH49/$D$49)*$C$19,MAX(0,$C$19-AG60)),0)</f>
        <v/>
      </c>
      <c r="AI57" s="160">
        <f>IF(AND($C$22="Y",AI49&lt;0,AI$46&gt;=$C$9,AI$46&lt;=$C$41),MIN(ABS(AI49/$D$49)*$C$19,MAX(0,$C$19-AH60)),0)</f>
        <v/>
      </c>
      <c r="AJ57" s="160">
        <f>IF(AND($C$22="Y",AJ49&lt;0,AJ$46&gt;=$C$9,AJ$46&lt;=$C$41),MIN(ABS(AJ49/$D$49)*$C$19,MAX(0,$C$19-AI60)),0)</f>
        <v/>
      </c>
      <c r="AK57" s="160">
        <f>IF(AND($C$22="Y",AK49&lt;0,AK$46&gt;=$C$9,AK$46&lt;=$C$41),MIN(ABS(AK49/$D$49)*$C$19,MAX(0,$C$19-AJ60)),0)</f>
        <v/>
      </c>
      <c r="AL57" s="160">
        <f>IF(AND($C$22="Y",AL49&lt;0,AL$46&gt;=$C$9,AL$46&lt;=$C$41),MIN(ABS(AL49/$D$49)*$C$19,MAX(0,$C$19-AK60)),0)</f>
        <v/>
      </c>
      <c r="AM57" s="160">
        <f>IF(AND($C$22="Y",AM49&lt;0,AM$46&gt;=$C$9,AM$46&lt;=$C$41),MIN(ABS(AM49/$D$49)*$C$19,MAX(0,$C$19-AL60)),0)</f>
        <v/>
      </c>
      <c r="AN57" s="160">
        <f>IF(AND($C$22="Y",AN49&lt;0,AN$46&gt;=$C$9,AN$46&lt;=$C$41),MIN(ABS(AN49/$D$49)*$C$19,MAX(0,$C$19-AM60)),0)</f>
        <v/>
      </c>
      <c r="AO57" s="160">
        <f>IF(AND($C$22="Y",AO49&lt;0,AO$46&gt;=$C$9,AO$46&lt;=$C$41),MIN(ABS(AO49/$D$49)*$C$19,MAX(0,$C$19-AN60)),0)</f>
        <v/>
      </c>
      <c r="AP57" s="160">
        <f>IF(AND($C$22="Y",AP49&lt;0,AP$46&gt;=$C$9,AP$46&lt;=$C$41),MIN(ABS(AP49/$D$49)*$C$19,MAX(0,$C$19-AO60)),0)</f>
        <v/>
      </c>
      <c r="AQ57" s="160">
        <f>IF(AND($C$22="Y",AQ49&lt;0,AQ$46&gt;=$C$9,AQ$46&lt;=$C$41),MIN(ABS(AQ49/$D$49)*$C$19,MAX(0,$C$19-AP60)),0)</f>
        <v/>
      </c>
      <c r="AR57" s="160">
        <f>IF(AND($C$22="Y",AR49&lt;0,AR$46&gt;=$C$9,AR$46&lt;=$C$41),MIN(ABS(AR49/$D$49)*$C$19,MAX(0,$C$19-AQ60)),0)</f>
        <v/>
      </c>
      <c r="AS57" s="160">
        <f>IF(AND($C$22="Y",AS49&lt;0,AS$46&gt;=$C$9,AS$46&lt;=$C$41),MIN(ABS(AS49/$D$49)*$C$19,MAX(0,$C$19-AR60)),0)</f>
        <v/>
      </c>
      <c r="AT57" s="160">
        <f>IF(AND($C$22="Y",AT49&lt;0,AT$46&gt;=$C$9,AT$46&lt;=$C$41),MIN(ABS(AT49/$D$49)*$C$19,MAX(0,$C$19-AS60)),0)</f>
        <v/>
      </c>
      <c r="AU57" s="160">
        <f>IF(AND($C$22="Y",AU49&lt;0,AU$46&gt;=$C$9,AU$46&lt;=$C$41),MIN(ABS(AU49/$D$49)*$C$19,MAX(0,$C$19-AT60)),0)</f>
        <v/>
      </c>
      <c r="AV57" s="160">
        <f>IF(AND($C$22="Y",AV49&lt;0,AV$46&gt;=$C$9,AV$46&lt;=$C$41),MIN(ABS(AV49/$D$49)*$C$19,MAX(0,$C$19-AU60)),0)</f>
        <v/>
      </c>
      <c r="AW57" s="160">
        <f>IF(AND($C$22="Y",AW49&lt;0,AW$46&gt;=$C$9,AW$46&lt;=$C$41),MIN(ABS(AW49/$D$49)*$C$19,MAX(0,$C$19-AV60)),0)</f>
        <v/>
      </c>
      <c r="AX57" s="160">
        <f>IF(AND($C$22="Y",AX49&lt;0,AX$46&gt;=$C$9,AX$46&lt;=$C$41),MIN(ABS(AX49/$D$49)*$C$19,MAX(0,$C$19-AW60)),0)</f>
        <v/>
      </c>
      <c r="AY57" s="160">
        <f>IF(AND($C$22="Y",AY49&lt;0,AY$46&gt;=$C$9,AY$46&lt;=$C$41),MIN(ABS(AY49/$D$49)*$C$19,MAX(0,$C$19-AX60)),0)</f>
        <v/>
      </c>
      <c r="AZ57" s="160">
        <f>IF(AND($C$22="Y",AZ49&lt;0,AZ$46&gt;=$C$9,AZ$46&lt;=$C$41),MIN(ABS(AZ49/$D$49)*$C$19,MAX(0,$C$19-AY60)),0)</f>
        <v/>
      </c>
      <c r="BA57" s="160">
        <f>IF(AND($C$22="Y",BA49&lt;0,BA$46&gt;=$C$9,BA$46&lt;=$C$41),MIN(ABS(BA49/$D$49)*$C$19,MAX(0,$C$19-AZ60)),0)</f>
        <v/>
      </c>
      <c r="BB57" s="160">
        <f>IF(AND($C$22="Y",BB49&lt;0,BB$46&gt;=$C$9,BB$46&lt;=$C$41),MIN(ABS(BB49/$D$49)*$C$19,MAX(0,$C$19-BA60)),0)</f>
        <v/>
      </c>
    </row>
    <row r="58" ht="15" customHeight="1" s="91">
      <c r="B58" s="153" t="inlineStr">
        <is>
          <t>Debt Balance (Open)  رصيد الدين بداية السنة</t>
        </is>
      </c>
      <c r="C58" s="153" t="inlineStr">
        <is>
          <t>SAR</t>
        </is>
      </c>
      <c r="D58" s="160">
        <f>SUM(E58:BB58)</f>
        <v/>
      </c>
      <c r="E58" s="160">
        <f>0</f>
        <v/>
      </c>
      <c r="F58" s="160">
        <f>E60</f>
        <v/>
      </c>
      <c r="G58" s="160">
        <f>F60</f>
        <v/>
      </c>
      <c r="H58" s="160">
        <f>G60</f>
        <v/>
      </c>
      <c r="I58" s="160">
        <f>H60</f>
        <v/>
      </c>
      <c r="J58" s="160">
        <f>I60</f>
        <v/>
      </c>
      <c r="K58" s="160">
        <f>J60</f>
        <v/>
      </c>
      <c r="L58" s="160">
        <f>K60</f>
        <v/>
      </c>
      <c r="M58" s="160">
        <f>L60</f>
        <v/>
      </c>
      <c r="N58" s="160">
        <f>M60</f>
        <v/>
      </c>
      <c r="O58" s="160">
        <f>N60</f>
        <v/>
      </c>
      <c r="P58" s="160">
        <f>O60</f>
        <v/>
      </c>
      <c r="Q58" s="160">
        <f>P60</f>
        <v/>
      </c>
      <c r="R58" s="160">
        <f>Q60</f>
        <v/>
      </c>
      <c r="S58" s="160">
        <f>R60</f>
        <v/>
      </c>
      <c r="T58" s="160">
        <f>S60</f>
        <v/>
      </c>
      <c r="U58" s="160">
        <f>T60</f>
        <v/>
      </c>
      <c r="V58" s="160">
        <f>U60</f>
        <v/>
      </c>
      <c r="W58" s="160">
        <f>V60</f>
        <v/>
      </c>
      <c r="X58" s="160">
        <f>W60</f>
        <v/>
      </c>
      <c r="Y58" s="160">
        <f>X60</f>
        <v/>
      </c>
      <c r="Z58" s="160">
        <f>Y60</f>
        <v/>
      </c>
      <c r="AA58" s="160">
        <f>Z60</f>
        <v/>
      </c>
      <c r="AB58" s="160">
        <f>AA60</f>
        <v/>
      </c>
      <c r="AC58" s="160">
        <f>AB60</f>
        <v/>
      </c>
      <c r="AD58" s="160">
        <f>AC60</f>
        <v/>
      </c>
      <c r="AE58" s="160">
        <f>AD60</f>
        <v/>
      </c>
      <c r="AF58" s="160">
        <f>AE60</f>
        <v/>
      </c>
      <c r="AG58" s="160">
        <f>AF60</f>
        <v/>
      </c>
      <c r="AH58" s="160">
        <f>AG60</f>
        <v/>
      </c>
      <c r="AI58" s="160">
        <f>AH60</f>
        <v/>
      </c>
      <c r="AJ58" s="160">
        <f>AI60</f>
        <v/>
      </c>
      <c r="AK58" s="160">
        <f>AJ60</f>
        <v/>
      </c>
      <c r="AL58" s="160">
        <f>AK60</f>
        <v/>
      </c>
      <c r="AM58" s="160">
        <f>AL60</f>
        <v/>
      </c>
      <c r="AN58" s="160">
        <f>AM60</f>
        <v/>
      </c>
      <c r="AO58" s="160">
        <f>AN60</f>
        <v/>
      </c>
      <c r="AP58" s="160">
        <f>AO60</f>
        <v/>
      </c>
      <c r="AQ58" s="160">
        <f>AP60</f>
        <v/>
      </c>
      <c r="AR58" s="160">
        <f>AQ60</f>
        <v/>
      </c>
      <c r="AS58" s="160">
        <f>AR60</f>
        <v/>
      </c>
      <c r="AT58" s="160">
        <f>AS60</f>
        <v/>
      </c>
      <c r="AU58" s="160">
        <f>AT60</f>
        <v/>
      </c>
      <c r="AV58" s="160">
        <f>AU60</f>
        <v/>
      </c>
      <c r="AW58" s="160">
        <f>AV60</f>
        <v/>
      </c>
      <c r="AX58" s="160">
        <f>AW60</f>
        <v/>
      </c>
      <c r="AY58" s="160">
        <f>AX60</f>
        <v/>
      </c>
      <c r="AZ58" s="160">
        <f>AY60</f>
        <v/>
      </c>
      <c r="BA58" s="160">
        <f>AZ60</f>
        <v/>
      </c>
      <c r="BB58" s="160">
        <f>BA60</f>
        <v/>
      </c>
    </row>
    <row r="59" ht="15" customHeight="1" s="91">
      <c r="B59" s="153" t="inlineStr">
        <is>
          <t>Debt Repayment  سداد أصل الدين</t>
        </is>
      </c>
      <c r="C59" s="153" t="inlineStr">
        <is>
          <t>SAR</t>
        </is>
      </c>
      <c r="D59" s="157">
        <f>SUM(E59:BB59)</f>
        <v/>
      </c>
      <c r="E59" s="160">
        <f>IF($C$28="perDraw",E54,E53)</f>
        <v/>
      </c>
      <c r="F59" s="160">
        <f>IF($C$28="perDraw",F54,F53)</f>
        <v/>
      </c>
      <c r="G59" s="160">
        <f>IF($C$28="perDraw",G54,G53)</f>
        <v/>
      </c>
      <c r="H59" s="160">
        <f>IF($C$28="perDraw",H54,H53)</f>
        <v/>
      </c>
      <c r="I59" s="160">
        <f>IF($C$28="perDraw",I54,I53)</f>
        <v/>
      </c>
      <c r="J59" s="160">
        <f>IF($C$28="perDraw",J54,J53)</f>
        <v/>
      </c>
      <c r="K59" s="160">
        <f>IF($C$28="perDraw",K54,K53)</f>
        <v/>
      </c>
      <c r="L59" s="160">
        <f>IF($C$28="perDraw",L54,L53)</f>
        <v/>
      </c>
      <c r="M59" s="160">
        <f>IF($C$28="perDraw",M54,M53)</f>
        <v/>
      </c>
      <c r="N59" s="160">
        <f>IF($C$28="perDraw",N54,N53)</f>
        <v/>
      </c>
      <c r="O59" s="160">
        <f>IF($C$28="perDraw",O54,O53)</f>
        <v/>
      </c>
      <c r="P59" s="160">
        <f>IF($C$28="perDraw",P54,P53)</f>
        <v/>
      </c>
      <c r="Q59" s="160">
        <f>IF($C$28="perDraw",Q54,Q53)</f>
        <v/>
      </c>
      <c r="R59" s="160">
        <f>IF($C$28="perDraw",R54,R53)</f>
        <v/>
      </c>
      <c r="S59" s="160">
        <f>IF($C$28="perDraw",S54,S53)</f>
        <v/>
      </c>
      <c r="T59" s="160">
        <f>IF($C$28="perDraw",T54,T53)</f>
        <v/>
      </c>
      <c r="U59" s="160">
        <f>IF($C$28="perDraw",U54,U53)</f>
        <v/>
      </c>
      <c r="V59" s="160">
        <f>IF($C$28="perDraw",V54,V53)</f>
        <v/>
      </c>
      <c r="W59" s="160">
        <f>IF($C$28="perDraw",W54,W53)</f>
        <v/>
      </c>
      <c r="X59" s="160">
        <f>IF($C$28="perDraw",X54,X53)</f>
        <v/>
      </c>
      <c r="Y59" s="160">
        <f>IF($C$28="perDraw",Y54,Y53)</f>
        <v/>
      </c>
      <c r="Z59" s="160">
        <f>IF($C$28="perDraw",Z54,Z53)</f>
        <v/>
      </c>
      <c r="AA59" s="160">
        <f>IF($C$28="perDraw",AA54,AA53)</f>
        <v/>
      </c>
      <c r="AB59" s="160">
        <f>IF($C$28="perDraw",AB54,AB53)</f>
        <v/>
      </c>
      <c r="AC59" s="160">
        <f>IF($C$28="perDraw",AC54,AC53)</f>
        <v/>
      </c>
      <c r="AD59" s="160">
        <f>IF($C$28="perDraw",AD54,AD53)</f>
        <v/>
      </c>
      <c r="AE59" s="160">
        <f>IF($C$28="perDraw",AE54,AE53)</f>
        <v/>
      </c>
      <c r="AF59" s="160">
        <f>IF($C$28="perDraw",AF54,AF53)</f>
        <v/>
      </c>
      <c r="AG59" s="160">
        <f>IF($C$28="perDraw",AG54,AG53)</f>
        <v/>
      </c>
      <c r="AH59" s="160">
        <f>IF($C$28="perDraw",AH54,AH53)</f>
        <v/>
      </c>
      <c r="AI59" s="160">
        <f>IF($C$28="perDraw",AI54,AI53)</f>
        <v/>
      </c>
      <c r="AJ59" s="160">
        <f>IF($C$28="perDraw",AJ54,AJ53)</f>
        <v/>
      </c>
      <c r="AK59" s="160">
        <f>IF($C$28="perDraw",AK54,AK53)</f>
        <v/>
      </c>
      <c r="AL59" s="160">
        <f>IF($C$28="perDraw",AL54,AL53)</f>
        <v/>
      </c>
      <c r="AM59" s="160">
        <f>IF($C$28="perDraw",AM54,AM53)</f>
        <v/>
      </c>
      <c r="AN59" s="160">
        <f>IF($C$28="perDraw",AN54,AN53)</f>
        <v/>
      </c>
      <c r="AO59" s="160">
        <f>IF($C$28="perDraw",AO54,AO53)</f>
        <v/>
      </c>
      <c r="AP59" s="160">
        <f>IF($C$28="perDraw",AP54,AP53)</f>
        <v/>
      </c>
      <c r="AQ59" s="160">
        <f>IF($C$28="perDraw",AQ54,AQ53)</f>
        <v/>
      </c>
      <c r="AR59" s="160">
        <f>IF($C$28="perDraw",AR54,AR53)</f>
        <v/>
      </c>
      <c r="AS59" s="160">
        <f>IF($C$28="perDraw",AS54,AS53)</f>
        <v/>
      </c>
      <c r="AT59" s="160">
        <f>IF($C$28="perDraw",AT54,AT53)</f>
        <v/>
      </c>
      <c r="AU59" s="160">
        <f>IF($C$28="perDraw",AU54,AU53)</f>
        <v/>
      </c>
      <c r="AV59" s="160">
        <f>IF($C$28="perDraw",AV54,AV53)</f>
        <v/>
      </c>
      <c r="AW59" s="160">
        <f>IF($C$28="perDraw",AW54,AW53)</f>
        <v/>
      </c>
      <c r="AX59" s="160">
        <f>IF($C$28="perDraw",AX54,AX53)</f>
        <v/>
      </c>
      <c r="AY59" s="160">
        <f>IF($C$28="perDraw",AY54,AY53)</f>
        <v/>
      </c>
      <c r="AZ59" s="160">
        <f>IF($C$28="perDraw",AZ54,AZ53)</f>
        <v/>
      </c>
      <c r="BA59" s="160">
        <f>IF($C$28="perDraw",BA54,BA53)</f>
        <v/>
      </c>
      <c r="BB59" s="160">
        <f>IF($C$28="perDraw",BB54,BB53)</f>
        <v/>
      </c>
    </row>
    <row r="60" ht="15" customHeight="1" s="91">
      <c r="B60" s="153" t="inlineStr">
        <is>
          <t>Debt Balance (Close)  رصيد الدين نهاية السنة</t>
        </is>
      </c>
      <c r="C60" s="153" t="inlineStr">
        <is>
          <t>SAR</t>
        </is>
      </c>
      <c r="D60" s="160">
        <f>SUM(E60:BB60)</f>
        <v/>
      </c>
      <c r="E60" s="160">
        <f>MAX(0,E58+E57+E59)</f>
        <v/>
      </c>
      <c r="F60" s="160">
        <f>MAX(0,F58+F57+F59)</f>
        <v/>
      </c>
      <c r="G60" s="160">
        <f>MAX(0,G58+G57+G59)</f>
        <v/>
      </c>
      <c r="H60" s="160">
        <f>MAX(0,H58+H57+H59)</f>
        <v/>
      </c>
      <c r="I60" s="160">
        <f>MAX(0,I58+I57+I59)</f>
        <v/>
      </c>
      <c r="J60" s="160">
        <f>MAX(0,J58+J57+J59)</f>
        <v/>
      </c>
      <c r="K60" s="160">
        <f>MAX(0,K58+K57+K59)</f>
        <v/>
      </c>
      <c r="L60" s="160">
        <f>MAX(0,L58+L57+L59)</f>
        <v/>
      </c>
      <c r="M60" s="160">
        <f>MAX(0,M58+M57+M59)</f>
        <v/>
      </c>
      <c r="N60" s="160">
        <f>MAX(0,N58+N57+N59)</f>
        <v/>
      </c>
      <c r="O60" s="160">
        <f>MAX(0,O58+O57+O59)</f>
        <v/>
      </c>
      <c r="P60" s="160">
        <f>MAX(0,P58+P57+P59)</f>
        <v/>
      </c>
      <c r="Q60" s="160">
        <f>MAX(0,Q58+Q57+Q59)</f>
        <v/>
      </c>
      <c r="R60" s="160">
        <f>MAX(0,R58+R57+R59)</f>
        <v/>
      </c>
      <c r="S60" s="160">
        <f>MAX(0,S58+S57+S59)</f>
        <v/>
      </c>
      <c r="T60" s="160">
        <f>MAX(0,T58+T57+T59)</f>
        <v/>
      </c>
      <c r="U60" s="160">
        <f>MAX(0,U58+U57+U59)</f>
        <v/>
      </c>
      <c r="V60" s="160">
        <f>MAX(0,V58+V57+V59)</f>
        <v/>
      </c>
      <c r="W60" s="160">
        <f>MAX(0,W58+W57+W59)</f>
        <v/>
      </c>
      <c r="X60" s="160">
        <f>MAX(0,X58+X57+X59)</f>
        <v/>
      </c>
      <c r="Y60" s="160">
        <f>MAX(0,Y58+Y57+Y59)</f>
        <v/>
      </c>
      <c r="Z60" s="160">
        <f>MAX(0,Z58+Z57+Z59)</f>
        <v/>
      </c>
      <c r="AA60" s="160">
        <f>MAX(0,AA58+AA57+AA59)</f>
        <v/>
      </c>
      <c r="AB60" s="160">
        <f>MAX(0,AB58+AB57+AB59)</f>
        <v/>
      </c>
      <c r="AC60" s="160">
        <f>MAX(0,AC58+AC57+AC59)</f>
        <v/>
      </c>
      <c r="AD60" s="160">
        <f>MAX(0,AD58+AD57+AD59)</f>
        <v/>
      </c>
      <c r="AE60" s="160">
        <f>MAX(0,AE58+AE57+AE59)</f>
        <v/>
      </c>
      <c r="AF60" s="160">
        <f>MAX(0,AF58+AF57+AF59)</f>
        <v/>
      </c>
      <c r="AG60" s="160">
        <f>MAX(0,AG58+AG57+AG59)</f>
        <v/>
      </c>
      <c r="AH60" s="160">
        <f>MAX(0,AH58+AH57+AH59)</f>
        <v/>
      </c>
      <c r="AI60" s="160">
        <f>MAX(0,AI58+AI57+AI59)</f>
        <v/>
      </c>
      <c r="AJ60" s="160">
        <f>MAX(0,AJ58+AJ57+AJ59)</f>
        <v/>
      </c>
      <c r="AK60" s="160">
        <f>MAX(0,AK58+AK57+AK59)</f>
        <v/>
      </c>
      <c r="AL60" s="160">
        <f>MAX(0,AL58+AL57+AL59)</f>
        <v/>
      </c>
      <c r="AM60" s="160">
        <f>MAX(0,AM58+AM57+AM59)</f>
        <v/>
      </c>
      <c r="AN60" s="160">
        <f>MAX(0,AN58+AN57+AN59)</f>
        <v/>
      </c>
      <c r="AO60" s="160">
        <f>MAX(0,AO58+AO57+AO59)</f>
        <v/>
      </c>
      <c r="AP60" s="160">
        <f>MAX(0,AP58+AP57+AP59)</f>
        <v/>
      </c>
      <c r="AQ60" s="160">
        <f>MAX(0,AQ58+AQ57+AQ59)</f>
        <v/>
      </c>
      <c r="AR60" s="160">
        <f>MAX(0,AR58+AR57+AR59)</f>
        <v/>
      </c>
      <c r="AS60" s="160">
        <f>MAX(0,AS58+AS57+AS59)</f>
        <v/>
      </c>
      <c r="AT60" s="160">
        <f>MAX(0,AT58+AT57+AT59)</f>
        <v/>
      </c>
      <c r="AU60" s="160">
        <f>MAX(0,AU58+AU57+AU59)</f>
        <v/>
      </c>
      <c r="AV60" s="160">
        <f>MAX(0,AV58+AV57+AV59)</f>
        <v/>
      </c>
      <c r="AW60" s="160">
        <f>MAX(0,AW58+AW57+AW59)</f>
        <v/>
      </c>
      <c r="AX60" s="160">
        <f>MAX(0,AX58+AX57+AX59)</f>
        <v/>
      </c>
      <c r="AY60" s="160">
        <f>MAX(0,AY58+AY57+AY59)</f>
        <v/>
      </c>
      <c r="AZ60" s="160">
        <f>MAX(0,AZ58+AZ57+AZ59)</f>
        <v/>
      </c>
      <c r="BA60" s="160">
        <f>MAX(0,BA58+BA57+BA59)</f>
        <v/>
      </c>
      <c r="BB60" s="160">
        <f>MAX(0,BB58+BB57+BB59)</f>
        <v/>
      </c>
    </row>
    <row r="61" ht="15" customHeight="1" s="91">
      <c r="B61" s="153" t="inlineStr">
        <is>
          <t>Debt Interest  تكلفة التمويل</t>
        </is>
      </c>
      <c r="C61" s="153" t="inlineStr">
        <is>
          <t>SAR</t>
        </is>
      </c>
      <c r="D61" s="157">
        <f>SUM(E61:BB61)</f>
        <v/>
      </c>
      <c r="E61" s="160">
        <f>IF(AND($C$22="Y",E58+E60&gt;0),-(E58+E60)/2*$C$23,0)-ABS(E57)*$C$25</f>
        <v/>
      </c>
      <c r="F61" s="160">
        <f>IF(AND($C$22="Y",F58+F60&gt;0),-(F58+F60)/2*$C$23,0)-ABS(F57)*$C$25</f>
        <v/>
      </c>
      <c r="G61" s="160">
        <f>IF(AND($C$22="Y",G58+G60&gt;0),-(G58+G60)/2*$C$23,0)-ABS(G57)*$C$25</f>
        <v/>
      </c>
      <c r="H61" s="160">
        <f>IF(AND($C$22="Y",H58+H60&gt;0),-(H58+H60)/2*$C$23,0)-ABS(H57)*$C$25</f>
        <v/>
      </c>
      <c r="I61" s="160">
        <f>IF(AND($C$22="Y",I58+I60&gt;0),-(I58+I60)/2*$C$23,0)-ABS(I57)*$C$25</f>
        <v/>
      </c>
      <c r="J61" s="160">
        <f>IF(AND($C$22="Y",J58+J60&gt;0),-(J58+J60)/2*$C$23,0)-ABS(J57)*$C$25</f>
        <v/>
      </c>
      <c r="K61" s="160">
        <f>IF(AND($C$22="Y",K58+K60&gt;0),-(K58+K60)/2*$C$23,0)-ABS(K57)*$C$25</f>
        <v/>
      </c>
      <c r="L61" s="160">
        <f>IF(AND($C$22="Y",L58+L60&gt;0),-(L58+L60)/2*$C$23,0)-ABS(L57)*$C$25</f>
        <v/>
      </c>
      <c r="M61" s="160">
        <f>IF(AND($C$22="Y",M58+M60&gt;0),-(M58+M60)/2*$C$23,0)-ABS(M57)*$C$25</f>
        <v/>
      </c>
      <c r="N61" s="160">
        <f>IF(AND($C$22="Y",N58+N60&gt;0),-(N58+N60)/2*$C$23,0)-ABS(N57)*$C$25</f>
        <v/>
      </c>
      <c r="O61" s="160">
        <f>IF(AND($C$22="Y",O58+O60&gt;0),-(O58+O60)/2*$C$23,0)-ABS(O57)*$C$25</f>
        <v/>
      </c>
      <c r="P61" s="160">
        <f>IF(AND($C$22="Y",P58+P60&gt;0),-(P58+P60)/2*$C$23,0)-ABS(P57)*$C$25</f>
        <v/>
      </c>
      <c r="Q61" s="160">
        <f>IF(AND($C$22="Y",Q58+Q60&gt;0),-(Q58+Q60)/2*$C$23,0)-ABS(Q57)*$C$25</f>
        <v/>
      </c>
      <c r="R61" s="160">
        <f>IF(AND($C$22="Y",R58+R60&gt;0),-(R58+R60)/2*$C$23,0)-ABS(R57)*$C$25</f>
        <v/>
      </c>
      <c r="S61" s="160">
        <f>IF(AND($C$22="Y",S58+S60&gt;0),-(S58+S60)/2*$C$23,0)-ABS(S57)*$C$25</f>
        <v/>
      </c>
      <c r="T61" s="160">
        <f>IF(AND($C$22="Y",T58+T60&gt;0),-(T58+T60)/2*$C$23,0)-ABS(T57)*$C$25</f>
        <v/>
      </c>
      <c r="U61" s="160">
        <f>IF(AND($C$22="Y",U58+U60&gt;0),-(U58+U60)/2*$C$23,0)-ABS(U57)*$C$25</f>
        <v/>
      </c>
      <c r="V61" s="160">
        <f>IF(AND($C$22="Y",V58+V60&gt;0),-(V58+V60)/2*$C$23,0)-ABS(V57)*$C$25</f>
        <v/>
      </c>
      <c r="W61" s="160">
        <f>IF(AND($C$22="Y",W58+W60&gt;0),-(W58+W60)/2*$C$23,0)-ABS(W57)*$C$25</f>
        <v/>
      </c>
      <c r="X61" s="160">
        <f>IF(AND($C$22="Y",X58+X60&gt;0),-(X58+X60)/2*$C$23,0)-ABS(X57)*$C$25</f>
        <v/>
      </c>
      <c r="Y61" s="160">
        <f>IF(AND($C$22="Y",Y58+Y60&gt;0),-(Y58+Y60)/2*$C$23,0)-ABS(Y57)*$C$25</f>
        <v/>
      </c>
      <c r="Z61" s="160">
        <f>IF(AND($C$22="Y",Z58+Z60&gt;0),-(Z58+Z60)/2*$C$23,0)-ABS(Z57)*$C$25</f>
        <v/>
      </c>
      <c r="AA61" s="160">
        <f>IF(AND($C$22="Y",AA58+AA60&gt;0),-(AA58+AA60)/2*$C$23,0)-ABS(AA57)*$C$25</f>
        <v/>
      </c>
      <c r="AB61" s="160">
        <f>IF(AND($C$22="Y",AB58+AB60&gt;0),-(AB58+AB60)/2*$C$23,0)-ABS(AB57)*$C$25</f>
        <v/>
      </c>
      <c r="AC61" s="160">
        <f>IF(AND($C$22="Y",AC58+AC60&gt;0),-(AC58+AC60)/2*$C$23,0)-ABS(AC57)*$C$25</f>
        <v/>
      </c>
      <c r="AD61" s="160">
        <f>IF(AND($C$22="Y",AD58+AD60&gt;0),-(AD58+AD60)/2*$C$23,0)-ABS(AD57)*$C$25</f>
        <v/>
      </c>
      <c r="AE61" s="160">
        <f>IF(AND($C$22="Y",AE58+AE60&gt;0),-(AE58+AE60)/2*$C$23,0)-ABS(AE57)*$C$25</f>
        <v/>
      </c>
      <c r="AF61" s="160">
        <f>IF(AND($C$22="Y",AF58+AF60&gt;0),-(AF58+AF60)/2*$C$23,0)-ABS(AF57)*$C$25</f>
        <v/>
      </c>
      <c r="AG61" s="160">
        <f>IF(AND($C$22="Y",AG58+AG60&gt;0),-(AG58+AG60)/2*$C$23,0)-ABS(AG57)*$C$25</f>
        <v/>
      </c>
      <c r="AH61" s="160">
        <f>IF(AND($C$22="Y",AH58+AH60&gt;0),-(AH58+AH60)/2*$C$23,0)-ABS(AH57)*$C$25</f>
        <v/>
      </c>
      <c r="AI61" s="160">
        <f>IF(AND($C$22="Y",AI58+AI60&gt;0),-(AI58+AI60)/2*$C$23,0)-ABS(AI57)*$C$25</f>
        <v/>
      </c>
      <c r="AJ61" s="160">
        <f>IF(AND($C$22="Y",AJ58+AJ60&gt;0),-(AJ58+AJ60)/2*$C$23,0)-ABS(AJ57)*$C$25</f>
        <v/>
      </c>
      <c r="AK61" s="160">
        <f>IF(AND($C$22="Y",AK58+AK60&gt;0),-(AK58+AK60)/2*$C$23,0)-ABS(AK57)*$C$25</f>
        <v/>
      </c>
      <c r="AL61" s="160">
        <f>IF(AND($C$22="Y",AL58+AL60&gt;0),-(AL58+AL60)/2*$C$23,0)-ABS(AL57)*$C$25</f>
        <v/>
      </c>
      <c r="AM61" s="160">
        <f>IF(AND($C$22="Y",AM58+AM60&gt;0),-(AM58+AM60)/2*$C$23,0)-ABS(AM57)*$C$25</f>
        <v/>
      </c>
      <c r="AN61" s="160">
        <f>IF(AND($C$22="Y",AN58+AN60&gt;0),-(AN58+AN60)/2*$C$23,0)-ABS(AN57)*$C$25</f>
        <v/>
      </c>
      <c r="AO61" s="160">
        <f>IF(AND($C$22="Y",AO58+AO60&gt;0),-(AO58+AO60)/2*$C$23,0)-ABS(AO57)*$C$25</f>
        <v/>
      </c>
      <c r="AP61" s="160">
        <f>IF(AND($C$22="Y",AP58+AP60&gt;0),-(AP58+AP60)/2*$C$23,0)-ABS(AP57)*$C$25</f>
        <v/>
      </c>
      <c r="AQ61" s="160">
        <f>IF(AND($C$22="Y",AQ58+AQ60&gt;0),-(AQ58+AQ60)/2*$C$23,0)-ABS(AQ57)*$C$25</f>
        <v/>
      </c>
      <c r="AR61" s="160">
        <f>IF(AND($C$22="Y",AR58+AR60&gt;0),-(AR58+AR60)/2*$C$23,0)-ABS(AR57)*$C$25</f>
        <v/>
      </c>
      <c r="AS61" s="160">
        <f>IF(AND($C$22="Y",AS58+AS60&gt;0),-(AS58+AS60)/2*$C$23,0)-ABS(AS57)*$C$25</f>
        <v/>
      </c>
      <c r="AT61" s="160">
        <f>IF(AND($C$22="Y",AT58+AT60&gt;0),-(AT58+AT60)/2*$C$23,0)-ABS(AT57)*$C$25</f>
        <v/>
      </c>
      <c r="AU61" s="160">
        <f>IF(AND($C$22="Y",AU58+AU60&gt;0),-(AU58+AU60)/2*$C$23,0)-ABS(AU57)*$C$25</f>
        <v/>
      </c>
      <c r="AV61" s="160">
        <f>IF(AND($C$22="Y",AV58+AV60&gt;0),-(AV58+AV60)/2*$C$23,0)-ABS(AV57)*$C$25</f>
        <v/>
      </c>
      <c r="AW61" s="160">
        <f>IF(AND($C$22="Y",AW58+AW60&gt;0),-(AW58+AW60)/2*$C$23,0)-ABS(AW57)*$C$25</f>
        <v/>
      </c>
      <c r="AX61" s="160">
        <f>IF(AND($C$22="Y",AX58+AX60&gt;0),-(AX58+AX60)/2*$C$23,0)-ABS(AX57)*$C$25</f>
        <v/>
      </c>
      <c r="AY61" s="160">
        <f>IF(AND($C$22="Y",AY58+AY60&gt;0),-(AY58+AY60)/2*$C$23,0)-ABS(AY57)*$C$25</f>
        <v/>
      </c>
      <c r="AZ61" s="160">
        <f>IF(AND($C$22="Y",AZ58+AZ60&gt;0),-(AZ58+AZ60)/2*$C$23,0)-ABS(AZ57)*$C$25</f>
        <v/>
      </c>
      <c r="BA61" s="160">
        <f>IF(AND($C$22="Y",BA58+BA60&gt;0),-(BA58+BA60)/2*$C$23,0)-ABS(BA57)*$C$25</f>
        <v/>
      </c>
      <c r="BB61" s="160">
        <f>IF(AND($C$22="Y",BB58+BB60&gt;0),-(BB58+BB60)/2*$C$23,0)-ABS(BB57)*$C$25</f>
        <v/>
      </c>
    </row>
    <row r="62" ht="15" customHeight="1" s="91">
      <c r="B62" s="110" t="inlineStr">
        <is>
          <t>Total Debt Service  إجمالي خدمة الدين</t>
        </is>
      </c>
      <c r="C62" s="153" t="inlineStr">
        <is>
          <t>SAR</t>
        </is>
      </c>
      <c r="D62" s="157">
        <f>SUM(E62:BB62)</f>
        <v/>
      </c>
      <c r="E62" s="157">
        <f>E59+E61</f>
        <v/>
      </c>
      <c r="F62" s="157">
        <f>F59+F61</f>
        <v/>
      </c>
      <c r="G62" s="157">
        <f>G59+G61</f>
        <v/>
      </c>
      <c r="H62" s="157">
        <f>H59+H61</f>
        <v/>
      </c>
      <c r="I62" s="157">
        <f>I59+I61</f>
        <v/>
      </c>
      <c r="J62" s="157">
        <f>J59+J61</f>
        <v/>
      </c>
      <c r="K62" s="157">
        <f>K59+K61</f>
        <v/>
      </c>
      <c r="L62" s="157">
        <f>L59+L61</f>
        <v/>
      </c>
      <c r="M62" s="157">
        <f>M59+M61</f>
        <v/>
      </c>
      <c r="N62" s="157">
        <f>N59+N61</f>
        <v/>
      </c>
      <c r="O62" s="157">
        <f>O59+O61</f>
        <v/>
      </c>
      <c r="P62" s="157">
        <f>P59+P61</f>
        <v/>
      </c>
      <c r="Q62" s="157">
        <f>Q59+Q61</f>
        <v/>
      </c>
      <c r="R62" s="157">
        <f>R59+R61</f>
        <v/>
      </c>
      <c r="S62" s="157">
        <f>S59+S61</f>
        <v/>
      </c>
      <c r="T62" s="157">
        <f>T59+T61</f>
        <v/>
      </c>
      <c r="U62" s="157">
        <f>U59+U61</f>
        <v/>
      </c>
      <c r="V62" s="157">
        <f>V59+V61</f>
        <v/>
      </c>
      <c r="W62" s="157">
        <f>W59+W61</f>
        <v/>
      </c>
      <c r="X62" s="157">
        <f>X59+X61</f>
        <v/>
      </c>
      <c r="Y62" s="157">
        <f>Y59+Y61</f>
        <v/>
      </c>
      <c r="Z62" s="157">
        <f>Z59+Z61</f>
        <v/>
      </c>
      <c r="AA62" s="157">
        <f>AA59+AA61</f>
        <v/>
      </c>
      <c r="AB62" s="157">
        <f>AB59+AB61</f>
        <v/>
      </c>
      <c r="AC62" s="157">
        <f>AC59+AC61</f>
        <v/>
      </c>
      <c r="AD62" s="157">
        <f>AD59+AD61</f>
        <v/>
      </c>
      <c r="AE62" s="157">
        <f>AE59+AE61</f>
        <v/>
      </c>
      <c r="AF62" s="157">
        <f>AF59+AF61</f>
        <v/>
      </c>
      <c r="AG62" s="157">
        <f>AG59+AG61</f>
        <v/>
      </c>
      <c r="AH62" s="157">
        <f>AH59+AH61</f>
        <v/>
      </c>
      <c r="AI62" s="157">
        <f>AI59+AI61</f>
        <v/>
      </c>
      <c r="AJ62" s="157">
        <f>AJ59+AJ61</f>
        <v/>
      </c>
      <c r="AK62" s="157">
        <f>AK59+AK61</f>
        <v/>
      </c>
      <c r="AL62" s="157">
        <f>AL59+AL61</f>
        <v/>
      </c>
      <c r="AM62" s="157">
        <f>AM59+AM61</f>
        <v/>
      </c>
      <c r="AN62" s="157">
        <f>AN59+AN61</f>
        <v/>
      </c>
      <c r="AO62" s="157">
        <f>AO59+AO61</f>
        <v/>
      </c>
      <c r="AP62" s="157">
        <f>AP59+AP61</f>
        <v/>
      </c>
      <c r="AQ62" s="157">
        <f>AQ59+AQ61</f>
        <v/>
      </c>
      <c r="AR62" s="157">
        <f>AR59+AR61</f>
        <v/>
      </c>
      <c r="AS62" s="157">
        <f>AS59+AS61</f>
        <v/>
      </c>
      <c r="AT62" s="157">
        <f>AT59+AT61</f>
        <v/>
      </c>
      <c r="AU62" s="157">
        <f>AU59+AU61</f>
        <v/>
      </c>
      <c r="AV62" s="157">
        <f>AV59+AV61</f>
        <v/>
      </c>
      <c r="AW62" s="157">
        <f>AW59+AW61</f>
        <v/>
      </c>
      <c r="AX62" s="157">
        <f>AX59+AX61</f>
        <v/>
      </c>
      <c r="AY62" s="157">
        <f>AY59+AY61</f>
        <v/>
      </c>
      <c r="AZ62" s="157">
        <f>AZ59+AZ61</f>
        <v/>
      </c>
      <c r="BA62" s="157">
        <f>BA59+BA61</f>
        <v/>
      </c>
      <c r="BB62" s="157">
        <f>BB59+BB61</f>
        <v/>
      </c>
    </row>
    <row r="63" ht="15" customHeight="1" s="91">
      <c r="B63" s="90" t="inlineStr">
        <is>
          <t>Other Fund Fees  رسوم أخرى</t>
        </is>
      </c>
      <c r="D63" s="90">
        <f>SUM(E63:BB63)</f>
        <v/>
      </c>
      <c r="E63" s="90">
        <f>IF(E$46=$C$9,Inputs!C$145+Inputs!C$146+$C$17*Inputs!C$150,0)+IF(AND(E$46&gt;=$C$9,E$46&lt;=$C$41),Inputs!C$147,0)+IF(AND(E$46&gt;=$C$9,E$46&lt;=$C$41,E47&gt;0),MIN(Inputs!C$149,$C$17*Inputs!C$148),0)</f>
        <v/>
      </c>
      <c r="F63" s="90">
        <f>IF(F$46=$C$9,Inputs!C$145+Inputs!C$146+$C$17*Inputs!C$150,0)+IF(AND(F$46&gt;=$C$9,F$46&lt;=$C$41),Inputs!C$147,0)+IF(AND(F$46&gt;=$C$9,F$46&lt;=$C$41,F47&gt;0),MIN(Inputs!C$149,$C$17*Inputs!C$148),0)</f>
        <v/>
      </c>
      <c r="G63" s="90">
        <f>IF(G$46=$C$9,Inputs!C$145+Inputs!C$146+$C$17*Inputs!C$150,0)+IF(AND(G$46&gt;=$C$9,G$46&lt;=$C$41),Inputs!C$147,0)+IF(AND(G$46&gt;=$C$9,G$46&lt;=$C$41,G47&gt;0),MIN(Inputs!C$149,$C$17*Inputs!C$148),0)</f>
        <v/>
      </c>
      <c r="H63" s="90">
        <f>IF(H$46=$C$9,Inputs!C$145+Inputs!C$146+$C$17*Inputs!C$150,0)+IF(AND(H$46&gt;=$C$9,H$46&lt;=$C$41),Inputs!C$147,0)+IF(AND(H$46&gt;=$C$9,H$46&lt;=$C$41,H47&gt;0),MIN(Inputs!C$149,$C$17*Inputs!C$148),0)</f>
        <v/>
      </c>
      <c r="I63" s="90">
        <f>IF(I$46=$C$9,Inputs!C$145+Inputs!C$146+$C$17*Inputs!C$150,0)+IF(AND(I$46&gt;=$C$9,I$46&lt;=$C$41),Inputs!C$147,0)+IF(AND(I$46&gt;=$C$9,I$46&lt;=$C$41,I47&gt;0),MIN(Inputs!C$149,$C$17*Inputs!C$148),0)</f>
        <v/>
      </c>
      <c r="J63" s="90">
        <f>IF(J$46=$C$9,Inputs!C$145+Inputs!C$146+$C$17*Inputs!C$150,0)+IF(AND(J$46&gt;=$C$9,J$46&lt;=$C$41),Inputs!C$147,0)+IF(AND(J$46&gt;=$C$9,J$46&lt;=$C$41,J47&gt;0),MIN(Inputs!C$149,$C$17*Inputs!C$148),0)</f>
        <v/>
      </c>
      <c r="K63" s="90">
        <f>IF(K$46=$C$9,Inputs!C$145+Inputs!C$146+$C$17*Inputs!C$150,0)+IF(AND(K$46&gt;=$C$9,K$46&lt;=$C$41),Inputs!C$147,0)+IF(AND(K$46&gt;=$C$9,K$46&lt;=$C$41,K47&gt;0),MIN(Inputs!C$149,$C$17*Inputs!C$148),0)</f>
        <v/>
      </c>
      <c r="L63" s="90">
        <f>IF(L$46=$C$9,Inputs!C$145+Inputs!C$146+$C$17*Inputs!C$150,0)+IF(AND(L$46&gt;=$C$9,L$46&lt;=$C$41),Inputs!C$147,0)+IF(AND(L$46&gt;=$C$9,L$46&lt;=$C$41,L47&gt;0),MIN(Inputs!C$149,$C$17*Inputs!C$148),0)</f>
        <v/>
      </c>
      <c r="M63" s="90">
        <f>IF(M$46=$C$9,Inputs!C$145+Inputs!C$146+$C$17*Inputs!C$150,0)+IF(AND(M$46&gt;=$C$9,M$46&lt;=$C$41),Inputs!C$147,0)+IF(AND(M$46&gt;=$C$9,M$46&lt;=$C$41,M47&gt;0),MIN(Inputs!C$149,$C$17*Inputs!C$148),0)</f>
        <v/>
      </c>
      <c r="N63" s="90">
        <f>IF(N$46=$C$9,Inputs!C$145+Inputs!C$146+$C$17*Inputs!C$150,0)+IF(AND(N$46&gt;=$C$9,N$46&lt;=$C$41),Inputs!C$147,0)+IF(AND(N$46&gt;=$C$9,N$46&lt;=$C$41,N47&gt;0),MIN(Inputs!C$149,$C$17*Inputs!C$148),0)</f>
        <v/>
      </c>
      <c r="O63" s="90">
        <f>IF(O$46=$C$9,Inputs!C$145+Inputs!C$146+$C$17*Inputs!C$150,0)+IF(AND(O$46&gt;=$C$9,O$46&lt;=$C$41),Inputs!C$147,0)+IF(AND(O$46&gt;=$C$9,O$46&lt;=$C$41,O47&gt;0),MIN(Inputs!C$149,$C$17*Inputs!C$148),0)</f>
        <v/>
      </c>
      <c r="P63" s="90">
        <f>IF(P$46=$C$9,Inputs!C$145+Inputs!C$146+$C$17*Inputs!C$150,0)+IF(AND(P$46&gt;=$C$9,P$46&lt;=$C$41),Inputs!C$147,0)+IF(AND(P$46&gt;=$C$9,P$46&lt;=$C$41,P47&gt;0),MIN(Inputs!C$149,$C$17*Inputs!C$148),0)</f>
        <v/>
      </c>
      <c r="Q63" s="90">
        <f>IF(Q$46=$C$9,Inputs!C$145+Inputs!C$146+$C$17*Inputs!C$150,0)+IF(AND(Q$46&gt;=$C$9,Q$46&lt;=$C$41),Inputs!C$147,0)+IF(AND(Q$46&gt;=$C$9,Q$46&lt;=$C$41,Q47&gt;0),MIN(Inputs!C$149,$C$17*Inputs!C$148),0)</f>
        <v/>
      </c>
      <c r="R63" s="90">
        <f>IF(R$46=$C$9,Inputs!C$145+Inputs!C$146+$C$17*Inputs!C$150,0)+IF(AND(R$46&gt;=$C$9,R$46&lt;=$C$41),Inputs!C$147,0)+IF(AND(R$46&gt;=$C$9,R$46&lt;=$C$41,R47&gt;0),MIN(Inputs!C$149,$C$17*Inputs!C$148),0)</f>
        <v/>
      </c>
      <c r="S63" s="90">
        <f>IF(S$46=$C$9,Inputs!C$145+Inputs!C$146+$C$17*Inputs!C$150,0)+IF(AND(S$46&gt;=$C$9,S$46&lt;=$C$41),Inputs!C$147,0)+IF(AND(S$46&gt;=$C$9,S$46&lt;=$C$41,S47&gt;0),MIN(Inputs!C$149,$C$17*Inputs!C$148),0)</f>
        <v/>
      </c>
      <c r="T63" s="90">
        <f>IF(T$46=$C$9,Inputs!C$145+Inputs!C$146+$C$17*Inputs!C$150,0)+IF(AND(T$46&gt;=$C$9,T$46&lt;=$C$41),Inputs!C$147,0)+IF(AND(T$46&gt;=$C$9,T$46&lt;=$C$41,T47&gt;0),MIN(Inputs!C$149,$C$17*Inputs!C$148),0)</f>
        <v/>
      </c>
      <c r="U63" s="90">
        <f>IF(U$46=$C$9,Inputs!C$145+Inputs!C$146+$C$17*Inputs!C$150,0)+IF(AND(U$46&gt;=$C$9,U$46&lt;=$C$41),Inputs!C$147,0)+IF(AND(U$46&gt;=$C$9,U$46&lt;=$C$41,U47&gt;0),MIN(Inputs!C$149,$C$17*Inputs!C$148),0)</f>
        <v/>
      </c>
      <c r="V63" s="90">
        <f>IF(V$46=$C$9,Inputs!C$145+Inputs!C$146+$C$17*Inputs!C$150,0)+IF(AND(V$46&gt;=$C$9,V$46&lt;=$C$41),Inputs!C$147,0)+IF(AND(V$46&gt;=$C$9,V$46&lt;=$C$41,V47&gt;0),MIN(Inputs!C$149,$C$17*Inputs!C$148),0)</f>
        <v/>
      </c>
      <c r="W63" s="90">
        <f>IF(W$46=$C$9,Inputs!C$145+Inputs!C$146+$C$17*Inputs!C$150,0)+IF(AND(W$46&gt;=$C$9,W$46&lt;=$C$41),Inputs!C$147,0)+IF(AND(W$46&gt;=$C$9,W$46&lt;=$C$41,W47&gt;0),MIN(Inputs!C$149,$C$17*Inputs!C$148),0)</f>
        <v/>
      </c>
      <c r="X63" s="90">
        <f>IF(X$46=$C$9,Inputs!C$145+Inputs!C$146+$C$17*Inputs!C$150,0)+IF(AND(X$46&gt;=$C$9,X$46&lt;=$C$41),Inputs!C$147,0)+IF(AND(X$46&gt;=$C$9,X$46&lt;=$C$41,X47&gt;0),MIN(Inputs!C$149,$C$17*Inputs!C$148),0)</f>
        <v/>
      </c>
      <c r="Y63" s="90">
        <f>IF(Y$46=$C$9,Inputs!C$145+Inputs!C$146+$C$17*Inputs!C$150,0)+IF(AND(Y$46&gt;=$C$9,Y$46&lt;=$C$41),Inputs!C$147,0)+IF(AND(Y$46&gt;=$C$9,Y$46&lt;=$C$41,Y47&gt;0),MIN(Inputs!C$149,$C$17*Inputs!C$148),0)</f>
        <v/>
      </c>
      <c r="Z63" s="90">
        <f>IF(Z$46=$C$9,Inputs!C$145+Inputs!C$146+$C$17*Inputs!C$150,0)+IF(AND(Z$46&gt;=$C$9,Z$46&lt;=$C$41),Inputs!C$147,0)+IF(AND(Z$46&gt;=$C$9,Z$46&lt;=$C$41,Z47&gt;0),MIN(Inputs!C$149,$C$17*Inputs!C$148),0)</f>
        <v/>
      </c>
      <c r="AA63" s="90">
        <f>IF(AA$46=$C$9,Inputs!C$145+Inputs!C$146+$C$17*Inputs!C$150,0)+IF(AND(AA$46&gt;=$C$9,AA$46&lt;=$C$41),Inputs!C$147,0)+IF(AND(AA$46&gt;=$C$9,AA$46&lt;=$C$41,AA47&gt;0),MIN(Inputs!C$149,$C$17*Inputs!C$148),0)</f>
        <v/>
      </c>
      <c r="AB63" s="90">
        <f>IF(AB$46=$C$9,Inputs!C$145+Inputs!C$146+$C$17*Inputs!C$150,0)+IF(AND(AB$46&gt;=$C$9,AB$46&lt;=$C$41),Inputs!C$147,0)+IF(AND(AB$46&gt;=$C$9,AB$46&lt;=$C$41,AB47&gt;0),MIN(Inputs!C$149,$C$17*Inputs!C$148),0)</f>
        <v/>
      </c>
      <c r="AC63" s="90">
        <f>IF(AC$46=$C$9,Inputs!C$145+Inputs!C$146+$C$17*Inputs!C$150,0)+IF(AND(AC$46&gt;=$C$9,AC$46&lt;=$C$41),Inputs!C$147,0)+IF(AND(AC$46&gt;=$C$9,AC$46&lt;=$C$41,AC47&gt;0),MIN(Inputs!C$149,$C$17*Inputs!C$148),0)</f>
        <v/>
      </c>
      <c r="AD63" s="90">
        <f>IF(AD$46=$C$9,Inputs!C$145+Inputs!C$146+$C$17*Inputs!C$150,0)+IF(AND(AD$46&gt;=$C$9,AD$46&lt;=$C$41),Inputs!C$147,0)+IF(AND(AD$46&gt;=$C$9,AD$46&lt;=$C$41,AD47&gt;0),MIN(Inputs!C$149,$C$17*Inputs!C$148),0)</f>
        <v/>
      </c>
      <c r="AE63" s="90">
        <f>IF(AE$46=$C$9,Inputs!C$145+Inputs!C$146+$C$17*Inputs!C$150,0)+IF(AND(AE$46&gt;=$C$9,AE$46&lt;=$C$41),Inputs!C$147,0)+IF(AND(AE$46&gt;=$C$9,AE$46&lt;=$C$41,AE47&gt;0),MIN(Inputs!C$149,$C$17*Inputs!C$148),0)</f>
        <v/>
      </c>
      <c r="AF63" s="90">
        <f>IF(AF$46=$C$9,Inputs!C$145+Inputs!C$146+$C$17*Inputs!C$150,0)+IF(AND(AF$46&gt;=$C$9,AF$46&lt;=$C$41),Inputs!C$147,0)+IF(AND(AF$46&gt;=$C$9,AF$46&lt;=$C$41,AF47&gt;0),MIN(Inputs!C$149,$C$17*Inputs!C$148),0)</f>
        <v/>
      </c>
      <c r="AG63" s="90">
        <f>IF(AG$46=$C$9,Inputs!C$145+Inputs!C$146+$C$17*Inputs!C$150,0)+IF(AND(AG$46&gt;=$C$9,AG$46&lt;=$C$41),Inputs!C$147,0)+IF(AND(AG$46&gt;=$C$9,AG$46&lt;=$C$41,AG47&gt;0),MIN(Inputs!C$149,$C$17*Inputs!C$148),0)</f>
        <v/>
      </c>
      <c r="AH63" s="90">
        <f>IF(AH$46=$C$9,Inputs!C$145+Inputs!C$146+$C$17*Inputs!C$150,0)+IF(AND(AH$46&gt;=$C$9,AH$46&lt;=$C$41),Inputs!C$147,0)+IF(AND(AH$46&gt;=$C$9,AH$46&lt;=$C$41,AH47&gt;0),MIN(Inputs!C$149,$C$17*Inputs!C$148),0)</f>
        <v/>
      </c>
      <c r="AI63" s="90">
        <f>IF(AI$46=$C$9,Inputs!C$145+Inputs!C$146+$C$17*Inputs!C$150,0)+IF(AND(AI$46&gt;=$C$9,AI$46&lt;=$C$41),Inputs!C$147,0)+IF(AND(AI$46&gt;=$C$9,AI$46&lt;=$C$41,AI47&gt;0),MIN(Inputs!C$149,$C$17*Inputs!C$148),0)</f>
        <v/>
      </c>
      <c r="AJ63" s="90">
        <f>IF(AJ$46=$C$9,Inputs!C$145+Inputs!C$146+$C$17*Inputs!C$150,0)+IF(AND(AJ$46&gt;=$C$9,AJ$46&lt;=$C$41),Inputs!C$147,0)+IF(AND(AJ$46&gt;=$C$9,AJ$46&lt;=$C$41,AJ47&gt;0),MIN(Inputs!C$149,$C$17*Inputs!C$148),0)</f>
        <v/>
      </c>
      <c r="AK63" s="90">
        <f>IF(AK$46=$C$9,Inputs!C$145+Inputs!C$146+$C$17*Inputs!C$150,0)+IF(AND(AK$46&gt;=$C$9,AK$46&lt;=$C$41),Inputs!C$147,0)+IF(AND(AK$46&gt;=$C$9,AK$46&lt;=$C$41,AK47&gt;0),MIN(Inputs!C$149,$C$17*Inputs!C$148),0)</f>
        <v/>
      </c>
      <c r="AL63" s="90">
        <f>IF(AL$46=$C$9,Inputs!C$145+Inputs!C$146+$C$17*Inputs!C$150,0)+IF(AND(AL$46&gt;=$C$9,AL$46&lt;=$C$41),Inputs!C$147,0)+IF(AND(AL$46&gt;=$C$9,AL$46&lt;=$C$41,AL47&gt;0),MIN(Inputs!C$149,$C$17*Inputs!C$148),0)</f>
        <v/>
      </c>
      <c r="AM63" s="90">
        <f>IF(AM$46=$C$9,Inputs!C$145+Inputs!C$146+$C$17*Inputs!C$150,0)+IF(AND(AM$46&gt;=$C$9,AM$46&lt;=$C$41),Inputs!C$147,0)+IF(AND(AM$46&gt;=$C$9,AM$46&lt;=$C$41,AM47&gt;0),MIN(Inputs!C$149,$C$17*Inputs!C$148),0)</f>
        <v/>
      </c>
      <c r="AN63" s="90">
        <f>IF(AN$46=$C$9,Inputs!C$145+Inputs!C$146+$C$17*Inputs!C$150,0)+IF(AND(AN$46&gt;=$C$9,AN$46&lt;=$C$41),Inputs!C$147,0)+IF(AND(AN$46&gt;=$C$9,AN$46&lt;=$C$41,AN47&gt;0),MIN(Inputs!C$149,$C$17*Inputs!C$148),0)</f>
        <v/>
      </c>
      <c r="AO63" s="90">
        <f>IF(AO$46=$C$9,Inputs!C$145+Inputs!C$146+$C$17*Inputs!C$150,0)+IF(AND(AO$46&gt;=$C$9,AO$46&lt;=$C$41),Inputs!C$147,0)+IF(AND(AO$46&gt;=$C$9,AO$46&lt;=$C$41,AO47&gt;0),MIN(Inputs!C$149,$C$17*Inputs!C$148),0)</f>
        <v/>
      </c>
      <c r="AP63" s="90">
        <f>IF(AP$46=$C$9,Inputs!C$145+Inputs!C$146+$C$17*Inputs!C$150,0)+IF(AND(AP$46&gt;=$C$9,AP$46&lt;=$C$41),Inputs!C$147,0)+IF(AND(AP$46&gt;=$C$9,AP$46&lt;=$C$41,AP47&gt;0),MIN(Inputs!C$149,$C$17*Inputs!C$148),0)</f>
        <v/>
      </c>
      <c r="AQ63" s="90">
        <f>IF(AQ$46=$C$9,Inputs!C$145+Inputs!C$146+$C$17*Inputs!C$150,0)+IF(AND(AQ$46&gt;=$C$9,AQ$46&lt;=$C$41),Inputs!C$147,0)+IF(AND(AQ$46&gt;=$C$9,AQ$46&lt;=$C$41,AQ47&gt;0),MIN(Inputs!C$149,$C$17*Inputs!C$148),0)</f>
        <v/>
      </c>
      <c r="AR63" s="90">
        <f>IF(AR$46=$C$9,Inputs!C$145+Inputs!C$146+$C$17*Inputs!C$150,0)+IF(AND(AR$46&gt;=$C$9,AR$46&lt;=$C$41),Inputs!C$147,0)+IF(AND(AR$46&gt;=$C$9,AR$46&lt;=$C$41,AR47&gt;0),MIN(Inputs!C$149,$C$17*Inputs!C$148),0)</f>
        <v/>
      </c>
      <c r="AS63" s="90">
        <f>IF(AS$46=$C$9,Inputs!C$145+Inputs!C$146+$C$17*Inputs!C$150,0)+IF(AND(AS$46&gt;=$C$9,AS$46&lt;=$C$41),Inputs!C$147,0)+IF(AND(AS$46&gt;=$C$9,AS$46&lt;=$C$41,AS47&gt;0),MIN(Inputs!C$149,$C$17*Inputs!C$148),0)</f>
        <v/>
      </c>
      <c r="AT63" s="90">
        <f>IF(AT$46=$C$9,Inputs!C$145+Inputs!C$146+$C$17*Inputs!C$150,0)+IF(AND(AT$46&gt;=$C$9,AT$46&lt;=$C$41),Inputs!C$147,0)+IF(AND(AT$46&gt;=$C$9,AT$46&lt;=$C$41,AT47&gt;0),MIN(Inputs!C$149,$C$17*Inputs!C$148),0)</f>
        <v/>
      </c>
      <c r="AU63" s="90">
        <f>IF(AU$46=$C$9,Inputs!C$145+Inputs!C$146+$C$17*Inputs!C$150,0)+IF(AND(AU$46&gt;=$C$9,AU$46&lt;=$C$41),Inputs!C$147,0)+IF(AND(AU$46&gt;=$C$9,AU$46&lt;=$C$41,AU47&gt;0),MIN(Inputs!C$149,$C$17*Inputs!C$148),0)</f>
        <v/>
      </c>
      <c r="AV63" s="90">
        <f>IF(AV$46=$C$9,Inputs!C$145+Inputs!C$146+$C$17*Inputs!C$150,0)+IF(AND(AV$46&gt;=$C$9,AV$46&lt;=$C$41),Inputs!C$147,0)+IF(AND(AV$46&gt;=$C$9,AV$46&lt;=$C$41,AV47&gt;0),MIN(Inputs!C$149,$C$17*Inputs!C$148),0)</f>
        <v/>
      </c>
      <c r="AW63" s="90">
        <f>IF(AW$46=$C$9,Inputs!C$145+Inputs!C$146+$C$17*Inputs!C$150,0)+IF(AND(AW$46&gt;=$C$9,AW$46&lt;=$C$41),Inputs!C$147,0)+IF(AND(AW$46&gt;=$C$9,AW$46&lt;=$C$41,AW47&gt;0),MIN(Inputs!C$149,$C$17*Inputs!C$148),0)</f>
        <v/>
      </c>
      <c r="AX63" s="90">
        <f>IF(AX$46=$C$9,Inputs!C$145+Inputs!C$146+$C$17*Inputs!C$150,0)+IF(AND(AX$46&gt;=$C$9,AX$46&lt;=$C$41),Inputs!C$147,0)+IF(AND(AX$46&gt;=$C$9,AX$46&lt;=$C$41,AX47&gt;0),MIN(Inputs!C$149,$C$17*Inputs!C$148),0)</f>
        <v/>
      </c>
      <c r="AY63" s="90">
        <f>IF(AY$46=$C$9,Inputs!C$145+Inputs!C$146+$C$17*Inputs!C$150,0)+IF(AND(AY$46&gt;=$C$9,AY$46&lt;=$C$41),Inputs!C$147,0)+IF(AND(AY$46&gt;=$C$9,AY$46&lt;=$C$41,AY47&gt;0),MIN(Inputs!C$149,$C$17*Inputs!C$148),0)</f>
        <v/>
      </c>
      <c r="AZ63" s="90">
        <f>IF(AZ$46=$C$9,Inputs!C$145+Inputs!C$146+$C$17*Inputs!C$150,0)+IF(AND(AZ$46&gt;=$C$9,AZ$46&lt;=$C$41),Inputs!C$147,0)+IF(AND(AZ$46&gt;=$C$9,AZ$46&lt;=$C$41,AZ47&gt;0),MIN(Inputs!C$149,$C$17*Inputs!C$148),0)</f>
        <v/>
      </c>
      <c r="BA63" s="90">
        <f>IF(BA$46=$C$9,Inputs!C$145+Inputs!C$146+$C$17*Inputs!C$150,0)+IF(AND(BA$46&gt;=$C$9,BA$46&lt;=$C$41),Inputs!C$147,0)+IF(AND(BA$46&gt;=$C$9,BA$46&lt;=$C$41,BA47&gt;0),MIN(Inputs!C$149,$C$17*Inputs!C$148),0)</f>
        <v/>
      </c>
      <c r="BB63" s="90">
        <f>IF(BB$46=$C$9,Inputs!C$145+Inputs!C$146+$C$17*Inputs!C$150,0)+IF(AND(BB$46&gt;=$C$9,BB$46&lt;=$C$41),Inputs!C$147,0)+IF(AND(BB$46&gt;=$C$9,BB$46&lt;=$C$41,BB47&gt;0),MIN(Inputs!C$149,$C$17*Inputs!C$148),0)</f>
        <v/>
      </c>
    </row>
    <row r="64" ht="15" customHeight="1" s="91">
      <c r="B64" s="153" t="inlineStr">
        <is>
          <t>Subscription Fee  رسوم الاشتراك</t>
        </is>
      </c>
      <c r="C64" s="153" t="inlineStr">
        <is>
          <t>SAR</t>
        </is>
      </c>
      <c r="D64" s="160">
        <f>SUM(E64:BB64)</f>
        <v/>
      </c>
      <c r="E64" s="160">
        <f>IF(E$46=$C$9,$C$14*$C$29,0)</f>
        <v/>
      </c>
      <c r="F64" s="160">
        <f>IF(F$46=$C$9,$C$14*$C$29,0)</f>
        <v/>
      </c>
      <c r="G64" s="160">
        <f>IF(G$46=$C$9,$C$14*$C$29,0)</f>
        <v/>
      </c>
      <c r="H64" s="160">
        <f>IF(H$46=$C$9,$C$14*$C$29,0)</f>
        <v/>
      </c>
      <c r="I64" s="160">
        <f>IF(I$46=$C$9,$C$14*$C$29,0)</f>
        <v/>
      </c>
      <c r="J64" s="160">
        <f>IF(J$46=$C$9,$C$14*$C$29,0)</f>
        <v/>
      </c>
      <c r="K64" s="160">
        <f>IF(K$46=$C$9,$C$14*$C$29,0)</f>
        <v/>
      </c>
      <c r="L64" s="160">
        <f>IF(L$46=$C$9,$C$14*$C$29,0)</f>
        <v/>
      </c>
      <c r="M64" s="160">
        <f>IF(M$46=$C$9,$C$14*$C$29,0)</f>
        <v/>
      </c>
      <c r="N64" s="160">
        <f>IF(N$46=$C$9,$C$14*$C$29,0)</f>
        <v/>
      </c>
      <c r="O64" s="160">
        <f>IF(O$46=$C$9,$C$14*$C$29,0)</f>
        <v/>
      </c>
      <c r="P64" s="160">
        <f>IF(P$46=$C$9,$C$14*$C$29,0)</f>
        <v/>
      </c>
      <c r="Q64" s="160">
        <f>IF(Q$46=$C$9,$C$14*$C$29,0)</f>
        <v/>
      </c>
      <c r="R64" s="160">
        <f>IF(R$46=$C$9,$C$14*$C$29,0)</f>
        <v/>
      </c>
      <c r="S64" s="160">
        <f>IF(S$46=$C$9,$C$14*$C$29,0)</f>
        <v/>
      </c>
      <c r="T64" s="160">
        <f>IF(T$46=$C$9,$C$14*$C$29,0)</f>
        <v/>
      </c>
      <c r="U64" s="160">
        <f>IF(U$46=$C$9,$C$14*$C$29,0)</f>
        <v/>
      </c>
      <c r="V64" s="160">
        <f>IF(V$46=$C$9,$C$14*$C$29,0)</f>
        <v/>
      </c>
      <c r="W64" s="160">
        <f>IF(W$46=$C$9,$C$14*$C$29,0)</f>
        <v/>
      </c>
      <c r="X64" s="160">
        <f>IF(X$46=$C$9,$C$14*$C$29,0)</f>
        <v/>
      </c>
      <c r="Y64" s="160">
        <f>IF(Y$46=$C$9,$C$14*$C$29,0)</f>
        <v/>
      </c>
      <c r="Z64" s="160">
        <f>IF(Z$46=$C$9,$C$14*$C$29,0)</f>
        <v/>
      </c>
      <c r="AA64" s="160">
        <f>IF(AA$46=$C$9,$C$14*$C$29,0)</f>
        <v/>
      </c>
      <c r="AB64" s="160">
        <f>IF(AB$46=$C$9,$C$14*$C$29,0)</f>
        <v/>
      </c>
      <c r="AC64" s="160">
        <f>IF(AC$46=$C$9,$C$14*$C$29,0)</f>
        <v/>
      </c>
      <c r="AD64" s="160">
        <f>IF(AD$46=$C$9,$C$14*$C$29,0)</f>
        <v/>
      </c>
      <c r="AE64" s="160">
        <f>IF(AE$46=$C$9,$C$14*$C$29,0)</f>
        <v/>
      </c>
      <c r="AF64" s="160">
        <f>IF(AF$46=$C$9,$C$14*$C$29,0)</f>
        <v/>
      </c>
      <c r="AG64" s="160">
        <f>IF(AG$46=$C$9,$C$14*$C$29,0)</f>
        <v/>
      </c>
      <c r="AH64" s="160">
        <f>IF(AH$46=$C$9,$C$14*$C$29,0)</f>
        <v/>
      </c>
      <c r="AI64" s="160">
        <f>IF(AI$46=$C$9,$C$14*$C$29,0)</f>
        <v/>
      </c>
      <c r="AJ64" s="160">
        <f>IF(AJ$46=$C$9,$C$14*$C$29,0)</f>
        <v/>
      </c>
      <c r="AK64" s="160">
        <f>IF(AK$46=$C$9,$C$14*$C$29,0)</f>
        <v/>
      </c>
      <c r="AL64" s="160">
        <f>IF(AL$46=$C$9,$C$14*$C$29,0)</f>
        <v/>
      </c>
      <c r="AM64" s="160">
        <f>IF(AM$46=$C$9,$C$14*$C$29,0)</f>
        <v/>
      </c>
      <c r="AN64" s="160">
        <f>IF(AN$46=$C$9,$C$14*$C$29,0)</f>
        <v/>
      </c>
      <c r="AO64" s="160">
        <f>IF(AO$46=$C$9,$C$14*$C$29,0)</f>
        <v/>
      </c>
      <c r="AP64" s="160">
        <f>IF(AP$46=$C$9,$C$14*$C$29,0)</f>
        <v/>
      </c>
      <c r="AQ64" s="160">
        <f>IF(AQ$46=$C$9,$C$14*$C$29,0)</f>
        <v/>
      </c>
      <c r="AR64" s="160">
        <f>IF(AR$46=$C$9,$C$14*$C$29,0)</f>
        <v/>
      </c>
      <c r="AS64" s="160">
        <f>IF(AS$46=$C$9,$C$14*$C$29,0)</f>
        <v/>
      </c>
      <c r="AT64" s="160">
        <f>IF(AT$46=$C$9,$C$14*$C$29,0)</f>
        <v/>
      </c>
      <c r="AU64" s="160">
        <f>IF(AU$46=$C$9,$C$14*$C$29,0)</f>
        <v/>
      </c>
      <c r="AV64" s="160">
        <f>IF(AV$46=$C$9,$C$14*$C$29,0)</f>
        <v/>
      </c>
      <c r="AW64" s="160">
        <f>IF(AW$46=$C$9,$C$14*$C$29,0)</f>
        <v/>
      </c>
      <c r="AX64" s="160">
        <f>IF(AX$46=$C$9,$C$14*$C$29,0)</f>
        <v/>
      </c>
      <c r="AY64" s="160">
        <f>IF(AY$46=$C$9,$C$14*$C$29,0)</f>
        <v/>
      </c>
      <c r="AZ64" s="160">
        <f>IF(AZ$46=$C$9,$C$14*$C$29,0)</f>
        <v/>
      </c>
      <c r="BA64" s="160">
        <f>IF(BA$46=$C$9,$C$14*$C$29,0)</f>
        <v/>
      </c>
      <c r="BB64" s="160">
        <f>IF(BB$46=$C$9,$C$14*$C$29,0)</f>
        <v/>
      </c>
    </row>
    <row r="65" ht="15" customHeight="1" s="91">
      <c r="B65" s="153" t="inlineStr">
        <is>
          <t>Management Fee  رسوم الإدارة (% of Fund Assets)</t>
        </is>
      </c>
      <c r="C65" s="153" t="inlineStr">
        <is>
          <t>SAR</t>
        </is>
      </c>
      <c r="D65" s="160">
        <f>SUM(E65:BB65)</f>
        <v/>
      </c>
      <c r="E65" s="160">
        <f>MIN(Inputs!C$142,IF(AND(E$46&gt;=$C$9,E$46&lt;=$C$41),$C$18*$C$30,0))</f>
        <v/>
      </c>
      <c r="F65" s="160">
        <f>MIN(Inputs!C$142,IF(AND(F$46&gt;=$C$9,F$46&lt;=$C$41),$C$18*$C$30,0))</f>
        <v/>
      </c>
      <c r="G65" s="160">
        <f>MIN(Inputs!C$142,IF(AND(G$46&gt;=$C$9,G$46&lt;=$C$41),$C$18*$C$30,0))</f>
        <v/>
      </c>
      <c r="H65" s="160">
        <f>MIN(Inputs!C$142,IF(AND(H$46&gt;=$C$9,H$46&lt;=$C$41),$C$18*$C$30,0))</f>
        <v/>
      </c>
      <c r="I65" s="160">
        <f>MIN(Inputs!C$142,IF(AND(I$46&gt;=$C$9,I$46&lt;=$C$41),$C$18*$C$30,0))</f>
        <v/>
      </c>
      <c r="J65" s="160">
        <f>MIN(Inputs!C$142,IF(AND(J$46&gt;=$C$9,J$46&lt;=$C$41),$C$18*$C$30,0))</f>
        <v/>
      </c>
      <c r="K65" s="160">
        <f>MIN(Inputs!C$142,IF(AND(K$46&gt;=$C$9,K$46&lt;=$C$41),$C$18*$C$30,0))</f>
        <v/>
      </c>
      <c r="L65" s="160">
        <f>MIN(Inputs!C$142,IF(AND(L$46&gt;=$C$9,L$46&lt;=$C$41),$C$18*$C$30,0))</f>
        <v/>
      </c>
      <c r="M65" s="160">
        <f>MIN(Inputs!C$142,IF(AND(M$46&gt;=$C$9,M$46&lt;=$C$41),$C$18*$C$30,0))</f>
        <v/>
      </c>
      <c r="N65" s="160">
        <f>MIN(Inputs!C$142,IF(AND(N$46&gt;=$C$9,N$46&lt;=$C$41),$C$18*$C$30,0))</f>
        <v/>
      </c>
      <c r="O65" s="160">
        <f>MIN(Inputs!C$142,IF(AND(O$46&gt;=$C$9,O$46&lt;=$C$41),$C$18*$C$30,0))</f>
        <v/>
      </c>
      <c r="P65" s="160">
        <f>MIN(Inputs!C$142,IF(AND(P$46&gt;=$C$9,P$46&lt;=$C$41),$C$18*$C$30,0))</f>
        <v/>
      </c>
      <c r="Q65" s="160">
        <f>MIN(Inputs!C$142,IF(AND(Q$46&gt;=$C$9,Q$46&lt;=$C$41),$C$18*$C$30,0))</f>
        <v/>
      </c>
      <c r="R65" s="160">
        <f>MIN(Inputs!C$142,IF(AND(R$46&gt;=$C$9,R$46&lt;=$C$41),$C$18*$C$30,0))</f>
        <v/>
      </c>
      <c r="S65" s="160">
        <f>MIN(Inputs!C$142,IF(AND(S$46&gt;=$C$9,S$46&lt;=$C$41),$C$18*$C$30,0))</f>
        <v/>
      </c>
      <c r="T65" s="160">
        <f>MIN(Inputs!C$142,IF(AND(T$46&gt;=$C$9,T$46&lt;=$C$41),$C$18*$C$30,0))</f>
        <v/>
      </c>
      <c r="U65" s="160">
        <f>MIN(Inputs!C$142,IF(AND(U$46&gt;=$C$9,U$46&lt;=$C$41),$C$18*$C$30,0))</f>
        <v/>
      </c>
      <c r="V65" s="160">
        <f>MIN(Inputs!C$142,IF(AND(V$46&gt;=$C$9,V$46&lt;=$C$41),$C$18*$C$30,0))</f>
        <v/>
      </c>
      <c r="W65" s="160">
        <f>MIN(Inputs!C$142,IF(AND(W$46&gt;=$C$9,W$46&lt;=$C$41),$C$18*$C$30,0))</f>
        <v/>
      </c>
      <c r="X65" s="160">
        <f>MIN(Inputs!C$142,IF(AND(X$46&gt;=$C$9,X$46&lt;=$C$41),$C$18*$C$30,0))</f>
        <v/>
      </c>
      <c r="Y65" s="160">
        <f>MIN(Inputs!C$142,IF(AND(Y$46&gt;=$C$9,Y$46&lt;=$C$41),$C$18*$C$30,0))</f>
        <v/>
      </c>
      <c r="Z65" s="160">
        <f>MIN(Inputs!C$142,IF(AND(Z$46&gt;=$C$9,Z$46&lt;=$C$41),$C$18*$C$30,0))</f>
        <v/>
      </c>
      <c r="AA65" s="160">
        <f>MIN(Inputs!C$142,IF(AND(AA$46&gt;=$C$9,AA$46&lt;=$C$41),$C$18*$C$30,0))</f>
        <v/>
      </c>
      <c r="AB65" s="160">
        <f>MIN(Inputs!C$142,IF(AND(AB$46&gt;=$C$9,AB$46&lt;=$C$41),$C$18*$C$30,0))</f>
        <v/>
      </c>
      <c r="AC65" s="160">
        <f>MIN(Inputs!C$142,IF(AND(AC$46&gt;=$C$9,AC$46&lt;=$C$41),$C$18*$C$30,0))</f>
        <v/>
      </c>
      <c r="AD65" s="160">
        <f>MIN(Inputs!C$142,IF(AND(AD$46&gt;=$C$9,AD$46&lt;=$C$41),$C$18*$C$30,0))</f>
        <v/>
      </c>
      <c r="AE65" s="160">
        <f>MIN(Inputs!C$142,IF(AND(AE$46&gt;=$C$9,AE$46&lt;=$C$41),$C$18*$C$30,0))</f>
        <v/>
      </c>
      <c r="AF65" s="160">
        <f>MIN(Inputs!C$142,IF(AND(AF$46&gt;=$C$9,AF$46&lt;=$C$41),$C$18*$C$30,0))</f>
        <v/>
      </c>
      <c r="AG65" s="160">
        <f>MIN(Inputs!C$142,IF(AND(AG$46&gt;=$C$9,AG$46&lt;=$C$41),$C$18*$C$30,0))</f>
        <v/>
      </c>
      <c r="AH65" s="160">
        <f>MIN(Inputs!C$142,IF(AND(AH$46&gt;=$C$9,AH$46&lt;=$C$41),$C$18*$C$30,0))</f>
        <v/>
      </c>
      <c r="AI65" s="160">
        <f>MIN(Inputs!C$142,IF(AND(AI$46&gt;=$C$9,AI$46&lt;=$C$41),$C$18*$C$30,0))</f>
        <v/>
      </c>
      <c r="AJ65" s="160">
        <f>MIN(Inputs!C$142,IF(AND(AJ$46&gt;=$C$9,AJ$46&lt;=$C$41),$C$18*$C$30,0))</f>
        <v/>
      </c>
      <c r="AK65" s="160">
        <f>MIN(Inputs!C$142,IF(AND(AK$46&gt;=$C$9,AK$46&lt;=$C$41),$C$18*$C$30,0))</f>
        <v/>
      </c>
      <c r="AL65" s="160">
        <f>MIN(Inputs!C$142,IF(AND(AL$46&gt;=$C$9,AL$46&lt;=$C$41),$C$18*$C$30,0))</f>
        <v/>
      </c>
      <c r="AM65" s="160">
        <f>MIN(Inputs!C$142,IF(AND(AM$46&gt;=$C$9,AM$46&lt;=$C$41),$C$18*$C$30,0))</f>
        <v/>
      </c>
      <c r="AN65" s="160">
        <f>MIN(Inputs!C$142,IF(AND(AN$46&gt;=$C$9,AN$46&lt;=$C$41),$C$18*$C$30,0))</f>
        <v/>
      </c>
      <c r="AO65" s="160">
        <f>MIN(Inputs!C$142,IF(AND(AO$46&gt;=$C$9,AO$46&lt;=$C$41),$C$18*$C$30,0))</f>
        <v/>
      </c>
      <c r="AP65" s="160">
        <f>MIN(Inputs!C$142,IF(AND(AP$46&gt;=$C$9,AP$46&lt;=$C$41),$C$18*$C$30,0))</f>
        <v/>
      </c>
      <c r="AQ65" s="160">
        <f>MIN(Inputs!C$142,IF(AND(AQ$46&gt;=$C$9,AQ$46&lt;=$C$41),$C$18*$C$30,0))</f>
        <v/>
      </c>
      <c r="AR65" s="160">
        <f>MIN(Inputs!C$142,IF(AND(AR$46&gt;=$C$9,AR$46&lt;=$C$41),$C$18*$C$30,0))</f>
        <v/>
      </c>
      <c r="AS65" s="160">
        <f>MIN(Inputs!C$142,IF(AND(AS$46&gt;=$C$9,AS$46&lt;=$C$41),$C$18*$C$30,0))</f>
        <v/>
      </c>
      <c r="AT65" s="160">
        <f>MIN(Inputs!C$142,IF(AND(AT$46&gt;=$C$9,AT$46&lt;=$C$41),$C$18*$C$30,0))</f>
        <v/>
      </c>
      <c r="AU65" s="160">
        <f>MIN(Inputs!C$142,IF(AND(AU$46&gt;=$C$9,AU$46&lt;=$C$41),$C$18*$C$30,0))</f>
        <v/>
      </c>
      <c r="AV65" s="160">
        <f>MIN(Inputs!C$142,IF(AND(AV$46&gt;=$C$9,AV$46&lt;=$C$41),$C$18*$C$30,0))</f>
        <v/>
      </c>
      <c r="AW65" s="160">
        <f>MIN(Inputs!C$142,IF(AND(AW$46&gt;=$C$9,AW$46&lt;=$C$41),$C$18*$C$30,0))</f>
        <v/>
      </c>
      <c r="AX65" s="160">
        <f>MIN(Inputs!C$142,IF(AND(AX$46&gt;=$C$9,AX$46&lt;=$C$41),$C$18*$C$30,0))</f>
        <v/>
      </c>
      <c r="AY65" s="160">
        <f>MIN(Inputs!C$142,IF(AND(AY$46&gt;=$C$9,AY$46&lt;=$C$41),$C$18*$C$30,0))</f>
        <v/>
      </c>
      <c r="AZ65" s="160">
        <f>MIN(Inputs!C$142,IF(AND(AZ$46&gt;=$C$9,AZ$46&lt;=$C$41),$C$18*$C$30,0))</f>
        <v/>
      </c>
      <c r="BA65" s="160">
        <f>MIN(Inputs!C$142,IF(AND(BA$46&gt;=$C$9,BA$46&lt;=$C$41),$C$18*$C$30,0))</f>
        <v/>
      </c>
      <c r="BB65" s="160">
        <f>MIN(Inputs!C$142,IF(AND(BB$46&gt;=$C$9,BB$46&lt;=$C$41),$C$18*$C$30,0))</f>
        <v/>
      </c>
    </row>
    <row r="66" ht="15" customHeight="1" s="91">
      <c r="B66" s="153" t="inlineStr">
        <is>
          <t>Custody Fee  رسوم الحفظ</t>
        </is>
      </c>
      <c r="C66" s="153" t="inlineStr">
        <is>
          <t>SAR</t>
        </is>
      </c>
      <c r="D66" s="160">
        <f>SUM(E66:BB66)</f>
        <v/>
      </c>
      <c r="E66" s="160">
        <f>IF(AND($C$17&gt;0,E$46&gt;=$C$9,E$46&lt;=$C$41),$C$31,0)</f>
        <v/>
      </c>
      <c r="F66" s="160">
        <f>IF(AND($C$17&gt;0,F$46&gt;=$C$9,F$46&lt;=$C$41),$C$31,0)</f>
        <v/>
      </c>
      <c r="G66" s="160">
        <f>IF(AND($C$17&gt;0,G$46&gt;=$C$9,G$46&lt;=$C$41),$C$31,0)</f>
        <v/>
      </c>
      <c r="H66" s="160">
        <f>IF(AND($C$17&gt;0,H$46&gt;=$C$9,H$46&lt;=$C$41),$C$31,0)</f>
        <v/>
      </c>
      <c r="I66" s="160">
        <f>IF(AND($C$17&gt;0,I$46&gt;=$C$9,I$46&lt;=$C$41),$C$31,0)</f>
        <v/>
      </c>
      <c r="J66" s="160">
        <f>IF(AND($C$17&gt;0,J$46&gt;=$C$9,J$46&lt;=$C$41),$C$31,0)</f>
        <v/>
      </c>
      <c r="K66" s="160">
        <f>IF(AND($C$17&gt;0,K$46&gt;=$C$9,K$46&lt;=$C$41),$C$31,0)</f>
        <v/>
      </c>
      <c r="L66" s="160">
        <f>IF(AND($C$17&gt;0,L$46&gt;=$C$9,L$46&lt;=$C$41),$C$31,0)</f>
        <v/>
      </c>
      <c r="M66" s="160">
        <f>IF(AND($C$17&gt;0,M$46&gt;=$C$9,M$46&lt;=$C$41),$C$31,0)</f>
        <v/>
      </c>
      <c r="N66" s="160">
        <f>IF(AND($C$17&gt;0,N$46&gt;=$C$9,N$46&lt;=$C$41),$C$31,0)</f>
        <v/>
      </c>
      <c r="O66" s="160">
        <f>IF(AND($C$17&gt;0,O$46&gt;=$C$9,O$46&lt;=$C$41),$C$31,0)</f>
        <v/>
      </c>
      <c r="P66" s="160">
        <f>IF(AND($C$17&gt;0,P$46&gt;=$C$9,P$46&lt;=$C$41),$C$31,0)</f>
        <v/>
      </c>
      <c r="Q66" s="160">
        <f>IF(AND($C$17&gt;0,Q$46&gt;=$C$9,Q$46&lt;=$C$41),$C$31,0)</f>
        <v/>
      </c>
      <c r="R66" s="160">
        <f>IF(AND($C$17&gt;0,R$46&gt;=$C$9,R$46&lt;=$C$41),$C$31,0)</f>
        <v/>
      </c>
      <c r="S66" s="160">
        <f>IF(AND($C$17&gt;0,S$46&gt;=$C$9,S$46&lt;=$C$41),$C$31,0)</f>
        <v/>
      </c>
      <c r="T66" s="160">
        <f>IF(AND($C$17&gt;0,T$46&gt;=$C$9,T$46&lt;=$C$41),$C$31,0)</f>
        <v/>
      </c>
      <c r="U66" s="160">
        <f>IF(AND($C$17&gt;0,U$46&gt;=$C$9,U$46&lt;=$C$41),$C$31,0)</f>
        <v/>
      </c>
      <c r="V66" s="160">
        <f>IF(AND($C$17&gt;0,V$46&gt;=$C$9,V$46&lt;=$C$41),$C$31,0)</f>
        <v/>
      </c>
      <c r="W66" s="160">
        <f>IF(AND($C$17&gt;0,W$46&gt;=$C$9,W$46&lt;=$C$41),$C$31,0)</f>
        <v/>
      </c>
      <c r="X66" s="160">
        <f>IF(AND($C$17&gt;0,X$46&gt;=$C$9,X$46&lt;=$C$41),$C$31,0)</f>
        <v/>
      </c>
      <c r="Y66" s="160">
        <f>IF(AND($C$17&gt;0,Y$46&gt;=$C$9,Y$46&lt;=$C$41),$C$31,0)</f>
        <v/>
      </c>
      <c r="Z66" s="160">
        <f>IF(AND($C$17&gt;0,Z$46&gt;=$C$9,Z$46&lt;=$C$41),$C$31,0)</f>
        <v/>
      </c>
      <c r="AA66" s="160">
        <f>IF(AND($C$17&gt;0,AA$46&gt;=$C$9,AA$46&lt;=$C$41),$C$31,0)</f>
        <v/>
      </c>
      <c r="AB66" s="160">
        <f>IF(AND($C$17&gt;0,AB$46&gt;=$C$9,AB$46&lt;=$C$41),$C$31,0)</f>
        <v/>
      </c>
      <c r="AC66" s="160">
        <f>IF(AND($C$17&gt;0,AC$46&gt;=$C$9,AC$46&lt;=$C$41),$C$31,0)</f>
        <v/>
      </c>
      <c r="AD66" s="160">
        <f>IF(AND($C$17&gt;0,AD$46&gt;=$C$9,AD$46&lt;=$C$41),$C$31,0)</f>
        <v/>
      </c>
      <c r="AE66" s="160">
        <f>IF(AND($C$17&gt;0,AE$46&gt;=$C$9,AE$46&lt;=$C$41),$C$31,0)</f>
        <v/>
      </c>
      <c r="AF66" s="160">
        <f>IF(AND($C$17&gt;0,AF$46&gt;=$C$9,AF$46&lt;=$C$41),$C$31,0)</f>
        <v/>
      </c>
      <c r="AG66" s="160">
        <f>IF(AND($C$17&gt;0,AG$46&gt;=$C$9,AG$46&lt;=$C$41),$C$31,0)</f>
        <v/>
      </c>
      <c r="AH66" s="160">
        <f>IF(AND($C$17&gt;0,AH$46&gt;=$C$9,AH$46&lt;=$C$41),$C$31,0)</f>
        <v/>
      </c>
      <c r="AI66" s="160">
        <f>IF(AND($C$17&gt;0,AI$46&gt;=$C$9,AI$46&lt;=$C$41),$C$31,0)</f>
        <v/>
      </c>
      <c r="AJ66" s="160">
        <f>IF(AND($C$17&gt;0,AJ$46&gt;=$C$9,AJ$46&lt;=$C$41),$C$31,0)</f>
        <v/>
      </c>
      <c r="AK66" s="160">
        <f>IF(AND($C$17&gt;0,AK$46&gt;=$C$9,AK$46&lt;=$C$41),$C$31,0)</f>
        <v/>
      </c>
      <c r="AL66" s="160">
        <f>IF(AND($C$17&gt;0,AL$46&gt;=$C$9,AL$46&lt;=$C$41),$C$31,0)</f>
        <v/>
      </c>
      <c r="AM66" s="160">
        <f>IF(AND($C$17&gt;0,AM$46&gt;=$C$9,AM$46&lt;=$C$41),$C$31,0)</f>
        <v/>
      </c>
      <c r="AN66" s="160">
        <f>IF(AND($C$17&gt;0,AN$46&gt;=$C$9,AN$46&lt;=$C$41),$C$31,0)</f>
        <v/>
      </c>
      <c r="AO66" s="160">
        <f>IF(AND($C$17&gt;0,AO$46&gt;=$C$9,AO$46&lt;=$C$41),$C$31,0)</f>
        <v/>
      </c>
      <c r="AP66" s="160">
        <f>IF(AND($C$17&gt;0,AP$46&gt;=$C$9,AP$46&lt;=$C$41),$C$31,0)</f>
        <v/>
      </c>
      <c r="AQ66" s="160">
        <f>IF(AND($C$17&gt;0,AQ$46&gt;=$C$9,AQ$46&lt;=$C$41),$C$31,0)</f>
        <v/>
      </c>
      <c r="AR66" s="160">
        <f>IF(AND($C$17&gt;0,AR$46&gt;=$C$9,AR$46&lt;=$C$41),$C$31,0)</f>
        <v/>
      </c>
      <c r="AS66" s="160">
        <f>IF(AND($C$17&gt;0,AS$46&gt;=$C$9,AS$46&lt;=$C$41),$C$31,0)</f>
        <v/>
      </c>
      <c r="AT66" s="160">
        <f>IF(AND($C$17&gt;0,AT$46&gt;=$C$9,AT$46&lt;=$C$41),$C$31,0)</f>
        <v/>
      </c>
      <c r="AU66" s="160">
        <f>IF(AND($C$17&gt;0,AU$46&gt;=$C$9,AU$46&lt;=$C$41),$C$31,0)</f>
        <v/>
      </c>
      <c r="AV66" s="160">
        <f>IF(AND($C$17&gt;0,AV$46&gt;=$C$9,AV$46&lt;=$C$41),$C$31,0)</f>
        <v/>
      </c>
      <c r="AW66" s="160">
        <f>IF(AND($C$17&gt;0,AW$46&gt;=$C$9,AW$46&lt;=$C$41),$C$31,0)</f>
        <v/>
      </c>
      <c r="AX66" s="160">
        <f>IF(AND($C$17&gt;0,AX$46&gt;=$C$9,AX$46&lt;=$C$41),$C$31,0)</f>
        <v/>
      </c>
      <c r="AY66" s="160">
        <f>IF(AND($C$17&gt;0,AY$46&gt;=$C$9,AY$46&lt;=$C$41),$C$31,0)</f>
        <v/>
      </c>
      <c r="AZ66" s="160">
        <f>IF(AND($C$17&gt;0,AZ$46&gt;=$C$9,AZ$46&lt;=$C$41),$C$31,0)</f>
        <v/>
      </c>
      <c r="BA66" s="160">
        <f>IF(AND($C$17&gt;0,BA$46&gt;=$C$9,BA$46&lt;=$C$41),$C$31,0)</f>
        <v/>
      </c>
      <c r="BB66" s="160">
        <f>IF(AND($C$17&gt;0,BB$46&gt;=$C$9,BB$46&lt;=$C$41),$C$31,0)</f>
        <v/>
      </c>
    </row>
    <row r="67" ht="15" customHeight="1" s="91">
      <c r="B67" s="153" t="inlineStr">
        <is>
          <t>Developer Fee  رسوم المطور</t>
        </is>
      </c>
      <c r="C67" s="153" t="inlineStr">
        <is>
          <t>SAR</t>
        </is>
      </c>
      <c r="D67" s="160">
        <f>SUM(E67:BB67)</f>
        <v/>
      </c>
      <c r="E67" s="160">
        <f>IF(AND(E49&lt;0,E$46&gt;=$C$9,E$46&lt;=$C$41),ABS(E49)*$C$32,0)</f>
        <v/>
      </c>
      <c r="F67" s="160">
        <f>IF(AND(F49&lt;0,F$46&gt;=$C$9,F$46&lt;=$C$41),ABS(F49)*$C$32,0)</f>
        <v/>
      </c>
      <c r="G67" s="160">
        <f>IF(AND(G49&lt;0,G$46&gt;=$C$9,G$46&lt;=$C$41),ABS(G49)*$C$32,0)</f>
        <v/>
      </c>
      <c r="H67" s="160">
        <f>IF(AND(H49&lt;0,H$46&gt;=$C$9,H$46&lt;=$C$41),ABS(H49)*$C$32,0)</f>
        <v/>
      </c>
      <c r="I67" s="160">
        <f>IF(AND(I49&lt;0,I$46&gt;=$C$9,I$46&lt;=$C$41),ABS(I49)*$C$32,0)</f>
        <v/>
      </c>
      <c r="J67" s="160">
        <f>IF(AND(J49&lt;0,J$46&gt;=$C$9,J$46&lt;=$C$41),ABS(J49)*$C$32,0)</f>
        <v/>
      </c>
      <c r="K67" s="160">
        <f>IF(AND(K49&lt;0,K$46&gt;=$C$9,K$46&lt;=$C$41),ABS(K49)*$C$32,0)</f>
        <v/>
      </c>
      <c r="L67" s="160">
        <f>IF(AND(L49&lt;0,L$46&gt;=$C$9,L$46&lt;=$C$41),ABS(L49)*$C$32,0)</f>
        <v/>
      </c>
      <c r="M67" s="160">
        <f>IF(AND(M49&lt;0,M$46&gt;=$C$9,M$46&lt;=$C$41),ABS(M49)*$C$32,0)</f>
        <v/>
      </c>
      <c r="N67" s="160">
        <f>IF(AND(N49&lt;0,N$46&gt;=$C$9,N$46&lt;=$C$41),ABS(N49)*$C$32,0)</f>
        <v/>
      </c>
      <c r="O67" s="160">
        <f>IF(AND(O49&lt;0,O$46&gt;=$C$9,O$46&lt;=$C$41),ABS(O49)*$C$32,0)</f>
        <v/>
      </c>
      <c r="P67" s="160">
        <f>IF(AND(P49&lt;0,P$46&gt;=$C$9,P$46&lt;=$C$41),ABS(P49)*$C$32,0)</f>
        <v/>
      </c>
      <c r="Q67" s="160">
        <f>IF(AND(Q49&lt;0,Q$46&gt;=$C$9,Q$46&lt;=$C$41),ABS(Q49)*$C$32,0)</f>
        <v/>
      </c>
      <c r="R67" s="160">
        <f>IF(AND(R49&lt;0,R$46&gt;=$C$9,R$46&lt;=$C$41),ABS(R49)*$C$32,0)</f>
        <v/>
      </c>
      <c r="S67" s="160">
        <f>IF(AND(S49&lt;0,S$46&gt;=$C$9,S$46&lt;=$C$41),ABS(S49)*$C$32,0)</f>
        <v/>
      </c>
      <c r="T67" s="160">
        <f>IF(AND(T49&lt;0,T$46&gt;=$C$9,T$46&lt;=$C$41),ABS(T49)*$C$32,0)</f>
        <v/>
      </c>
      <c r="U67" s="160">
        <f>IF(AND(U49&lt;0,U$46&gt;=$C$9,U$46&lt;=$C$41),ABS(U49)*$C$32,0)</f>
        <v/>
      </c>
      <c r="V67" s="160">
        <f>IF(AND(V49&lt;0,V$46&gt;=$C$9,V$46&lt;=$C$41),ABS(V49)*$C$32,0)</f>
        <v/>
      </c>
      <c r="W67" s="160">
        <f>IF(AND(W49&lt;0,W$46&gt;=$C$9,W$46&lt;=$C$41),ABS(W49)*$C$32,0)</f>
        <v/>
      </c>
      <c r="X67" s="160">
        <f>IF(AND(X49&lt;0,X$46&gt;=$C$9,X$46&lt;=$C$41),ABS(X49)*$C$32,0)</f>
        <v/>
      </c>
      <c r="Y67" s="160">
        <f>IF(AND(Y49&lt;0,Y$46&gt;=$C$9,Y$46&lt;=$C$41),ABS(Y49)*$C$32,0)</f>
        <v/>
      </c>
      <c r="Z67" s="160">
        <f>IF(AND(Z49&lt;0,Z$46&gt;=$C$9,Z$46&lt;=$C$41),ABS(Z49)*$C$32,0)</f>
        <v/>
      </c>
      <c r="AA67" s="160">
        <f>IF(AND(AA49&lt;0,AA$46&gt;=$C$9,AA$46&lt;=$C$41),ABS(AA49)*$C$32,0)</f>
        <v/>
      </c>
      <c r="AB67" s="160">
        <f>IF(AND(AB49&lt;0,AB$46&gt;=$C$9,AB$46&lt;=$C$41),ABS(AB49)*$C$32,0)</f>
        <v/>
      </c>
      <c r="AC67" s="160">
        <f>IF(AND(AC49&lt;0,AC$46&gt;=$C$9,AC$46&lt;=$C$41),ABS(AC49)*$C$32,0)</f>
        <v/>
      </c>
      <c r="AD67" s="160">
        <f>IF(AND(AD49&lt;0,AD$46&gt;=$C$9,AD$46&lt;=$C$41),ABS(AD49)*$C$32,0)</f>
        <v/>
      </c>
      <c r="AE67" s="160">
        <f>IF(AND(AE49&lt;0,AE$46&gt;=$C$9,AE$46&lt;=$C$41),ABS(AE49)*$C$32,0)</f>
        <v/>
      </c>
      <c r="AF67" s="160">
        <f>IF(AND(AF49&lt;0,AF$46&gt;=$C$9,AF$46&lt;=$C$41),ABS(AF49)*$C$32,0)</f>
        <v/>
      </c>
      <c r="AG67" s="160">
        <f>IF(AND(AG49&lt;0,AG$46&gt;=$C$9,AG$46&lt;=$C$41),ABS(AG49)*$C$32,0)</f>
        <v/>
      </c>
      <c r="AH67" s="160">
        <f>IF(AND(AH49&lt;0,AH$46&gt;=$C$9,AH$46&lt;=$C$41),ABS(AH49)*$C$32,0)</f>
        <v/>
      </c>
      <c r="AI67" s="160">
        <f>IF(AND(AI49&lt;0,AI$46&gt;=$C$9,AI$46&lt;=$C$41),ABS(AI49)*$C$32,0)</f>
        <v/>
      </c>
      <c r="AJ67" s="160">
        <f>IF(AND(AJ49&lt;0,AJ$46&gt;=$C$9,AJ$46&lt;=$C$41),ABS(AJ49)*$C$32,0)</f>
        <v/>
      </c>
      <c r="AK67" s="160">
        <f>IF(AND(AK49&lt;0,AK$46&gt;=$C$9,AK$46&lt;=$C$41),ABS(AK49)*$C$32,0)</f>
        <v/>
      </c>
      <c r="AL67" s="160">
        <f>IF(AND(AL49&lt;0,AL$46&gt;=$C$9,AL$46&lt;=$C$41),ABS(AL49)*$C$32,0)</f>
        <v/>
      </c>
      <c r="AM67" s="160">
        <f>IF(AND(AM49&lt;0,AM$46&gt;=$C$9,AM$46&lt;=$C$41),ABS(AM49)*$C$32,0)</f>
        <v/>
      </c>
      <c r="AN67" s="160">
        <f>IF(AND(AN49&lt;0,AN$46&gt;=$C$9,AN$46&lt;=$C$41),ABS(AN49)*$C$32,0)</f>
        <v/>
      </c>
      <c r="AO67" s="160">
        <f>IF(AND(AO49&lt;0,AO$46&gt;=$C$9,AO$46&lt;=$C$41),ABS(AO49)*$C$32,0)</f>
        <v/>
      </c>
      <c r="AP67" s="160">
        <f>IF(AND(AP49&lt;0,AP$46&gt;=$C$9,AP$46&lt;=$C$41),ABS(AP49)*$C$32,0)</f>
        <v/>
      </c>
      <c r="AQ67" s="160">
        <f>IF(AND(AQ49&lt;0,AQ$46&gt;=$C$9,AQ$46&lt;=$C$41),ABS(AQ49)*$C$32,0)</f>
        <v/>
      </c>
      <c r="AR67" s="160">
        <f>IF(AND(AR49&lt;0,AR$46&gt;=$C$9,AR$46&lt;=$C$41),ABS(AR49)*$C$32,0)</f>
        <v/>
      </c>
      <c r="AS67" s="160">
        <f>IF(AND(AS49&lt;0,AS$46&gt;=$C$9,AS$46&lt;=$C$41),ABS(AS49)*$C$32,0)</f>
        <v/>
      </c>
      <c r="AT67" s="160">
        <f>IF(AND(AT49&lt;0,AT$46&gt;=$C$9,AT$46&lt;=$C$41),ABS(AT49)*$C$32,0)</f>
        <v/>
      </c>
      <c r="AU67" s="160">
        <f>IF(AND(AU49&lt;0,AU$46&gt;=$C$9,AU$46&lt;=$C$41),ABS(AU49)*$C$32,0)</f>
        <v/>
      </c>
      <c r="AV67" s="160">
        <f>IF(AND(AV49&lt;0,AV$46&gt;=$C$9,AV$46&lt;=$C$41),ABS(AV49)*$C$32,0)</f>
        <v/>
      </c>
      <c r="AW67" s="160">
        <f>IF(AND(AW49&lt;0,AW$46&gt;=$C$9,AW$46&lt;=$C$41),ABS(AW49)*$C$32,0)</f>
        <v/>
      </c>
      <c r="AX67" s="160">
        <f>IF(AND(AX49&lt;0,AX$46&gt;=$C$9,AX$46&lt;=$C$41),ABS(AX49)*$C$32,0)</f>
        <v/>
      </c>
      <c r="AY67" s="160">
        <f>IF(AND(AY49&lt;0,AY$46&gt;=$C$9,AY$46&lt;=$C$41),ABS(AY49)*$C$32,0)</f>
        <v/>
      </c>
      <c r="AZ67" s="160">
        <f>IF(AND(AZ49&lt;0,AZ$46&gt;=$C$9,AZ$46&lt;=$C$41),ABS(AZ49)*$C$32,0)</f>
        <v/>
      </c>
      <c r="BA67" s="160">
        <f>IF(AND(BA49&lt;0,BA$46&gt;=$C$9,BA$46&lt;=$C$41),ABS(BA49)*$C$32,0)</f>
        <v/>
      </c>
      <c r="BB67" s="160">
        <f>IF(AND(BB49&lt;0,BB$46&gt;=$C$9,BB$46&lt;=$C$41),ABS(BB49)*$C$32,0)</f>
        <v/>
      </c>
    </row>
    <row r="68" ht="15" customHeight="1" s="91">
      <c r="B68" s="153" t="inlineStr">
        <is>
          <t>Structuring Fee  رسوم الهيكلة</t>
        </is>
      </c>
      <c r="C68" s="153" t="inlineStr">
        <is>
          <t>SAR</t>
        </is>
      </c>
      <c r="D68" s="160">
        <f>SUM(E68:BB68)</f>
        <v/>
      </c>
      <c r="E68" s="160">
        <f>IF(E$46=$C$9,MIN(Inputs!C$143,ABS($D$49)*$C$33),0)</f>
        <v/>
      </c>
      <c r="F68" s="160">
        <f>IF(F$46=$C$9,MIN(Inputs!C$143,ABS($D$49)*$C$33),0)</f>
        <v/>
      </c>
      <c r="G68" s="160">
        <f>IF(G$46=$C$9,MIN(Inputs!C$143,ABS($D$49)*$C$33),0)</f>
        <v/>
      </c>
      <c r="H68" s="160">
        <f>IF(H$46=$C$9,MIN(Inputs!C$143,ABS($D$49)*$C$33),0)</f>
        <v/>
      </c>
      <c r="I68" s="160">
        <f>IF(I$46=$C$9,MIN(Inputs!C$143,ABS($D$49)*$C$33),0)</f>
        <v/>
      </c>
      <c r="J68" s="160">
        <f>IF(J$46=$C$9,MIN(Inputs!C$143,ABS($D$49)*$C$33),0)</f>
        <v/>
      </c>
      <c r="K68" s="160">
        <f>IF(K$46=$C$9,MIN(Inputs!C$143,ABS($D$49)*$C$33),0)</f>
        <v/>
      </c>
      <c r="L68" s="160">
        <f>IF(L$46=$C$9,MIN(Inputs!C$143,ABS($D$49)*$C$33),0)</f>
        <v/>
      </c>
      <c r="M68" s="160">
        <f>IF(M$46=$C$9,MIN(Inputs!C$143,ABS($D$49)*$C$33),0)</f>
        <v/>
      </c>
      <c r="N68" s="160">
        <f>IF(N$46=$C$9,MIN(Inputs!C$143,ABS($D$49)*$C$33),0)</f>
        <v/>
      </c>
      <c r="O68" s="160">
        <f>IF(O$46=$C$9,MIN(Inputs!C$143,ABS($D$49)*$C$33),0)</f>
        <v/>
      </c>
      <c r="P68" s="160">
        <f>IF(P$46=$C$9,MIN(Inputs!C$143,ABS($D$49)*$C$33),0)</f>
        <v/>
      </c>
      <c r="Q68" s="160">
        <f>IF(Q$46=$C$9,MIN(Inputs!C$143,ABS($D$49)*$C$33),0)</f>
        <v/>
      </c>
      <c r="R68" s="160">
        <f>IF(R$46=$C$9,MIN(Inputs!C$143,ABS($D$49)*$C$33),0)</f>
        <v/>
      </c>
      <c r="S68" s="160">
        <f>IF(S$46=$C$9,MIN(Inputs!C$143,ABS($D$49)*$C$33),0)</f>
        <v/>
      </c>
      <c r="T68" s="160">
        <f>IF(T$46=$C$9,MIN(Inputs!C$143,ABS($D$49)*$C$33),0)</f>
        <v/>
      </c>
      <c r="U68" s="160">
        <f>IF(U$46=$C$9,MIN(Inputs!C$143,ABS($D$49)*$C$33),0)</f>
        <v/>
      </c>
      <c r="V68" s="160">
        <f>IF(V$46=$C$9,MIN(Inputs!C$143,ABS($D$49)*$C$33),0)</f>
        <v/>
      </c>
      <c r="W68" s="160">
        <f>IF(W$46=$C$9,MIN(Inputs!C$143,ABS($D$49)*$C$33),0)</f>
        <v/>
      </c>
      <c r="X68" s="160">
        <f>IF(X$46=$C$9,MIN(Inputs!C$143,ABS($D$49)*$C$33),0)</f>
        <v/>
      </c>
      <c r="Y68" s="160">
        <f>IF(Y$46=$C$9,MIN(Inputs!C$143,ABS($D$49)*$C$33),0)</f>
        <v/>
      </c>
      <c r="Z68" s="160">
        <f>IF(Z$46=$C$9,MIN(Inputs!C$143,ABS($D$49)*$C$33),0)</f>
        <v/>
      </c>
      <c r="AA68" s="160">
        <f>IF(AA$46=$C$9,MIN(Inputs!C$143,ABS($D$49)*$C$33),0)</f>
        <v/>
      </c>
      <c r="AB68" s="160">
        <f>IF(AB$46=$C$9,MIN(Inputs!C$143,ABS($D$49)*$C$33),0)</f>
        <v/>
      </c>
      <c r="AC68" s="160">
        <f>IF(AC$46=$C$9,MIN(Inputs!C$143,ABS($D$49)*$C$33),0)</f>
        <v/>
      </c>
      <c r="AD68" s="160">
        <f>IF(AD$46=$C$9,MIN(Inputs!C$143,ABS($D$49)*$C$33),0)</f>
        <v/>
      </c>
      <c r="AE68" s="160">
        <f>IF(AE$46=$C$9,MIN(Inputs!C$143,ABS($D$49)*$C$33),0)</f>
        <v/>
      </c>
      <c r="AF68" s="160">
        <f>IF(AF$46=$C$9,MIN(Inputs!C$143,ABS($D$49)*$C$33),0)</f>
        <v/>
      </c>
      <c r="AG68" s="160">
        <f>IF(AG$46=$C$9,MIN(Inputs!C$143,ABS($D$49)*$C$33),0)</f>
        <v/>
      </c>
      <c r="AH68" s="160">
        <f>IF(AH$46=$C$9,MIN(Inputs!C$143,ABS($D$49)*$C$33),0)</f>
        <v/>
      </c>
      <c r="AI68" s="160">
        <f>IF(AI$46=$C$9,MIN(Inputs!C$143,ABS($D$49)*$C$33),0)</f>
        <v/>
      </c>
      <c r="AJ68" s="160">
        <f>IF(AJ$46=$C$9,MIN(Inputs!C$143,ABS($D$49)*$C$33),0)</f>
        <v/>
      </c>
      <c r="AK68" s="160">
        <f>IF(AK$46=$C$9,MIN(Inputs!C$143,ABS($D$49)*$C$33),0)</f>
        <v/>
      </c>
      <c r="AL68" s="160">
        <f>IF(AL$46=$C$9,MIN(Inputs!C$143,ABS($D$49)*$C$33),0)</f>
        <v/>
      </c>
      <c r="AM68" s="160">
        <f>IF(AM$46=$C$9,MIN(Inputs!C$143,ABS($D$49)*$C$33),0)</f>
        <v/>
      </c>
      <c r="AN68" s="160">
        <f>IF(AN$46=$C$9,MIN(Inputs!C$143,ABS($D$49)*$C$33),0)</f>
        <v/>
      </c>
      <c r="AO68" s="160">
        <f>IF(AO$46=$C$9,MIN(Inputs!C$143,ABS($D$49)*$C$33),0)</f>
        <v/>
      </c>
      <c r="AP68" s="160">
        <f>IF(AP$46=$C$9,MIN(Inputs!C$143,ABS($D$49)*$C$33),0)</f>
        <v/>
      </c>
      <c r="AQ68" s="160">
        <f>IF(AQ$46=$C$9,MIN(Inputs!C$143,ABS($D$49)*$C$33),0)</f>
        <v/>
      </c>
      <c r="AR68" s="160">
        <f>IF(AR$46=$C$9,MIN(Inputs!C$143,ABS($D$49)*$C$33),0)</f>
        <v/>
      </c>
      <c r="AS68" s="160">
        <f>IF(AS$46=$C$9,MIN(Inputs!C$143,ABS($D$49)*$C$33),0)</f>
        <v/>
      </c>
      <c r="AT68" s="160">
        <f>IF(AT$46=$C$9,MIN(Inputs!C$143,ABS($D$49)*$C$33),0)</f>
        <v/>
      </c>
      <c r="AU68" s="160">
        <f>IF(AU$46=$C$9,MIN(Inputs!C$143,ABS($D$49)*$C$33),0)</f>
        <v/>
      </c>
      <c r="AV68" s="160">
        <f>IF(AV$46=$C$9,MIN(Inputs!C$143,ABS($D$49)*$C$33),0)</f>
        <v/>
      </c>
      <c r="AW68" s="160">
        <f>IF(AW$46=$C$9,MIN(Inputs!C$143,ABS($D$49)*$C$33),0)</f>
        <v/>
      </c>
      <c r="AX68" s="160">
        <f>IF(AX$46=$C$9,MIN(Inputs!C$143,ABS($D$49)*$C$33),0)</f>
        <v/>
      </c>
      <c r="AY68" s="160">
        <f>IF(AY$46=$C$9,MIN(Inputs!C$143,ABS($D$49)*$C$33),0)</f>
        <v/>
      </c>
      <c r="AZ68" s="160">
        <f>IF(AZ$46=$C$9,MIN(Inputs!C$143,ABS($D$49)*$C$33),0)</f>
        <v/>
      </c>
      <c r="BA68" s="160">
        <f>IF(BA$46=$C$9,MIN(Inputs!C$143,ABS($D$49)*$C$33),0)</f>
        <v/>
      </c>
      <c r="BB68" s="160">
        <f>IF(BB$46=$C$9,MIN(Inputs!C$143,ABS($D$49)*$C$33),0)</f>
        <v/>
      </c>
    </row>
    <row r="69" ht="15" customHeight="1" s="91">
      <c r="B69" s="110" t="inlineStr">
        <is>
          <t>Total Fees  إجمالي الرسوم</t>
        </is>
      </c>
      <c r="C69" s="153" t="inlineStr">
        <is>
          <t>SAR</t>
        </is>
      </c>
      <c r="D69" s="157">
        <f>SUM(E69:BB69)</f>
        <v/>
      </c>
      <c r="E69" s="157">
        <f>E63+E64+E65+E66+E67+E68</f>
        <v/>
      </c>
      <c r="F69" s="157">
        <f>F63+F64+F65+F66+F67+F68</f>
        <v/>
      </c>
      <c r="G69" s="157">
        <f>G63+G64+G65+G66+G67+G68</f>
        <v/>
      </c>
      <c r="H69" s="157">
        <f>H63+H64+H65+H66+H67+H68</f>
        <v/>
      </c>
      <c r="I69" s="157">
        <f>I63+I64+I65+I66+I67+I68</f>
        <v/>
      </c>
      <c r="J69" s="157">
        <f>J63+J64+J65+J66+J67+J68</f>
        <v/>
      </c>
      <c r="K69" s="157">
        <f>K63+K64+K65+K66+K67+K68</f>
        <v/>
      </c>
      <c r="L69" s="157">
        <f>L63+L64+L65+L66+L67+L68</f>
        <v/>
      </c>
      <c r="M69" s="157">
        <f>M63+M64+M65+M66+M67+M68</f>
        <v/>
      </c>
      <c r="N69" s="157">
        <f>N63+N64+N65+N66+N67+N68</f>
        <v/>
      </c>
      <c r="O69" s="157">
        <f>O63+O64+O65+O66+O67+O68</f>
        <v/>
      </c>
      <c r="P69" s="157">
        <f>P63+P64+P65+P66+P67+P68</f>
        <v/>
      </c>
      <c r="Q69" s="157">
        <f>Q63+Q64+Q65+Q66+Q67+Q68</f>
        <v/>
      </c>
      <c r="R69" s="157">
        <f>R63+R64+R65+R66+R67+R68</f>
        <v/>
      </c>
      <c r="S69" s="157">
        <f>S63+S64+S65+S66+S67+S68</f>
        <v/>
      </c>
      <c r="T69" s="157">
        <f>T63+T64+T65+T66+T67+T68</f>
        <v/>
      </c>
      <c r="U69" s="157">
        <f>U63+U64+U65+U66+U67+U68</f>
        <v/>
      </c>
      <c r="V69" s="157">
        <f>V63+V64+V65+V66+V67+V68</f>
        <v/>
      </c>
      <c r="W69" s="157">
        <f>W63+W64+W65+W66+W67+W68</f>
        <v/>
      </c>
      <c r="X69" s="157">
        <f>X63+X64+X65+X66+X67+X68</f>
        <v/>
      </c>
      <c r="Y69" s="157">
        <f>Y63+Y64+Y65+Y66+Y67+Y68</f>
        <v/>
      </c>
      <c r="Z69" s="157">
        <f>Z63+Z64+Z65+Z66+Z67+Z68</f>
        <v/>
      </c>
      <c r="AA69" s="157">
        <f>AA63+AA64+AA65+AA66+AA67+AA68</f>
        <v/>
      </c>
      <c r="AB69" s="157">
        <f>AB63+AB64+AB65+AB66+AB67+AB68</f>
        <v/>
      </c>
      <c r="AC69" s="157">
        <f>AC63+AC64+AC65+AC66+AC67+AC68</f>
        <v/>
      </c>
      <c r="AD69" s="157">
        <f>AD63+AD64+AD65+AD66+AD67+AD68</f>
        <v/>
      </c>
      <c r="AE69" s="157">
        <f>AE63+AE64+AE65+AE66+AE67+AE68</f>
        <v/>
      </c>
      <c r="AF69" s="157">
        <f>AF63+AF64+AF65+AF66+AF67+AF68</f>
        <v/>
      </c>
      <c r="AG69" s="157">
        <f>AG63+AG64+AG65+AG66+AG67+AG68</f>
        <v/>
      </c>
      <c r="AH69" s="157">
        <f>AH63+AH64+AH65+AH66+AH67+AH68</f>
        <v/>
      </c>
      <c r="AI69" s="157">
        <f>AI63+AI64+AI65+AI66+AI67+AI68</f>
        <v/>
      </c>
      <c r="AJ69" s="157">
        <f>AJ63+AJ64+AJ65+AJ66+AJ67+AJ68</f>
        <v/>
      </c>
      <c r="AK69" s="157">
        <f>AK63+AK64+AK65+AK66+AK67+AK68</f>
        <v/>
      </c>
      <c r="AL69" s="157">
        <f>AL63+AL64+AL65+AL66+AL67+AL68</f>
        <v/>
      </c>
      <c r="AM69" s="157">
        <f>AM63+AM64+AM65+AM66+AM67+AM68</f>
        <v/>
      </c>
      <c r="AN69" s="157">
        <f>AN63+AN64+AN65+AN66+AN67+AN68</f>
        <v/>
      </c>
      <c r="AO69" s="157">
        <f>AO63+AO64+AO65+AO66+AO67+AO68</f>
        <v/>
      </c>
      <c r="AP69" s="157">
        <f>AP63+AP64+AP65+AP66+AP67+AP68</f>
        <v/>
      </c>
      <c r="AQ69" s="157">
        <f>AQ63+AQ64+AQ65+AQ66+AQ67+AQ68</f>
        <v/>
      </c>
      <c r="AR69" s="157">
        <f>AR63+AR64+AR65+AR66+AR67+AR68</f>
        <v/>
      </c>
      <c r="AS69" s="157">
        <f>AS63+AS64+AS65+AS66+AS67+AS68</f>
        <v/>
      </c>
      <c r="AT69" s="157">
        <f>AT63+AT64+AT65+AT66+AT67+AT68</f>
        <v/>
      </c>
      <c r="AU69" s="157">
        <f>AU63+AU64+AU65+AU66+AU67+AU68</f>
        <v/>
      </c>
      <c r="AV69" s="157">
        <f>AV63+AV64+AV65+AV66+AV67+AV68</f>
        <v/>
      </c>
      <c r="AW69" s="157">
        <f>AW63+AW64+AW65+AW66+AW67+AW68</f>
        <v/>
      </c>
      <c r="AX69" s="157">
        <f>AX63+AX64+AX65+AX66+AX67+AX68</f>
        <v/>
      </c>
      <c r="AY69" s="157">
        <f>AY63+AY64+AY65+AY66+AY67+AY68</f>
        <v/>
      </c>
      <c r="AZ69" s="157">
        <f>AZ63+AZ64+AZ65+AZ66+AZ67+AZ68</f>
        <v/>
      </c>
      <c r="BA69" s="157">
        <f>BA63+BA64+BA65+BA66+BA67+BA68</f>
        <v/>
      </c>
      <c r="BB69" s="157">
        <f>BB63+BB64+BB65+BB66+BB67+BB68</f>
        <v/>
      </c>
    </row>
    <row r="70" ht="15" customHeight="1" s="91">
      <c r="B70" s="153" t="inlineStr">
        <is>
          <t>Unfunded Fees (Equity-Funded)  الرسوم الممولة من الإكوتي</t>
        </is>
      </c>
      <c r="C70" s="153" t="inlineStr">
        <is>
          <t>SAR</t>
        </is>
      </c>
      <c r="D70" s="160">
        <f>SUM(E70:BB70)</f>
        <v/>
      </c>
      <c r="E70" s="160">
        <f>MAX(0,E69-MAX(0,IF(E$46&lt;=$C$41,E50,0)+E62+E51))</f>
        <v/>
      </c>
      <c r="F70" s="160">
        <f>MAX(0,F69-MAX(0,IF(F$46&lt;=$C$41,F50,0)+F62+F51))</f>
        <v/>
      </c>
      <c r="G70" s="160">
        <f>MAX(0,G69-MAX(0,IF(G$46&lt;=$C$41,G50,0)+G62+G51))</f>
        <v/>
      </c>
      <c r="H70" s="160">
        <f>MAX(0,H69-MAX(0,IF(H$46&lt;=$C$41,H50,0)+H62+H51))</f>
        <v/>
      </c>
      <c r="I70" s="160">
        <f>MAX(0,I69-MAX(0,IF(I$46&lt;=$C$41,I50,0)+I62+I51))</f>
        <v/>
      </c>
      <c r="J70" s="160">
        <f>MAX(0,J69-MAX(0,IF(J$46&lt;=$C$41,J50,0)+J62+J51))</f>
        <v/>
      </c>
      <c r="K70" s="160">
        <f>MAX(0,K69-MAX(0,IF(K$46&lt;=$C$41,K50,0)+K62+K51))</f>
        <v/>
      </c>
      <c r="L70" s="160">
        <f>MAX(0,L69-MAX(0,IF(L$46&lt;=$C$41,L50,0)+L62+L51))</f>
        <v/>
      </c>
      <c r="M70" s="160">
        <f>MAX(0,M69-MAX(0,IF(M$46&lt;=$C$41,M50,0)+M62+M51))</f>
        <v/>
      </c>
      <c r="N70" s="160">
        <f>MAX(0,N69-MAX(0,IF(N$46&lt;=$C$41,N50,0)+N62+N51))</f>
        <v/>
      </c>
      <c r="O70" s="160">
        <f>MAX(0,O69-MAX(0,IF(O$46&lt;=$C$41,O50,0)+O62+O51))</f>
        <v/>
      </c>
      <c r="P70" s="160">
        <f>MAX(0,P69-MAX(0,IF(P$46&lt;=$C$41,P50,0)+P62+P51))</f>
        <v/>
      </c>
      <c r="Q70" s="160">
        <f>MAX(0,Q69-MAX(0,IF(Q$46&lt;=$C$41,Q50,0)+Q62+Q51))</f>
        <v/>
      </c>
      <c r="R70" s="160">
        <f>MAX(0,R69-MAX(0,IF(R$46&lt;=$C$41,R50,0)+R62+R51))</f>
        <v/>
      </c>
      <c r="S70" s="160">
        <f>MAX(0,S69-MAX(0,IF(S$46&lt;=$C$41,S50,0)+S62+S51))</f>
        <v/>
      </c>
      <c r="T70" s="160">
        <f>MAX(0,T69-MAX(0,IF(T$46&lt;=$C$41,T50,0)+T62+T51))</f>
        <v/>
      </c>
      <c r="U70" s="160">
        <f>MAX(0,U69-MAX(0,IF(U$46&lt;=$C$41,U50,0)+U62+U51))</f>
        <v/>
      </c>
      <c r="V70" s="160">
        <f>MAX(0,V69-MAX(0,IF(V$46&lt;=$C$41,V50,0)+V62+V51))</f>
        <v/>
      </c>
      <c r="W70" s="160">
        <f>MAX(0,W69-MAX(0,IF(W$46&lt;=$C$41,W50,0)+W62+W51))</f>
        <v/>
      </c>
      <c r="X70" s="160">
        <f>MAX(0,X69-MAX(0,IF(X$46&lt;=$C$41,X50,0)+X62+X51))</f>
        <v/>
      </c>
      <c r="Y70" s="160">
        <f>MAX(0,Y69-MAX(0,IF(Y$46&lt;=$C$41,Y50,0)+Y62+Y51))</f>
        <v/>
      </c>
      <c r="Z70" s="160">
        <f>MAX(0,Z69-MAX(0,IF(Z$46&lt;=$C$41,Z50,0)+Z62+Z51))</f>
        <v/>
      </c>
      <c r="AA70" s="160">
        <f>MAX(0,AA69-MAX(0,IF(AA$46&lt;=$C$41,AA50,0)+AA62+AA51))</f>
        <v/>
      </c>
      <c r="AB70" s="160">
        <f>MAX(0,AB69-MAX(0,IF(AB$46&lt;=$C$41,AB50,0)+AB62+AB51))</f>
        <v/>
      </c>
      <c r="AC70" s="160">
        <f>MAX(0,AC69-MAX(0,IF(AC$46&lt;=$C$41,AC50,0)+AC62+AC51))</f>
        <v/>
      </c>
      <c r="AD70" s="160">
        <f>MAX(0,AD69-MAX(0,IF(AD$46&lt;=$C$41,AD50,0)+AD62+AD51))</f>
        <v/>
      </c>
      <c r="AE70" s="160">
        <f>MAX(0,AE69-MAX(0,IF(AE$46&lt;=$C$41,AE50,0)+AE62+AE51))</f>
        <v/>
      </c>
      <c r="AF70" s="160">
        <f>MAX(0,AF69-MAX(0,IF(AF$46&lt;=$C$41,AF50,0)+AF62+AF51))</f>
        <v/>
      </c>
      <c r="AG70" s="160">
        <f>MAX(0,AG69-MAX(0,IF(AG$46&lt;=$C$41,AG50,0)+AG62+AG51))</f>
        <v/>
      </c>
      <c r="AH70" s="160">
        <f>MAX(0,AH69-MAX(0,IF(AH$46&lt;=$C$41,AH50,0)+AH62+AH51))</f>
        <v/>
      </c>
      <c r="AI70" s="160">
        <f>MAX(0,AI69-MAX(0,IF(AI$46&lt;=$C$41,AI50,0)+AI62+AI51))</f>
        <v/>
      </c>
      <c r="AJ70" s="160">
        <f>MAX(0,AJ69-MAX(0,IF(AJ$46&lt;=$C$41,AJ50,0)+AJ62+AJ51))</f>
        <v/>
      </c>
      <c r="AK70" s="160">
        <f>MAX(0,AK69-MAX(0,IF(AK$46&lt;=$C$41,AK50,0)+AK62+AK51))</f>
        <v/>
      </c>
      <c r="AL70" s="160">
        <f>MAX(0,AL69-MAX(0,IF(AL$46&lt;=$C$41,AL50,0)+AL62+AL51))</f>
        <v/>
      </c>
      <c r="AM70" s="160">
        <f>MAX(0,AM69-MAX(0,IF(AM$46&lt;=$C$41,AM50,0)+AM62+AM51))</f>
        <v/>
      </c>
      <c r="AN70" s="160">
        <f>MAX(0,AN69-MAX(0,IF(AN$46&lt;=$C$41,AN50,0)+AN62+AN51))</f>
        <v/>
      </c>
      <c r="AO70" s="160">
        <f>MAX(0,AO69-MAX(0,IF(AO$46&lt;=$C$41,AO50,0)+AO62+AO51))</f>
        <v/>
      </c>
      <c r="AP70" s="160">
        <f>MAX(0,AP69-MAX(0,IF(AP$46&lt;=$C$41,AP50,0)+AP62+AP51))</f>
        <v/>
      </c>
      <c r="AQ70" s="160">
        <f>MAX(0,AQ69-MAX(0,IF(AQ$46&lt;=$C$41,AQ50,0)+AQ62+AQ51))</f>
        <v/>
      </c>
      <c r="AR70" s="160">
        <f>MAX(0,AR69-MAX(0,IF(AR$46&lt;=$C$41,AR50,0)+AR62+AR51))</f>
        <v/>
      </c>
      <c r="AS70" s="160">
        <f>MAX(0,AS69-MAX(0,IF(AS$46&lt;=$C$41,AS50,0)+AS62+AS51))</f>
        <v/>
      </c>
      <c r="AT70" s="160">
        <f>MAX(0,AT69-MAX(0,IF(AT$46&lt;=$C$41,AT50,0)+AT62+AT51))</f>
        <v/>
      </c>
      <c r="AU70" s="160">
        <f>MAX(0,AU69-MAX(0,IF(AU$46&lt;=$C$41,AU50,0)+AU62+AU51))</f>
        <v/>
      </c>
      <c r="AV70" s="160">
        <f>MAX(0,AV69-MAX(0,IF(AV$46&lt;=$C$41,AV50,0)+AV62+AV51))</f>
        <v/>
      </c>
      <c r="AW70" s="160">
        <f>MAX(0,AW69-MAX(0,IF(AW$46&lt;=$C$41,AW50,0)+AW62+AW51))</f>
        <v/>
      </c>
      <c r="AX70" s="160">
        <f>MAX(0,AX69-MAX(0,IF(AX$46&lt;=$C$41,AX50,0)+AX62+AX51))</f>
        <v/>
      </c>
      <c r="AY70" s="160">
        <f>MAX(0,AY69-MAX(0,IF(AY$46&lt;=$C$41,AY50,0)+AY62+AY51))</f>
        <v/>
      </c>
      <c r="AZ70" s="160">
        <f>MAX(0,AZ69-MAX(0,IF(AZ$46&lt;=$C$41,AZ50,0)+AZ62+AZ51))</f>
        <v/>
      </c>
      <c r="BA70" s="160">
        <f>MAX(0,BA69-MAX(0,IF(BA$46&lt;=$C$41,BA50,0)+BA62+BA51))</f>
        <v/>
      </c>
      <c r="BB70" s="160">
        <f>MAX(0,BB69-MAX(0,IF(BB$46&lt;=$C$41,BB50,0)+BB62+BB51))</f>
        <v/>
      </c>
    </row>
    <row r="71" ht="15" customHeight="1" s="91">
      <c r="B71" s="153" t="inlineStr">
        <is>
          <t>Exit Proceeds  حصيلة التخارج</t>
        </is>
      </c>
      <c r="C71" s="153" t="inlineStr">
        <is>
          <t>SAR</t>
        </is>
      </c>
      <c r="D71" s="157">
        <f>SUM(E71:BB71)</f>
        <v/>
      </c>
      <c r="E71" s="160">
        <f>E51</f>
        <v/>
      </c>
      <c r="F71" s="160">
        <f>F51</f>
        <v/>
      </c>
      <c r="G71" s="160">
        <f>G51</f>
        <v/>
      </c>
      <c r="H71" s="160">
        <f>H51</f>
        <v/>
      </c>
      <c r="I71" s="160">
        <f>I51</f>
        <v/>
      </c>
      <c r="J71" s="160">
        <f>J51</f>
        <v/>
      </c>
      <c r="K71" s="160">
        <f>K51</f>
        <v/>
      </c>
      <c r="L71" s="160">
        <f>L51</f>
        <v/>
      </c>
      <c r="M71" s="160">
        <f>M51</f>
        <v/>
      </c>
      <c r="N71" s="160">
        <f>N51</f>
        <v/>
      </c>
      <c r="O71" s="160">
        <f>O51</f>
        <v/>
      </c>
      <c r="P71" s="160">
        <f>P51</f>
        <v/>
      </c>
      <c r="Q71" s="160">
        <f>Q51</f>
        <v/>
      </c>
      <c r="R71" s="160">
        <f>R51</f>
        <v/>
      </c>
      <c r="S71" s="160">
        <f>S51</f>
        <v/>
      </c>
      <c r="T71" s="160">
        <f>T51</f>
        <v/>
      </c>
      <c r="U71" s="160">
        <f>U51</f>
        <v/>
      </c>
      <c r="V71" s="160">
        <f>V51</f>
        <v/>
      </c>
      <c r="W71" s="160">
        <f>W51</f>
        <v/>
      </c>
      <c r="X71" s="160">
        <f>X51</f>
        <v/>
      </c>
      <c r="Y71" s="160">
        <f>Y51</f>
        <v/>
      </c>
      <c r="Z71" s="160">
        <f>Z51</f>
        <v/>
      </c>
      <c r="AA71" s="160">
        <f>AA51</f>
        <v/>
      </c>
      <c r="AB71" s="160">
        <f>AB51</f>
        <v/>
      </c>
      <c r="AC71" s="160">
        <f>AC51</f>
        <v/>
      </c>
      <c r="AD71" s="160">
        <f>AD51</f>
        <v/>
      </c>
      <c r="AE71" s="160">
        <f>AE51</f>
        <v/>
      </c>
      <c r="AF71" s="160">
        <f>AF51</f>
        <v/>
      </c>
      <c r="AG71" s="160">
        <f>AG51</f>
        <v/>
      </c>
      <c r="AH71" s="160">
        <f>AH51</f>
        <v/>
      </c>
      <c r="AI71" s="160">
        <f>AI51</f>
        <v/>
      </c>
      <c r="AJ71" s="160">
        <f>AJ51</f>
        <v/>
      </c>
      <c r="AK71" s="160">
        <f>AK51</f>
        <v/>
      </c>
      <c r="AL71" s="160">
        <f>AL51</f>
        <v/>
      </c>
      <c r="AM71" s="160">
        <f>AM51</f>
        <v/>
      </c>
      <c r="AN71" s="160">
        <f>AN51</f>
        <v/>
      </c>
      <c r="AO71" s="160">
        <f>AO51</f>
        <v/>
      </c>
      <c r="AP71" s="160">
        <f>AP51</f>
        <v/>
      </c>
      <c r="AQ71" s="160">
        <f>AQ51</f>
        <v/>
      </c>
      <c r="AR71" s="160">
        <f>AR51</f>
        <v/>
      </c>
      <c r="AS71" s="160">
        <f>AS51</f>
        <v/>
      </c>
      <c r="AT71" s="160">
        <f>AT51</f>
        <v/>
      </c>
      <c r="AU71" s="160">
        <f>AU51</f>
        <v/>
      </c>
      <c r="AV71" s="160">
        <f>AV51</f>
        <v/>
      </c>
      <c r="AW71" s="160">
        <f>AW51</f>
        <v/>
      </c>
      <c r="AX71" s="160">
        <f>AX51</f>
        <v/>
      </c>
      <c r="AY71" s="160">
        <f>AY51</f>
        <v/>
      </c>
      <c r="AZ71" s="160">
        <f>AZ51</f>
        <v/>
      </c>
      <c r="BA71" s="160">
        <f>BA51</f>
        <v/>
      </c>
      <c r="BB71" s="160">
        <f>BB51</f>
        <v/>
      </c>
    </row>
    <row r="73" ht="15" customHeight="1" s="91">
      <c r="A73" s="152" t="inlineStr">
        <is>
          <t>9  DISTRIBUTIONS &amp; WATERFALL  التوزيعات وشلال الأرباح</t>
        </is>
      </c>
      <c r="B73" s="152" t="n"/>
      <c r="C73" s="152" t="n"/>
      <c r="D73" s="152" t="n"/>
      <c r="E73" s="152" t="n"/>
      <c r="F73" s="152" t="n"/>
      <c r="G73" s="152" t="n"/>
      <c r="H73" s="152" t="n"/>
      <c r="I73" s="152" t="n"/>
      <c r="J73" s="152" t="n"/>
      <c r="K73" s="152" t="n"/>
      <c r="L73" s="152" t="n"/>
      <c r="M73" s="152" t="n"/>
      <c r="N73" s="152" t="n"/>
      <c r="O73" s="152" t="n"/>
      <c r="P73" s="152" t="n"/>
      <c r="Q73" s="152" t="n"/>
      <c r="R73" s="152" t="n"/>
      <c r="S73" s="152" t="n"/>
      <c r="T73" s="152" t="n"/>
      <c r="U73" s="152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  <c r="AD73" s="152" t="n"/>
      <c r="AE73" s="152" t="n"/>
      <c r="AF73" s="152" t="n"/>
      <c r="AG73" s="152" t="n"/>
      <c r="AH73" s="152" t="n"/>
      <c r="AI73" s="152" t="n"/>
      <c r="AJ73" s="152" t="n"/>
      <c r="AK73" s="152" t="n"/>
      <c r="AL73" s="152" t="n"/>
      <c r="AM73" s="152" t="n"/>
      <c r="AN73" s="152" t="n"/>
      <c r="AO73" s="152" t="n"/>
      <c r="AP73" s="152" t="n"/>
      <c r="AQ73" s="152" t="n"/>
      <c r="AR73" s="152" t="n"/>
      <c r="AS73" s="152" t="n"/>
      <c r="AT73" s="152" t="n"/>
      <c r="AU73" s="152" t="n"/>
      <c r="AV73" s="152" t="n"/>
      <c r="AW73" s="152" t="n"/>
      <c r="AX73" s="152" t="n"/>
      <c r="AY73" s="152" t="n"/>
      <c r="AZ73" s="152" t="n"/>
      <c r="BA73" s="152" t="n"/>
      <c r="BB73" s="152" t="n"/>
    </row>
    <row r="74" ht="15" customHeight="1" s="91">
      <c r="C74" s="165" t="inlineStr">
        <is>
          <t>Unit</t>
        </is>
      </c>
      <c r="D74" s="165" t="inlineStr">
        <is>
          <t>Total</t>
        </is>
      </c>
      <c r="E74" s="166">
        <f>E$46</f>
        <v/>
      </c>
      <c r="F74" s="166">
        <f>F$46</f>
        <v/>
      </c>
      <c r="G74" s="166">
        <f>G$46</f>
        <v/>
      </c>
      <c r="H74" s="166">
        <f>H$46</f>
        <v/>
      </c>
      <c r="I74" s="166">
        <f>I$46</f>
        <v/>
      </c>
      <c r="J74" s="166">
        <f>J$46</f>
        <v/>
      </c>
      <c r="K74" s="166">
        <f>K$46</f>
        <v/>
      </c>
      <c r="L74" s="166">
        <f>L$46</f>
        <v/>
      </c>
      <c r="M74" s="166">
        <f>M$46</f>
        <v/>
      </c>
      <c r="N74" s="166">
        <f>N$46</f>
        <v/>
      </c>
      <c r="O74" s="166">
        <f>O$46</f>
        <v/>
      </c>
      <c r="P74" s="166">
        <f>P$46</f>
        <v/>
      </c>
      <c r="Q74" s="166">
        <f>Q$46</f>
        <v/>
      </c>
      <c r="R74" s="166">
        <f>R$46</f>
        <v/>
      </c>
      <c r="S74" s="166">
        <f>S$46</f>
        <v/>
      </c>
      <c r="T74" s="166">
        <f>T$46</f>
        <v/>
      </c>
      <c r="U74" s="166">
        <f>U$46</f>
        <v/>
      </c>
      <c r="V74" s="166">
        <f>V$46</f>
        <v/>
      </c>
      <c r="W74" s="166">
        <f>W$46</f>
        <v/>
      </c>
      <c r="X74" s="166">
        <f>X$46</f>
        <v/>
      </c>
      <c r="Y74" s="166">
        <f>Y$46</f>
        <v/>
      </c>
      <c r="Z74" s="166">
        <f>Z$46</f>
        <v/>
      </c>
      <c r="AA74" s="166">
        <f>AA$46</f>
        <v/>
      </c>
      <c r="AB74" s="166">
        <f>AB$46</f>
        <v/>
      </c>
      <c r="AC74" s="166">
        <f>AC$46</f>
        <v/>
      </c>
      <c r="AD74" s="166">
        <f>AD$46</f>
        <v/>
      </c>
      <c r="AE74" s="166">
        <f>AE$46</f>
        <v/>
      </c>
      <c r="AF74" s="166">
        <f>AF$46</f>
        <v/>
      </c>
      <c r="AG74" s="166">
        <f>AG$46</f>
        <v/>
      </c>
      <c r="AH74" s="166">
        <f>AH$46</f>
        <v/>
      </c>
      <c r="AI74" s="166">
        <f>AI$46</f>
        <v/>
      </c>
      <c r="AJ74" s="166">
        <f>AJ$46</f>
        <v/>
      </c>
      <c r="AK74" s="166">
        <f>AK$46</f>
        <v/>
      </c>
      <c r="AL74" s="166">
        <f>AL$46</f>
        <v/>
      </c>
      <c r="AM74" s="166">
        <f>AM$46</f>
        <v/>
      </c>
      <c r="AN74" s="166">
        <f>AN$46</f>
        <v/>
      </c>
      <c r="AO74" s="166">
        <f>AO$46</f>
        <v/>
      </c>
      <c r="AP74" s="166">
        <f>AP$46</f>
        <v/>
      </c>
      <c r="AQ74" s="166">
        <f>AQ$46</f>
        <v/>
      </c>
      <c r="AR74" s="166">
        <f>AR$46</f>
        <v/>
      </c>
      <c r="AS74" s="166">
        <f>AS$46</f>
        <v/>
      </c>
      <c r="AT74" s="166">
        <f>AT$46</f>
        <v/>
      </c>
      <c r="AU74" s="166">
        <f>AU$46</f>
        <v/>
      </c>
      <c r="AV74" s="166">
        <f>AV$46</f>
        <v/>
      </c>
      <c r="AW74" s="166">
        <f>AW$46</f>
        <v/>
      </c>
      <c r="AX74" s="166">
        <f>AX$46</f>
        <v/>
      </c>
      <c r="AY74" s="166">
        <f>AY$46</f>
        <v/>
      </c>
      <c r="AZ74" s="166">
        <f>AZ$46</f>
        <v/>
      </c>
      <c r="BA74" s="166">
        <f>BA$46</f>
        <v/>
      </c>
      <c r="BB74" s="166">
        <f>BB$46</f>
        <v/>
      </c>
    </row>
    <row r="75" ht="15" customHeight="1" s="91">
      <c r="B75" s="153" t="inlineStr">
        <is>
          <t>Cash Available for Distribution  النقد المتاح</t>
        </is>
      </c>
      <c r="C75" s="153" t="inlineStr">
        <is>
          <t>SAR</t>
        </is>
      </c>
      <c r="D75" s="157">
        <f>SUM(E75:BB75)</f>
        <v/>
      </c>
      <c r="E75" s="160">
        <f>MAX(0,IF(AND(E$46&gt;=$C$9,E$46&lt;=$C$41),E50,0)+E62-E69+E70+E51)</f>
        <v/>
      </c>
      <c r="F75" s="160">
        <f>MAX(0,IF(AND(F$46&gt;=$C$9,F$46&lt;=$C$41),F50,0)+F62-F69+F70+F51)</f>
        <v/>
      </c>
      <c r="G75" s="160">
        <f>MAX(0,IF(AND(G$46&gt;=$C$9,G$46&lt;=$C$41),G50,0)+G62-G69+G70+G51)</f>
        <v/>
      </c>
      <c r="H75" s="160">
        <f>MAX(0,IF(AND(H$46&gt;=$C$9,H$46&lt;=$C$41),H50,0)+H62-H69+H70+H51)</f>
        <v/>
      </c>
      <c r="I75" s="160">
        <f>MAX(0,IF(AND(I$46&gt;=$C$9,I$46&lt;=$C$41),I50,0)+I62-I69+I70+I51)</f>
        <v/>
      </c>
      <c r="J75" s="160">
        <f>MAX(0,IF(AND(J$46&gt;=$C$9,J$46&lt;=$C$41),J50,0)+J62-J69+J70+J51)</f>
        <v/>
      </c>
      <c r="K75" s="160">
        <f>MAX(0,IF(AND(K$46&gt;=$C$9,K$46&lt;=$C$41),K50,0)+K62-K69+K70+K51)</f>
        <v/>
      </c>
      <c r="L75" s="160">
        <f>MAX(0,IF(AND(L$46&gt;=$C$9,L$46&lt;=$C$41),L50,0)+L62-L69+L70+L51)</f>
        <v/>
      </c>
      <c r="M75" s="160">
        <f>MAX(0,IF(AND(M$46&gt;=$C$9,M$46&lt;=$C$41),M50,0)+M62-M69+M70+M51)</f>
        <v/>
      </c>
      <c r="N75" s="160">
        <f>MAX(0,IF(AND(N$46&gt;=$C$9,N$46&lt;=$C$41),N50,0)+N62-N69+N70+N51)</f>
        <v/>
      </c>
      <c r="O75" s="160">
        <f>MAX(0,IF(AND(O$46&gt;=$C$9,O$46&lt;=$C$41),O50,0)+O62-O69+O70+O51)</f>
        <v/>
      </c>
      <c r="P75" s="160">
        <f>MAX(0,IF(AND(P$46&gt;=$C$9,P$46&lt;=$C$41),P50,0)+P62-P69+P70+P51)</f>
        <v/>
      </c>
      <c r="Q75" s="160">
        <f>MAX(0,IF(AND(Q$46&gt;=$C$9,Q$46&lt;=$C$41),Q50,0)+Q62-Q69+Q70+Q51)</f>
        <v/>
      </c>
      <c r="R75" s="160">
        <f>MAX(0,IF(AND(R$46&gt;=$C$9,R$46&lt;=$C$41),R50,0)+R62-R69+R70+R51)</f>
        <v/>
      </c>
      <c r="S75" s="160">
        <f>MAX(0,IF(AND(S$46&gt;=$C$9,S$46&lt;=$C$41),S50,0)+S62-S69+S70+S51)</f>
        <v/>
      </c>
      <c r="T75" s="160">
        <f>MAX(0,IF(AND(T$46&gt;=$C$9,T$46&lt;=$C$41),T50,0)+T62-T69+T70+T51)</f>
        <v/>
      </c>
      <c r="U75" s="160">
        <f>MAX(0,IF(AND(U$46&gt;=$C$9,U$46&lt;=$C$41),U50,0)+U62-U69+U70+U51)</f>
        <v/>
      </c>
      <c r="V75" s="160">
        <f>MAX(0,IF(AND(V$46&gt;=$C$9,V$46&lt;=$C$41),V50,0)+V62-V69+V70+V51)</f>
        <v/>
      </c>
      <c r="W75" s="160">
        <f>MAX(0,IF(AND(W$46&gt;=$C$9,W$46&lt;=$C$41),W50,0)+W62-W69+W70+W51)</f>
        <v/>
      </c>
      <c r="X75" s="160">
        <f>MAX(0,IF(AND(X$46&gt;=$C$9,X$46&lt;=$C$41),X50,0)+X62-X69+X70+X51)</f>
        <v/>
      </c>
      <c r="Y75" s="160">
        <f>MAX(0,IF(AND(Y$46&gt;=$C$9,Y$46&lt;=$C$41),Y50,0)+Y62-Y69+Y70+Y51)</f>
        <v/>
      </c>
      <c r="Z75" s="160">
        <f>MAX(0,IF(AND(Z$46&gt;=$C$9,Z$46&lt;=$C$41),Z50,0)+Z62-Z69+Z70+Z51)</f>
        <v/>
      </c>
      <c r="AA75" s="160">
        <f>MAX(0,IF(AND(AA$46&gt;=$C$9,AA$46&lt;=$C$41),AA50,0)+AA62-AA69+AA70+AA51)</f>
        <v/>
      </c>
      <c r="AB75" s="160">
        <f>MAX(0,IF(AND(AB$46&gt;=$C$9,AB$46&lt;=$C$41),AB50,0)+AB62-AB69+AB70+AB51)</f>
        <v/>
      </c>
      <c r="AC75" s="160">
        <f>MAX(0,IF(AND(AC$46&gt;=$C$9,AC$46&lt;=$C$41),AC50,0)+AC62-AC69+AC70+AC51)</f>
        <v/>
      </c>
      <c r="AD75" s="160">
        <f>MAX(0,IF(AND(AD$46&gt;=$C$9,AD$46&lt;=$C$41),AD50,0)+AD62-AD69+AD70+AD51)</f>
        <v/>
      </c>
      <c r="AE75" s="160">
        <f>MAX(0,IF(AND(AE$46&gt;=$C$9,AE$46&lt;=$C$41),AE50,0)+AE62-AE69+AE70+AE51)</f>
        <v/>
      </c>
      <c r="AF75" s="160">
        <f>MAX(0,IF(AND(AF$46&gt;=$C$9,AF$46&lt;=$C$41),AF50,0)+AF62-AF69+AF70+AF51)</f>
        <v/>
      </c>
      <c r="AG75" s="160">
        <f>MAX(0,IF(AND(AG$46&gt;=$C$9,AG$46&lt;=$C$41),AG50,0)+AG62-AG69+AG70+AG51)</f>
        <v/>
      </c>
      <c r="AH75" s="160">
        <f>MAX(0,IF(AND(AH$46&gt;=$C$9,AH$46&lt;=$C$41),AH50,0)+AH62-AH69+AH70+AH51)</f>
        <v/>
      </c>
      <c r="AI75" s="160">
        <f>MAX(0,IF(AND(AI$46&gt;=$C$9,AI$46&lt;=$C$41),AI50,0)+AI62-AI69+AI70+AI51)</f>
        <v/>
      </c>
      <c r="AJ75" s="160">
        <f>MAX(0,IF(AND(AJ$46&gt;=$C$9,AJ$46&lt;=$C$41),AJ50,0)+AJ62-AJ69+AJ70+AJ51)</f>
        <v/>
      </c>
      <c r="AK75" s="160">
        <f>MAX(0,IF(AND(AK$46&gt;=$C$9,AK$46&lt;=$C$41),AK50,0)+AK62-AK69+AK70+AK51)</f>
        <v/>
      </c>
      <c r="AL75" s="160">
        <f>MAX(0,IF(AND(AL$46&gt;=$C$9,AL$46&lt;=$C$41),AL50,0)+AL62-AL69+AL70+AL51)</f>
        <v/>
      </c>
      <c r="AM75" s="160">
        <f>MAX(0,IF(AND(AM$46&gt;=$C$9,AM$46&lt;=$C$41),AM50,0)+AM62-AM69+AM70+AM51)</f>
        <v/>
      </c>
      <c r="AN75" s="160">
        <f>MAX(0,IF(AND(AN$46&gt;=$C$9,AN$46&lt;=$C$41),AN50,0)+AN62-AN69+AN70+AN51)</f>
        <v/>
      </c>
      <c r="AO75" s="160">
        <f>MAX(0,IF(AND(AO$46&gt;=$C$9,AO$46&lt;=$C$41),AO50,0)+AO62-AO69+AO70+AO51)</f>
        <v/>
      </c>
      <c r="AP75" s="160">
        <f>MAX(0,IF(AND(AP$46&gt;=$C$9,AP$46&lt;=$C$41),AP50,0)+AP62-AP69+AP70+AP51)</f>
        <v/>
      </c>
      <c r="AQ75" s="160">
        <f>MAX(0,IF(AND(AQ$46&gt;=$C$9,AQ$46&lt;=$C$41),AQ50,0)+AQ62-AQ69+AQ70+AQ51)</f>
        <v/>
      </c>
      <c r="AR75" s="160">
        <f>MAX(0,IF(AND(AR$46&gt;=$C$9,AR$46&lt;=$C$41),AR50,0)+AR62-AR69+AR70+AR51)</f>
        <v/>
      </c>
      <c r="AS75" s="160">
        <f>MAX(0,IF(AND(AS$46&gt;=$C$9,AS$46&lt;=$C$41),AS50,0)+AS62-AS69+AS70+AS51)</f>
        <v/>
      </c>
      <c r="AT75" s="160">
        <f>MAX(0,IF(AND(AT$46&gt;=$C$9,AT$46&lt;=$C$41),AT50,0)+AT62-AT69+AT70+AT51)</f>
        <v/>
      </c>
      <c r="AU75" s="160">
        <f>MAX(0,IF(AND(AU$46&gt;=$C$9,AU$46&lt;=$C$41),AU50,0)+AU62-AU69+AU70+AU51)</f>
        <v/>
      </c>
      <c r="AV75" s="160">
        <f>MAX(0,IF(AND(AV$46&gt;=$C$9,AV$46&lt;=$C$41),AV50,0)+AV62-AV69+AV70+AV51)</f>
        <v/>
      </c>
      <c r="AW75" s="160">
        <f>MAX(0,IF(AND(AW$46&gt;=$C$9,AW$46&lt;=$C$41),AW50,0)+AW62-AW69+AW70+AW51)</f>
        <v/>
      </c>
      <c r="AX75" s="160">
        <f>MAX(0,IF(AND(AX$46&gt;=$C$9,AX$46&lt;=$C$41),AX50,0)+AX62-AX69+AX70+AX51)</f>
        <v/>
      </c>
      <c r="AY75" s="160">
        <f>MAX(0,IF(AND(AY$46&gt;=$C$9,AY$46&lt;=$C$41),AY50,0)+AY62-AY69+AY70+AY51)</f>
        <v/>
      </c>
      <c r="AZ75" s="160">
        <f>MAX(0,IF(AND(AZ$46&gt;=$C$9,AZ$46&lt;=$C$41),AZ50,0)+AZ62-AZ69+AZ70+AZ51)</f>
        <v/>
      </c>
      <c r="BA75" s="160">
        <f>MAX(0,IF(AND(BA$46&gt;=$C$9,BA$46&lt;=$C$41),BA50,0)+BA62-BA69+BA70+BA51)</f>
        <v/>
      </c>
      <c r="BB75" s="160">
        <f>MAX(0,IF(AND(BB$46&gt;=$C$9,BB$46&lt;=$C$41),BB50,0)+BB62-BB69+BB70+BB51)</f>
        <v/>
      </c>
    </row>
    <row r="77" ht="15" customHeight="1" s="91">
      <c r="B77" s="153" t="inlineStr">
        <is>
          <t>Unreturned Capital (Open)  رأس المال غير المسترد</t>
        </is>
      </c>
      <c r="C77" s="153" t="inlineStr">
        <is>
          <t>SAR</t>
        </is>
      </c>
      <c r="E77" s="160">
        <f>E56</f>
        <v/>
      </c>
      <c r="F77" s="160">
        <f>E79+F56</f>
        <v/>
      </c>
      <c r="G77" s="160">
        <f>F79+G56</f>
        <v/>
      </c>
      <c r="H77" s="160">
        <f>G79+H56</f>
        <v/>
      </c>
      <c r="I77" s="160">
        <f>H79+I56</f>
        <v/>
      </c>
      <c r="J77" s="160">
        <f>I79+J56</f>
        <v/>
      </c>
      <c r="K77" s="160">
        <f>J79+K56</f>
        <v/>
      </c>
      <c r="L77" s="160">
        <f>K79+L56</f>
        <v/>
      </c>
      <c r="M77" s="160">
        <f>L79+M56</f>
        <v/>
      </c>
      <c r="N77" s="160">
        <f>M79+N56</f>
        <v/>
      </c>
      <c r="O77" s="160">
        <f>N79+O56</f>
        <v/>
      </c>
      <c r="P77" s="160">
        <f>O79+P56</f>
        <v/>
      </c>
      <c r="Q77" s="160">
        <f>P79+Q56</f>
        <v/>
      </c>
      <c r="R77" s="160">
        <f>Q79+R56</f>
        <v/>
      </c>
      <c r="S77" s="160">
        <f>R79+S56</f>
        <v/>
      </c>
      <c r="T77" s="160">
        <f>S79+T56</f>
        <v/>
      </c>
      <c r="U77" s="160">
        <f>T79+U56</f>
        <v/>
      </c>
      <c r="V77" s="160">
        <f>U79+V56</f>
        <v/>
      </c>
      <c r="W77" s="160">
        <f>V79+W56</f>
        <v/>
      </c>
      <c r="X77" s="160">
        <f>W79+X56</f>
        <v/>
      </c>
      <c r="Y77" s="160">
        <f>X79+Y56</f>
        <v/>
      </c>
      <c r="Z77" s="160">
        <f>Y79+Z56</f>
        <v/>
      </c>
      <c r="AA77" s="160">
        <f>Z79+AA56</f>
        <v/>
      </c>
      <c r="AB77" s="160">
        <f>AA79+AB56</f>
        <v/>
      </c>
      <c r="AC77" s="160">
        <f>AB79+AC56</f>
        <v/>
      </c>
      <c r="AD77" s="160">
        <f>AC79+AD56</f>
        <v/>
      </c>
      <c r="AE77" s="160">
        <f>AD79+AE56</f>
        <v/>
      </c>
      <c r="AF77" s="160">
        <f>AE79+AF56</f>
        <v/>
      </c>
      <c r="AG77" s="160">
        <f>AF79+AG56</f>
        <v/>
      </c>
      <c r="AH77" s="160">
        <f>AG79+AH56</f>
        <v/>
      </c>
      <c r="AI77" s="160">
        <f>AH79+AI56</f>
        <v/>
      </c>
      <c r="AJ77" s="160">
        <f>AI79+AJ56</f>
        <v/>
      </c>
      <c r="AK77" s="160">
        <f>AJ79+AK56</f>
        <v/>
      </c>
      <c r="AL77" s="160">
        <f>AK79+AL56</f>
        <v/>
      </c>
      <c r="AM77" s="160">
        <f>AL79+AM56</f>
        <v/>
      </c>
      <c r="AN77" s="160">
        <f>AM79+AN56</f>
        <v/>
      </c>
      <c r="AO77" s="160">
        <f>AN79+AO56</f>
        <v/>
      </c>
      <c r="AP77" s="160">
        <f>AO79+AP56</f>
        <v/>
      </c>
      <c r="AQ77" s="160">
        <f>AP79+AQ56</f>
        <v/>
      </c>
      <c r="AR77" s="160">
        <f>AQ79+AR56</f>
        <v/>
      </c>
      <c r="AS77" s="160">
        <f>AR79+AS56</f>
        <v/>
      </c>
      <c r="AT77" s="160">
        <f>AS79+AT56</f>
        <v/>
      </c>
      <c r="AU77" s="160">
        <f>AT79+AU56</f>
        <v/>
      </c>
      <c r="AV77" s="160">
        <f>AU79+AV56</f>
        <v/>
      </c>
      <c r="AW77" s="160">
        <f>AV79+AW56</f>
        <v/>
      </c>
      <c r="AX77" s="160">
        <f>AW79+AX56</f>
        <v/>
      </c>
      <c r="AY77" s="160">
        <f>AX79+AY56</f>
        <v/>
      </c>
      <c r="AZ77" s="160">
        <f>AY79+AZ56</f>
        <v/>
      </c>
      <c r="BA77" s="160">
        <f>AZ79+BA56</f>
        <v/>
      </c>
      <c r="BB77" s="160">
        <f>BA79+BB56</f>
        <v/>
      </c>
    </row>
    <row r="78" ht="15" customHeight="1" s="91">
      <c r="B78" s="153" t="inlineStr">
        <is>
          <t>Tier 1: Return of Capital  رد رأس المال</t>
        </is>
      </c>
      <c r="C78" s="153" t="inlineStr">
        <is>
          <t>SAR</t>
        </is>
      </c>
      <c r="D78" s="157">
        <f>SUM(E78:BB78)</f>
        <v/>
      </c>
      <c r="E78" s="160">
        <f>MIN(E75,E77)</f>
        <v/>
      </c>
      <c r="F78" s="160">
        <f>MIN(F75,F77)</f>
        <v/>
      </c>
      <c r="G78" s="160">
        <f>MIN(G75,G77)</f>
        <v/>
      </c>
      <c r="H78" s="160">
        <f>MIN(H75,H77)</f>
        <v/>
      </c>
      <c r="I78" s="160">
        <f>MIN(I75,I77)</f>
        <v/>
      </c>
      <c r="J78" s="160">
        <f>MIN(J75,J77)</f>
        <v/>
      </c>
      <c r="K78" s="160">
        <f>MIN(K75,K77)</f>
        <v/>
      </c>
      <c r="L78" s="160">
        <f>MIN(L75,L77)</f>
        <v/>
      </c>
      <c r="M78" s="160">
        <f>MIN(M75,M77)</f>
        <v/>
      </c>
      <c r="N78" s="160">
        <f>MIN(N75,N77)</f>
        <v/>
      </c>
      <c r="O78" s="160">
        <f>MIN(O75,O77)</f>
        <v/>
      </c>
      <c r="P78" s="160">
        <f>MIN(P75,P77)</f>
        <v/>
      </c>
      <c r="Q78" s="160">
        <f>MIN(Q75,Q77)</f>
        <v/>
      </c>
      <c r="R78" s="160">
        <f>MIN(R75,R77)</f>
        <v/>
      </c>
      <c r="S78" s="160">
        <f>MIN(S75,S77)</f>
        <v/>
      </c>
      <c r="T78" s="160">
        <f>MIN(T75,T77)</f>
        <v/>
      </c>
      <c r="U78" s="160">
        <f>MIN(U75,U77)</f>
        <v/>
      </c>
      <c r="V78" s="160">
        <f>MIN(V75,V77)</f>
        <v/>
      </c>
      <c r="W78" s="160">
        <f>MIN(W75,W77)</f>
        <v/>
      </c>
      <c r="X78" s="160">
        <f>MIN(X75,X77)</f>
        <v/>
      </c>
      <c r="Y78" s="160">
        <f>MIN(Y75,Y77)</f>
        <v/>
      </c>
      <c r="Z78" s="160">
        <f>MIN(Z75,Z77)</f>
        <v/>
      </c>
      <c r="AA78" s="160">
        <f>MIN(AA75,AA77)</f>
        <v/>
      </c>
      <c r="AB78" s="160">
        <f>MIN(AB75,AB77)</f>
        <v/>
      </c>
      <c r="AC78" s="160">
        <f>MIN(AC75,AC77)</f>
        <v/>
      </c>
      <c r="AD78" s="160">
        <f>MIN(AD75,AD77)</f>
        <v/>
      </c>
      <c r="AE78" s="160">
        <f>MIN(AE75,AE77)</f>
        <v/>
      </c>
      <c r="AF78" s="160">
        <f>MIN(AF75,AF77)</f>
        <v/>
      </c>
      <c r="AG78" s="160">
        <f>MIN(AG75,AG77)</f>
        <v/>
      </c>
      <c r="AH78" s="160">
        <f>MIN(AH75,AH77)</f>
        <v/>
      </c>
      <c r="AI78" s="160">
        <f>MIN(AI75,AI77)</f>
        <v/>
      </c>
      <c r="AJ78" s="160">
        <f>MIN(AJ75,AJ77)</f>
        <v/>
      </c>
      <c r="AK78" s="160">
        <f>MIN(AK75,AK77)</f>
        <v/>
      </c>
      <c r="AL78" s="160">
        <f>MIN(AL75,AL77)</f>
        <v/>
      </c>
      <c r="AM78" s="160">
        <f>MIN(AM75,AM77)</f>
        <v/>
      </c>
      <c r="AN78" s="160">
        <f>MIN(AN75,AN77)</f>
        <v/>
      </c>
      <c r="AO78" s="160">
        <f>MIN(AO75,AO77)</f>
        <v/>
      </c>
      <c r="AP78" s="160">
        <f>MIN(AP75,AP77)</f>
        <v/>
      </c>
      <c r="AQ78" s="160">
        <f>MIN(AQ75,AQ77)</f>
        <v/>
      </c>
      <c r="AR78" s="160">
        <f>MIN(AR75,AR77)</f>
        <v/>
      </c>
      <c r="AS78" s="160">
        <f>MIN(AS75,AS77)</f>
        <v/>
      </c>
      <c r="AT78" s="160">
        <f>MIN(AT75,AT77)</f>
        <v/>
      </c>
      <c r="AU78" s="160">
        <f>MIN(AU75,AU77)</f>
        <v/>
      </c>
      <c r="AV78" s="160">
        <f>MIN(AV75,AV77)</f>
        <v/>
      </c>
      <c r="AW78" s="160">
        <f>MIN(AW75,AW77)</f>
        <v/>
      </c>
      <c r="AX78" s="160">
        <f>MIN(AX75,AX77)</f>
        <v/>
      </c>
      <c r="AY78" s="160">
        <f>MIN(AY75,AY77)</f>
        <v/>
      </c>
      <c r="AZ78" s="160">
        <f>MIN(AZ75,AZ77)</f>
        <v/>
      </c>
      <c r="BA78" s="160">
        <f>MIN(BA75,BA77)</f>
        <v/>
      </c>
      <c r="BB78" s="160">
        <f>MIN(BB75,BB77)</f>
        <v/>
      </c>
    </row>
    <row r="79" ht="15" customHeight="1" s="91">
      <c r="B79" s="153" t="inlineStr">
        <is>
          <t>Unreturned Capital (Close)  رأس المال غير المسترد (نهاية)</t>
        </is>
      </c>
      <c r="C79" s="153" t="inlineStr">
        <is>
          <t>SAR</t>
        </is>
      </c>
      <c r="E79" s="160">
        <f>E77-E78</f>
        <v/>
      </c>
      <c r="F79" s="160">
        <f>F77-F78</f>
        <v/>
      </c>
      <c r="G79" s="160">
        <f>G77-G78</f>
        <v/>
      </c>
      <c r="H79" s="160">
        <f>H77-H78</f>
        <v/>
      </c>
      <c r="I79" s="160">
        <f>I77-I78</f>
        <v/>
      </c>
      <c r="J79" s="160">
        <f>J77-J78</f>
        <v/>
      </c>
      <c r="K79" s="160">
        <f>K77-K78</f>
        <v/>
      </c>
      <c r="L79" s="160">
        <f>L77-L78</f>
        <v/>
      </c>
      <c r="M79" s="160">
        <f>M77-M78</f>
        <v/>
      </c>
      <c r="N79" s="160">
        <f>N77-N78</f>
        <v/>
      </c>
      <c r="O79" s="160">
        <f>O77-O78</f>
        <v/>
      </c>
      <c r="P79" s="160">
        <f>P77-P78</f>
        <v/>
      </c>
      <c r="Q79" s="160">
        <f>Q77-Q78</f>
        <v/>
      </c>
      <c r="R79" s="160">
        <f>R77-R78</f>
        <v/>
      </c>
      <c r="S79" s="160">
        <f>S77-S78</f>
        <v/>
      </c>
      <c r="T79" s="160">
        <f>T77-T78</f>
        <v/>
      </c>
      <c r="U79" s="160">
        <f>U77-U78</f>
        <v/>
      </c>
      <c r="V79" s="160">
        <f>V77-V78</f>
        <v/>
      </c>
      <c r="W79" s="160">
        <f>W77-W78</f>
        <v/>
      </c>
      <c r="X79" s="160">
        <f>X77-X78</f>
        <v/>
      </c>
      <c r="Y79" s="160">
        <f>Y77-Y78</f>
        <v/>
      </c>
      <c r="Z79" s="160">
        <f>Z77-Z78</f>
        <v/>
      </c>
      <c r="AA79" s="160">
        <f>AA77-AA78</f>
        <v/>
      </c>
      <c r="AB79" s="160">
        <f>AB77-AB78</f>
        <v/>
      </c>
      <c r="AC79" s="160">
        <f>AC77-AC78</f>
        <v/>
      </c>
      <c r="AD79" s="160">
        <f>AD77-AD78</f>
        <v/>
      </c>
      <c r="AE79" s="160">
        <f>AE77-AE78</f>
        <v/>
      </c>
      <c r="AF79" s="160">
        <f>AF77-AF78</f>
        <v/>
      </c>
      <c r="AG79" s="160">
        <f>AG77-AG78</f>
        <v/>
      </c>
      <c r="AH79" s="160">
        <f>AH77-AH78</f>
        <v/>
      </c>
      <c r="AI79" s="160">
        <f>AI77-AI78</f>
        <v/>
      </c>
      <c r="AJ79" s="160">
        <f>AJ77-AJ78</f>
        <v/>
      </c>
      <c r="AK79" s="160">
        <f>AK77-AK78</f>
        <v/>
      </c>
      <c r="AL79" s="160">
        <f>AL77-AL78</f>
        <v/>
      </c>
      <c r="AM79" s="160">
        <f>AM77-AM78</f>
        <v/>
      </c>
      <c r="AN79" s="160">
        <f>AN77-AN78</f>
        <v/>
      </c>
      <c r="AO79" s="160">
        <f>AO77-AO78</f>
        <v/>
      </c>
      <c r="AP79" s="160">
        <f>AP77-AP78</f>
        <v/>
      </c>
      <c r="AQ79" s="160">
        <f>AQ77-AQ78</f>
        <v/>
      </c>
      <c r="AR79" s="160">
        <f>AR77-AR78</f>
        <v/>
      </c>
      <c r="AS79" s="160">
        <f>AS77-AS78</f>
        <v/>
      </c>
      <c r="AT79" s="160">
        <f>AT77-AT78</f>
        <v/>
      </c>
      <c r="AU79" s="160">
        <f>AU77-AU78</f>
        <v/>
      </c>
      <c r="AV79" s="160">
        <f>AV77-AV78</f>
        <v/>
      </c>
      <c r="AW79" s="160">
        <f>AW77-AW78</f>
        <v/>
      </c>
      <c r="AX79" s="160">
        <f>AX77-AX78</f>
        <v/>
      </c>
      <c r="AY79" s="160">
        <f>AY77-AY78</f>
        <v/>
      </c>
      <c r="AZ79" s="160">
        <f>AZ77-AZ78</f>
        <v/>
      </c>
      <c r="BA79" s="160">
        <f>BA77-BA78</f>
        <v/>
      </c>
      <c r="BB79" s="160">
        <f>BB77-BB78</f>
        <v/>
      </c>
    </row>
    <row r="81" ht="15" customHeight="1" s="91">
      <c r="B81" s="153" t="inlineStr">
        <is>
          <t>Pref Accrual (% × Unreturned)  احتساب العائد التفضيلي</t>
        </is>
      </c>
      <c r="C81" s="153" t="inlineStr">
        <is>
          <t>SAR</t>
        </is>
      </c>
      <c r="D81" s="160">
        <f>SUM(E81:BB81)</f>
        <v/>
      </c>
      <c r="E81" s="160">
        <f>E77*$C$36</f>
        <v/>
      </c>
      <c r="F81" s="160">
        <f>F77*$C$36</f>
        <v/>
      </c>
      <c r="G81" s="160">
        <f>G77*$C$36</f>
        <v/>
      </c>
      <c r="H81" s="160">
        <f>H77*$C$36</f>
        <v/>
      </c>
      <c r="I81" s="160">
        <f>I77*$C$36</f>
        <v/>
      </c>
      <c r="J81" s="160">
        <f>J77*$C$36</f>
        <v/>
      </c>
      <c r="K81" s="160">
        <f>K77*$C$36</f>
        <v/>
      </c>
      <c r="L81" s="160">
        <f>L77*$C$36</f>
        <v/>
      </c>
      <c r="M81" s="160">
        <f>M77*$C$36</f>
        <v/>
      </c>
      <c r="N81" s="160">
        <f>N77*$C$36</f>
        <v/>
      </c>
      <c r="O81" s="160">
        <f>O77*$C$36</f>
        <v/>
      </c>
      <c r="P81" s="160">
        <f>P77*$C$36</f>
        <v/>
      </c>
      <c r="Q81" s="160">
        <f>Q77*$C$36</f>
        <v/>
      </c>
      <c r="R81" s="160">
        <f>R77*$C$36</f>
        <v/>
      </c>
      <c r="S81" s="160">
        <f>S77*$C$36</f>
        <v/>
      </c>
      <c r="T81" s="160">
        <f>T77*$C$36</f>
        <v/>
      </c>
      <c r="U81" s="160">
        <f>U77*$C$36</f>
        <v/>
      </c>
      <c r="V81" s="160">
        <f>V77*$C$36</f>
        <v/>
      </c>
      <c r="W81" s="160">
        <f>W77*$C$36</f>
        <v/>
      </c>
      <c r="X81" s="160">
        <f>X77*$C$36</f>
        <v/>
      </c>
      <c r="Y81" s="160">
        <f>Y77*$C$36</f>
        <v/>
      </c>
      <c r="Z81" s="160">
        <f>Z77*$C$36</f>
        <v/>
      </c>
      <c r="AA81" s="160">
        <f>AA77*$C$36</f>
        <v/>
      </c>
      <c r="AB81" s="160">
        <f>AB77*$C$36</f>
        <v/>
      </c>
      <c r="AC81" s="160">
        <f>AC77*$C$36</f>
        <v/>
      </c>
      <c r="AD81" s="160">
        <f>AD77*$C$36</f>
        <v/>
      </c>
      <c r="AE81" s="160">
        <f>AE77*$C$36</f>
        <v/>
      </c>
      <c r="AF81" s="160">
        <f>AF77*$C$36</f>
        <v/>
      </c>
      <c r="AG81" s="160">
        <f>AG77*$C$36</f>
        <v/>
      </c>
      <c r="AH81" s="160">
        <f>AH77*$C$36</f>
        <v/>
      </c>
      <c r="AI81" s="160">
        <f>AI77*$C$36</f>
        <v/>
      </c>
      <c r="AJ81" s="160">
        <f>AJ77*$C$36</f>
        <v/>
      </c>
      <c r="AK81" s="160">
        <f>AK77*$C$36</f>
        <v/>
      </c>
      <c r="AL81" s="160">
        <f>AL77*$C$36</f>
        <v/>
      </c>
      <c r="AM81" s="160">
        <f>AM77*$C$36</f>
        <v/>
      </c>
      <c r="AN81" s="160">
        <f>AN77*$C$36</f>
        <v/>
      </c>
      <c r="AO81" s="160">
        <f>AO77*$C$36</f>
        <v/>
      </c>
      <c r="AP81" s="160">
        <f>AP77*$C$36</f>
        <v/>
      </c>
      <c r="AQ81" s="160">
        <f>AQ77*$C$36</f>
        <v/>
      </c>
      <c r="AR81" s="160">
        <f>AR77*$C$36</f>
        <v/>
      </c>
      <c r="AS81" s="160">
        <f>AS77*$C$36</f>
        <v/>
      </c>
      <c r="AT81" s="160">
        <f>AT77*$C$36</f>
        <v/>
      </c>
      <c r="AU81" s="160">
        <f>AU77*$C$36</f>
        <v/>
      </c>
      <c r="AV81" s="160">
        <f>AV77*$C$36</f>
        <v/>
      </c>
      <c r="AW81" s="160">
        <f>AW77*$C$36</f>
        <v/>
      </c>
      <c r="AX81" s="160">
        <f>AX77*$C$36</f>
        <v/>
      </c>
      <c r="AY81" s="160">
        <f>AY77*$C$36</f>
        <v/>
      </c>
      <c r="AZ81" s="160">
        <f>AZ77*$C$36</f>
        <v/>
      </c>
      <c r="BA81" s="160">
        <f>BA77*$C$36</f>
        <v/>
      </c>
      <c r="BB81" s="160">
        <f>BB77*$C$36</f>
        <v/>
      </c>
    </row>
    <row r="82" ht="15" customHeight="1" s="91">
      <c r="B82" s="153" t="inlineStr">
        <is>
          <t>Unpaid Pref (Opening)  العائد غير المدفوع (بداية)</t>
        </is>
      </c>
      <c r="C82" s="153" t="inlineStr">
        <is>
          <t>SAR</t>
        </is>
      </c>
      <c r="E82" s="160">
        <f>0</f>
        <v/>
      </c>
      <c r="F82" s="160">
        <f>E85</f>
        <v/>
      </c>
      <c r="G82" s="160">
        <f>F85</f>
        <v/>
      </c>
      <c r="H82" s="160">
        <f>G85</f>
        <v/>
      </c>
      <c r="I82" s="160">
        <f>H85</f>
        <v/>
      </c>
      <c r="J82" s="160">
        <f>I85</f>
        <v/>
      </c>
      <c r="K82" s="160">
        <f>J85</f>
        <v/>
      </c>
      <c r="L82" s="160">
        <f>K85</f>
        <v/>
      </c>
      <c r="M82" s="160">
        <f>L85</f>
        <v/>
      </c>
      <c r="N82" s="160">
        <f>M85</f>
        <v/>
      </c>
      <c r="O82" s="160">
        <f>N85</f>
        <v/>
      </c>
      <c r="P82" s="160">
        <f>O85</f>
        <v/>
      </c>
      <c r="Q82" s="160">
        <f>P85</f>
        <v/>
      </c>
      <c r="R82" s="160">
        <f>Q85</f>
        <v/>
      </c>
      <c r="S82" s="160">
        <f>R85</f>
        <v/>
      </c>
      <c r="T82" s="160">
        <f>S85</f>
        <v/>
      </c>
      <c r="U82" s="160">
        <f>T85</f>
        <v/>
      </c>
      <c r="V82" s="160">
        <f>U85</f>
        <v/>
      </c>
      <c r="W82" s="160">
        <f>V85</f>
        <v/>
      </c>
      <c r="X82" s="160">
        <f>W85</f>
        <v/>
      </c>
      <c r="Y82" s="160">
        <f>X85</f>
        <v/>
      </c>
      <c r="Z82" s="160">
        <f>Y85</f>
        <v/>
      </c>
      <c r="AA82" s="160">
        <f>Z85</f>
        <v/>
      </c>
      <c r="AB82" s="160">
        <f>AA85</f>
        <v/>
      </c>
      <c r="AC82" s="160">
        <f>AB85</f>
        <v/>
      </c>
      <c r="AD82" s="160">
        <f>AC85</f>
        <v/>
      </c>
      <c r="AE82" s="160">
        <f>AD85</f>
        <v/>
      </c>
      <c r="AF82" s="160">
        <f>AE85</f>
        <v/>
      </c>
      <c r="AG82" s="160">
        <f>AF85</f>
        <v/>
      </c>
      <c r="AH82" s="160">
        <f>AG85</f>
        <v/>
      </c>
      <c r="AI82" s="160">
        <f>AH85</f>
        <v/>
      </c>
      <c r="AJ82" s="160">
        <f>AI85</f>
        <v/>
      </c>
      <c r="AK82" s="160">
        <f>AJ85</f>
        <v/>
      </c>
      <c r="AL82" s="160">
        <f>AK85</f>
        <v/>
      </c>
      <c r="AM82" s="160">
        <f>AL85</f>
        <v/>
      </c>
      <c r="AN82" s="160">
        <f>AM85</f>
        <v/>
      </c>
      <c r="AO82" s="160">
        <f>AN85</f>
        <v/>
      </c>
      <c r="AP82" s="160">
        <f>AO85</f>
        <v/>
      </c>
      <c r="AQ82" s="160">
        <f>AP85</f>
        <v/>
      </c>
      <c r="AR82" s="160">
        <f>AQ85</f>
        <v/>
      </c>
      <c r="AS82" s="160">
        <f>AR85</f>
        <v/>
      </c>
      <c r="AT82" s="160">
        <f>AS85</f>
        <v/>
      </c>
      <c r="AU82" s="160">
        <f>AT85</f>
        <v/>
      </c>
      <c r="AV82" s="160">
        <f>AU85</f>
        <v/>
      </c>
      <c r="AW82" s="160">
        <f>AV85</f>
        <v/>
      </c>
      <c r="AX82" s="160">
        <f>AW85</f>
        <v/>
      </c>
      <c r="AY82" s="160">
        <f>AX85</f>
        <v/>
      </c>
      <c r="AZ82" s="160">
        <f>AY85</f>
        <v/>
      </c>
      <c r="BA82" s="160">
        <f>AZ85</f>
        <v/>
      </c>
      <c r="BB82" s="160">
        <f>BA85</f>
        <v/>
      </c>
    </row>
    <row r="83" ht="15" customHeight="1" s="91">
      <c r="B83" s="153" t="inlineStr">
        <is>
          <t>Total Pref Owed  إجمالي المستحق</t>
        </is>
      </c>
      <c r="C83" s="153" t="inlineStr">
        <is>
          <t>SAR</t>
        </is>
      </c>
      <c r="E83" s="160">
        <f>E81+E82</f>
        <v/>
      </c>
      <c r="F83" s="160">
        <f>F81+F82</f>
        <v/>
      </c>
      <c r="G83" s="160">
        <f>G81+G82</f>
        <v/>
      </c>
      <c r="H83" s="160">
        <f>H81+H82</f>
        <v/>
      </c>
      <c r="I83" s="160">
        <f>I81+I82</f>
        <v/>
      </c>
      <c r="J83" s="160">
        <f>J81+J82</f>
        <v/>
      </c>
      <c r="K83" s="160">
        <f>K81+K82</f>
        <v/>
      </c>
      <c r="L83" s="160">
        <f>L81+L82</f>
        <v/>
      </c>
      <c r="M83" s="160">
        <f>M81+M82</f>
        <v/>
      </c>
      <c r="N83" s="160">
        <f>N81+N82</f>
        <v/>
      </c>
      <c r="O83" s="160">
        <f>O81+O82</f>
        <v/>
      </c>
      <c r="P83" s="160">
        <f>P81+P82</f>
        <v/>
      </c>
      <c r="Q83" s="160">
        <f>Q81+Q82</f>
        <v/>
      </c>
      <c r="R83" s="160">
        <f>R81+R82</f>
        <v/>
      </c>
      <c r="S83" s="160">
        <f>S81+S82</f>
        <v/>
      </c>
      <c r="T83" s="160">
        <f>T81+T82</f>
        <v/>
      </c>
      <c r="U83" s="160">
        <f>U81+U82</f>
        <v/>
      </c>
      <c r="V83" s="160">
        <f>V81+V82</f>
        <v/>
      </c>
      <c r="W83" s="160">
        <f>W81+W82</f>
        <v/>
      </c>
      <c r="X83" s="160">
        <f>X81+X82</f>
        <v/>
      </c>
      <c r="Y83" s="160">
        <f>Y81+Y82</f>
        <v/>
      </c>
      <c r="Z83" s="160">
        <f>Z81+Z82</f>
        <v/>
      </c>
      <c r="AA83" s="160">
        <f>AA81+AA82</f>
        <v/>
      </c>
      <c r="AB83" s="160">
        <f>AB81+AB82</f>
        <v/>
      </c>
      <c r="AC83" s="160">
        <f>AC81+AC82</f>
        <v/>
      </c>
      <c r="AD83" s="160">
        <f>AD81+AD82</f>
        <v/>
      </c>
      <c r="AE83" s="160">
        <f>AE81+AE82</f>
        <v/>
      </c>
      <c r="AF83" s="160">
        <f>AF81+AF82</f>
        <v/>
      </c>
      <c r="AG83" s="160">
        <f>AG81+AG82</f>
        <v/>
      </c>
      <c r="AH83" s="160">
        <f>AH81+AH82</f>
        <v/>
      </c>
      <c r="AI83" s="160">
        <f>AI81+AI82</f>
        <v/>
      </c>
      <c r="AJ83" s="160">
        <f>AJ81+AJ82</f>
        <v/>
      </c>
      <c r="AK83" s="160">
        <f>AK81+AK82</f>
        <v/>
      </c>
      <c r="AL83" s="160">
        <f>AL81+AL82</f>
        <v/>
      </c>
      <c r="AM83" s="160">
        <f>AM81+AM82</f>
        <v/>
      </c>
      <c r="AN83" s="160">
        <f>AN81+AN82</f>
        <v/>
      </c>
      <c r="AO83" s="160">
        <f>AO81+AO82</f>
        <v/>
      </c>
      <c r="AP83" s="160">
        <f>AP81+AP82</f>
        <v/>
      </c>
      <c r="AQ83" s="160">
        <f>AQ81+AQ82</f>
        <v/>
      </c>
      <c r="AR83" s="160">
        <f>AR81+AR82</f>
        <v/>
      </c>
      <c r="AS83" s="160">
        <f>AS81+AS82</f>
        <v/>
      </c>
      <c r="AT83" s="160">
        <f>AT81+AT82</f>
        <v/>
      </c>
      <c r="AU83" s="160">
        <f>AU81+AU82</f>
        <v/>
      </c>
      <c r="AV83" s="160">
        <f>AV81+AV82</f>
        <v/>
      </c>
      <c r="AW83" s="160">
        <f>AW81+AW82</f>
        <v/>
      </c>
      <c r="AX83" s="160">
        <f>AX81+AX82</f>
        <v/>
      </c>
      <c r="AY83" s="160">
        <f>AY81+AY82</f>
        <v/>
      </c>
      <c r="AZ83" s="160">
        <f>AZ81+AZ82</f>
        <v/>
      </c>
      <c r="BA83" s="160">
        <f>BA81+BA82</f>
        <v/>
      </c>
      <c r="BB83" s="160">
        <f>BB81+BB82</f>
        <v/>
      </c>
    </row>
    <row r="84" ht="15" customHeight="1" s="91">
      <c r="B84" s="153" t="inlineStr">
        <is>
          <t>Tier 2: Preferred Return Paid  سداد العائد التفضيلي</t>
        </is>
      </c>
      <c r="C84" s="153" t="inlineStr">
        <is>
          <t>SAR</t>
        </is>
      </c>
      <c r="D84" s="157">
        <f>SUM(E84:BB84)</f>
        <v/>
      </c>
      <c r="E84" s="160">
        <f>MIN(MAX(0,E75-E78),E83)</f>
        <v/>
      </c>
      <c r="F84" s="160">
        <f>MIN(MAX(0,F75-F78),F83)</f>
        <v/>
      </c>
      <c r="G84" s="160">
        <f>MIN(MAX(0,G75-G78),G83)</f>
        <v/>
      </c>
      <c r="H84" s="160">
        <f>MIN(MAX(0,H75-H78),H83)</f>
        <v/>
      </c>
      <c r="I84" s="160">
        <f>MIN(MAX(0,I75-I78),I83)</f>
        <v/>
      </c>
      <c r="J84" s="160">
        <f>MIN(MAX(0,J75-J78),J83)</f>
        <v/>
      </c>
      <c r="K84" s="160">
        <f>MIN(MAX(0,K75-K78),K83)</f>
        <v/>
      </c>
      <c r="L84" s="160">
        <f>MIN(MAX(0,L75-L78),L83)</f>
        <v/>
      </c>
      <c r="M84" s="160">
        <f>MIN(MAX(0,M75-M78),M83)</f>
        <v/>
      </c>
      <c r="N84" s="160">
        <f>MIN(MAX(0,N75-N78),N83)</f>
        <v/>
      </c>
      <c r="O84" s="160">
        <f>MIN(MAX(0,O75-O78),O83)</f>
        <v/>
      </c>
      <c r="P84" s="160">
        <f>MIN(MAX(0,P75-P78),P83)</f>
        <v/>
      </c>
      <c r="Q84" s="160">
        <f>MIN(MAX(0,Q75-Q78),Q83)</f>
        <v/>
      </c>
      <c r="R84" s="160">
        <f>MIN(MAX(0,R75-R78),R83)</f>
        <v/>
      </c>
      <c r="S84" s="160">
        <f>MIN(MAX(0,S75-S78),S83)</f>
        <v/>
      </c>
      <c r="T84" s="160">
        <f>MIN(MAX(0,T75-T78),T83)</f>
        <v/>
      </c>
      <c r="U84" s="160">
        <f>MIN(MAX(0,U75-U78),U83)</f>
        <v/>
      </c>
      <c r="V84" s="160">
        <f>MIN(MAX(0,V75-V78),V83)</f>
        <v/>
      </c>
      <c r="W84" s="160">
        <f>MIN(MAX(0,W75-W78),W83)</f>
        <v/>
      </c>
      <c r="X84" s="160">
        <f>MIN(MAX(0,X75-X78),X83)</f>
        <v/>
      </c>
      <c r="Y84" s="160">
        <f>MIN(MAX(0,Y75-Y78),Y83)</f>
        <v/>
      </c>
      <c r="Z84" s="160">
        <f>MIN(MAX(0,Z75-Z78),Z83)</f>
        <v/>
      </c>
      <c r="AA84" s="160">
        <f>MIN(MAX(0,AA75-AA78),AA83)</f>
        <v/>
      </c>
      <c r="AB84" s="160">
        <f>MIN(MAX(0,AB75-AB78),AB83)</f>
        <v/>
      </c>
      <c r="AC84" s="160">
        <f>MIN(MAX(0,AC75-AC78),AC83)</f>
        <v/>
      </c>
      <c r="AD84" s="160">
        <f>MIN(MAX(0,AD75-AD78),AD83)</f>
        <v/>
      </c>
      <c r="AE84" s="160">
        <f>MIN(MAX(0,AE75-AE78),AE83)</f>
        <v/>
      </c>
      <c r="AF84" s="160">
        <f>MIN(MAX(0,AF75-AF78),AF83)</f>
        <v/>
      </c>
      <c r="AG84" s="160">
        <f>MIN(MAX(0,AG75-AG78),AG83)</f>
        <v/>
      </c>
      <c r="AH84" s="160">
        <f>MIN(MAX(0,AH75-AH78),AH83)</f>
        <v/>
      </c>
      <c r="AI84" s="160">
        <f>MIN(MAX(0,AI75-AI78),AI83)</f>
        <v/>
      </c>
      <c r="AJ84" s="160">
        <f>MIN(MAX(0,AJ75-AJ78),AJ83)</f>
        <v/>
      </c>
      <c r="AK84" s="160">
        <f>MIN(MAX(0,AK75-AK78),AK83)</f>
        <v/>
      </c>
      <c r="AL84" s="160">
        <f>MIN(MAX(0,AL75-AL78),AL83)</f>
        <v/>
      </c>
      <c r="AM84" s="160">
        <f>MIN(MAX(0,AM75-AM78),AM83)</f>
        <v/>
      </c>
      <c r="AN84" s="160">
        <f>MIN(MAX(0,AN75-AN78),AN83)</f>
        <v/>
      </c>
      <c r="AO84" s="160">
        <f>MIN(MAX(0,AO75-AO78),AO83)</f>
        <v/>
      </c>
      <c r="AP84" s="160">
        <f>MIN(MAX(0,AP75-AP78),AP83)</f>
        <v/>
      </c>
      <c r="AQ84" s="160">
        <f>MIN(MAX(0,AQ75-AQ78),AQ83)</f>
        <v/>
      </c>
      <c r="AR84" s="160">
        <f>MIN(MAX(0,AR75-AR78),AR83)</f>
        <v/>
      </c>
      <c r="AS84" s="160">
        <f>MIN(MAX(0,AS75-AS78),AS83)</f>
        <v/>
      </c>
      <c r="AT84" s="160">
        <f>MIN(MAX(0,AT75-AT78),AT83)</f>
        <v/>
      </c>
      <c r="AU84" s="160">
        <f>MIN(MAX(0,AU75-AU78),AU83)</f>
        <v/>
      </c>
      <c r="AV84" s="160">
        <f>MIN(MAX(0,AV75-AV78),AV83)</f>
        <v/>
      </c>
      <c r="AW84" s="160">
        <f>MIN(MAX(0,AW75-AW78),AW83)</f>
        <v/>
      </c>
      <c r="AX84" s="160">
        <f>MIN(MAX(0,AX75-AX78),AX83)</f>
        <v/>
      </c>
      <c r="AY84" s="160">
        <f>MIN(MAX(0,AY75-AY78),AY83)</f>
        <v/>
      </c>
      <c r="AZ84" s="160">
        <f>MIN(MAX(0,AZ75-AZ78),AZ83)</f>
        <v/>
      </c>
      <c r="BA84" s="160">
        <f>MIN(MAX(0,BA75-BA78),BA83)</f>
        <v/>
      </c>
      <c r="BB84" s="160">
        <f>MIN(MAX(0,BB75-BB78),BB83)</f>
        <v/>
      </c>
    </row>
    <row r="85" ht="15" customHeight="1" s="91">
      <c r="B85" s="153" t="inlineStr">
        <is>
          <t>Unpaid Pref (Closing)  غير المدفوع (نهاية)</t>
        </is>
      </c>
      <c r="C85" s="153" t="inlineStr">
        <is>
          <t>SAR</t>
        </is>
      </c>
      <c r="E85" s="160">
        <f>E83-E84</f>
        <v/>
      </c>
      <c r="F85" s="160">
        <f>F83-F84</f>
        <v/>
      </c>
      <c r="G85" s="160">
        <f>G83-G84</f>
        <v/>
      </c>
      <c r="H85" s="160">
        <f>H83-H84</f>
        <v/>
      </c>
      <c r="I85" s="160">
        <f>I83-I84</f>
        <v/>
      </c>
      <c r="J85" s="160">
        <f>J83-J84</f>
        <v/>
      </c>
      <c r="K85" s="160">
        <f>K83-K84</f>
        <v/>
      </c>
      <c r="L85" s="160">
        <f>L83-L84</f>
        <v/>
      </c>
      <c r="M85" s="160">
        <f>M83-M84</f>
        <v/>
      </c>
      <c r="N85" s="160">
        <f>N83-N84</f>
        <v/>
      </c>
      <c r="O85" s="160">
        <f>O83-O84</f>
        <v/>
      </c>
      <c r="P85" s="160">
        <f>P83-P84</f>
        <v/>
      </c>
      <c r="Q85" s="160">
        <f>Q83-Q84</f>
        <v/>
      </c>
      <c r="R85" s="160">
        <f>R83-R84</f>
        <v/>
      </c>
      <c r="S85" s="160">
        <f>S83-S84</f>
        <v/>
      </c>
      <c r="T85" s="160">
        <f>T83-T84</f>
        <v/>
      </c>
      <c r="U85" s="160">
        <f>U83-U84</f>
        <v/>
      </c>
      <c r="V85" s="160">
        <f>V83-V84</f>
        <v/>
      </c>
      <c r="W85" s="160">
        <f>W83-W84</f>
        <v/>
      </c>
      <c r="X85" s="160">
        <f>X83-X84</f>
        <v/>
      </c>
      <c r="Y85" s="160">
        <f>Y83-Y84</f>
        <v/>
      </c>
      <c r="Z85" s="160">
        <f>Z83-Z84</f>
        <v/>
      </c>
      <c r="AA85" s="160">
        <f>AA83-AA84</f>
        <v/>
      </c>
      <c r="AB85" s="160">
        <f>AB83-AB84</f>
        <v/>
      </c>
      <c r="AC85" s="160">
        <f>AC83-AC84</f>
        <v/>
      </c>
      <c r="AD85" s="160">
        <f>AD83-AD84</f>
        <v/>
      </c>
      <c r="AE85" s="160">
        <f>AE83-AE84</f>
        <v/>
      </c>
      <c r="AF85" s="160">
        <f>AF83-AF84</f>
        <v/>
      </c>
      <c r="AG85" s="160">
        <f>AG83-AG84</f>
        <v/>
      </c>
      <c r="AH85" s="160">
        <f>AH83-AH84</f>
        <v/>
      </c>
      <c r="AI85" s="160">
        <f>AI83-AI84</f>
        <v/>
      </c>
      <c r="AJ85" s="160">
        <f>AJ83-AJ84</f>
        <v/>
      </c>
      <c r="AK85" s="160">
        <f>AK83-AK84</f>
        <v/>
      </c>
      <c r="AL85" s="160">
        <f>AL83-AL84</f>
        <v/>
      </c>
      <c r="AM85" s="160">
        <f>AM83-AM84</f>
        <v/>
      </c>
      <c r="AN85" s="160">
        <f>AN83-AN84</f>
        <v/>
      </c>
      <c r="AO85" s="160">
        <f>AO83-AO84</f>
        <v/>
      </c>
      <c r="AP85" s="160">
        <f>AP83-AP84</f>
        <v/>
      </c>
      <c r="AQ85" s="160">
        <f>AQ83-AQ84</f>
        <v/>
      </c>
      <c r="AR85" s="160">
        <f>AR83-AR84</f>
        <v/>
      </c>
      <c r="AS85" s="160">
        <f>AS83-AS84</f>
        <v/>
      </c>
      <c r="AT85" s="160">
        <f>AT83-AT84</f>
        <v/>
      </c>
      <c r="AU85" s="160">
        <f>AU83-AU84</f>
        <v/>
      </c>
      <c r="AV85" s="160">
        <f>AV83-AV84</f>
        <v/>
      </c>
      <c r="AW85" s="160">
        <f>AW83-AW84</f>
        <v/>
      </c>
      <c r="AX85" s="160">
        <f>AX83-AX84</f>
        <v/>
      </c>
      <c r="AY85" s="160">
        <f>AY83-AY84</f>
        <v/>
      </c>
      <c r="AZ85" s="160">
        <f>AZ83-AZ84</f>
        <v/>
      </c>
      <c r="BA85" s="160">
        <f>BA83-BA84</f>
        <v/>
      </c>
      <c r="BB85" s="160">
        <f>BB83-BB84</f>
        <v/>
      </c>
    </row>
    <row r="87" ht="15" customHeight="1" s="91">
      <c r="B87" s="153" t="inlineStr">
        <is>
          <t>Remaining After ROC + Pref  المتبقي</t>
        </is>
      </c>
      <c r="C87" s="153" t="inlineStr">
        <is>
          <t>SAR</t>
        </is>
      </c>
      <c r="E87" s="160">
        <f>MAX(0,E75-E78-E84)</f>
        <v/>
      </c>
      <c r="F87" s="160">
        <f>MAX(0,F75-F78-F84)</f>
        <v/>
      </c>
      <c r="G87" s="160">
        <f>MAX(0,G75-G78-G84)</f>
        <v/>
      </c>
      <c r="H87" s="160">
        <f>MAX(0,H75-H78-H84)</f>
        <v/>
      </c>
      <c r="I87" s="160">
        <f>MAX(0,I75-I78-I84)</f>
        <v/>
      </c>
      <c r="J87" s="160">
        <f>MAX(0,J75-J78-J84)</f>
        <v/>
      </c>
      <c r="K87" s="160">
        <f>MAX(0,K75-K78-K84)</f>
        <v/>
      </c>
      <c r="L87" s="160">
        <f>MAX(0,L75-L78-L84)</f>
        <v/>
      </c>
      <c r="M87" s="160">
        <f>MAX(0,M75-M78-M84)</f>
        <v/>
      </c>
      <c r="N87" s="160">
        <f>MAX(0,N75-N78-N84)</f>
        <v/>
      </c>
      <c r="O87" s="160">
        <f>MAX(0,O75-O78-O84)</f>
        <v/>
      </c>
      <c r="P87" s="160">
        <f>MAX(0,P75-P78-P84)</f>
        <v/>
      </c>
      <c r="Q87" s="160">
        <f>MAX(0,Q75-Q78-Q84)</f>
        <v/>
      </c>
      <c r="R87" s="160">
        <f>MAX(0,R75-R78-R84)</f>
        <v/>
      </c>
      <c r="S87" s="160">
        <f>MAX(0,S75-S78-S84)</f>
        <v/>
      </c>
      <c r="T87" s="160">
        <f>MAX(0,T75-T78-T84)</f>
        <v/>
      </c>
      <c r="U87" s="160">
        <f>MAX(0,U75-U78-U84)</f>
        <v/>
      </c>
      <c r="V87" s="160">
        <f>MAX(0,V75-V78-V84)</f>
        <v/>
      </c>
      <c r="W87" s="160">
        <f>MAX(0,W75-W78-W84)</f>
        <v/>
      </c>
      <c r="X87" s="160">
        <f>MAX(0,X75-X78-X84)</f>
        <v/>
      </c>
      <c r="Y87" s="160">
        <f>MAX(0,Y75-Y78-Y84)</f>
        <v/>
      </c>
      <c r="Z87" s="160">
        <f>MAX(0,Z75-Z78-Z84)</f>
        <v/>
      </c>
      <c r="AA87" s="160">
        <f>MAX(0,AA75-AA78-AA84)</f>
        <v/>
      </c>
      <c r="AB87" s="160">
        <f>MAX(0,AB75-AB78-AB84)</f>
        <v/>
      </c>
      <c r="AC87" s="160">
        <f>MAX(0,AC75-AC78-AC84)</f>
        <v/>
      </c>
      <c r="AD87" s="160">
        <f>MAX(0,AD75-AD78-AD84)</f>
        <v/>
      </c>
      <c r="AE87" s="160">
        <f>MAX(0,AE75-AE78-AE84)</f>
        <v/>
      </c>
      <c r="AF87" s="160">
        <f>MAX(0,AF75-AF78-AF84)</f>
        <v/>
      </c>
      <c r="AG87" s="160">
        <f>MAX(0,AG75-AG78-AG84)</f>
        <v/>
      </c>
      <c r="AH87" s="160">
        <f>MAX(0,AH75-AH78-AH84)</f>
        <v/>
      </c>
      <c r="AI87" s="160">
        <f>MAX(0,AI75-AI78-AI84)</f>
        <v/>
      </c>
      <c r="AJ87" s="160">
        <f>MAX(0,AJ75-AJ78-AJ84)</f>
        <v/>
      </c>
      <c r="AK87" s="160">
        <f>MAX(0,AK75-AK78-AK84)</f>
        <v/>
      </c>
      <c r="AL87" s="160">
        <f>MAX(0,AL75-AL78-AL84)</f>
        <v/>
      </c>
      <c r="AM87" s="160">
        <f>MAX(0,AM75-AM78-AM84)</f>
        <v/>
      </c>
      <c r="AN87" s="160">
        <f>MAX(0,AN75-AN78-AN84)</f>
        <v/>
      </c>
      <c r="AO87" s="160">
        <f>MAX(0,AO75-AO78-AO84)</f>
        <v/>
      </c>
      <c r="AP87" s="160">
        <f>MAX(0,AP75-AP78-AP84)</f>
        <v/>
      </c>
      <c r="AQ87" s="160">
        <f>MAX(0,AQ75-AQ78-AQ84)</f>
        <v/>
      </c>
      <c r="AR87" s="160">
        <f>MAX(0,AR75-AR78-AR84)</f>
        <v/>
      </c>
      <c r="AS87" s="160">
        <f>MAX(0,AS75-AS78-AS84)</f>
        <v/>
      </c>
      <c r="AT87" s="160">
        <f>MAX(0,AT75-AT78-AT84)</f>
        <v/>
      </c>
      <c r="AU87" s="160">
        <f>MAX(0,AU75-AU78-AU84)</f>
        <v/>
      </c>
      <c r="AV87" s="160">
        <f>MAX(0,AV75-AV78-AV84)</f>
        <v/>
      </c>
      <c r="AW87" s="160">
        <f>MAX(0,AW75-AW78-AW84)</f>
        <v/>
      </c>
      <c r="AX87" s="160">
        <f>MAX(0,AX75-AX78-AX84)</f>
        <v/>
      </c>
      <c r="AY87" s="160">
        <f>MAX(0,AY75-AY78-AY84)</f>
        <v/>
      </c>
      <c r="AZ87" s="160">
        <f>MAX(0,AZ75-AZ78-AZ84)</f>
        <v/>
      </c>
      <c r="BA87" s="160">
        <f>MAX(0,BA75-BA78-BA84)</f>
        <v/>
      </c>
      <c r="BB87" s="160">
        <f>MAX(0,BB75-BB78-BB84)</f>
        <v/>
      </c>
    </row>
    <row r="88" ht="15" customHeight="1" s="91">
      <c r="B88" s="153" t="inlineStr">
        <is>
          <t>Tier 3: GP Catch-up  تعويض المطور</t>
        </is>
      </c>
      <c r="C88" s="153" t="inlineStr">
        <is>
          <t>SAR</t>
        </is>
      </c>
      <c r="D88" s="157">
        <f>SUM(E88:BB88)</f>
        <v/>
      </c>
      <c r="E88" s="160">
        <f>IF($C$37="Y",MIN(E87,E84*$C$38/(1-$C$38)),0)</f>
        <v/>
      </c>
      <c r="F88" s="160">
        <f>IF($C$37="Y",MIN(F87,F84*$C$38/(1-$C$38)),0)</f>
        <v/>
      </c>
      <c r="G88" s="160">
        <f>IF($C$37="Y",MIN(G87,G84*$C$38/(1-$C$38)),0)</f>
        <v/>
      </c>
      <c r="H88" s="160">
        <f>IF($C$37="Y",MIN(H87,H84*$C$38/(1-$C$38)),0)</f>
        <v/>
      </c>
      <c r="I88" s="160">
        <f>IF($C$37="Y",MIN(I87,I84*$C$38/(1-$C$38)),0)</f>
        <v/>
      </c>
      <c r="J88" s="160">
        <f>IF($C$37="Y",MIN(J87,J84*$C$38/(1-$C$38)),0)</f>
        <v/>
      </c>
      <c r="K88" s="160">
        <f>IF($C$37="Y",MIN(K87,K84*$C$38/(1-$C$38)),0)</f>
        <v/>
      </c>
      <c r="L88" s="160">
        <f>IF($C$37="Y",MIN(L87,L84*$C$38/(1-$C$38)),0)</f>
        <v/>
      </c>
      <c r="M88" s="160">
        <f>IF($C$37="Y",MIN(M87,M84*$C$38/(1-$C$38)),0)</f>
        <v/>
      </c>
      <c r="N88" s="160">
        <f>IF($C$37="Y",MIN(N87,N84*$C$38/(1-$C$38)),0)</f>
        <v/>
      </c>
      <c r="O88" s="160">
        <f>IF($C$37="Y",MIN(O87,O84*$C$38/(1-$C$38)),0)</f>
        <v/>
      </c>
      <c r="P88" s="160">
        <f>IF($C$37="Y",MIN(P87,P84*$C$38/(1-$C$38)),0)</f>
        <v/>
      </c>
      <c r="Q88" s="160">
        <f>IF($C$37="Y",MIN(Q87,Q84*$C$38/(1-$C$38)),0)</f>
        <v/>
      </c>
      <c r="R88" s="160">
        <f>IF($C$37="Y",MIN(R87,R84*$C$38/(1-$C$38)),0)</f>
        <v/>
      </c>
      <c r="S88" s="160">
        <f>IF($C$37="Y",MIN(S87,S84*$C$38/(1-$C$38)),0)</f>
        <v/>
      </c>
      <c r="T88" s="160">
        <f>IF($C$37="Y",MIN(T87,T84*$C$38/(1-$C$38)),0)</f>
        <v/>
      </c>
      <c r="U88" s="160">
        <f>IF($C$37="Y",MIN(U87,U84*$C$38/(1-$C$38)),0)</f>
        <v/>
      </c>
      <c r="V88" s="160">
        <f>IF($C$37="Y",MIN(V87,V84*$C$38/(1-$C$38)),0)</f>
        <v/>
      </c>
      <c r="W88" s="160">
        <f>IF($C$37="Y",MIN(W87,W84*$C$38/(1-$C$38)),0)</f>
        <v/>
      </c>
      <c r="X88" s="160">
        <f>IF($C$37="Y",MIN(X87,X84*$C$38/(1-$C$38)),0)</f>
        <v/>
      </c>
      <c r="Y88" s="160">
        <f>IF($C$37="Y",MIN(Y87,Y84*$C$38/(1-$C$38)),0)</f>
        <v/>
      </c>
      <c r="Z88" s="160">
        <f>IF($C$37="Y",MIN(Z87,Z84*$C$38/(1-$C$38)),0)</f>
        <v/>
      </c>
      <c r="AA88" s="160">
        <f>IF($C$37="Y",MIN(AA87,AA84*$C$38/(1-$C$38)),0)</f>
        <v/>
      </c>
      <c r="AB88" s="160">
        <f>IF($C$37="Y",MIN(AB87,AB84*$C$38/(1-$C$38)),0)</f>
        <v/>
      </c>
      <c r="AC88" s="160">
        <f>IF($C$37="Y",MIN(AC87,AC84*$C$38/(1-$C$38)),0)</f>
        <v/>
      </c>
      <c r="AD88" s="160">
        <f>IF($C$37="Y",MIN(AD87,AD84*$C$38/(1-$C$38)),0)</f>
        <v/>
      </c>
      <c r="AE88" s="160">
        <f>IF($C$37="Y",MIN(AE87,AE84*$C$38/(1-$C$38)),0)</f>
        <v/>
      </c>
      <c r="AF88" s="160">
        <f>IF($C$37="Y",MIN(AF87,AF84*$C$38/(1-$C$38)),0)</f>
        <v/>
      </c>
      <c r="AG88" s="160">
        <f>IF($C$37="Y",MIN(AG87,AG84*$C$38/(1-$C$38)),0)</f>
        <v/>
      </c>
      <c r="AH88" s="160">
        <f>IF($C$37="Y",MIN(AH87,AH84*$C$38/(1-$C$38)),0)</f>
        <v/>
      </c>
      <c r="AI88" s="160">
        <f>IF($C$37="Y",MIN(AI87,AI84*$C$38/(1-$C$38)),0)</f>
        <v/>
      </c>
      <c r="AJ88" s="160">
        <f>IF($C$37="Y",MIN(AJ87,AJ84*$C$38/(1-$C$38)),0)</f>
        <v/>
      </c>
      <c r="AK88" s="160">
        <f>IF($C$37="Y",MIN(AK87,AK84*$C$38/(1-$C$38)),0)</f>
        <v/>
      </c>
      <c r="AL88" s="160">
        <f>IF($C$37="Y",MIN(AL87,AL84*$C$38/(1-$C$38)),0)</f>
        <v/>
      </c>
      <c r="AM88" s="160">
        <f>IF($C$37="Y",MIN(AM87,AM84*$C$38/(1-$C$38)),0)</f>
        <v/>
      </c>
      <c r="AN88" s="160">
        <f>IF($C$37="Y",MIN(AN87,AN84*$C$38/(1-$C$38)),0)</f>
        <v/>
      </c>
      <c r="AO88" s="160">
        <f>IF($C$37="Y",MIN(AO87,AO84*$C$38/(1-$C$38)),0)</f>
        <v/>
      </c>
      <c r="AP88" s="160">
        <f>IF($C$37="Y",MIN(AP87,AP84*$C$38/(1-$C$38)),0)</f>
        <v/>
      </c>
      <c r="AQ88" s="160">
        <f>IF($C$37="Y",MIN(AQ87,AQ84*$C$38/(1-$C$38)),0)</f>
        <v/>
      </c>
      <c r="AR88" s="160">
        <f>IF($C$37="Y",MIN(AR87,AR84*$C$38/(1-$C$38)),0)</f>
        <v/>
      </c>
      <c r="AS88" s="160">
        <f>IF($C$37="Y",MIN(AS87,AS84*$C$38/(1-$C$38)),0)</f>
        <v/>
      </c>
      <c r="AT88" s="160">
        <f>IF($C$37="Y",MIN(AT87,AT84*$C$38/(1-$C$38)),0)</f>
        <v/>
      </c>
      <c r="AU88" s="160">
        <f>IF($C$37="Y",MIN(AU87,AU84*$C$38/(1-$C$38)),0)</f>
        <v/>
      </c>
      <c r="AV88" s="160">
        <f>IF($C$37="Y",MIN(AV87,AV84*$C$38/(1-$C$38)),0)</f>
        <v/>
      </c>
      <c r="AW88" s="160">
        <f>IF($C$37="Y",MIN(AW87,AW84*$C$38/(1-$C$38)),0)</f>
        <v/>
      </c>
      <c r="AX88" s="160">
        <f>IF($C$37="Y",MIN(AX87,AX84*$C$38/(1-$C$38)),0)</f>
        <v/>
      </c>
      <c r="AY88" s="160">
        <f>IF($C$37="Y",MIN(AY87,AY84*$C$38/(1-$C$38)),0)</f>
        <v/>
      </c>
      <c r="AZ88" s="160">
        <f>IF($C$37="Y",MIN(AZ87,AZ84*$C$38/(1-$C$38)),0)</f>
        <v/>
      </c>
      <c r="BA88" s="160">
        <f>IF($C$37="Y",MIN(BA87,BA84*$C$38/(1-$C$38)),0)</f>
        <v/>
      </c>
      <c r="BB88" s="160">
        <f>IF($C$37="Y",MIN(BB87,BB84*$C$38/(1-$C$38)),0)</f>
        <v/>
      </c>
    </row>
    <row r="89" ht="15" customHeight="1" s="91">
      <c r="B89" s="153" t="inlineStr">
        <is>
          <t>Tier 4: Profit Split  تقسيم الأرباح</t>
        </is>
      </c>
      <c r="C89" s="153" t="inlineStr">
        <is>
          <t>SAR</t>
        </is>
      </c>
      <c r="D89" s="157">
        <f>SUM(E89:BB89)</f>
        <v/>
      </c>
      <c r="E89" s="160">
        <f>MAX(0,E87-E88)</f>
        <v/>
      </c>
      <c r="F89" s="160">
        <f>MAX(0,F87-F88)</f>
        <v/>
      </c>
      <c r="G89" s="160">
        <f>MAX(0,G87-G88)</f>
        <v/>
      </c>
      <c r="H89" s="160">
        <f>MAX(0,H87-H88)</f>
        <v/>
      </c>
      <c r="I89" s="160">
        <f>MAX(0,I87-I88)</f>
        <v/>
      </c>
      <c r="J89" s="160">
        <f>MAX(0,J87-J88)</f>
        <v/>
      </c>
      <c r="K89" s="160">
        <f>MAX(0,K87-K88)</f>
        <v/>
      </c>
      <c r="L89" s="160">
        <f>MAX(0,L87-L88)</f>
        <v/>
      </c>
      <c r="M89" s="160">
        <f>MAX(0,M87-M88)</f>
        <v/>
      </c>
      <c r="N89" s="160">
        <f>MAX(0,N87-N88)</f>
        <v/>
      </c>
      <c r="O89" s="160">
        <f>MAX(0,O87-O88)</f>
        <v/>
      </c>
      <c r="P89" s="160">
        <f>MAX(0,P87-P88)</f>
        <v/>
      </c>
      <c r="Q89" s="160">
        <f>MAX(0,Q87-Q88)</f>
        <v/>
      </c>
      <c r="R89" s="160">
        <f>MAX(0,R87-R88)</f>
        <v/>
      </c>
      <c r="S89" s="160">
        <f>MAX(0,S87-S88)</f>
        <v/>
      </c>
      <c r="T89" s="160">
        <f>MAX(0,T87-T88)</f>
        <v/>
      </c>
      <c r="U89" s="160">
        <f>MAX(0,U87-U88)</f>
        <v/>
      </c>
      <c r="V89" s="160">
        <f>MAX(0,V87-V88)</f>
        <v/>
      </c>
      <c r="W89" s="160">
        <f>MAX(0,W87-W88)</f>
        <v/>
      </c>
      <c r="X89" s="160">
        <f>MAX(0,X87-X88)</f>
        <v/>
      </c>
      <c r="Y89" s="160">
        <f>MAX(0,Y87-Y88)</f>
        <v/>
      </c>
      <c r="Z89" s="160">
        <f>MAX(0,Z87-Z88)</f>
        <v/>
      </c>
      <c r="AA89" s="160">
        <f>MAX(0,AA87-AA88)</f>
        <v/>
      </c>
      <c r="AB89" s="160">
        <f>MAX(0,AB87-AB88)</f>
        <v/>
      </c>
      <c r="AC89" s="160">
        <f>MAX(0,AC87-AC88)</f>
        <v/>
      </c>
      <c r="AD89" s="160">
        <f>MAX(0,AD87-AD88)</f>
        <v/>
      </c>
      <c r="AE89" s="160">
        <f>MAX(0,AE87-AE88)</f>
        <v/>
      </c>
      <c r="AF89" s="160">
        <f>MAX(0,AF87-AF88)</f>
        <v/>
      </c>
      <c r="AG89" s="160">
        <f>MAX(0,AG87-AG88)</f>
        <v/>
      </c>
      <c r="AH89" s="160">
        <f>MAX(0,AH87-AH88)</f>
        <v/>
      </c>
      <c r="AI89" s="160">
        <f>MAX(0,AI87-AI88)</f>
        <v/>
      </c>
      <c r="AJ89" s="160">
        <f>MAX(0,AJ87-AJ88)</f>
        <v/>
      </c>
      <c r="AK89" s="160">
        <f>MAX(0,AK87-AK88)</f>
        <v/>
      </c>
      <c r="AL89" s="160">
        <f>MAX(0,AL87-AL88)</f>
        <v/>
      </c>
      <c r="AM89" s="160">
        <f>MAX(0,AM87-AM88)</f>
        <v/>
      </c>
      <c r="AN89" s="160">
        <f>MAX(0,AN87-AN88)</f>
        <v/>
      </c>
      <c r="AO89" s="160">
        <f>MAX(0,AO87-AO88)</f>
        <v/>
      </c>
      <c r="AP89" s="160">
        <f>MAX(0,AP87-AP88)</f>
        <v/>
      </c>
      <c r="AQ89" s="160">
        <f>MAX(0,AQ87-AQ88)</f>
        <v/>
      </c>
      <c r="AR89" s="160">
        <f>MAX(0,AR87-AR88)</f>
        <v/>
      </c>
      <c r="AS89" s="160">
        <f>MAX(0,AS87-AS88)</f>
        <v/>
      </c>
      <c r="AT89" s="160">
        <f>MAX(0,AT87-AT88)</f>
        <v/>
      </c>
      <c r="AU89" s="160">
        <f>MAX(0,AU87-AU88)</f>
        <v/>
      </c>
      <c r="AV89" s="160">
        <f>MAX(0,AV87-AV88)</f>
        <v/>
      </c>
      <c r="AW89" s="160">
        <f>MAX(0,AW87-AW88)</f>
        <v/>
      </c>
      <c r="AX89" s="160">
        <f>MAX(0,AX87-AX88)</f>
        <v/>
      </c>
      <c r="AY89" s="160">
        <f>MAX(0,AY87-AY88)</f>
        <v/>
      </c>
      <c r="AZ89" s="160">
        <f>MAX(0,AZ87-AZ88)</f>
        <v/>
      </c>
      <c r="BA89" s="160">
        <f>MAX(0,BA87-BA88)</f>
        <v/>
      </c>
      <c r="BB89" s="160">
        <f>MAX(0,BB87-BB88)</f>
        <v/>
      </c>
    </row>
    <row r="90" ht="15" customHeight="1" s="91">
      <c r="B90" s="153" t="inlineStr">
        <is>
          <t xml:space="preserve">  → LP  حصة المستثمرين</t>
        </is>
      </c>
      <c r="C90" s="153" t="inlineStr">
        <is>
          <t>SAR</t>
        </is>
      </c>
      <c r="D90" s="160">
        <f>SUM(E90:BB90)</f>
        <v/>
      </c>
      <c r="E90" s="160">
        <f>E89*(1-$C$38)</f>
        <v/>
      </c>
      <c r="F90" s="160">
        <f>F89*(1-$C$38)</f>
        <v/>
      </c>
      <c r="G90" s="160">
        <f>G89*(1-$C$38)</f>
        <v/>
      </c>
      <c r="H90" s="160">
        <f>H89*(1-$C$38)</f>
        <v/>
      </c>
      <c r="I90" s="160">
        <f>I89*(1-$C$38)</f>
        <v/>
      </c>
      <c r="J90" s="160">
        <f>J89*(1-$C$38)</f>
        <v/>
      </c>
      <c r="K90" s="160">
        <f>K89*(1-$C$38)</f>
        <v/>
      </c>
      <c r="L90" s="160">
        <f>L89*(1-$C$38)</f>
        <v/>
      </c>
      <c r="M90" s="160">
        <f>M89*(1-$C$38)</f>
        <v/>
      </c>
      <c r="N90" s="160">
        <f>N89*(1-$C$38)</f>
        <v/>
      </c>
      <c r="O90" s="160">
        <f>O89*(1-$C$38)</f>
        <v/>
      </c>
      <c r="P90" s="160">
        <f>P89*(1-$C$38)</f>
        <v/>
      </c>
      <c r="Q90" s="160">
        <f>Q89*(1-$C$38)</f>
        <v/>
      </c>
      <c r="R90" s="160">
        <f>R89*(1-$C$38)</f>
        <v/>
      </c>
      <c r="S90" s="160">
        <f>S89*(1-$C$38)</f>
        <v/>
      </c>
      <c r="T90" s="160">
        <f>T89*(1-$C$38)</f>
        <v/>
      </c>
      <c r="U90" s="160">
        <f>U89*(1-$C$38)</f>
        <v/>
      </c>
      <c r="V90" s="160">
        <f>V89*(1-$C$38)</f>
        <v/>
      </c>
      <c r="W90" s="160">
        <f>W89*(1-$C$38)</f>
        <v/>
      </c>
      <c r="X90" s="160">
        <f>X89*(1-$C$38)</f>
        <v/>
      </c>
      <c r="Y90" s="160">
        <f>Y89*(1-$C$38)</f>
        <v/>
      </c>
      <c r="Z90" s="160">
        <f>Z89*(1-$C$38)</f>
        <v/>
      </c>
      <c r="AA90" s="160">
        <f>AA89*(1-$C$38)</f>
        <v/>
      </c>
      <c r="AB90" s="160">
        <f>AB89*(1-$C$38)</f>
        <v/>
      </c>
      <c r="AC90" s="160">
        <f>AC89*(1-$C$38)</f>
        <v/>
      </c>
      <c r="AD90" s="160">
        <f>AD89*(1-$C$38)</f>
        <v/>
      </c>
      <c r="AE90" s="160">
        <f>AE89*(1-$C$38)</f>
        <v/>
      </c>
      <c r="AF90" s="160">
        <f>AF89*(1-$C$38)</f>
        <v/>
      </c>
      <c r="AG90" s="160">
        <f>AG89*(1-$C$38)</f>
        <v/>
      </c>
      <c r="AH90" s="160">
        <f>AH89*(1-$C$38)</f>
        <v/>
      </c>
      <c r="AI90" s="160">
        <f>AI89*(1-$C$38)</f>
        <v/>
      </c>
      <c r="AJ90" s="160">
        <f>AJ89*(1-$C$38)</f>
        <v/>
      </c>
      <c r="AK90" s="160">
        <f>AK89*(1-$C$38)</f>
        <v/>
      </c>
      <c r="AL90" s="160">
        <f>AL89*(1-$C$38)</f>
        <v/>
      </c>
      <c r="AM90" s="160">
        <f>AM89*(1-$C$38)</f>
        <v/>
      </c>
      <c r="AN90" s="160">
        <f>AN89*(1-$C$38)</f>
        <v/>
      </c>
      <c r="AO90" s="160">
        <f>AO89*(1-$C$38)</f>
        <v/>
      </c>
      <c r="AP90" s="160">
        <f>AP89*(1-$C$38)</f>
        <v/>
      </c>
      <c r="AQ90" s="160">
        <f>AQ89*(1-$C$38)</f>
        <v/>
      </c>
      <c r="AR90" s="160">
        <f>AR89*(1-$C$38)</f>
        <v/>
      </c>
      <c r="AS90" s="160">
        <f>AS89*(1-$C$38)</f>
        <v/>
      </c>
      <c r="AT90" s="160">
        <f>AT89*(1-$C$38)</f>
        <v/>
      </c>
      <c r="AU90" s="160">
        <f>AU89*(1-$C$38)</f>
        <v/>
      </c>
      <c r="AV90" s="160">
        <f>AV89*(1-$C$38)</f>
        <v/>
      </c>
      <c r="AW90" s="160">
        <f>AW89*(1-$C$38)</f>
        <v/>
      </c>
      <c r="AX90" s="160">
        <f>AX89*(1-$C$38)</f>
        <v/>
      </c>
      <c r="AY90" s="160">
        <f>AY89*(1-$C$38)</f>
        <v/>
      </c>
      <c r="AZ90" s="160">
        <f>AZ89*(1-$C$38)</f>
        <v/>
      </c>
      <c r="BA90" s="160">
        <f>BA89*(1-$C$38)</f>
        <v/>
      </c>
      <c r="BB90" s="160">
        <f>BB89*(1-$C$38)</f>
        <v/>
      </c>
    </row>
    <row r="91" ht="15" customHeight="1" s="91">
      <c r="B91" s="153" t="inlineStr">
        <is>
          <t xml:space="preserve">  → GP / Carry  حصة الأداء</t>
        </is>
      </c>
      <c r="C91" s="153" t="inlineStr">
        <is>
          <t>SAR</t>
        </is>
      </c>
      <c r="D91" s="160">
        <f>SUM(E91:BB91)</f>
        <v/>
      </c>
      <c r="E91" s="160">
        <f>E89*$C$38</f>
        <v/>
      </c>
      <c r="F91" s="160">
        <f>F89*$C$38</f>
        <v/>
      </c>
      <c r="G91" s="160">
        <f>G89*$C$38</f>
        <v/>
      </c>
      <c r="H91" s="160">
        <f>H89*$C$38</f>
        <v/>
      </c>
      <c r="I91" s="160">
        <f>I89*$C$38</f>
        <v/>
      </c>
      <c r="J91" s="160">
        <f>J89*$C$38</f>
        <v/>
      </c>
      <c r="K91" s="160">
        <f>K89*$C$38</f>
        <v/>
      </c>
      <c r="L91" s="160">
        <f>L89*$C$38</f>
        <v/>
      </c>
      <c r="M91" s="160">
        <f>M89*$C$38</f>
        <v/>
      </c>
      <c r="N91" s="160">
        <f>N89*$C$38</f>
        <v/>
      </c>
      <c r="O91" s="160">
        <f>O89*$C$38</f>
        <v/>
      </c>
      <c r="P91" s="160">
        <f>P89*$C$38</f>
        <v/>
      </c>
      <c r="Q91" s="160">
        <f>Q89*$C$38</f>
        <v/>
      </c>
      <c r="R91" s="160">
        <f>R89*$C$38</f>
        <v/>
      </c>
      <c r="S91" s="160">
        <f>S89*$C$38</f>
        <v/>
      </c>
      <c r="T91" s="160">
        <f>T89*$C$38</f>
        <v/>
      </c>
      <c r="U91" s="160">
        <f>U89*$C$38</f>
        <v/>
      </c>
      <c r="V91" s="160">
        <f>V89*$C$38</f>
        <v/>
      </c>
      <c r="W91" s="160">
        <f>W89*$C$38</f>
        <v/>
      </c>
      <c r="X91" s="160">
        <f>X89*$C$38</f>
        <v/>
      </c>
      <c r="Y91" s="160">
        <f>Y89*$C$38</f>
        <v/>
      </c>
      <c r="Z91" s="160">
        <f>Z89*$C$38</f>
        <v/>
      </c>
      <c r="AA91" s="160">
        <f>AA89*$C$38</f>
        <v/>
      </c>
      <c r="AB91" s="160">
        <f>AB89*$C$38</f>
        <v/>
      </c>
      <c r="AC91" s="160">
        <f>AC89*$C$38</f>
        <v/>
      </c>
      <c r="AD91" s="160">
        <f>AD89*$C$38</f>
        <v/>
      </c>
      <c r="AE91" s="160">
        <f>AE89*$C$38</f>
        <v/>
      </c>
      <c r="AF91" s="160">
        <f>AF89*$C$38</f>
        <v/>
      </c>
      <c r="AG91" s="160">
        <f>AG89*$C$38</f>
        <v/>
      </c>
      <c r="AH91" s="160">
        <f>AH89*$C$38</f>
        <v/>
      </c>
      <c r="AI91" s="160">
        <f>AI89*$C$38</f>
        <v/>
      </c>
      <c r="AJ91" s="160">
        <f>AJ89*$C$38</f>
        <v/>
      </c>
      <c r="AK91" s="160">
        <f>AK89*$C$38</f>
        <v/>
      </c>
      <c r="AL91" s="160">
        <f>AL89*$C$38</f>
        <v/>
      </c>
      <c r="AM91" s="160">
        <f>AM89*$C$38</f>
        <v/>
      </c>
      <c r="AN91" s="160">
        <f>AN89*$C$38</f>
        <v/>
      </c>
      <c r="AO91" s="160">
        <f>AO89*$C$38</f>
        <v/>
      </c>
      <c r="AP91" s="160">
        <f>AP89*$C$38</f>
        <v/>
      </c>
      <c r="AQ91" s="160">
        <f>AQ89*$C$38</f>
        <v/>
      </c>
      <c r="AR91" s="160">
        <f>AR89*$C$38</f>
        <v/>
      </c>
      <c r="AS91" s="160">
        <f>AS89*$C$38</f>
        <v/>
      </c>
      <c r="AT91" s="160">
        <f>AT89*$C$38</f>
        <v/>
      </c>
      <c r="AU91" s="160">
        <f>AU89*$C$38</f>
        <v/>
      </c>
      <c r="AV91" s="160">
        <f>AV89*$C$38</f>
        <v/>
      </c>
      <c r="AW91" s="160">
        <f>AW89*$C$38</f>
        <v/>
      </c>
      <c r="AX91" s="160">
        <f>AX89*$C$38</f>
        <v/>
      </c>
      <c r="AY91" s="160">
        <f>AY89*$C$38</f>
        <v/>
      </c>
      <c r="AZ91" s="160">
        <f>AZ89*$C$38</f>
        <v/>
      </c>
      <c r="BA91" s="160">
        <f>BA89*$C$38</f>
        <v/>
      </c>
      <c r="BB91" s="160">
        <f>BB89*$C$38</f>
        <v/>
      </c>
    </row>
    <row r="93" ht="15" customHeight="1" s="91">
      <c r="B93" s="110" t="inlineStr">
        <is>
          <t>Total Distribution to LP  إجمالي توزيعات المستثمرين</t>
        </is>
      </c>
      <c r="C93" s="153" t="inlineStr">
        <is>
          <t>SAR</t>
        </is>
      </c>
      <c r="D93" s="157">
        <f>SUM(E93:BB93)</f>
        <v/>
      </c>
      <c r="E93" s="160">
        <f>E78*$C$16+E84*$C$16+E90</f>
        <v/>
      </c>
      <c r="F93" s="160">
        <f>F78*$C$16+F84*$C$16+F90</f>
        <v/>
      </c>
      <c r="G93" s="160">
        <f>G78*$C$16+G84*$C$16+G90</f>
        <v/>
      </c>
      <c r="H93" s="160">
        <f>H78*$C$16+H84*$C$16+H90</f>
        <v/>
      </c>
      <c r="I93" s="160">
        <f>I78*$C$16+I84*$C$16+I90</f>
        <v/>
      </c>
      <c r="J93" s="160">
        <f>J78*$C$16+J84*$C$16+J90</f>
        <v/>
      </c>
      <c r="K93" s="160">
        <f>K78*$C$16+K84*$C$16+K90</f>
        <v/>
      </c>
      <c r="L93" s="160">
        <f>L78*$C$16+L84*$C$16+L90</f>
        <v/>
      </c>
      <c r="M93" s="160">
        <f>M78*$C$16+M84*$C$16+M90</f>
        <v/>
      </c>
      <c r="N93" s="160">
        <f>N78*$C$16+N84*$C$16+N90</f>
        <v/>
      </c>
      <c r="O93" s="160">
        <f>O78*$C$16+O84*$C$16+O90</f>
        <v/>
      </c>
      <c r="P93" s="160">
        <f>P78*$C$16+P84*$C$16+P90</f>
        <v/>
      </c>
      <c r="Q93" s="160">
        <f>Q78*$C$16+Q84*$C$16+Q90</f>
        <v/>
      </c>
      <c r="R93" s="160">
        <f>R78*$C$16+R84*$C$16+R90</f>
        <v/>
      </c>
      <c r="S93" s="160">
        <f>S78*$C$16+S84*$C$16+S90</f>
        <v/>
      </c>
      <c r="T93" s="160">
        <f>T78*$C$16+T84*$C$16+T90</f>
        <v/>
      </c>
      <c r="U93" s="160">
        <f>U78*$C$16+U84*$C$16+U90</f>
        <v/>
      </c>
      <c r="V93" s="160">
        <f>V78*$C$16+V84*$C$16+V90</f>
        <v/>
      </c>
      <c r="W93" s="160">
        <f>W78*$C$16+W84*$C$16+W90</f>
        <v/>
      </c>
      <c r="X93" s="160">
        <f>X78*$C$16+X84*$C$16+X90</f>
        <v/>
      </c>
      <c r="Y93" s="160">
        <f>Y78*$C$16+Y84*$C$16+Y90</f>
        <v/>
      </c>
      <c r="Z93" s="160">
        <f>Z78*$C$16+Z84*$C$16+Z90</f>
        <v/>
      </c>
      <c r="AA93" s="160">
        <f>AA78*$C$16+AA84*$C$16+AA90</f>
        <v/>
      </c>
      <c r="AB93" s="160">
        <f>AB78*$C$16+AB84*$C$16+AB90</f>
        <v/>
      </c>
      <c r="AC93" s="160">
        <f>AC78*$C$16+AC84*$C$16+AC90</f>
        <v/>
      </c>
      <c r="AD93" s="160">
        <f>AD78*$C$16+AD84*$C$16+AD90</f>
        <v/>
      </c>
      <c r="AE93" s="160">
        <f>AE78*$C$16+AE84*$C$16+AE90</f>
        <v/>
      </c>
      <c r="AF93" s="160">
        <f>AF78*$C$16+AF84*$C$16+AF90</f>
        <v/>
      </c>
      <c r="AG93" s="160">
        <f>AG78*$C$16+AG84*$C$16+AG90</f>
        <v/>
      </c>
      <c r="AH93" s="160">
        <f>AH78*$C$16+AH84*$C$16+AH90</f>
        <v/>
      </c>
      <c r="AI93" s="160">
        <f>AI78*$C$16+AI84*$C$16+AI90</f>
        <v/>
      </c>
      <c r="AJ93" s="160">
        <f>AJ78*$C$16+AJ84*$C$16+AJ90</f>
        <v/>
      </c>
      <c r="AK93" s="160">
        <f>AK78*$C$16+AK84*$C$16+AK90</f>
        <v/>
      </c>
      <c r="AL93" s="160">
        <f>AL78*$C$16+AL84*$C$16+AL90</f>
        <v/>
      </c>
      <c r="AM93" s="160">
        <f>AM78*$C$16+AM84*$C$16+AM90</f>
        <v/>
      </c>
      <c r="AN93" s="160">
        <f>AN78*$C$16+AN84*$C$16+AN90</f>
        <v/>
      </c>
      <c r="AO93" s="160">
        <f>AO78*$C$16+AO84*$C$16+AO90</f>
        <v/>
      </c>
      <c r="AP93" s="160">
        <f>AP78*$C$16+AP84*$C$16+AP90</f>
        <v/>
      </c>
      <c r="AQ93" s="160">
        <f>AQ78*$C$16+AQ84*$C$16+AQ90</f>
        <v/>
      </c>
      <c r="AR93" s="160">
        <f>AR78*$C$16+AR84*$C$16+AR90</f>
        <v/>
      </c>
      <c r="AS93" s="160">
        <f>AS78*$C$16+AS84*$C$16+AS90</f>
        <v/>
      </c>
      <c r="AT93" s="160">
        <f>AT78*$C$16+AT84*$C$16+AT90</f>
        <v/>
      </c>
      <c r="AU93" s="160">
        <f>AU78*$C$16+AU84*$C$16+AU90</f>
        <v/>
      </c>
      <c r="AV93" s="160">
        <f>AV78*$C$16+AV84*$C$16+AV90</f>
        <v/>
      </c>
      <c r="AW93" s="160">
        <f>AW78*$C$16+AW84*$C$16+AW90</f>
        <v/>
      </c>
      <c r="AX93" s="160">
        <f>AX78*$C$16+AX84*$C$16+AX90</f>
        <v/>
      </c>
      <c r="AY93" s="160">
        <f>AY78*$C$16+AY84*$C$16+AY90</f>
        <v/>
      </c>
      <c r="AZ93" s="160">
        <f>AZ78*$C$16+AZ84*$C$16+AZ90</f>
        <v/>
      </c>
      <c r="BA93" s="160">
        <f>BA78*$C$16+BA84*$C$16+BA90</f>
        <v/>
      </c>
      <c r="BB93" s="160">
        <f>BB78*$C$16+BB84*$C$16+BB90</f>
        <v/>
      </c>
    </row>
    <row r="94" ht="15" customHeight="1" s="91">
      <c r="B94" s="110" t="inlineStr">
        <is>
          <t>Total Distribution to GP  إجمالي توزيعات المطور</t>
        </is>
      </c>
      <c r="C94" s="153" t="inlineStr">
        <is>
          <t>SAR</t>
        </is>
      </c>
      <c r="D94" s="157">
        <f>SUM(E94:BB94)</f>
        <v/>
      </c>
      <c r="E94" s="160">
        <f>E78*$C$15+E84*$C$15+E88+E91</f>
        <v/>
      </c>
      <c r="F94" s="160">
        <f>F78*$C$15+F84*$C$15+F88+F91</f>
        <v/>
      </c>
      <c r="G94" s="160">
        <f>G78*$C$15+G84*$C$15+G88+G91</f>
        <v/>
      </c>
      <c r="H94" s="160">
        <f>H78*$C$15+H84*$C$15+H88+H91</f>
        <v/>
      </c>
      <c r="I94" s="160">
        <f>I78*$C$15+I84*$C$15+I88+I91</f>
        <v/>
      </c>
      <c r="J94" s="160">
        <f>J78*$C$15+J84*$C$15+J88+J91</f>
        <v/>
      </c>
      <c r="K94" s="160">
        <f>K78*$C$15+K84*$C$15+K88+K91</f>
        <v/>
      </c>
      <c r="L94" s="160">
        <f>L78*$C$15+L84*$C$15+L88+L91</f>
        <v/>
      </c>
      <c r="M94" s="160">
        <f>M78*$C$15+M84*$C$15+M88+M91</f>
        <v/>
      </c>
      <c r="N94" s="160">
        <f>N78*$C$15+N84*$C$15+N88+N91</f>
        <v/>
      </c>
      <c r="O94" s="160">
        <f>O78*$C$15+O84*$C$15+O88+O91</f>
        <v/>
      </c>
      <c r="P94" s="160">
        <f>P78*$C$15+P84*$C$15+P88+P91</f>
        <v/>
      </c>
      <c r="Q94" s="160">
        <f>Q78*$C$15+Q84*$C$15+Q88+Q91</f>
        <v/>
      </c>
      <c r="R94" s="160">
        <f>R78*$C$15+R84*$C$15+R88+R91</f>
        <v/>
      </c>
      <c r="S94" s="160">
        <f>S78*$C$15+S84*$C$15+S88+S91</f>
        <v/>
      </c>
      <c r="T94" s="160">
        <f>T78*$C$15+T84*$C$15+T88+T91</f>
        <v/>
      </c>
      <c r="U94" s="160">
        <f>U78*$C$15+U84*$C$15+U88+U91</f>
        <v/>
      </c>
      <c r="V94" s="160">
        <f>V78*$C$15+V84*$C$15+V88+V91</f>
        <v/>
      </c>
      <c r="W94" s="160">
        <f>W78*$C$15+W84*$C$15+W88+W91</f>
        <v/>
      </c>
      <c r="X94" s="160">
        <f>X78*$C$15+X84*$C$15+X88+X91</f>
        <v/>
      </c>
      <c r="Y94" s="160">
        <f>Y78*$C$15+Y84*$C$15+Y88+Y91</f>
        <v/>
      </c>
      <c r="Z94" s="160">
        <f>Z78*$C$15+Z84*$C$15+Z88+Z91</f>
        <v/>
      </c>
      <c r="AA94" s="160">
        <f>AA78*$C$15+AA84*$C$15+AA88+AA91</f>
        <v/>
      </c>
      <c r="AB94" s="160">
        <f>AB78*$C$15+AB84*$C$15+AB88+AB91</f>
        <v/>
      </c>
      <c r="AC94" s="160">
        <f>AC78*$C$15+AC84*$C$15+AC88+AC91</f>
        <v/>
      </c>
      <c r="AD94" s="160">
        <f>AD78*$C$15+AD84*$C$15+AD88+AD91</f>
        <v/>
      </c>
      <c r="AE94" s="160">
        <f>AE78*$C$15+AE84*$C$15+AE88+AE91</f>
        <v/>
      </c>
      <c r="AF94" s="160">
        <f>AF78*$C$15+AF84*$C$15+AF88+AF91</f>
        <v/>
      </c>
      <c r="AG94" s="160">
        <f>AG78*$C$15+AG84*$C$15+AG88+AG91</f>
        <v/>
      </c>
      <c r="AH94" s="160">
        <f>AH78*$C$15+AH84*$C$15+AH88+AH91</f>
        <v/>
      </c>
      <c r="AI94" s="160">
        <f>AI78*$C$15+AI84*$C$15+AI88+AI91</f>
        <v/>
      </c>
      <c r="AJ94" s="160">
        <f>AJ78*$C$15+AJ84*$C$15+AJ88+AJ91</f>
        <v/>
      </c>
      <c r="AK94" s="160">
        <f>AK78*$C$15+AK84*$C$15+AK88+AK91</f>
        <v/>
      </c>
      <c r="AL94" s="160">
        <f>AL78*$C$15+AL84*$C$15+AL88+AL91</f>
        <v/>
      </c>
      <c r="AM94" s="160">
        <f>AM78*$C$15+AM84*$C$15+AM88+AM91</f>
        <v/>
      </c>
      <c r="AN94" s="160">
        <f>AN78*$C$15+AN84*$C$15+AN88+AN91</f>
        <v/>
      </c>
      <c r="AO94" s="160">
        <f>AO78*$C$15+AO84*$C$15+AO88+AO91</f>
        <v/>
      </c>
      <c r="AP94" s="160">
        <f>AP78*$C$15+AP84*$C$15+AP88+AP91</f>
        <v/>
      </c>
      <c r="AQ94" s="160">
        <f>AQ78*$C$15+AQ84*$C$15+AQ88+AQ91</f>
        <v/>
      </c>
      <c r="AR94" s="160">
        <f>AR78*$C$15+AR84*$C$15+AR88+AR91</f>
        <v/>
      </c>
      <c r="AS94" s="160">
        <f>AS78*$C$15+AS84*$C$15+AS88+AS91</f>
        <v/>
      </c>
      <c r="AT94" s="160">
        <f>AT78*$C$15+AT84*$C$15+AT88+AT91</f>
        <v/>
      </c>
      <c r="AU94" s="160">
        <f>AU78*$C$15+AU84*$C$15+AU88+AU91</f>
        <v/>
      </c>
      <c r="AV94" s="160">
        <f>AV78*$C$15+AV84*$C$15+AV88+AV91</f>
        <v/>
      </c>
      <c r="AW94" s="160">
        <f>AW78*$C$15+AW84*$C$15+AW88+AW91</f>
        <v/>
      </c>
      <c r="AX94" s="160">
        <f>AX78*$C$15+AX84*$C$15+AX88+AX91</f>
        <v/>
      </c>
      <c r="AY94" s="160">
        <f>AY78*$C$15+AY84*$C$15+AY88+AY91</f>
        <v/>
      </c>
      <c r="AZ94" s="160">
        <f>AZ78*$C$15+AZ84*$C$15+AZ88+AZ91</f>
        <v/>
      </c>
      <c r="BA94" s="160">
        <f>BA78*$C$15+BA84*$C$15+BA88+BA91</f>
        <v/>
      </c>
      <c r="BB94" s="160">
        <f>BB78*$C$15+BB84*$C$15+BB88+BB91</f>
        <v/>
      </c>
    </row>
    <row r="95" ht="15" customHeight="1" s="91">
      <c r="B95" s="110" t="inlineStr">
        <is>
          <t>Total Distributions  إجمالي التوزيعات</t>
        </is>
      </c>
      <c r="C95" s="153" t="inlineStr">
        <is>
          <t>SAR</t>
        </is>
      </c>
      <c r="D95" s="157">
        <f>SUM(E95:BB95)</f>
        <v/>
      </c>
      <c r="E95" s="157">
        <f>E93+E94</f>
        <v/>
      </c>
      <c r="F95" s="157">
        <f>F93+F94</f>
        <v/>
      </c>
      <c r="G95" s="157">
        <f>G93+G94</f>
        <v/>
      </c>
      <c r="H95" s="157">
        <f>H93+H94</f>
        <v/>
      </c>
      <c r="I95" s="157">
        <f>I93+I94</f>
        <v/>
      </c>
      <c r="J95" s="157">
        <f>J93+J94</f>
        <v/>
      </c>
      <c r="K95" s="157">
        <f>K93+K94</f>
        <v/>
      </c>
      <c r="L95" s="157">
        <f>L93+L94</f>
        <v/>
      </c>
      <c r="M95" s="157">
        <f>M93+M94</f>
        <v/>
      </c>
      <c r="N95" s="157">
        <f>N93+N94</f>
        <v/>
      </c>
      <c r="O95" s="157">
        <f>O93+O94</f>
        <v/>
      </c>
      <c r="P95" s="157">
        <f>P93+P94</f>
        <v/>
      </c>
      <c r="Q95" s="157">
        <f>Q93+Q94</f>
        <v/>
      </c>
      <c r="R95" s="157">
        <f>R93+R94</f>
        <v/>
      </c>
      <c r="S95" s="157">
        <f>S93+S94</f>
        <v/>
      </c>
      <c r="T95" s="157">
        <f>T93+T94</f>
        <v/>
      </c>
      <c r="U95" s="157">
        <f>U93+U94</f>
        <v/>
      </c>
      <c r="V95" s="157">
        <f>V93+V94</f>
        <v/>
      </c>
      <c r="W95" s="157">
        <f>W93+W94</f>
        <v/>
      </c>
      <c r="X95" s="157">
        <f>X93+X94</f>
        <v/>
      </c>
      <c r="Y95" s="157">
        <f>Y93+Y94</f>
        <v/>
      </c>
      <c r="Z95" s="157">
        <f>Z93+Z94</f>
        <v/>
      </c>
      <c r="AA95" s="157">
        <f>AA93+AA94</f>
        <v/>
      </c>
      <c r="AB95" s="157">
        <f>AB93+AB94</f>
        <v/>
      </c>
      <c r="AC95" s="157">
        <f>AC93+AC94</f>
        <v/>
      </c>
      <c r="AD95" s="157">
        <f>AD93+AD94</f>
        <v/>
      </c>
      <c r="AE95" s="157">
        <f>AE93+AE94</f>
        <v/>
      </c>
      <c r="AF95" s="157">
        <f>AF93+AF94</f>
        <v/>
      </c>
      <c r="AG95" s="157">
        <f>AG93+AG94</f>
        <v/>
      </c>
      <c r="AH95" s="157">
        <f>AH93+AH94</f>
        <v/>
      </c>
      <c r="AI95" s="157">
        <f>AI93+AI94</f>
        <v/>
      </c>
      <c r="AJ95" s="157">
        <f>AJ93+AJ94</f>
        <v/>
      </c>
      <c r="AK95" s="157">
        <f>AK93+AK94</f>
        <v/>
      </c>
      <c r="AL95" s="157">
        <f>AL93+AL94</f>
        <v/>
      </c>
      <c r="AM95" s="157">
        <f>AM93+AM94</f>
        <v/>
      </c>
      <c r="AN95" s="157">
        <f>AN93+AN94</f>
        <v/>
      </c>
      <c r="AO95" s="157">
        <f>AO93+AO94</f>
        <v/>
      </c>
      <c r="AP95" s="157">
        <f>AP93+AP94</f>
        <v/>
      </c>
      <c r="AQ95" s="157">
        <f>AQ93+AQ94</f>
        <v/>
      </c>
      <c r="AR95" s="157">
        <f>AR93+AR94</f>
        <v/>
      </c>
      <c r="AS95" s="157">
        <f>AS93+AS94</f>
        <v/>
      </c>
      <c r="AT95" s="157">
        <f>AT93+AT94</f>
        <v/>
      </c>
      <c r="AU95" s="157">
        <f>AU93+AU94</f>
        <v/>
      </c>
      <c r="AV95" s="157">
        <f>AV93+AV94</f>
        <v/>
      </c>
      <c r="AW95" s="157">
        <f>AW93+AW94</f>
        <v/>
      </c>
      <c r="AX95" s="157">
        <f>AX93+AX94</f>
        <v/>
      </c>
      <c r="AY95" s="157">
        <f>AY93+AY94</f>
        <v/>
      </c>
      <c r="AZ95" s="157">
        <f>AZ93+AZ94</f>
        <v/>
      </c>
      <c r="BA95" s="157">
        <f>BA93+BA94</f>
        <v/>
      </c>
      <c r="BB95" s="157">
        <f>BB93+BB94</f>
        <v/>
      </c>
    </row>
    <row r="97" ht="15" customHeight="1" s="91">
      <c r="A97" s="152" t="inlineStr">
        <is>
          <t>10  INVESTOR RETURNS  عوائد المستثمرين</t>
        </is>
      </c>
      <c r="B97" s="152" t="n"/>
      <c r="C97" s="152" t="n"/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  <c r="S97" s="152" t="n"/>
      <c r="T97" s="152" t="n"/>
      <c r="U97" s="152" t="n"/>
      <c r="V97" s="152" t="n"/>
      <c r="W97" s="152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  <c r="AF97" s="152" t="n"/>
      <c r="AG97" s="152" t="n"/>
      <c r="AH97" s="152" t="n"/>
      <c r="AI97" s="152" t="n"/>
      <c r="AJ97" s="152" t="n"/>
      <c r="AK97" s="152" t="n"/>
      <c r="AL97" s="152" t="n"/>
      <c r="AM97" s="152" t="n"/>
      <c r="AN97" s="152" t="n"/>
      <c r="AO97" s="152" t="n"/>
      <c r="AP97" s="152" t="n"/>
      <c r="AQ97" s="152" t="n"/>
      <c r="AR97" s="152" t="n"/>
      <c r="AS97" s="152" t="n"/>
      <c r="AT97" s="152" t="n"/>
      <c r="AU97" s="152" t="n"/>
      <c r="AV97" s="152" t="n"/>
      <c r="AW97" s="152" t="n"/>
      <c r="AX97" s="152" t="n"/>
      <c r="AY97" s="152" t="n"/>
      <c r="AZ97" s="152" t="n"/>
      <c r="BA97" s="152" t="n"/>
      <c r="BB97" s="152" t="n"/>
    </row>
    <row r="98" ht="15" customHeight="1" s="91">
      <c r="C98" s="165" t="inlineStr">
        <is>
          <t>Unit</t>
        </is>
      </c>
      <c r="D98" s="165" t="inlineStr">
        <is>
          <t>Total</t>
        </is>
      </c>
      <c r="E98" s="166">
        <f>E$46</f>
        <v/>
      </c>
      <c r="F98" s="166">
        <f>F$46</f>
        <v/>
      </c>
      <c r="G98" s="166">
        <f>G$46</f>
        <v/>
      </c>
      <c r="H98" s="166">
        <f>H$46</f>
        <v/>
      </c>
      <c r="I98" s="166">
        <f>I$46</f>
        <v/>
      </c>
      <c r="J98" s="166">
        <f>J$46</f>
        <v/>
      </c>
      <c r="K98" s="166">
        <f>K$46</f>
        <v/>
      </c>
      <c r="L98" s="166">
        <f>L$46</f>
        <v/>
      </c>
      <c r="M98" s="166">
        <f>M$46</f>
        <v/>
      </c>
      <c r="N98" s="166">
        <f>N$46</f>
        <v/>
      </c>
      <c r="O98" s="166">
        <f>O$46</f>
        <v/>
      </c>
      <c r="P98" s="166">
        <f>P$46</f>
        <v/>
      </c>
      <c r="Q98" s="166">
        <f>Q$46</f>
        <v/>
      </c>
      <c r="R98" s="166">
        <f>R$46</f>
        <v/>
      </c>
      <c r="S98" s="166">
        <f>S$46</f>
        <v/>
      </c>
      <c r="T98" s="166">
        <f>T$46</f>
        <v/>
      </c>
      <c r="U98" s="166">
        <f>U$46</f>
        <v/>
      </c>
      <c r="V98" s="166">
        <f>V$46</f>
        <v/>
      </c>
      <c r="W98" s="166">
        <f>W$46</f>
        <v/>
      </c>
      <c r="X98" s="166">
        <f>X$46</f>
        <v/>
      </c>
      <c r="Y98" s="166">
        <f>Y$46</f>
        <v/>
      </c>
      <c r="Z98" s="166">
        <f>Z$46</f>
        <v/>
      </c>
      <c r="AA98" s="166">
        <f>AA$46</f>
        <v/>
      </c>
      <c r="AB98" s="166">
        <f>AB$46</f>
        <v/>
      </c>
      <c r="AC98" s="166">
        <f>AC$46</f>
        <v/>
      </c>
      <c r="AD98" s="166">
        <f>AD$46</f>
        <v/>
      </c>
      <c r="AE98" s="166">
        <f>AE$46</f>
        <v/>
      </c>
      <c r="AF98" s="166">
        <f>AF$46</f>
        <v/>
      </c>
      <c r="AG98" s="166">
        <f>AG$46</f>
        <v/>
      </c>
      <c r="AH98" s="166">
        <f>AH$46</f>
        <v/>
      </c>
      <c r="AI98" s="166">
        <f>AI$46</f>
        <v/>
      </c>
      <c r="AJ98" s="166">
        <f>AJ$46</f>
        <v/>
      </c>
      <c r="AK98" s="166">
        <f>AK$46</f>
        <v/>
      </c>
      <c r="AL98" s="166">
        <f>AL$46</f>
        <v/>
      </c>
      <c r="AM98" s="166">
        <f>AM$46</f>
        <v/>
      </c>
      <c r="AN98" s="166">
        <f>AN$46</f>
        <v/>
      </c>
      <c r="AO98" s="166">
        <f>AO$46</f>
        <v/>
      </c>
      <c r="AP98" s="166">
        <f>AP$46</f>
        <v/>
      </c>
      <c r="AQ98" s="166">
        <f>AQ$46</f>
        <v/>
      </c>
      <c r="AR98" s="166">
        <f>AR$46</f>
        <v/>
      </c>
      <c r="AS98" s="166">
        <f>AS$46</f>
        <v/>
      </c>
      <c r="AT98" s="166">
        <f>AT$46</f>
        <v/>
      </c>
      <c r="AU98" s="166">
        <f>AU$46</f>
        <v/>
      </c>
      <c r="AV98" s="166">
        <f>AV$46</f>
        <v/>
      </c>
      <c r="AW98" s="166">
        <f>AW$46</f>
        <v/>
      </c>
      <c r="AX98" s="166">
        <f>AX$46</f>
        <v/>
      </c>
      <c r="AY98" s="166">
        <f>AY$46</f>
        <v/>
      </c>
      <c r="AZ98" s="166">
        <f>AZ$46</f>
        <v/>
      </c>
      <c r="BA98" s="166">
        <f>BA$46</f>
        <v/>
      </c>
      <c r="BB98" s="166">
        <f>BB$46</f>
        <v/>
      </c>
    </row>
    <row r="99" ht="15" customHeight="1" s="91">
      <c r="B99" s="153" t="inlineStr">
        <is>
          <t>LP Net Cash Flow</t>
        </is>
      </c>
      <c r="C99" s="153" t="inlineStr">
        <is>
          <t>SAR</t>
        </is>
      </c>
      <c r="D99" s="157">
        <f>SUM(E99:BB99)</f>
        <v/>
      </c>
      <c r="E99" s="160">
        <f>-E56*$C$16+E93</f>
        <v/>
      </c>
      <c r="F99" s="160">
        <f>-F56*$C$16+F93</f>
        <v/>
      </c>
      <c r="G99" s="160">
        <f>-G56*$C$16+G93</f>
        <v/>
      </c>
      <c r="H99" s="160">
        <f>-H56*$C$16+H93</f>
        <v/>
      </c>
      <c r="I99" s="160">
        <f>-I56*$C$16+I93</f>
        <v/>
      </c>
      <c r="J99" s="160">
        <f>-J56*$C$16+J93</f>
        <v/>
      </c>
      <c r="K99" s="160">
        <f>-K56*$C$16+K93</f>
        <v/>
      </c>
      <c r="L99" s="160">
        <f>-L56*$C$16+L93</f>
        <v/>
      </c>
      <c r="M99" s="160">
        <f>-M56*$C$16+M93</f>
        <v/>
      </c>
      <c r="N99" s="160">
        <f>-N56*$C$16+N93</f>
        <v/>
      </c>
      <c r="O99" s="160">
        <f>-O56*$C$16+O93</f>
        <v/>
      </c>
      <c r="P99" s="160">
        <f>-P56*$C$16+P93</f>
        <v/>
      </c>
      <c r="Q99" s="160">
        <f>-Q56*$C$16+Q93</f>
        <v/>
      </c>
      <c r="R99" s="160">
        <f>-R56*$C$16+R93</f>
        <v/>
      </c>
      <c r="S99" s="160">
        <f>-S56*$C$16+S93</f>
        <v/>
      </c>
      <c r="T99" s="160">
        <f>-T56*$C$16+T93</f>
        <v/>
      </c>
      <c r="U99" s="160">
        <f>-U56*$C$16+U93</f>
        <v/>
      </c>
      <c r="V99" s="160">
        <f>-V56*$C$16+V93</f>
        <v/>
      </c>
      <c r="W99" s="160">
        <f>-W56*$C$16+W93</f>
        <v/>
      </c>
      <c r="X99" s="160">
        <f>-X56*$C$16+X93</f>
        <v/>
      </c>
      <c r="Y99" s="160">
        <f>-Y56*$C$16+Y93</f>
        <v/>
      </c>
      <c r="Z99" s="160">
        <f>-Z56*$C$16+Z93</f>
        <v/>
      </c>
      <c r="AA99" s="160">
        <f>-AA56*$C$16+AA93</f>
        <v/>
      </c>
      <c r="AB99" s="160">
        <f>-AB56*$C$16+AB93</f>
        <v/>
      </c>
      <c r="AC99" s="160">
        <f>-AC56*$C$16+AC93</f>
        <v/>
      </c>
      <c r="AD99" s="160">
        <f>-AD56*$C$16+AD93</f>
        <v/>
      </c>
      <c r="AE99" s="160">
        <f>-AE56*$C$16+AE93</f>
        <v/>
      </c>
      <c r="AF99" s="160">
        <f>-AF56*$C$16+AF93</f>
        <v/>
      </c>
      <c r="AG99" s="160">
        <f>-AG56*$C$16+AG93</f>
        <v/>
      </c>
      <c r="AH99" s="160">
        <f>-AH56*$C$16+AH93</f>
        <v/>
      </c>
      <c r="AI99" s="160">
        <f>-AI56*$C$16+AI93</f>
        <v/>
      </c>
      <c r="AJ99" s="160">
        <f>-AJ56*$C$16+AJ93</f>
        <v/>
      </c>
      <c r="AK99" s="160">
        <f>-AK56*$C$16+AK93</f>
        <v/>
      </c>
      <c r="AL99" s="160">
        <f>-AL56*$C$16+AL93</f>
        <v/>
      </c>
      <c r="AM99" s="160">
        <f>-AM56*$C$16+AM93</f>
        <v/>
      </c>
      <c r="AN99" s="160">
        <f>-AN56*$C$16+AN93</f>
        <v/>
      </c>
      <c r="AO99" s="160">
        <f>-AO56*$C$16+AO93</f>
        <v/>
      </c>
      <c r="AP99" s="160">
        <f>-AP56*$C$16+AP93</f>
        <v/>
      </c>
      <c r="AQ99" s="160">
        <f>-AQ56*$C$16+AQ93</f>
        <v/>
      </c>
      <c r="AR99" s="160">
        <f>-AR56*$C$16+AR93</f>
        <v/>
      </c>
      <c r="AS99" s="160">
        <f>-AS56*$C$16+AS93</f>
        <v/>
      </c>
      <c r="AT99" s="160">
        <f>-AT56*$C$16+AT93</f>
        <v/>
      </c>
      <c r="AU99" s="160">
        <f>-AU56*$C$16+AU93</f>
        <v/>
      </c>
      <c r="AV99" s="160">
        <f>-AV56*$C$16+AV93</f>
        <v/>
      </c>
      <c r="AW99" s="160">
        <f>-AW56*$C$16+AW93</f>
        <v/>
      </c>
      <c r="AX99" s="160">
        <f>-AX56*$C$16+AX93</f>
        <v/>
      </c>
      <c r="AY99" s="160">
        <f>-AY56*$C$16+AY93</f>
        <v/>
      </c>
      <c r="AZ99" s="160">
        <f>-AZ56*$C$16+AZ93</f>
        <v/>
      </c>
      <c r="BA99" s="160">
        <f>-BA56*$C$16+BA93</f>
        <v/>
      </c>
      <c r="BB99" s="160">
        <f>-BB56*$C$16+BB93</f>
        <v/>
      </c>
    </row>
    <row r="100" ht="15" customHeight="1" s="91">
      <c r="B100" s="153" t="inlineStr">
        <is>
          <t>LP Cumulative Cash Flow</t>
        </is>
      </c>
      <c r="C100" s="153" t="inlineStr">
        <is>
          <t>SAR</t>
        </is>
      </c>
      <c r="E100" s="160">
        <f>E99</f>
        <v/>
      </c>
      <c r="F100" s="160">
        <f>E100+F99</f>
        <v/>
      </c>
      <c r="G100" s="160">
        <f>F100+G99</f>
        <v/>
      </c>
      <c r="H100" s="160">
        <f>G100+H99</f>
        <v/>
      </c>
      <c r="I100" s="160">
        <f>H100+I99</f>
        <v/>
      </c>
      <c r="J100" s="160">
        <f>I100+J99</f>
        <v/>
      </c>
      <c r="K100" s="160">
        <f>J100+K99</f>
        <v/>
      </c>
      <c r="L100" s="160">
        <f>K100+L99</f>
        <v/>
      </c>
      <c r="M100" s="160">
        <f>L100+M99</f>
        <v/>
      </c>
      <c r="N100" s="160">
        <f>M100+N99</f>
        <v/>
      </c>
      <c r="O100" s="160">
        <f>N100+O99</f>
        <v/>
      </c>
      <c r="P100" s="160">
        <f>O100+P99</f>
        <v/>
      </c>
      <c r="Q100" s="160">
        <f>P100+Q99</f>
        <v/>
      </c>
      <c r="R100" s="160">
        <f>Q100+R99</f>
        <v/>
      </c>
      <c r="S100" s="160">
        <f>R100+S99</f>
        <v/>
      </c>
      <c r="T100" s="160">
        <f>S100+T99</f>
        <v/>
      </c>
      <c r="U100" s="160">
        <f>T100+U99</f>
        <v/>
      </c>
      <c r="V100" s="160">
        <f>U100+V99</f>
        <v/>
      </c>
      <c r="W100" s="160">
        <f>V100+W99</f>
        <v/>
      </c>
      <c r="X100" s="160">
        <f>W100+X99</f>
        <v/>
      </c>
      <c r="Y100" s="160">
        <f>X100+Y99</f>
        <v/>
      </c>
      <c r="Z100" s="160">
        <f>Y100+Z99</f>
        <v/>
      </c>
      <c r="AA100" s="160">
        <f>Z100+AA99</f>
        <v/>
      </c>
      <c r="AB100" s="160">
        <f>AA100+AB99</f>
        <v/>
      </c>
      <c r="AC100" s="160">
        <f>AB100+AC99</f>
        <v/>
      </c>
      <c r="AD100" s="160">
        <f>AC100+AD99</f>
        <v/>
      </c>
      <c r="AE100" s="160">
        <f>AD100+AE99</f>
        <v/>
      </c>
      <c r="AF100" s="160">
        <f>AE100+AF99</f>
        <v/>
      </c>
      <c r="AG100" s="160">
        <f>AF100+AG99</f>
        <v/>
      </c>
      <c r="AH100" s="160">
        <f>AG100+AH99</f>
        <v/>
      </c>
      <c r="AI100" s="160">
        <f>AH100+AI99</f>
        <v/>
      </c>
      <c r="AJ100" s="160">
        <f>AI100+AJ99</f>
        <v/>
      </c>
      <c r="AK100" s="160">
        <f>AJ100+AK99</f>
        <v/>
      </c>
      <c r="AL100" s="160">
        <f>AK100+AL99</f>
        <v/>
      </c>
      <c r="AM100" s="160">
        <f>AL100+AM99</f>
        <v/>
      </c>
      <c r="AN100" s="160">
        <f>AM100+AN99</f>
        <v/>
      </c>
      <c r="AO100" s="160">
        <f>AN100+AO99</f>
        <v/>
      </c>
      <c r="AP100" s="160">
        <f>AO100+AP99</f>
        <v/>
      </c>
      <c r="AQ100" s="160">
        <f>AP100+AQ99</f>
        <v/>
      </c>
      <c r="AR100" s="160">
        <f>AQ100+AR99</f>
        <v/>
      </c>
      <c r="AS100" s="160">
        <f>AR100+AS99</f>
        <v/>
      </c>
      <c r="AT100" s="160">
        <f>AS100+AT99</f>
        <v/>
      </c>
      <c r="AU100" s="160">
        <f>AT100+AU99</f>
        <v/>
      </c>
      <c r="AV100" s="160">
        <f>AU100+AV99</f>
        <v/>
      </c>
      <c r="AW100" s="160">
        <f>AV100+AW99</f>
        <v/>
      </c>
      <c r="AX100" s="160">
        <f>AW100+AX99</f>
        <v/>
      </c>
      <c r="AY100" s="160">
        <f>AX100+AY99</f>
        <v/>
      </c>
      <c r="AZ100" s="160">
        <f>AY100+AZ99</f>
        <v/>
      </c>
      <c r="BA100" s="160">
        <f>AZ100+BA99</f>
        <v/>
      </c>
      <c r="BB100" s="160">
        <f>BA100+BB99</f>
        <v/>
      </c>
    </row>
    <row r="101" ht="15" customHeight="1" s="91">
      <c r="B101" s="110" t="inlineStr">
        <is>
          <t>LP Net IRR</t>
        </is>
      </c>
      <c r="C101" s="153" t="inlineStr">
        <is>
          <t>%</t>
        </is>
      </c>
      <c r="E101" s="161">
        <f>IFERROR(IRR(E99:BB99),"-")</f>
        <v/>
      </c>
    </row>
    <row r="103" ht="15" customHeight="1" s="91">
      <c r="B103" s="153" t="inlineStr">
        <is>
          <t>GP Net Cash Flow</t>
        </is>
      </c>
      <c r="C103" s="153" t="inlineStr">
        <is>
          <t>SAR</t>
        </is>
      </c>
      <c r="D103" s="157">
        <f>SUM(E103:BB103)</f>
        <v/>
      </c>
      <c r="E103" s="160">
        <f>-E56*$C$15+E94</f>
        <v/>
      </c>
      <c r="F103" s="160">
        <f>-F56*$C$15+F94</f>
        <v/>
      </c>
      <c r="G103" s="160">
        <f>-G56*$C$15+G94</f>
        <v/>
      </c>
      <c r="H103" s="160">
        <f>-H56*$C$15+H94</f>
        <v/>
      </c>
      <c r="I103" s="160">
        <f>-I56*$C$15+I94</f>
        <v/>
      </c>
      <c r="J103" s="160">
        <f>-J56*$C$15+J94</f>
        <v/>
      </c>
      <c r="K103" s="160">
        <f>-K56*$C$15+K94</f>
        <v/>
      </c>
      <c r="L103" s="160">
        <f>-L56*$C$15+L94</f>
        <v/>
      </c>
      <c r="M103" s="160">
        <f>-M56*$C$15+M94</f>
        <v/>
      </c>
      <c r="N103" s="160">
        <f>-N56*$C$15+N94</f>
        <v/>
      </c>
      <c r="O103" s="160">
        <f>-O56*$C$15+O94</f>
        <v/>
      </c>
      <c r="P103" s="160">
        <f>-P56*$C$15+P94</f>
        <v/>
      </c>
      <c r="Q103" s="160">
        <f>-Q56*$C$15+Q94</f>
        <v/>
      </c>
      <c r="R103" s="160">
        <f>-R56*$C$15+R94</f>
        <v/>
      </c>
      <c r="S103" s="160">
        <f>-S56*$C$15+S94</f>
        <v/>
      </c>
      <c r="T103" s="160">
        <f>-T56*$C$15+T94</f>
        <v/>
      </c>
      <c r="U103" s="160">
        <f>-U56*$C$15+U94</f>
        <v/>
      </c>
      <c r="V103" s="160">
        <f>-V56*$C$15+V94</f>
        <v/>
      </c>
      <c r="W103" s="160">
        <f>-W56*$C$15+W94</f>
        <v/>
      </c>
      <c r="X103" s="160">
        <f>-X56*$C$15+X94</f>
        <v/>
      </c>
      <c r="Y103" s="160">
        <f>-Y56*$C$15+Y94</f>
        <v/>
      </c>
      <c r="Z103" s="160">
        <f>-Z56*$C$15+Z94</f>
        <v/>
      </c>
      <c r="AA103" s="160">
        <f>-AA56*$C$15+AA94</f>
        <v/>
      </c>
      <c r="AB103" s="160">
        <f>-AB56*$C$15+AB94</f>
        <v/>
      </c>
      <c r="AC103" s="160">
        <f>-AC56*$C$15+AC94</f>
        <v/>
      </c>
      <c r="AD103" s="160">
        <f>-AD56*$C$15+AD94</f>
        <v/>
      </c>
      <c r="AE103" s="160">
        <f>-AE56*$C$15+AE94</f>
        <v/>
      </c>
      <c r="AF103" s="160">
        <f>-AF56*$C$15+AF94</f>
        <v/>
      </c>
      <c r="AG103" s="160">
        <f>-AG56*$C$15+AG94</f>
        <v/>
      </c>
      <c r="AH103" s="160">
        <f>-AH56*$C$15+AH94</f>
        <v/>
      </c>
      <c r="AI103" s="160">
        <f>-AI56*$C$15+AI94</f>
        <v/>
      </c>
      <c r="AJ103" s="160">
        <f>-AJ56*$C$15+AJ94</f>
        <v/>
      </c>
      <c r="AK103" s="160">
        <f>-AK56*$C$15+AK94</f>
        <v/>
      </c>
      <c r="AL103" s="160">
        <f>-AL56*$C$15+AL94</f>
        <v/>
      </c>
      <c r="AM103" s="160">
        <f>-AM56*$C$15+AM94</f>
        <v/>
      </c>
      <c r="AN103" s="160">
        <f>-AN56*$C$15+AN94</f>
        <v/>
      </c>
      <c r="AO103" s="160">
        <f>-AO56*$C$15+AO94</f>
        <v/>
      </c>
      <c r="AP103" s="160">
        <f>-AP56*$C$15+AP94</f>
        <v/>
      </c>
      <c r="AQ103" s="160">
        <f>-AQ56*$C$15+AQ94</f>
        <v/>
      </c>
      <c r="AR103" s="160">
        <f>-AR56*$C$15+AR94</f>
        <v/>
      </c>
      <c r="AS103" s="160">
        <f>-AS56*$C$15+AS94</f>
        <v/>
      </c>
      <c r="AT103" s="160">
        <f>-AT56*$C$15+AT94</f>
        <v/>
      </c>
      <c r="AU103" s="160">
        <f>-AU56*$C$15+AU94</f>
        <v/>
      </c>
      <c r="AV103" s="160">
        <f>-AV56*$C$15+AV94</f>
        <v/>
      </c>
      <c r="AW103" s="160">
        <f>-AW56*$C$15+AW94</f>
        <v/>
      </c>
      <c r="AX103" s="160">
        <f>-AX56*$C$15+AX94</f>
        <v/>
      </c>
      <c r="AY103" s="160">
        <f>-AY56*$C$15+AY94</f>
        <v/>
      </c>
      <c r="AZ103" s="160">
        <f>-AZ56*$C$15+AZ94</f>
        <v/>
      </c>
      <c r="BA103" s="160">
        <f>-BA56*$C$15+BA94</f>
        <v/>
      </c>
      <c r="BB103" s="160">
        <f>-BB56*$C$15+BB94</f>
        <v/>
      </c>
    </row>
    <row r="104" ht="15" customHeight="1" s="91">
      <c r="B104" s="110" t="inlineStr">
        <is>
          <t>GP Net IRR</t>
        </is>
      </c>
      <c r="C104" s="153" t="inlineStr">
        <is>
          <t>%</t>
        </is>
      </c>
      <c r="E104" s="161">
        <f>IFERROR(IRR(E103:BB103),"-")</f>
        <v/>
      </c>
    </row>
    <row r="106" ht="15" customHeight="1" s="91">
      <c r="A106" s="152" t="inlineStr">
        <is>
          <t>KPI SUMMARY  ملخص الأداء</t>
        </is>
      </c>
      <c r="B106" s="152" t="n"/>
      <c r="C106" s="152" t="n"/>
      <c r="D106" s="152" t="n"/>
      <c r="E106" s="152" t="n"/>
      <c r="F106" s="152" t="n"/>
      <c r="G106" s="152" t="n"/>
      <c r="H106" s="152" t="n"/>
      <c r="I106" s="152" t="n"/>
      <c r="J106" s="152" t="n"/>
      <c r="K106" s="152" t="n"/>
      <c r="L106" s="152" t="n"/>
      <c r="M106" s="152" t="n"/>
      <c r="N106" s="152" t="n"/>
      <c r="O106" s="152" t="n"/>
      <c r="P106" s="152" t="n"/>
      <c r="Q106" s="152" t="n"/>
      <c r="R106" s="152" t="n"/>
      <c r="S106" s="152" t="n"/>
      <c r="T106" s="152" t="n"/>
      <c r="U106" s="152" t="n"/>
      <c r="V106" s="152" t="n"/>
      <c r="W106" s="152" t="n"/>
      <c r="X106" s="152" t="n"/>
      <c r="Y106" s="152" t="n"/>
      <c r="Z106" s="152" t="n"/>
      <c r="AA106" s="152" t="n"/>
      <c r="AB106" s="152" t="n"/>
      <c r="AC106" s="152" t="n"/>
      <c r="AD106" s="152" t="n"/>
      <c r="AE106" s="152" t="n"/>
      <c r="AF106" s="152" t="n"/>
      <c r="AG106" s="152" t="n"/>
      <c r="AH106" s="152" t="n"/>
      <c r="AI106" s="152" t="n"/>
      <c r="AJ106" s="152" t="n"/>
      <c r="AK106" s="152" t="n"/>
      <c r="AL106" s="152" t="n"/>
      <c r="AM106" s="152" t="n"/>
      <c r="AN106" s="152" t="n"/>
      <c r="AO106" s="152" t="n"/>
      <c r="AP106" s="152" t="n"/>
      <c r="AQ106" s="152" t="n"/>
      <c r="AR106" s="152" t="n"/>
      <c r="AS106" s="152" t="n"/>
      <c r="AT106" s="152" t="n"/>
      <c r="AU106" s="152" t="n"/>
      <c r="AV106" s="152" t="n"/>
      <c r="AW106" s="152" t="n"/>
      <c r="AX106" s="152" t="n"/>
      <c r="AY106" s="152" t="n"/>
      <c r="AZ106" s="152" t="n"/>
      <c r="BA106" s="152" t="n"/>
      <c r="BB106" s="152" t="n"/>
    </row>
    <row r="107" ht="15" customHeight="1" s="91">
      <c r="B107" s="153" t="inlineStr">
        <is>
          <t>Project IRR (Unlevered)</t>
        </is>
      </c>
      <c r="C107" s="167">
        <f>IFERROR(IRR(E52:BB52),"-")</f>
        <v/>
      </c>
    </row>
    <row r="108" ht="15" customHeight="1" s="91">
      <c r="B108" s="153" t="inlineStr">
        <is>
          <t>LP Net IRR</t>
        </is>
      </c>
      <c r="C108" s="167">
        <f>E101</f>
        <v/>
      </c>
    </row>
    <row r="109" ht="15" customHeight="1" s="91">
      <c r="B109" s="153" t="inlineStr">
        <is>
          <t>GP Net IRR</t>
        </is>
      </c>
      <c r="C109" s="167">
        <f>E104</f>
        <v/>
      </c>
    </row>
    <row r="110" ht="15" customHeight="1" s="91">
      <c r="B110" s="153" t="inlineStr">
        <is>
          <t>LP MOIC</t>
        </is>
      </c>
      <c r="C110" s="168">
        <f>IFERROR(D93/(D56*$C$16),"-")</f>
        <v/>
      </c>
    </row>
    <row r="111" ht="15" customHeight="1" s="91">
      <c r="B111" s="153" t="inlineStr">
        <is>
          <t>GP MOIC</t>
        </is>
      </c>
      <c r="C111" s="168">
        <f>IFERROR(D94/(D56*$C$15),"-")</f>
        <v/>
      </c>
    </row>
    <row r="113" ht="15" customHeight="1" s="91">
      <c r="B113" s="153" t="inlineStr">
        <is>
          <t>Total Equity</t>
        </is>
      </c>
      <c r="C113" s="157">
        <f>$C$14</f>
        <v/>
      </c>
    </row>
    <row r="114" ht="15" customHeight="1" s="91">
      <c r="B114" s="153" t="inlineStr">
        <is>
          <t>Total Debt Drawn</t>
        </is>
      </c>
      <c r="C114" s="157">
        <f>D57</f>
        <v/>
      </c>
    </row>
    <row r="115" ht="15" customHeight="1" s="91">
      <c r="B115" s="153" t="inlineStr">
        <is>
          <t>Total Fees</t>
        </is>
      </c>
      <c r="C115" s="157">
        <f>D69</f>
        <v/>
      </c>
    </row>
    <row r="116" ht="15" customHeight="1" s="91">
      <c r="B116" s="153" t="inlineStr">
        <is>
          <t>Exit Proceeds</t>
        </is>
      </c>
      <c r="C116" s="157">
        <f>D51</f>
        <v/>
      </c>
    </row>
    <row r="118" ht="15" customHeight="1" s="91">
      <c r="A118" s="152" t="inlineStr">
        <is>
          <t>MODEL CHECKS  فحوصات النموذج</t>
        </is>
      </c>
      <c r="B118" s="152" t="n"/>
      <c r="C118" s="152" t="n"/>
      <c r="D118" s="152" t="n"/>
      <c r="E118" s="152" t="n"/>
      <c r="F118" s="152" t="n"/>
      <c r="G118" s="152" t="n"/>
      <c r="H118" s="152" t="n"/>
      <c r="I118" s="152" t="n"/>
      <c r="J118" s="152" t="n"/>
      <c r="K118" s="152" t="n"/>
      <c r="L118" s="152" t="n"/>
      <c r="M118" s="152" t="n"/>
      <c r="N118" s="152" t="n"/>
      <c r="O118" s="152" t="n"/>
      <c r="P118" s="152" t="n"/>
      <c r="Q118" s="152" t="n"/>
      <c r="R118" s="152" t="n"/>
      <c r="S118" s="152" t="n"/>
      <c r="T118" s="152" t="n"/>
      <c r="U118" s="152" t="n"/>
      <c r="V118" s="152" t="n"/>
      <c r="W118" s="152" t="n"/>
      <c r="X118" s="152" t="n"/>
      <c r="Y118" s="152" t="n"/>
      <c r="Z118" s="152" t="n"/>
      <c r="AA118" s="152" t="n"/>
      <c r="AB118" s="152" t="n"/>
      <c r="AC118" s="152" t="n"/>
      <c r="AD118" s="152" t="n"/>
      <c r="AE118" s="152" t="n"/>
      <c r="AF118" s="152" t="n"/>
      <c r="AG118" s="152" t="n"/>
      <c r="AH118" s="152" t="n"/>
      <c r="AI118" s="152" t="n"/>
      <c r="AJ118" s="152" t="n"/>
      <c r="AK118" s="152" t="n"/>
      <c r="AL118" s="152" t="n"/>
      <c r="AM118" s="152" t="n"/>
      <c r="AN118" s="152" t="n"/>
      <c r="AO118" s="152" t="n"/>
      <c r="AP118" s="152" t="n"/>
      <c r="AQ118" s="152" t="n"/>
      <c r="AR118" s="152" t="n"/>
      <c r="AS118" s="152" t="n"/>
      <c r="AT118" s="152" t="n"/>
      <c r="AU118" s="152" t="n"/>
      <c r="AV118" s="152" t="n"/>
      <c r="AW118" s="152" t="n"/>
      <c r="AX118" s="152" t="n"/>
      <c r="AY118" s="152" t="n"/>
      <c r="AZ118" s="152" t="n"/>
      <c r="BA118" s="152" t="n"/>
      <c r="BB118" s="152" t="n"/>
    </row>
    <row r="119" ht="15" customHeight="1" s="91">
      <c r="B119" s="153" t="inlineStr">
        <is>
          <t>Net CF = Inc+Land+CAPEX</t>
        </is>
      </c>
      <c r="C119" s="153">
        <f>IF(ABS(D50-(D47+D48+D49))&lt;1,"✓","✗")</f>
        <v/>
      </c>
    </row>
    <row r="120" ht="15" customHeight="1" s="91">
      <c r="B120" s="153" t="inlineStr">
        <is>
          <t>Equity Calls = Equity + Unfunded Fees</t>
        </is>
      </c>
      <c r="C120" s="153">
        <f>IF(ABS(D56-($C$14+D70))&lt;MAX(1,$C$14*0.05),"✓","✗")</f>
        <v/>
      </c>
    </row>
    <row r="121" ht="15" customHeight="1" s="91">
      <c r="B121" s="153" t="inlineStr">
        <is>
          <t>Distributions ≤ Cash Available</t>
        </is>
      </c>
      <c r="C121" s="153">
        <f>IF(D95&lt;=D75+1,"✓","✗")</f>
        <v/>
      </c>
    </row>
    <row r="122" ht="15" customHeight="1" s="91">
      <c r="B122" s="153" t="inlineStr">
        <is>
          <t>Debt Balance ≥ 0</t>
        </is>
      </c>
      <c r="C122" s="153">
        <f>IF(MIN(E60:BB60)&gt;=0,"✓","✗")</f>
        <v/>
      </c>
    </row>
    <row r="123" ht="15" customHeight="1" s="91">
      <c r="B123" s="153" t="inlineStr">
        <is>
          <t>LP+GP = Total Dist</t>
        </is>
      </c>
      <c r="C123" s="153">
        <f>IF(ABS(D95-(D93+D94))&lt;1,"✓","✗")</f>
        <v/>
      </c>
    </row>
    <row r="124" ht="15" customHeight="1" s="91">
      <c r="B124" s="153" t="inlineStr">
        <is>
          <t>Debt fully repaid by tenor end</t>
        </is>
      </c>
      <c r="C124" s="153">
        <f>IF(IFERROR(VLOOKUP($C$9+$C$24,E46:BB60,MATCH($C$9+$C$24,E46:BB46,0),FALSE()),0)&lt;=1,"✓","✗")</f>
        <v/>
      </c>
    </row>
    <row r="125" ht="15" customHeight="1" s="91">
      <c r="A125" s="152" t="inlineStr">
        <is>
          <t>NPV ANALYSIS  تحليل صافي القيمة الحالية</t>
        </is>
      </c>
      <c r="B125" s="152" t="n"/>
      <c r="C125" s="152" t="n"/>
      <c r="D125" s="152" t="n"/>
      <c r="E125" s="152" t="n"/>
      <c r="F125" s="152" t="n"/>
      <c r="G125" s="152" t="n"/>
      <c r="H125" s="152" t="n"/>
      <c r="I125" s="152" t="n"/>
      <c r="J125" s="152" t="n"/>
      <c r="K125" s="152" t="n"/>
      <c r="L125" s="152" t="n"/>
      <c r="M125" s="152" t="n"/>
      <c r="N125" s="152" t="n"/>
      <c r="O125" s="152" t="n"/>
      <c r="P125" s="152" t="n"/>
      <c r="Q125" s="152" t="n"/>
      <c r="R125" s="152" t="n"/>
      <c r="S125" s="152" t="n"/>
      <c r="T125" s="152" t="n"/>
      <c r="U125" s="152" t="n"/>
      <c r="V125" s="152" t="n"/>
      <c r="W125" s="152" t="n"/>
      <c r="X125" s="152" t="n"/>
      <c r="Y125" s="152" t="n"/>
      <c r="Z125" s="152" t="n"/>
      <c r="AA125" s="152" t="n"/>
      <c r="AB125" s="152" t="n"/>
      <c r="AC125" s="152" t="n"/>
      <c r="AD125" s="152" t="n"/>
      <c r="AE125" s="152" t="n"/>
      <c r="AF125" s="152" t="n"/>
      <c r="AG125" s="152" t="n"/>
      <c r="AH125" s="152" t="n"/>
      <c r="AI125" s="152" t="n"/>
      <c r="AJ125" s="152" t="n"/>
      <c r="AK125" s="152" t="n"/>
      <c r="AL125" s="152" t="n"/>
      <c r="AM125" s="152" t="n"/>
      <c r="AN125" s="152" t="n"/>
      <c r="AO125" s="152" t="n"/>
      <c r="AP125" s="152" t="n"/>
      <c r="AQ125" s="152" t="n"/>
      <c r="AR125" s="152" t="n"/>
      <c r="AS125" s="152" t="n"/>
      <c r="AT125" s="152" t="n"/>
      <c r="AU125" s="152" t="n"/>
      <c r="AV125" s="152" t="n"/>
      <c r="AW125" s="152" t="n"/>
      <c r="AX125" s="152" t="n"/>
      <c r="AY125" s="152" t="n"/>
      <c r="AZ125" s="152" t="n"/>
      <c r="BA125" s="152" t="n"/>
      <c r="BB125" s="152" t="n"/>
    </row>
    <row r="127" ht="15" customHeight="1" s="91">
      <c r="B127" s="153" t="inlineStr">
        <is>
          <t>Project (Unlevered)</t>
        </is>
      </c>
      <c r="C127" s="153" t="inlineStr">
        <is>
          <t>@ 10%</t>
        </is>
      </c>
      <c r="D127" s="160">
        <f>IFERROR(E52+NPV(0.1,F52:BB52),"-")</f>
        <v/>
      </c>
    </row>
    <row r="128" ht="15" customHeight="1" s="91">
      <c r="B128" s="169" t="inlineStr">
        <is>
          <t>═══ Debt Tranche Detail (perDraw mode) ═══</t>
        </is>
      </c>
      <c r="C128" s="153" t="inlineStr">
        <is>
          <t>@ 10%</t>
        </is>
      </c>
      <c r="D128" s="160">
        <f>IFERROR(E99+NPV(0.1,F99:BB99),"-")</f>
        <v/>
      </c>
    </row>
    <row r="129" ht="15" customHeight="1" s="91">
      <c r="B129" s="153" t="inlineStr">
        <is>
          <t>Tranche #</t>
        </is>
      </c>
      <c r="C129" s="153" t="inlineStr">
        <is>
          <t>Draw Amount</t>
        </is>
      </c>
      <c r="D129" s="160" t="inlineStr">
        <is>
          <t>Total Repaid</t>
        </is>
      </c>
      <c r="E129" s="90">
        <f>Inputs!$C$7+0</f>
        <v/>
      </c>
      <c r="F129" s="90">
        <f>Inputs!$C$7+1</f>
        <v/>
      </c>
      <c r="G129" s="90">
        <f>Inputs!$C$7+2</f>
        <v/>
      </c>
      <c r="H129" s="90">
        <f>Inputs!$C$7+3</f>
        <v/>
      </c>
      <c r="I129" s="90">
        <f>Inputs!$C$7+4</f>
        <v/>
      </c>
      <c r="J129" s="90">
        <f>Inputs!$C$7+5</f>
        <v/>
      </c>
      <c r="K129" s="90">
        <f>Inputs!$C$7+6</f>
        <v/>
      </c>
      <c r="L129" s="90">
        <f>Inputs!$C$7+7</f>
        <v/>
      </c>
      <c r="M129" s="90">
        <f>Inputs!$C$7+8</f>
        <v/>
      </c>
      <c r="N129" s="90">
        <f>Inputs!$C$7+9</f>
        <v/>
      </c>
      <c r="O129" s="90">
        <f>Inputs!$C$7+10</f>
        <v/>
      </c>
      <c r="P129" s="90">
        <f>Inputs!$C$7+11</f>
        <v/>
      </c>
      <c r="Q129" s="90">
        <f>Inputs!$C$7+12</f>
        <v/>
      </c>
      <c r="R129" s="90">
        <f>Inputs!$C$7+13</f>
        <v/>
      </c>
      <c r="S129" s="90">
        <f>Inputs!$C$7+14</f>
        <v/>
      </c>
      <c r="T129" s="90">
        <f>Inputs!$C$7+15</f>
        <v/>
      </c>
      <c r="U129" s="90">
        <f>Inputs!$C$7+16</f>
        <v/>
      </c>
      <c r="V129" s="90">
        <f>Inputs!$C$7+17</f>
        <v/>
      </c>
      <c r="W129" s="90">
        <f>Inputs!$C$7+18</f>
        <v/>
      </c>
      <c r="X129" s="90">
        <f>Inputs!$C$7+19</f>
        <v/>
      </c>
      <c r="Y129" s="90">
        <f>Inputs!$C$7+20</f>
        <v/>
      </c>
      <c r="Z129" s="90">
        <f>Inputs!$C$7+21</f>
        <v/>
      </c>
      <c r="AA129" s="90">
        <f>Inputs!$C$7+22</f>
        <v/>
      </c>
      <c r="AB129" s="90">
        <f>Inputs!$C$7+23</f>
        <v/>
      </c>
      <c r="AC129" s="90">
        <f>Inputs!$C$7+24</f>
        <v/>
      </c>
      <c r="AD129" s="90">
        <f>Inputs!$C$7+25</f>
        <v/>
      </c>
      <c r="AE129" s="90">
        <f>Inputs!$C$7+26</f>
        <v/>
      </c>
      <c r="AF129" s="90">
        <f>Inputs!$C$7+27</f>
        <v/>
      </c>
      <c r="AG129" s="90">
        <f>Inputs!$C$7+28</f>
        <v/>
      </c>
      <c r="AH129" s="90">
        <f>Inputs!$C$7+29</f>
        <v/>
      </c>
      <c r="AI129" s="90">
        <f>Inputs!$C$7+30</f>
        <v/>
      </c>
      <c r="AJ129" s="90">
        <f>Inputs!$C$7+31</f>
        <v/>
      </c>
      <c r="AK129" s="90">
        <f>Inputs!$C$7+32</f>
        <v/>
      </c>
      <c r="AL129" s="90">
        <f>Inputs!$C$7+33</f>
        <v/>
      </c>
      <c r="AM129" s="90">
        <f>Inputs!$C$7+34</f>
        <v/>
      </c>
      <c r="AN129" s="90">
        <f>Inputs!$C$7+35</f>
        <v/>
      </c>
      <c r="AO129" s="90">
        <f>Inputs!$C$7+36</f>
        <v/>
      </c>
      <c r="AP129" s="90">
        <f>Inputs!$C$7+37</f>
        <v/>
      </c>
      <c r="AQ129" s="90">
        <f>Inputs!$C$7+38</f>
        <v/>
      </c>
      <c r="AR129" s="90">
        <f>Inputs!$C$7+39</f>
        <v/>
      </c>
      <c r="AS129" s="90">
        <f>Inputs!$C$7+40</f>
        <v/>
      </c>
      <c r="AT129" s="90">
        <f>Inputs!$C$7+41</f>
        <v/>
      </c>
      <c r="AU129" s="90">
        <f>Inputs!$C$7+42</f>
        <v/>
      </c>
      <c r="AV129" s="90">
        <f>Inputs!$C$7+43</f>
        <v/>
      </c>
      <c r="AW129" s="90">
        <f>Inputs!$C$7+44</f>
        <v/>
      </c>
      <c r="AX129" s="90">
        <f>Inputs!$C$7+45</f>
        <v/>
      </c>
      <c r="AY129" s="90">
        <f>Inputs!$C$7+46</f>
        <v/>
      </c>
      <c r="AZ129" s="90">
        <f>Inputs!$C$7+47</f>
        <v/>
      </c>
      <c r="BA129" s="90">
        <f>Inputs!$C$7+48</f>
        <v/>
      </c>
      <c r="BB129" s="90">
        <f>Inputs!$C$7+49</f>
        <v/>
      </c>
    </row>
    <row r="130" ht="15" customHeight="1" s="91">
      <c r="B130" s="90" t="inlineStr">
        <is>
          <t>Tranche 1</t>
        </is>
      </c>
      <c r="C130" s="170">
        <f>IF(ABS($D$49)&gt;0,SUMPRODUCT(($E$46:$BB$46=$C$9+0)*IF($E49:$BB49&lt;0,ABS($E49:$BB49),0))*$C$19/ABS($D$49),0)</f>
        <v/>
      </c>
      <c r="D130" s="90">
        <f>SUM(E130:BB130)</f>
        <v/>
      </c>
      <c r="E130" s="90">
        <f>IF(AND($C130&gt;0,E$46&gt;=$C$9+0+$C$26,0&lt;$C130),MIN($C130/$C$27,$C130-0),0)</f>
        <v/>
      </c>
      <c r="F130" s="90">
        <f>IF(AND($C130&gt;0,F$46&gt;=$C$9+0+$C$26,SUM($E130:E130)&lt;$C130),MIN($C130/$C$27,$C130-SUM($E130:E130)),0)</f>
        <v/>
      </c>
      <c r="G130" s="90">
        <f>IF(AND($C130&gt;0,G$46&gt;=$C$9+0+$C$26,SUM($E130:F130)&lt;$C130),MIN($C130/$C$27,$C130-SUM($E130:F130)),0)</f>
        <v/>
      </c>
      <c r="H130" s="90">
        <f>IF(AND($C130&gt;0,H$46&gt;=$C$9+0+$C$26,SUM($E130:G130)&lt;$C130),MIN($C130/$C$27,$C130-SUM($E130:G130)),0)</f>
        <v/>
      </c>
      <c r="I130" s="90">
        <f>IF(AND($C130&gt;0,I$46&gt;=$C$9+0+$C$26,SUM($E130:H130)&lt;$C130),MIN($C130/$C$27,$C130-SUM($E130:H130)),0)</f>
        <v/>
      </c>
      <c r="J130" s="90">
        <f>IF(AND($C130&gt;0,J$46&gt;=$C$9+0+$C$26,SUM($E130:I130)&lt;$C130),MIN($C130/$C$27,$C130-SUM($E130:I130)),0)</f>
        <v/>
      </c>
      <c r="K130" s="90">
        <f>IF(AND($C130&gt;0,K$46&gt;=$C$9+0+$C$26,SUM($E130:J130)&lt;$C130),MIN($C130/$C$27,$C130-SUM($E130:J130)),0)</f>
        <v/>
      </c>
      <c r="L130" s="90">
        <f>IF(AND($C130&gt;0,L$46&gt;=$C$9+0+$C$26,SUM($E130:K130)&lt;$C130),MIN($C130/$C$27,$C130-SUM($E130:K130)),0)</f>
        <v/>
      </c>
      <c r="M130" s="90">
        <f>IF(AND($C130&gt;0,M$46&gt;=$C$9+0+$C$26,SUM($E130:L130)&lt;$C130),MIN($C130/$C$27,$C130-SUM($E130:L130)),0)</f>
        <v/>
      </c>
      <c r="N130" s="90">
        <f>IF(AND($C130&gt;0,N$46&gt;=$C$9+0+$C$26,SUM($E130:M130)&lt;$C130),MIN($C130/$C$27,$C130-SUM($E130:M130)),0)</f>
        <v/>
      </c>
      <c r="O130" s="90">
        <f>IF(AND($C130&gt;0,O$46&gt;=$C$9+0+$C$26,SUM($E130:N130)&lt;$C130),MIN($C130/$C$27,$C130-SUM($E130:N130)),0)</f>
        <v/>
      </c>
      <c r="P130" s="90">
        <f>IF(AND($C130&gt;0,P$46&gt;=$C$9+0+$C$26,SUM($E130:O130)&lt;$C130),MIN($C130/$C$27,$C130-SUM($E130:O130)),0)</f>
        <v/>
      </c>
      <c r="Q130" s="90">
        <f>IF(AND($C130&gt;0,Q$46&gt;=$C$9+0+$C$26,SUM($E130:P130)&lt;$C130),MIN($C130/$C$27,$C130-SUM($E130:P130)),0)</f>
        <v/>
      </c>
      <c r="R130" s="90">
        <f>IF(AND($C130&gt;0,R$46&gt;=$C$9+0+$C$26,SUM($E130:Q130)&lt;$C130),MIN($C130/$C$27,$C130-SUM($E130:Q130)),0)</f>
        <v/>
      </c>
      <c r="S130" s="90">
        <f>IF(AND($C130&gt;0,S$46&gt;=$C$9+0+$C$26,SUM($E130:R130)&lt;$C130),MIN($C130/$C$27,$C130-SUM($E130:R130)),0)</f>
        <v/>
      </c>
      <c r="T130" s="90">
        <f>IF(AND($C130&gt;0,T$46&gt;=$C$9+0+$C$26,SUM($E130:S130)&lt;$C130),MIN($C130/$C$27,$C130-SUM($E130:S130)),0)</f>
        <v/>
      </c>
      <c r="U130" s="90">
        <f>IF(AND($C130&gt;0,U$46&gt;=$C$9+0+$C$26,SUM($E130:T130)&lt;$C130),MIN($C130/$C$27,$C130-SUM($E130:T130)),0)</f>
        <v/>
      </c>
      <c r="V130" s="90">
        <f>IF(AND($C130&gt;0,V$46&gt;=$C$9+0+$C$26,SUM($E130:U130)&lt;$C130),MIN($C130/$C$27,$C130-SUM($E130:U130)),0)</f>
        <v/>
      </c>
      <c r="W130" s="90">
        <f>IF(AND($C130&gt;0,W$46&gt;=$C$9+0+$C$26,SUM($E130:V130)&lt;$C130),MIN($C130/$C$27,$C130-SUM($E130:V130)),0)</f>
        <v/>
      </c>
      <c r="X130" s="90">
        <f>IF(AND($C130&gt;0,X$46&gt;=$C$9+0+$C$26,SUM($E130:W130)&lt;$C130),MIN($C130/$C$27,$C130-SUM($E130:W130)),0)</f>
        <v/>
      </c>
      <c r="Y130" s="90">
        <f>IF(AND($C130&gt;0,Y$46&gt;=$C$9+0+$C$26,SUM($E130:X130)&lt;$C130),MIN($C130/$C$27,$C130-SUM($E130:X130)),0)</f>
        <v/>
      </c>
      <c r="Z130" s="90">
        <f>IF(AND($C130&gt;0,Z$46&gt;=$C$9+0+$C$26,SUM($E130:Y130)&lt;$C130),MIN($C130/$C$27,$C130-SUM($E130:Y130)),0)</f>
        <v/>
      </c>
      <c r="AA130" s="90">
        <f>IF(AND($C130&gt;0,AA$46&gt;=$C$9+0+$C$26,SUM($E130:Z130)&lt;$C130),MIN($C130/$C$27,$C130-SUM($E130:Z130)),0)</f>
        <v/>
      </c>
      <c r="AB130" s="90">
        <f>IF(AND($C130&gt;0,AB$46&gt;=$C$9+0+$C$26,SUM($E130:AA130)&lt;$C130),MIN($C130/$C$27,$C130-SUM($E130:AA130)),0)</f>
        <v/>
      </c>
      <c r="AC130" s="90">
        <f>IF(AND($C130&gt;0,AC$46&gt;=$C$9+0+$C$26,SUM($E130:AB130)&lt;$C130),MIN($C130/$C$27,$C130-SUM($E130:AB130)),0)</f>
        <v/>
      </c>
      <c r="AD130" s="90">
        <f>IF(AND($C130&gt;0,AD$46&gt;=$C$9+0+$C$26,SUM($E130:AC130)&lt;$C130),MIN($C130/$C$27,$C130-SUM($E130:AC130)),0)</f>
        <v/>
      </c>
      <c r="AE130" s="90">
        <f>IF(AND($C130&gt;0,AE$46&gt;=$C$9+0+$C$26,SUM($E130:AD130)&lt;$C130),MIN($C130/$C$27,$C130-SUM($E130:AD130)),0)</f>
        <v/>
      </c>
      <c r="AF130" s="90">
        <f>IF(AND($C130&gt;0,AF$46&gt;=$C$9+0+$C$26,SUM($E130:AE130)&lt;$C130),MIN($C130/$C$27,$C130-SUM($E130:AE130)),0)</f>
        <v/>
      </c>
      <c r="AG130" s="90">
        <f>IF(AND($C130&gt;0,AG$46&gt;=$C$9+0+$C$26,SUM($E130:AF130)&lt;$C130),MIN($C130/$C$27,$C130-SUM($E130:AF130)),0)</f>
        <v/>
      </c>
      <c r="AH130" s="90">
        <f>IF(AND($C130&gt;0,AH$46&gt;=$C$9+0+$C$26,SUM($E130:AG130)&lt;$C130),MIN($C130/$C$27,$C130-SUM($E130:AG130)),0)</f>
        <v/>
      </c>
      <c r="AI130" s="90">
        <f>IF(AND($C130&gt;0,AI$46&gt;=$C$9+0+$C$26,SUM($E130:AH130)&lt;$C130),MIN($C130/$C$27,$C130-SUM($E130:AH130)),0)</f>
        <v/>
      </c>
      <c r="AJ130" s="90">
        <f>IF(AND($C130&gt;0,AJ$46&gt;=$C$9+0+$C$26,SUM($E130:AI130)&lt;$C130),MIN($C130/$C$27,$C130-SUM($E130:AI130)),0)</f>
        <v/>
      </c>
      <c r="AK130" s="90">
        <f>IF(AND($C130&gt;0,AK$46&gt;=$C$9+0+$C$26,SUM($E130:AJ130)&lt;$C130),MIN($C130/$C$27,$C130-SUM($E130:AJ130)),0)</f>
        <v/>
      </c>
      <c r="AL130" s="90">
        <f>IF(AND($C130&gt;0,AL$46&gt;=$C$9+0+$C$26,SUM($E130:AK130)&lt;$C130),MIN($C130/$C$27,$C130-SUM($E130:AK130)),0)</f>
        <v/>
      </c>
      <c r="AM130" s="90">
        <f>IF(AND($C130&gt;0,AM$46&gt;=$C$9+0+$C$26,SUM($E130:AL130)&lt;$C130),MIN($C130/$C$27,$C130-SUM($E130:AL130)),0)</f>
        <v/>
      </c>
      <c r="AN130" s="90">
        <f>IF(AND($C130&gt;0,AN$46&gt;=$C$9+0+$C$26,SUM($E130:AM130)&lt;$C130),MIN($C130/$C$27,$C130-SUM($E130:AM130)),0)</f>
        <v/>
      </c>
      <c r="AO130" s="90">
        <f>IF(AND($C130&gt;0,AO$46&gt;=$C$9+0+$C$26,SUM($E130:AN130)&lt;$C130),MIN($C130/$C$27,$C130-SUM($E130:AN130)),0)</f>
        <v/>
      </c>
      <c r="AP130" s="90">
        <f>IF(AND($C130&gt;0,AP$46&gt;=$C$9+0+$C$26,SUM($E130:AO130)&lt;$C130),MIN($C130/$C$27,$C130-SUM($E130:AO130)),0)</f>
        <v/>
      </c>
      <c r="AQ130" s="90">
        <f>IF(AND($C130&gt;0,AQ$46&gt;=$C$9+0+$C$26,SUM($E130:AP130)&lt;$C130),MIN($C130/$C$27,$C130-SUM($E130:AP130)),0)</f>
        <v/>
      </c>
      <c r="AR130" s="90">
        <f>IF(AND($C130&gt;0,AR$46&gt;=$C$9+0+$C$26,SUM($E130:AQ130)&lt;$C130),MIN($C130/$C$27,$C130-SUM($E130:AQ130)),0)</f>
        <v/>
      </c>
      <c r="AS130" s="90">
        <f>IF(AND($C130&gt;0,AS$46&gt;=$C$9+0+$C$26,SUM($E130:AR130)&lt;$C130),MIN($C130/$C$27,$C130-SUM($E130:AR130)),0)</f>
        <v/>
      </c>
      <c r="AT130" s="90">
        <f>IF(AND($C130&gt;0,AT$46&gt;=$C$9+0+$C$26,SUM($E130:AS130)&lt;$C130),MIN($C130/$C$27,$C130-SUM($E130:AS130)),0)</f>
        <v/>
      </c>
      <c r="AU130" s="90">
        <f>IF(AND($C130&gt;0,AU$46&gt;=$C$9+0+$C$26,SUM($E130:AT130)&lt;$C130),MIN($C130/$C$27,$C130-SUM($E130:AT130)),0)</f>
        <v/>
      </c>
      <c r="AV130" s="90">
        <f>IF(AND($C130&gt;0,AV$46&gt;=$C$9+0+$C$26,SUM($E130:AU130)&lt;$C130),MIN($C130/$C$27,$C130-SUM($E130:AU130)),0)</f>
        <v/>
      </c>
      <c r="AW130" s="90">
        <f>IF(AND($C130&gt;0,AW$46&gt;=$C$9+0+$C$26,SUM($E130:AV130)&lt;$C130),MIN($C130/$C$27,$C130-SUM($E130:AV130)),0)</f>
        <v/>
      </c>
      <c r="AX130" s="90">
        <f>IF(AND($C130&gt;0,AX$46&gt;=$C$9+0+$C$26,SUM($E130:AW130)&lt;$C130),MIN($C130/$C$27,$C130-SUM($E130:AW130)),0)</f>
        <v/>
      </c>
      <c r="AY130" s="90">
        <f>IF(AND($C130&gt;0,AY$46&gt;=$C$9+0+$C$26,SUM($E130:AX130)&lt;$C130),MIN($C130/$C$27,$C130-SUM($E130:AX130)),0)</f>
        <v/>
      </c>
      <c r="AZ130" s="90">
        <f>IF(AND($C130&gt;0,AZ$46&gt;=$C$9+0+$C$26,SUM($E130:AY130)&lt;$C130),MIN($C130/$C$27,$C130-SUM($E130:AY130)),0)</f>
        <v/>
      </c>
      <c r="BA130" s="90">
        <f>IF(AND($C130&gt;0,BA$46&gt;=$C$9+0+$C$26,SUM($E130:AZ130)&lt;$C130),MIN($C130/$C$27,$C130-SUM($E130:AZ130)),0)</f>
        <v/>
      </c>
      <c r="BB130" s="90">
        <f>IF(AND($C130&gt;0,BB$46&gt;=$C$9+0+$C$26,SUM($E130:BA130)&lt;$C130),MIN($C130/$C$27,$C130-SUM($E130:BA130)),0)</f>
        <v/>
      </c>
    </row>
    <row r="131" ht="15" customHeight="1" s="91">
      <c r="B131" s="153" t="inlineStr">
        <is>
          <t>Tranche 2</t>
        </is>
      </c>
      <c r="C131" s="160">
        <f>IF(ABS($D$49)&gt;0,SUMPRODUCT(($E$46:$BB$46=$C$9+1)*IF($E49:$BB49&lt;0,ABS($E49:$BB49),0))*$C$19/ABS($D$49),0)</f>
        <v/>
      </c>
      <c r="D131" s="160">
        <f>SUM(E131:BB131)</f>
        <v/>
      </c>
      <c r="E131" s="90">
        <f>IF(AND($C131&gt;0,E$46&gt;=$C$9+1+$C$26,0&lt;$C131),MIN($C131/$C$27,$C131-0),0)</f>
        <v/>
      </c>
      <c r="F131" s="90">
        <f>IF(AND($C131&gt;0,F$46&gt;=$C$9+1+$C$26,SUM($E131:E131)&lt;$C131),MIN($C131/$C$27,$C131-SUM($E131:E131)),0)</f>
        <v/>
      </c>
      <c r="G131" s="90">
        <f>IF(AND($C131&gt;0,G$46&gt;=$C$9+1+$C$26,SUM($E131:F131)&lt;$C131),MIN($C131/$C$27,$C131-SUM($E131:F131)),0)</f>
        <v/>
      </c>
      <c r="H131" s="90">
        <f>IF(AND($C131&gt;0,H$46&gt;=$C$9+1+$C$26,SUM($E131:G131)&lt;$C131),MIN($C131/$C$27,$C131-SUM($E131:G131)),0)</f>
        <v/>
      </c>
      <c r="I131" s="90">
        <f>IF(AND($C131&gt;0,I$46&gt;=$C$9+1+$C$26,SUM($E131:H131)&lt;$C131),MIN($C131/$C$27,$C131-SUM($E131:H131)),0)</f>
        <v/>
      </c>
      <c r="J131" s="90">
        <f>IF(AND($C131&gt;0,J$46&gt;=$C$9+1+$C$26,SUM($E131:I131)&lt;$C131),MIN($C131/$C$27,$C131-SUM($E131:I131)),0)</f>
        <v/>
      </c>
      <c r="K131" s="90">
        <f>IF(AND($C131&gt;0,K$46&gt;=$C$9+1+$C$26,SUM($E131:J131)&lt;$C131),MIN($C131/$C$27,$C131-SUM($E131:J131)),0)</f>
        <v/>
      </c>
      <c r="L131" s="90">
        <f>IF(AND($C131&gt;0,L$46&gt;=$C$9+1+$C$26,SUM($E131:K131)&lt;$C131),MIN($C131/$C$27,$C131-SUM($E131:K131)),0)</f>
        <v/>
      </c>
      <c r="M131" s="90">
        <f>IF(AND($C131&gt;0,M$46&gt;=$C$9+1+$C$26,SUM($E131:L131)&lt;$C131),MIN($C131/$C$27,$C131-SUM($E131:L131)),0)</f>
        <v/>
      </c>
      <c r="N131" s="90">
        <f>IF(AND($C131&gt;0,N$46&gt;=$C$9+1+$C$26,SUM($E131:M131)&lt;$C131),MIN($C131/$C$27,$C131-SUM($E131:M131)),0)</f>
        <v/>
      </c>
      <c r="O131" s="90">
        <f>IF(AND($C131&gt;0,O$46&gt;=$C$9+1+$C$26,SUM($E131:N131)&lt;$C131),MIN($C131/$C$27,$C131-SUM($E131:N131)),0)</f>
        <v/>
      </c>
      <c r="P131" s="90">
        <f>IF(AND($C131&gt;0,P$46&gt;=$C$9+1+$C$26,SUM($E131:O131)&lt;$C131),MIN($C131/$C$27,$C131-SUM($E131:O131)),0)</f>
        <v/>
      </c>
      <c r="Q131" s="90">
        <f>IF(AND($C131&gt;0,Q$46&gt;=$C$9+1+$C$26,SUM($E131:P131)&lt;$C131),MIN($C131/$C$27,$C131-SUM($E131:P131)),0)</f>
        <v/>
      </c>
      <c r="R131" s="90">
        <f>IF(AND($C131&gt;0,R$46&gt;=$C$9+1+$C$26,SUM($E131:Q131)&lt;$C131),MIN($C131/$C$27,$C131-SUM($E131:Q131)),0)</f>
        <v/>
      </c>
      <c r="S131" s="90">
        <f>IF(AND($C131&gt;0,S$46&gt;=$C$9+1+$C$26,SUM($E131:R131)&lt;$C131),MIN($C131/$C$27,$C131-SUM($E131:R131)),0)</f>
        <v/>
      </c>
      <c r="T131" s="90">
        <f>IF(AND($C131&gt;0,T$46&gt;=$C$9+1+$C$26,SUM($E131:S131)&lt;$C131),MIN($C131/$C$27,$C131-SUM($E131:S131)),0)</f>
        <v/>
      </c>
      <c r="U131" s="90">
        <f>IF(AND($C131&gt;0,U$46&gt;=$C$9+1+$C$26,SUM($E131:T131)&lt;$C131),MIN($C131/$C$27,$C131-SUM($E131:T131)),0)</f>
        <v/>
      </c>
      <c r="V131" s="90">
        <f>IF(AND($C131&gt;0,V$46&gt;=$C$9+1+$C$26,SUM($E131:U131)&lt;$C131),MIN($C131/$C$27,$C131-SUM($E131:U131)),0)</f>
        <v/>
      </c>
      <c r="W131" s="90">
        <f>IF(AND($C131&gt;0,W$46&gt;=$C$9+1+$C$26,SUM($E131:V131)&lt;$C131),MIN($C131/$C$27,$C131-SUM($E131:V131)),0)</f>
        <v/>
      </c>
      <c r="X131" s="90">
        <f>IF(AND($C131&gt;0,X$46&gt;=$C$9+1+$C$26,SUM($E131:W131)&lt;$C131),MIN($C131/$C$27,$C131-SUM($E131:W131)),0)</f>
        <v/>
      </c>
      <c r="Y131" s="90">
        <f>IF(AND($C131&gt;0,Y$46&gt;=$C$9+1+$C$26,SUM($E131:X131)&lt;$C131),MIN($C131/$C$27,$C131-SUM($E131:X131)),0)</f>
        <v/>
      </c>
      <c r="Z131" s="90">
        <f>IF(AND($C131&gt;0,Z$46&gt;=$C$9+1+$C$26,SUM($E131:Y131)&lt;$C131),MIN($C131/$C$27,$C131-SUM($E131:Y131)),0)</f>
        <v/>
      </c>
      <c r="AA131" s="90">
        <f>IF(AND($C131&gt;0,AA$46&gt;=$C$9+1+$C$26,SUM($E131:Z131)&lt;$C131),MIN($C131/$C$27,$C131-SUM($E131:Z131)),0)</f>
        <v/>
      </c>
      <c r="AB131" s="90">
        <f>IF(AND($C131&gt;0,AB$46&gt;=$C$9+1+$C$26,SUM($E131:AA131)&lt;$C131),MIN($C131/$C$27,$C131-SUM($E131:AA131)),0)</f>
        <v/>
      </c>
      <c r="AC131" s="90">
        <f>IF(AND($C131&gt;0,AC$46&gt;=$C$9+1+$C$26,SUM($E131:AB131)&lt;$C131),MIN($C131/$C$27,$C131-SUM($E131:AB131)),0)</f>
        <v/>
      </c>
      <c r="AD131" s="90">
        <f>IF(AND($C131&gt;0,AD$46&gt;=$C$9+1+$C$26,SUM($E131:AC131)&lt;$C131),MIN($C131/$C$27,$C131-SUM($E131:AC131)),0)</f>
        <v/>
      </c>
      <c r="AE131" s="90">
        <f>IF(AND($C131&gt;0,AE$46&gt;=$C$9+1+$C$26,SUM($E131:AD131)&lt;$C131),MIN($C131/$C$27,$C131-SUM($E131:AD131)),0)</f>
        <v/>
      </c>
      <c r="AF131" s="90">
        <f>IF(AND($C131&gt;0,AF$46&gt;=$C$9+1+$C$26,SUM($E131:AE131)&lt;$C131),MIN($C131/$C$27,$C131-SUM($E131:AE131)),0)</f>
        <v/>
      </c>
      <c r="AG131" s="90">
        <f>IF(AND($C131&gt;0,AG$46&gt;=$C$9+1+$C$26,SUM($E131:AF131)&lt;$C131),MIN($C131/$C$27,$C131-SUM($E131:AF131)),0)</f>
        <v/>
      </c>
      <c r="AH131" s="90">
        <f>IF(AND($C131&gt;0,AH$46&gt;=$C$9+1+$C$26,SUM($E131:AG131)&lt;$C131),MIN($C131/$C$27,$C131-SUM($E131:AG131)),0)</f>
        <v/>
      </c>
      <c r="AI131" s="90">
        <f>IF(AND($C131&gt;0,AI$46&gt;=$C$9+1+$C$26,SUM($E131:AH131)&lt;$C131),MIN($C131/$C$27,$C131-SUM($E131:AH131)),0)</f>
        <v/>
      </c>
      <c r="AJ131" s="90">
        <f>IF(AND($C131&gt;0,AJ$46&gt;=$C$9+1+$C$26,SUM($E131:AI131)&lt;$C131),MIN($C131/$C$27,$C131-SUM($E131:AI131)),0)</f>
        <v/>
      </c>
      <c r="AK131" s="90">
        <f>IF(AND($C131&gt;0,AK$46&gt;=$C$9+1+$C$26,SUM($E131:AJ131)&lt;$C131),MIN($C131/$C$27,$C131-SUM($E131:AJ131)),0)</f>
        <v/>
      </c>
      <c r="AL131" s="90">
        <f>IF(AND($C131&gt;0,AL$46&gt;=$C$9+1+$C$26,SUM($E131:AK131)&lt;$C131),MIN($C131/$C$27,$C131-SUM($E131:AK131)),0)</f>
        <v/>
      </c>
      <c r="AM131" s="90">
        <f>IF(AND($C131&gt;0,AM$46&gt;=$C$9+1+$C$26,SUM($E131:AL131)&lt;$C131),MIN($C131/$C$27,$C131-SUM($E131:AL131)),0)</f>
        <v/>
      </c>
      <c r="AN131" s="90">
        <f>IF(AND($C131&gt;0,AN$46&gt;=$C$9+1+$C$26,SUM($E131:AM131)&lt;$C131),MIN($C131/$C$27,$C131-SUM($E131:AM131)),0)</f>
        <v/>
      </c>
      <c r="AO131" s="90">
        <f>IF(AND($C131&gt;0,AO$46&gt;=$C$9+1+$C$26,SUM($E131:AN131)&lt;$C131),MIN($C131/$C$27,$C131-SUM($E131:AN131)),0)</f>
        <v/>
      </c>
      <c r="AP131" s="90">
        <f>IF(AND($C131&gt;0,AP$46&gt;=$C$9+1+$C$26,SUM($E131:AO131)&lt;$C131),MIN($C131/$C$27,$C131-SUM($E131:AO131)),0)</f>
        <v/>
      </c>
      <c r="AQ131" s="90">
        <f>IF(AND($C131&gt;0,AQ$46&gt;=$C$9+1+$C$26,SUM($E131:AP131)&lt;$C131),MIN($C131/$C$27,$C131-SUM($E131:AP131)),0)</f>
        <v/>
      </c>
      <c r="AR131" s="90">
        <f>IF(AND($C131&gt;0,AR$46&gt;=$C$9+1+$C$26,SUM($E131:AQ131)&lt;$C131),MIN($C131/$C$27,$C131-SUM($E131:AQ131)),0)</f>
        <v/>
      </c>
      <c r="AS131" s="90">
        <f>IF(AND($C131&gt;0,AS$46&gt;=$C$9+1+$C$26,SUM($E131:AR131)&lt;$C131),MIN($C131/$C$27,$C131-SUM($E131:AR131)),0)</f>
        <v/>
      </c>
      <c r="AT131" s="90">
        <f>IF(AND($C131&gt;0,AT$46&gt;=$C$9+1+$C$26,SUM($E131:AS131)&lt;$C131),MIN($C131/$C$27,$C131-SUM($E131:AS131)),0)</f>
        <v/>
      </c>
      <c r="AU131" s="90">
        <f>IF(AND($C131&gt;0,AU$46&gt;=$C$9+1+$C$26,SUM($E131:AT131)&lt;$C131),MIN($C131/$C$27,$C131-SUM($E131:AT131)),0)</f>
        <v/>
      </c>
      <c r="AV131" s="90">
        <f>IF(AND($C131&gt;0,AV$46&gt;=$C$9+1+$C$26,SUM($E131:AU131)&lt;$C131),MIN($C131/$C$27,$C131-SUM($E131:AU131)),0)</f>
        <v/>
      </c>
      <c r="AW131" s="90">
        <f>IF(AND($C131&gt;0,AW$46&gt;=$C$9+1+$C$26,SUM($E131:AV131)&lt;$C131),MIN($C131/$C$27,$C131-SUM($E131:AV131)),0)</f>
        <v/>
      </c>
      <c r="AX131" s="90">
        <f>IF(AND($C131&gt;0,AX$46&gt;=$C$9+1+$C$26,SUM($E131:AW131)&lt;$C131),MIN($C131/$C$27,$C131-SUM($E131:AW131)),0)</f>
        <v/>
      </c>
      <c r="AY131" s="90">
        <f>IF(AND($C131&gt;0,AY$46&gt;=$C$9+1+$C$26,SUM($E131:AX131)&lt;$C131),MIN($C131/$C$27,$C131-SUM($E131:AX131)),0)</f>
        <v/>
      </c>
      <c r="AZ131" s="90">
        <f>IF(AND($C131&gt;0,AZ$46&gt;=$C$9+1+$C$26,SUM($E131:AY131)&lt;$C131),MIN($C131/$C$27,$C131-SUM($E131:AY131)),0)</f>
        <v/>
      </c>
      <c r="BA131" s="90">
        <f>IF(AND($C131&gt;0,BA$46&gt;=$C$9+1+$C$26,SUM($E131:AZ131)&lt;$C131),MIN($C131/$C$27,$C131-SUM($E131:AZ131)),0)</f>
        <v/>
      </c>
      <c r="BB131" s="90">
        <f>IF(AND($C131&gt;0,BB$46&gt;=$C$9+1+$C$26,SUM($E131:BA131)&lt;$C131),MIN($C131/$C$27,$C131-SUM($E131:BA131)),0)</f>
        <v/>
      </c>
    </row>
    <row r="132" ht="15" customHeight="1" s="91">
      <c r="B132" s="153" t="inlineStr">
        <is>
          <t>Tranche 3</t>
        </is>
      </c>
      <c r="C132" s="160">
        <f>IF(ABS($D$49)&gt;0,SUMPRODUCT(($E$46:$BB$46=$C$9+2)*IF($E49:$BB49&lt;0,ABS($E49:$BB49),0))*$C$19/ABS($D$49),0)</f>
        <v/>
      </c>
      <c r="D132" s="160">
        <f>SUM(E132:BB132)</f>
        <v/>
      </c>
      <c r="E132" s="90">
        <f>IF(AND($C132&gt;0,E$46&gt;=$C$9+2+$C$26,0&lt;$C132),MIN($C132/$C$27,$C132-0),0)</f>
        <v/>
      </c>
      <c r="F132" s="90">
        <f>IF(AND($C132&gt;0,F$46&gt;=$C$9+2+$C$26,SUM($E132:E132)&lt;$C132),MIN($C132/$C$27,$C132-SUM($E132:E132)),0)</f>
        <v/>
      </c>
      <c r="G132" s="90">
        <f>IF(AND($C132&gt;0,G$46&gt;=$C$9+2+$C$26,SUM($E132:F132)&lt;$C132),MIN($C132/$C$27,$C132-SUM($E132:F132)),0)</f>
        <v/>
      </c>
      <c r="H132" s="90">
        <f>IF(AND($C132&gt;0,H$46&gt;=$C$9+2+$C$26,SUM($E132:G132)&lt;$C132),MIN($C132/$C$27,$C132-SUM($E132:G132)),0)</f>
        <v/>
      </c>
      <c r="I132" s="90">
        <f>IF(AND($C132&gt;0,I$46&gt;=$C$9+2+$C$26,SUM($E132:H132)&lt;$C132),MIN($C132/$C$27,$C132-SUM($E132:H132)),0)</f>
        <v/>
      </c>
      <c r="J132" s="90">
        <f>IF(AND($C132&gt;0,J$46&gt;=$C$9+2+$C$26,SUM($E132:I132)&lt;$C132),MIN($C132/$C$27,$C132-SUM($E132:I132)),0)</f>
        <v/>
      </c>
      <c r="K132" s="90">
        <f>IF(AND($C132&gt;0,K$46&gt;=$C$9+2+$C$26,SUM($E132:J132)&lt;$C132),MIN($C132/$C$27,$C132-SUM($E132:J132)),0)</f>
        <v/>
      </c>
      <c r="L132" s="90">
        <f>IF(AND($C132&gt;0,L$46&gt;=$C$9+2+$C$26,SUM($E132:K132)&lt;$C132),MIN($C132/$C$27,$C132-SUM($E132:K132)),0)</f>
        <v/>
      </c>
      <c r="M132" s="90">
        <f>IF(AND($C132&gt;0,M$46&gt;=$C$9+2+$C$26,SUM($E132:L132)&lt;$C132),MIN($C132/$C$27,$C132-SUM($E132:L132)),0)</f>
        <v/>
      </c>
      <c r="N132" s="90">
        <f>IF(AND($C132&gt;0,N$46&gt;=$C$9+2+$C$26,SUM($E132:M132)&lt;$C132),MIN($C132/$C$27,$C132-SUM($E132:M132)),0)</f>
        <v/>
      </c>
      <c r="O132" s="90">
        <f>IF(AND($C132&gt;0,O$46&gt;=$C$9+2+$C$26,SUM($E132:N132)&lt;$C132),MIN($C132/$C$27,$C132-SUM($E132:N132)),0)</f>
        <v/>
      </c>
      <c r="P132" s="90">
        <f>IF(AND($C132&gt;0,P$46&gt;=$C$9+2+$C$26,SUM($E132:O132)&lt;$C132),MIN($C132/$C$27,$C132-SUM($E132:O132)),0)</f>
        <v/>
      </c>
      <c r="Q132" s="90">
        <f>IF(AND($C132&gt;0,Q$46&gt;=$C$9+2+$C$26,SUM($E132:P132)&lt;$C132),MIN($C132/$C$27,$C132-SUM($E132:P132)),0)</f>
        <v/>
      </c>
      <c r="R132" s="90">
        <f>IF(AND($C132&gt;0,R$46&gt;=$C$9+2+$C$26,SUM($E132:Q132)&lt;$C132),MIN($C132/$C$27,$C132-SUM($E132:Q132)),0)</f>
        <v/>
      </c>
      <c r="S132" s="90">
        <f>IF(AND($C132&gt;0,S$46&gt;=$C$9+2+$C$26,SUM($E132:R132)&lt;$C132),MIN($C132/$C$27,$C132-SUM($E132:R132)),0)</f>
        <v/>
      </c>
      <c r="T132" s="90">
        <f>IF(AND($C132&gt;0,T$46&gt;=$C$9+2+$C$26,SUM($E132:S132)&lt;$C132),MIN($C132/$C$27,$C132-SUM($E132:S132)),0)</f>
        <v/>
      </c>
      <c r="U132" s="90">
        <f>IF(AND($C132&gt;0,U$46&gt;=$C$9+2+$C$26,SUM($E132:T132)&lt;$C132),MIN($C132/$C$27,$C132-SUM($E132:T132)),0)</f>
        <v/>
      </c>
      <c r="V132" s="90">
        <f>IF(AND($C132&gt;0,V$46&gt;=$C$9+2+$C$26,SUM($E132:U132)&lt;$C132),MIN($C132/$C$27,$C132-SUM($E132:U132)),0)</f>
        <v/>
      </c>
      <c r="W132" s="90">
        <f>IF(AND($C132&gt;0,W$46&gt;=$C$9+2+$C$26,SUM($E132:V132)&lt;$C132),MIN($C132/$C$27,$C132-SUM($E132:V132)),0)</f>
        <v/>
      </c>
      <c r="X132" s="90">
        <f>IF(AND($C132&gt;0,X$46&gt;=$C$9+2+$C$26,SUM($E132:W132)&lt;$C132),MIN($C132/$C$27,$C132-SUM($E132:W132)),0)</f>
        <v/>
      </c>
      <c r="Y132" s="90">
        <f>IF(AND($C132&gt;0,Y$46&gt;=$C$9+2+$C$26,SUM($E132:X132)&lt;$C132),MIN($C132/$C$27,$C132-SUM($E132:X132)),0)</f>
        <v/>
      </c>
      <c r="Z132" s="90">
        <f>IF(AND($C132&gt;0,Z$46&gt;=$C$9+2+$C$26,SUM($E132:Y132)&lt;$C132),MIN($C132/$C$27,$C132-SUM($E132:Y132)),0)</f>
        <v/>
      </c>
      <c r="AA132" s="90">
        <f>IF(AND($C132&gt;0,AA$46&gt;=$C$9+2+$C$26,SUM($E132:Z132)&lt;$C132),MIN($C132/$C$27,$C132-SUM($E132:Z132)),0)</f>
        <v/>
      </c>
      <c r="AB132" s="90">
        <f>IF(AND($C132&gt;0,AB$46&gt;=$C$9+2+$C$26,SUM($E132:AA132)&lt;$C132),MIN($C132/$C$27,$C132-SUM($E132:AA132)),0)</f>
        <v/>
      </c>
      <c r="AC132" s="90">
        <f>IF(AND($C132&gt;0,AC$46&gt;=$C$9+2+$C$26,SUM($E132:AB132)&lt;$C132),MIN($C132/$C$27,$C132-SUM($E132:AB132)),0)</f>
        <v/>
      </c>
      <c r="AD132" s="90">
        <f>IF(AND($C132&gt;0,AD$46&gt;=$C$9+2+$C$26,SUM($E132:AC132)&lt;$C132),MIN($C132/$C$27,$C132-SUM($E132:AC132)),0)</f>
        <v/>
      </c>
      <c r="AE132" s="90">
        <f>IF(AND($C132&gt;0,AE$46&gt;=$C$9+2+$C$26,SUM($E132:AD132)&lt;$C132),MIN($C132/$C$27,$C132-SUM($E132:AD132)),0)</f>
        <v/>
      </c>
      <c r="AF132" s="90">
        <f>IF(AND($C132&gt;0,AF$46&gt;=$C$9+2+$C$26,SUM($E132:AE132)&lt;$C132),MIN($C132/$C$27,$C132-SUM($E132:AE132)),0)</f>
        <v/>
      </c>
      <c r="AG132" s="90">
        <f>IF(AND($C132&gt;0,AG$46&gt;=$C$9+2+$C$26,SUM($E132:AF132)&lt;$C132),MIN($C132/$C$27,$C132-SUM($E132:AF132)),0)</f>
        <v/>
      </c>
      <c r="AH132" s="90">
        <f>IF(AND($C132&gt;0,AH$46&gt;=$C$9+2+$C$26,SUM($E132:AG132)&lt;$C132),MIN($C132/$C$27,$C132-SUM($E132:AG132)),0)</f>
        <v/>
      </c>
      <c r="AI132" s="90">
        <f>IF(AND($C132&gt;0,AI$46&gt;=$C$9+2+$C$26,SUM($E132:AH132)&lt;$C132),MIN($C132/$C$27,$C132-SUM($E132:AH132)),0)</f>
        <v/>
      </c>
      <c r="AJ132" s="90">
        <f>IF(AND($C132&gt;0,AJ$46&gt;=$C$9+2+$C$26,SUM($E132:AI132)&lt;$C132),MIN($C132/$C$27,$C132-SUM($E132:AI132)),0)</f>
        <v/>
      </c>
      <c r="AK132" s="90">
        <f>IF(AND($C132&gt;0,AK$46&gt;=$C$9+2+$C$26,SUM($E132:AJ132)&lt;$C132),MIN($C132/$C$27,$C132-SUM($E132:AJ132)),0)</f>
        <v/>
      </c>
      <c r="AL132" s="90">
        <f>IF(AND($C132&gt;0,AL$46&gt;=$C$9+2+$C$26,SUM($E132:AK132)&lt;$C132),MIN($C132/$C$27,$C132-SUM($E132:AK132)),0)</f>
        <v/>
      </c>
      <c r="AM132" s="90">
        <f>IF(AND($C132&gt;0,AM$46&gt;=$C$9+2+$C$26,SUM($E132:AL132)&lt;$C132),MIN($C132/$C$27,$C132-SUM($E132:AL132)),0)</f>
        <v/>
      </c>
      <c r="AN132" s="90">
        <f>IF(AND($C132&gt;0,AN$46&gt;=$C$9+2+$C$26,SUM($E132:AM132)&lt;$C132),MIN($C132/$C$27,$C132-SUM($E132:AM132)),0)</f>
        <v/>
      </c>
      <c r="AO132" s="90">
        <f>IF(AND($C132&gt;0,AO$46&gt;=$C$9+2+$C$26,SUM($E132:AN132)&lt;$C132),MIN($C132/$C$27,$C132-SUM($E132:AN132)),0)</f>
        <v/>
      </c>
      <c r="AP132" s="90">
        <f>IF(AND($C132&gt;0,AP$46&gt;=$C$9+2+$C$26,SUM($E132:AO132)&lt;$C132),MIN($C132/$C$27,$C132-SUM($E132:AO132)),0)</f>
        <v/>
      </c>
      <c r="AQ132" s="90">
        <f>IF(AND($C132&gt;0,AQ$46&gt;=$C$9+2+$C$26,SUM($E132:AP132)&lt;$C132),MIN($C132/$C$27,$C132-SUM($E132:AP132)),0)</f>
        <v/>
      </c>
      <c r="AR132" s="90">
        <f>IF(AND($C132&gt;0,AR$46&gt;=$C$9+2+$C$26,SUM($E132:AQ132)&lt;$C132),MIN($C132/$C$27,$C132-SUM($E132:AQ132)),0)</f>
        <v/>
      </c>
      <c r="AS132" s="90">
        <f>IF(AND($C132&gt;0,AS$46&gt;=$C$9+2+$C$26,SUM($E132:AR132)&lt;$C132),MIN($C132/$C$27,$C132-SUM($E132:AR132)),0)</f>
        <v/>
      </c>
      <c r="AT132" s="90">
        <f>IF(AND($C132&gt;0,AT$46&gt;=$C$9+2+$C$26,SUM($E132:AS132)&lt;$C132),MIN($C132/$C$27,$C132-SUM($E132:AS132)),0)</f>
        <v/>
      </c>
      <c r="AU132" s="90">
        <f>IF(AND($C132&gt;0,AU$46&gt;=$C$9+2+$C$26,SUM($E132:AT132)&lt;$C132),MIN($C132/$C$27,$C132-SUM($E132:AT132)),0)</f>
        <v/>
      </c>
      <c r="AV132" s="90">
        <f>IF(AND($C132&gt;0,AV$46&gt;=$C$9+2+$C$26,SUM($E132:AU132)&lt;$C132),MIN($C132/$C$27,$C132-SUM($E132:AU132)),0)</f>
        <v/>
      </c>
      <c r="AW132" s="90">
        <f>IF(AND($C132&gt;0,AW$46&gt;=$C$9+2+$C$26,SUM($E132:AV132)&lt;$C132),MIN($C132/$C$27,$C132-SUM($E132:AV132)),0)</f>
        <v/>
      </c>
      <c r="AX132" s="90">
        <f>IF(AND($C132&gt;0,AX$46&gt;=$C$9+2+$C$26,SUM($E132:AW132)&lt;$C132),MIN($C132/$C$27,$C132-SUM($E132:AW132)),0)</f>
        <v/>
      </c>
      <c r="AY132" s="90">
        <f>IF(AND($C132&gt;0,AY$46&gt;=$C$9+2+$C$26,SUM($E132:AX132)&lt;$C132),MIN($C132/$C$27,$C132-SUM($E132:AX132)),0)</f>
        <v/>
      </c>
      <c r="AZ132" s="90">
        <f>IF(AND($C132&gt;0,AZ$46&gt;=$C$9+2+$C$26,SUM($E132:AY132)&lt;$C132),MIN($C132/$C$27,$C132-SUM($E132:AY132)),0)</f>
        <v/>
      </c>
      <c r="BA132" s="90">
        <f>IF(AND($C132&gt;0,BA$46&gt;=$C$9+2+$C$26,SUM($E132:AZ132)&lt;$C132),MIN($C132/$C$27,$C132-SUM($E132:AZ132)),0)</f>
        <v/>
      </c>
      <c r="BB132" s="90">
        <f>IF(AND($C132&gt;0,BB$46&gt;=$C$9+2+$C$26,SUM($E132:BA132)&lt;$C132),MIN($C132/$C$27,$C132-SUM($E132:BA132)),0)</f>
        <v/>
      </c>
    </row>
    <row r="133" ht="15" customHeight="1" s="91">
      <c r="B133" s="153" t="inlineStr">
        <is>
          <t>Tranche 4</t>
        </is>
      </c>
      <c r="C133" s="160">
        <f>IF(ABS($D$49)&gt;0,SUMPRODUCT(($E$46:$BB$46=$C$9+3)*IF($E49:$BB49&lt;0,ABS($E49:$BB49),0))*$C$19/ABS($D$49),0)</f>
        <v/>
      </c>
      <c r="D133" s="160">
        <f>SUM(E133:BB133)</f>
        <v/>
      </c>
      <c r="E133" s="90">
        <f>IF(AND($C133&gt;0,E$46&gt;=$C$9+3+$C$26,0&lt;$C133),MIN($C133/$C$27,$C133-0),0)</f>
        <v/>
      </c>
      <c r="F133" s="90">
        <f>IF(AND($C133&gt;0,F$46&gt;=$C$9+3+$C$26,SUM($E133:E133)&lt;$C133),MIN($C133/$C$27,$C133-SUM($E133:E133)),0)</f>
        <v/>
      </c>
      <c r="G133" s="90">
        <f>IF(AND($C133&gt;0,G$46&gt;=$C$9+3+$C$26,SUM($E133:F133)&lt;$C133),MIN($C133/$C$27,$C133-SUM($E133:F133)),0)</f>
        <v/>
      </c>
      <c r="H133" s="90">
        <f>IF(AND($C133&gt;0,H$46&gt;=$C$9+3+$C$26,SUM($E133:G133)&lt;$C133),MIN($C133/$C$27,$C133-SUM($E133:G133)),0)</f>
        <v/>
      </c>
      <c r="I133" s="90">
        <f>IF(AND($C133&gt;0,I$46&gt;=$C$9+3+$C$26,SUM($E133:H133)&lt;$C133),MIN($C133/$C$27,$C133-SUM($E133:H133)),0)</f>
        <v/>
      </c>
      <c r="J133" s="90">
        <f>IF(AND($C133&gt;0,J$46&gt;=$C$9+3+$C$26,SUM($E133:I133)&lt;$C133),MIN($C133/$C$27,$C133-SUM($E133:I133)),0)</f>
        <v/>
      </c>
      <c r="K133" s="90">
        <f>IF(AND($C133&gt;0,K$46&gt;=$C$9+3+$C$26,SUM($E133:J133)&lt;$C133),MIN($C133/$C$27,$C133-SUM($E133:J133)),0)</f>
        <v/>
      </c>
      <c r="L133" s="90">
        <f>IF(AND($C133&gt;0,L$46&gt;=$C$9+3+$C$26,SUM($E133:K133)&lt;$C133),MIN($C133/$C$27,$C133-SUM($E133:K133)),0)</f>
        <v/>
      </c>
      <c r="M133" s="90">
        <f>IF(AND($C133&gt;0,M$46&gt;=$C$9+3+$C$26,SUM($E133:L133)&lt;$C133),MIN($C133/$C$27,$C133-SUM($E133:L133)),0)</f>
        <v/>
      </c>
      <c r="N133" s="90">
        <f>IF(AND($C133&gt;0,N$46&gt;=$C$9+3+$C$26,SUM($E133:M133)&lt;$C133),MIN($C133/$C$27,$C133-SUM($E133:M133)),0)</f>
        <v/>
      </c>
      <c r="O133" s="90">
        <f>IF(AND($C133&gt;0,O$46&gt;=$C$9+3+$C$26,SUM($E133:N133)&lt;$C133),MIN($C133/$C$27,$C133-SUM($E133:N133)),0)</f>
        <v/>
      </c>
      <c r="P133" s="90">
        <f>IF(AND($C133&gt;0,P$46&gt;=$C$9+3+$C$26,SUM($E133:O133)&lt;$C133),MIN($C133/$C$27,$C133-SUM($E133:O133)),0)</f>
        <v/>
      </c>
      <c r="Q133" s="90">
        <f>IF(AND($C133&gt;0,Q$46&gt;=$C$9+3+$C$26,SUM($E133:P133)&lt;$C133),MIN($C133/$C$27,$C133-SUM($E133:P133)),0)</f>
        <v/>
      </c>
      <c r="R133" s="90">
        <f>IF(AND($C133&gt;0,R$46&gt;=$C$9+3+$C$26,SUM($E133:Q133)&lt;$C133),MIN($C133/$C$27,$C133-SUM($E133:Q133)),0)</f>
        <v/>
      </c>
      <c r="S133" s="90">
        <f>IF(AND($C133&gt;0,S$46&gt;=$C$9+3+$C$26,SUM($E133:R133)&lt;$C133),MIN($C133/$C$27,$C133-SUM($E133:R133)),0)</f>
        <v/>
      </c>
      <c r="T133" s="90">
        <f>IF(AND($C133&gt;0,T$46&gt;=$C$9+3+$C$26,SUM($E133:S133)&lt;$C133),MIN($C133/$C$27,$C133-SUM($E133:S133)),0)</f>
        <v/>
      </c>
      <c r="U133" s="90">
        <f>IF(AND($C133&gt;0,U$46&gt;=$C$9+3+$C$26,SUM($E133:T133)&lt;$C133),MIN($C133/$C$27,$C133-SUM($E133:T133)),0)</f>
        <v/>
      </c>
      <c r="V133" s="90">
        <f>IF(AND($C133&gt;0,V$46&gt;=$C$9+3+$C$26,SUM($E133:U133)&lt;$C133),MIN($C133/$C$27,$C133-SUM($E133:U133)),0)</f>
        <v/>
      </c>
      <c r="W133" s="90">
        <f>IF(AND($C133&gt;0,W$46&gt;=$C$9+3+$C$26,SUM($E133:V133)&lt;$C133),MIN($C133/$C$27,$C133-SUM($E133:V133)),0)</f>
        <v/>
      </c>
      <c r="X133" s="90">
        <f>IF(AND($C133&gt;0,X$46&gt;=$C$9+3+$C$26,SUM($E133:W133)&lt;$C133),MIN($C133/$C$27,$C133-SUM($E133:W133)),0)</f>
        <v/>
      </c>
      <c r="Y133" s="90">
        <f>IF(AND($C133&gt;0,Y$46&gt;=$C$9+3+$C$26,SUM($E133:X133)&lt;$C133),MIN($C133/$C$27,$C133-SUM($E133:X133)),0)</f>
        <v/>
      </c>
      <c r="Z133" s="90">
        <f>IF(AND($C133&gt;0,Z$46&gt;=$C$9+3+$C$26,SUM($E133:Y133)&lt;$C133),MIN($C133/$C$27,$C133-SUM($E133:Y133)),0)</f>
        <v/>
      </c>
      <c r="AA133" s="90">
        <f>IF(AND($C133&gt;0,AA$46&gt;=$C$9+3+$C$26,SUM($E133:Z133)&lt;$C133),MIN($C133/$C$27,$C133-SUM($E133:Z133)),0)</f>
        <v/>
      </c>
      <c r="AB133" s="90">
        <f>IF(AND($C133&gt;0,AB$46&gt;=$C$9+3+$C$26,SUM($E133:AA133)&lt;$C133),MIN($C133/$C$27,$C133-SUM($E133:AA133)),0)</f>
        <v/>
      </c>
      <c r="AC133" s="90">
        <f>IF(AND($C133&gt;0,AC$46&gt;=$C$9+3+$C$26,SUM($E133:AB133)&lt;$C133),MIN($C133/$C$27,$C133-SUM($E133:AB133)),0)</f>
        <v/>
      </c>
      <c r="AD133" s="90">
        <f>IF(AND($C133&gt;0,AD$46&gt;=$C$9+3+$C$26,SUM($E133:AC133)&lt;$C133),MIN($C133/$C$27,$C133-SUM($E133:AC133)),0)</f>
        <v/>
      </c>
      <c r="AE133" s="90">
        <f>IF(AND($C133&gt;0,AE$46&gt;=$C$9+3+$C$26,SUM($E133:AD133)&lt;$C133),MIN($C133/$C$27,$C133-SUM($E133:AD133)),0)</f>
        <v/>
      </c>
      <c r="AF133" s="90">
        <f>IF(AND($C133&gt;0,AF$46&gt;=$C$9+3+$C$26,SUM($E133:AE133)&lt;$C133),MIN($C133/$C$27,$C133-SUM($E133:AE133)),0)</f>
        <v/>
      </c>
      <c r="AG133" s="90">
        <f>IF(AND($C133&gt;0,AG$46&gt;=$C$9+3+$C$26,SUM($E133:AF133)&lt;$C133),MIN($C133/$C$27,$C133-SUM($E133:AF133)),0)</f>
        <v/>
      </c>
      <c r="AH133" s="90">
        <f>IF(AND($C133&gt;0,AH$46&gt;=$C$9+3+$C$26,SUM($E133:AG133)&lt;$C133),MIN($C133/$C$27,$C133-SUM($E133:AG133)),0)</f>
        <v/>
      </c>
      <c r="AI133" s="90">
        <f>IF(AND($C133&gt;0,AI$46&gt;=$C$9+3+$C$26,SUM($E133:AH133)&lt;$C133),MIN($C133/$C$27,$C133-SUM($E133:AH133)),0)</f>
        <v/>
      </c>
      <c r="AJ133" s="90">
        <f>IF(AND($C133&gt;0,AJ$46&gt;=$C$9+3+$C$26,SUM($E133:AI133)&lt;$C133),MIN($C133/$C$27,$C133-SUM($E133:AI133)),0)</f>
        <v/>
      </c>
      <c r="AK133" s="90">
        <f>IF(AND($C133&gt;0,AK$46&gt;=$C$9+3+$C$26,SUM($E133:AJ133)&lt;$C133),MIN($C133/$C$27,$C133-SUM($E133:AJ133)),0)</f>
        <v/>
      </c>
      <c r="AL133" s="90">
        <f>IF(AND($C133&gt;0,AL$46&gt;=$C$9+3+$C$26,SUM($E133:AK133)&lt;$C133),MIN($C133/$C$27,$C133-SUM($E133:AK133)),0)</f>
        <v/>
      </c>
      <c r="AM133" s="90">
        <f>IF(AND($C133&gt;0,AM$46&gt;=$C$9+3+$C$26,SUM($E133:AL133)&lt;$C133),MIN($C133/$C$27,$C133-SUM($E133:AL133)),0)</f>
        <v/>
      </c>
      <c r="AN133" s="90">
        <f>IF(AND($C133&gt;0,AN$46&gt;=$C$9+3+$C$26,SUM($E133:AM133)&lt;$C133),MIN($C133/$C$27,$C133-SUM($E133:AM133)),0)</f>
        <v/>
      </c>
      <c r="AO133" s="90">
        <f>IF(AND($C133&gt;0,AO$46&gt;=$C$9+3+$C$26,SUM($E133:AN133)&lt;$C133),MIN($C133/$C$27,$C133-SUM($E133:AN133)),0)</f>
        <v/>
      </c>
      <c r="AP133" s="90">
        <f>IF(AND($C133&gt;0,AP$46&gt;=$C$9+3+$C$26,SUM($E133:AO133)&lt;$C133),MIN($C133/$C$27,$C133-SUM($E133:AO133)),0)</f>
        <v/>
      </c>
      <c r="AQ133" s="90">
        <f>IF(AND($C133&gt;0,AQ$46&gt;=$C$9+3+$C$26,SUM($E133:AP133)&lt;$C133),MIN($C133/$C$27,$C133-SUM($E133:AP133)),0)</f>
        <v/>
      </c>
      <c r="AR133" s="90">
        <f>IF(AND($C133&gt;0,AR$46&gt;=$C$9+3+$C$26,SUM($E133:AQ133)&lt;$C133),MIN($C133/$C$27,$C133-SUM($E133:AQ133)),0)</f>
        <v/>
      </c>
      <c r="AS133" s="90">
        <f>IF(AND($C133&gt;0,AS$46&gt;=$C$9+3+$C$26,SUM($E133:AR133)&lt;$C133),MIN($C133/$C$27,$C133-SUM($E133:AR133)),0)</f>
        <v/>
      </c>
      <c r="AT133" s="90">
        <f>IF(AND($C133&gt;0,AT$46&gt;=$C$9+3+$C$26,SUM($E133:AS133)&lt;$C133),MIN($C133/$C$27,$C133-SUM($E133:AS133)),0)</f>
        <v/>
      </c>
      <c r="AU133" s="90">
        <f>IF(AND($C133&gt;0,AU$46&gt;=$C$9+3+$C$26,SUM($E133:AT133)&lt;$C133),MIN($C133/$C$27,$C133-SUM($E133:AT133)),0)</f>
        <v/>
      </c>
      <c r="AV133" s="90">
        <f>IF(AND($C133&gt;0,AV$46&gt;=$C$9+3+$C$26,SUM($E133:AU133)&lt;$C133),MIN($C133/$C$27,$C133-SUM($E133:AU133)),0)</f>
        <v/>
      </c>
      <c r="AW133" s="90">
        <f>IF(AND($C133&gt;0,AW$46&gt;=$C$9+3+$C$26,SUM($E133:AV133)&lt;$C133),MIN($C133/$C$27,$C133-SUM($E133:AV133)),0)</f>
        <v/>
      </c>
      <c r="AX133" s="90">
        <f>IF(AND($C133&gt;0,AX$46&gt;=$C$9+3+$C$26,SUM($E133:AW133)&lt;$C133),MIN($C133/$C$27,$C133-SUM($E133:AW133)),0)</f>
        <v/>
      </c>
      <c r="AY133" s="90">
        <f>IF(AND($C133&gt;0,AY$46&gt;=$C$9+3+$C$26,SUM($E133:AX133)&lt;$C133),MIN($C133/$C$27,$C133-SUM($E133:AX133)),0)</f>
        <v/>
      </c>
      <c r="AZ133" s="90">
        <f>IF(AND($C133&gt;0,AZ$46&gt;=$C$9+3+$C$26,SUM($E133:AY133)&lt;$C133),MIN($C133/$C$27,$C133-SUM($E133:AY133)),0)</f>
        <v/>
      </c>
      <c r="BA133" s="90">
        <f>IF(AND($C133&gt;0,BA$46&gt;=$C$9+3+$C$26,SUM($E133:AZ133)&lt;$C133),MIN($C133/$C$27,$C133-SUM($E133:AZ133)),0)</f>
        <v/>
      </c>
      <c r="BB133" s="90">
        <f>IF(AND($C133&gt;0,BB$46&gt;=$C$9+3+$C$26,SUM($E133:BA133)&lt;$C133),MIN($C133/$C$27,$C133-SUM($E133:BA133)),0)</f>
        <v/>
      </c>
    </row>
    <row r="134" ht="15" customHeight="1" s="91">
      <c r="B134" s="90" t="inlineStr">
        <is>
          <t>Tranche 5</t>
        </is>
      </c>
      <c r="C134" s="170">
        <f>IF(ABS($D$49)&gt;0,SUMPRODUCT(($E$46:$BB$46=$C$9+4)*IF($E49:$BB49&lt;0,ABS($E49:$BB49),0))*$C$19/ABS($D$49),0)</f>
        <v/>
      </c>
      <c r="D134" s="90">
        <f>SUM(E134:BB134)</f>
        <v/>
      </c>
      <c r="E134" s="90">
        <f>IF(AND($C134&gt;0,E$46&gt;=$C$9+4+$C$26,0&lt;$C134),MIN($C134/$C$27,$C134-0),0)</f>
        <v/>
      </c>
      <c r="F134" s="90">
        <f>IF(AND($C134&gt;0,F$46&gt;=$C$9+4+$C$26,SUM($E134:E134)&lt;$C134),MIN($C134/$C$27,$C134-SUM($E134:E134)),0)</f>
        <v/>
      </c>
      <c r="G134" s="90">
        <f>IF(AND($C134&gt;0,G$46&gt;=$C$9+4+$C$26,SUM($E134:F134)&lt;$C134),MIN($C134/$C$27,$C134-SUM($E134:F134)),0)</f>
        <v/>
      </c>
      <c r="H134" s="90">
        <f>IF(AND($C134&gt;0,H$46&gt;=$C$9+4+$C$26,SUM($E134:G134)&lt;$C134),MIN($C134/$C$27,$C134-SUM($E134:G134)),0)</f>
        <v/>
      </c>
      <c r="I134" s="90">
        <f>IF(AND($C134&gt;0,I$46&gt;=$C$9+4+$C$26,SUM($E134:H134)&lt;$C134),MIN($C134/$C$27,$C134-SUM($E134:H134)),0)</f>
        <v/>
      </c>
      <c r="J134" s="90">
        <f>IF(AND($C134&gt;0,J$46&gt;=$C$9+4+$C$26,SUM($E134:I134)&lt;$C134),MIN($C134/$C$27,$C134-SUM($E134:I134)),0)</f>
        <v/>
      </c>
      <c r="K134" s="90">
        <f>IF(AND($C134&gt;0,K$46&gt;=$C$9+4+$C$26,SUM($E134:J134)&lt;$C134),MIN($C134/$C$27,$C134-SUM($E134:J134)),0)</f>
        <v/>
      </c>
      <c r="L134" s="90">
        <f>IF(AND($C134&gt;0,L$46&gt;=$C$9+4+$C$26,SUM($E134:K134)&lt;$C134),MIN($C134/$C$27,$C134-SUM($E134:K134)),0)</f>
        <v/>
      </c>
      <c r="M134" s="90">
        <f>IF(AND($C134&gt;0,M$46&gt;=$C$9+4+$C$26,SUM($E134:L134)&lt;$C134),MIN($C134/$C$27,$C134-SUM($E134:L134)),0)</f>
        <v/>
      </c>
      <c r="N134" s="90">
        <f>IF(AND($C134&gt;0,N$46&gt;=$C$9+4+$C$26,SUM($E134:M134)&lt;$C134),MIN($C134/$C$27,$C134-SUM($E134:M134)),0)</f>
        <v/>
      </c>
      <c r="O134" s="90">
        <f>IF(AND($C134&gt;0,O$46&gt;=$C$9+4+$C$26,SUM($E134:N134)&lt;$C134),MIN($C134/$C$27,$C134-SUM($E134:N134)),0)</f>
        <v/>
      </c>
      <c r="P134" s="90">
        <f>IF(AND($C134&gt;0,P$46&gt;=$C$9+4+$C$26,SUM($E134:O134)&lt;$C134),MIN($C134/$C$27,$C134-SUM($E134:O134)),0)</f>
        <v/>
      </c>
      <c r="Q134" s="90">
        <f>IF(AND($C134&gt;0,Q$46&gt;=$C$9+4+$C$26,SUM($E134:P134)&lt;$C134),MIN($C134/$C$27,$C134-SUM($E134:P134)),0)</f>
        <v/>
      </c>
      <c r="R134" s="90">
        <f>IF(AND($C134&gt;0,R$46&gt;=$C$9+4+$C$26,SUM($E134:Q134)&lt;$C134),MIN($C134/$C$27,$C134-SUM($E134:Q134)),0)</f>
        <v/>
      </c>
      <c r="S134" s="90">
        <f>IF(AND($C134&gt;0,S$46&gt;=$C$9+4+$C$26,SUM($E134:R134)&lt;$C134),MIN($C134/$C$27,$C134-SUM($E134:R134)),0)</f>
        <v/>
      </c>
      <c r="T134" s="90">
        <f>IF(AND($C134&gt;0,T$46&gt;=$C$9+4+$C$26,SUM($E134:S134)&lt;$C134),MIN($C134/$C$27,$C134-SUM($E134:S134)),0)</f>
        <v/>
      </c>
      <c r="U134" s="90">
        <f>IF(AND($C134&gt;0,U$46&gt;=$C$9+4+$C$26,SUM($E134:T134)&lt;$C134),MIN($C134/$C$27,$C134-SUM($E134:T134)),0)</f>
        <v/>
      </c>
      <c r="V134" s="90">
        <f>IF(AND($C134&gt;0,V$46&gt;=$C$9+4+$C$26,SUM($E134:U134)&lt;$C134),MIN($C134/$C$27,$C134-SUM($E134:U134)),0)</f>
        <v/>
      </c>
      <c r="W134" s="90">
        <f>IF(AND($C134&gt;0,W$46&gt;=$C$9+4+$C$26,SUM($E134:V134)&lt;$C134),MIN($C134/$C$27,$C134-SUM($E134:V134)),0)</f>
        <v/>
      </c>
      <c r="X134" s="90">
        <f>IF(AND($C134&gt;0,X$46&gt;=$C$9+4+$C$26,SUM($E134:W134)&lt;$C134),MIN($C134/$C$27,$C134-SUM($E134:W134)),0)</f>
        <v/>
      </c>
      <c r="Y134" s="90">
        <f>IF(AND($C134&gt;0,Y$46&gt;=$C$9+4+$C$26,SUM($E134:X134)&lt;$C134),MIN($C134/$C$27,$C134-SUM($E134:X134)),0)</f>
        <v/>
      </c>
      <c r="Z134" s="90">
        <f>IF(AND($C134&gt;0,Z$46&gt;=$C$9+4+$C$26,SUM($E134:Y134)&lt;$C134),MIN($C134/$C$27,$C134-SUM($E134:Y134)),0)</f>
        <v/>
      </c>
      <c r="AA134" s="90">
        <f>IF(AND($C134&gt;0,AA$46&gt;=$C$9+4+$C$26,SUM($E134:Z134)&lt;$C134),MIN($C134/$C$27,$C134-SUM($E134:Z134)),0)</f>
        <v/>
      </c>
      <c r="AB134" s="90">
        <f>IF(AND($C134&gt;0,AB$46&gt;=$C$9+4+$C$26,SUM($E134:AA134)&lt;$C134),MIN($C134/$C$27,$C134-SUM($E134:AA134)),0)</f>
        <v/>
      </c>
      <c r="AC134" s="90">
        <f>IF(AND($C134&gt;0,AC$46&gt;=$C$9+4+$C$26,SUM($E134:AB134)&lt;$C134),MIN($C134/$C$27,$C134-SUM($E134:AB134)),0)</f>
        <v/>
      </c>
      <c r="AD134" s="90">
        <f>IF(AND($C134&gt;0,AD$46&gt;=$C$9+4+$C$26,SUM($E134:AC134)&lt;$C134),MIN($C134/$C$27,$C134-SUM($E134:AC134)),0)</f>
        <v/>
      </c>
      <c r="AE134" s="90">
        <f>IF(AND($C134&gt;0,AE$46&gt;=$C$9+4+$C$26,SUM($E134:AD134)&lt;$C134),MIN($C134/$C$27,$C134-SUM($E134:AD134)),0)</f>
        <v/>
      </c>
      <c r="AF134" s="90">
        <f>IF(AND($C134&gt;0,AF$46&gt;=$C$9+4+$C$26,SUM($E134:AE134)&lt;$C134),MIN($C134/$C$27,$C134-SUM($E134:AE134)),0)</f>
        <v/>
      </c>
      <c r="AG134" s="90">
        <f>IF(AND($C134&gt;0,AG$46&gt;=$C$9+4+$C$26,SUM($E134:AF134)&lt;$C134),MIN($C134/$C$27,$C134-SUM($E134:AF134)),0)</f>
        <v/>
      </c>
      <c r="AH134" s="90">
        <f>IF(AND($C134&gt;0,AH$46&gt;=$C$9+4+$C$26,SUM($E134:AG134)&lt;$C134),MIN($C134/$C$27,$C134-SUM($E134:AG134)),0)</f>
        <v/>
      </c>
      <c r="AI134" s="90">
        <f>IF(AND($C134&gt;0,AI$46&gt;=$C$9+4+$C$26,SUM($E134:AH134)&lt;$C134),MIN($C134/$C$27,$C134-SUM($E134:AH134)),0)</f>
        <v/>
      </c>
      <c r="AJ134" s="90">
        <f>IF(AND($C134&gt;0,AJ$46&gt;=$C$9+4+$C$26,SUM($E134:AI134)&lt;$C134),MIN($C134/$C$27,$C134-SUM($E134:AI134)),0)</f>
        <v/>
      </c>
      <c r="AK134" s="90">
        <f>IF(AND($C134&gt;0,AK$46&gt;=$C$9+4+$C$26,SUM($E134:AJ134)&lt;$C134),MIN($C134/$C$27,$C134-SUM($E134:AJ134)),0)</f>
        <v/>
      </c>
      <c r="AL134" s="90">
        <f>IF(AND($C134&gt;0,AL$46&gt;=$C$9+4+$C$26,SUM($E134:AK134)&lt;$C134),MIN($C134/$C$27,$C134-SUM($E134:AK134)),0)</f>
        <v/>
      </c>
      <c r="AM134" s="90">
        <f>IF(AND($C134&gt;0,AM$46&gt;=$C$9+4+$C$26,SUM($E134:AL134)&lt;$C134),MIN($C134/$C$27,$C134-SUM($E134:AL134)),0)</f>
        <v/>
      </c>
      <c r="AN134" s="90">
        <f>IF(AND($C134&gt;0,AN$46&gt;=$C$9+4+$C$26,SUM($E134:AM134)&lt;$C134),MIN($C134/$C$27,$C134-SUM($E134:AM134)),0)</f>
        <v/>
      </c>
      <c r="AO134" s="90">
        <f>IF(AND($C134&gt;0,AO$46&gt;=$C$9+4+$C$26,SUM($E134:AN134)&lt;$C134),MIN($C134/$C$27,$C134-SUM($E134:AN134)),0)</f>
        <v/>
      </c>
      <c r="AP134" s="90">
        <f>IF(AND($C134&gt;0,AP$46&gt;=$C$9+4+$C$26,SUM($E134:AO134)&lt;$C134),MIN($C134/$C$27,$C134-SUM($E134:AO134)),0)</f>
        <v/>
      </c>
      <c r="AQ134" s="90">
        <f>IF(AND($C134&gt;0,AQ$46&gt;=$C$9+4+$C$26,SUM($E134:AP134)&lt;$C134),MIN($C134/$C$27,$C134-SUM($E134:AP134)),0)</f>
        <v/>
      </c>
      <c r="AR134" s="90">
        <f>IF(AND($C134&gt;0,AR$46&gt;=$C$9+4+$C$26,SUM($E134:AQ134)&lt;$C134),MIN($C134/$C$27,$C134-SUM($E134:AQ134)),0)</f>
        <v/>
      </c>
      <c r="AS134" s="90">
        <f>IF(AND($C134&gt;0,AS$46&gt;=$C$9+4+$C$26,SUM($E134:AR134)&lt;$C134),MIN($C134/$C$27,$C134-SUM($E134:AR134)),0)</f>
        <v/>
      </c>
      <c r="AT134" s="90">
        <f>IF(AND($C134&gt;0,AT$46&gt;=$C$9+4+$C$26,SUM($E134:AS134)&lt;$C134),MIN($C134/$C$27,$C134-SUM($E134:AS134)),0)</f>
        <v/>
      </c>
      <c r="AU134" s="90">
        <f>IF(AND($C134&gt;0,AU$46&gt;=$C$9+4+$C$26,SUM($E134:AT134)&lt;$C134),MIN($C134/$C$27,$C134-SUM($E134:AT134)),0)</f>
        <v/>
      </c>
      <c r="AV134" s="90">
        <f>IF(AND($C134&gt;0,AV$46&gt;=$C$9+4+$C$26,SUM($E134:AU134)&lt;$C134),MIN($C134/$C$27,$C134-SUM($E134:AU134)),0)</f>
        <v/>
      </c>
      <c r="AW134" s="90">
        <f>IF(AND($C134&gt;0,AW$46&gt;=$C$9+4+$C$26,SUM($E134:AV134)&lt;$C134),MIN($C134/$C$27,$C134-SUM($E134:AV134)),0)</f>
        <v/>
      </c>
      <c r="AX134" s="90">
        <f>IF(AND($C134&gt;0,AX$46&gt;=$C$9+4+$C$26,SUM($E134:AW134)&lt;$C134),MIN($C134/$C$27,$C134-SUM($E134:AW134)),0)</f>
        <v/>
      </c>
      <c r="AY134" s="90">
        <f>IF(AND($C134&gt;0,AY$46&gt;=$C$9+4+$C$26,SUM($E134:AX134)&lt;$C134),MIN($C134/$C$27,$C134-SUM($E134:AX134)),0)</f>
        <v/>
      </c>
      <c r="AZ134" s="90">
        <f>IF(AND($C134&gt;0,AZ$46&gt;=$C$9+4+$C$26,SUM($E134:AY134)&lt;$C134),MIN($C134/$C$27,$C134-SUM($E134:AY134)),0)</f>
        <v/>
      </c>
      <c r="BA134" s="90">
        <f>IF(AND($C134&gt;0,BA$46&gt;=$C$9+4+$C$26,SUM($E134:AZ134)&lt;$C134),MIN($C134/$C$27,$C134-SUM($E134:AZ134)),0)</f>
        <v/>
      </c>
      <c r="BB134" s="90">
        <f>IF(AND($C134&gt;0,BB$46&gt;=$C$9+4+$C$26,SUM($E134:BA134)&lt;$C134),MIN($C134/$C$27,$C134-SUM($E134:BA134)),0)</f>
        <v/>
      </c>
    </row>
    <row r="135" ht="15" customHeight="1" s="91">
      <c r="B135" s="153" t="inlineStr">
        <is>
          <t>Tranche 6</t>
        </is>
      </c>
      <c r="C135" s="160">
        <f>IF(ABS($D$49)&gt;0,SUMPRODUCT(($E$46:$BB$46=$C$9+5)*IF($E49:$BB49&lt;0,ABS($E49:$BB49),0))*$C$19/ABS($D$49),0)</f>
        <v/>
      </c>
      <c r="D135" s="160">
        <f>SUM(E135:BB135)</f>
        <v/>
      </c>
      <c r="E135" s="90">
        <f>IF(AND($C135&gt;0,E$46&gt;=$C$9+5+$C$26,0&lt;$C135),MIN($C135/$C$27,$C135-0),0)</f>
        <v/>
      </c>
      <c r="F135" s="90">
        <f>IF(AND($C135&gt;0,F$46&gt;=$C$9+5+$C$26,SUM($E135:E135)&lt;$C135),MIN($C135/$C$27,$C135-SUM($E135:E135)),0)</f>
        <v/>
      </c>
      <c r="G135" s="90">
        <f>IF(AND($C135&gt;0,G$46&gt;=$C$9+5+$C$26,SUM($E135:F135)&lt;$C135),MIN($C135/$C$27,$C135-SUM($E135:F135)),0)</f>
        <v/>
      </c>
      <c r="H135" s="90">
        <f>IF(AND($C135&gt;0,H$46&gt;=$C$9+5+$C$26,SUM($E135:G135)&lt;$C135),MIN($C135/$C$27,$C135-SUM($E135:G135)),0)</f>
        <v/>
      </c>
      <c r="I135" s="90">
        <f>IF(AND($C135&gt;0,I$46&gt;=$C$9+5+$C$26,SUM($E135:H135)&lt;$C135),MIN($C135/$C$27,$C135-SUM($E135:H135)),0)</f>
        <v/>
      </c>
      <c r="J135" s="90">
        <f>IF(AND($C135&gt;0,J$46&gt;=$C$9+5+$C$26,SUM($E135:I135)&lt;$C135),MIN($C135/$C$27,$C135-SUM($E135:I135)),0)</f>
        <v/>
      </c>
      <c r="K135" s="90">
        <f>IF(AND($C135&gt;0,K$46&gt;=$C$9+5+$C$26,SUM($E135:J135)&lt;$C135),MIN($C135/$C$27,$C135-SUM($E135:J135)),0)</f>
        <v/>
      </c>
      <c r="L135" s="90">
        <f>IF(AND($C135&gt;0,L$46&gt;=$C$9+5+$C$26,SUM($E135:K135)&lt;$C135),MIN($C135/$C$27,$C135-SUM($E135:K135)),0)</f>
        <v/>
      </c>
      <c r="M135" s="90">
        <f>IF(AND($C135&gt;0,M$46&gt;=$C$9+5+$C$26,SUM($E135:L135)&lt;$C135),MIN($C135/$C$27,$C135-SUM($E135:L135)),0)</f>
        <v/>
      </c>
      <c r="N135" s="90">
        <f>IF(AND($C135&gt;0,N$46&gt;=$C$9+5+$C$26,SUM($E135:M135)&lt;$C135),MIN($C135/$C$27,$C135-SUM($E135:M135)),0)</f>
        <v/>
      </c>
      <c r="O135" s="90">
        <f>IF(AND($C135&gt;0,O$46&gt;=$C$9+5+$C$26,SUM($E135:N135)&lt;$C135),MIN($C135/$C$27,$C135-SUM($E135:N135)),0)</f>
        <v/>
      </c>
      <c r="P135" s="90">
        <f>IF(AND($C135&gt;0,P$46&gt;=$C$9+5+$C$26,SUM($E135:O135)&lt;$C135),MIN($C135/$C$27,$C135-SUM($E135:O135)),0)</f>
        <v/>
      </c>
      <c r="Q135" s="90">
        <f>IF(AND($C135&gt;0,Q$46&gt;=$C$9+5+$C$26,SUM($E135:P135)&lt;$C135),MIN($C135/$C$27,$C135-SUM($E135:P135)),0)</f>
        <v/>
      </c>
      <c r="R135" s="90">
        <f>IF(AND($C135&gt;0,R$46&gt;=$C$9+5+$C$26,SUM($E135:Q135)&lt;$C135),MIN($C135/$C$27,$C135-SUM($E135:Q135)),0)</f>
        <v/>
      </c>
      <c r="S135" s="90">
        <f>IF(AND($C135&gt;0,S$46&gt;=$C$9+5+$C$26,SUM($E135:R135)&lt;$C135),MIN($C135/$C$27,$C135-SUM($E135:R135)),0)</f>
        <v/>
      </c>
      <c r="T135" s="90">
        <f>IF(AND($C135&gt;0,T$46&gt;=$C$9+5+$C$26,SUM($E135:S135)&lt;$C135),MIN($C135/$C$27,$C135-SUM($E135:S135)),0)</f>
        <v/>
      </c>
      <c r="U135" s="90">
        <f>IF(AND($C135&gt;0,U$46&gt;=$C$9+5+$C$26,SUM($E135:T135)&lt;$C135),MIN($C135/$C$27,$C135-SUM($E135:T135)),0)</f>
        <v/>
      </c>
      <c r="V135" s="90">
        <f>IF(AND($C135&gt;0,V$46&gt;=$C$9+5+$C$26,SUM($E135:U135)&lt;$C135),MIN($C135/$C$27,$C135-SUM($E135:U135)),0)</f>
        <v/>
      </c>
      <c r="W135" s="90">
        <f>IF(AND($C135&gt;0,W$46&gt;=$C$9+5+$C$26,SUM($E135:V135)&lt;$C135),MIN($C135/$C$27,$C135-SUM($E135:V135)),0)</f>
        <v/>
      </c>
      <c r="X135" s="90">
        <f>IF(AND($C135&gt;0,X$46&gt;=$C$9+5+$C$26,SUM($E135:W135)&lt;$C135),MIN($C135/$C$27,$C135-SUM($E135:W135)),0)</f>
        <v/>
      </c>
      <c r="Y135" s="90">
        <f>IF(AND($C135&gt;0,Y$46&gt;=$C$9+5+$C$26,SUM($E135:X135)&lt;$C135),MIN($C135/$C$27,$C135-SUM($E135:X135)),0)</f>
        <v/>
      </c>
      <c r="Z135" s="90">
        <f>IF(AND($C135&gt;0,Z$46&gt;=$C$9+5+$C$26,SUM($E135:Y135)&lt;$C135),MIN($C135/$C$27,$C135-SUM($E135:Y135)),0)</f>
        <v/>
      </c>
      <c r="AA135" s="90">
        <f>IF(AND($C135&gt;0,AA$46&gt;=$C$9+5+$C$26,SUM($E135:Z135)&lt;$C135),MIN($C135/$C$27,$C135-SUM($E135:Z135)),0)</f>
        <v/>
      </c>
      <c r="AB135" s="90">
        <f>IF(AND($C135&gt;0,AB$46&gt;=$C$9+5+$C$26,SUM($E135:AA135)&lt;$C135),MIN($C135/$C$27,$C135-SUM($E135:AA135)),0)</f>
        <v/>
      </c>
      <c r="AC135" s="90">
        <f>IF(AND($C135&gt;0,AC$46&gt;=$C$9+5+$C$26,SUM($E135:AB135)&lt;$C135),MIN($C135/$C$27,$C135-SUM($E135:AB135)),0)</f>
        <v/>
      </c>
      <c r="AD135" s="90">
        <f>IF(AND($C135&gt;0,AD$46&gt;=$C$9+5+$C$26,SUM($E135:AC135)&lt;$C135),MIN($C135/$C$27,$C135-SUM($E135:AC135)),0)</f>
        <v/>
      </c>
      <c r="AE135" s="90">
        <f>IF(AND($C135&gt;0,AE$46&gt;=$C$9+5+$C$26,SUM($E135:AD135)&lt;$C135),MIN($C135/$C$27,$C135-SUM($E135:AD135)),0)</f>
        <v/>
      </c>
      <c r="AF135" s="90">
        <f>IF(AND($C135&gt;0,AF$46&gt;=$C$9+5+$C$26,SUM($E135:AE135)&lt;$C135),MIN($C135/$C$27,$C135-SUM($E135:AE135)),0)</f>
        <v/>
      </c>
      <c r="AG135" s="90">
        <f>IF(AND($C135&gt;0,AG$46&gt;=$C$9+5+$C$26,SUM($E135:AF135)&lt;$C135),MIN($C135/$C$27,$C135-SUM($E135:AF135)),0)</f>
        <v/>
      </c>
      <c r="AH135" s="90">
        <f>IF(AND($C135&gt;0,AH$46&gt;=$C$9+5+$C$26,SUM($E135:AG135)&lt;$C135),MIN($C135/$C$27,$C135-SUM($E135:AG135)),0)</f>
        <v/>
      </c>
      <c r="AI135" s="90">
        <f>IF(AND($C135&gt;0,AI$46&gt;=$C$9+5+$C$26,SUM($E135:AH135)&lt;$C135),MIN($C135/$C$27,$C135-SUM($E135:AH135)),0)</f>
        <v/>
      </c>
      <c r="AJ135" s="90">
        <f>IF(AND($C135&gt;0,AJ$46&gt;=$C$9+5+$C$26,SUM($E135:AI135)&lt;$C135),MIN($C135/$C$27,$C135-SUM($E135:AI135)),0)</f>
        <v/>
      </c>
      <c r="AK135" s="90">
        <f>IF(AND($C135&gt;0,AK$46&gt;=$C$9+5+$C$26,SUM($E135:AJ135)&lt;$C135),MIN($C135/$C$27,$C135-SUM($E135:AJ135)),0)</f>
        <v/>
      </c>
      <c r="AL135" s="90">
        <f>IF(AND($C135&gt;0,AL$46&gt;=$C$9+5+$C$26,SUM($E135:AK135)&lt;$C135),MIN($C135/$C$27,$C135-SUM($E135:AK135)),0)</f>
        <v/>
      </c>
      <c r="AM135" s="90">
        <f>IF(AND($C135&gt;0,AM$46&gt;=$C$9+5+$C$26,SUM($E135:AL135)&lt;$C135),MIN($C135/$C$27,$C135-SUM($E135:AL135)),0)</f>
        <v/>
      </c>
      <c r="AN135" s="90">
        <f>IF(AND($C135&gt;0,AN$46&gt;=$C$9+5+$C$26,SUM($E135:AM135)&lt;$C135),MIN($C135/$C$27,$C135-SUM($E135:AM135)),0)</f>
        <v/>
      </c>
      <c r="AO135" s="90">
        <f>IF(AND($C135&gt;0,AO$46&gt;=$C$9+5+$C$26,SUM($E135:AN135)&lt;$C135),MIN($C135/$C$27,$C135-SUM($E135:AN135)),0)</f>
        <v/>
      </c>
      <c r="AP135" s="90">
        <f>IF(AND($C135&gt;0,AP$46&gt;=$C$9+5+$C$26,SUM($E135:AO135)&lt;$C135),MIN($C135/$C$27,$C135-SUM($E135:AO135)),0)</f>
        <v/>
      </c>
      <c r="AQ135" s="90">
        <f>IF(AND($C135&gt;0,AQ$46&gt;=$C$9+5+$C$26,SUM($E135:AP135)&lt;$C135),MIN($C135/$C$27,$C135-SUM($E135:AP135)),0)</f>
        <v/>
      </c>
      <c r="AR135" s="90">
        <f>IF(AND($C135&gt;0,AR$46&gt;=$C$9+5+$C$26,SUM($E135:AQ135)&lt;$C135),MIN($C135/$C$27,$C135-SUM($E135:AQ135)),0)</f>
        <v/>
      </c>
      <c r="AS135" s="90">
        <f>IF(AND($C135&gt;0,AS$46&gt;=$C$9+5+$C$26,SUM($E135:AR135)&lt;$C135),MIN($C135/$C$27,$C135-SUM($E135:AR135)),0)</f>
        <v/>
      </c>
      <c r="AT135" s="90">
        <f>IF(AND($C135&gt;0,AT$46&gt;=$C$9+5+$C$26,SUM($E135:AS135)&lt;$C135),MIN($C135/$C$27,$C135-SUM($E135:AS135)),0)</f>
        <v/>
      </c>
      <c r="AU135" s="90">
        <f>IF(AND($C135&gt;0,AU$46&gt;=$C$9+5+$C$26,SUM($E135:AT135)&lt;$C135),MIN($C135/$C$27,$C135-SUM($E135:AT135)),0)</f>
        <v/>
      </c>
      <c r="AV135" s="90">
        <f>IF(AND($C135&gt;0,AV$46&gt;=$C$9+5+$C$26,SUM($E135:AU135)&lt;$C135),MIN($C135/$C$27,$C135-SUM($E135:AU135)),0)</f>
        <v/>
      </c>
      <c r="AW135" s="90">
        <f>IF(AND($C135&gt;0,AW$46&gt;=$C$9+5+$C$26,SUM($E135:AV135)&lt;$C135),MIN($C135/$C$27,$C135-SUM($E135:AV135)),0)</f>
        <v/>
      </c>
      <c r="AX135" s="90">
        <f>IF(AND($C135&gt;0,AX$46&gt;=$C$9+5+$C$26,SUM($E135:AW135)&lt;$C135),MIN($C135/$C$27,$C135-SUM($E135:AW135)),0)</f>
        <v/>
      </c>
      <c r="AY135" s="90">
        <f>IF(AND($C135&gt;0,AY$46&gt;=$C$9+5+$C$26,SUM($E135:AX135)&lt;$C135),MIN($C135/$C$27,$C135-SUM($E135:AX135)),0)</f>
        <v/>
      </c>
      <c r="AZ135" s="90">
        <f>IF(AND($C135&gt;0,AZ$46&gt;=$C$9+5+$C$26,SUM($E135:AY135)&lt;$C135),MIN($C135/$C$27,$C135-SUM($E135:AY135)),0)</f>
        <v/>
      </c>
      <c r="BA135" s="90">
        <f>IF(AND($C135&gt;0,BA$46&gt;=$C$9+5+$C$26,SUM($E135:AZ135)&lt;$C135),MIN($C135/$C$27,$C135-SUM($E135:AZ135)),0)</f>
        <v/>
      </c>
      <c r="BB135" s="90">
        <f>IF(AND($C135&gt;0,BB$46&gt;=$C$9+5+$C$26,SUM($E135:BA135)&lt;$C135),MIN($C135/$C$27,$C135-SUM($E135:BA135)),0)</f>
        <v/>
      </c>
    </row>
    <row r="136" ht="15" customHeight="1" s="91">
      <c r="B136" s="153" t="inlineStr">
        <is>
          <t>Tranche 7</t>
        </is>
      </c>
      <c r="C136" s="160">
        <f>IF(ABS($D$49)&gt;0,SUMPRODUCT(($E$46:$BB$46=$C$9+6)*IF($E49:$BB49&lt;0,ABS($E49:$BB49),0))*$C$19/ABS($D$49),0)</f>
        <v/>
      </c>
      <c r="D136" s="160">
        <f>SUM(E136:BB136)</f>
        <v/>
      </c>
      <c r="E136" s="90">
        <f>IF(AND($C136&gt;0,E$46&gt;=$C$9+6+$C$26,0&lt;$C136),MIN($C136/$C$27,$C136-0),0)</f>
        <v/>
      </c>
      <c r="F136" s="90">
        <f>IF(AND($C136&gt;0,F$46&gt;=$C$9+6+$C$26,SUM($E136:E136)&lt;$C136),MIN($C136/$C$27,$C136-SUM($E136:E136)),0)</f>
        <v/>
      </c>
      <c r="G136" s="90">
        <f>IF(AND($C136&gt;0,G$46&gt;=$C$9+6+$C$26,SUM($E136:F136)&lt;$C136),MIN($C136/$C$27,$C136-SUM($E136:F136)),0)</f>
        <v/>
      </c>
      <c r="H136" s="90">
        <f>IF(AND($C136&gt;0,H$46&gt;=$C$9+6+$C$26,SUM($E136:G136)&lt;$C136),MIN($C136/$C$27,$C136-SUM($E136:G136)),0)</f>
        <v/>
      </c>
      <c r="I136" s="90">
        <f>IF(AND($C136&gt;0,I$46&gt;=$C$9+6+$C$26,SUM($E136:H136)&lt;$C136),MIN($C136/$C$27,$C136-SUM($E136:H136)),0)</f>
        <v/>
      </c>
      <c r="J136" s="90">
        <f>IF(AND($C136&gt;0,J$46&gt;=$C$9+6+$C$26,SUM($E136:I136)&lt;$C136),MIN($C136/$C$27,$C136-SUM($E136:I136)),0)</f>
        <v/>
      </c>
      <c r="K136" s="90">
        <f>IF(AND($C136&gt;0,K$46&gt;=$C$9+6+$C$26,SUM($E136:J136)&lt;$C136),MIN($C136/$C$27,$C136-SUM($E136:J136)),0)</f>
        <v/>
      </c>
      <c r="L136" s="90">
        <f>IF(AND($C136&gt;0,L$46&gt;=$C$9+6+$C$26,SUM($E136:K136)&lt;$C136),MIN($C136/$C$27,$C136-SUM($E136:K136)),0)</f>
        <v/>
      </c>
      <c r="M136" s="90">
        <f>IF(AND($C136&gt;0,M$46&gt;=$C$9+6+$C$26,SUM($E136:L136)&lt;$C136),MIN($C136/$C$27,$C136-SUM($E136:L136)),0)</f>
        <v/>
      </c>
      <c r="N136" s="90">
        <f>IF(AND($C136&gt;0,N$46&gt;=$C$9+6+$C$26,SUM($E136:M136)&lt;$C136),MIN($C136/$C$27,$C136-SUM($E136:M136)),0)</f>
        <v/>
      </c>
      <c r="O136" s="90">
        <f>IF(AND($C136&gt;0,O$46&gt;=$C$9+6+$C$26,SUM($E136:N136)&lt;$C136),MIN($C136/$C$27,$C136-SUM($E136:N136)),0)</f>
        <v/>
      </c>
      <c r="P136" s="90">
        <f>IF(AND($C136&gt;0,P$46&gt;=$C$9+6+$C$26,SUM($E136:O136)&lt;$C136),MIN($C136/$C$27,$C136-SUM($E136:O136)),0)</f>
        <v/>
      </c>
      <c r="Q136" s="90">
        <f>IF(AND($C136&gt;0,Q$46&gt;=$C$9+6+$C$26,SUM($E136:P136)&lt;$C136),MIN($C136/$C$27,$C136-SUM($E136:P136)),0)</f>
        <v/>
      </c>
      <c r="R136" s="90">
        <f>IF(AND($C136&gt;0,R$46&gt;=$C$9+6+$C$26,SUM($E136:Q136)&lt;$C136),MIN($C136/$C$27,$C136-SUM($E136:Q136)),0)</f>
        <v/>
      </c>
      <c r="S136" s="90">
        <f>IF(AND($C136&gt;0,S$46&gt;=$C$9+6+$C$26,SUM($E136:R136)&lt;$C136),MIN($C136/$C$27,$C136-SUM($E136:R136)),0)</f>
        <v/>
      </c>
      <c r="T136" s="90">
        <f>IF(AND($C136&gt;0,T$46&gt;=$C$9+6+$C$26,SUM($E136:S136)&lt;$C136),MIN($C136/$C$27,$C136-SUM($E136:S136)),0)</f>
        <v/>
      </c>
      <c r="U136" s="90">
        <f>IF(AND($C136&gt;0,U$46&gt;=$C$9+6+$C$26,SUM($E136:T136)&lt;$C136),MIN($C136/$C$27,$C136-SUM($E136:T136)),0)</f>
        <v/>
      </c>
      <c r="V136" s="90">
        <f>IF(AND($C136&gt;0,V$46&gt;=$C$9+6+$C$26,SUM($E136:U136)&lt;$C136),MIN($C136/$C$27,$C136-SUM($E136:U136)),0)</f>
        <v/>
      </c>
      <c r="W136" s="90">
        <f>IF(AND($C136&gt;0,W$46&gt;=$C$9+6+$C$26,SUM($E136:V136)&lt;$C136),MIN($C136/$C$27,$C136-SUM($E136:V136)),0)</f>
        <v/>
      </c>
      <c r="X136" s="90">
        <f>IF(AND($C136&gt;0,X$46&gt;=$C$9+6+$C$26,SUM($E136:W136)&lt;$C136),MIN($C136/$C$27,$C136-SUM($E136:W136)),0)</f>
        <v/>
      </c>
      <c r="Y136" s="90">
        <f>IF(AND($C136&gt;0,Y$46&gt;=$C$9+6+$C$26,SUM($E136:X136)&lt;$C136),MIN($C136/$C$27,$C136-SUM($E136:X136)),0)</f>
        <v/>
      </c>
      <c r="Z136" s="90">
        <f>IF(AND($C136&gt;0,Z$46&gt;=$C$9+6+$C$26,SUM($E136:Y136)&lt;$C136),MIN($C136/$C$27,$C136-SUM($E136:Y136)),0)</f>
        <v/>
      </c>
      <c r="AA136" s="90">
        <f>IF(AND($C136&gt;0,AA$46&gt;=$C$9+6+$C$26,SUM($E136:Z136)&lt;$C136),MIN($C136/$C$27,$C136-SUM($E136:Z136)),0)</f>
        <v/>
      </c>
      <c r="AB136" s="90">
        <f>IF(AND($C136&gt;0,AB$46&gt;=$C$9+6+$C$26,SUM($E136:AA136)&lt;$C136),MIN($C136/$C$27,$C136-SUM($E136:AA136)),0)</f>
        <v/>
      </c>
      <c r="AC136" s="90">
        <f>IF(AND($C136&gt;0,AC$46&gt;=$C$9+6+$C$26,SUM($E136:AB136)&lt;$C136),MIN($C136/$C$27,$C136-SUM($E136:AB136)),0)</f>
        <v/>
      </c>
      <c r="AD136" s="90">
        <f>IF(AND($C136&gt;0,AD$46&gt;=$C$9+6+$C$26,SUM($E136:AC136)&lt;$C136),MIN($C136/$C$27,$C136-SUM($E136:AC136)),0)</f>
        <v/>
      </c>
      <c r="AE136" s="90">
        <f>IF(AND($C136&gt;0,AE$46&gt;=$C$9+6+$C$26,SUM($E136:AD136)&lt;$C136),MIN($C136/$C$27,$C136-SUM($E136:AD136)),0)</f>
        <v/>
      </c>
      <c r="AF136" s="90">
        <f>IF(AND($C136&gt;0,AF$46&gt;=$C$9+6+$C$26,SUM($E136:AE136)&lt;$C136),MIN($C136/$C$27,$C136-SUM($E136:AE136)),0)</f>
        <v/>
      </c>
      <c r="AG136" s="90">
        <f>IF(AND($C136&gt;0,AG$46&gt;=$C$9+6+$C$26,SUM($E136:AF136)&lt;$C136),MIN($C136/$C$27,$C136-SUM($E136:AF136)),0)</f>
        <v/>
      </c>
      <c r="AH136" s="90">
        <f>IF(AND($C136&gt;0,AH$46&gt;=$C$9+6+$C$26,SUM($E136:AG136)&lt;$C136),MIN($C136/$C$27,$C136-SUM($E136:AG136)),0)</f>
        <v/>
      </c>
      <c r="AI136" s="90">
        <f>IF(AND($C136&gt;0,AI$46&gt;=$C$9+6+$C$26,SUM($E136:AH136)&lt;$C136),MIN($C136/$C$27,$C136-SUM($E136:AH136)),0)</f>
        <v/>
      </c>
      <c r="AJ136" s="90">
        <f>IF(AND($C136&gt;0,AJ$46&gt;=$C$9+6+$C$26,SUM($E136:AI136)&lt;$C136),MIN($C136/$C$27,$C136-SUM($E136:AI136)),0)</f>
        <v/>
      </c>
      <c r="AK136" s="90">
        <f>IF(AND($C136&gt;0,AK$46&gt;=$C$9+6+$C$26,SUM($E136:AJ136)&lt;$C136),MIN($C136/$C$27,$C136-SUM($E136:AJ136)),0)</f>
        <v/>
      </c>
      <c r="AL136" s="90">
        <f>IF(AND($C136&gt;0,AL$46&gt;=$C$9+6+$C$26,SUM($E136:AK136)&lt;$C136),MIN($C136/$C$27,$C136-SUM($E136:AK136)),0)</f>
        <v/>
      </c>
      <c r="AM136" s="90">
        <f>IF(AND($C136&gt;0,AM$46&gt;=$C$9+6+$C$26,SUM($E136:AL136)&lt;$C136),MIN($C136/$C$27,$C136-SUM($E136:AL136)),0)</f>
        <v/>
      </c>
      <c r="AN136" s="90">
        <f>IF(AND($C136&gt;0,AN$46&gt;=$C$9+6+$C$26,SUM($E136:AM136)&lt;$C136),MIN($C136/$C$27,$C136-SUM($E136:AM136)),0)</f>
        <v/>
      </c>
      <c r="AO136" s="90">
        <f>IF(AND($C136&gt;0,AO$46&gt;=$C$9+6+$C$26,SUM($E136:AN136)&lt;$C136),MIN($C136/$C$27,$C136-SUM($E136:AN136)),0)</f>
        <v/>
      </c>
      <c r="AP136" s="90">
        <f>IF(AND($C136&gt;0,AP$46&gt;=$C$9+6+$C$26,SUM($E136:AO136)&lt;$C136),MIN($C136/$C$27,$C136-SUM($E136:AO136)),0)</f>
        <v/>
      </c>
      <c r="AQ136" s="90">
        <f>IF(AND($C136&gt;0,AQ$46&gt;=$C$9+6+$C$26,SUM($E136:AP136)&lt;$C136),MIN($C136/$C$27,$C136-SUM($E136:AP136)),0)</f>
        <v/>
      </c>
      <c r="AR136" s="90">
        <f>IF(AND($C136&gt;0,AR$46&gt;=$C$9+6+$C$26,SUM($E136:AQ136)&lt;$C136),MIN($C136/$C$27,$C136-SUM($E136:AQ136)),0)</f>
        <v/>
      </c>
      <c r="AS136" s="90">
        <f>IF(AND($C136&gt;0,AS$46&gt;=$C$9+6+$C$26,SUM($E136:AR136)&lt;$C136),MIN($C136/$C$27,$C136-SUM($E136:AR136)),0)</f>
        <v/>
      </c>
      <c r="AT136" s="90">
        <f>IF(AND($C136&gt;0,AT$46&gt;=$C$9+6+$C$26,SUM($E136:AS136)&lt;$C136),MIN($C136/$C$27,$C136-SUM($E136:AS136)),0)</f>
        <v/>
      </c>
      <c r="AU136" s="90">
        <f>IF(AND($C136&gt;0,AU$46&gt;=$C$9+6+$C$26,SUM($E136:AT136)&lt;$C136),MIN($C136/$C$27,$C136-SUM($E136:AT136)),0)</f>
        <v/>
      </c>
      <c r="AV136" s="90">
        <f>IF(AND($C136&gt;0,AV$46&gt;=$C$9+6+$C$26,SUM($E136:AU136)&lt;$C136),MIN($C136/$C$27,$C136-SUM($E136:AU136)),0)</f>
        <v/>
      </c>
      <c r="AW136" s="90">
        <f>IF(AND($C136&gt;0,AW$46&gt;=$C$9+6+$C$26,SUM($E136:AV136)&lt;$C136),MIN($C136/$C$27,$C136-SUM($E136:AV136)),0)</f>
        <v/>
      </c>
      <c r="AX136" s="90">
        <f>IF(AND($C136&gt;0,AX$46&gt;=$C$9+6+$C$26,SUM($E136:AW136)&lt;$C136),MIN($C136/$C$27,$C136-SUM($E136:AW136)),0)</f>
        <v/>
      </c>
      <c r="AY136" s="90">
        <f>IF(AND($C136&gt;0,AY$46&gt;=$C$9+6+$C$26,SUM($E136:AX136)&lt;$C136),MIN($C136/$C$27,$C136-SUM($E136:AX136)),0)</f>
        <v/>
      </c>
      <c r="AZ136" s="90">
        <f>IF(AND($C136&gt;0,AZ$46&gt;=$C$9+6+$C$26,SUM($E136:AY136)&lt;$C136),MIN($C136/$C$27,$C136-SUM($E136:AY136)),0)</f>
        <v/>
      </c>
      <c r="BA136" s="90">
        <f>IF(AND($C136&gt;0,BA$46&gt;=$C$9+6+$C$26,SUM($E136:AZ136)&lt;$C136),MIN($C136/$C$27,$C136-SUM($E136:AZ136)),0)</f>
        <v/>
      </c>
      <c r="BB136" s="90">
        <f>IF(AND($C136&gt;0,BB$46&gt;=$C$9+6+$C$26,SUM($E136:BA136)&lt;$C136),MIN($C136/$C$27,$C136-SUM($E136:BA136)),0)</f>
        <v/>
      </c>
    </row>
    <row r="137" ht="15" customHeight="1" s="91">
      <c r="B137" s="153" t="inlineStr">
        <is>
          <t>Tranche 8</t>
        </is>
      </c>
      <c r="C137" s="160">
        <f>IF(ABS($D$49)&gt;0,SUMPRODUCT(($E$46:$BB$46=$C$9+7)*IF($E49:$BB49&lt;0,ABS($E49:$BB49),0))*$C$19/ABS($D$49),0)</f>
        <v/>
      </c>
      <c r="D137" s="160">
        <f>SUM(E137:BB137)</f>
        <v/>
      </c>
      <c r="E137" s="90">
        <f>IF(AND($C137&gt;0,E$46&gt;=$C$9+7+$C$26,0&lt;$C137),MIN($C137/$C$27,$C137-0),0)</f>
        <v/>
      </c>
      <c r="F137" s="90">
        <f>IF(AND($C137&gt;0,F$46&gt;=$C$9+7+$C$26,SUM($E137:E137)&lt;$C137),MIN($C137/$C$27,$C137-SUM($E137:E137)),0)</f>
        <v/>
      </c>
      <c r="G137" s="90">
        <f>IF(AND($C137&gt;0,G$46&gt;=$C$9+7+$C$26,SUM($E137:F137)&lt;$C137),MIN($C137/$C$27,$C137-SUM($E137:F137)),0)</f>
        <v/>
      </c>
      <c r="H137" s="90">
        <f>IF(AND($C137&gt;0,H$46&gt;=$C$9+7+$C$26,SUM($E137:G137)&lt;$C137),MIN($C137/$C$27,$C137-SUM($E137:G137)),0)</f>
        <v/>
      </c>
      <c r="I137" s="90">
        <f>IF(AND($C137&gt;0,I$46&gt;=$C$9+7+$C$26,SUM($E137:H137)&lt;$C137),MIN($C137/$C$27,$C137-SUM($E137:H137)),0)</f>
        <v/>
      </c>
      <c r="J137" s="90">
        <f>IF(AND($C137&gt;0,J$46&gt;=$C$9+7+$C$26,SUM($E137:I137)&lt;$C137),MIN($C137/$C$27,$C137-SUM($E137:I137)),0)</f>
        <v/>
      </c>
      <c r="K137" s="90">
        <f>IF(AND($C137&gt;0,K$46&gt;=$C$9+7+$C$26,SUM($E137:J137)&lt;$C137),MIN($C137/$C$27,$C137-SUM($E137:J137)),0)</f>
        <v/>
      </c>
      <c r="L137" s="90">
        <f>IF(AND($C137&gt;0,L$46&gt;=$C$9+7+$C$26,SUM($E137:K137)&lt;$C137),MIN($C137/$C$27,$C137-SUM($E137:K137)),0)</f>
        <v/>
      </c>
      <c r="M137" s="90">
        <f>IF(AND($C137&gt;0,M$46&gt;=$C$9+7+$C$26,SUM($E137:L137)&lt;$C137),MIN($C137/$C$27,$C137-SUM($E137:L137)),0)</f>
        <v/>
      </c>
      <c r="N137" s="90">
        <f>IF(AND($C137&gt;0,N$46&gt;=$C$9+7+$C$26,SUM($E137:M137)&lt;$C137),MIN($C137/$C$27,$C137-SUM($E137:M137)),0)</f>
        <v/>
      </c>
      <c r="O137" s="90">
        <f>IF(AND($C137&gt;0,O$46&gt;=$C$9+7+$C$26,SUM($E137:N137)&lt;$C137),MIN($C137/$C$27,$C137-SUM($E137:N137)),0)</f>
        <v/>
      </c>
      <c r="P137" s="90">
        <f>IF(AND($C137&gt;0,P$46&gt;=$C$9+7+$C$26,SUM($E137:O137)&lt;$C137),MIN($C137/$C$27,$C137-SUM($E137:O137)),0)</f>
        <v/>
      </c>
      <c r="Q137" s="90">
        <f>IF(AND($C137&gt;0,Q$46&gt;=$C$9+7+$C$26,SUM($E137:P137)&lt;$C137),MIN($C137/$C$27,$C137-SUM($E137:P137)),0)</f>
        <v/>
      </c>
      <c r="R137" s="90">
        <f>IF(AND($C137&gt;0,R$46&gt;=$C$9+7+$C$26,SUM($E137:Q137)&lt;$C137),MIN($C137/$C$27,$C137-SUM($E137:Q137)),0)</f>
        <v/>
      </c>
      <c r="S137" s="90">
        <f>IF(AND($C137&gt;0,S$46&gt;=$C$9+7+$C$26,SUM($E137:R137)&lt;$C137),MIN($C137/$C$27,$C137-SUM($E137:R137)),0)</f>
        <v/>
      </c>
      <c r="T137" s="90">
        <f>IF(AND($C137&gt;0,T$46&gt;=$C$9+7+$C$26,SUM($E137:S137)&lt;$C137),MIN($C137/$C$27,$C137-SUM($E137:S137)),0)</f>
        <v/>
      </c>
      <c r="U137" s="90">
        <f>IF(AND($C137&gt;0,U$46&gt;=$C$9+7+$C$26,SUM($E137:T137)&lt;$C137),MIN($C137/$C$27,$C137-SUM($E137:T137)),0)</f>
        <v/>
      </c>
      <c r="V137" s="90">
        <f>IF(AND($C137&gt;0,V$46&gt;=$C$9+7+$C$26,SUM($E137:U137)&lt;$C137),MIN($C137/$C$27,$C137-SUM($E137:U137)),0)</f>
        <v/>
      </c>
      <c r="W137" s="90">
        <f>IF(AND($C137&gt;0,W$46&gt;=$C$9+7+$C$26,SUM($E137:V137)&lt;$C137),MIN($C137/$C$27,$C137-SUM($E137:V137)),0)</f>
        <v/>
      </c>
      <c r="X137" s="90">
        <f>IF(AND($C137&gt;0,X$46&gt;=$C$9+7+$C$26,SUM($E137:W137)&lt;$C137),MIN($C137/$C$27,$C137-SUM($E137:W137)),0)</f>
        <v/>
      </c>
      <c r="Y137" s="90">
        <f>IF(AND($C137&gt;0,Y$46&gt;=$C$9+7+$C$26,SUM($E137:X137)&lt;$C137),MIN($C137/$C$27,$C137-SUM($E137:X137)),0)</f>
        <v/>
      </c>
      <c r="Z137" s="90">
        <f>IF(AND($C137&gt;0,Z$46&gt;=$C$9+7+$C$26,SUM($E137:Y137)&lt;$C137),MIN($C137/$C$27,$C137-SUM($E137:Y137)),0)</f>
        <v/>
      </c>
      <c r="AA137" s="90">
        <f>IF(AND($C137&gt;0,AA$46&gt;=$C$9+7+$C$26,SUM($E137:Z137)&lt;$C137),MIN($C137/$C$27,$C137-SUM($E137:Z137)),0)</f>
        <v/>
      </c>
      <c r="AB137" s="90">
        <f>IF(AND($C137&gt;0,AB$46&gt;=$C$9+7+$C$26,SUM($E137:AA137)&lt;$C137),MIN($C137/$C$27,$C137-SUM($E137:AA137)),0)</f>
        <v/>
      </c>
      <c r="AC137" s="90">
        <f>IF(AND($C137&gt;0,AC$46&gt;=$C$9+7+$C$26,SUM($E137:AB137)&lt;$C137),MIN($C137/$C$27,$C137-SUM($E137:AB137)),0)</f>
        <v/>
      </c>
      <c r="AD137" s="90">
        <f>IF(AND($C137&gt;0,AD$46&gt;=$C$9+7+$C$26,SUM($E137:AC137)&lt;$C137),MIN($C137/$C$27,$C137-SUM($E137:AC137)),0)</f>
        <v/>
      </c>
      <c r="AE137" s="90">
        <f>IF(AND($C137&gt;0,AE$46&gt;=$C$9+7+$C$26,SUM($E137:AD137)&lt;$C137),MIN($C137/$C$27,$C137-SUM($E137:AD137)),0)</f>
        <v/>
      </c>
      <c r="AF137" s="90">
        <f>IF(AND($C137&gt;0,AF$46&gt;=$C$9+7+$C$26,SUM($E137:AE137)&lt;$C137),MIN($C137/$C$27,$C137-SUM($E137:AE137)),0)</f>
        <v/>
      </c>
      <c r="AG137" s="90">
        <f>IF(AND($C137&gt;0,AG$46&gt;=$C$9+7+$C$26,SUM($E137:AF137)&lt;$C137),MIN($C137/$C$27,$C137-SUM($E137:AF137)),0)</f>
        <v/>
      </c>
      <c r="AH137" s="90">
        <f>IF(AND($C137&gt;0,AH$46&gt;=$C$9+7+$C$26,SUM($E137:AG137)&lt;$C137),MIN($C137/$C$27,$C137-SUM($E137:AG137)),0)</f>
        <v/>
      </c>
      <c r="AI137" s="90">
        <f>IF(AND($C137&gt;0,AI$46&gt;=$C$9+7+$C$26,SUM($E137:AH137)&lt;$C137),MIN($C137/$C$27,$C137-SUM($E137:AH137)),0)</f>
        <v/>
      </c>
      <c r="AJ137" s="90">
        <f>IF(AND($C137&gt;0,AJ$46&gt;=$C$9+7+$C$26,SUM($E137:AI137)&lt;$C137),MIN($C137/$C$27,$C137-SUM($E137:AI137)),0)</f>
        <v/>
      </c>
      <c r="AK137" s="90">
        <f>IF(AND($C137&gt;0,AK$46&gt;=$C$9+7+$C$26,SUM($E137:AJ137)&lt;$C137),MIN($C137/$C$27,$C137-SUM($E137:AJ137)),0)</f>
        <v/>
      </c>
      <c r="AL137" s="90">
        <f>IF(AND($C137&gt;0,AL$46&gt;=$C$9+7+$C$26,SUM($E137:AK137)&lt;$C137),MIN($C137/$C$27,$C137-SUM($E137:AK137)),0)</f>
        <v/>
      </c>
      <c r="AM137" s="90">
        <f>IF(AND($C137&gt;0,AM$46&gt;=$C$9+7+$C$26,SUM($E137:AL137)&lt;$C137),MIN($C137/$C$27,$C137-SUM($E137:AL137)),0)</f>
        <v/>
      </c>
      <c r="AN137" s="90">
        <f>IF(AND($C137&gt;0,AN$46&gt;=$C$9+7+$C$26,SUM($E137:AM137)&lt;$C137),MIN($C137/$C$27,$C137-SUM($E137:AM137)),0)</f>
        <v/>
      </c>
      <c r="AO137" s="90">
        <f>IF(AND($C137&gt;0,AO$46&gt;=$C$9+7+$C$26,SUM($E137:AN137)&lt;$C137),MIN($C137/$C$27,$C137-SUM($E137:AN137)),0)</f>
        <v/>
      </c>
      <c r="AP137" s="90">
        <f>IF(AND($C137&gt;0,AP$46&gt;=$C$9+7+$C$26,SUM($E137:AO137)&lt;$C137),MIN($C137/$C$27,$C137-SUM($E137:AO137)),0)</f>
        <v/>
      </c>
      <c r="AQ137" s="90">
        <f>IF(AND($C137&gt;0,AQ$46&gt;=$C$9+7+$C$26,SUM($E137:AP137)&lt;$C137),MIN($C137/$C$27,$C137-SUM($E137:AP137)),0)</f>
        <v/>
      </c>
      <c r="AR137" s="90">
        <f>IF(AND($C137&gt;0,AR$46&gt;=$C$9+7+$C$26,SUM($E137:AQ137)&lt;$C137),MIN($C137/$C$27,$C137-SUM($E137:AQ137)),0)</f>
        <v/>
      </c>
      <c r="AS137" s="90">
        <f>IF(AND($C137&gt;0,AS$46&gt;=$C$9+7+$C$26,SUM($E137:AR137)&lt;$C137),MIN($C137/$C$27,$C137-SUM($E137:AR137)),0)</f>
        <v/>
      </c>
      <c r="AT137" s="90">
        <f>IF(AND($C137&gt;0,AT$46&gt;=$C$9+7+$C$26,SUM($E137:AS137)&lt;$C137),MIN($C137/$C$27,$C137-SUM($E137:AS137)),0)</f>
        <v/>
      </c>
      <c r="AU137" s="90">
        <f>IF(AND($C137&gt;0,AU$46&gt;=$C$9+7+$C$26,SUM($E137:AT137)&lt;$C137),MIN($C137/$C$27,$C137-SUM($E137:AT137)),0)</f>
        <v/>
      </c>
      <c r="AV137" s="90">
        <f>IF(AND($C137&gt;0,AV$46&gt;=$C$9+7+$C$26,SUM($E137:AU137)&lt;$C137),MIN($C137/$C$27,$C137-SUM($E137:AU137)),0)</f>
        <v/>
      </c>
      <c r="AW137" s="90">
        <f>IF(AND($C137&gt;0,AW$46&gt;=$C$9+7+$C$26,SUM($E137:AV137)&lt;$C137),MIN($C137/$C$27,$C137-SUM($E137:AV137)),0)</f>
        <v/>
      </c>
      <c r="AX137" s="90">
        <f>IF(AND($C137&gt;0,AX$46&gt;=$C$9+7+$C$26,SUM($E137:AW137)&lt;$C137),MIN($C137/$C$27,$C137-SUM($E137:AW137)),0)</f>
        <v/>
      </c>
      <c r="AY137" s="90">
        <f>IF(AND($C137&gt;0,AY$46&gt;=$C$9+7+$C$26,SUM($E137:AX137)&lt;$C137),MIN($C137/$C$27,$C137-SUM($E137:AX137)),0)</f>
        <v/>
      </c>
      <c r="AZ137" s="90">
        <f>IF(AND($C137&gt;0,AZ$46&gt;=$C$9+7+$C$26,SUM($E137:AY137)&lt;$C137),MIN($C137/$C$27,$C137-SUM($E137:AY137)),0)</f>
        <v/>
      </c>
      <c r="BA137" s="90">
        <f>IF(AND($C137&gt;0,BA$46&gt;=$C$9+7+$C$26,SUM($E137:AZ137)&lt;$C137),MIN($C137/$C$27,$C137-SUM($E137:AZ137)),0)</f>
        <v/>
      </c>
      <c r="BB137" s="90">
        <f>IF(AND($C137&gt;0,BB$46&gt;=$C$9+7+$C$26,SUM($E137:BA137)&lt;$C137),MIN($C137/$C$27,$C137-SUM($E137:BA137)),0)</f>
        <v/>
      </c>
    </row>
    <row r="138" ht="15" customHeight="1" s="91">
      <c r="B138" s="90" t="inlineStr">
        <is>
          <t>Tranche 9</t>
        </is>
      </c>
      <c r="C138" s="170">
        <f>IF(ABS($D$49)&gt;0,SUMPRODUCT(($E$46:$BB$46=$C$9+8)*IF($E49:$BB49&lt;0,ABS($E49:$BB49),0))*$C$19/ABS($D$49),0)</f>
        <v/>
      </c>
      <c r="D138" s="90">
        <f>SUM(E138:BB138)</f>
        <v/>
      </c>
      <c r="E138" s="90">
        <f>IF(AND($C138&gt;0,E$46&gt;=$C$9+8+$C$26,0&lt;$C138),MIN($C138/$C$27,$C138-0),0)</f>
        <v/>
      </c>
      <c r="F138" s="90">
        <f>IF(AND($C138&gt;0,F$46&gt;=$C$9+8+$C$26,SUM($E138:E138)&lt;$C138),MIN($C138/$C$27,$C138-SUM($E138:E138)),0)</f>
        <v/>
      </c>
      <c r="G138" s="90">
        <f>IF(AND($C138&gt;0,G$46&gt;=$C$9+8+$C$26,SUM($E138:F138)&lt;$C138),MIN($C138/$C$27,$C138-SUM($E138:F138)),0)</f>
        <v/>
      </c>
      <c r="H138" s="90">
        <f>IF(AND($C138&gt;0,H$46&gt;=$C$9+8+$C$26,SUM($E138:G138)&lt;$C138),MIN($C138/$C$27,$C138-SUM($E138:G138)),0)</f>
        <v/>
      </c>
      <c r="I138" s="90">
        <f>IF(AND($C138&gt;0,I$46&gt;=$C$9+8+$C$26,SUM($E138:H138)&lt;$C138),MIN($C138/$C$27,$C138-SUM($E138:H138)),0)</f>
        <v/>
      </c>
      <c r="J138" s="90">
        <f>IF(AND($C138&gt;0,J$46&gt;=$C$9+8+$C$26,SUM($E138:I138)&lt;$C138),MIN($C138/$C$27,$C138-SUM($E138:I138)),0)</f>
        <v/>
      </c>
      <c r="K138" s="90">
        <f>IF(AND($C138&gt;0,K$46&gt;=$C$9+8+$C$26,SUM($E138:J138)&lt;$C138),MIN($C138/$C$27,$C138-SUM($E138:J138)),0)</f>
        <v/>
      </c>
      <c r="L138" s="90">
        <f>IF(AND($C138&gt;0,L$46&gt;=$C$9+8+$C$26,SUM($E138:K138)&lt;$C138),MIN($C138/$C$27,$C138-SUM($E138:K138)),0)</f>
        <v/>
      </c>
      <c r="M138" s="90">
        <f>IF(AND($C138&gt;0,M$46&gt;=$C$9+8+$C$26,SUM($E138:L138)&lt;$C138),MIN($C138/$C$27,$C138-SUM($E138:L138)),0)</f>
        <v/>
      </c>
      <c r="N138" s="90">
        <f>IF(AND($C138&gt;0,N$46&gt;=$C$9+8+$C$26,SUM($E138:M138)&lt;$C138),MIN($C138/$C$27,$C138-SUM($E138:M138)),0)</f>
        <v/>
      </c>
      <c r="O138" s="90">
        <f>IF(AND($C138&gt;0,O$46&gt;=$C$9+8+$C$26,SUM($E138:N138)&lt;$C138),MIN($C138/$C$27,$C138-SUM($E138:N138)),0)</f>
        <v/>
      </c>
      <c r="P138" s="90">
        <f>IF(AND($C138&gt;0,P$46&gt;=$C$9+8+$C$26,SUM($E138:O138)&lt;$C138),MIN($C138/$C$27,$C138-SUM($E138:O138)),0)</f>
        <v/>
      </c>
      <c r="Q138" s="90">
        <f>IF(AND($C138&gt;0,Q$46&gt;=$C$9+8+$C$26,SUM($E138:P138)&lt;$C138),MIN($C138/$C$27,$C138-SUM($E138:P138)),0)</f>
        <v/>
      </c>
      <c r="R138" s="90">
        <f>IF(AND($C138&gt;0,R$46&gt;=$C$9+8+$C$26,SUM($E138:Q138)&lt;$C138),MIN($C138/$C$27,$C138-SUM($E138:Q138)),0)</f>
        <v/>
      </c>
      <c r="S138" s="90">
        <f>IF(AND($C138&gt;0,S$46&gt;=$C$9+8+$C$26,SUM($E138:R138)&lt;$C138),MIN($C138/$C$27,$C138-SUM($E138:R138)),0)</f>
        <v/>
      </c>
      <c r="T138" s="90">
        <f>IF(AND($C138&gt;0,T$46&gt;=$C$9+8+$C$26,SUM($E138:S138)&lt;$C138),MIN($C138/$C$27,$C138-SUM($E138:S138)),0)</f>
        <v/>
      </c>
      <c r="U138" s="90">
        <f>IF(AND($C138&gt;0,U$46&gt;=$C$9+8+$C$26,SUM($E138:T138)&lt;$C138),MIN($C138/$C$27,$C138-SUM($E138:T138)),0)</f>
        <v/>
      </c>
      <c r="V138" s="90">
        <f>IF(AND($C138&gt;0,V$46&gt;=$C$9+8+$C$26,SUM($E138:U138)&lt;$C138),MIN($C138/$C$27,$C138-SUM($E138:U138)),0)</f>
        <v/>
      </c>
      <c r="W138" s="90">
        <f>IF(AND($C138&gt;0,W$46&gt;=$C$9+8+$C$26,SUM($E138:V138)&lt;$C138),MIN($C138/$C$27,$C138-SUM($E138:V138)),0)</f>
        <v/>
      </c>
      <c r="X138" s="90">
        <f>IF(AND($C138&gt;0,X$46&gt;=$C$9+8+$C$26,SUM($E138:W138)&lt;$C138),MIN($C138/$C$27,$C138-SUM($E138:W138)),0)</f>
        <v/>
      </c>
      <c r="Y138" s="90">
        <f>IF(AND($C138&gt;0,Y$46&gt;=$C$9+8+$C$26,SUM($E138:X138)&lt;$C138),MIN($C138/$C$27,$C138-SUM($E138:X138)),0)</f>
        <v/>
      </c>
      <c r="Z138" s="90">
        <f>IF(AND($C138&gt;0,Z$46&gt;=$C$9+8+$C$26,SUM($E138:Y138)&lt;$C138),MIN($C138/$C$27,$C138-SUM($E138:Y138)),0)</f>
        <v/>
      </c>
      <c r="AA138" s="90">
        <f>IF(AND($C138&gt;0,AA$46&gt;=$C$9+8+$C$26,SUM($E138:Z138)&lt;$C138),MIN($C138/$C$27,$C138-SUM($E138:Z138)),0)</f>
        <v/>
      </c>
      <c r="AB138" s="90">
        <f>IF(AND($C138&gt;0,AB$46&gt;=$C$9+8+$C$26,SUM($E138:AA138)&lt;$C138),MIN($C138/$C$27,$C138-SUM($E138:AA138)),0)</f>
        <v/>
      </c>
      <c r="AC138" s="90">
        <f>IF(AND($C138&gt;0,AC$46&gt;=$C$9+8+$C$26,SUM($E138:AB138)&lt;$C138),MIN($C138/$C$27,$C138-SUM($E138:AB138)),0)</f>
        <v/>
      </c>
      <c r="AD138" s="90">
        <f>IF(AND($C138&gt;0,AD$46&gt;=$C$9+8+$C$26,SUM($E138:AC138)&lt;$C138),MIN($C138/$C$27,$C138-SUM($E138:AC138)),0)</f>
        <v/>
      </c>
      <c r="AE138" s="90">
        <f>IF(AND($C138&gt;0,AE$46&gt;=$C$9+8+$C$26,SUM($E138:AD138)&lt;$C138),MIN($C138/$C$27,$C138-SUM($E138:AD138)),0)</f>
        <v/>
      </c>
      <c r="AF138" s="90">
        <f>IF(AND($C138&gt;0,AF$46&gt;=$C$9+8+$C$26,SUM($E138:AE138)&lt;$C138),MIN($C138/$C$27,$C138-SUM($E138:AE138)),0)</f>
        <v/>
      </c>
      <c r="AG138" s="90">
        <f>IF(AND($C138&gt;0,AG$46&gt;=$C$9+8+$C$26,SUM($E138:AF138)&lt;$C138),MIN($C138/$C$27,$C138-SUM($E138:AF138)),0)</f>
        <v/>
      </c>
      <c r="AH138" s="90">
        <f>IF(AND($C138&gt;0,AH$46&gt;=$C$9+8+$C$26,SUM($E138:AG138)&lt;$C138),MIN($C138/$C$27,$C138-SUM($E138:AG138)),0)</f>
        <v/>
      </c>
      <c r="AI138" s="90">
        <f>IF(AND($C138&gt;0,AI$46&gt;=$C$9+8+$C$26,SUM($E138:AH138)&lt;$C138),MIN($C138/$C$27,$C138-SUM($E138:AH138)),0)</f>
        <v/>
      </c>
      <c r="AJ138" s="90">
        <f>IF(AND($C138&gt;0,AJ$46&gt;=$C$9+8+$C$26,SUM($E138:AI138)&lt;$C138),MIN($C138/$C$27,$C138-SUM($E138:AI138)),0)</f>
        <v/>
      </c>
      <c r="AK138" s="90">
        <f>IF(AND($C138&gt;0,AK$46&gt;=$C$9+8+$C$26,SUM($E138:AJ138)&lt;$C138),MIN($C138/$C$27,$C138-SUM($E138:AJ138)),0)</f>
        <v/>
      </c>
      <c r="AL138" s="90">
        <f>IF(AND($C138&gt;0,AL$46&gt;=$C$9+8+$C$26,SUM($E138:AK138)&lt;$C138),MIN($C138/$C$27,$C138-SUM($E138:AK138)),0)</f>
        <v/>
      </c>
      <c r="AM138" s="90">
        <f>IF(AND($C138&gt;0,AM$46&gt;=$C$9+8+$C$26,SUM($E138:AL138)&lt;$C138),MIN($C138/$C$27,$C138-SUM($E138:AL138)),0)</f>
        <v/>
      </c>
      <c r="AN138" s="90">
        <f>IF(AND($C138&gt;0,AN$46&gt;=$C$9+8+$C$26,SUM($E138:AM138)&lt;$C138),MIN($C138/$C$27,$C138-SUM($E138:AM138)),0)</f>
        <v/>
      </c>
      <c r="AO138" s="90">
        <f>IF(AND($C138&gt;0,AO$46&gt;=$C$9+8+$C$26,SUM($E138:AN138)&lt;$C138),MIN($C138/$C$27,$C138-SUM($E138:AN138)),0)</f>
        <v/>
      </c>
      <c r="AP138" s="90">
        <f>IF(AND($C138&gt;0,AP$46&gt;=$C$9+8+$C$26,SUM($E138:AO138)&lt;$C138),MIN($C138/$C$27,$C138-SUM($E138:AO138)),0)</f>
        <v/>
      </c>
      <c r="AQ138" s="90">
        <f>IF(AND($C138&gt;0,AQ$46&gt;=$C$9+8+$C$26,SUM($E138:AP138)&lt;$C138),MIN($C138/$C$27,$C138-SUM($E138:AP138)),0)</f>
        <v/>
      </c>
      <c r="AR138" s="90">
        <f>IF(AND($C138&gt;0,AR$46&gt;=$C$9+8+$C$26,SUM($E138:AQ138)&lt;$C138),MIN($C138/$C$27,$C138-SUM($E138:AQ138)),0)</f>
        <v/>
      </c>
      <c r="AS138" s="90">
        <f>IF(AND($C138&gt;0,AS$46&gt;=$C$9+8+$C$26,SUM($E138:AR138)&lt;$C138),MIN($C138/$C$27,$C138-SUM($E138:AR138)),0)</f>
        <v/>
      </c>
      <c r="AT138" s="90">
        <f>IF(AND($C138&gt;0,AT$46&gt;=$C$9+8+$C$26,SUM($E138:AS138)&lt;$C138),MIN($C138/$C$27,$C138-SUM($E138:AS138)),0)</f>
        <v/>
      </c>
      <c r="AU138" s="90">
        <f>IF(AND($C138&gt;0,AU$46&gt;=$C$9+8+$C$26,SUM($E138:AT138)&lt;$C138),MIN($C138/$C$27,$C138-SUM($E138:AT138)),0)</f>
        <v/>
      </c>
      <c r="AV138" s="90">
        <f>IF(AND($C138&gt;0,AV$46&gt;=$C$9+8+$C$26,SUM($E138:AU138)&lt;$C138),MIN($C138/$C$27,$C138-SUM($E138:AU138)),0)</f>
        <v/>
      </c>
      <c r="AW138" s="90">
        <f>IF(AND($C138&gt;0,AW$46&gt;=$C$9+8+$C$26,SUM($E138:AV138)&lt;$C138),MIN($C138/$C$27,$C138-SUM($E138:AV138)),0)</f>
        <v/>
      </c>
      <c r="AX138" s="90">
        <f>IF(AND($C138&gt;0,AX$46&gt;=$C$9+8+$C$26,SUM($E138:AW138)&lt;$C138),MIN($C138/$C$27,$C138-SUM($E138:AW138)),0)</f>
        <v/>
      </c>
      <c r="AY138" s="90">
        <f>IF(AND($C138&gt;0,AY$46&gt;=$C$9+8+$C$26,SUM($E138:AX138)&lt;$C138),MIN($C138/$C$27,$C138-SUM($E138:AX138)),0)</f>
        <v/>
      </c>
      <c r="AZ138" s="90">
        <f>IF(AND($C138&gt;0,AZ$46&gt;=$C$9+8+$C$26,SUM($E138:AY138)&lt;$C138),MIN($C138/$C$27,$C138-SUM($E138:AY138)),0)</f>
        <v/>
      </c>
      <c r="BA138" s="90">
        <f>IF(AND($C138&gt;0,BA$46&gt;=$C$9+8+$C$26,SUM($E138:AZ138)&lt;$C138),MIN($C138/$C$27,$C138-SUM($E138:AZ138)),0)</f>
        <v/>
      </c>
      <c r="BB138" s="90">
        <f>IF(AND($C138&gt;0,BB$46&gt;=$C$9+8+$C$26,SUM($E138:BA138)&lt;$C138),MIN($C138/$C$27,$C138-SUM($E138:BA138)),0)</f>
        <v/>
      </c>
    </row>
    <row r="139" ht="15" customHeight="1" s="91">
      <c r="B139" s="90" t="inlineStr">
        <is>
          <t>Tranche 10</t>
        </is>
      </c>
      <c r="C139" s="170">
        <f>IF(ABS($D$49)&gt;0,SUMPRODUCT(($E$46:$BB$46=$C$9+9)*IF($E49:$BB49&lt;0,ABS($E49:$BB49),0))*$C$19/ABS($D$49),0)</f>
        <v/>
      </c>
      <c r="D139" s="90">
        <f>SUM(E139:BB139)</f>
        <v/>
      </c>
      <c r="E139" s="90">
        <f>IF(AND($C139&gt;0,E$46&gt;=$C$9+9+$C$26,0&lt;$C139),MIN($C139/$C$27,$C139-0),0)</f>
        <v/>
      </c>
      <c r="F139" s="90">
        <f>IF(AND($C139&gt;0,F$46&gt;=$C$9+9+$C$26,SUM($E139:E139)&lt;$C139),MIN($C139/$C$27,$C139-SUM($E139:E139)),0)</f>
        <v/>
      </c>
      <c r="G139" s="90">
        <f>IF(AND($C139&gt;0,G$46&gt;=$C$9+9+$C$26,SUM($E139:F139)&lt;$C139),MIN($C139/$C$27,$C139-SUM($E139:F139)),0)</f>
        <v/>
      </c>
      <c r="H139" s="90">
        <f>IF(AND($C139&gt;0,H$46&gt;=$C$9+9+$C$26,SUM($E139:G139)&lt;$C139),MIN($C139/$C$27,$C139-SUM($E139:G139)),0)</f>
        <v/>
      </c>
      <c r="I139" s="90">
        <f>IF(AND($C139&gt;0,I$46&gt;=$C$9+9+$C$26,SUM($E139:H139)&lt;$C139),MIN($C139/$C$27,$C139-SUM($E139:H139)),0)</f>
        <v/>
      </c>
      <c r="J139" s="90">
        <f>IF(AND($C139&gt;0,J$46&gt;=$C$9+9+$C$26,SUM($E139:I139)&lt;$C139),MIN($C139/$C$27,$C139-SUM($E139:I139)),0)</f>
        <v/>
      </c>
      <c r="K139" s="90">
        <f>IF(AND($C139&gt;0,K$46&gt;=$C$9+9+$C$26,SUM($E139:J139)&lt;$C139),MIN($C139/$C$27,$C139-SUM($E139:J139)),0)</f>
        <v/>
      </c>
      <c r="L139" s="90">
        <f>IF(AND($C139&gt;0,L$46&gt;=$C$9+9+$C$26,SUM($E139:K139)&lt;$C139),MIN($C139/$C$27,$C139-SUM($E139:K139)),0)</f>
        <v/>
      </c>
      <c r="M139" s="90">
        <f>IF(AND($C139&gt;0,M$46&gt;=$C$9+9+$C$26,SUM($E139:L139)&lt;$C139),MIN($C139/$C$27,$C139-SUM($E139:L139)),0)</f>
        <v/>
      </c>
      <c r="N139" s="90">
        <f>IF(AND($C139&gt;0,N$46&gt;=$C$9+9+$C$26,SUM($E139:M139)&lt;$C139),MIN($C139/$C$27,$C139-SUM($E139:M139)),0)</f>
        <v/>
      </c>
      <c r="O139" s="90">
        <f>IF(AND($C139&gt;0,O$46&gt;=$C$9+9+$C$26,SUM($E139:N139)&lt;$C139),MIN($C139/$C$27,$C139-SUM($E139:N139)),0)</f>
        <v/>
      </c>
      <c r="P139" s="90">
        <f>IF(AND($C139&gt;0,P$46&gt;=$C$9+9+$C$26,SUM($E139:O139)&lt;$C139),MIN($C139/$C$27,$C139-SUM($E139:O139)),0)</f>
        <v/>
      </c>
      <c r="Q139" s="90">
        <f>IF(AND($C139&gt;0,Q$46&gt;=$C$9+9+$C$26,SUM($E139:P139)&lt;$C139),MIN($C139/$C$27,$C139-SUM($E139:P139)),0)</f>
        <v/>
      </c>
      <c r="R139" s="90">
        <f>IF(AND($C139&gt;0,R$46&gt;=$C$9+9+$C$26,SUM($E139:Q139)&lt;$C139),MIN($C139/$C$27,$C139-SUM($E139:Q139)),0)</f>
        <v/>
      </c>
      <c r="S139" s="90">
        <f>IF(AND($C139&gt;0,S$46&gt;=$C$9+9+$C$26,SUM($E139:R139)&lt;$C139),MIN($C139/$C$27,$C139-SUM($E139:R139)),0)</f>
        <v/>
      </c>
      <c r="T139" s="90">
        <f>IF(AND($C139&gt;0,T$46&gt;=$C$9+9+$C$26,SUM($E139:S139)&lt;$C139),MIN($C139/$C$27,$C139-SUM($E139:S139)),0)</f>
        <v/>
      </c>
      <c r="U139" s="90">
        <f>IF(AND($C139&gt;0,U$46&gt;=$C$9+9+$C$26,SUM($E139:T139)&lt;$C139),MIN($C139/$C$27,$C139-SUM($E139:T139)),0)</f>
        <v/>
      </c>
      <c r="V139" s="90">
        <f>IF(AND($C139&gt;0,V$46&gt;=$C$9+9+$C$26,SUM($E139:U139)&lt;$C139),MIN($C139/$C$27,$C139-SUM($E139:U139)),0)</f>
        <v/>
      </c>
      <c r="W139" s="90">
        <f>IF(AND($C139&gt;0,W$46&gt;=$C$9+9+$C$26,SUM($E139:V139)&lt;$C139),MIN($C139/$C$27,$C139-SUM($E139:V139)),0)</f>
        <v/>
      </c>
      <c r="X139" s="90">
        <f>IF(AND($C139&gt;0,X$46&gt;=$C$9+9+$C$26,SUM($E139:W139)&lt;$C139),MIN($C139/$C$27,$C139-SUM($E139:W139)),0)</f>
        <v/>
      </c>
      <c r="Y139" s="90">
        <f>IF(AND($C139&gt;0,Y$46&gt;=$C$9+9+$C$26,SUM($E139:X139)&lt;$C139),MIN($C139/$C$27,$C139-SUM($E139:X139)),0)</f>
        <v/>
      </c>
      <c r="Z139" s="90">
        <f>IF(AND($C139&gt;0,Z$46&gt;=$C$9+9+$C$26,SUM($E139:Y139)&lt;$C139),MIN($C139/$C$27,$C139-SUM($E139:Y139)),0)</f>
        <v/>
      </c>
      <c r="AA139" s="90">
        <f>IF(AND($C139&gt;0,AA$46&gt;=$C$9+9+$C$26,SUM($E139:Z139)&lt;$C139),MIN($C139/$C$27,$C139-SUM($E139:Z139)),0)</f>
        <v/>
      </c>
      <c r="AB139" s="90">
        <f>IF(AND($C139&gt;0,AB$46&gt;=$C$9+9+$C$26,SUM($E139:AA139)&lt;$C139),MIN($C139/$C$27,$C139-SUM($E139:AA139)),0)</f>
        <v/>
      </c>
      <c r="AC139" s="90">
        <f>IF(AND($C139&gt;0,AC$46&gt;=$C$9+9+$C$26,SUM($E139:AB139)&lt;$C139),MIN($C139/$C$27,$C139-SUM($E139:AB139)),0)</f>
        <v/>
      </c>
      <c r="AD139" s="90">
        <f>IF(AND($C139&gt;0,AD$46&gt;=$C$9+9+$C$26,SUM($E139:AC139)&lt;$C139),MIN($C139/$C$27,$C139-SUM($E139:AC139)),0)</f>
        <v/>
      </c>
      <c r="AE139" s="90">
        <f>IF(AND($C139&gt;0,AE$46&gt;=$C$9+9+$C$26,SUM($E139:AD139)&lt;$C139),MIN($C139/$C$27,$C139-SUM($E139:AD139)),0)</f>
        <v/>
      </c>
      <c r="AF139" s="90">
        <f>IF(AND($C139&gt;0,AF$46&gt;=$C$9+9+$C$26,SUM($E139:AE139)&lt;$C139),MIN($C139/$C$27,$C139-SUM($E139:AE139)),0)</f>
        <v/>
      </c>
      <c r="AG139" s="90">
        <f>IF(AND($C139&gt;0,AG$46&gt;=$C$9+9+$C$26,SUM($E139:AF139)&lt;$C139),MIN($C139/$C$27,$C139-SUM($E139:AF139)),0)</f>
        <v/>
      </c>
      <c r="AH139" s="90">
        <f>IF(AND($C139&gt;0,AH$46&gt;=$C$9+9+$C$26,SUM($E139:AG139)&lt;$C139),MIN($C139/$C$27,$C139-SUM($E139:AG139)),0)</f>
        <v/>
      </c>
      <c r="AI139" s="90">
        <f>IF(AND($C139&gt;0,AI$46&gt;=$C$9+9+$C$26,SUM($E139:AH139)&lt;$C139),MIN($C139/$C$27,$C139-SUM($E139:AH139)),0)</f>
        <v/>
      </c>
      <c r="AJ139" s="90">
        <f>IF(AND($C139&gt;0,AJ$46&gt;=$C$9+9+$C$26,SUM($E139:AI139)&lt;$C139),MIN($C139/$C$27,$C139-SUM($E139:AI139)),0)</f>
        <v/>
      </c>
      <c r="AK139" s="90">
        <f>IF(AND($C139&gt;0,AK$46&gt;=$C$9+9+$C$26,SUM($E139:AJ139)&lt;$C139),MIN($C139/$C$27,$C139-SUM($E139:AJ139)),0)</f>
        <v/>
      </c>
      <c r="AL139" s="90">
        <f>IF(AND($C139&gt;0,AL$46&gt;=$C$9+9+$C$26,SUM($E139:AK139)&lt;$C139),MIN($C139/$C$27,$C139-SUM($E139:AK139)),0)</f>
        <v/>
      </c>
      <c r="AM139" s="90">
        <f>IF(AND($C139&gt;0,AM$46&gt;=$C$9+9+$C$26,SUM($E139:AL139)&lt;$C139),MIN($C139/$C$27,$C139-SUM($E139:AL139)),0)</f>
        <v/>
      </c>
      <c r="AN139" s="90">
        <f>IF(AND($C139&gt;0,AN$46&gt;=$C$9+9+$C$26,SUM($E139:AM139)&lt;$C139),MIN($C139/$C$27,$C139-SUM($E139:AM139)),0)</f>
        <v/>
      </c>
      <c r="AO139" s="90">
        <f>IF(AND($C139&gt;0,AO$46&gt;=$C$9+9+$C$26,SUM($E139:AN139)&lt;$C139),MIN($C139/$C$27,$C139-SUM($E139:AN139)),0)</f>
        <v/>
      </c>
      <c r="AP139" s="90">
        <f>IF(AND($C139&gt;0,AP$46&gt;=$C$9+9+$C$26,SUM($E139:AO139)&lt;$C139),MIN($C139/$C$27,$C139-SUM($E139:AO139)),0)</f>
        <v/>
      </c>
      <c r="AQ139" s="90">
        <f>IF(AND($C139&gt;0,AQ$46&gt;=$C$9+9+$C$26,SUM($E139:AP139)&lt;$C139),MIN($C139/$C$27,$C139-SUM($E139:AP139)),0)</f>
        <v/>
      </c>
      <c r="AR139" s="90">
        <f>IF(AND($C139&gt;0,AR$46&gt;=$C$9+9+$C$26,SUM($E139:AQ139)&lt;$C139),MIN($C139/$C$27,$C139-SUM($E139:AQ139)),0)</f>
        <v/>
      </c>
      <c r="AS139" s="90">
        <f>IF(AND($C139&gt;0,AS$46&gt;=$C$9+9+$C$26,SUM($E139:AR139)&lt;$C139),MIN($C139/$C$27,$C139-SUM($E139:AR139)),0)</f>
        <v/>
      </c>
      <c r="AT139" s="90">
        <f>IF(AND($C139&gt;0,AT$46&gt;=$C$9+9+$C$26,SUM($E139:AS139)&lt;$C139),MIN($C139/$C$27,$C139-SUM($E139:AS139)),0)</f>
        <v/>
      </c>
      <c r="AU139" s="90">
        <f>IF(AND($C139&gt;0,AU$46&gt;=$C$9+9+$C$26,SUM($E139:AT139)&lt;$C139),MIN($C139/$C$27,$C139-SUM($E139:AT139)),0)</f>
        <v/>
      </c>
      <c r="AV139" s="90">
        <f>IF(AND($C139&gt;0,AV$46&gt;=$C$9+9+$C$26,SUM($E139:AU139)&lt;$C139),MIN($C139/$C$27,$C139-SUM($E139:AU139)),0)</f>
        <v/>
      </c>
      <c r="AW139" s="90">
        <f>IF(AND($C139&gt;0,AW$46&gt;=$C$9+9+$C$26,SUM($E139:AV139)&lt;$C139),MIN($C139/$C$27,$C139-SUM($E139:AV139)),0)</f>
        <v/>
      </c>
      <c r="AX139" s="90">
        <f>IF(AND($C139&gt;0,AX$46&gt;=$C$9+9+$C$26,SUM($E139:AW139)&lt;$C139),MIN($C139/$C$27,$C139-SUM($E139:AW139)),0)</f>
        <v/>
      </c>
      <c r="AY139" s="90">
        <f>IF(AND($C139&gt;0,AY$46&gt;=$C$9+9+$C$26,SUM($E139:AX139)&lt;$C139),MIN($C139/$C$27,$C139-SUM($E139:AX139)),0)</f>
        <v/>
      </c>
      <c r="AZ139" s="90">
        <f>IF(AND($C139&gt;0,AZ$46&gt;=$C$9+9+$C$26,SUM($E139:AY139)&lt;$C139),MIN($C139/$C$27,$C139-SUM($E139:AY139)),0)</f>
        <v/>
      </c>
      <c r="BA139" s="90">
        <f>IF(AND($C139&gt;0,BA$46&gt;=$C$9+9+$C$26,SUM($E139:AZ139)&lt;$C139),MIN($C139/$C$27,$C139-SUM($E139:AZ139)),0)</f>
        <v/>
      </c>
      <c r="BB139" s="90">
        <f>IF(AND($C139&gt;0,BB$46&gt;=$C$9+9+$C$26,SUM($E139:BA139)&lt;$C139),MIN($C139/$C$27,$C139-SUM($E139:BA139)),0)</f>
        <v/>
      </c>
    </row>
    <row r="140" ht="15" customHeight="1" s="91">
      <c r="A140" s="152" t="inlineStr">
        <is>
          <t>IMPORT  البيانات المستوردة (يمكن طيها ▼)</t>
        </is>
      </c>
      <c r="B140" s="171" t="inlineStr">
        <is>
          <t>Total Tranche Repayment</t>
        </is>
      </c>
      <c r="C140" s="152" t="n"/>
      <c r="D140" s="152">
        <f>SUM(E140:BB140)</f>
        <v/>
      </c>
      <c r="E140" s="90">
        <f>SUM(E130:E139)</f>
        <v/>
      </c>
      <c r="F140" s="90">
        <f>SUM(F130:F139)</f>
        <v/>
      </c>
      <c r="G140" s="90">
        <f>SUM(G130:G139)</f>
        <v/>
      </c>
      <c r="H140" s="90">
        <f>SUM(H130:H139)</f>
        <v/>
      </c>
      <c r="I140" s="90">
        <f>SUM(I130:I139)</f>
        <v/>
      </c>
      <c r="J140" s="90">
        <f>SUM(J130:J139)</f>
        <v/>
      </c>
      <c r="K140" s="90">
        <f>SUM(K130:K139)</f>
        <v/>
      </c>
      <c r="L140" s="90">
        <f>SUM(L130:L139)</f>
        <v/>
      </c>
      <c r="M140" s="90">
        <f>SUM(M130:M139)</f>
        <v/>
      </c>
      <c r="N140" s="90">
        <f>SUM(N130:N139)</f>
        <v/>
      </c>
      <c r="O140" s="90">
        <f>SUM(O130:O139)</f>
        <v/>
      </c>
      <c r="P140" s="90">
        <f>SUM(P130:P139)</f>
        <v/>
      </c>
      <c r="Q140" s="90">
        <f>SUM(Q130:Q139)</f>
        <v/>
      </c>
      <c r="R140" s="90">
        <f>SUM(R130:R139)</f>
        <v/>
      </c>
      <c r="S140" s="90">
        <f>SUM(S130:S139)</f>
        <v/>
      </c>
      <c r="T140" s="90">
        <f>SUM(T130:T139)</f>
        <v/>
      </c>
      <c r="U140" s="90">
        <f>SUM(U130:U139)</f>
        <v/>
      </c>
      <c r="V140" s="90">
        <f>SUM(V130:V139)</f>
        <v/>
      </c>
      <c r="W140" s="90">
        <f>SUM(W130:W139)</f>
        <v/>
      </c>
      <c r="X140" s="90">
        <f>SUM(X130:X139)</f>
        <v/>
      </c>
      <c r="Y140" s="90">
        <f>SUM(Y130:Y139)</f>
        <v/>
      </c>
      <c r="Z140" s="90">
        <f>SUM(Z130:Z139)</f>
        <v/>
      </c>
      <c r="AA140" s="90">
        <f>SUM(AA130:AA139)</f>
        <v/>
      </c>
      <c r="AB140" s="90">
        <f>SUM(AB130:AB139)</f>
        <v/>
      </c>
      <c r="AC140" s="90">
        <f>SUM(AC130:AC139)</f>
        <v/>
      </c>
      <c r="AD140" s="90">
        <f>SUM(AD130:AD139)</f>
        <v/>
      </c>
      <c r="AE140" s="90">
        <f>SUM(AE130:AE139)</f>
        <v/>
      </c>
      <c r="AF140" s="90">
        <f>SUM(AF130:AF139)</f>
        <v/>
      </c>
      <c r="AG140" s="90">
        <f>SUM(AG130:AG139)</f>
        <v/>
      </c>
      <c r="AH140" s="90">
        <f>SUM(AH130:AH139)</f>
        <v/>
      </c>
      <c r="AI140" s="90">
        <f>SUM(AI130:AI139)</f>
        <v/>
      </c>
      <c r="AJ140" s="90">
        <f>SUM(AJ130:AJ139)</f>
        <v/>
      </c>
      <c r="AK140" s="90">
        <f>SUM(AK130:AK139)</f>
        <v/>
      </c>
      <c r="AL140" s="90">
        <f>SUM(AL130:AL139)</f>
        <v/>
      </c>
      <c r="AM140" s="90">
        <f>SUM(AM130:AM139)</f>
        <v/>
      </c>
      <c r="AN140" s="90">
        <f>SUM(AN130:AN139)</f>
        <v/>
      </c>
      <c r="AO140" s="90">
        <f>SUM(AO130:AO139)</f>
        <v/>
      </c>
      <c r="AP140" s="90">
        <f>SUM(AP130:AP139)</f>
        <v/>
      </c>
      <c r="AQ140" s="90">
        <f>SUM(AQ130:AQ139)</f>
        <v/>
      </c>
      <c r="AR140" s="90">
        <f>SUM(AR130:AR139)</f>
        <v/>
      </c>
      <c r="AS140" s="90">
        <f>SUM(AS130:AS139)</f>
        <v/>
      </c>
      <c r="AT140" s="90">
        <f>SUM(AT130:AT139)</f>
        <v/>
      </c>
      <c r="AU140" s="90">
        <f>SUM(AU130:AU139)</f>
        <v/>
      </c>
      <c r="AV140" s="90">
        <f>SUM(AV130:AV139)</f>
        <v/>
      </c>
      <c r="AW140" s="90">
        <f>SUM(AW130:AW139)</f>
        <v/>
      </c>
      <c r="AX140" s="90">
        <f>SUM(AX130:AX139)</f>
        <v/>
      </c>
      <c r="AY140" s="90">
        <f>SUM(AY130:AY139)</f>
        <v/>
      </c>
      <c r="AZ140" s="90">
        <f>SUM(AZ130:AZ139)</f>
        <v/>
      </c>
      <c r="BA140" s="90">
        <f>SUM(BA130:BA139)</f>
        <v/>
      </c>
      <c r="BB140" s="90">
        <f>SUM(BB130:BB139)</f>
        <v/>
      </c>
    </row>
    <row r="141" hidden="1" outlineLevel="1" ht="15" customHeight="1" s="91">
      <c r="B141" s="153" t="inlineStr">
        <is>
          <t>DevCost (excl Land)</t>
        </is>
      </c>
      <c r="C141" s="155">
        <f>C17</f>
        <v/>
      </c>
    </row>
    <row r="142" hidden="1" outlineLevel="1" ht="15" customHeight="1" s="91">
      <c r="B142" s="153" t="inlineStr">
        <is>
          <t>Land Capitalization</t>
        </is>
      </c>
      <c r="C142" s="155">
        <f>C12</f>
        <v/>
      </c>
    </row>
    <row r="143" hidden="1" outlineLevel="1" ht="15" customHeight="1" s="91">
      <c r="B143" s="153" t="inlineStr">
        <is>
          <t>Max Debt</t>
        </is>
      </c>
      <c r="C143" s="155">
        <f>C19</f>
        <v/>
      </c>
    </row>
    <row r="144" hidden="1" outlineLevel="1" ht="15" customHeight="1" s="91">
      <c r="B144" s="153" t="inlineStr">
        <is>
          <t>Total Equity</t>
        </is>
      </c>
      <c r="C144" s="155">
        <f>C14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1">
    <dataValidation sqref="C22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B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42" customWidth="1" style="90" min="2" max="2"/>
    <col width="14" customWidth="1" style="90" min="3" max="3"/>
    <col width="18" customWidth="1" style="90" min="4" max="4"/>
    <col width="14" customWidth="1" style="90" min="5" max="54"/>
  </cols>
  <sheetData>
    <row r="1" ht="15" customHeight="1" s="91">
      <c r="A1" s="152" t="inlineStr">
        <is>
          <t>FUND MODEL - ZAN 2  نموذج الصندوق - ZAN 2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</row>
    <row r="3" ht="15" customHeight="1" s="91">
      <c r="A3" s="152" t="inlineStr">
        <is>
          <t>1  FUND INFORMATION  معلومات الصندوق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2" t="n"/>
      <c r="AS3" s="152" t="n"/>
      <c r="AT3" s="152" t="n"/>
      <c r="AU3" s="152" t="n"/>
      <c r="AV3" s="152" t="n"/>
      <c r="AW3" s="152" t="n"/>
      <c r="AX3" s="152" t="n"/>
      <c r="AY3" s="152" t="n"/>
      <c r="AZ3" s="152" t="n"/>
      <c r="BA3" s="152" t="n"/>
      <c r="BB3" s="152" t="n"/>
    </row>
    <row r="4" ht="15" customHeight="1" s="91">
      <c r="B4" s="153" t="inlineStr">
        <is>
          <t>Fund Name</t>
        </is>
      </c>
      <c r="C4" s="114" t="inlineStr">
        <is>
          <t>ZAN Infrastructure Fund</t>
        </is>
      </c>
      <c r="D4" s="120" t="inlineStr">
        <is>
          <t>اسم الصندوق</t>
        </is>
      </c>
    </row>
    <row r="5" ht="15" customHeight="1" s="91">
      <c r="B5" s="153" t="inlineStr">
        <is>
          <t>ZAN Section</t>
        </is>
      </c>
      <c r="C5" s="153" t="inlineStr">
        <is>
          <t>ZAN 2</t>
        </is>
      </c>
      <c r="D5" s="120" t="inlineStr">
        <is>
          <t>القسم</t>
        </is>
      </c>
    </row>
    <row r="6" ht="15" customHeight="1" s="91">
      <c r="B6" s="153" t="inlineStr">
        <is>
          <t>Vehicle Type</t>
        </is>
      </c>
      <c r="C6" s="114" t="inlineStr">
        <is>
          <t>Fund</t>
        </is>
      </c>
      <c r="D6" s="120" t="inlineStr">
        <is>
          <t>نوع الأداة</t>
        </is>
      </c>
    </row>
    <row r="7" ht="15" customHeight="1" s="91">
      <c r="B7" s="153" t="inlineStr">
        <is>
          <t>Strategy</t>
        </is>
      </c>
      <c r="C7" s="114" t="inlineStr">
        <is>
          <t>Develop &amp; Hold</t>
        </is>
      </c>
      <c r="D7" s="120" t="inlineStr">
        <is>
          <t>الاستراتيجية</t>
        </is>
      </c>
    </row>
    <row r="8" ht="15" customHeight="1" s="91">
      <c r="B8" s="153" t="inlineStr">
        <is>
          <t>Currency</t>
        </is>
      </c>
      <c r="C8" s="112">
        <f>Inputs!C9</f>
        <v/>
      </c>
      <c r="D8" s="120" t="inlineStr">
        <is>
          <t>العملة</t>
        </is>
      </c>
    </row>
    <row r="9" ht="15" customHeight="1" s="91">
      <c r="B9" s="153" t="inlineStr">
        <is>
          <t>Fund Start Year  سنة بداية الصندوق</t>
        </is>
      </c>
      <c r="C9" s="159">
        <f>Inputs!C7+Inputs!C46-1</f>
        <v/>
      </c>
      <c r="D9" s="120" t="inlineStr">
        <is>
          <t>سنة بداية الصندوق</t>
        </is>
      </c>
    </row>
    <row r="11" ht="15" customHeight="1" s="91">
      <c r="A11" s="152" t="inlineStr">
        <is>
          <t>2  CAPITAL STRUCTURE  هيكل رأس المال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</row>
    <row r="12" ht="15" customHeight="1" s="91">
      <c r="B12" s="153" t="inlineStr">
        <is>
          <t>GP Equity (Sponsor/Land)</t>
        </is>
      </c>
      <c r="C12" s="155">
        <f>Inputs!E68</f>
        <v/>
      </c>
      <c r="D12" s="120" t="inlineStr">
        <is>
          <t>حصة المطور (الأرض)</t>
        </is>
      </c>
    </row>
    <row r="13" ht="15" customHeight="1" s="91">
      <c r="B13" s="153" t="inlineStr">
        <is>
          <t>LP Equity (Investors)</t>
        </is>
      </c>
      <c r="C13" s="160">
        <f>C14-C12</f>
        <v/>
      </c>
      <c r="D13" s="120" t="inlineStr">
        <is>
          <t>حصة المستثمرين</t>
        </is>
      </c>
    </row>
    <row r="14" ht="15" customHeight="1" s="91">
      <c r="B14" s="153" t="inlineStr">
        <is>
          <t>Total Equity</t>
        </is>
      </c>
      <c r="C14" s="157">
        <f>C18-C19</f>
        <v/>
      </c>
      <c r="D14" s="120" t="inlineStr">
        <is>
          <t>إجمالي حقوق الملكية</t>
        </is>
      </c>
    </row>
    <row r="15" ht="15" customHeight="1" s="91">
      <c r="B15" s="153" t="inlineStr">
        <is>
          <t>Sponsor %</t>
        </is>
      </c>
      <c r="C15" s="161">
        <f>IF(C14=0,0,C12/C14)</f>
        <v/>
      </c>
    </row>
    <row r="16" ht="15" customHeight="1" s="91">
      <c r="B16" s="153" t="inlineStr">
        <is>
          <t>LP %</t>
        </is>
      </c>
      <c r="C16" s="161">
        <f>IF(C14=0,0,C13/C14)</f>
        <v/>
      </c>
    </row>
    <row r="17" ht="15" customHeight="1" s="91">
      <c r="B17" s="153" t="inlineStr">
        <is>
          <t>Development Cost (excl. Land)</t>
        </is>
      </c>
      <c r="C17" s="155">
        <f>CAPEX!D37</f>
        <v/>
      </c>
    </row>
    <row r="18" ht="15" customHeight="1" s="91">
      <c r="B18" s="153" t="inlineStr">
        <is>
          <t>Development Cost (incl. Land)</t>
        </is>
      </c>
      <c r="C18" s="157">
        <f>C17+C12</f>
        <v/>
      </c>
      <c r="D18" s="120" t="inlineStr">
        <is>
          <t>تكاليف التطوير شاملة الأرض</t>
        </is>
      </c>
    </row>
    <row r="19" ht="15" customHeight="1" s="91">
      <c r="B19" s="153" t="inlineStr">
        <is>
          <t>Max Debt</t>
        </is>
      </c>
      <c r="C19" s="155">
        <f>IF($C$22="Y",C18*Inputs!$C$85,0)</f>
        <v/>
      </c>
      <c r="D19" s="120" t="inlineStr">
        <is>
          <t>الحد الأقصى للدين</t>
        </is>
      </c>
    </row>
    <row r="21" ht="15" customHeight="1" s="91">
      <c r="A21" s="152" t="inlineStr">
        <is>
          <t>3  DEBT  الدين</t>
        </is>
      </c>
      <c r="B21" s="152" t="n"/>
      <c r="C21" s="152" t="n"/>
      <c r="D21" s="152" t="n"/>
      <c r="E21" s="152" t="n"/>
      <c r="F21" s="152" t="n"/>
      <c r="G21" s="152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  <c r="AK21" s="152" t="n"/>
      <c r="AL21" s="152" t="n"/>
      <c r="AM21" s="152" t="n"/>
      <c r="AN21" s="152" t="n"/>
      <c r="AO21" s="152" t="n"/>
      <c r="AP21" s="152" t="n"/>
      <c r="AQ21" s="152" t="n"/>
      <c r="AR21" s="152" t="n"/>
      <c r="AS21" s="152" t="n"/>
      <c r="AT21" s="152" t="n"/>
      <c r="AU21" s="152" t="n"/>
      <c r="AV21" s="152" t="n"/>
      <c r="AW21" s="152" t="n"/>
      <c r="AX21" s="152" t="n"/>
      <c r="AY21" s="152" t="n"/>
      <c r="AZ21" s="152" t="n"/>
      <c r="BA21" s="152" t="n"/>
      <c r="BB21" s="152" t="n"/>
    </row>
    <row r="22" ht="15" customHeight="1" s="91">
      <c r="B22" s="153" t="inlineStr">
        <is>
          <t>Debt Allowed (Y/N)</t>
        </is>
      </c>
      <c r="C22" s="114" t="inlineStr">
        <is>
          <t>Y</t>
        </is>
      </c>
      <c r="D22" s="120" t="inlineStr">
        <is>
          <t>هل الدين مسموح؟</t>
        </is>
      </c>
    </row>
    <row r="23" ht="15" customHeight="1" s="91">
      <c r="B23" s="153" t="inlineStr">
        <is>
          <t>Annual Financing Rate</t>
        </is>
      </c>
      <c r="C23" s="156">
        <f>Inputs!D$126</f>
        <v/>
      </c>
      <c r="D23" s="120" t="inlineStr">
        <is>
          <t>معدل التمويل السنوي</t>
        </is>
      </c>
    </row>
    <row r="24" ht="15" customHeight="1" s="91">
      <c r="B24" s="153" t="inlineStr">
        <is>
          <t>Total Loan Tenor (incl. Grace)</t>
        </is>
      </c>
      <c r="C24" s="159">
        <f>Inputs!D$127</f>
        <v/>
      </c>
      <c r="D24" s="120" t="inlineStr">
        <is>
          <t>مدة القرض شاملة السماح</t>
        </is>
      </c>
    </row>
    <row r="25" ht="15" customHeight="1" s="91">
      <c r="B25" s="153" t="inlineStr">
        <is>
          <t>Upfront Fee %</t>
        </is>
      </c>
      <c r="C25" s="156">
        <f>Inputs!D$129</f>
        <v/>
      </c>
      <c r="D25" s="120" t="inlineStr">
        <is>
          <t>رسوم إصدار القرض</t>
        </is>
      </c>
    </row>
    <row r="26" ht="15" customHeight="1" s="91">
      <c r="B26" s="153" t="inlineStr">
        <is>
          <t>Grace Period (years)</t>
        </is>
      </c>
      <c r="C26" s="159">
        <f>Inputs!D$128</f>
        <v/>
      </c>
      <c r="D26" s="120" t="inlineStr">
        <is>
          <t>فترة السماح</t>
        </is>
      </c>
    </row>
    <row r="27" ht="15" customHeight="1" s="91">
      <c r="B27" s="90" t="inlineStr">
        <is>
          <t>Repay Years  سنوات السداد</t>
        </is>
      </c>
      <c r="C27" s="90">
        <f>C24-C26</f>
        <v/>
      </c>
    </row>
    <row r="28" ht="15" customHeight="1" s="91">
      <c r="A28" s="152" t="inlineStr">
        <is>
          <t>4  FEES  الرسوم</t>
        </is>
      </c>
      <c r="B28" s="152" t="inlineStr">
        <is>
          <t>Debt Tranche Mode  نمط الشرائح</t>
        </is>
      </c>
      <c r="C28" s="152">
        <f>Inputs!D$144</f>
        <v/>
      </c>
      <c r="D28" s="152" t="n"/>
      <c r="E28" s="152" t="n"/>
      <c r="F28" s="152" t="n"/>
      <c r="G28" s="152" t="n"/>
      <c r="H28" s="152" t="n"/>
      <c r="I28" s="152" t="n"/>
      <c r="J28" s="152" t="n"/>
      <c r="K28" s="152" t="n"/>
      <c r="L28" s="152" t="n"/>
      <c r="M28" s="152" t="n"/>
      <c r="N28" s="152" t="n"/>
      <c r="O28" s="152" t="n"/>
      <c r="P28" s="152" t="n"/>
      <c r="Q28" s="152" t="n"/>
      <c r="R28" s="152" t="n"/>
      <c r="S28" s="152" t="n"/>
      <c r="T28" s="152" t="n"/>
      <c r="U28" s="152" t="n"/>
      <c r="V28" s="152" t="n"/>
      <c r="W28" s="152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  <c r="AK28" s="152" t="n"/>
      <c r="AL28" s="152" t="n"/>
      <c r="AM28" s="152" t="n"/>
      <c r="AN28" s="152" t="n"/>
      <c r="AO28" s="152" t="n"/>
      <c r="AP28" s="152" t="n"/>
      <c r="AQ28" s="152" t="n"/>
      <c r="AR28" s="152" t="n"/>
      <c r="AS28" s="152" t="n"/>
      <c r="AT28" s="152" t="n"/>
      <c r="AU28" s="152" t="n"/>
      <c r="AV28" s="152" t="n"/>
      <c r="AW28" s="152" t="n"/>
      <c r="AX28" s="152" t="n"/>
      <c r="AY28" s="152" t="n"/>
      <c r="AZ28" s="152" t="n"/>
      <c r="BA28" s="152" t="n"/>
      <c r="BB28" s="152" t="n"/>
    </row>
    <row r="29" ht="15" customHeight="1" s="91">
      <c r="B29" s="153" t="inlineStr">
        <is>
          <t>Subscription Fee</t>
        </is>
      </c>
      <c r="C29" s="156">
        <f>Inputs!D$130</f>
        <v/>
      </c>
      <c r="D29" s="120" t="inlineStr">
        <is>
          <t>رسوم الاشتراك</t>
        </is>
      </c>
    </row>
    <row r="30" ht="15" customHeight="1" s="91">
      <c r="B30" s="153" t="inlineStr">
        <is>
          <t>Annual Management Fee</t>
        </is>
      </c>
      <c r="C30" s="156">
        <f>Inputs!D$131</f>
        <v/>
      </c>
      <c r="D30" s="120" t="inlineStr">
        <is>
          <t>رسوم الإدارة السنوية</t>
        </is>
      </c>
    </row>
    <row r="31" ht="15" customHeight="1" s="91">
      <c r="B31" s="153" t="inlineStr">
        <is>
          <t>Annual Custody Fee (Fixed SAR)</t>
        </is>
      </c>
      <c r="C31" s="155">
        <f>Inputs!D$132</f>
        <v/>
      </c>
      <c r="D31" s="120" t="inlineStr">
        <is>
          <t>رسوم الحفظ السنوية</t>
        </is>
      </c>
    </row>
    <row r="32" ht="15" customHeight="1" s="91">
      <c r="B32" s="153" t="inlineStr">
        <is>
          <t>Developer Fee % (of CAPEX)</t>
        </is>
      </c>
      <c r="C32" s="156">
        <f>Inputs!D$133</f>
        <v/>
      </c>
      <c r="D32" s="120" t="inlineStr">
        <is>
          <t>رسوم المطور</t>
        </is>
      </c>
    </row>
    <row r="33" ht="15" customHeight="1" s="91">
      <c r="B33" s="153" t="inlineStr">
        <is>
          <t>Structuring Fee</t>
        </is>
      </c>
      <c r="C33" s="156">
        <f>Inputs!D$134</f>
        <v/>
      </c>
      <c r="D33" s="120" t="inlineStr">
        <is>
          <t>رسوم الهيكلة</t>
        </is>
      </c>
    </row>
    <row r="35" ht="15" customHeight="1" s="91">
      <c r="A35" s="152" t="inlineStr">
        <is>
          <t>5  WATERFALL  شلال التوزيعات</t>
        </is>
      </c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2" t="n"/>
      <c r="S35" s="152" t="n"/>
      <c r="T35" s="152" t="n"/>
      <c r="U35" s="152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  <c r="AP35" s="152" t="n"/>
      <c r="AQ35" s="152" t="n"/>
      <c r="AR35" s="152" t="n"/>
      <c r="AS35" s="152" t="n"/>
      <c r="AT35" s="152" t="n"/>
      <c r="AU35" s="152" t="n"/>
      <c r="AV35" s="152" t="n"/>
      <c r="AW35" s="152" t="n"/>
      <c r="AX35" s="152" t="n"/>
      <c r="AY35" s="152" t="n"/>
      <c r="AZ35" s="152" t="n"/>
      <c r="BA35" s="152" t="n"/>
      <c r="BB35" s="152" t="n"/>
    </row>
    <row r="36" ht="15" customHeight="1" s="91">
      <c r="B36" s="153" t="inlineStr">
        <is>
          <t>Preferred Return %</t>
        </is>
      </c>
      <c r="C36" s="156">
        <f>Inputs!D$135</f>
        <v/>
      </c>
      <c r="D36" s="120" t="inlineStr">
        <is>
          <t>العائد التفضيلي</t>
        </is>
      </c>
    </row>
    <row r="37" ht="15" customHeight="1" s="91">
      <c r="B37" s="153" t="inlineStr">
        <is>
          <t>GP Catch-up? (Y/N)</t>
        </is>
      </c>
      <c r="C37" s="112">
        <f>Inputs!D$136</f>
        <v/>
      </c>
      <c r="D37" s="120" t="inlineStr">
        <is>
          <t>تعويض المطور</t>
        </is>
      </c>
    </row>
    <row r="38" ht="15" customHeight="1" s="91">
      <c r="B38" s="153" t="inlineStr">
        <is>
          <t>Carry %</t>
        </is>
      </c>
      <c r="C38" s="156">
        <f>Inputs!D$137</f>
        <v/>
      </c>
      <c r="D38" s="120" t="inlineStr">
        <is>
          <t>نسبة الأداء</t>
        </is>
      </c>
    </row>
    <row r="40" ht="15" customHeight="1" s="91">
      <c r="A40" s="152" t="inlineStr">
        <is>
          <t>6  EXIT  التخارج</t>
        </is>
      </c>
      <c r="B40" s="152" t="n"/>
      <c r="C40" s="152" t="n"/>
      <c r="D40" s="152" t="n"/>
      <c r="E40" s="152" t="n"/>
      <c r="F40" s="152" t="n"/>
      <c r="G40" s="152" t="n"/>
      <c r="H40" s="152" t="n"/>
      <c r="I40" s="152" t="n"/>
      <c r="J40" s="152" t="n"/>
      <c r="K40" s="152" t="n"/>
      <c r="L40" s="152" t="n"/>
      <c r="M40" s="152" t="n"/>
      <c r="N40" s="152" t="n"/>
      <c r="O40" s="152" t="n"/>
      <c r="P40" s="152" t="n"/>
      <c r="Q40" s="152" t="n"/>
      <c r="R40" s="152" t="n"/>
      <c r="S40" s="152" t="n"/>
      <c r="T40" s="152" t="n"/>
      <c r="U40" s="152" t="n"/>
      <c r="V40" s="152" t="n"/>
      <c r="W40" s="152" t="n"/>
      <c r="X40" s="152" t="n"/>
      <c r="Y40" s="152" t="n"/>
      <c r="Z40" s="152" t="n"/>
      <c r="AA40" s="15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  <c r="AK40" s="152" t="n"/>
      <c r="AL40" s="152" t="n"/>
      <c r="AM40" s="152" t="n"/>
      <c r="AN40" s="152" t="n"/>
      <c r="AO40" s="152" t="n"/>
      <c r="AP40" s="152" t="n"/>
      <c r="AQ40" s="152" t="n"/>
      <c r="AR40" s="152" t="n"/>
      <c r="AS40" s="152" t="n"/>
      <c r="AT40" s="152" t="n"/>
      <c r="AU40" s="152" t="n"/>
      <c r="AV40" s="152" t="n"/>
      <c r="AW40" s="152" t="n"/>
      <c r="AX40" s="152" t="n"/>
      <c r="AY40" s="152" t="n"/>
      <c r="AZ40" s="152" t="n"/>
      <c r="BA40" s="152" t="n"/>
      <c r="BB40" s="152" t="n"/>
    </row>
    <row r="41" ht="15" customHeight="1" s="91">
      <c r="B41" s="153" t="inlineStr">
        <is>
          <t>Exit Year</t>
        </is>
      </c>
      <c r="C41" s="159">
        <f>Inputs!D$138</f>
        <v/>
      </c>
      <c r="D41" s="120" t="inlineStr">
        <is>
          <t>سنة التخارج</t>
        </is>
      </c>
    </row>
    <row r="42" ht="15" customHeight="1" s="91">
      <c r="B42" s="153" t="inlineStr">
        <is>
          <t>Exit Multiple (x rent)</t>
        </is>
      </c>
      <c r="C42" s="162">
        <f>Inputs!D$139</f>
        <v/>
      </c>
      <c r="D42" s="120" t="inlineStr">
        <is>
          <t>مضاعف الإيجار</t>
        </is>
      </c>
    </row>
    <row r="43" ht="15" customHeight="1" s="91">
      <c r="B43" s="153" t="inlineStr">
        <is>
          <t>Exit Cost %</t>
        </is>
      </c>
      <c r="C43" s="156">
        <f>Inputs!D$140</f>
        <v/>
      </c>
      <c r="D43" s="120" t="inlineStr">
        <is>
          <t>تكلفة التخارج</t>
        </is>
      </c>
    </row>
    <row r="44" ht="15" customHeight="1" s="91">
      <c r="B44" s="90" t="inlineStr">
        <is>
          <t>Exit Method</t>
        </is>
      </c>
      <c r="C44" s="90">
        <f>Inputs!$C$107</f>
        <v/>
      </c>
      <c r="D44" s="163" t="inlineStr">
        <is>
          <t>طريقة التخارج</t>
        </is>
      </c>
    </row>
    <row r="45" ht="15" customHeight="1" s="91">
      <c r="A45" s="152" t="inlineStr">
        <is>
          <t>7  PROJECT CASH FLOWS (Unlevered)  تدفقات المشروع</t>
        </is>
      </c>
      <c r="B45" s="152" t="inlineStr">
        <is>
          <t>Exit Cap Rate %</t>
        </is>
      </c>
      <c r="C45" s="164">
        <f>Inputs!D$141</f>
        <v/>
      </c>
      <c r="D45" s="152" t="inlineStr">
        <is>
          <t>معدل الرسملة</t>
        </is>
      </c>
      <c r="E45" s="152" t="n"/>
      <c r="F45" s="152" t="n"/>
      <c r="G45" s="152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2" t="n"/>
      <c r="S45" s="152" t="n"/>
      <c r="T45" s="152" t="n"/>
      <c r="U45" s="152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  <c r="AK45" s="152" t="n"/>
      <c r="AL45" s="152" t="n"/>
      <c r="AM45" s="152" t="n"/>
      <c r="AN45" s="152" t="n"/>
      <c r="AO45" s="152" t="n"/>
      <c r="AP45" s="152" t="n"/>
      <c r="AQ45" s="152" t="n"/>
      <c r="AR45" s="152" t="n"/>
      <c r="AS45" s="152" t="n"/>
      <c r="AT45" s="152" t="n"/>
      <c r="AU45" s="152" t="n"/>
      <c r="AV45" s="152" t="n"/>
      <c r="AW45" s="152" t="n"/>
      <c r="AX45" s="152" t="n"/>
      <c r="AY45" s="152" t="n"/>
      <c r="AZ45" s="152" t="n"/>
      <c r="BA45" s="152" t="n"/>
      <c r="BB45" s="152" t="n"/>
    </row>
    <row r="46" ht="15" customHeight="1" s="91">
      <c r="C46" s="165" t="inlineStr">
        <is>
          <t>Unit</t>
        </is>
      </c>
      <c r="D46" s="165" t="inlineStr">
        <is>
          <t>Total</t>
        </is>
      </c>
      <c r="E46" s="166">
        <f>Inputs!$C$7+0</f>
        <v/>
      </c>
      <c r="F46" s="166">
        <f>Inputs!$C$7+1</f>
        <v/>
      </c>
      <c r="G46" s="166">
        <f>Inputs!$C$7+2</f>
        <v/>
      </c>
      <c r="H46" s="166">
        <f>Inputs!$C$7+3</f>
        <v/>
      </c>
      <c r="I46" s="166">
        <f>Inputs!$C$7+4</f>
        <v/>
      </c>
      <c r="J46" s="166">
        <f>Inputs!$C$7+5</f>
        <v/>
      </c>
      <c r="K46" s="166">
        <f>Inputs!$C$7+6</f>
        <v/>
      </c>
      <c r="L46" s="166">
        <f>Inputs!$C$7+7</f>
        <v/>
      </c>
      <c r="M46" s="166">
        <f>Inputs!$C$7+8</f>
        <v/>
      </c>
      <c r="N46" s="166">
        <f>Inputs!$C$7+9</f>
        <v/>
      </c>
      <c r="O46" s="166">
        <f>Inputs!$C$7+10</f>
        <v/>
      </c>
      <c r="P46" s="166">
        <f>Inputs!$C$7+11</f>
        <v/>
      </c>
      <c r="Q46" s="166">
        <f>Inputs!$C$7+12</f>
        <v/>
      </c>
      <c r="R46" s="166">
        <f>Inputs!$C$7+13</f>
        <v/>
      </c>
      <c r="S46" s="166">
        <f>Inputs!$C$7+14</f>
        <v/>
      </c>
      <c r="T46" s="166">
        <f>Inputs!$C$7+15</f>
        <v/>
      </c>
      <c r="U46" s="166">
        <f>Inputs!$C$7+16</f>
        <v/>
      </c>
      <c r="V46" s="166">
        <f>Inputs!$C$7+17</f>
        <v/>
      </c>
      <c r="W46" s="166">
        <f>Inputs!$C$7+18</f>
        <v/>
      </c>
      <c r="X46" s="166">
        <f>Inputs!$C$7+19</f>
        <v/>
      </c>
      <c r="Y46" s="166">
        <f>Inputs!$C$7+20</f>
        <v/>
      </c>
      <c r="Z46" s="166">
        <f>Inputs!$C$7+21</f>
        <v/>
      </c>
      <c r="AA46" s="166">
        <f>Inputs!$C$7+22</f>
        <v/>
      </c>
      <c r="AB46" s="166">
        <f>Inputs!$C$7+23</f>
        <v/>
      </c>
      <c r="AC46" s="166">
        <f>Inputs!$C$7+24</f>
        <v/>
      </c>
      <c r="AD46" s="166">
        <f>Inputs!$C$7+25</f>
        <v/>
      </c>
      <c r="AE46" s="166">
        <f>Inputs!$C$7+26</f>
        <v/>
      </c>
      <c r="AF46" s="166">
        <f>Inputs!$C$7+27</f>
        <v/>
      </c>
      <c r="AG46" s="166">
        <f>Inputs!$C$7+28</f>
        <v/>
      </c>
      <c r="AH46" s="166">
        <f>Inputs!$C$7+29</f>
        <v/>
      </c>
      <c r="AI46" s="166">
        <f>Inputs!$C$7+30</f>
        <v/>
      </c>
      <c r="AJ46" s="166">
        <f>Inputs!$C$7+31</f>
        <v/>
      </c>
      <c r="AK46" s="166">
        <f>Inputs!$C$7+32</f>
        <v/>
      </c>
      <c r="AL46" s="166">
        <f>Inputs!$C$7+33</f>
        <v/>
      </c>
      <c r="AM46" s="166">
        <f>Inputs!$C$7+34</f>
        <v/>
      </c>
      <c r="AN46" s="166">
        <f>Inputs!$C$7+35</f>
        <v/>
      </c>
      <c r="AO46" s="166">
        <f>Inputs!$C$7+36</f>
        <v/>
      </c>
      <c r="AP46" s="166">
        <f>Inputs!$C$7+37</f>
        <v/>
      </c>
      <c r="AQ46" s="166">
        <f>Inputs!$C$7+38</f>
        <v/>
      </c>
      <c r="AR46" s="166">
        <f>Inputs!$C$7+39</f>
        <v/>
      </c>
      <c r="AS46" s="166">
        <f>Inputs!$C$7+40</f>
        <v/>
      </c>
      <c r="AT46" s="166">
        <f>Inputs!$C$7+41</f>
        <v/>
      </c>
      <c r="AU46" s="166">
        <f>Inputs!$C$7+42</f>
        <v/>
      </c>
      <c r="AV46" s="166">
        <f>Inputs!$C$7+43</f>
        <v/>
      </c>
      <c r="AW46" s="166">
        <f>Inputs!$C$7+44</f>
        <v/>
      </c>
      <c r="AX46" s="166">
        <f>Inputs!$C$7+45</f>
        <v/>
      </c>
      <c r="AY46" s="166">
        <f>Inputs!$C$7+46</f>
        <v/>
      </c>
      <c r="AZ46" s="166">
        <f>Inputs!$C$7+47</f>
        <v/>
      </c>
      <c r="BA46" s="166">
        <f>Inputs!$C$7+48</f>
        <v/>
      </c>
      <c r="BB46" s="166">
        <f>Inputs!$C$7+49</f>
        <v/>
      </c>
    </row>
    <row r="47" ht="15" customHeight="1" s="91">
      <c r="B47" s="153" t="inlineStr">
        <is>
          <t>Rental Income  الإيرادات</t>
        </is>
      </c>
      <c r="C47" s="153" t="inlineStr">
        <is>
          <t>SAR</t>
        </is>
      </c>
      <c r="D47" s="157">
        <f>SUM(E47:BB47)</f>
        <v/>
      </c>
      <c r="E47" s="155">
        <f>CashFlow!D12</f>
        <v/>
      </c>
      <c r="F47" s="155">
        <f>CashFlow!E12</f>
        <v/>
      </c>
      <c r="G47" s="155">
        <f>CashFlow!F12</f>
        <v/>
      </c>
      <c r="H47" s="155">
        <f>CashFlow!G12</f>
        <v/>
      </c>
      <c r="I47" s="155">
        <f>CashFlow!H12</f>
        <v/>
      </c>
      <c r="J47" s="155">
        <f>CashFlow!I12</f>
        <v/>
      </c>
      <c r="K47" s="155">
        <f>CashFlow!J12</f>
        <v/>
      </c>
      <c r="L47" s="155">
        <f>CashFlow!K12</f>
        <v/>
      </c>
      <c r="M47" s="155">
        <f>CashFlow!L12</f>
        <v/>
      </c>
      <c r="N47" s="155">
        <f>CashFlow!M12</f>
        <v/>
      </c>
      <c r="O47" s="155">
        <f>CashFlow!N12</f>
        <v/>
      </c>
      <c r="P47" s="155">
        <f>CashFlow!O12</f>
        <v/>
      </c>
      <c r="Q47" s="155">
        <f>CashFlow!P12</f>
        <v/>
      </c>
      <c r="R47" s="155">
        <f>CashFlow!Q12</f>
        <v/>
      </c>
      <c r="S47" s="155">
        <f>CashFlow!R12</f>
        <v/>
      </c>
      <c r="T47" s="155">
        <f>CashFlow!S12</f>
        <v/>
      </c>
      <c r="U47" s="155">
        <f>CashFlow!T12</f>
        <v/>
      </c>
      <c r="V47" s="155">
        <f>CashFlow!U12</f>
        <v/>
      </c>
      <c r="W47" s="155">
        <f>CashFlow!V12</f>
        <v/>
      </c>
      <c r="X47" s="155">
        <f>CashFlow!W12</f>
        <v/>
      </c>
      <c r="Y47" s="155">
        <f>CashFlow!X12</f>
        <v/>
      </c>
      <c r="Z47" s="155">
        <f>CashFlow!Y12</f>
        <v/>
      </c>
      <c r="AA47" s="155">
        <f>CashFlow!Z12</f>
        <v/>
      </c>
      <c r="AB47" s="155">
        <f>CashFlow!AA12</f>
        <v/>
      </c>
      <c r="AC47" s="155">
        <f>CashFlow!AB12</f>
        <v/>
      </c>
      <c r="AD47" s="155">
        <f>CashFlow!AC12</f>
        <v/>
      </c>
      <c r="AE47" s="155">
        <f>CashFlow!AD12</f>
        <v/>
      </c>
      <c r="AF47" s="155">
        <f>CashFlow!AE12</f>
        <v/>
      </c>
      <c r="AG47" s="155">
        <f>CashFlow!AF12</f>
        <v/>
      </c>
      <c r="AH47" s="155">
        <f>CashFlow!AG12</f>
        <v/>
      </c>
      <c r="AI47" s="155">
        <f>CashFlow!AH12</f>
        <v/>
      </c>
      <c r="AJ47" s="155">
        <f>CashFlow!AI12</f>
        <v/>
      </c>
      <c r="AK47" s="155">
        <f>CashFlow!AJ12</f>
        <v/>
      </c>
      <c r="AL47" s="155">
        <f>CashFlow!AK12</f>
        <v/>
      </c>
      <c r="AM47" s="155">
        <f>CashFlow!AL12</f>
        <v/>
      </c>
      <c r="AN47" s="155">
        <f>CashFlow!AM12</f>
        <v/>
      </c>
      <c r="AO47" s="155">
        <f>CashFlow!AN12</f>
        <v/>
      </c>
      <c r="AP47" s="155">
        <f>CashFlow!AO12</f>
        <v/>
      </c>
      <c r="AQ47" s="155">
        <f>CashFlow!AP12</f>
        <v/>
      </c>
      <c r="AR47" s="155">
        <f>CashFlow!AQ12</f>
        <v/>
      </c>
      <c r="AS47" s="155">
        <f>CashFlow!AR12</f>
        <v/>
      </c>
      <c r="AT47" s="155">
        <f>CashFlow!AS12</f>
        <v/>
      </c>
      <c r="AU47" s="155">
        <f>CashFlow!AT12</f>
        <v/>
      </c>
      <c r="AV47" s="155">
        <f>CashFlow!AU12</f>
        <v/>
      </c>
      <c r="AW47" s="155">
        <f>CashFlow!AV12</f>
        <v/>
      </c>
      <c r="AX47" s="155">
        <f>CashFlow!AW12</f>
        <v/>
      </c>
      <c r="AY47" s="155">
        <f>CashFlow!AX12</f>
        <v/>
      </c>
      <c r="AZ47" s="155">
        <f>CashFlow!AY12</f>
        <v/>
      </c>
      <c r="BA47" s="155">
        <f>CashFlow!AZ12</f>
        <v/>
      </c>
      <c r="BB47" s="155">
        <f>CashFlow!BA12</f>
        <v/>
      </c>
    </row>
    <row r="48" ht="15" customHeight="1" s="91">
      <c r="B48" s="153" t="inlineStr">
        <is>
          <t>Land Rent  إيجار الأرض</t>
        </is>
      </c>
      <c r="C48" s="153" t="inlineStr">
        <is>
          <t>SAR</t>
        </is>
      </c>
      <c r="D48" s="157">
        <f>SUM(E48:BB48)</f>
        <v/>
      </c>
      <c r="E48" s="155">
        <f>CashFlow!D13</f>
        <v/>
      </c>
      <c r="F48" s="155">
        <f>CashFlow!E13</f>
        <v/>
      </c>
      <c r="G48" s="155">
        <f>CashFlow!F13</f>
        <v/>
      </c>
      <c r="H48" s="155">
        <f>CashFlow!G13</f>
        <v/>
      </c>
      <c r="I48" s="155">
        <f>CashFlow!H13</f>
        <v/>
      </c>
      <c r="J48" s="155">
        <f>CashFlow!I13</f>
        <v/>
      </c>
      <c r="K48" s="155">
        <f>CashFlow!J13</f>
        <v/>
      </c>
      <c r="L48" s="155">
        <f>CashFlow!K13</f>
        <v/>
      </c>
      <c r="M48" s="155">
        <f>CashFlow!L13</f>
        <v/>
      </c>
      <c r="N48" s="155">
        <f>CashFlow!M13</f>
        <v/>
      </c>
      <c r="O48" s="155">
        <f>CashFlow!N13</f>
        <v/>
      </c>
      <c r="P48" s="155">
        <f>CashFlow!O13</f>
        <v/>
      </c>
      <c r="Q48" s="155">
        <f>CashFlow!P13</f>
        <v/>
      </c>
      <c r="R48" s="155">
        <f>CashFlow!Q13</f>
        <v/>
      </c>
      <c r="S48" s="155">
        <f>CashFlow!R13</f>
        <v/>
      </c>
      <c r="T48" s="155">
        <f>CashFlow!S13</f>
        <v/>
      </c>
      <c r="U48" s="155">
        <f>CashFlow!T13</f>
        <v/>
      </c>
      <c r="V48" s="155">
        <f>CashFlow!U13</f>
        <v/>
      </c>
      <c r="W48" s="155">
        <f>CashFlow!V13</f>
        <v/>
      </c>
      <c r="X48" s="155">
        <f>CashFlow!W13</f>
        <v/>
      </c>
      <c r="Y48" s="155">
        <f>CashFlow!X13</f>
        <v/>
      </c>
      <c r="Z48" s="155">
        <f>CashFlow!Y13</f>
        <v/>
      </c>
      <c r="AA48" s="155">
        <f>CashFlow!Z13</f>
        <v/>
      </c>
      <c r="AB48" s="155">
        <f>CashFlow!AA13</f>
        <v/>
      </c>
      <c r="AC48" s="155">
        <f>CashFlow!AB13</f>
        <v/>
      </c>
      <c r="AD48" s="155">
        <f>CashFlow!AC13</f>
        <v/>
      </c>
      <c r="AE48" s="155">
        <f>CashFlow!AD13</f>
        <v/>
      </c>
      <c r="AF48" s="155">
        <f>CashFlow!AE13</f>
        <v/>
      </c>
      <c r="AG48" s="155">
        <f>CashFlow!AF13</f>
        <v/>
      </c>
      <c r="AH48" s="155">
        <f>CashFlow!AG13</f>
        <v/>
      </c>
      <c r="AI48" s="155">
        <f>CashFlow!AH13</f>
        <v/>
      </c>
      <c r="AJ48" s="155">
        <f>CashFlow!AI13</f>
        <v/>
      </c>
      <c r="AK48" s="155">
        <f>CashFlow!AJ13</f>
        <v/>
      </c>
      <c r="AL48" s="155">
        <f>CashFlow!AK13</f>
        <v/>
      </c>
      <c r="AM48" s="155">
        <f>CashFlow!AL13</f>
        <v/>
      </c>
      <c r="AN48" s="155">
        <f>CashFlow!AM13</f>
        <v/>
      </c>
      <c r="AO48" s="155">
        <f>CashFlow!AN13</f>
        <v/>
      </c>
      <c r="AP48" s="155">
        <f>CashFlow!AO13</f>
        <v/>
      </c>
      <c r="AQ48" s="155">
        <f>CashFlow!AP13</f>
        <v/>
      </c>
      <c r="AR48" s="155">
        <f>CashFlow!AQ13</f>
        <v/>
      </c>
      <c r="AS48" s="155">
        <f>CashFlow!AR13</f>
        <v/>
      </c>
      <c r="AT48" s="155">
        <f>CashFlow!AS13</f>
        <v/>
      </c>
      <c r="AU48" s="155">
        <f>CashFlow!AT13</f>
        <v/>
      </c>
      <c r="AV48" s="155">
        <f>CashFlow!AU13</f>
        <v/>
      </c>
      <c r="AW48" s="155">
        <f>CashFlow!AV13</f>
        <v/>
      </c>
      <c r="AX48" s="155">
        <f>CashFlow!AW13</f>
        <v/>
      </c>
      <c r="AY48" s="155">
        <f>CashFlow!AX13</f>
        <v/>
      </c>
      <c r="AZ48" s="155">
        <f>CashFlow!AY13</f>
        <v/>
      </c>
      <c r="BA48" s="155">
        <f>CashFlow!AZ13</f>
        <v/>
      </c>
      <c r="BB48" s="155">
        <f>CashFlow!BA13</f>
        <v/>
      </c>
    </row>
    <row r="49" ht="15" customHeight="1" s="91">
      <c r="B49" s="153" t="inlineStr">
        <is>
          <t>Development CAPEX  تكاليف التطوير</t>
        </is>
      </c>
      <c r="C49" s="153" t="inlineStr">
        <is>
          <t>SAR</t>
        </is>
      </c>
      <c r="D49" s="157">
        <f>SUM(E49:BB49)</f>
        <v/>
      </c>
      <c r="E49" s="155">
        <f>CashFlow!D14</f>
        <v/>
      </c>
      <c r="F49" s="155">
        <f>CashFlow!E14</f>
        <v/>
      </c>
      <c r="G49" s="155">
        <f>CashFlow!F14</f>
        <v/>
      </c>
      <c r="H49" s="155">
        <f>CashFlow!G14</f>
        <v/>
      </c>
      <c r="I49" s="155">
        <f>CashFlow!H14</f>
        <v/>
      </c>
      <c r="J49" s="155">
        <f>CashFlow!I14</f>
        <v/>
      </c>
      <c r="K49" s="155">
        <f>CashFlow!J14</f>
        <v/>
      </c>
      <c r="L49" s="155">
        <f>CashFlow!K14</f>
        <v/>
      </c>
      <c r="M49" s="155">
        <f>CashFlow!L14</f>
        <v/>
      </c>
      <c r="N49" s="155">
        <f>CashFlow!M14</f>
        <v/>
      </c>
      <c r="O49" s="155">
        <f>CashFlow!N14</f>
        <v/>
      </c>
      <c r="P49" s="155">
        <f>CashFlow!O14</f>
        <v/>
      </c>
      <c r="Q49" s="155">
        <f>CashFlow!P14</f>
        <v/>
      </c>
      <c r="R49" s="155">
        <f>CashFlow!Q14</f>
        <v/>
      </c>
      <c r="S49" s="155">
        <f>CashFlow!R14</f>
        <v/>
      </c>
      <c r="T49" s="155">
        <f>CashFlow!S14</f>
        <v/>
      </c>
      <c r="U49" s="155">
        <f>CashFlow!T14</f>
        <v/>
      </c>
      <c r="V49" s="155">
        <f>CashFlow!U14</f>
        <v/>
      </c>
      <c r="W49" s="155">
        <f>CashFlow!V14</f>
        <v/>
      </c>
      <c r="X49" s="155">
        <f>CashFlow!W14</f>
        <v/>
      </c>
      <c r="Y49" s="155">
        <f>CashFlow!X14</f>
        <v/>
      </c>
      <c r="Z49" s="155">
        <f>CashFlow!Y14</f>
        <v/>
      </c>
      <c r="AA49" s="155">
        <f>CashFlow!Z14</f>
        <v/>
      </c>
      <c r="AB49" s="155">
        <f>CashFlow!AA14</f>
        <v/>
      </c>
      <c r="AC49" s="155">
        <f>CashFlow!AB14</f>
        <v/>
      </c>
      <c r="AD49" s="155">
        <f>CashFlow!AC14</f>
        <v/>
      </c>
      <c r="AE49" s="155">
        <f>CashFlow!AD14</f>
        <v/>
      </c>
      <c r="AF49" s="155">
        <f>CashFlow!AE14</f>
        <v/>
      </c>
      <c r="AG49" s="155">
        <f>CashFlow!AF14</f>
        <v/>
      </c>
      <c r="AH49" s="155">
        <f>CashFlow!AG14</f>
        <v/>
      </c>
      <c r="AI49" s="155">
        <f>CashFlow!AH14</f>
        <v/>
      </c>
      <c r="AJ49" s="155">
        <f>CashFlow!AI14</f>
        <v/>
      </c>
      <c r="AK49" s="155">
        <f>CashFlow!AJ14</f>
        <v/>
      </c>
      <c r="AL49" s="155">
        <f>CashFlow!AK14</f>
        <v/>
      </c>
      <c r="AM49" s="155">
        <f>CashFlow!AL14</f>
        <v/>
      </c>
      <c r="AN49" s="155">
        <f>CashFlow!AM14</f>
        <v/>
      </c>
      <c r="AO49" s="155">
        <f>CashFlow!AN14</f>
        <v/>
      </c>
      <c r="AP49" s="155">
        <f>CashFlow!AO14</f>
        <v/>
      </c>
      <c r="AQ49" s="155">
        <f>CashFlow!AP14</f>
        <v/>
      </c>
      <c r="AR49" s="155">
        <f>CashFlow!AQ14</f>
        <v/>
      </c>
      <c r="AS49" s="155">
        <f>CashFlow!AR14</f>
        <v/>
      </c>
      <c r="AT49" s="155">
        <f>CashFlow!AS14</f>
        <v/>
      </c>
      <c r="AU49" s="155">
        <f>CashFlow!AT14</f>
        <v/>
      </c>
      <c r="AV49" s="155">
        <f>CashFlow!AU14</f>
        <v/>
      </c>
      <c r="AW49" s="155">
        <f>CashFlow!AV14</f>
        <v/>
      </c>
      <c r="AX49" s="155">
        <f>CashFlow!AW14</f>
        <v/>
      </c>
      <c r="AY49" s="155">
        <f>CashFlow!AX14</f>
        <v/>
      </c>
      <c r="AZ49" s="155">
        <f>CashFlow!AY14</f>
        <v/>
      </c>
      <c r="BA49" s="155">
        <f>CashFlow!AZ14</f>
        <v/>
      </c>
      <c r="BB49" s="155">
        <f>CashFlow!BA14</f>
        <v/>
      </c>
    </row>
    <row r="50" ht="15" customHeight="1" s="91">
      <c r="B50" s="110" t="inlineStr">
        <is>
          <t>Net Project CF (Unlevered)</t>
        </is>
      </c>
      <c r="C50" s="153" t="inlineStr">
        <is>
          <t>SAR</t>
        </is>
      </c>
      <c r="D50" s="157">
        <f>SUM(E50:BB50)</f>
        <v/>
      </c>
      <c r="E50" s="157">
        <f>E47+E48+E49</f>
        <v/>
      </c>
      <c r="F50" s="157">
        <f>F47+F48+F49</f>
        <v/>
      </c>
      <c r="G50" s="157">
        <f>G47+G48+G49</f>
        <v/>
      </c>
      <c r="H50" s="157">
        <f>H47+H48+H49</f>
        <v/>
      </c>
      <c r="I50" s="157">
        <f>I47+I48+I49</f>
        <v/>
      </c>
      <c r="J50" s="157">
        <f>J47+J48+J49</f>
        <v/>
      </c>
      <c r="K50" s="157">
        <f>K47+K48+K49</f>
        <v/>
      </c>
      <c r="L50" s="157">
        <f>L47+L48+L49</f>
        <v/>
      </c>
      <c r="M50" s="157">
        <f>M47+M48+M49</f>
        <v/>
      </c>
      <c r="N50" s="157">
        <f>N47+N48+N49</f>
        <v/>
      </c>
      <c r="O50" s="157">
        <f>O47+O48+O49</f>
        <v/>
      </c>
      <c r="P50" s="157">
        <f>P47+P48+P49</f>
        <v/>
      </c>
      <c r="Q50" s="157">
        <f>Q47+Q48+Q49</f>
        <v/>
      </c>
      <c r="R50" s="157">
        <f>R47+R48+R49</f>
        <v/>
      </c>
      <c r="S50" s="157">
        <f>S47+S48+S49</f>
        <v/>
      </c>
      <c r="T50" s="157">
        <f>T47+T48+T49</f>
        <v/>
      </c>
      <c r="U50" s="157">
        <f>U47+U48+U49</f>
        <v/>
      </c>
      <c r="V50" s="157">
        <f>V47+V48+V49</f>
        <v/>
      </c>
      <c r="W50" s="157">
        <f>W47+W48+W49</f>
        <v/>
      </c>
      <c r="X50" s="157">
        <f>X47+X48+X49</f>
        <v/>
      </c>
      <c r="Y50" s="157">
        <f>Y47+Y48+Y49</f>
        <v/>
      </c>
      <c r="Z50" s="157">
        <f>Z47+Z48+Z49</f>
        <v/>
      </c>
      <c r="AA50" s="157">
        <f>AA47+AA48+AA49</f>
        <v/>
      </c>
      <c r="AB50" s="157">
        <f>AB47+AB48+AB49</f>
        <v/>
      </c>
      <c r="AC50" s="157">
        <f>AC47+AC48+AC49</f>
        <v/>
      </c>
      <c r="AD50" s="157">
        <f>AD47+AD48+AD49</f>
        <v/>
      </c>
      <c r="AE50" s="157">
        <f>AE47+AE48+AE49</f>
        <v/>
      </c>
      <c r="AF50" s="157">
        <f>AF47+AF48+AF49</f>
        <v/>
      </c>
      <c r="AG50" s="157">
        <f>AG47+AG48+AG49</f>
        <v/>
      </c>
      <c r="AH50" s="157">
        <f>AH47+AH48+AH49</f>
        <v/>
      </c>
      <c r="AI50" s="157">
        <f>AI47+AI48+AI49</f>
        <v/>
      </c>
      <c r="AJ50" s="157">
        <f>AJ47+AJ48+AJ49</f>
        <v/>
      </c>
      <c r="AK50" s="157">
        <f>AK47+AK48+AK49</f>
        <v/>
      </c>
      <c r="AL50" s="157">
        <f>AL47+AL48+AL49</f>
        <v/>
      </c>
      <c r="AM50" s="157">
        <f>AM47+AM48+AM49</f>
        <v/>
      </c>
      <c r="AN50" s="157">
        <f>AN47+AN48+AN49</f>
        <v/>
      </c>
      <c r="AO50" s="157">
        <f>AO47+AO48+AO49</f>
        <v/>
      </c>
      <c r="AP50" s="157">
        <f>AP47+AP48+AP49</f>
        <v/>
      </c>
      <c r="AQ50" s="157">
        <f>AQ47+AQ48+AQ49</f>
        <v/>
      </c>
      <c r="AR50" s="157">
        <f>AR47+AR48+AR49</f>
        <v/>
      </c>
      <c r="AS50" s="157">
        <f>AS47+AS48+AS49</f>
        <v/>
      </c>
      <c r="AT50" s="157">
        <f>AT47+AT48+AT49</f>
        <v/>
      </c>
      <c r="AU50" s="157">
        <f>AU47+AU48+AU49</f>
        <v/>
      </c>
      <c r="AV50" s="157">
        <f>AV47+AV48+AV49</f>
        <v/>
      </c>
      <c r="AW50" s="157">
        <f>AW47+AW48+AW49</f>
        <v/>
      </c>
      <c r="AX50" s="157">
        <f>AX47+AX48+AX49</f>
        <v/>
      </c>
      <c r="AY50" s="157">
        <f>AY47+AY48+AY49</f>
        <v/>
      </c>
      <c r="AZ50" s="157">
        <f>AZ47+AZ48+AZ49</f>
        <v/>
      </c>
      <c r="BA50" s="157">
        <f>BA47+BA48+BA49</f>
        <v/>
      </c>
      <c r="BB50" s="157">
        <f>BB47+BB48+BB49</f>
        <v/>
      </c>
    </row>
    <row r="51" ht="15" customHeight="1" s="91">
      <c r="B51" s="153" t="inlineStr">
        <is>
          <t>Exit Proceeds  حصيلة التخارج</t>
        </is>
      </c>
      <c r="C51" s="153" t="inlineStr">
        <is>
          <t>SAR</t>
        </is>
      </c>
      <c r="D51" s="157">
        <f>SUM(E51:BB51)</f>
        <v/>
      </c>
      <c r="E51" s="160">
        <f>IF(E$46=$C$41,IF($C$44="Sale",E47*$C$42*(1-$C$43),E47/$C$45*(1-$C$43)),0)</f>
        <v/>
      </c>
      <c r="F51" s="160">
        <f>IF(F$46=$C$41,IF($C$44="Sale",F47*$C$42*(1-$C$43),F47/$C$45*(1-$C$43)),0)</f>
        <v/>
      </c>
      <c r="G51" s="160">
        <f>IF(G$46=$C$41,IF($C$44="Sale",G47*$C$42*(1-$C$43),G47/$C$45*(1-$C$43)),0)</f>
        <v/>
      </c>
      <c r="H51" s="160">
        <f>IF(H$46=$C$41,IF($C$44="Sale",H47*$C$42*(1-$C$43),H47/$C$45*(1-$C$43)),0)</f>
        <v/>
      </c>
      <c r="I51" s="160">
        <f>IF(I$46=$C$41,IF($C$44="Sale",I47*$C$42*(1-$C$43),I47/$C$45*(1-$C$43)),0)</f>
        <v/>
      </c>
      <c r="J51" s="160">
        <f>IF(J$46=$C$41,IF($C$44="Sale",J47*$C$42*(1-$C$43),J47/$C$45*(1-$C$43)),0)</f>
        <v/>
      </c>
      <c r="K51" s="160">
        <f>IF(K$46=$C$41,IF($C$44="Sale",K47*$C$42*(1-$C$43),K47/$C$45*(1-$C$43)),0)</f>
        <v/>
      </c>
      <c r="L51" s="160">
        <f>IF(L$46=$C$41,IF($C$44="Sale",L47*$C$42*(1-$C$43),L47/$C$45*(1-$C$43)),0)</f>
        <v/>
      </c>
      <c r="M51" s="160">
        <f>IF(M$46=$C$41,IF($C$44="Sale",M47*$C$42*(1-$C$43),M47/$C$45*(1-$C$43)),0)</f>
        <v/>
      </c>
      <c r="N51" s="160">
        <f>IF(N$46=$C$41,IF($C$44="Sale",N47*$C$42*(1-$C$43),N47/$C$45*(1-$C$43)),0)</f>
        <v/>
      </c>
      <c r="O51" s="160">
        <f>IF(O$46=$C$41,IF($C$44="Sale",O47*$C$42*(1-$C$43),O47/$C$45*(1-$C$43)),0)</f>
        <v/>
      </c>
      <c r="P51" s="160">
        <f>IF(P$46=$C$41,IF($C$44="Sale",P47*$C$42*(1-$C$43),P47/$C$45*(1-$C$43)),0)</f>
        <v/>
      </c>
      <c r="Q51" s="160">
        <f>IF(Q$46=$C$41,IF($C$44="Sale",Q47*$C$42*(1-$C$43),Q47/$C$45*(1-$C$43)),0)</f>
        <v/>
      </c>
      <c r="R51" s="160">
        <f>IF(R$46=$C$41,IF($C$44="Sale",R47*$C$42*(1-$C$43),R47/$C$45*(1-$C$43)),0)</f>
        <v/>
      </c>
      <c r="S51" s="160">
        <f>IF(S$46=$C$41,IF($C$44="Sale",S47*$C$42*(1-$C$43),S47/$C$45*(1-$C$43)),0)</f>
        <v/>
      </c>
      <c r="T51" s="160">
        <f>IF(T$46=$C$41,IF($C$44="Sale",T47*$C$42*(1-$C$43),T47/$C$45*(1-$C$43)),0)</f>
        <v/>
      </c>
      <c r="U51" s="160">
        <f>IF(U$46=$C$41,IF($C$44="Sale",U47*$C$42*(1-$C$43),U47/$C$45*(1-$C$43)),0)</f>
        <v/>
      </c>
      <c r="V51" s="160">
        <f>IF(V$46=$C$41,IF($C$44="Sale",V47*$C$42*(1-$C$43),V47/$C$45*(1-$C$43)),0)</f>
        <v/>
      </c>
      <c r="W51" s="160">
        <f>IF(W$46=$C$41,IF($C$44="Sale",W47*$C$42*(1-$C$43),W47/$C$45*(1-$C$43)),0)</f>
        <v/>
      </c>
      <c r="X51" s="160">
        <f>IF(X$46=$C$41,IF($C$44="Sale",X47*$C$42*(1-$C$43),X47/$C$45*(1-$C$43)),0)</f>
        <v/>
      </c>
      <c r="Y51" s="160">
        <f>IF(Y$46=$C$41,IF($C$44="Sale",Y47*$C$42*(1-$C$43),Y47/$C$45*(1-$C$43)),0)</f>
        <v/>
      </c>
      <c r="Z51" s="160">
        <f>IF(Z$46=$C$41,IF($C$44="Sale",Z47*$C$42*(1-$C$43),Z47/$C$45*(1-$C$43)),0)</f>
        <v/>
      </c>
      <c r="AA51" s="160">
        <f>IF(AA$46=$C$41,IF($C$44="Sale",AA47*$C$42*(1-$C$43),AA47/$C$45*(1-$C$43)),0)</f>
        <v/>
      </c>
      <c r="AB51" s="160">
        <f>IF(AB$46=$C$41,IF($C$44="Sale",AB47*$C$42*(1-$C$43),AB47/$C$45*(1-$C$43)),0)</f>
        <v/>
      </c>
      <c r="AC51" s="160">
        <f>IF(AC$46=$C$41,IF($C$44="Sale",AC47*$C$42*(1-$C$43),AC47/$C$45*(1-$C$43)),0)</f>
        <v/>
      </c>
      <c r="AD51" s="160">
        <f>IF(AD$46=$C$41,IF($C$44="Sale",AD47*$C$42*(1-$C$43),AD47/$C$45*(1-$C$43)),0)</f>
        <v/>
      </c>
      <c r="AE51" s="160">
        <f>IF(AE$46=$C$41,IF($C$44="Sale",AE47*$C$42*(1-$C$43),AE47/$C$45*(1-$C$43)),0)</f>
        <v/>
      </c>
      <c r="AF51" s="160">
        <f>IF(AF$46=$C$41,IF($C$44="Sale",AF47*$C$42*(1-$C$43),AF47/$C$45*(1-$C$43)),0)</f>
        <v/>
      </c>
      <c r="AG51" s="160">
        <f>IF(AG$46=$C$41,IF($C$44="Sale",AG47*$C$42*(1-$C$43),AG47/$C$45*(1-$C$43)),0)</f>
        <v/>
      </c>
      <c r="AH51" s="160">
        <f>IF(AH$46=$C$41,IF($C$44="Sale",AH47*$C$42*(1-$C$43),AH47/$C$45*(1-$C$43)),0)</f>
        <v/>
      </c>
      <c r="AI51" s="160">
        <f>IF(AI$46=$C$41,IF($C$44="Sale",AI47*$C$42*(1-$C$43),AI47/$C$45*(1-$C$43)),0)</f>
        <v/>
      </c>
      <c r="AJ51" s="160">
        <f>IF(AJ$46=$C$41,IF($C$44="Sale",AJ47*$C$42*(1-$C$43),AJ47/$C$45*(1-$C$43)),0)</f>
        <v/>
      </c>
      <c r="AK51" s="160">
        <f>IF(AK$46=$C$41,IF($C$44="Sale",AK47*$C$42*(1-$C$43),AK47/$C$45*(1-$C$43)),0)</f>
        <v/>
      </c>
      <c r="AL51" s="160">
        <f>IF(AL$46=$C$41,IF($C$44="Sale",AL47*$C$42*(1-$C$43),AL47/$C$45*(1-$C$43)),0)</f>
        <v/>
      </c>
      <c r="AM51" s="160">
        <f>IF(AM$46=$C$41,IF($C$44="Sale",AM47*$C$42*(1-$C$43),AM47/$C$45*(1-$C$43)),0)</f>
        <v/>
      </c>
      <c r="AN51" s="160">
        <f>IF(AN$46=$C$41,IF($C$44="Sale",AN47*$C$42*(1-$C$43),AN47/$C$45*(1-$C$43)),0)</f>
        <v/>
      </c>
      <c r="AO51" s="160">
        <f>IF(AO$46=$C$41,IF($C$44="Sale",AO47*$C$42*(1-$C$43),AO47/$C$45*(1-$C$43)),0)</f>
        <v/>
      </c>
      <c r="AP51" s="160">
        <f>IF(AP$46=$C$41,IF($C$44="Sale",AP47*$C$42*(1-$C$43),AP47/$C$45*(1-$C$43)),0)</f>
        <v/>
      </c>
      <c r="AQ51" s="160">
        <f>IF(AQ$46=$C$41,IF($C$44="Sale",AQ47*$C$42*(1-$C$43),AQ47/$C$45*(1-$C$43)),0)</f>
        <v/>
      </c>
      <c r="AR51" s="160">
        <f>IF(AR$46=$C$41,IF($C$44="Sale",AR47*$C$42*(1-$C$43),AR47/$C$45*(1-$C$43)),0)</f>
        <v/>
      </c>
      <c r="AS51" s="160">
        <f>IF(AS$46=$C$41,IF($C$44="Sale",AS47*$C$42*(1-$C$43),AS47/$C$45*(1-$C$43)),0)</f>
        <v/>
      </c>
      <c r="AT51" s="160">
        <f>IF(AT$46=$C$41,IF($C$44="Sale",AT47*$C$42*(1-$C$43),AT47/$C$45*(1-$C$43)),0)</f>
        <v/>
      </c>
      <c r="AU51" s="160">
        <f>IF(AU$46=$C$41,IF($C$44="Sale",AU47*$C$42*(1-$C$43),AU47/$C$45*(1-$C$43)),0)</f>
        <v/>
      </c>
      <c r="AV51" s="160">
        <f>IF(AV$46=$C$41,IF($C$44="Sale",AV47*$C$42*(1-$C$43),AV47/$C$45*(1-$C$43)),0)</f>
        <v/>
      </c>
      <c r="AW51" s="160">
        <f>IF(AW$46=$C$41,IF($C$44="Sale",AW47*$C$42*(1-$C$43),AW47/$C$45*(1-$C$43)),0)</f>
        <v/>
      </c>
      <c r="AX51" s="160">
        <f>IF(AX$46=$C$41,IF($C$44="Sale",AX47*$C$42*(1-$C$43),AX47/$C$45*(1-$C$43)),0)</f>
        <v/>
      </c>
      <c r="AY51" s="160">
        <f>IF(AY$46=$C$41,IF($C$44="Sale",AY47*$C$42*(1-$C$43),AY47/$C$45*(1-$C$43)),0)</f>
        <v/>
      </c>
      <c r="AZ51" s="160">
        <f>IF(AZ$46=$C$41,IF($C$44="Sale",AZ47*$C$42*(1-$C$43),AZ47/$C$45*(1-$C$43)),0)</f>
        <v/>
      </c>
      <c r="BA51" s="160">
        <f>IF(BA$46=$C$41,IF($C$44="Sale",BA47*$C$42*(1-$C$43),BA47/$C$45*(1-$C$43)),0)</f>
        <v/>
      </c>
      <c r="BB51" s="160">
        <f>IF(BB$46=$C$41,IF($C$44="Sale",BB47*$C$42*(1-$C$43),BB47/$C$45*(1-$C$43)),0)</f>
        <v/>
      </c>
    </row>
    <row r="52" ht="15" customHeight="1" s="91">
      <c r="B52" s="153" t="inlineStr">
        <is>
          <t>Unlevered CF (incl. Exit)  التدفق شامل التخارج</t>
        </is>
      </c>
      <c r="C52" s="153" t="inlineStr">
        <is>
          <t>SAR</t>
        </is>
      </c>
      <c r="D52" s="157">
        <f>SUM(E52:BB52)</f>
        <v/>
      </c>
      <c r="E52" s="160">
        <f>IF(AND(E$46&gt;=$C$9,E$46&lt;=$C$41),E50+E51,0)</f>
        <v/>
      </c>
      <c r="F52" s="160">
        <f>IF(AND(F$46&gt;=$C$9,F$46&lt;=$C$41),F50+F51,0)</f>
        <v/>
      </c>
      <c r="G52" s="160">
        <f>IF(AND(G$46&gt;=$C$9,G$46&lt;=$C$41),G50+G51,0)</f>
        <v/>
      </c>
      <c r="H52" s="160">
        <f>IF(AND(H$46&gt;=$C$9,H$46&lt;=$C$41),H50+H51,0)</f>
        <v/>
      </c>
      <c r="I52" s="160">
        <f>IF(AND(I$46&gt;=$C$9,I$46&lt;=$C$41),I50+I51,0)</f>
        <v/>
      </c>
      <c r="J52" s="160">
        <f>IF(AND(J$46&gt;=$C$9,J$46&lt;=$C$41),J50+J51,0)</f>
        <v/>
      </c>
      <c r="K52" s="160">
        <f>IF(AND(K$46&gt;=$C$9,K$46&lt;=$C$41),K50+K51,0)</f>
        <v/>
      </c>
      <c r="L52" s="160">
        <f>IF(AND(L$46&gt;=$C$9,L$46&lt;=$C$41),L50+L51,0)</f>
        <v/>
      </c>
      <c r="M52" s="160">
        <f>IF(AND(M$46&gt;=$C$9,M$46&lt;=$C$41),M50+M51,0)</f>
        <v/>
      </c>
      <c r="N52" s="160">
        <f>IF(AND(N$46&gt;=$C$9,N$46&lt;=$C$41),N50+N51,0)</f>
        <v/>
      </c>
      <c r="O52" s="160">
        <f>IF(AND(O$46&gt;=$C$9,O$46&lt;=$C$41),O50+O51,0)</f>
        <v/>
      </c>
      <c r="P52" s="160">
        <f>IF(AND(P$46&gt;=$C$9,P$46&lt;=$C$41),P50+P51,0)</f>
        <v/>
      </c>
      <c r="Q52" s="160">
        <f>IF(AND(Q$46&gt;=$C$9,Q$46&lt;=$C$41),Q50+Q51,0)</f>
        <v/>
      </c>
      <c r="R52" s="160">
        <f>IF(AND(R$46&gt;=$C$9,R$46&lt;=$C$41),R50+R51,0)</f>
        <v/>
      </c>
      <c r="S52" s="160">
        <f>IF(AND(S$46&gt;=$C$9,S$46&lt;=$C$41),S50+S51,0)</f>
        <v/>
      </c>
      <c r="T52" s="160">
        <f>IF(AND(T$46&gt;=$C$9,T$46&lt;=$C$41),T50+T51,0)</f>
        <v/>
      </c>
      <c r="U52" s="160">
        <f>IF(AND(U$46&gt;=$C$9,U$46&lt;=$C$41),U50+U51,0)</f>
        <v/>
      </c>
      <c r="V52" s="160">
        <f>IF(AND(V$46&gt;=$C$9,V$46&lt;=$C$41),V50+V51,0)</f>
        <v/>
      </c>
      <c r="W52" s="160">
        <f>IF(AND(W$46&gt;=$C$9,W$46&lt;=$C$41),W50+W51,0)</f>
        <v/>
      </c>
      <c r="X52" s="160">
        <f>IF(AND(X$46&gt;=$C$9,X$46&lt;=$C$41),X50+X51,0)</f>
        <v/>
      </c>
      <c r="Y52" s="160">
        <f>IF(AND(Y$46&gt;=$C$9,Y$46&lt;=$C$41),Y50+Y51,0)</f>
        <v/>
      </c>
      <c r="Z52" s="160">
        <f>IF(AND(Z$46&gt;=$C$9,Z$46&lt;=$C$41),Z50+Z51,0)</f>
        <v/>
      </c>
      <c r="AA52" s="160">
        <f>IF(AND(AA$46&gt;=$C$9,AA$46&lt;=$C$41),AA50+AA51,0)</f>
        <v/>
      </c>
      <c r="AB52" s="160">
        <f>IF(AND(AB$46&gt;=$C$9,AB$46&lt;=$C$41),AB50+AB51,0)</f>
        <v/>
      </c>
      <c r="AC52" s="160">
        <f>IF(AND(AC$46&gt;=$C$9,AC$46&lt;=$C$41),AC50+AC51,0)</f>
        <v/>
      </c>
      <c r="AD52" s="160">
        <f>IF(AND(AD$46&gt;=$C$9,AD$46&lt;=$C$41),AD50+AD51,0)</f>
        <v/>
      </c>
      <c r="AE52" s="160">
        <f>IF(AND(AE$46&gt;=$C$9,AE$46&lt;=$C$41),AE50+AE51,0)</f>
        <v/>
      </c>
      <c r="AF52" s="160">
        <f>IF(AND(AF$46&gt;=$C$9,AF$46&lt;=$C$41),AF50+AF51,0)</f>
        <v/>
      </c>
      <c r="AG52" s="160">
        <f>IF(AND(AG$46&gt;=$C$9,AG$46&lt;=$C$41),AG50+AG51,0)</f>
        <v/>
      </c>
      <c r="AH52" s="160">
        <f>IF(AND(AH$46&gt;=$C$9,AH$46&lt;=$C$41),AH50+AH51,0)</f>
        <v/>
      </c>
      <c r="AI52" s="160">
        <f>IF(AND(AI$46&gt;=$C$9,AI$46&lt;=$C$41),AI50+AI51,0)</f>
        <v/>
      </c>
      <c r="AJ52" s="160">
        <f>IF(AND(AJ$46&gt;=$C$9,AJ$46&lt;=$C$41),AJ50+AJ51,0)</f>
        <v/>
      </c>
      <c r="AK52" s="160">
        <f>IF(AND(AK$46&gt;=$C$9,AK$46&lt;=$C$41),AK50+AK51,0)</f>
        <v/>
      </c>
      <c r="AL52" s="160">
        <f>IF(AND(AL$46&gt;=$C$9,AL$46&lt;=$C$41),AL50+AL51,0)</f>
        <v/>
      </c>
      <c r="AM52" s="160">
        <f>IF(AND(AM$46&gt;=$C$9,AM$46&lt;=$C$41),AM50+AM51,0)</f>
        <v/>
      </c>
      <c r="AN52" s="160">
        <f>IF(AND(AN$46&gt;=$C$9,AN$46&lt;=$C$41),AN50+AN51,0)</f>
        <v/>
      </c>
      <c r="AO52" s="160">
        <f>IF(AND(AO$46&gt;=$C$9,AO$46&lt;=$C$41),AO50+AO51,0)</f>
        <v/>
      </c>
      <c r="AP52" s="160">
        <f>IF(AND(AP$46&gt;=$C$9,AP$46&lt;=$C$41),AP50+AP51,0)</f>
        <v/>
      </c>
      <c r="AQ52" s="160">
        <f>IF(AND(AQ$46&gt;=$C$9,AQ$46&lt;=$C$41),AQ50+AQ51,0)</f>
        <v/>
      </c>
      <c r="AR52" s="160">
        <f>IF(AND(AR$46&gt;=$C$9,AR$46&lt;=$C$41),AR50+AR51,0)</f>
        <v/>
      </c>
      <c r="AS52" s="160">
        <f>IF(AND(AS$46&gt;=$C$9,AS$46&lt;=$C$41),AS50+AS51,0)</f>
        <v/>
      </c>
      <c r="AT52" s="160">
        <f>IF(AND(AT$46&gt;=$C$9,AT$46&lt;=$C$41),AT50+AT51,0)</f>
        <v/>
      </c>
      <c r="AU52" s="160">
        <f>IF(AND(AU$46&gt;=$C$9,AU$46&lt;=$C$41),AU50+AU51,0)</f>
        <v/>
      </c>
      <c r="AV52" s="160">
        <f>IF(AND(AV$46&gt;=$C$9,AV$46&lt;=$C$41),AV50+AV51,0)</f>
        <v/>
      </c>
      <c r="AW52" s="160">
        <f>IF(AND(AW$46&gt;=$C$9,AW$46&lt;=$C$41),AW50+AW51,0)</f>
        <v/>
      </c>
      <c r="AX52" s="160">
        <f>IF(AND(AX$46&gt;=$C$9,AX$46&lt;=$C$41),AX50+AX51,0)</f>
        <v/>
      </c>
      <c r="AY52" s="160">
        <f>IF(AND(AY$46&gt;=$C$9,AY$46&lt;=$C$41),AY50+AY51,0)</f>
        <v/>
      </c>
      <c r="AZ52" s="160">
        <f>IF(AND(AZ$46&gt;=$C$9,AZ$46&lt;=$C$41),AZ50+AZ51,0)</f>
        <v/>
      </c>
      <c r="BA52" s="160">
        <f>IF(AND(BA$46&gt;=$C$9,BA$46&lt;=$C$41),BA50+BA51,0)</f>
        <v/>
      </c>
      <c r="BB52" s="160">
        <f>IF(AND(BB$46&gt;=$C$9,BB$46&lt;=$C$41),BB50+BB51,0)</f>
        <v/>
      </c>
    </row>
    <row r="53">
      <c r="B53" t="inlineStr">
        <is>
          <t>(helper: single repay)</t>
        </is>
      </c>
      <c r="D53">
        <f>SUM(E53:BB53)</f>
        <v/>
      </c>
      <c r="E53">
        <f>IF(AND($C$22="Y",(E$46-$C$9+1)&gt;$C$26,E58&gt;0),-MIN(E58,$C$19/$C$27),0)</f>
        <v/>
      </c>
      <c r="F53">
        <f>IF(AND($C$22="Y",(F$46-$C$9+1)&gt;$C$26,F58&gt;0),-MIN(F58,$C$19/$C$27),0)</f>
        <v/>
      </c>
      <c r="G53">
        <f>IF(AND($C$22="Y",(G$46-$C$9+1)&gt;$C$26,G58&gt;0),-MIN(G58,$C$19/$C$27),0)</f>
        <v/>
      </c>
      <c r="H53">
        <f>IF(AND($C$22="Y",(H$46-$C$9+1)&gt;$C$26,H58&gt;0),-MIN(H58,$C$19/$C$27),0)</f>
        <v/>
      </c>
      <c r="I53">
        <f>IF(AND($C$22="Y",(I$46-$C$9+1)&gt;$C$26,I58&gt;0),-MIN(I58,$C$19/$C$27),0)</f>
        <v/>
      </c>
      <c r="J53">
        <f>IF(AND($C$22="Y",(J$46-$C$9+1)&gt;$C$26,J58&gt;0),-MIN(J58,$C$19/$C$27),0)</f>
        <v/>
      </c>
      <c r="K53">
        <f>IF(AND($C$22="Y",(K$46-$C$9+1)&gt;$C$26,K58&gt;0),-MIN(K58,$C$19/$C$27),0)</f>
        <v/>
      </c>
      <c r="L53">
        <f>IF(AND($C$22="Y",(L$46-$C$9+1)&gt;$C$26,L58&gt;0),-MIN(L58,$C$19/$C$27),0)</f>
        <v/>
      </c>
      <c r="M53">
        <f>IF(AND($C$22="Y",(M$46-$C$9+1)&gt;$C$26,M58&gt;0),-MIN(M58,$C$19/$C$27),0)</f>
        <v/>
      </c>
      <c r="N53">
        <f>IF(AND($C$22="Y",(N$46-$C$9+1)&gt;$C$26,N58&gt;0),-MIN(N58,$C$19/$C$27),0)</f>
        <v/>
      </c>
      <c r="O53">
        <f>IF(AND($C$22="Y",(O$46-$C$9+1)&gt;$C$26,O58&gt;0),-MIN(O58,$C$19/$C$27),0)</f>
        <v/>
      </c>
      <c r="P53">
        <f>IF(AND($C$22="Y",(P$46-$C$9+1)&gt;$C$26,P58&gt;0),-MIN(P58,$C$19/$C$27),0)</f>
        <v/>
      </c>
      <c r="Q53">
        <f>IF(AND($C$22="Y",(Q$46-$C$9+1)&gt;$C$26,Q58&gt;0),-MIN(Q58,$C$19/$C$27),0)</f>
        <v/>
      </c>
      <c r="R53">
        <f>IF(AND($C$22="Y",(R$46-$C$9+1)&gt;$C$26,R58&gt;0),-MIN(R58,$C$19/$C$27),0)</f>
        <v/>
      </c>
      <c r="S53">
        <f>IF(AND($C$22="Y",(S$46-$C$9+1)&gt;$C$26,S58&gt;0),-MIN(S58,$C$19/$C$27),0)</f>
        <v/>
      </c>
      <c r="T53">
        <f>IF(AND($C$22="Y",(T$46-$C$9+1)&gt;$C$26,T58&gt;0),-MIN(T58,$C$19/$C$27),0)</f>
        <v/>
      </c>
      <c r="U53">
        <f>IF(AND($C$22="Y",(U$46-$C$9+1)&gt;$C$26,U58&gt;0),-MIN(U58,$C$19/$C$27),0)</f>
        <v/>
      </c>
      <c r="V53">
        <f>IF(AND($C$22="Y",(V$46-$C$9+1)&gt;$C$26,V58&gt;0),-MIN(V58,$C$19/$C$27),0)</f>
        <v/>
      </c>
      <c r="W53">
        <f>IF(AND($C$22="Y",(W$46-$C$9+1)&gt;$C$26,W58&gt;0),-MIN(W58,$C$19/$C$27),0)</f>
        <v/>
      </c>
      <c r="X53">
        <f>IF(AND($C$22="Y",(X$46-$C$9+1)&gt;$C$26,X58&gt;0),-MIN(X58,$C$19/$C$27),0)</f>
        <v/>
      </c>
      <c r="Y53">
        <f>IF(AND($C$22="Y",(Y$46-$C$9+1)&gt;$C$26,Y58&gt;0),-MIN(Y58,$C$19/$C$27),0)</f>
        <v/>
      </c>
      <c r="Z53">
        <f>IF(AND($C$22="Y",(Z$46-$C$9+1)&gt;$C$26,Z58&gt;0),-MIN(Z58,$C$19/$C$27),0)</f>
        <v/>
      </c>
      <c r="AA53">
        <f>IF(AND($C$22="Y",(AA$46-$C$9+1)&gt;$C$26,AA58&gt;0),-MIN(AA58,$C$19/$C$27),0)</f>
        <v/>
      </c>
      <c r="AB53">
        <f>IF(AND($C$22="Y",(AB$46-$C$9+1)&gt;$C$26,AB58&gt;0),-MIN(AB58,$C$19/$C$27),0)</f>
        <v/>
      </c>
      <c r="AC53">
        <f>IF(AND($C$22="Y",(AC$46-$C$9+1)&gt;$C$26,AC58&gt;0),-MIN(AC58,$C$19/$C$27),0)</f>
        <v/>
      </c>
      <c r="AD53">
        <f>IF(AND($C$22="Y",(AD$46-$C$9+1)&gt;$C$26,AD58&gt;0),-MIN(AD58,$C$19/$C$27),0)</f>
        <v/>
      </c>
      <c r="AE53">
        <f>IF(AND($C$22="Y",(AE$46-$C$9+1)&gt;$C$26,AE58&gt;0),-MIN(AE58,$C$19/$C$27),0)</f>
        <v/>
      </c>
      <c r="AF53">
        <f>IF(AND($C$22="Y",(AF$46-$C$9+1)&gt;$C$26,AF58&gt;0),-MIN(AF58,$C$19/$C$27),0)</f>
        <v/>
      </c>
      <c r="AG53">
        <f>IF(AND($C$22="Y",(AG$46-$C$9+1)&gt;$C$26,AG58&gt;0),-MIN(AG58,$C$19/$C$27),0)</f>
        <v/>
      </c>
      <c r="AH53">
        <f>IF(AND($C$22="Y",(AH$46-$C$9+1)&gt;$C$26,AH58&gt;0),-MIN(AH58,$C$19/$C$27),0)</f>
        <v/>
      </c>
      <c r="AI53">
        <f>IF(AND($C$22="Y",(AI$46-$C$9+1)&gt;$C$26,AI58&gt;0),-MIN(AI58,$C$19/$C$27),0)</f>
        <v/>
      </c>
      <c r="AJ53">
        <f>IF(AND($C$22="Y",(AJ$46-$C$9+1)&gt;$C$26,AJ58&gt;0),-MIN(AJ58,$C$19/$C$27),0)</f>
        <v/>
      </c>
      <c r="AK53">
        <f>IF(AND($C$22="Y",(AK$46-$C$9+1)&gt;$C$26,AK58&gt;0),-MIN(AK58,$C$19/$C$27),0)</f>
        <v/>
      </c>
      <c r="AL53">
        <f>IF(AND($C$22="Y",(AL$46-$C$9+1)&gt;$C$26,AL58&gt;0),-MIN(AL58,$C$19/$C$27),0)</f>
        <v/>
      </c>
      <c r="AM53">
        <f>IF(AND($C$22="Y",(AM$46-$C$9+1)&gt;$C$26,AM58&gt;0),-MIN(AM58,$C$19/$C$27),0)</f>
        <v/>
      </c>
      <c r="AN53">
        <f>IF(AND($C$22="Y",(AN$46-$C$9+1)&gt;$C$26,AN58&gt;0),-MIN(AN58,$C$19/$C$27),0)</f>
        <v/>
      </c>
      <c r="AO53">
        <f>IF(AND($C$22="Y",(AO$46-$C$9+1)&gt;$C$26,AO58&gt;0),-MIN(AO58,$C$19/$C$27),0)</f>
        <v/>
      </c>
      <c r="AP53">
        <f>IF(AND($C$22="Y",(AP$46-$C$9+1)&gt;$C$26,AP58&gt;0),-MIN(AP58,$C$19/$C$27),0)</f>
        <v/>
      </c>
      <c r="AQ53">
        <f>IF(AND($C$22="Y",(AQ$46-$C$9+1)&gt;$C$26,AQ58&gt;0),-MIN(AQ58,$C$19/$C$27),0)</f>
        <v/>
      </c>
      <c r="AR53">
        <f>IF(AND($C$22="Y",(AR$46-$C$9+1)&gt;$C$26,AR58&gt;0),-MIN(AR58,$C$19/$C$27),0)</f>
        <v/>
      </c>
      <c r="AS53">
        <f>IF(AND($C$22="Y",(AS$46-$C$9+1)&gt;$C$26,AS58&gt;0),-MIN(AS58,$C$19/$C$27),0)</f>
        <v/>
      </c>
      <c r="AT53">
        <f>IF(AND($C$22="Y",(AT$46-$C$9+1)&gt;$C$26,AT58&gt;0),-MIN(AT58,$C$19/$C$27),0)</f>
        <v/>
      </c>
      <c r="AU53">
        <f>IF(AND($C$22="Y",(AU$46-$C$9+1)&gt;$C$26,AU58&gt;0),-MIN(AU58,$C$19/$C$27),0)</f>
        <v/>
      </c>
      <c r="AV53">
        <f>IF(AND($C$22="Y",(AV$46-$C$9+1)&gt;$C$26,AV58&gt;0),-MIN(AV58,$C$19/$C$27),0)</f>
        <v/>
      </c>
      <c r="AW53">
        <f>IF(AND($C$22="Y",(AW$46-$C$9+1)&gt;$C$26,AW58&gt;0),-MIN(AW58,$C$19/$C$27),0)</f>
        <v/>
      </c>
      <c r="AX53">
        <f>IF(AND($C$22="Y",(AX$46-$C$9+1)&gt;$C$26,AX58&gt;0),-MIN(AX58,$C$19/$C$27),0)</f>
        <v/>
      </c>
      <c r="AY53">
        <f>IF(AND($C$22="Y",(AY$46-$C$9+1)&gt;$C$26,AY58&gt;0),-MIN(AY58,$C$19/$C$27),0)</f>
        <v/>
      </c>
      <c r="AZ53">
        <f>IF(AND($C$22="Y",(AZ$46-$C$9+1)&gt;$C$26,AZ58&gt;0),-MIN(AZ58,$C$19/$C$27),0)</f>
        <v/>
      </c>
      <c r="BA53">
        <f>IF(AND($C$22="Y",(BA$46-$C$9+1)&gt;$C$26,BA58&gt;0),-MIN(BA58,$C$19/$C$27),0)</f>
        <v/>
      </c>
      <c r="BB53">
        <f>IF(AND($C$22="Y",(BB$46-$C$9+1)&gt;$C$26,BB58&gt;0),-MIN(BB58,$C$19/$C$27),0)</f>
        <v/>
      </c>
    </row>
    <row r="54" ht="15" customHeight="1" s="91">
      <c r="A54" s="152" t="inlineStr">
        <is>
          <t>8  FUND CASH FLOW (Levered)  تدفقات الصندوق الممولة</t>
        </is>
      </c>
      <c r="B54" s="152" t="inlineStr">
        <is>
          <t>(helper: perDraw repay)</t>
        </is>
      </c>
      <c r="C54" s="152" t="n"/>
      <c r="D54" s="152">
        <f>SUM(E54:BB54)</f>
        <v/>
      </c>
      <c r="E54" s="152">
        <f>-E140</f>
        <v/>
      </c>
      <c r="F54" s="152">
        <f>-F140</f>
        <v/>
      </c>
      <c r="G54" s="152">
        <f>-G140</f>
        <v/>
      </c>
      <c r="H54" s="152">
        <f>-H140</f>
        <v/>
      </c>
      <c r="I54" s="152">
        <f>-I140</f>
        <v/>
      </c>
      <c r="J54" s="152">
        <f>-J140</f>
        <v/>
      </c>
      <c r="K54" s="152">
        <f>-K140</f>
        <v/>
      </c>
      <c r="L54" s="152">
        <f>-L140</f>
        <v/>
      </c>
      <c r="M54" s="152">
        <f>-M140</f>
        <v/>
      </c>
      <c r="N54" s="152">
        <f>-N140</f>
        <v/>
      </c>
      <c r="O54" s="152">
        <f>-O140</f>
        <v/>
      </c>
      <c r="P54" s="152">
        <f>-P140</f>
        <v/>
      </c>
      <c r="Q54" s="152">
        <f>-Q140</f>
        <v/>
      </c>
      <c r="R54" s="152">
        <f>-R140</f>
        <v/>
      </c>
      <c r="S54" s="152">
        <f>-S140</f>
        <v/>
      </c>
      <c r="T54" s="152">
        <f>-T140</f>
        <v/>
      </c>
      <c r="U54" s="152">
        <f>-U140</f>
        <v/>
      </c>
      <c r="V54" s="152">
        <f>-V140</f>
        <v/>
      </c>
      <c r="W54" s="152">
        <f>-W140</f>
        <v/>
      </c>
      <c r="X54" s="152">
        <f>-X140</f>
        <v/>
      </c>
      <c r="Y54" s="152">
        <f>-Y140</f>
        <v/>
      </c>
      <c r="Z54" s="152">
        <f>-Z140</f>
        <v/>
      </c>
      <c r="AA54" s="152">
        <f>-AA140</f>
        <v/>
      </c>
      <c r="AB54" s="152">
        <f>-AB140</f>
        <v/>
      </c>
      <c r="AC54" s="152">
        <f>-AC140</f>
        <v/>
      </c>
      <c r="AD54" s="152">
        <f>-AD140</f>
        <v/>
      </c>
      <c r="AE54" s="152">
        <f>-AE140</f>
        <v/>
      </c>
      <c r="AF54" s="152">
        <f>-AF140</f>
        <v/>
      </c>
      <c r="AG54" s="152">
        <f>-AG140</f>
        <v/>
      </c>
      <c r="AH54" s="152">
        <f>-AH140</f>
        <v/>
      </c>
      <c r="AI54" s="152">
        <f>-AI140</f>
        <v/>
      </c>
      <c r="AJ54" s="152">
        <f>-AJ140</f>
        <v/>
      </c>
      <c r="AK54" s="152">
        <f>-AK140</f>
        <v/>
      </c>
      <c r="AL54" s="152">
        <f>-AL140</f>
        <v/>
      </c>
      <c r="AM54" s="152">
        <f>-AM140</f>
        <v/>
      </c>
      <c r="AN54" s="152">
        <f>-AN140</f>
        <v/>
      </c>
      <c r="AO54" s="152">
        <f>-AO140</f>
        <v/>
      </c>
      <c r="AP54" s="152">
        <f>-AP140</f>
        <v/>
      </c>
      <c r="AQ54" s="152">
        <f>-AQ140</f>
        <v/>
      </c>
      <c r="AR54" s="152">
        <f>-AR140</f>
        <v/>
      </c>
      <c r="AS54" s="152">
        <f>-AS140</f>
        <v/>
      </c>
      <c r="AT54" s="152">
        <f>-AT140</f>
        <v/>
      </c>
      <c r="AU54" s="152">
        <f>-AU140</f>
        <v/>
      </c>
      <c r="AV54" s="152">
        <f>-AV140</f>
        <v/>
      </c>
      <c r="AW54" s="152">
        <f>-AW140</f>
        <v/>
      </c>
      <c r="AX54" s="152">
        <f>-AX140</f>
        <v/>
      </c>
      <c r="AY54" s="152">
        <f>-AY140</f>
        <v/>
      </c>
      <c r="AZ54" s="152">
        <f>-AZ140</f>
        <v/>
      </c>
      <c r="BA54" s="152">
        <f>-BA140</f>
        <v/>
      </c>
      <c r="BB54" s="152">
        <f>-BB140</f>
        <v/>
      </c>
    </row>
    <row r="55" ht="15" customHeight="1" s="91">
      <c r="C55" s="165" t="inlineStr">
        <is>
          <t>Unit</t>
        </is>
      </c>
      <c r="D55" s="165" t="inlineStr">
        <is>
          <t>Total</t>
        </is>
      </c>
      <c r="E55" s="166">
        <f>E$46</f>
        <v/>
      </c>
      <c r="F55" s="166">
        <f>F$46</f>
        <v/>
      </c>
      <c r="G55" s="166">
        <f>G$46</f>
        <v/>
      </c>
      <c r="H55" s="166">
        <f>H$46</f>
        <v/>
      </c>
      <c r="I55" s="166">
        <f>I$46</f>
        <v/>
      </c>
      <c r="J55" s="166">
        <f>J$46</f>
        <v/>
      </c>
      <c r="K55" s="166">
        <f>K$46</f>
        <v/>
      </c>
      <c r="L55" s="166">
        <f>L$46</f>
        <v/>
      </c>
      <c r="M55" s="166">
        <f>M$46</f>
        <v/>
      </c>
      <c r="N55" s="166">
        <f>N$46</f>
        <v/>
      </c>
      <c r="O55" s="166">
        <f>O$46</f>
        <v/>
      </c>
      <c r="P55" s="166">
        <f>P$46</f>
        <v/>
      </c>
      <c r="Q55" s="166">
        <f>Q$46</f>
        <v/>
      </c>
      <c r="R55" s="166">
        <f>R$46</f>
        <v/>
      </c>
      <c r="S55" s="166">
        <f>S$46</f>
        <v/>
      </c>
      <c r="T55" s="166">
        <f>T$46</f>
        <v/>
      </c>
      <c r="U55" s="166">
        <f>U$46</f>
        <v/>
      </c>
      <c r="V55" s="166">
        <f>V$46</f>
        <v/>
      </c>
      <c r="W55" s="166">
        <f>W$46</f>
        <v/>
      </c>
      <c r="X55" s="166">
        <f>X$46</f>
        <v/>
      </c>
      <c r="Y55" s="166">
        <f>Y$46</f>
        <v/>
      </c>
      <c r="Z55" s="166">
        <f>Z$46</f>
        <v/>
      </c>
      <c r="AA55" s="166">
        <f>AA$46</f>
        <v/>
      </c>
      <c r="AB55" s="166">
        <f>AB$46</f>
        <v/>
      </c>
      <c r="AC55" s="166">
        <f>AC$46</f>
        <v/>
      </c>
      <c r="AD55" s="166">
        <f>AD$46</f>
        <v/>
      </c>
      <c r="AE55" s="166">
        <f>AE$46</f>
        <v/>
      </c>
      <c r="AF55" s="166">
        <f>AF$46</f>
        <v/>
      </c>
      <c r="AG55" s="166">
        <f>AG$46</f>
        <v/>
      </c>
      <c r="AH55" s="166">
        <f>AH$46</f>
        <v/>
      </c>
      <c r="AI55" s="166">
        <f>AI$46</f>
        <v/>
      </c>
      <c r="AJ55" s="166">
        <f>AJ$46</f>
        <v/>
      </c>
      <c r="AK55" s="166">
        <f>AK$46</f>
        <v/>
      </c>
      <c r="AL55" s="166">
        <f>AL$46</f>
        <v/>
      </c>
      <c r="AM55" s="166">
        <f>AM$46</f>
        <v/>
      </c>
      <c r="AN55" s="166">
        <f>AN$46</f>
        <v/>
      </c>
      <c r="AO55" s="166">
        <f>AO$46</f>
        <v/>
      </c>
      <c r="AP55" s="166">
        <f>AP$46</f>
        <v/>
      </c>
      <c r="AQ55" s="166">
        <f>AQ$46</f>
        <v/>
      </c>
      <c r="AR55" s="166">
        <f>AR$46</f>
        <v/>
      </c>
      <c r="AS55" s="166">
        <f>AS$46</f>
        <v/>
      </c>
      <c r="AT55" s="166">
        <f>AT$46</f>
        <v/>
      </c>
      <c r="AU55" s="166">
        <f>AU$46</f>
        <v/>
      </c>
      <c r="AV55" s="166">
        <f>AV$46</f>
        <v/>
      </c>
      <c r="AW55" s="166">
        <f>AW$46</f>
        <v/>
      </c>
      <c r="AX55" s="166">
        <f>AX$46</f>
        <v/>
      </c>
      <c r="AY55" s="166">
        <f>AY$46</f>
        <v/>
      </c>
      <c r="AZ55" s="166">
        <f>AZ$46</f>
        <v/>
      </c>
      <c r="BA55" s="166">
        <f>BA$46</f>
        <v/>
      </c>
      <c r="BB55" s="166">
        <f>BB$46</f>
        <v/>
      </c>
    </row>
    <row r="56" ht="15" customHeight="1" s="91">
      <c r="B56" s="153" t="inlineStr">
        <is>
          <t>Equity Calls  سحب رأس المال</t>
        </is>
      </c>
      <c r="C56" s="153" t="inlineStr">
        <is>
          <t>SAR</t>
        </is>
      </c>
      <c r="D56" s="157">
        <f>SUM(E56:BB56)</f>
        <v/>
      </c>
      <c r="E56" s="160">
        <f>IF(AND(E49&lt;0,E$46&gt;=$C$9,E$46&lt;=$C$41),ABS(E49/$D$49)*$C$14,0)+E70</f>
        <v/>
      </c>
      <c r="F56" s="160">
        <f>IF(AND(F49&lt;0,F$46&gt;=$C$9,F$46&lt;=$C$41),ABS(F49/$D$49)*$C$14,0)+F70</f>
        <v/>
      </c>
      <c r="G56" s="160">
        <f>IF(AND(G49&lt;0,G$46&gt;=$C$9,G$46&lt;=$C$41),ABS(G49/$D$49)*$C$14,0)+G70</f>
        <v/>
      </c>
      <c r="H56" s="160">
        <f>IF(AND(H49&lt;0,H$46&gt;=$C$9,H$46&lt;=$C$41),ABS(H49/$D$49)*$C$14,0)+H70</f>
        <v/>
      </c>
      <c r="I56" s="160">
        <f>IF(AND(I49&lt;0,I$46&gt;=$C$9,I$46&lt;=$C$41),ABS(I49/$D$49)*$C$14,0)+I70</f>
        <v/>
      </c>
      <c r="J56" s="160">
        <f>IF(AND(J49&lt;0,J$46&gt;=$C$9,J$46&lt;=$C$41),ABS(J49/$D$49)*$C$14,0)+J70</f>
        <v/>
      </c>
      <c r="K56" s="160">
        <f>IF(AND(K49&lt;0,K$46&gt;=$C$9,K$46&lt;=$C$41),ABS(K49/$D$49)*$C$14,0)+K70</f>
        <v/>
      </c>
      <c r="L56" s="160">
        <f>IF(AND(L49&lt;0,L$46&gt;=$C$9,L$46&lt;=$C$41),ABS(L49/$D$49)*$C$14,0)+L70</f>
        <v/>
      </c>
      <c r="M56" s="160">
        <f>IF(AND(M49&lt;0,M$46&gt;=$C$9,M$46&lt;=$C$41),ABS(M49/$D$49)*$C$14,0)+M70</f>
        <v/>
      </c>
      <c r="N56" s="160">
        <f>IF(AND(N49&lt;0,N$46&gt;=$C$9,N$46&lt;=$C$41),ABS(N49/$D$49)*$C$14,0)+N70</f>
        <v/>
      </c>
      <c r="O56" s="160">
        <f>IF(AND(O49&lt;0,O$46&gt;=$C$9,O$46&lt;=$C$41),ABS(O49/$D$49)*$C$14,0)+O70</f>
        <v/>
      </c>
      <c r="P56" s="160">
        <f>IF(AND(P49&lt;0,P$46&gt;=$C$9,P$46&lt;=$C$41),ABS(P49/$D$49)*$C$14,0)+P70</f>
        <v/>
      </c>
      <c r="Q56" s="160">
        <f>IF(AND(Q49&lt;0,Q$46&gt;=$C$9,Q$46&lt;=$C$41),ABS(Q49/$D$49)*$C$14,0)+Q70</f>
        <v/>
      </c>
      <c r="R56" s="160">
        <f>IF(AND(R49&lt;0,R$46&gt;=$C$9,R$46&lt;=$C$41),ABS(R49/$D$49)*$C$14,0)+R70</f>
        <v/>
      </c>
      <c r="S56" s="160">
        <f>IF(AND(S49&lt;0,S$46&gt;=$C$9,S$46&lt;=$C$41),ABS(S49/$D$49)*$C$14,0)+S70</f>
        <v/>
      </c>
      <c r="T56" s="160">
        <f>IF(AND(T49&lt;0,T$46&gt;=$C$9,T$46&lt;=$C$41),ABS(T49/$D$49)*$C$14,0)+T70</f>
        <v/>
      </c>
      <c r="U56" s="160">
        <f>IF(AND(U49&lt;0,U$46&gt;=$C$9,U$46&lt;=$C$41),ABS(U49/$D$49)*$C$14,0)+U70</f>
        <v/>
      </c>
      <c r="V56" s="160">
        <f>IF(AND(V49&lt;0,V$46&gt;=$C$9,V$46&lt;=$C$41),ABS(V49/$D$49)*$C$14,0)+V70</f>
        <v/>
      </c>
      <c r="W56" s="160">
        <f>IF(AND(W49&lt;0,W$46&gt;=$C$9,W$46&lt;=$C$41),ABS(W49/$D$49)*$C$14,0)+W70</f>
        <v/>
      </c>
      <c r="X56" s="160">
        <f>IF(AND(X49&lt;0,X$46&gt;=$C$9,X$46&lt;=$C$41),ABS(X49/$D$49)*$C$14,0)+X70</f>
        <v/>
      </c>
      <c r="Y56" s="160">
        <f>IF(AND(Y49&lt;0,Y$46&gt;=$C$9,Y$46&lt;=$C$41),ABS(Y49/$D$49)*$C$14,0)+Y70</f>
        <v/>
      </c>
      <c r="Z56" s="160">
        <f>IF(AND(Z49&lt;0,Z$46&gt;=$C$9,Z$46&lt;=$C$41),ABS(Z49/$D$49)*$C$14,0)+Z70</f>
        <v/>
      </c>
      <c r="AA56" s="160">
        <f>IF(AND(AA49&lt;0,AA$46&gt;=$C$9,AA$46&lt;=$C$41),ABS(AA49/$D$49)*$C$14,0)+AA70</f>
        <v/>
      </c>
      <c r="AB56" s="160">
        <f>IF(AND(AB49&lt;0,AB$46&gt;=$C$9,AB$46&lt;=$C$41),ABS(AB49/$D$49)*$C$14,0)+AB70</f>
        <v/>
      </c>
      <c r="AC56" s="160">
        <f>IF(AND(AC49&lt;0,AC$46&gt;=$C$9,AC$46&lt;=$C$41),ABS(AC49/$D$49)*$C$14,0)+AC70</f>
        <v/>
      </c>
      <c r="AD56" s="160">
        <f>IF(AND(AD49&lt;0,AD$46&gt;=$C$9,AD$46&lt;=$C$41),ABS(AD49/$D$49)*$C$14,0)+AD70</f>
        <v/>
      </c>
      <c r="AE56" s="160">
        <f>IF(AND(AE49&lt;0,AE$46&gt;=$C$9,AE$46&lt;=$C$41),ABS(AE49/$D$49)*$C$14,0)+AE70</f>
        <v/>
      </c>
      <c r="AF56" s="160">
        <f>IF(AND(AF49&lt;0,AF$46&gt;=$C$9,AF$46&lt;=$C$41),ABS(AF49/$D$49)*$C$14,0)+AF70</f>
        <v/>
      </c>
      <c r="AG56" s="160">
        <f>IF(AND(AG49&lt;0,AG$46&gt;=$C$9,AG$46&lt;=$C$41),ABS(AG49/$D$49)*$C$14,0)+AG70</f>
        <v/>
      </c>
      <c r="AH56" s="160">
        <f>IF(AND(AH49&lt;0,AH$46&gt;=$C$9,AH$46&lt;=$C$41),ABS(AH49/$D$49)*$C$14,0)+AH70</f>
        <v/>
      </c>
      <c r="AI56" s="160">
        <f>IF(AND(AI49&lt;0,AI$46&gt;=$C$9,AI$46&lt;=$C$41),ABS(AI49/$D$49)*$C$14,0)+AI70</f>
        <v/>
      </c>
      <c r="AJ56" s="160">
        <f>IF(AND(AJ49&lt;0,AJ$46&gt;=$C$9,AJ$46&lt;=$C$41),ABS(AJ49/$D$49)*$C$14,0)+AJ70</f>
        <v/>
      </c>
      <c r="AK56" s="160">
        <f>IF(AND(AK49&lt;0,AK$46&gt;=$C$9,AK$46&lt;=$C$41),ABS(AK49/$D$49)*$C$14,0)+AK70</f>
        <v/>
      </c>
      <c r="AL56" s="160">
        <f>IF(AND(AL49&lt;0,AL$46&gt;=$C$9,AL$46&lt;=$C$41),ABS(AL49/$D$49)*$C$14,0)+AL70</f>
        <v/>
      </c>
      <c r="AM56" s="160">
        <f>IF(AND(AM49&lt;0,AM$46&gt;=$C$9,AM$46&lt;=$C$41),ABS(AM49/$D$49)*$C$14,0)+AM70</f>
        <v/>
      </c>
      <c r="AN56" s="160">
        <f>IF(AND(AN49&lt;0,AN$46&gt;=$C$9,AN$46&lt;=$C$41),ABS(AN49/$D$49)*$C$14,0)+AN70</f>
        <v/>
      </c>
      <c r="AO56" s="160">
        <f>IF(AND(AO49&lt;0,AO$46&gt;=$C$9,AO$46&lt;=$C$41),ABS(AO49/$D$49)*$C$14,0)+AO70</f>
        <v/>
      </c>
      <c r="AP56" s="160">
        <f>IF(AND(AP49&lt;0,AP$46&gt;=$C$9,AP$46&lt;=$C$41),ABS(AP49/$D$49)*$C$14,0)+AP70</f>
        <v/>
      </c>
      <c r="AQ56" s="160">
        <f>IF(AND(AQ49&lt;0,AQ$46&gt;=$C$9,AQ$46&lt;=$C$41),ABS(AQ49/$D$49)*$C$14,0)+AQ70</f>
        <v/>
      </c>
      <c r="AR56" s="160">
        <f>IF(AND(AR49&lt;0,AR$46&gt;=$C$9,AR$46&lt;=$C$41),ABS(AR49/$D$49)*$C$14,0)+AR70</f>
        <v/>
      </c>
      <c r="AS56" s="160">
        <f>IF(AND(AS49&lt;0,AS$46&gt;=$C$9,AS$46&lt;=$C$41),ABS(AS49/$D$49)*$C$14,0)+AS70</f>
        <v/>
      </c>
      <c r="AT56" s="160">
        <f>IF(AND(AT49&lt;0,AT$46&gt;=$C$9,AT$46&lt;=$C$41),ABS(AT49/$D$49)*$C$14,0)+AT70</f>
        <v/>
      </c>
      <c r="AU56" s="160">
        <f>IF(AND(AU49&lt;0,AU$46&gt;=$C$9,AU$46&lt;=$C$41),ABS(AU49/$D$49)*$C$14,0)+AU70</f>
        <v/>
      </c>
      <c r="AV56" s="160">
        <f>IF(AND(AV49&lt;0,AV$46&gt;=$C$9,AV$46&lt;=$C$41),ABS(AV49/$D$49)*$C$14,0)+AV70</f>
        <v/>
      </c>
      <c r="AW56" s="160">
        <f>IF(AND(AW49&lt;0,AW$46&gt;=$C$9,AW$46&lt;=$C$41),ABS(AW49/$D$49)*$C$14,0)+AW70</f>
        <v/>
      </c>
      <c r="AX56" s="160">
        <f>IF(AND(AX49&lt;0,AX$46&gt;=$C$9,AX$46&lt;=$C$41),ABS(AX49/$D$49)*$C$14,0)+AX70</f>
        <v/>
      </c>
      <c r="AY56" s="160">
        <f>IF(AND(AY49&lt;0,AY$46&gt;=$C$9,AY$46&lt;=$C$41),ABS(AY49/$D$49)*$C$14,0)+AY70</f>
        <v/>
      </c>
      <c r="AZ56" s="160">
        <f>IF(AND(AZ49&lt;0,AZ$46&gt;=$C$9,AZ$46&lt;=$C$41),ABS(AZ49/$D$49)*$C$14,0)+AZ70</f>
        <v/>
      </c>
      <c r="BA56" s="160">
        <f>IF(AND(BA49&lt;0,BA$46&gt;=$C$9,BA$46&lt;=$C$41),ABS(BA49/$D$49)*$C$14,0)+BA70</f>
        <v/>
      </c>
      <c r="BB56" s="160">
        <f>IF(AND(BB49&lt;0,BB$46&gt;=$C$9,BB$46&lt;=$C$41),ABS(BB49/$D$49)*$C$14,0)+BB70</f>
        <v/>
      </c>
    </row>
    <row r="57" ht="15" customHeight="1" s="91">
      <c r="B57" s="153" t="inlineStr">
        <is>
          <t>Debt Drawdown  سحب القرض</t>
        </is>
      </c>
      <c r="C57" s="153" t="inlineStr">
        <is>
          <t>SAR</t>
        </is>
      </c>
      <c r="D57" s="157">
        <f>SUM(E57:BB57)</f>
        <v/>
      </c>
      <c r="E57" s="160">
        <f>IF(AND($C$22="Y",E49&lt;0,E$46&gt;=$C$9,E$46&lt;=$C$41),MIN(ABS(E49/$D$49)*$C$19,MAX(0,$C$19-0)),0)</f>
        <v/>
      </c>
      <c r="F57" s="160">
        <f>IF(AND($C$22="Y",F49&lt;0,F$46&gt;=$C$9,F$46&lt;=$C$41),MIN(ABS(F49/$D$49)*$C$19,MAX(0,$C$19-E60)),0)</f>
        <v/>
      </c>
      <c r="G57" s="160">
        <f>IF(AND($C$22="Y",G49&lt;0,G$46&gt;=$C$9,G$46&lt;=$C$41),MIN(ABS(G49/$D$49)*$C$19,MAX(0,$C$19-F60)),0)</f>
        <v/>
      </c>
      <c r="H57" s="160">
        <f>IF(AND($C$22="Y",H49&lt;0,H$46&gt;=$C$9,H$46&lt;=$C$41),MIN(ABS(H49/$D$49)*$C$19,MAX(0,$C$19-G60)),0)</f>
        <v/>
      </c>
      <c r="I57" s="160">
        <f>IF(AND($C$22="Y",I49&lt;0,I$46&gt;=$C$9,I$46&lt;=$C$41),MIN(ABS(I49/$D$49)*$C$19,MAX(0,$C$19-H60)),0)</f>
        <v/>
      </c>
      <c r="J57" s="160">
        <f>IF(AND($C$22="Y",J49&lt;0,J$46&gt;=$C$9,J$46&lt;=$C$41),MIN(ABS(J49/$D$49)*$C$19,MAX(0,$C$19-I60)),0)</f>
        <v/>
      </c>
      <c r="K57" s="160">
        <f>IF(AND($C$22="Y",K49&lt;0,K$46&gt;=$C$9,K$46&lt;=$C$41),MIN(ABS(K49/$D$49)*$C$19,MAX(0,$C$19-J60)),0)</f>
        <v/>
      </c>
      <c r="L57" s="160">
        <f>IF(AND($C$22="Y",L49&lt;0,L$46&gt;=$C$9,L$46&lt;=$C$41),MIN(ABS(L49/$D$49)*$C$19,MAX(0,$C$19-K60)),0)</f>
        <v/>
      </c>
      <c r="M57" s="160">
        <f>IF(AND($C$22="Y",M49&lt;0,M$46&gt;=$C$9,M$46&lt;=$C$41),MIN(ABS(M49/$D$49)*$C$19,MAX(0,$C$19-L60)),0)</f>
        <v/>
      </c>
      <c r="N57" s="160">
        <f>IF(AND($C$22="Y",N49&lt;0,N$46&gt;=$C$9,N$46&lt;=$C$41),MIN(ABS(N49/$D$49)*$C$19,MAX(0,$C$19-M60)),0)</f>
        <v/>
      </c>
      <c r="O57" s="160">
        <f>IF(AND($C$22="Y",O49&lt;0,O$46&gt;=$C$9,O$46&lt;=$C$41),MIN(ABS(O49/$D$49)*$C$19,MAX(0,$C$19-N60)),0)</f>
        <v/>
      </c>
      <c r="P57" s="160">
        <f>IF(AND($C$22="Y",P49&lt;0,P$46&gt;=$C$9,P$46&lt;=$C$41),MIN(ABS(P49/$D$49)*$C$19,MAX(0,$C$19-O60)),0)</f>
        <v/>
      </c>
      <c r="Q57" s="160">
        <f>IF(AND($C$22="Y",Q49&lt;0,Q$46&gt;=$C$9,Q$46&lt;=$C$41),MIN(ABS(Q49/$D$49)*$C$19,MAX(0,$C$19-P60)),0)</f>
        <v/>
      </c>
      <c r="R57" s="160">
        <f>IF(AND($C$22="Y",R49&lt;0,R$46&gt;=$C$9,R$46&lt;=$C$41),MIN(ABS(R49/$D$49)*$C$19,MAX(0,$C$19-Q60)),0)</f>
        <v/>
      </c>
      <c r="S57" s="160">
        <f>IF(AND($C$22="Y",S49&lt;0,S$46&gt;=$C$9,S$46&lt;=$C$41),MIN(ABS(S49/$D$49)*$C$19,MAX(0,$C$19-R60)),0)</f>
        <v/>
      </c>
      <c r="T57" s="160">
        <f>IF(AND($C$22="Y",T49&lt;0,T$46&gt;=$C$9,T$46&lt;=$C$41),MIN(ABS(T49/$D$49)*$C$19,MAX(0,$C$19-S60)),0)</f>
        <v/>
      </c>
      <c r="U57" s="160">
        <f>IF(AND($C$22="Y",U49&lt;0,U$46&gt;=$C$9,U$46&lt;=$C$41),MIN(ABS(U49/$D$49)*$C$19,MAX(0,$C$19-T60)),0)</f>
        <v/>
      </c>
      <c r="V57" s="160">
        <f>IF(AND($C$22="Y",V49&lt;0,V$46&gt;=$C$9,V$46&lt;=$C$41),MIN(ABS(V49/$D$49)*$C$19,MAX(0,$C$19-U60)),0)</f>
        <v/>
      </c>
      <c r="W57" s="160">
        <f>IF(AND($C$22="Y",W49&lt;0,W$46&gt;=$C$9,W$46&lt;=$C$41),MIN(ABS(W49/$D$49)*$C$19,MAX(0,$C$19-V60)),0)</f>
        <v/>
      </c>
      <c r="X57" s="160">
        <f>IF(AND($C$22="Y",X49&lt;0,X$46&gt;=$C$9,X$46&lt;=$C$41),MIN(ABS(X49/$D$49)*$C$19,MAX(0,$C$19-W60)),0)</f>
        <v/>
      </c>
      <c r="Y57" s="160">
        <f>IF(AND($C$22="Y",Y49&lt;0,Y$46&gt;=$C$9,Y$46&lt;=$C$41),MIN(ABS(Y49/$D$49)*$C$19,MAX(0,$C$19-X60)),0)</f>
        <v/>
      </c>
      <c r="Z57" s="160">
        <f>IF(AND($C$22="Y",Z49&lt;0,Z$46&gt;=$C$9,Z$46&lt;=$C$41),MIN(ABS(Z49/$D$49)*$C$19,MAX(0,$C$19-Y60)),0)</f>
        <v/>
      </c>
      <c r="AA57" s="160">
        <f>IF(AND($C$22="Y",AA49&lt;0,AA$46&gt;=$C$9,AA$46&lt;=$C$41),MIN(ABS(AA49/$D$49)*$C$19,MAX(0,$C$19-Z60)),0)</f>
        <v/>
      </c>
      <c r="AB57" s="160">
        <f>IF(AND($C$22="Y",AB49&lt;0,AB$46&gt;=$C$9,AB$46&lt;=$C$41),MIN(ABS(AB49/$D$49)*$C$19,MAX(0,$C$19-AA60)),0)</f>
        <v/>
      </c>
      <c r="AC57" s="160">
        <f>IF(AND($C$22="Y",AC49&lt;0,AC$46&gt;=$C$9,AC$46&lt;=$C$41),MIN(ABS(AC49/$D$49)*$C$19,MAX(0,$C$19-AB60)),0)</f>
        <v/>
      </c>
      <c r="AD57" s="160">
        <f>IF(AND($C$22="Y",AD49&lt;0,AD$46&gt;=$C$9,AD$46&lt;=$C$41),MIN(ABS(AD49/$D$49)*$C$19,MAX(0,$C$19-AC60)),0)</f>
        <v/>
      </c>
      <c r="AE57" s="160">
        <f>IF(AND($C$22="Y",AE49&lt;0,AE$46&gt;=$C$9,AE$46&lt;=$C$41),MIN(ABS(AE49/$D$49)*$C$19,MAX(0,$C$19-AD60)),0)</f>
        <v/>
      </c>
      <c r="AF57" s="160">
        <f>IF(AND($C$22="Y",AF49&lt;0,AF$46&gt;=$C$9,AF$46&lt;=$C$41),MIN(ABS(AF49/$D$49)*$C$19,MAX(0,$C$19-AE60)),0)</f>
        <v/>
      </c>
      <c r="AG57" s="160">
        <f>IF(AND($C$22="Y",AG49&lt;0,AG$46&gt;=$C$9,AG$46&lt;=$C$41),MIN(ABS(AG49/$D$49)*$C$19,MAX(0,$C$19-AF60)),0)</f>
        <v/>
      </c>
      <c r="AH57" s="160">
        <f>IF(AND($C$22="Y",AH49&lt;0,AH$46&gt;=$C$9,AH$46&lt;=$C$41),MIN(ABS(AH49/$D$49)*$C$19,MAX(0,$C$19-AG60)),0)</f>
        <v/>
      </c>
      <c r="AI57" s="160">
        <f>IF(AND($C$22="Y",AI49&lt;0,AI$46&gt;=$C$9,AI$46&lt;=$C$41),MIN(ABS(AI49/$D$49)*$C$19,MAX(0,$C$19-AH60)),0)</f>
        <v/>
      </c>
      <c r="AJ57" s="160">
        <f>IF(AND($C$22="Y",AJ49&lt;0,AJ$46&gt;=$C$9,AJ$46&lt;=$C$41),MIN(ABS(AJ49/$D$49)*$C$19,MAX(0,$C$19-AI60)),0)</f>
        <v/>
      </c>
      <c r="AK57" s="160">
        <f>IF(AND($C$22="Y",AK49&lt;0,AK$46&gt;=$C$9,AK$46&lt;=$C$41),MIN(ABS(AK49/$D$49)*$C$19,MAX(0,$C$19-AJ60)),0)</f>
        <v/>
      </c>
      <c r="AL57" s="160">
        <f>IF(AND($C$22="Y",AL49&lt;0,AL$46&gt;=$C$9,AL$46&lt;=$C$41),MIN(ABS(AL49/$D$49)*$C$19,MAX(0,$C$19-AK60)),0)</f>
        <v/>
      </c>
      <c r="AM57" s="160">
        <f>IF(AND($C$22="Y",AM49&lt;0,AM$46&gt;=$C$9,AM$46&lt;=$C$41),MIN(ABS(AM49/$D$49)*$C$19,MAX(0,$C$19-AL60)),0)</f>
        <v/>
      </c>
      <c r="AN57" s="160">
        <f>IF(AND($C$22="Y",AN49&lt;0,AN$46&gt;=$C$9,AN$46&lt;=$C$41),MIN(ABS(AN49/$D$49)*$C$19,MAX(0,$C$19-AM60)),0)</f>
        <v/>
      </c>
      <c r="AO57" s="160">
        <f>IF(AND($C$22="Y",AO49&lt;0,AO$46&gt;=$C$9,AO$46&lt;=$C$41),MIN(ABS(AO49/$D$49)*$C$19,MAX(0,$C$19-AN60)),0)</f>
        <v/>
      </c>
      <c r="AP57" s="160">
        <f>IF(AND($C$22="Y",AP49&lt;0,AP$46&gt;=$C$9,AP$46&lt;=$C$41),MIN(ABS(AP49/$D$49)*$C$19,MAX(0,$C$19-AO60)),0)</f>
        <v/>
      </c>
      <c r="AQ57" s="160">
        <f>IF(AND($C$22="Y",AQ49&lt;0,AQ$46&gt;=$C$9,AQ$46&lt;=$C$41),MIN(ABS(AQ49/$D$49)*$C$19,MAX(0,$C$19-AP60)),0)</f>
        <v/>
      </c>
      <c r="AR57" s="160">
        <f>IF(AND($C$22="Y",AR49&lt;0,AR$46&gt;=$C$9,AR$46&lt;=$C$41),MIN(ABS(AR49/$D$49)*$C$19,MAX(0,$C$19-AQ60)),0)</f>
        <v/>
      </c>
      <c r="AS57" s="160">
        <f>IF(AND($C$22="Y",AS49&lt;0,AS$46&gt;=$C$9,AS$46&lt;=$C$41),MIN(ABS(AS49/$D$49)*$C$19,MAX(0,$C$19-AR60)),0)</f>
        <v/>
      </c>
      <c r="AT57" s="160">
        <f>IF(AND($C$22="Y",AT49&lt;0,AT$46&gt;=$C$9,AT$46&lt;=$C$41),MIN(ABS(AT49/$D$49)*$C$19,MAX(0,$C$19-AS60)),0)</f>
        <v/>
      </c>
      <c r="AU57" s="160">
        <f>IF(AND($C$22="Y",AU49&lt;0,AU$46&gt;=$C$9,AU$46&lt;=$C$41),MIN(ABS(AU49/$D$49)*$C$19,MAX(0,$C$19-AT60)),0)</f>
        <v/>
      </c>
      <c r="AV57" s="160">
        <f>IF(AND($C$22="Y",AV49&lt;0,AV$46&gt;=$C$9,AV$46&lt;=$C$41),MIN(ABS(AV49/$D$49)*$C$19,MAX(0,$C$19-AU60)),0)</f>
        <v/>
      </c>
      <c r="AW57" s="160">
        <f>IF(AND($C$22="Y",AW49&lt;0,AW$46&gt;=$C$9,AW$46&lt;=$C$41),MIN(ABS(AW49/$D$49)*$C$19,MAX(0,$C$19-AV60)),0)</f>
        <v/>
      </c>
      <c r="AX57" s="160">
        <f>IF(AND($C$22="Y",AX49&lt;0,AX$46&gt;=$C$9,AX$46&lt;=$C$41),MIN(ABS(AX49/$D$49)*$C$19,MAX(0,$C$19-AW60)),0)</f>
        <v/>
      </c>
      <c r="AY57" s="160">
        <f>IF(AND($C$22="Y",AY49&lt;0,AY$46&gt;=$C$9,AY$46&lt;=$C$41),MIN(ABS(AY49/$D$49)*$C$19,MAX(0,$C$19-AX60)),0)</f>
        <v/>
      </c>
      <c r="AZ57" s="160">
        <f>IF(AND($C$22="Y",AZ49&lt;0,AZ$46&gt;=$C$9,AZ$46&lt;=$C$41),MIN(ABS(AZ49/$D$49)*$C$19,MAX(0,$C$19-AY60)),0)</f>
        <v/>
      </c>
      <c r="BA57" s="160">
        <f>IF(AND($C$22="Y",BA49&lt;0,BA$46&gt;=$C$9,BA$46&lt;=$C$41),MIN(ABS(BA49/$D$49)*$C$19,MAX(0,$C$19-AZ60)),0)</f>
        <v/>
      </c>
      <c r="BB57" s="160">
        <f>IF(AND($C$22="Y",BB49&lt;0,BB$46&gt;=$C$9,BB$46&lt;=$C$41),MIN(ABS(BB49/$D$49)*$C$19,MAX(0,$C$19-BA60)),0)</f>
        <v/>
      </c>
    </row>
    <row r="58" ht="15" customHeight="1" s="91">
      <c r="B58" s="153" t="inlineStr">
        <is>
          <t>Debt Balance (Open)  رصيد الدين بداية السنة</t>
        </is>
      </c>
      <c r="C58" s="153" t="inlineStr">
        <is>
          <t>SAR</t>
        </is>
      </c>
      <c r="D58" s="160">
        <f>SUM(E58:BB58)</f>
        <v/>
      </c>
      <c r="E58" s="160">
        <f>0</f>
        <v/>
      </c>
      <c r="F58" s="160">
        <f>E60</f>
        <v/>
      </c>
      <c r="G58" s="160">
        <f>F60</f>
        <v/>
      </c>
      <c r="H58" s="160">
        <f>G60</f>
        <v/>
      </c>
      <c r="I58" s="160">
        <f>H60</f>
        <v/>
      </c>
      <c r="J58" s="160">
        <f>I60</f>
        <v/>
      </c>
      <c r="K58" s="160">
        <f>J60</f>
        <v/>
      </c>
      <c r="L58" s="160">
        <f>K60</f>
        <v/>
      </c>
      <c r="M58" s="160">
        <f>L60</f>
        <v/>
      </c>
      <c r="N58" s="160">
        <f>M60</f>
        <v/>
      </c>
      <c r="O58" s="160">
        <f>N60</f>
        <v/>
      </c>
      <c r="P58" s="160">
        <f>O60</f>
        <v/>
      </c>
      <c r="Q58" s="160">
        <f>P60</f>
        <v/>
      </c>
      <c r="R58" s="160">
        <f>Q60</f>
        <v/>
      </c>
      <c r="S58" s="160">
        <f>R60</f>
        <v/>
      </c>
      <c r="T58" s="160">
        <f>S60</f>
        <v/>
      </c>
      <c r="U58" s="160">
        <f>T60</f>
        <v/>
      </c>
      <c r="V58" s="160">
        <f>U60</f>
        <v/>
      </c>
      <c r="W58" s="160">
        <f>V60</f>
        <v/>
      </c>
      <c r="X58" s="160">
        <f>W60</f>
        <v/>
      </c>
      <c r="Y58" s="160">
        <f>X60</f>
        <v/>
      </c>
      <c r="Z58" s="160">
        <f>Y60</f>
        <v/>
      </c>
      <c r="AA58" s="160">
        <f>Z60</f>
        <v/>
      </c>
      <c r="AB58" s="160">
        <f>AA60</f>
        <v/>
      </c>
      <c r="AC58" s="160">
        <f>AB60</f>
        <v/>
      </c>
      <c r="AD58" s="160">
        <f>AC60</f>
        <v/>
      </c>
      <c r="AE58" s="160">
        <f>AD60</f>
        <v/>
      </c>
      <c r="AF58" s="160">
        <f>AE60</f>
        <v/>
      </c>
      <c r="AG58" s="160">
        <f>AF60</f>
        <v/>
      </c>
      <c r="AH58" s="160">
        <f>AG60</f>
        <v/>
      </c>
      <c r="AI58" s="160">
        <f>AH60</f>
        <v/>
      </c>
      <c r="AJ58" s="160">
        <f>AI60</f>
        <v/>
      </c>
      <c r="AK58" s="160">
        <f>AJ60</f>
        <v/>
      </c>
      <c r="AL58" s="160">
        <f>AK60</f>
        <v/>
      </c>
      <c r="AM58" s="160">
        <f>AL60</f>
        <v/>
      </c>
      <c r="AN58" s="160">
        <f>AM60</f>
        <v/>
      </c>
      <c r="AO58" s="160">
        <f>AN60</f>
        <v/>
      </c>
      <c r="AP58" s="160">
        <f>AO60</f>
        <v/>
      </c>
      <c r="AQ58" s="160">
        <f>AP60</f>
        <v/>
      </c>
      <c r="AR58" s="160">
        <f>AQ60</f>
        <v/>
      </c>
      <c r="AS58" s="160">
        <f>AR60</f>
        <v/>
      </c>
      <c r="AT58" s="160">
        <f>AS60</f>
        <v/>
      </c>
      <c r="AU58" s="160">
        <f>AT60</f>
        <v/>
      </c>
      <c r="AV58" s="160">
        <f>AU60</f>
        <v/>
      </c>
      <c r="AW58" s="160">
        <f>AV60</f>
        <v/>
      </c>
      <c r="AX58" s="160">
        <f>AW60</f>
        <v/>
      </c>
      <c r="AY58" s="160">
        <f>AX60</f>
        <v/>
      </c>
      <c r="AZ58" s="160">
        <f>AY60</f>
        <v/>
      </c>
      <c r="BA58" s="160">
        <f>AZ60</f>
        <v/>
      </c>
      <c r="BB58" s="160">
        <f>BA60</f>
        <v/>
      </c>
    </row>
    <row r="59" ht="15" customHeight="1" s="91">
      <c r="B59" s="153" t="inlineStr">
        <is>
          <t>Debt Repayment  سداد أصل الدين</t>
        </is>
      </c>
      <c r="C59" s="153" t="inlineStr">
        <is>
          <t>SAR</t>
        </is>
      </c>
      <c r="D59" s="157">
        <f>SUM(E59:BB59)</f>
        <v/>
      </c>
      <c r="E59" s="160">
        <f>IF($C$28="perDraw",E54,E53)</f>
        <v/>
      </c>
      <c r="F59" s="160">
        <f>IF($C$28="perDraw",F54,F53)</f>
        <v/>
      </c>
      <c r="G59" s="160">
        <f>IF($C$28="perDraw",G54,G53)</f>
        <v/>
      </c>
      <c r="H59" s="160">
        <f>IF($C$28="perDraw",H54,H53)</f>
        <v/>
      </c>
      <c r="I59" s="160">
        <f>IF($C$28="perDraw",I54,I53)</f>
        <v/>
      </c>
      <c r="J59" s="160">
        <f>IF($C$28="perDraw",J54,J53)</f>
        <v/>
      </c>
      <c r="K59" s="160">
        <f>IF($C$28="perDraw",K54,K53)</f>
        <v/>
      </c>
      <c r="L59" s="160">
        <f>IF($C$28="perDraw",L54,L53)</f>
        <v/>
      </c>
      <c r="M59" s="160">
        <f>IF($C$28="perDraw",M54,M53)</f>
        <v/>
      </c>
      <c r="N59" s="160">
        <f>IF($C$28="perDraw",N54,N53)</f>
        <v/>
      </c>
      <c r="O59" s="160">
        <f>IF($C$28="perDraw",O54,O53)</f>
        <v/>
      </c>
      <c r="P59" s="160">
        <f>IF($C$28="perDraw",P54,P53)</f>
        <v/>
      </c>
      <c r="Q59" s="160">
        <f>IF($C$28="perDraw",Q54,Q53)</f>
        <v/>
      </c>
      <c r="R59" s="160">
        <f>IF($C$28="perDraw",R54,R53)</f>
        <v/>
      </c>
      <c r="S59" s="160">
        <f>IF($C$28="perDraw",S54,S53)</f>
        <v/>
      </c>
      <c r="T59" s="160">
        <f>IF($C$28="perDraw",T54,T53)</f>
        <v/>
      </c>
      <c r="U59" s="160">
        <f>IF($C$28="perDraw",U54,U53)</f>
        <v/>
      </c>
      <c r="V59" s="160">
        <f>IF($C$28="perDraw",V54,V53)</f>
        <v/>
      </c>
      <c r="W59" s="160">
        <f>IF($C$28="perDraw",W54,W53)</f>
        <v/>
      </c>
      <c r="X59" s="160">
        <f>IF($C$28="perDraw",X54,X53)</f>
        <v/>
      </c>
      <c r="Y59" s="160">
        <f>IF($C$28="perDraw",Y54,Y53)</f>
        <v/>
      </c>
      <c r="Z59" s="160">
        <f>IF($C$28="perDraw",Z54,Z53)</f>
        <v/>
      </c>
      <c r="AA59" s="160">
        <f>IF($C$28="perDraw",AA54,AA53)</f>
        <v/>
      </c>
      <c r="AB59" s="160">
        <f>IF($C$28="perDraw",AB54,AB53)</f>
        <v/>
      </c>
      <c r="AC59" s="160">
        <f>IF($C$28="perDraw",AC54,AC53)</f>
        <v/>
      </c>
      <c r="AD59" s="160">
        <f>IF($C$28="perDraw",AD54,AD53)</f>
        <v/>
      </c>
      <c r="AE59" s="160">
        <f>IF($C$28="perDraw",AE54,AE53)</f>
        <v/>
      </c>
      <c r="AF59" s="160">
        <f>IF($C$28="perDraw",AF54,AF53)</f>
        <v/>
      </c>
      <c r="AG59" s="160">
        <f>IF($C$28="perDraw",AG54,AG53)</f>
        <v/>
      </c>
      <c r="AH59" s="160">
        <f>IF($C$28="perDraw",AH54,AH53)</f>
        <v/>
      </c>
      <c r="AI59" s="160">
        <f>IF($C$28="perDraw",AI54,AI53)</f>
        <v/>
      </c>
      <c r="AJ59" s="160">
        <f>IF($C$28="perDraw",AJ54,AJ53)</f>
        <v/>
      </c>
      <c r="AK59" s="160">
        <f>IF($C$28="perDraw",AK54,AK53)</f>
        <v/>
      </c>
      <c r="AL59" s="160">
        <f>IF($C$28="perDraw",AL54,AL53)</f>
        <v/>
      </c>
      <c r="AM59" s="160">
        <f>IF($C$28="perDraw",AM54,AM53)</f>
        <v/>
      </c>
      <c r="AN59" s="160">
        <f>IF($C$28="perDraw",AN54,AN53)</f>
        <v/>
      </c>
      <c r="AO59" s="160">
        <f>IF($C$28="perDraw",AO54,AO53)</f>
        <v/>
      </c>
      <c r="AP59" s="160">
        <f>IF($C$28="perDraw",AP54,AP53)</f>
        <v/>
      </c>
      <c r="AQ59" s="160">
        <f>IF($C$28="perDraw",AQ54,AQ53)</f>
        <v/>
      </c>
      <c r="AR59" s="160">
        <f>IF($C$28="perDraw",AR54,AR53)</f>
        <v/>
      </c>
      <c r="AS59" s="160">
        <f>IF($C$28="perDraw",AS54,AS53)</f>
        <v/>
      </c>
      <c r="AT59" s="160">
        <f>IF($C$28="perDraw",AT54,AT53)</f>
        <v/>
      </c>
      <c r="AU59" s="160">
        <f>IF($C$28="perDraw",AU54,AU53)</f>
        <v/>
      </c>
      <c r="AV59" s="160">
        <f>IF($C$28="perDraw",AV54,AV53)</f>
        <v/>
      </c>
      <c r="AW59" s="160">
        <f>IF($C$28="perDraw",AW54,AW53)</f>
        <v/>
      </c>
      <c r="AX59" s="160">
        <f>IF($C$28="perDraw",AX54,AX53)</f>
        <v/>
      </c>
      <c r="AY59" s="160">
        <f>IF($C$28="perDraw",AY54,AY53)</f>
        <v/>
      </c>
      <c r="AZ59" s="160">
        <f>IF($C$28="perDraw",AZ54,AZ53)</f>
        <v/>
      </c>
      <c r="BA59" s="160">
        <f>IF($C$28="perDraw",BA54,BA53)</f>
        <v/>
      </c>
      <c r="BB59" s="160">
        <f>IF($C$28="perDraw",BB54,BB53)</f>
        <v/>
      </c>
    </row>
    <row r="60" ht="15" customHeight="1" s="91">
      <c r="B60" s="153" t="inlineStr">
        <is>
          <t>Debt Balance (Close)  رصيد الدين نهاية السنة</t>
        </is>
      </c>
      <c r="C60" s="153" t="inlineStr">
        <is>
          <t>SAR</t>
        </is>
      </c>
      <c r="D60" s="160">
        <f>SUM(E60:BB60)</f>
        <v/>
      </c>
      <c r="E60" s="160">
        <f>MAX(0,E58+E57+E59)</f>
        <v/>
      </c>
      <c r="F60" s="160">
        <f>MAX(0,F58+F57+F59)</f>
        <v/>
      </c>
      <c r="G60" s="160">
        <f>MAX(0,G58+G57+G59)</f>
        <v/>
      </c>
      <c r="H60" s="160">
        <f>MAX(0,H58+H57+H59)</f>
        <v/>
      </c>
      <c r="I60" s="160">
        <f>MAX(0,I58+I57+I59)</f>
        <v/>
      </c>
      <c r="J60" s="160">
        <f>MAX(0,J58+J57+J59)</f>
        <v/>
      </c>
      <c r="K60" s="160">
        <f>MAX(0,K58+K57+K59)</f>
        <v/>
      </c>
      <c r="L60" s="160">
        <f>MAX(0,L58+L57+L59)</f>
        <v/>
      </c>
      <c r="M60" s="160">
        <f>MAX(0,M58+M57+M59)</f>
        <v/>
      </c>
      <c r="N60" s="160">
        <f>MAX(0,N58+N57+N59)</f>
        <v/>
      </c>
      <c r="O60" s="160">
        <f>MAX(0,O58+O57+O59)</f>
        <v/>
      </c>
      <c r="P60" s="160">
        <f>MAX(0,P58+P57+P59)</f>
        <v/>
      </c>
      <c r="Q60" s="160">
        <f>MAX(0,Q58+Q57+Q59)</f>
        <v/>
      </c>
      <c r="R60" s="160">
        <f>MAX(0,R58+R57+R59)</f>
        <v/>
      </c>
      <c r="S60" s="160">
        <f>MAX(0,S58+S57+S59)</f>
        <v/>
      </c>
      <c r="T60" s="160">
        <f>MAX(0,T58+T57+T59)</f>
        <v/>
      </c>
      <c r="U60" s="160">
        <f>MAX(0,U58+U57+U59)</f>
        <v/>
      </c>
      <c r="V60" s="160">
        <f>MAX(0,V58+V57+V59)</f>
        <v/>
      </c>
      <c r="W60" s="160">
        <f>MAX(0,W58+W57+W59)</f>
        <v/>
      </c>
      <c r="X60" s="160">
        <f>MAX(0,X58+X57+X59)</f>
        <v/>
      </c>
      <c r="Y60" s="160">
        <f>MAX(0,Y58+Y57+Y59)</f>
        <v/>
      </c>
      <c r="Z60" s="160">
        <f>MAX(0,Z58+Z57+Z59)</f>
        <v/>
      </c>
      <c r="AA60" s="160">
        <f>MAX(0,AA58+AA57+AA59)</f>
        <v/>
      </c>
      <c r="AB60" s="160">
        <f>MAX(0,AB58+AB57+AB59)</f>
        <v/>
      </c>
      <c r="AC60" s="160">
        <f>MAX(0,AC58+AC57+AC59)</f>
        <v/>
      </c>
      <c r="AD60" s="160">
        <f>MAX(0,AD58+AD57+AD59)</f>
        <v/>
      </c>
      <c r="AE60" s="160">
        <f>MAX(0,AE58+AE57+AE59)</f>
        <v/>
      </c>
      <c r="AF60" s="160">
        <f>MAX(0,AF58+AF57+AF59)</f>
        <v/>
      </c>
      <c r="AG60" s="160">
        <f>MAX(0,AG58+AG57+AG59)</f>
        <v/>
      </c>
      <c r="AH60" s="160">
        <f>MAX(0,AH58+AH57+AH59)</f>
        <v/>
      </c>
      <c r="AI60" s="160">
        <f>MAX(0,AI58+AI57+AI59)</f>
        <v/>
      </c>
      <c r="AJ60" s="160">
        <f>MAX(0,AJ58+AJ57+AJ59)</f>
        <v/>
      </c>
      <c r="AK60" s="160">
        <f>MAX(0,AK58+AK57+AK59)</f>
        <v/>
      </c>
      <c r="AL60" s="160">
        <f>MAX(0,AL58+AL57+AL59)</f>
        <v/>
      </c>
      <c r="AM60" s="160">
        <f>MAX(0,AM58+AM57+AM59)</f>
        <v/>
      </c>
      <c r="AN60" s="160">
        <f>MAX(0,AN58+AN57+AN59)</f>
        <v/>
      </c>
      <c r="AO60" s="160">
        <f>MAX(0,AO58+AO57+AO59)</f>
        <v/>
      </c>
      <c r="AP60" s="160">
        <f>MAX(0,AP58+AP57+AP59)</f>
        <v/>
      </c>
      <c r="AQ60" s="160">
        <f>MAX(0,AQ58+AQ57+AQ59)</f>
        <v/>
      </c>
      <c r="AR60" s="160">
        <f>MAX(0,AR58+AR57+AR59)</f>
        <v/>
      </c>
      <c r="AS60" s="160">
        <f>MAX(0,AS58+AS57+AS59)</f>
        <v/>
      </c>
      <c r="AT60" s="160">
        <f>MAX(0,AT58+AT57+AT59)</f>
        <v/>
      </c>
      <c r="AU60" s="160">
        <f>MAX(0,AU58+AU57+AU59)</f>
        <v/>
      </c>
      <c r="AV60" s="160">
        <f>MAX(0,AV58+AV57+AV59)</f>
        <v/>
      </c>
      <c r="AW60" s="160">
        <f>MAX(0,AW58+AW57+AW59)</f>
        <v/>
      </c>
      <c r="AX60" s="160">
        <f>MAX(0,AX58+AX57+AX59)</f>
        <v/>
      </c>
      <c r="AY60" s="160">
        <f>MAX(0,AY58+AY57+AY59)</f>
        <v/>
      </c>
      <c r="AZ60" s="160">
        <f>MAX(0,AZ58+AZ57+AZ59)</f>
        <v/>
      </c>
      <c r="BA60" s="160">
        <f>MAX(0,BA58+BA57+BA59)</f>
        <v/>
      </c>
      <c r="BB60" s="160">
        <f>MAX(0,BB58+BB57+BB59)</f>
        <v/>
      </c>
    </row>
    <row r="61" ht="15" customHeight="1" s="91">
      <c r="B61" s="153" t="inlineStr">
        <is>
          <t>Debt Interest  تكلفة التمويل</t>
        </is>
      </c>
      <c r="C61" s="153" t="inlineStr">
        <is>
          <t>SAR</t>
        </is>
      </c>
      <c r="D61" s="157">
        <f>SUM(E61:BB61)</f>
        <v/>
      </c>
      <c r="E61" s="160">
        <f>IF(AND($C$22="Y",E58+E60&gt;0),-(E58+E60)/2*$C$23,0)-ABS(E57)*$C$25</f>
        <v/>
      </c>
      <c r="F61" s="160">
        <f>IF(AND($C$22="Y",F58+F60&gt;0),-(F58+F60)/2*$C$23,0)-ABS(F57)*$C$25</f>
        <v/>
      </c>
      <c r="G61" s="160">
        <f>IF(AND($C$22="Y",G58+G60&gt;0),-(G58+G60)/2*$C$23,0)-ABS(G57)*$C$25</f>
        <v/>
      </c>
      <c r="H61" s="160">
        <f>IF(AND($C$22="Y",H58+H60&gt;0),-(H58+H60)/2*$C$23,0)-ABS(H57)*$C$25</f>
        <v/>
      </c>
      <c r="I61" s="160">
        <f>IF(AND($C$22="Y",I58+I60&gt;0),-(I58+I60)/2*$C$23,0)-ABS(I57)*$C$25</f>
        <v/>
      </c>
      <c r="J61" s="160">
        <f>IF(AND($C$22="Y",J58+J60&gt;0),-(J58+J60)/2*$C$23,0)-ABS(J57)*$C$25</f>
        <v/>
      </c>
      <c r="K61" s="160">
        <f>IF(AND($C$22="Y",K58+K60&gt;0),-(K58+K60)/2*$C$23,0)-ABS(K57)*$C$25</f>
        <v/>
      </c>
      <c r="L61" s="160">
        <f>IF(AND($C$22="Y",L58+L60&gt;0),-(L58+L60)/2*$C$23,0)-ABS(L57)*$C$25</f>
        <v/>
      </c>
      <c r="M61" s="160">
        <f>IF(AND($C$22="Y",M58+M60&gt;0),-(M58+M60)/2*$C$23,0)-ABS(M57)*$C$25</f>
        <v/>
      </c>
      <c r="N61" s="160">
        <f>IF(AND($C$22="Y",N58+N60&gt;0),-(N58+N60)/2*$C$23,0)-ABS(N57)*$C$25</f>
        <v/>
      </c>
      <c r="O61" s="160">
        <f>IF(AND($C$22="Y",O58+O60&gt;0),-(O58+O60)/2*$C$23,0)-ABS(O57)*$C$25</f>
        <v/>
      </c>
      <c r="P61" s="160">
        <f>IF(AND($C$22="Y",P58+P60&gt;0),-(P58+P60)/2*$C$23,0)-ABS(P57)*$C$25</f>
        <v/>
      </c>
      <c r="Q61" s="160">
        <f>IF(AND($C$22="Y",Q58+Q60&gt;0),-(Q58+Q60)/2*$C$23,0)-ABS(Q57)*$C$25</f>
        <v/>
      </c>
      <c r="R61" s="160">
        <f>IF(AND($C$22="Y",R58+R60&gt;0),-(R58+R60)/2*$C$23,0)-ABS(R57)*$C$25</f>
        <v/>
      </c>
      <c r="S61" s="160">
        <f>IF(AND($C$22="Y",S58+S60&gt;0),-(S58+S60)/2*$C$23,0)-ABS(S57)*$C$25</f>
        <v/>
      </c>
      <c r="T61" s="160">
        <f>IF(AND($C$22="Y",T58+T60&gt;0),-(T58+T60)/2*$C$23,0)-ABS(T57)*$C$25</f>
        <v/>
      </c>
      <c r="U61" s="160">
        <f>IF(AND($C$22="Y",U58+U60&gt;0),-(U58+U60)/2*$C$23,0)-ABS(U57)*$C$25</f>
        <v/>
      </c>
      <c r="V61" s="160">
        <f>IF(AND($C$22="Y",V58+V60&gt;0),-(V58+V60)/2*$C$23,0)-ABS(V57)*$C$25</f>
        <v/>
      </c>
      <c r="W61" s="160">
        <f>IF(AND($C$22="Y",W58+W60&gt;0),-(W58+W60)/2*$C$23,0)-ABS(W57)*$C$25</f>
        <v/>
      </c>
      <c r="X61" s="160">
        <f>IF(AND($C$22="Y",X58+X60&gt;0),-(X58+X60)/2*$C$23,0)-ABS(X57)*$C$25</f>
        <v/>
      </c>
      <c r="Y61" s="160">
        <f>IF(AND($C$22="Y",Y58+Y60&gt;0),-(Y58+Y60)/2*$C$23,0)-ABS(Y57)*$C$25</f>
        <v/>
      </c>
      <c r="Z61" s="160">
        <f>IF(AND($C$22="Y",Z58+Z60&gt;0),-(Z58+Z60)/2*$C$23,0)-ABS(Z57)*$C$25</f>
        <v/>
      </c>
      <c r="AA61" s="160">
        <f>IF(AND($C$22="Y",AA58+AA60&gt;0),-(AA58+AA60)/2*$C$23,0)-ABS(AA57)*$C$25</f>
        <v/>
      </c>
      <c r="AB61" s="160">
        <f>IF(AND($C$22="Y",AB58+AB60&gt;0),-(AB58+AB60)/2*$C$23,0)-ABS(AB57)*$C$25</f>
        <v/>
      </c>
      <c r="AC61" s="160">
        <f>IF(AND($C$22="Y",AC58+AC60&gt;0),-(AC58+AC60)/2*$C$23,0)-ABS(AC57)*$C$25</f>
        <v/>
      </c>
      <c r="AD61" s="160">
        <f>IF(AND($C$22="Y",AD58+AD60&gt;0),-(AD58+AD60)/2*$C$23,0)-ABS(AD57)*$C$25</f>
        <v/>
      </c>
      <c r="AE61" s="160">
        <f>IF(AND($C$22="Y",AE58+AE60&gt;0),-(AE58+AE60)/2*$C$23,0)-ABS(AE57)*$C$25</f>
        <v/>
      </c>
      <c r="AF61" s="160">
        <f>IF(AND($C$22="Y",AF58+AF60&gt;0),-(AF58+AF60)/2*$C$23,0)-ABS(AF57)*$C$25</f>
        <v/>
      </c>
      <c r="AG61" s="160">
        <f>IF(AND($C$22="Y",AG58+AG60&gt;0),-(AG58+AG60)/2*$C$23,0)-ABS(AG57)*$C$25</f>
        <v/>
      </c>
      <c r="AH61" s="160">
        <f>IF(AND($C$22="Y",AH58+AH60&gt;0),-(AH58+AH60)/2*$C$23,0)-ABS(AH57)*$C$25</f>
        <v/>
      </c>
      <c r="AI61" s="160">
        <f>IF(AND($C$22="Y",AI58+AI60&gt;0),-(AI58+AI60)/2*$C$23,0)-ABS(AI57)*$C$25</f>
        <v/>
      </c>
      <c r="AJ61" s="160">
        <f>IF(AND($C$22="Y",AJ58+AJ60&gt;0),-(AJ58+AJ60)/2*$C$23,0)-ABS(AJ57)*$C$25</f>
        <v/>
      </c>
      <c r="AK61" s="160">
        <f>IF(AND($C$22="Y",AK58+AK60&gt;0),-(AK58+AK60)/2*$C$23,0)-ABS(AK57)*$C$25</f>
        <v/>
      </c>
      <c r="AL61" s="160">
        <f>IF(AND($C$22="Y",AL58+AL60&gt;0),-(AL58+AL60)/2*$C$23,0)-ABS(AL57)*$C$25</f>
        <v/>
      </c>
      <c r="AM61" s="160">
        <f>IF(AND($C$22="Y",AM58+AM60&gt;0),-(AM58+AM60)/2*$C$23,0)-ABS(AM57)*$C$25</f>
        <v/>
      </c>
      <c r="AN61" s="160">
        <f>IF(AND($C$22="Y",AN58+AN60&gt;0),-(AN58+AN60)/2*$C$23,0)-ABS(AN57)*$C$25</f>
        <v/>
      </c>
      <c r="AO61" s="160">
        <f>IF(AND($C$22="Y",AO58+AO60&gt;0),-(AO58+AO60)/2*$C$23,0)-ABS(AO57)*$C$25</f>
        <v/>
      </c>
      <c r="AP61" s="160">
        <f>IF(AND($C$22="Y",AP58+AP60&gt;0),-(AP58+AP60)/2*$C$23,0)-ABS(AP57)*$C$25</f>
        <v/>
      </c>
      <c r="AQ61" s="160">
        <f>IF(AND($C$22="Y",AQ58+AQ60&gt;0),-(AQ58+AQ60)/2*$C$23,0)-ABS(AQ57)*$C$25</f>
        <v/>
      </c>
      <c r="AR61" s="160">
        <f>IF(AND($C$22="Y",AR58+AR60&gt;0),-(AR58+AR60)/2*$C$23,0)-ABS(AR57)*$C$25</f>
        <v/>
      </c>
      <c r="AS61" s="160">
        <f>IF(AND($C$22="Y",AS58+AS60&gt;0),-(AS58+AS60)/2*$C$23,0)-ABS(AS57)*$C$25</f>
        <v/>
      </c>
      <c r="AT61" s="160">
        <f>IF(AND($C$22="Y",AT58+AT60&gt;0),-(AT58+AT60)/2*$C$23,0)-ABS(AT57)*$C$25</f>
        <v/>
      </c>
      <c r="AU61" s="160">
        <f>IF(AND($C$22="Y",AU58+AU60&gt;0),-(AU58+AU60)/2*$C$23,0)-ABS(AU57)*$C$25</f>
        <v/>
      </c>
      <c r="AV61" s="160">
        <f>IF(AND($C$22="Y",AV58+AV60&gt;0),-(AV58+AV60)/2*$C$23,0)-ABS(AV57)*$C$25</f>
        <v/>
      </c>
      <c r="AW61" s="160">
        <f>IF(AND($C$22="Y",AW58+AW60&gt;0),-(AW58+AW60)/2*$C$23,0)-ABS(AW57)*$C$25</f>
        <v/>
      </c>
      <c r="AX61" s="160">
        <f>IF(AND($C$22="Y",AX58+AX60&gt;0),-(AX58+AX60)/2*$C$23,0)-ABS(AX57)*$C$25</f>
        <v/>
      </c>
      <c r="AY61" s="160">
        <f>IF(AND($C$22="Y",AY58+AY60&gt;0),-(AY58+AY60)/2*$C$23,0)-ABS(AY57)*$C$25</f>
        <v/>
      </c>
      <c r="AZ61" s="160">
        <f>IF(AND($C$22="Y",AZ58+AZ60&gt;0),-(AZ58+AZ60)/2*$C$23,0)-ABS(AZ57)*$C$25</f>
        <v/>
      </c>
      <c r="BA61" s="160">
        <f>IF(AND($C$22="Y",BA58+BA60&gt;0),-(BA58+BA60)/2*$C$23,0)-ABS(BA57)*$C$25</f>
        <v/>
      </c>
      <c r="BB61" s="160">
        <f>IF(AND($C$22="Y",BB58+BB60&gt;0),-(BB58+BB60)/2*$C$23,0)-ABS(BB57)*$C$25</f>
        <v/>
      </c>
    </row>
    <row r="62" ht="15" customHeight="1" s="91">
      <c r="B62" s="110" t="inlineStr">
        <is>
          <t>Total Debt Service  إجمالي خدمة الدين</t>
        </is>
      </c>
      <c r="C62" s="153" t="inlineStr">
        <is>
          <t>SAR</t>
        </is>
      </c>
      <c r="D62" s="157">
        <f>SUM(E62:BB62)</f>
        <v/>
      </c>
      <c r="E62" s="157">
        <f>E59+E61</f>
        <v/>
      </c>
      <c r="F62" s="157">
        <f>F59+F61</f>
        <v/>
      </c>
      <c r="G62" s="157">
        <f>G59+G61</f>
        <v/>
      </c>
      <c r="H62" s="157">
        <f>H59+H61</f>
        <v/>
      </c>
      <c r="I62" s="157">
        <f>I59+I61</f>
        <v/>
      </c>
      <c r="J62" s="157">
        <f>J59+J61</f>
        <v/>
      </c>
      <c r="K62" s="157">
        <f>K59+K61</f>
        <v/>
      </c>
      <c r="L62" s="157">
        <f>L59+L61</f>
        <v/>
      </c>
      <c r="M62" s="157">
        <f>M59+M61</f>
        <v/>
      </c>
      <c r="N62" s="157">
        <f>N59+N61</f>
        <v/>
      </c>
      <c r="O62" s="157">
        <f>O59+O61</f>
        <v/>
      </c>
      <c r="P62" s="157">
        <f>P59+P61</f>
        <v/>
      </c>
      <c r="Q62" s="157">
        <f>Q59+Q61</f>
        <v/>
      </c>
      <c r="R62" s="157">
        <f>R59+R61</f>
        <v/>
      </c>
      <c r="S62" s="157">
        <f>S59+S61</f>
        <v/>
      </c>
      <c r="T62" s="157">
        <f>T59+T61</f>
        <v/>
      </c>
      <c r="U62" s="157">
        <f>U59+U61</f>
        <v/>
      </c>
      <c r="V62" s="157">
        <f>V59+V61</f>
        <v/>
      </c>
      <c r="W62" s="157">
        <f>W59+W61</f>
        <v/>
      </c>
      <c r="X62" s="157">
        <f>X59+X61</f>
        <v/>
      </c>
      <c r="Y62" s="157">
        <f>Y59+Y61</f>
        <v/>
      </c>
      <c r="Z62" s="157">
        <f>Z59+Z61</f>
        <v/>
      </c>
      <c r="AA62" s="157">
        <f>AA59+AA61</f>
        <v/>
      </c>
      <c r="AB62" s="157">
        <f>AB59+AB61</f>
        <v/>
      </c>
      <c r="AC62" s="157">
        <f>AC59+AC61</f>
        <v/>
      </c>
      <c r="AD62" s="157">
        <f>AD59+AD61</f>
        <v/>
      </c>
      <c r="AE62" s="157">
        <f>AE59+AE61</f>
        <v/>
      </c>
      <c r="AF62" s="157">
        <f>AF59+AF61</f>
        <v/>
      </c>
      <c r="AG62" s="157">
        <f>AG59+AG61</f>
        <v/>
      </c>
      <c r="AH62" s="157">
        <f>AH59+AH61</f>
        <v/>
      </c>
      <c r="AI62" s="157">
        <f>AI59+AI61</f>
        <v/>
      </c>
      <c r="AJ62" s="157">
        <f>AJ59+AJ61</f>
        <v/>
      </c>
      <c r="AK62" s="157">
        <f>AK59+AK61</f>
        <v/>
      </c>
      <c r="AL62" s="157">
        <f>AL59+AL61</f>
        <v/>
      </c>
      <c r="AM62" s="157">
        <f>AM59+AM61</f>
        <v/>
      </c>
      <c r="AN62" s="157">
        <f>AN59+AN61</f>
        <v/>
      </c>
      <c r="AO62" s="157">
        <f>AO59+AO61</f>
        <v/>
      </c>
      <c r="AP62" s="157">
        <f>AP59+AP61</f>
        <v/>
      </c>
      <c r="AQ62" s="157">
        <f>AQ59+AQ61</f>
        <v/>
      </c>
      <c r="AR62" s="157">
        <f>AR59+AR61</f>
        <v/>
      </c>
      <c r="AS62" s="157">
        <f>AS59+AS61</f>
        <v/>
      </c>
      <c r="AT62" s="157">
        <f>AT59+AT61</f>
        <v/>
      </c>
      <c r="AU62" s="157">
        <f>AU59+AU61</f>
        <v/>
      </c>
      <c r="AV62" s="157">
        <f>AV59+AV61</f>
        <v/>
      </c>
      <c r="AW62" s="157">
        <f>AW59+AW61</f>
        <v/>
      </c>
      <c r="AX62" s="157">
        <f>AX59+AX61</f>
        <v/>
      </c>
      <c r="AY62" s="157">
        <f>AY59+AY61</f>
        <v/>
      </c>
      <c r="AZ62" s="157">
        <f>AZ59+AZ61</f>
        <v/>
      </c>
      <c r="BA62" s="157">
        <f>BA59+BA61</f>
        <v/>
      </c>
      <c r="BB62" s="157">
        <f>BB59+BB61</f>
        <v/>
      </c>
    </row>
    <row r="63" ht="15" customHeight="1" s="91">
      <c r="B63" s="90" t="inlineStr">
        <is>
          <t>Other Fund Fees  رسوم أخرى</t>
        </is>
      </c>
      <c r="D63" s="90">
        <f>SUM(E63:BB63)</f>
        <v/>
      </c>
      <c r="E63" s="90">
        <f>IF(E$46=$C$9,Inputs!D$145+Inputs!D$146+$C$17*Inputs!D$150,0)+IF(AND(E$46&gt;=$C$9,E$46&lt;=$C$41),Inputs!D$147,0)+IF(AND(E$46&gt;=$C$9,E$46&lt;=$C$41,E47&gt;0),MIN(Inputs!D$149,$C$17*Inputs!D$148),0)</f>
        <v/>
      </c>
      <c r="F63" s="90">
        <f>IF(F$46=$C$9,Inputs!D$145+Inputs!D$146+$C$17*Inputs!D$150,0)+IF(AND(F$46&gt;=$C$9,F$46&lt;=$C$41),Inputs!D$147,0)+IF(AND(F$46&gt;=$C$9,F$46&lt;=$C$41,F47&gt;0),MIN(Inputs!D$149,$C$17*Inputs!D$148),0)</f>
        <v/>
      </c>
      <c r="G63" s="90">
        <f>IF(G$46=$C$9,Inputs!D$145+Inputs!D$146+$C$17*Inputs!D$150,0)+IF(AND(G$46&gt;=$C$9,G$46&lt;=$C$41),Inputs!D$147,0)+IF(AND(G$46&gt;=$C$9,G$46&lt;=$C$41,G47&gt;0),MIN(Inputs!D$149,$C$17*Inputs!D$148),0)</f>
        <v/>
      </c>
      <c r="H63" s="90">
        <f>IF(H$46=$C$9,Inputs!D$145+Inputs!D$146+$C$17*Inputs!D$150,0)+IF(AND(H$46&gt;=$C$9,H$46&lt;=$C$41),Inputs!D$147,0)+IF(AND(H$46&gt;=$C$9,H$46&lt;=$C$41,H47&gt;0),MIN(Inputs!D$149,$C$17*Inputs!D$148),0)</f>
        <v/>
      </c>
      <c r="I63" s="90">
        <f>IF(I$46=$C$9,Inputs!D$145+Inputs!D$146+$C$17*Inputs!D$150,0)+IF(AND(I$46&gt;=$C$9,I$46&lt;=$C$41),Inputs!D$147,0)+IF(AND(I$46&gt;=$C$9,I$46&lt;=$C$41,I47&gt;0),MIN(Inputs!D$149,$C$17*Inputs!D$148),0)</f>
        <v/>
      </c>
      <c r="J63" s="90">
        <f>IF(J$46=$C$9,Inputs!D$145+Inputs!D$146+$C$17*Inputs!D$150,0)+IF(AND(J$46&gt;=$C$9,J$46&lt;=$C$41),Inputs!D$147,0)+IF(AND(J$46&gt;=$C$9,J$46&lt;=$C$41,J47&gt;0),MIN(Inputs!D$149,$C$17*Inputs!D$148),0)</f>
        <v/>
      </c>
      <c r="K63" s="90">
        <f>IF(K$46=$C$9,Inputs!D$145+Inputs!D$146+$C$17*Inputs!D$150,0)+IF(AND(K$46&gt;=$C$9,K$46&lt;=$C$41),Inputs!D$147,0)+IF(AND(K$46&gt;=$C$9,K$46&lt;=$C$41,K47&gt;0),MIN(Inputs!D$149,$C$17*Inputs!D$148),0)</f>
        <v/>
      </c>
      <c r="L63" s="90">
        <f>IF(L$46=$C$9,Inputs!D$145+Inputs!D$146+$C$17*Inputs!D$150,0)+IF(AND(L$46&gt;=$C$9,L$46&lt;=$C$41),Inputs!D$147,0)+IF(AND(L$46&gt;=$C$9,L$46&lt;=$C$41,L47&gt;0),MIN(Inputs!D$149,$C$17*Inputs!D$148),0)</f>
        <v/>
      </c>
      <c r="M63" s="90">
        <f>IF(M$46=$C$9,Inputs!D$145+Inputs!D$146+$C$17*Inputs!D$150,0)+IF(AND(M$46&gt;=$C$9,M$46&lt;=$C$41),Inputs!D$147,0)+IF(AND(M$46&gt;=$C$9,M$46&lt;=$C$41,M47&gt;0),MIN(Inputs!D$149,$C$17*Inputs!D$148),0)</f>
        <v/>
      </c>
      <c r="N63" s="90">
        <f>IF(N$46=$C$9,Inputs!D$145+Inputs!D$146+$C$17*Inputs!D$150,0)+IF(AND(N$46&gt;=$C$9,N$46&lt;=$C$41),Inputs!D$147,0)+IF(AND(N$46&gt;=$C$9,N$46&lt;=$C$41,N47&gt;0),MIN(Inputs!D$149,$C$17*Inputs!D$148),0)</f>
        <v/>
      </c>
      <c r="O63" s="90">
        <f>IF(O$46=$C$9,Inputs!D$145+Inputs!D$146+$C$17*Inputs!D$150,0)+IF(AND(O$46&gt;=$C$9,O$46&lt;=$C$41),Inputs!D$147,0)+IF(AND(O$46&gt;=$C$9,O$46&lt;=$C$41,O47&gt;0),MIN(Inputs!D$149,$C$17*Inputs!D$148),0)</f>
        <v/>
      </c>
      <c r="P63" s="90">
        <f>IF(P$46=$C$9,Inputs!D$145+Inputs!D$146+$C$17*Inputs!D$150,0)+IF(AND(P$46&gt;=$C$9,P$46&lt;=$C$41),Inputs!D$147,0)+IF(AND(P$46&gt;=$C$9,P$46&lt;=$C$41,P47&gt;0),MIN(Inputs!D$149,$C$17*Inputs!D$148),0)</f>
        <v/>
      </c>
      <c r="Q63" s="90">
        <f>IF(Q$46=$C$9,Inputs!D$145+Inputs!D$146+$C$17*Inputs!D$150,0)+IF(AND(Q$46&gt;=$C$9,Q$46&lt;=$C$41),Inputs!D$147,0)+IF(AND(Q$46&gt;=$C$9,Q$46&lt;=$C$41,Q47&gt;0),MIN(Inputs!D$149,$C$17*Inputs!D$148),0)</f>
        <v/>
      </c>
      <c r="R63" s="90">
        <f>IF(R$46=$C$9,Inputs!D$145+Inputs!D$146+$C$17*Inputs!D$150,0)+IF(AND(R$46&gt;=$C$9,R$46&lt;=$C$41),Inputs!D$147,0)+IF(AND(R$46&gt;=$C$9,R$46&lt;=$C$41,R47&gt;0),MIN(Inputs!D$149,$C$17*Inputs!D$148),0)</f>
        <v/>
      </c>
      <c r="S63" s="90">
        <f>IF(S$46=$C$9,Inputs!D$145+Inputs!D$146+$C$17*Inputs!D$150,0)+IF(AND(S$46&gt;=$C$9,S$46&lt;=$C$41),Inputs!D$147,0)+IF(AND(S$46&gt;=$C$9,S$46&lt;=$C$41,S47&gt;0),MIN(Inputs!D$149,$C$17*Inputs!D$148),0)</f>
        <v/>
      </c>
      <c r="T63" s="90">
        <f>IF(T$46=$C$9,Inputs!D$145+Inputs!D$146+$C$17*Inputs!D$150,0)+IF(AND(T$46&gt;=$C$9,T$46&lt;=$C$41),Inputs!D$147,0)+IF(AND(T$46&gt;=$C$9,T$46&lt;=$C$41,T47&gt;0),MIN(Inputs!D$149,$C$17*Inputs!D$148),0)</f>
        <v/>
      </c>
      <c r="U63" s="90">
        <f>IF(U$46=$C$9,Inputs!D$145+Inputs!D$146+$C$17*Inputs!D$150,0)+IF(AND(U$46&gt;=$C$9,U$46&lt;=$C$41),Inputs!D$147,0)+IF(AND(U$46&gt;=$C$9,U$46&lt;=$C$41,U47&gt;0),MIN(Inputs!D$149,$C$17*Inputs!D$148),0)</f>
        <v/>
      </c>
      <c r="V63" s="90">
        <f>IF(V$46=$C$9,Inputs!D$145+Inputs!D$146+$C$17*Inputs!D$150,0)+IF(AND(V$46&gt;=$C$9,V$46&lt;=$C$41),Inputs!D$147,0)+IF(AND(V$46&gt;=$C$9,V$46&lt;=$C$41,V47&gt;0),MIN(Inputs!D$149,$C$17*Inputs!D$148),0)</f>
        <v/>
      </c>
      <c r="W63" s="90">
        <f>IF(W$46=$C$9,Inputs!D$145+Inputs!D$146+$C$17*Inputs!D$150,0)+IF(AND(W$46&gt;=$C$9,W$46&lt;=$C$41),Inputs!D$147,0)+IF(AND(W$46&gt;=$C$9,W$46&lt;=$C$41,W47&gt;0),MIN(Inputs!D$149,$C$17*Inputs!D$148),0)</f>
        <v/>
      </c>
      <c r="X63" s="90">
        <f>IF(X$46=$C$9,Inputs!D$145+Inputs!D$146+$C$17*Inputs!D$150,0)+IF(AND(X$46&gt;=$C$9,X$46&lt;=$C$41),Inputs!D$147,0)+IF(AND(X$46&gt;=$C$9,X$46&lt;=$C$41,X47&gt;0),MIN(Inputs!D$149,$C$17*Inputs!D$148),0)</f>
        <v/>
      </c>
      <c r="Y63" s="90">
        <f>IF(Y$46=$C$9,Inputs!D$145+Inputs!D$146+$C$17*Inputs!D$150,0)+IF(AND(Y$46&gt;=$C$9,Y$46&lt;=$C$41),Inputs!D$147,0)+IF(AND(Y$46&gt;=$C$9,Y$46&lt;=$C$41,Y47&gt;0),MIN(Inputs!D$149,$C$17*Inputs!D$148),0)</f>
        <v/>
      </c>
      <c r="Z63" s="90">
        <f>IF(Z$46=$C$9,Inputs!D$145+Inputs!D$146+$C$17*Inputs!D$150,0)+IF(AND(Z$46&gt;=$C$9,Z$46&lt;=$C$41),Inputs!D$147,0)+IF(AND(Z$46&gt;=$C$9,Z$46&lt;=$C$41,Z47&gt;0),MIN(Inputs!D$149,$C$17*Inputs!D$148),0)</f>
        <v/>
      </c>
      <c r="AA63" s="90">
        <f>IF(AA$46=$C$9,Inputs!D$145+Inputs!D$146+$C$17*Inputs!D$150,0)+IF(AND(AA$46&gt;=$C$9,AA$46&lt;=$C$41),Inputs!D$147,0)+IF(AND(AA$46&gt;=$C$9,AA$46&lt;=$C$41,AA47&gt;0),MIN(Inputs!D$149,$C$17*Inputs!D$148),0)</f>
        <v/>
      </c>
      <c r="AB63" s="90">
        <f>IF(AB$46=$C$9,Inputs!D$145+Inputs!D$146+$C$17*Inputs!D$150,0)+IF(AND(AB$46&gt;=$C$9,AB$46&lt;=$C$41),Inputs!D$147,0)+IF(AND(AB$46&gt;=$C$9,AB$46&lt;=$C$41,AB47&gt;0),MIN(Inputs!D$149,$C$17*Inputs!D$148),0)</f>
        <v/>
      </c>
      <c r="AC63" s="90">
        <f>IF(AC$46=$C$9,Inputs!D$145+Inputs!D$146+$C$17*Inputs!D$150,0)+IF(AND(AC$46&gt;=$C$9,AC$46&lt;=$C$41),Inputs!D$147,0)+IF(AND(AC$46&gt;=$C$9,AC$46&lt;=$C$41,AC47&gt;0),MIN(Inputs!D$149,$C$17*Inputs!D$148),0)</f>
        <v/>
      </c>
      <c r="AD63" s="90">
        <f>IF(AD$46=$C$9,Inputs!D$145+Inputs!D$146+$C$17*Inputs!D$150,0)+IF(AND(AD$46&gt;=$C$9,AD$46&lt;=$C$41),Inputs!D$147,0)+IF(AND(AD$46&gt;=$C$9,AD$46&lt;=$C$41,AD47&gt;0),MIN(Inputs!D$149,$C$17*Inputs!D$148),0)</f>
        <v/>
      </c>
      <c r="AE63" s="90">
        <f>IF(AE$46=$C$9,Inputs!D$145+Inputs!D$146+$C$17*Inputs!D$150,0)+IF(AND(AE$46&gt;=$C$9,AE$46&lt;=$C$41),Inputs!D$147,0)+IF(AND(AE$46&gt;=$C$9,AE$46&lt;=$C$41,AE47&gt;0),MIN(Inputs!D$149,$C$17*Inputs!D$148),0)</f>
        <v/>
      </c>
      <c r="AF63" s="90">
        <f>IF(AF$46=$C$9,Inputs!D$145+Inputs!D$146+$C$17*Inputs!D$150,0)+IF(AND(AF$46&gt;=$C$9,AF$46&lt;=$C$41),Inputs!D$147,0)+IF(AND(AF$46&gt;=$C$9,AF$46&lt;=$C$41,AF47&gt;0),MIN(Inputs!D$149,$C$17*Inputs!D$148),0)</f>
        <v/>
      </c>
      <c r="AG63" s="90">
        <f>IF(AG$46=$C$9,Inputs!D$145+Inputs!D$146+$C$17*Inputs!D$150,0)+IF(AND(AG$46&gt;=$C$9,AG$46&lt;=$C$41),Inputs!D$147,0)+IF(AND(AG$46&gt;=$C$9,AG$46&lt;=$C$41,AG47&gt;0),MIN(Inputs!D$149,$C$17*Inputs!D$148),0)</f>
        <v/>
      </c>
      <c r="AH63" s="90">
        <f>IF(AH$46=$C$9,Inputs!D$145+Inputs!D$146+$C$17*Inputs!D$150,0)+IF(AND(AH$46&gt;=$C$9,AH$46&lt;=$C$41),Inputs!D$147,0)+IF(AND(AH$46&gt;=$C$9,AH$46&lt;=$C$41,AH47&gt;0),MIN(Inputs!D$149,$C$17*Inputs!D$148),0)</f>
        <v/>
      </c>
      <c r="AI63" s="90">
        <f>IF(AI$46=$C$9,Inputs!D$145+Inputs!D$146+$C$17*Inputs!D$150,0)+IF(AND(AI$46&gt;=$C$9,AI$46&lt;=$C$41),Inputs!D$147,0)+IF(AND(AI$46&gt;=$C$9,AI$46&lt;=$C$41,AI47&gt;0),MIN(Inputs!D$149,$C$17*Inputs!D$148),0)</f>
        <v/>
      </c>
      <c r="AJ63" s="90">
        <f>IF(AJ$46=$C$9,Inputs!D$145+Inputs!D$146+$C$17*Inputs!D$150,0)+IF(AND(AJ$46&gt;=$C$9,AJ$46&lt;=$C$41),Inputs!D$147,0)+IF(AND(AJ$46&gt;=$C$9,AJ$46&lt;=$C$41,AJ47&gt;0),MIN(Inputs!D$149,$C$17*Inputs!D$148),0)</f>
        <v/>
      </c>
      <c r="AK63" s="90">
        <f>IF(AK$46=$C$9,Inputs!D$145+Inputs!D$146+$C$17*Inputs!D$150,0)+IF(AND(AK$46&gt;=$C$9,AK$46&lt;=$C$41),Inputs!D$147,0)+IF(AND(AK$46&gt;=$C$9,AK$46&lt;=$C$41,AK47&gt;0),MIN(Inputs!D$149,$C$17*Inputs!D$148),0)</f>
        <v/>
      </c>
      <c r="AL63" s="90">
        <f>IF(AL$46=$C$9,Inputs!D$145+Inputs!D$146+$C$17*Inputs!D$150,0)+IF(AND(AL$46&gt;=$C$9,AL$46&lt;=$C$41),Inputs!D$147,0)+IF(AND(AL$46&gt;=$C$9,AL$46&lt;=$C$41,AL47&gt;0),MIN(Inputs!D$149,$C$17*Inputs!D$148),0)</f>
        <v/>
      </c>
      <c r="AM63" s="90">
        <f>IF(AM$46=$C$9,Inputs!D$145+Inputs!D$146+$C$17*Inputs!D$150,0)+IF(AND(AM$46&gt;=$C$9,AM$46&lt;=$C$41),Inputs!D$147,0)+IF(AND(AM$46&gt;=$C$9,AM$46&lt;=$C$41,AM47&gt;0),MIN(Inputs!D$149,$C$17*Inputs!D$148),0)</f>
        <v/>
      </c>
      <c r="AN63" s="90">
        <f>IF(AN$46=$C$9,Inputs!D$145+Inputs!D$146+$C$17*Inputs!D$150,0)+IF(AND(AN$46&gt;=$C$9,AN$46&lt;=$C$41),Inputs!D$147,0)+IF(AND(AN$46&gt;=$C$9,AN$46&lt;=$C$41,AN47&gt;0),MIN(Inputs!D$149,$C$17*Inputs!D$148),0)</f>
        <v/>
      </c>
      <c r="AO63" s="90">
        <f>IF(AO$46=$C$9,Inputs!D$145+Inputs!D$146+$C$17*Inputs!D$150,0)+IF(AND(AO$46&gt;=$C$9,AO$46&lt;=$C$41),Inputs!D$147,0)+IF(AND(AO$46&gt;=$C$9,AO$46&lt;=$C$41,AO47&gt;0),MIN(Inputs!D$149,$C$17*Inputs!D$148),0)</f>
        <v/>
      </c>
      <c r="AP63" s="90">
        <f>IF(AP$46=$C$9,Inputs!D$145+Inputs!D$146+$C$17*Inputs!D$150,0)+IF(AND(AP$46&gt;=$C$9,AP$46&lt;=$C$41),Inputs!D$147,0)+IF(AND(AP$46&gt;=$C$9,AP$46&lt;=$C$41,AP47&gt;0),MIN(Inputs!D$149,$C$17*Inputs!D$148),0)</f>
        <v/>
      </c>
      <c r="AQ63" s="90">
        <f>IF(AQ$46=$C$9,Inputs!D$145+Inputs!D$146+$C$17*Inputs!D$150,0)+IF(AND(AQ$46&gt;=$C$9,AQ$46&lt;=$C$41),Inputs!D$147,0)+IF(AND(AQ$46&gt;=$C$9,AQ$46&lt;=$C$41,AQ47&gt;0),MIN(Inputs!D$149,$C$17*Inputs!D$148),0)</f>
        <v/>
      </c>
      <c r="AR63" s="90">
        <f>IF(AR$46=$C$9,Inputs!D$145+Inputs!D$146+$C$17*Inputs!D$150,0)+IF(AND(AR$46&gt;=$C$9,AR$46&lt;=$C$41),Inputs!D$147,0)+IF(AND(AR$46&gt;=$C$9,AR$46&lt;=$C$41,AR47&gt;0),MIN(Inputs!D$149,$C$17*Inputs!D$148),0)</f>
        <v/>
      </c>
      <c r="AS63" s="90">
        <f>IF(AS$46=$C$9,Inputs!D$145+Inputs!D$146+$C$17*Inputs!D$150,0)+IF(AND(AS$46&gt;=$C$9,AS$46&lt;=$C$41),Inputs!D$147,0)+IF(AND(AS$46&gt;=$C$9,AS$46&lt;=$C$41,AS47&gt;0),MIN(Inputs!D$149,$C$17*Inputs!D$148),0)</f>
        <v/>
      </c>
      <c r="AT63" s="90">
        <f>IF(AT$46=$C$9,Inputs!D$145+Inputs!D$146+$C$17*Inputs!D$150,0)+IF(AND(AT$46&gt;=$C$9,AT$46&lt;=$C$41),Inputs!D$147,0)+IF(AND(AT$46&gt;=$C$9,AT$46&lt;=$C$41,AT47&gt;0),MIN(Inputs!D$149,$C$17*Inputs!D$148),0)</f>
        <v/>
      </c>
      <c r="AU63" s="90">
        <f>IF(AU$46=$C$9,Inputs!D$145+Inputs!D$146+$C$17*Inputs!D$150,0)+IF(AND(AU$46&gt;=$C$9,AU$46&lt;=$C$41),Inputs!D$147,0)+IF(AND(AU$46&gt;=$C$9,AU$46&lt;=$C$41,AU47&gt;0),MIN(Inputs!D$149,$C$17*Inputs!D$148),0)</f>
        <v/>
      </c>
      <c r="AV63" s="90">
        <f>IF(AV$46=$C$9,Inputs!D$145+Inputs!D$146+$C$17*Inputs!D$150,0)+IF(AND(AV$46&gt;=$C$9,AV$46&lt;=$C$41),Inputs!D$147,0)+IF(AND(AV$46&gt;=$C$9,AV$46&lt;=$C$41,AV47&gt;0),MIN(Inputs!D$149,$C$17*Inputs!D$148),0)</f>
        <v/>
      </c>
      <c r="AW63" s="90">
        <f>IF(AW$46=$C$9,Inputs!D$145+Inputs!D$146+$C$17*Inputs!D$150,0)+IF(AND(AW$46&gt;=$C$9,AW$46&lt;=$C$41),Inputs!D$147,0)+IF(AND(AW$46&gt;=$C$9,AW$46&lt;=$C$41,AW47&gt;0),MIN(Inputs!D$149,$C$17*Inputs!D$148),0)</f>
        <v/>
      </c>
      <c r="AX63" s="90">
        <f>IF(AX$46=$C$9,Inputs!D$145+Inputs!D$146+$C$17*Inputs!D$150,0)+IF(AND(AX$46&gt;=$C$9,AX$46&lt;=$C$41),Inputs!D$147,0)+IF(AND(AX$46&gt;=$C$9,AX$46&lt;=$C$41,AX47&gt;0),MIN(Inputs!D$149,$C$17*Inputs!D$148),0)</f>
        <v/>
      </c>
      <c r="AY63" s="90">
        <f>IF(AY$46=$C$9,Inputs!D$145+Inputs!D$146+$C$17*Inputs!D$150,0)+IF(AND(AY$46&gt;=$C$9,AY$46&lt;=$C$41),Inputs!D$147,0)+IF(AND(AY$46&gt;=$C$9,AY$46&lt;=$C$41,AY47&gt;0),MIN(Inputs!D$149,$C$17*Inputs!D$148),0)</f>
        <v/>
      </c>
      <c r="AZ63" s="90">
        <f>IF(AZ$46=$C$9,Inputs!D$145+Inputs!D$146+$C$17*Inputs!D$150,0)+IF(AND(AZ$46&gt;=$C$9,AZ$46&lt;=$C$41),Inputs!D$147,0)+IF(AND(AZ$46&gt;=$C$9,AZ$46&lt;=$C$41,AZ47&gt;0),MIN(Inputs!D$149,$C$17*Inputs!D$148),0)</f>
        <v/>
      </c>
      <c r="BA63" s="90">
        <f>IF(BA$46=$C$9,Inputs!D$145+Inputs!D$146+$C$17*Inputs!D$150,0)+IF(AND(BA$46&gt;=$C$9,BA$46&lt;=$C$41),Inputs!D$147,0)+IF(AND(BA$46&gt;=$C$9,BA$46&lt;=$C$41,BA47&gt;0),MIN(Inputs!D$149,$C$17*Inputs!D$148),0)</f>
        <v/>
      </c>
      <c r="BB63" s="90">
        <f>IF(BB$46=$C$9,Inputs!D$145+Inputs!D$146+$C$17*Inputs!D$150,0)+IF(AND(BB$46&gt;=$C$9,BB$46&lt;=$C$41),Inputs!D$147,0)+IF(AND(BB$46&gt;=$C$9,BB$46&lt;=$C$41,BB47&gt;0),MIN(Inputs!D$149,$C$17*Inputs!D$148),0)</f>
        <v/>
      </c>
    </row>
    <row r="64" ht="15" customHeight="1" s="91">
      <c r="B64" s="153" t="inlineStr">
        <is>
          <t>Subscription Fee  رسوم الاشتراك</t>
        </is>
      </c>
      <c r="C64" s="153" t="inlineStr">
        <is>
          <t>SAR</t>
        </is>
      </c>
      <c r="D64" s="160">
        <f>SUM(E64:BB64)</f>
        <v/>
      </c>
      <c r="E64" s="160">
        <f>IF(E$46=$C$9,$C$14*$C$29,0)</f>
        <v/>
      </c>
      <c r="F64" s="160">
        <f>IF(F$46=$C$9,$C$14*$C$29,0)</f>
        <v/>
      </c>
      <c r="G64" s="160">
        <f>IF(G$46=$C$9,$C$14*$C$29,0)</f>
        <v/>
      </c>
      <c r="H64" s="160">
        <f>IF(H$46=$C$9,$C$14*$C$29,0)</f>
        <v/>
      </c>
      <c r="I64" s="160">
        <f>IF(I$46=$C$9,$C$14*$C$29,0)</f>
        <v/>
      </c>
      <c r="J64" s="160">
        <f>IF(J$46=$C$9,$C$14*$C$29,0)</f>
        <v/>
      </c>
      <c r="K64" s="160">
        <f>IF(K$46=$C$9,$C$14*$C$29,0)</f>
        <v/>
      </c>
      <c r="L64" s="160">
        <f>IF(L$46=$C$9,$C$14*$C$29,0)</f>
        <v/>
      </c>
      <c r="M64" s="160">
        <f>IF(M$46=$C$9,$C$14*$C$29,0)</f>
        <v/>
      </c>
      <c r="N64" s="160">
        <f>IF(N$46=$C$9,$C$14*$C$29,0)</f>
        <v/>
      </c>
      <c r="O64" s="160">
        <f>IF(O$46=$C$9,$C$14*$C$29,0)</f>
        <v/>
      </c>
      <c r="P64" s="160">
        <f>IF(P$46=$C$9,$C$14*$C$29,0)</f>
        <v/>
      </c>
      <c r="Q64" s="160">
        <f>IF(Q$46=$C$9,$C$14*$C$29,0)</f>
        <v/>
      </c>
      <c r="R64" s="160">
        <f>IF(R$46=$C$9,$C$14*$C$29,0)</f>
        <v/>
      </c>
      <c r="S64" s="160">
        <f>IF(S$46=$C$9,$C$14*$C$29,0)</f>
        <v/>
      </c>
      <c r="T64" s="160">
        <f>IF(T$46=$C$9,$C$14*$C$29,0)</f>
        <v/>
      </c>
      <c r="U64" s="160">
        <f>IF(U$46=$C$9,$C$14*$C$29,0)</f>
        <v/>
      </c>
      <c r="V64" s="160">
        <f>IF(V$46=$C$9,$C$14*$C$29,0)</f>
        <v/>
      </c>
      <c r="W64" s="160">
        <f>IF(W$46=$C$9,$C$14*$C$29,0)</f>
        <v/>
      </c>
      <c r="X64" s="160">
        <f>IF(X$46=$C$9,$C$14*$C$29,0)</f>
        <v/>
      </c>
      <c r="Y64" s="160">
        <f>IF(Y$46=$C$9,$C$14*$C$29,0)</f>
        <v/>
      </c>
      <c r="Z64" s="160">
        <f>IF(Z$46=$C$9,$C$14*$C$29,0)</f>
        <v/>
      </c>
      <c r="AA64" s="160">
        <f>IF(AA$46=$C$9,$C$14*$C$29,0)</f>
        <v/>
      </c>
      <c r="AB64" s="160">
        <f>IF(AB$46=$C$9,$C$14*$C$29,0)</f>
        <v/>
      </c>
      <c r="AC64" s="160">
        <f>IF(AC$46=$C$9,$C$14*$C$29,0)</f>
        <v/>
      </c>
      <c r="AD64" s="160">
        <f>IF(AD$46=$C$9,$C$14*$C$29,0)</f>
        <v/>
      </c>
      <c r="AE64" s="160">
        <f>IF(AE$46=$C$9,$C$14*$C$29,0)</f>
        <v/>
      </c>
      <c r="AF64" s="160">
        <f>IF(AF$46=$C$9,$C$14*$C$29,0)</f>
        <v/>
      </c>
      <c r="AG64" s="160">
        <f>IF(AG$46=$C$9,$C$14*$C$29,0)</f>
        <v/>
      </c>
      <c r="AH64" s="160">
        <f>IF(AH$46=$C$9,$C$14*$C$29,0)</f>
        <v/>
      </c>
      <c r="AI64" s="160">
        <f>IF(AI$46=$C$9,$C$14*$C$29,0)</f>
        <v/>
      </c>
      <c r="AJ64" s="160">
        <f>IF(AJ$46=$C$9,$C$14*$C$29,0)</f>
        <v/>
      </c>
      <c r="AK64" s="160">
        <f>IF(AK$46=$C$9,$C$14*$C$29,0)</f>
        <v/>
      </c>
      <c r="AL64" s="160">
        <f>IF(AL$46=$C$9,$C$14*$C$29,0)</f>
        <v/>
      </c>
      <c r="AM64" s="160">
        <f>IF(AM$46=$C$9,$C$14*$C$29,0)</f>
        <v/>
      </c>
      <c r="AN64" s="160">
        <f>IF(AN$46=$C$9,$C$14*$C$29,0)</f>
        <v/>
      </c>
      <c r="AO64" s="160">
        <f>IF(AO$46=$C$9,$C$14*$C$29,0)</f>
        <v/>
      </c>
      <c r="AP64" s="160">
        <f>IF(AP$46=$C$9,$C$14*$C$29,0)</f>
        <v/>
      </c>
      <c r="AQ64" s="160">
        <f>IF(AQ$46=$C$9,$C$14*$C$29,0)</f>
        <v/>
      </c>
      <c r="AR64" s="160">
        <f>IF(AR$46=$C$9,$C$14*$C$29,0)</f>
        <v/>
      </c>
      <c r="AS64" s="160">
        <f>IF(AS$46=$C$9,$C$14*$C$29,0)</f>
        <v/>
      </c>
      <c r="AT64" s="160">
        <f>IF(AT$46=$C$9,$C$14*$C$29,0)</f>
        <v/>
      </c>
      <c r="AU64" s="160">
        <f>IF(AU$46=$C$9,$C$14*$C$29,0)</f>
        <v/>
      </c>
      <c r="AV64" s="160">
        <f>IF(AV$46=$C$9,$C$14*$C$29,0)</f>
        <v/>
      </c>
      <c r="AW64" s="160">
        <f>IF(AW$46=$C$9,$C$14*$C$29,0)</f>
        <v/>
      </c>
      <c r="AX64" s="160">
        <f>IF(AX$46=$C$9,$C$14*$C$29,0)</f>
        <v/>
      </c>
      <c r="AY64" s="160">
        <f>IF(AY$46=$C$9,$C$14*$C$29,0)</f>
        <v/>
      </c>
      <c r="AZ64" s="160">
        <f>IF(AZ$46=$C$9,$C$14*$C$29,0)</f>
        <v/>
      </c>
      <c r="BA64" s="160">
        <f>IF(BA$46=$C$9,$C$14*$C$29,0)</f>
        <v/>
      </c>
      <c r="BB64" s="160">
        <f>IF(BB$46=$C$9,$C$14*$C$29,0)</f>
        <v/>
      </c>
    </row>
    <row r="65" ht="15" customHeight="1" s="91">
      <c r="B65" s="153" t="inlineStr">
        <is>
          <t>Management Fee  رسوم الإدارة (% of Fund Assets)</t>
        </is>
      </c>
      <c r="C65" s="153" t="inlineStr">
        <is>
          <t>SAR</t>
        </is>
      </c>
      <c r="D65" s="160">
        <f>SUM(E65:BB65)</f>
        <v/>
      </c>
      <c r="E65" s="160">
        <f>MIN(Inputs!D$142,IF(AND(E$46&gt;=$C$9,E$46&lt;=$C$41),$C$18*$C$30,0))</f>
        <v/>
      </c>
      <c r="F65" s="160">
        <f>MIN(Inputs!D$142,IF(AND(F$46&gt;=$C$9,F$46&lt;=$C$41),$C$18*$C$30,0))</f>
        <v/>
      </c>
      <c r="G65" s="160">
        <f>MIN(Inputs!D$142,IF(AND(G$46&gt;=$C$9,G$46&lt;=$C$41),$C$18*$C$30,0))</f>
        <v/>
      </c>
      <c r="H65" s="160">
        <f>MIN(Inputs!D$142,IF(AND(H$46&gt;=$C$9,H$46&lt;=$C$41),$C$18*$C$30,0))</f>
        <v/>
      </c>
      <c r="I65" s="160">
        <f>MIN(Inputs!D$142,IF(AND(I$46&gt;=$C$9,I$46&lt;=$C$41),$C$18*$C$30,0))</f>
        <v/>
      </c>
      <c r="J65" s="160">
        <f>MIN(Inputs!D$142,IF(AND(J$46&gt;=$C$9,J$46&lt;=$C$41),$C$18*$C$30,0))</f>
        <v/>
      </c>
      <c r="K65" s="160">
        <f>MIN(Inputs!D$142,IF(AND(K$46&gt;=$C$9,K$46&lt;=$C$41),$C$18*$C$30,0))</f>
        <v/>
      </c>
      <c r="L65" s="160">
        <f>MIN(Inputs!D$142,IF(AND(L$46&gt;=$C$9,L$46&lt;=$C$41),$C$18*$C$30,0))</f>
        <v/>
      </c>
      <c r="M65" s="160">
        <f>MIN(Inputs!D$142,IF(AND(M$46&gt;=$C$9,M$46&lt;=$C$41),$C$18*$C$30,0))</f>
        <v/>
      </c>
      <c r="N65" s="160">
        <f>MIN(Inputs!D$142,IF(AND(N$46&gt;=$C$9,N$46&lt;=$C$41),$C$18*$C$30,0))</f>
        <v/>
      </c>
      <c r="O65" s="160">
        <f>MIN(Inputs!D$142,IF(AND(O$46&gt;=$C$9,O$46&lt;=$C$41),$C$18*$C$30,0))</f>
        <v/>
      </c>
      <c r="P65" s="160">
        <f>MIN(Inputs!D$142,IF(AND(P$46&gt;=$C$9,P$46&lt;=$C$41),$C$18*$C$30,0))</f>
        <v/>
      </c>
      <c r="Q65" s="160">
        <f>MIN(Inputs!D$142,IF(AND(Q$46&gt;=$C$9,Q$46&lt;=$C$41),$C$18*$C$30,0))</f>
        <v/>
      </c>
      <c r="R65" s="160">
        <f>MIN(Inputs!D$142,IF(AND(R$46&gt;=$C$9,R$46&lt;=$C$41),$C$18*$C$30,0))</f>
        <v/>
      </c>
      <c r="S65" s="160">
        <f>MIN(Inputs!D$142,IF(AND(S$46&gt;=$C$9,S$46&lt;=$C$41),$C$18*$C$30,0))</f>
        <v/>
      </c>
      <c r="T65" s="160">
        <f>MIN(Inputs!D$142,IF(AND(T$46&gt;=$C$9,T$46&lt;=$C$41),$C$18*$C$30,0))</f>
        <v/>
      </c>
      <c r="U65" s="160">
        <f>MIN(Inputs!D$142,IF(AND(U$46&gt;=$C$9,U$46&lt;=$C$41),$C$18*$C$30,0))</f>
        <v/>
      </c>
      <c r="V65" s="160">
        <f>MIN(Inputs!D$142,IF(AND(V$46&gt;=$C$9,V$46&lt;=$C$41),$C$18*$C$30,0))</f>
        <v/>
      </c>
      <c r="W65" s="160">
        <f>MIN(Inputs!D$142,IF(AND(W$46&gt;=$C$9,W$46&lt;=$C$41),$C$18*$C$30,0))</f>
        <v/>
      </c>
      <c r="X65" s="160">
        <f>MIN(Inputs!D$142,IF(AND(X$46&gt;=$C$9,X$46&lt;=$C$41),$C$18*$C$30,0))</f>
        <v/>
      </c>
      <c r="Y65" s="160">
        <f>MIN(Inputs!D$142,IF(AND(Y$46&gt;=$C$9,Y$46&lt;=$C$41),$C$18*$C$30,0))</f>
        <v/>
      </c>
      <c r="Z65" s="160">
        <f>MIN(Inputs!D$142,IF(AND(Z$46&gt;=$C$9,Z$46&lt;=$C$41),$C$18*$C$30,0))</f>
        <v/>
      </c>
      <c r="AA65" s="160">
        <f>MIN(Inputs!D$142,IF(AND(AA$46&gt;=$C$9,AA$46&lt;=$C$41),$C$18*$C$30,0))</f>
        <v/>
      </c>
      <c r="AB65" s="160">
        <f>MIN(Inputs!D$142,IF(AND(AB$46&gt;=$C$9,AB$46&lt;=$C$41),$C$18*$C$30,0))</f>
        <v/>
      </c>
      <c r="AC65" s="160">
        <f>MIN(Inputs!D$142,IF(AND(AC$46&gt;=$C$9,AC$46&lt;=$C$41),$C$18*$C$30,0))</f>
        <v/>
      </c>
      <c r="AD65" s="160">
        <f>MIN(Inputs!D$142,IF(AND(AD$46&gt;=$C$9,AD$46&lt;=$C$41),$C$18*$C$30,0))</f>
        <v/>
      </c>
      <c r="AE65" s="160">
        <f>MIN(Inputs!D$142,IF(AND(AE$46&gt;=$C$9,AE$46&lt;=$C$41),$C$18*$C$30,0))</f>
        <v/>
      </c>
      <c r="AF65" s="160">
        <f>MIN(Inputs!D$142,IF(AND(AF$46&gt;=$C$9,AF$46&lt;=$C$41),$C$18*$C$30,0))</f>
        <v/>
      </c>
      <c r="AG65" s="160">
        <f>MIN(Inputs!D$142,IF(AND(AG$46&gt;=$C$9,AG$46&lt;=$C$41),$C$18*$C$30,0))</f>
        <v/>
      </c>
      <c r="AH65" s="160">
        <f>MIN(Inputs!D$142,IF(AND(AH$46&gt;=$C$9,AH$46&lt;=$C$41),$C$18*$C$30,0))</f>
        <v/>
      </c>
      <c r="AI65" s="160">
        <f>MIN(Inputs!D$142,IF(AND(AI$46&gt;=$C$9,AI$46&lt;=$C$41),$C$18*$C$30,0))</f>
        <v/>
      </c>
      <c r="AJ65" s="160">
        <f>MIN(Inputs!D$142,IF(AND(AJ$46&gt;=$C$9,AJ$46&lt;=$C$41),$C$18*$C$30,0))</f>
        <v/>
      </c>
      <c r="AK65" s="160">
        <f>MIN(Inputs!D$142,IF(AND(AK$46&gt;=$C$9,AK$46&lt;=$C$41),$C$18*$C$30,0))</f>
        <v/>
      </c>
      <c r="AL65" s="160">
        <f>MIN(Inputs!D$142,IF(AND(AL$46&gt;=$C$9,AL$46&lt;=$C$41),$C$18*$C$30,0))</f>
        <v/>
      </c>
      <c r="AM65" s="160">
        <f>MIN(Inputs!D$142,IF(AND(AM$46&gt;=$C$9,AM$46&lt;=$C$41),$C$18*$C$30,0))</f>
        <v/>
      </c>
      <c r="AN65" s="160">
        <f>MIN(Inputs!D$142,IF(AND(AN$46&gt;=$C$9,AN$46&lt;=$C$41),$C$18*$C$30,0))</f>
        <v/>
      </c>
      <c r="AO65" s="160">
        <f>MIN(Inputs!D$142,IF(AND(AO$46&gt;=$C$9,AO$46&lt;=$C$41),$C$18*$C$30,0))</f>
        <v/>
      </c>
      <c r="AP65" s="160">
        <f>MIN(Inputs!D$142,IF(AND(AP$46&gt;=$C$9,AP$46&lt;=$C$41),$C$18*$C$30,0))</f>
        <v/>
      </c>
      <c r="AQ65" s="160">
        <f>MIN(Inputs!D$142,IF(AND(AQ$46&gt;=$C$9,AQ$46&lt;=$C$41),$C$18*$C$30,0))</f>
        <v/>
      </c>
      <c r="AR65" s="160">
        <f>MIN(Inputs!D$142,IF(AND(AR$46&gt;=$C$9,AR$46&lt;=$C$41),$C$18*$C$30,0))</f>
        <v/>
      </c>
      <c r="AS65" s="160">
        <f>MIN(Inputs!D$142,IF(AND(AS$46&gt;=$C$9,AS$46&lt;=$C$41),$C$18*$C$30,0))</f>
        <v/>
      </c>
      <c r="AT65" s="160">
        <f>MIN(Inputs!D$142,IF(AND(AT$46&gt;=$C$9,AT$46&lt;=$C$41),$C$18*$C$30,0))</f>
        <v/>
      </c>
      <c r="AU65" s="160">
        <f>MIN(Inputs!D$142,IF(AND(AU$46&gt;=$C$9,AU$46&lt;=$C$41),$C$18*$C$30,0))</f>
        <v/>
      </c>
      <c r="AV65" s="160">
        <f>MIN(Inputs!D$142,IF(AND(AV$46&gt;=$C$9,AV$46&lt;=$C$41),$C$18*$C$30,0))</f>
        <v/>
      </c>
      <c r="AW65" s="160">
        <f>MIN(Inputs!D$142,IF(AND(AW$46&gt;=$C$9,AW$46&lt;=$C$41),$C$18*$C$30,0))</f>
        <v/>
      </c>
      <c r="AX65" s="160">
        <f>MIN(Inputs!D$142,IF(AND(AX$46&gt;=$C$9,AX$46&lt;=$C$41),$C$18*$C$30,0))</f>
        <v/>
      </c>
      <c r="AY65" s="160">
        <f>MIN(Inputs!D$142,IF(AND(AY$46&gt;=$C$9,AY$46&lt;=$C$41),$C$18*$C$30,0))</f>
        <v/>
      </c>
      <c r="AZ65" s="160">
        <f>MIN(Inputs!D$142,IF(AND(AZ$46&gt;=$C$9,AZ$46&lt;=$C$41),$C$18*$C$30,0))</f>
        <v/>
      </c>
      <c r="BA65" s="160">
        <f>MIN(Inputs!D$142,IF(AND(BA$46&gt;=$C$9,BA$46&lt;=$C$41),$C$18*$C$30,0))</f>
        <v/>
      </c>
      <c r="BB65" s="160">
        <f>MIN(Inputs!D$142,IF(AND(BB$46&gt;=$C$9,BB$46&lt;=$C$41),$C$18*$C$30,0))</f>
        <v/>
      </c>
    </row>
    <row r="66" ht="15" customHeight="1" s="91">
      <c r="B66" s="153" t="inlineStr">
        <is>
          <t>Custody Fee  رسوم الحفظ</t>
        </is>
      </c>
      <c r="C66" s="153" t="inlineStr">
        <is>
          <t>SAR</t>
        </is>
      </c>
      <c r="D66" s="160">
        <f>SUM(E66:BB66)</f>
        <v/>
      </c>
      <c r="E66" s="160">
        <f>IF(AND($C$17&gt;0,E$46&gt;=$C$9,E$46&lt;=$C$41),$C$31,0)</f>
        <v/>
      </c>
      <c r="F66" s="160">
        <f>IF(AND($C$17&gt;0,F$46&gt;=$C$9,F$46&lt;=$C$41),$C$31,0)</f>
        <v/>
      </c>
      <c r="G66" s="160">
        <f>IF(AND($C$17&gt;0,G$46&gt;=$C$9,G$46&lt;=$C$41),$C$31,0)</f>
        <v/>
      </c>
      <c r="H66" s="160">
        <f>IF(AND($C$17&gt;0,H$46&gt;=$C$9,H$46&lt;=$C$41),$C$31,0)</f>
        <v/>
      </c>
      <c r="I66" s="160">
        <f>IF(AND($C$17&gt;0,I$46&gt;=$C$9,I$46&lt;=$C$41),$C$31,0)</f>
        <v/>
      </c>
      <c r="J66" s="160">
        <f>IF(AND($C$17&gt;0,J$46&gt;=$C$9,J$46&lt;=$C$41),$C$31,0)</f>
        <v/>
      </c>
      <c r="K66" s="160">
        <f>IF(AND($C$17&gt;0,K$46&gt;=$C$9,K$46&lt;=$C$41),$C$31,0)</f>
        <v/>
      </c>
      <c r="L66" s="160">
        <f>IF(AND($C$17&gt;0,L$46&gt;=$C$9,L$46&lt;=$C$41),$C$31,0)</f>
        <v/>
      </c>
      <c r="M66" s="160">
        <f>IF(AND($C$17&gt;0,M$46&gt;=$C$9,M$46&lt;=$C$41),$C$31,0)</f>
        <v/>
      </c>
      <c r="N66" s="160">
        <f>IF(AND($C$17&gt;0,N$46&gt;=$C$9,N$46&lt;=$C$41),$C$31,0)</f>
        <v/>
      </c>
      <c r="O66" s="160">
        <f>IF(AND($C$17&gt;0,O$46&gt;=$C$9,O$46&lt;=$C$41),$C$31,0)</f>
        <v/>
      </c>
      <c r="P66" s="160">
        <f>IF(AND($C$17&gt;0,P$46&gt;=$C$9,P$46&lt;=$C$41),$C$31,0)</f>
        <v/>
      </c>
      <c r="Q66" s="160">
        <f>IF(AND($C$17&gt;0,Q$46&gt;=$C$9,Q$46&lt;=$C$41),$C$31,0)</f>
        <v/>
      </c>
      <c r="R66" s="160">
        <f>IF(AND($C$17&gt;0,R$46&gt;=$C$9,R$46&lt;=$C$41),$C$31,0)</f>
        <v/>
      </c>
      <c r="S66" s="160">
        <f>IF(AND($C$17&gt;0,S$46&gt;=$C$9,S$46&lt;=$C$41),$C$31,0)</f>
        <v/>
      </c>
      <c r="T66" s="160">
        <f>IF(AND($C$17&gt;0,T$46&gt;=$C$9,T$46&lt;=$C$41),$C$31,0)</f>
        <v/>
      </c>
      <c r="U66" s="160">
        <f>IF(AND($C$17&gt;0,U$46&gt;=$C$9,U$46&lt;=$C$41),$C$31,0)</f>
        <v/>
      </c>
      <c r="V66" s="160">
        <f>IF(AND($C$17&gt;0,V$46&gt;=$C$9,V$46&lt;=$C$41),$C$31,0)</f>
        <v/>
      </c>
      <c r="W66" s="160">
        <f>IF(AND($C$17&gt;0,W$46&gt;=$C$9,W$46&lt;=$C$41),$C$31,0)</f>
        <v/>
      </c>
      <c r="X66" s="160">
        <f>IF(AND($C$17&gt;0,X$46&gt;=$C$9,X$46&lt;=$C$41),$C$31,0)</f>
        <v/>
      </c>
      <c r="Y66" s="160">
        <f>IF(AND($C$17&gt;0,Y$46&gt;=$C$9,Y$46&lt;=$C$41),$C$31,0)</f>
        <v/>
      </c>
      <c r="Z66" s="160">
        <f>IF(AND($C$17&gt;0,Z$46&gt;=$C$9,Z$46&lt;=$C$41),$C$31,0)</f>
        <v/>
      </c>
      <c r="AA66" s="160">
        <f>IF(AND($C$17&gt;0,AA$46&gt;=$C$9,AA$46&lt;=$C$41),$C$31,0)</f>
        <v/>
      </c>
      <c r="AB66" s="160">
        <f>IF(AND($C$17&gt;0,AB$46&gt;=$C$9,AB$46&lt;=$C$41),$C$31,0)</f>
        <v/>
      </c>
      <c r="AC66" s="160">
        <f>IF(AND($C$17&gt;0,AC$46&gt;=$C$9,AC$46&lt;=$C$41),$C$31,0)</f>
        <v/>
      </c>
      <c r="AD66" s="160">
        <f>IF(AND($C$17&gt;0,AD$46&gt;=$C$9,AD$46&lt;=$C$41),$C$31,0)</f>
        <v/>
      </c>
      <c r="AE66" s="160">
        <f>IF(AND($C$17&gt;0,AE$46&gt;=$C$9,AE$46&lt;=$C$41),$C$31,0)</f>
        <v/>
      </c>
      <c r="AF66" s="160">
        <f>IF(AND($C$17&gt;0,AF$46&gt;=$C$9,AF$46&lt;=$C$41),$C$31,0)</f>
        <v/>
      </c>
      <c r="AG66" s="160">
        <f>IF(AND($C$17&gt;0,AG$46&gt;=$C$9,AG$46&lt;=$C$41),$C$31,0)</f>
        <v/>
      </c>
      <c r="AH66" s="160">
        <f>IF(AND($C$17&gt;0,AH$46&gt;=$C$9,AH$46&lt;=$C$41),$C$31,0)</f>
        <v/>
      </c>
      <c r="AI66" s="160">
        <f>IF(AND($C$17&gt;0,AI$46&gt;=$C$9,AI$46&lt;=$C$41),$C$31,0)</f>
        <v/>
      </c>
      <c r="AJ66" s="160">
        <f>IF(AND($C$17&gt;0,AJ$46&gt;=$C$9,AJ$46&lt;=$C$41),$C$31,0)</f>
        <v/>
      </c>
      <c r="AK66" s="160">
        <f>IF(AND($C$17&gt;0,AK$46&gt;=$C$9,AK$46&lt;=$C$41),$C$31,0)</f>
        <v/>
      </c>
      <c r="AL66" s="160">
        <f>IF(AND($C$17&gt;0,AL$46&gt;=$C$9,AL$46&lt;=$C$41),$C$31,0)</f>
        <v/>
      </c>
      <c r="AM66" s="160">
        <f>IF(AND($C$17&gt;0,AM$46&gt;=$C$9,AM$46&lt;=$C$41),$C$31,0)</f>
        <v/>
      </c>
      <c r="AN66" s="160">
        <f>IF(AND($C$17&gt;0,AN$46&gt;=$C$9,AN$46&lt;=$C$41),$C$31,0)</f>
        <v/>
      </c>
      <c r="AO66" s="160">
        <f>IF(AND($C$17&gt;0,AO$46&gt;=$C$9,AO$46&lt;=$C$41),$C$31,0)</f>
        <v/>
      </c>
      <c r="AP66" s="160">
        <f>IF(AND($C$17&gt;0,AP$46&gt;=$C$9,AP$46&lt;=$C$41),$C$31,0)</f>
        <v/>
      </c>
      <c r="AQ66" s="160">
        <f>IF(AND($C$17&gt;0,AQ$46&gt;=$C$9,AQ$46&lt;=$C$41),$C$31,0)</f>
        <v/>
      </c>
      <c r="AR66" s="160">
        <f>IF(AND($C$17&gt;0,AR$46&gt;=$C$9,AR$46&lt;=$C$41),$C$31,0)</f>
        <v/>
      </c>
      <c r="AS66" s="160">
        <f>IF(AND($C$17&gt;0,AS$46&gt;=$C$9,AS$46&lt;=$C$41),$C$31,0)</f>
        <v/>
      </c>
      <c r="AT66" s="160">
        <f>IF(AND($C$17&gt;0,AT$46&gt;=$C$9,AT$46&lt;=$C$41),$C$31,0)</f>
        <v/>
      </c>
      <c r="AU66" s="160">
        <f>IF(AND($C$17&gt;0,AU$46&gt;=$C$9,AU$46&lt;=$C$41),$C$31,0)</f>
        <v/>
      </c>
      <c r="AV66" s="160">
        <f>IF(AND($C$17&gt;0,AV$46&gt;=$C$9,AV$46&lt;=$C$41),$C$31,0)</f>
        <v/>
      </c>
      <c r="AW66" s="160">
        <f>IF(AND($C$17&gt;0,AW$46&gt;=$C$9,AW$46&lt;=$C$41),$C$31,0)</f>
        <v/>
      </c>
      <c r="AX66" s="160">
        <f>IF(AND($C$17&gt;0,AX$46&gt;=$C$9,AX$46&lt;=$C$41),$C$31,0)</f>
        <v/>
      </c>
      <c r="AY66" s="160">
        <f>IF(AND($C$17&gt;0,AY$46&gt;=$C$9,AY$46&lt;=$C$41),$C$31,0)</f>
        <v/>
      </c>
      <c r="AZ66" s="160">
        <f>IF(AND($C$17&gt;0,AZ$46&gt;=$C$9,AZ$46&lt;=$C$41),$C$31,0)</f>
        <v/>
      </c>
      <c r="BA66" s="160">
        <f>IF(AND($C$17&gt;0,BA$46&gt;=$C$9,BA$46&lt;=$C$41),$C$31,0)</f>
        <v/>
      </c>
      <c r="BB66" s="160">
        <f>IF(AND($C$17&gt;0,BB$46&gt;=$C$9,BB$46&lt;=$C$41),$C$31,0)</f>
        <v/>
      </c>
    </row>
    <row r="67" ht="15" customHeight="1" s="91">
      <c r="B67" s="153" t="inlineStr">
        <is>
          <t>Developer Fee  رسوم المطور</t>
        </is>
      </c>
      <c r="C67" s="153" t="inlineStr">
        <is>
          <t>SAR</t>
        </is>
      </c>
      <c r="D67" s="160">
        <f>SUM(E67:BB67)</f>
        <v/>
      </c>
      <c r="E67" s="160">
        <f>IF(AND(E49&lt;0,E$46&gt;=$C$9,E$46&lt;=$C$41),ABS(E49)*$C$32,0)</f>
        <v/>
      </c>
      <c r="F67" s="160">
        <f>IF(AND(F49&lt;0,F$46&gt;=$C$9,F$46&lt;=$C$41),ABS(F49)*$C$32,0)</f>
        <v/>
      </c>
      <c r="G67" s="160">
        <f>IF(AND(G49&lt;0,G$46&gt;=$C$9,G$46&lt;=$C$41),ABS(G49)*$C$32,0)</f>
        <v/>
      </c>
      <c r="H67" s="160">
        <f>IF(AND(H49&lt;0,H$46&gt;=$C$9,H$46&lt;=$C$41),ABS(H49)*$C$32,0)</f>
        <v/>
      </c>
      <c r="I67" s="160">
        <f>IF(AND(I49&lt;0,I$46&gt;=$C$9,I$46&lt;=$C$41),ABS(I49)*$C$32,0)</f>
        <v/>
      </c>
      <c r="J67" s="160">
        <f>IF(AND(J49&lt;0,J$46&gt;=$C$9,J$46&lt;=$C$41),ABS(J49)*$C$32,0)</f>
        <v/>
      </c>
      <c r="K67" s="160">
        <f>IF(AND(K49&lt;0,K$46&gt;=$C$9,K$46&lt;=$C$41),ABS(K49)*$C$32,0)</f>
        <v/>
      </c>
      <c r="L67" s="160">
        <f>IF(AND(L49&lt;0,L$46&gt;=$C$9,L$46&lt;=$C$41),ABS(L49)*$C$32,0)</f>
        <v/>
      </c>
      <c r="M67" s="160">
        <f>IF(AND(M49&lt;0,M$46&gt;=$C$9,M$46&lt;=$C$41),ABS(M49)*$C$32,0)</f>
        <v/>
      </c>
      <c r="N67" s="160">
        <f>IF(AND(N49&lt;0,N$46&gt;=$C$9,N$46&lt;=$C$41),ABS(N49)*$C$32,0)</f>
        <v/>
      </c>
      <c r="O67" s="160">
        <f>IF(AND(O49&lt;0,O$46&gt;=$C$9,O$46&lt;=$C$41),ABS(O49)*$C$32,0)</f>
        <v/>
      </c>
      <c r="P67" s="160">
        <f>IF(AND(P49&lt;0,P$46&gt;=$C$9,P$46&lt;=$C$41),ABS(P49)*$C$32,0)</f>
        <v/>
      </c>
      <c r="Q67" s="160">
        <f>IF(AND(Q49&lt;0,Q$46&gt;=$C$9,Q$46&lt;=$C$41),ABS(Q49)*$C$32,0)</f>
        <v/>
      </c>
      <c r="R67" s="160">
        <f>IF(AND(R49&lt;0,R$46&gt;=$C$9,R$46&lt;=$C$41),ABS(R49)*$C$32,0)</f>
        <v/>
      </c>
      <c r="S67" s="160">
        <f>IF(AND(S49&lt;0,S$46&gt;=$C$9,S$46&lt;=$C$41),ABS(S49)*$C$32,0)</f>
        <v/>
      </c>
      <c r="T67" s="160">
        <f>IF(AND(T49&lt;0,T$46&gt;=$C$9,T$46&lt;=$C$41),ABS(T49)*$C$32,0)</f>
        <v/>
      </c>
      <c r="U67" s="160">
        <f>IF(AND(U49&lt;0,U$46&gt;=$C$9,U$46&lt;=$C$41),ABS(U49)*$C$32,0)</f>
        <v/>
      </c>
      <c r="V67" s="160">
        <f>IF(AND(V49&lt;0,V$46&gt;=$C$9,V$46&lt;=$C$41),ABS(V49)*$C$32,0)</f>
        <v/>
      </c>
      <c r="W67" s="160">
        <f>IF(AND(W49&lt;0,W$46&gt;=$C$9,W$46&lt;=$C$41),ABS(W49)*$C$32,0)</f>
        <v/>
      </c>
      <c r="X67" s="160">
        <f>IF(AND(X49&lt;0,X$46&gt;=$C$9,X$46&lt;=$C$41),ABS(X49)*$C$32,0)</f>
        <v/>
      </c>
      <c r="Y67" s="160">
        <f>IF(AND(Y49&lt;0,Y$46&gt;=$C$9,Y$46&lt;=$C$41),ABS(Y49)*$C$32,0)</f>
        <v/>
      </c>
      <c r="Z67" s="160">
        <f>IF(AND(Z49&lt;0,Z$46&gt;=$C$9,Z$46&lt;=$C$41),ABS(Z49)*$C$32,0)</f>
        <v/>
      </c>
      <c r="AA67" s="160">
        <f>IF(AND(AA49&lt;0,AA$46&gt;=$C$9,AA$46&lt;=$C$41),ABS(AA49)*$C$32,0)</f>
        <v/>
      </c>
      <c r="AB67" s="160">
        <f>IF(AND(AB49&lt;0,AB$46&gt;=$C$9,AB$46&lt;=$C$41),ABS(AB49)*$C$32,0)</f>
        <v/>
      </c>
      <c r="AC67" s="160">
        <f>IF(AND(AC49&lt;0,AC$46&gt;=$C$9,AC$46&lt;=$C$41),ABS(AC49)*$C$32,0)</f>
        <v/>
      </c>
      <c r="AD67" s="160">
        <f>IF(AND(AD49&lt;0,AD$46&gt;=$C$9,AD$46&lt;=$C$41),ABS(AD49)*$C$32,0)</f>
        <v/>
      </c>
      <c r="AE67" s="160">
        <f>IF(AND(AE49&lt;0,AE$46&gt;=$C$9,AE$46&lt;=$C$41),ABS(AE49)*$C$32,0)</f>
        <v/>
      </c>
      <c r="AF67" s="160">
        <f>IF(AND(AF49&lt;0,AF$46&gt;=$C$9,AF$46&lt;=$C$41),ABS(AF49)*$C$32,0)</f>
        <v/>
      </c>
      <c r="AG67" s="160">
        <f>IF(AND(AG49&lt;0,AG$46&gt;=$C$9,AG$46&lt;=$C$41),ABS(AG49)*$C$32,0)</f>
        <v/>
      </c>
      <c r="AH67" s="160">
        <f>IF(AND(AH49&lt;0,AH$46&gt;=$C$9,AH$46&lt;=$C$41),ABS(AH49)*$C$32,0)</f>
        <v/>
      </c>
      <c r="AI67" s="160">
        <f>IF(AND(AI49&lt;0,AI$46&gt;=$C$9,AI$46&lt;=$C$41),ABS(AI49)*$C$32,0)</f>
        <v/>
      </c>
      <c r="AJ67" s="160">
        <f>IF(AND(AJ49&lt;0,AJ$46&gt;=$C$9,AJ$46&lt;=$C$41),ABS(AJ49)*$C$32,0)</f>
        <v/>
      </c>
      <c r="AK67" s="160">
        <f>IF(AND(AK49&lt;0,AK$46&gt;=$C$9,AK$46&lt;=$C$41),ABS(AK49)*$C$32,0)</f>
        <v/>
      </c>
      <c r="AL67" s="160">
        <f>IF(AND(AL49&lt;0,AL$46&gt;=$C$9,AL$46&lt;=$C$41),ABS(AL49)*$C$32,0)</f>
        <v/>
      </c>
      <c r="AM67" s="160">
        <f>IF(AND(AM49&lt;0,AM$46&gt;=$C$9,AM$46&lt;=$C$41),ABS(AM49)*$C$32,0)</f>
        <v/>
      </c>
      <c r="AN67" s="160">
        <f>IF(AND(AN49&lt;0,AN$46&gt;=$C$9,AN$46&lt;=$C$41),ABS(AN49)*$C$32,0)</f>
        <v/>
      </c>
      <c r="AO67" s="160">
        <f>IF(AND(AO49&lt;0,AO$46&gt;=$C$9,AO$46&lt;=$C$41),ABS(AO49)*$C$32,0)</f>
        <v/>
      </c>
      <c r="AP67" s="160">
        <f>IF(AND(AP49&lt;0,AP$46&gt;=$C$9,AP$46&lt;=$C$41),ABS(AP49)*$C$32,0)</f>
        <v/>
      </c>
      <c r="AQ67" s="160">
        <f>IF(AND(AQ49&lt;0,AQ$46&gt;=$C$9,AQ$46&lt;=$C$41),ABS(AQ49)*$C$32,0)</f>
        <v/>
      </c>
      <c r="AR67" s="160">
        <f>IF(AND(AR49&lt;0,AR$46&gt;=$C$9,AR$46&lt;=$C$41),ABS(AR49)*$C$32,0)</f>
        <v/>
      </c>
      <c r="AS67" s="160">
        <f>IF(AND(AS49&lt;0,AS$46&gt;=$C$9,AS$46&lt;=$C$41),ABS(AS49)*$C$32,0)</f>
        <v/>
      </c>
      <c r="AT67" s="160">
        <f>IF(AND(AT49&lt;0,AT$46&gt;=$C$9,AT$46&lt;=$C$41),ABS(AT49)*$C$32,0)</f>
        <v/>
      </c>
      <c r="AU67" s="160">
        <f>IF(AND(AU49&lt;0,AU$46&gt;=$C$9,AU$46&lt;=$C$41),ABS(AU49)*$C$32,0)</f>
        <v/>
      </c>
      <c r="AV67" s="160">
        <f>IF(AND(AV49&lt;0,AV$46&gt;=$C$9,AV$46&lt;=$C$41),ABS(AV49)*$C$32,0)</f>
        <v/>
      </c>
      <c r="AW67" s="160">
        <f>IF(AND(AW49&lt;0,AW$46&gt;=$C$9,AW$46&lt;=$C$41),ABS(AW49)*$C$32,0)</f>
        <v/>
      </c>
      <c r="AX67" s="160">
        <f>IF(AND(AX49&lt;0,AX$46&gt;=$C$9,AX$46&lt;=$C$41),ABS(AX49)*$C$32,0)</f>
        <v/>
      </c>
      <c r="AY67" s="160">
        <f>IF(AND(AY49&lt;0,AY$46&gt;=$C$9,AY$46&lt;=$C$41),ABS(AY49)*$C$32,0)</f>
        <v/>
      </c>
      <c r="AZ67" s="160">
        <f>IF(AND(AZ49&lt;0,AZ$46&gt;=$C$9,AZ$46&lt;=$C$41),ABS(AZ49)*$C$32,0)</f>
        <v/>
      </c>
      <c r="BA67" s="160">
        <f>IF(AND(BA49&lt;0,BA$46&gt;=$C$9,BA$46&lt;=$C$41),ABS(BA49)*$C$32,0)</f>
        <v/>
      </c>
      <c r="BB67" s="160">
        <f>IF(AND(BB49&lt;0,BB$46&gt;=$C$9,BB$46&lt;=$C$41),ABS(BB49)*$C$32,0)</f>
        <v/>
      </c>
    </row>
    <row r="68" ht="15" customHeight="1" s="91">
      <c r="B68" s="153" t="inlineStr">
        <is>
          <t>Structuring Fee  رسوم الهيكلة</t>
        </is>
      </c>
      <c r="C68" s="153" t="inlineStr">
        <is>
          <t>SAR</t>
        </is>
      </c>
      <c r="D68" s="160">
        <f>SUM(E68:BB68)</f>
        <v/>
      </c>
      <c r="E68" s="160">
        <f>IF(E$46=$C$9,MIN(Inputs!D$143,ABS($D$49)*$C$33),0)</f>
        <v/>
      </c>
      <c r="F68" s="160">
        <f>IF(F$46=$C$9,MIN(Inputs!D$143,ABS($D$49)*$C$33),0)</f>
        <v/>
      </c>
      <c r="G68" s="160">
        <f>IF(G$46=$C$9,MIN(Inputs!D$143,ABS($D$49)*$C$33),0)</f>
        <v/>
      </c>
      <c r="H68" s="160">
        <f>IF(H$46=$C$9,MIN(Inputs!D$143,ABS($D$49)*$C$33),0)</f>
        <v/>
      </c>
      <c r="I68" s="160">
        <f>IF(I$46=$C$9,MIN(Inputs!D$143,ABS($D$49)*$C$33),0)</f>
        <v/>
      </c>
      <c r="J68" s="160">
        <f>IF(J$46=$C$9,MIN(Inputs!D$143,ABS($D$49)*$C$33),0)</f>
        <v/>
      </c>
      <c r="K68" s="160">
        <f>IF(K$46=$C$9,MIN(Inputs!D$143,ABS($D$49)*$C$33),0)</f>
        <v/>
      </c>
      <c r="L68" s="160">
        <f>IF(L$46=$C$9,MIN(Inputs!D$143,ABS($D$49)*$C$33),0)</f>
        <v/>
      </c>
      <c r="M68" s="160">
        <f>IF(M$46=$C$9,MIN(Inputs!D$143,ABS($D$49)*$C$33),0)</f>
        <v/>
      </c>
      <c r="N68" s="160">
        <f>IF(N$46=$C$9,MIN(Inputs!D$143,ABS($D$49)*$C$33),0)</f>
        <v/>
      </c>
      <c r="O68" s="160">
        <f>IF(O$46=$C$9,MIN(Inputs!D$143,ABS($D$49)*$C$33),0)</f>
        <v/>
      </c>
      <c r="P68" s="160">
        <f>IF(P$46=$C$9,MIN(Inputs!D$143,ABS($D$49)*$C$33),0)</f>
        <v/>
      </c>
      <c r="Q68" s="160">
        <f>IF(Q$46=$C$9,MIN(Inputs!D$143,ABS($D$49)*$C$33),0)</f>
        <v/>
      </c>
      <c r="R68" s="160">
        <f>IF(R$46=$C$9,MIN(Inputs!D$143,ABS($D$49)*$C$33),0)</f>
        <v/>
      </c>
      <c r="S68" s="160">
        <f>IF(S$46=$C$9,MIN(Inputs!D$143,ABS($D$49)*$C$33),0)</f>
        <v/>
      </c>
      <c r="T68" s="160">
        <f>IF(T$46=$C$9,MIN(Inputs!D$143,ABS($D$49)*$C$33),0)</f>
        <v/>
      </c>
      <c r="U68" s="160">
        <f>IF(U$46=$C$9,MIN(Inputs!D$143,ABS($D$49)*$C$33),0)</f>
        <v/>
      </c>
      <c r="V68" s="160">
        <f>IF(V$46=$C$9,MIN(Inputs!D$143,ABS($D$49)*$C$33),0)</f>
        <v/>
      </c>
      <c r="W68" s="160">
        <f>IF(W$46=$C$9,MIN(Inputs!D$143,ABS($D$49)*$C$33),0)</f>
        <v/>
      </c>
      <c r="X68" s="160">
        <f>IF(X$46=$C$9,MIN(Inputs!D$143,ABS($D$49)*$C$33),0)</f>
        <v/>
      </c>
      <c r="Y68" s="160">
        <f>IF(Y$46=$C$9,MIN(Inputs!D$143,ABS($D$49)*$C$33),0)</f>
        <v/>
      </c>
      <c r="Z68" s="160">
        <f>IF(Z$46=$C$9,MIN(Inputs!D$143,ABS($D$49)*$C$33),0)</f>
        <v/>
      </c>
      <c r="AA68" s="160">
        <f>IF(AA$46=$C$9,MIN(Inputs!D$143,ABS($D$49)*$C$33),0)</f>
        <v/>
      </c>
      <c r="AB68" s="160">
        <f>IF(AB$46=$C$9,MIN(Inputs!D$143,ABS($D$49)*$C$33),0)</f>
        <v/>
      </c>
      <c r="AC68" s="160">
        <f>IF(AC$46=$C$9,MIN(Inputs!D$143,ABS($D$49)*$C$33),0)</f>
        <v/>
      </c>
      <c r="AD68" s="160">
        <f>IF(AD$46=$C$9,MIN(Inputs!D$143,ABS($D$49)*$C$33),0)</f>
        <v/>
      </c>
      <c r="AE68" s="160">
        <f>IF(AE$46=$C$9,MIN(Inputs!D$143,ABS($D$49)*$C$33),0)</f>
        <v/>
      </c>
      <c r="AF68" s="160">
        <f>IF(AF$46=$C$9,MIN(Inputs!D$143,ABS($D$49)*$C$33),0)</f>
        <v/>
      </c>
      <c r="AG68" s="160">
        <f>IF(AG$46=$C$9,MIN(Inputs!D$143,ABS($D$49)*$C$33),0)</f>
        <v/>
      </c>
      <c r="AH68" s="160">
        <f>IF(AH$46=$C$9,MIN(Inputs!D$143,ABS($D$49)*$C$33),0)</f>
        <v/>
      </c>
      <c r="AI68" s="160">
        <f>IF(AI$46=$C$9,MIN(Inputs!D$143,ABS($D$49)*$C$33),0)</f>
        <v/>
      </c>
      <c r="AJ68" s="160">
        <f>IF(AJ$46=$C$9,MIN(Inputs!D$143,ABS($D$49)*$C$33),0)</f>
        <v/>
      </c>
      <c r="AK68" s="160">
        <f>IF(AK$46=$C$9,MIN(Inputs!D$143,ABS($D$49)*$C$33),0)</f>
        <v/>
      </c>
      <c r="AL68" s="160">
        <f>IF(AL$46=$C$9,MIN(Inputs!D$143,ABS($D$49)*$C$33),0)</f>
        <v/>
      </c>
      <c r="AM68" s="160">
        <f>IF(AM$46=$C$9,MIN(Inputs!D$143,ABS($D$49)*$C$33),0)</f>
        <v/>
      </c>
      <c r="AN68" s="160">
        <f>IF(AN$46=$C$9,MIN(Inputs!D$143,ABS($D$49)*$C$33),0)</f>
        <v/>
      </c>
      <c r="AO68" s="160">
        <f>IF(AO$46=$C$9,MIN(Inputs!D$143,ABS($D$49)*$C$33),0)</f>
        <v/>
      </c>
      <c r="AP68" s="160">
        <f>IF(AP$46=$C$9,MIN(Inputs!D$143,ABS($D$49)*$C$33),0)</f>
        <v/>
      </c>
      <c r="AQ68" s="160">
        <f>IF(AQ$46=$C$9,MIN(Inputs!D$143,ABS($D$49)*$C$33),0)</f>
        <v/>
      </c>
      <c r="AR68" s="160">
        <f>IF(AR$46=$C$9,MIN(Inputs!D$143,ABS($D$49)*$C$33),0)</f>
        <v/>
      </c>
      <c r="AS68" s="160">
        <f>IF(AS$46=$C$9,MIN(Inputs!D$143,ABS($D$49)*$C$33),0)</f>
        <v/>
      </c>
      <c r="AT68" s="160">
        <f>IF(AT$46=$C$9,MIN(Inputs!D$143,ABS($D$49)*$C$33),0)</f>
        <v/>
      </c>
      <c r="AU68" s="160">
        <f>IF(AU$46=$C$9,MIN(Inputs!D$143,ABS($D$49)*$C$33),0)</f>
        <v/>
      </c>
      <c r="AV68" s="160">
        <f>IF(AV$46=$C$9,MIN(Inputs!D$143,ABS($D$49)*$C$33),0)</f>
        <v/>
      </c>
      <c r="AW68" s="160">
        <f>IF(AW$46=$C$9,MIN(Inputs!D$143,ABS($D$49)*$C$33),0)</f>
        <v/>
      </c>
      <c r="AX68" s="160">
        <f>IF(AX$46=$C$9,MIN(Inputs!D$143,ABS($D$49)*$C$33),0)</f>
        <v/>
      </c>
      <c r="AY68" s="160">
        <f>IF(AY$46=$C$9,MIN(Inputs!D$143,ABS($D$49)*$C$33),0)</f>
        <v/>
      </c>
      <c r="AZ68" s="160">
        <f>IF(AZ$46=$C$9,MIN(Inputs!D$143,ABS($D$49)*$C$33),0)</f>
        <v/>
      </c>
      <c r="BA68" s="160">
        <f>IF(BA$46=$C$9,MIN(Inputs!D$143,ABS($D$49)*$C$33),0)</f>
        <v/>
      </c>
      <c r="BB68" s="160">
        <f>IF(BB$46=$C$9,MIN(Inputs!D$143,ABS($D$49)*$C$33),0)</f>
        <v/>
      </c>
    </row>
    <row r="69" ht="15" customHeight="1" s="91">
      <c r="B69" s="110" t="inlineStr">
        <is>
          <t>Total Fees  إجمالي الرسوم</t>
        </is>
      </c>
      <c r="C69" s="153" t="inlineStr">
        <is>
          <t>SAR</t>
        </is>
      </c>
      <c r="D69" s="157">
        <f>SUM(E69:BB69)</f>
        <v/>
      </c>
      <c r="E69" s="157">
        <f>E63+E64+E65+E66+E67+E68</f>
        <v/>
      </c>
      <c r="F69" s="157">
        <f>F63+F64+F65+F66+F67+F68</f>
        <v/>
      </c>
      <c r="G69" s="157">
        <f>G63+G64+G65+G66+G67+G68</f>
        <v/>
      </c>
      <c r="H69" s="157">
        <f>H63+H64+H65+H66+H67+H68</f>
        <v/>
      </c>
      <c r="I69" s="157">
        <f>I63+I64+I65+I66+I67+I68</f>
        <v/>
      </c>
      <c r="J69" s="157">
        <f>J63+J64+J65+J66+J67+J68</f>
        <v/>
      </c>
      <c r="K69" s="157">
        <f>K63+K64+K65+K66+K67+K68</f>
        <v/>
      </c>
      <c r="L69" s="157">
        <f>L63+L64+L65+L66+L67+L68</f>
        <v/>
      </c>
      <c r="M69" s="157">
        <f>M63+M64+M65+M66+M67+M68</f>
        <v/>
      </c>
      <c r="N69" s="157">
        <f>N63+N64+N65+N66+N67+N68</f>
        <v/>
      </c>
      <c r="O69" s="157">
        <f>O63+O64+O65+O66+O67+O68</f>
        <v/>
      </c>
      <c r="P69" s="157">
        <f>P63+P64+P65+P66+P67+P68</f>
        <v/>
      </c>
      <c r="Q69" s="157">
        <f>Q63+Q64+Q65+Q66+Q67+Q68</f>
        <v/>
      </c>
      <c r="R69" s="157">
        <f>R63+R64+R65+R66+R67+R68</f>
        <v/>
      </c>
      <c r="S69" s="157">
        <f>S63+S64+S65+S66+S67+S68</f>
        <v/>
      </c>
      <c r="T69" s="157">
        <f>T63+T64+T65+T66+T67+T68</f>
        <v/>
      </c>
      <c r="U69" s="157">
        <f>U63+U64+U65+U66+U67+U68</f>
        <v/>
      </c>
      <c r="V69" s="157">
        <f>V63+V64+V65+V66+V67+V68</f>
        <v/>
      </c>
      <c r="W69" s="157">
        <f>W63+W64+W65+W66+W67+W68</f>
        <v/>
      </c>
      <c r="X69" s="157">
        <f>X63+X64+X65+X66+X67+X68</f>
        <v/>
      </c>
      <c r="Y69" s="157">
        <f>Y63+Y64+Y65+Y66+Y67+Y68</f>
        <v/>
      </c>
      <c r="Z69" s="157">
        <f>Z63+Z64+Z65+Z66+Z67+Z68</f>
        <v/>
      </c>
      <c r="AA69" s="157">
        <f>AA63+AA64+AA65+AA66+AA67+AA68</f>
        <v/>
      </c>
      <c r="AB69" s="157">
        <f>AB63+AB64+AB65+AB66+AB67+AB68</f>
        <v/>
      </c>
      <c r="AC69" s="157">
        <f>AC63+AC64+AC65+AC66+AC67+AC68</f>
        <v/>
      </c>
      <c r="AD69" s="157">
        <f>AD63+AD64+AD65+AD66+AD67+AD68</f>
        <v/>
      </c>
      <c r="AE69" s="157">
        <f>AE63+AE64+AE65+AE66+AE67+AE68</f>
        <v/>
      </c>
      <c r="AF69" s="157">
        <f>AF63+AF64+AF65+AF66+AF67+AF68</f>
        <v/>
      </c>
      <c r="AG69" s="157">
        <f>AG63+AG64+AG65+AG66+AG67+AG68</f>
        <v/>
      </c>
      <c r="AH69" s="157">
        <f>AH63+AH64+AH65+AH66+AH67+AH68</f>
        <v/>
      </c>
      <c r="AI69" s="157">
        <f>AI63+AI64+AI65+AI66+AI67+AI68</f>
        <v/>
      </c>
      <c r="AJ69" s="157">
        <f>AJ63+AJ64+AJ65+AJ66+AJ67+AJ68</f>
        <v/>
      </c>
      <c r="AK69" s="157">
        <f>AK63+AK64+AK65+AK66+AK67+AK68</f>
        <v/>
      </c>
      <c r="AL69" s="157">
        <f>AL63+AL64+AL65+AL66+AL67+AL68</f>
        <v/>
      </c>
      <c r="AM69" s="157">
        <f>AM63+AM64+AM65+AM66+AM67+AM68</f>
        <v/>
      </c>
      <c r="AN69" s="157">
        <f>AN63+AN64+AN65+AN66+AN67+AN68</f>
        <v/>
      </c>
      <c r="AO69" s="157">
        <f>AO63+AO64+AO65+AO66+AO67+AO68</f>
        <v/>
      </c>
      <c r="AP69" s="157">
        <f>AP63+AP64+AP65+AP66+AP67+AP68</f>
        <v/>
      </c>
      <c r="AQ69" s="157">
        <f>AQ63+AQ64+AQ65+AQ66+AQ67+AQ68</f>
        <v/>
      </c>
      <c r="AR69" s="157">
        <f>AR63+AR64+AR65+AR66+AR67+AR68</f>
        <v/>
      </c>
      <c r="AS69" s="157">
        <f>AS63+AS64+AS65+AS66+AS67+AS68</f>
        <v/>
      </c>
      <c r="AT69" s="157">
        <f>AT63+AT64+AT65+AT66+AT67+AT68</f>
        <v/>
      </c>
      <c r="AU69" s="157">
        <f>AU63+AU64+AU65+AU66+AU67+AU68</f>
        <v/>
      </c>
      <c r="AV69" s="157">
        <f>AV63+AV64+AV65+AV66+AV67+AV68</f>
        <v/>
      </c>
      <c r="AW69" s="157">
        <f>AW63+AW64+AW65+AW66+AW67+AW68</f>
        <v/>
      </c>
      <c r="AX69" s="157">
        <f>AX63+AX64+AX65+AX66+AX67+AX68</f>
        <v/>
      </c>
      <c r="AY69" s="157">
        <f>AY63+AY64+AY65+AY66+AY67+AY68</f>
        <v/>
      </c>
      <c r="AZ69" s="157">
        <f>AZ63+AZ64+AZ65+AZ66+AZ67+AZ68</f>
        <v/>
      </c>
      <c r="BA69" s="157">
        <f>BA63+BA64+BA65+BA66+BA67+BA68</f>
        <v/>
      </c>
      <c r="BB69" s="157">
        <f>BB63+BB64+BB65+BB66+BB67+BB68</f>
        <v/>
      </c>
    </row>
    <row r="70" ht="15" customHeight="1" s="91">
      <c r="B70" s="153" t="inlineStr">
        <is>
          <t>Unfunded Fees (Equity-Funded)  الرسوم الممولة من الإكوتي</t>
        </is>
      </c>
      <c r="C70" s="153" t="inlineStr">
        <is>
          <t>SAR</t>
        </is>
      </c>
      <c r="D70" s="160">
        <f>SUM(E70:BB70)</f>
        <v/>
      </c>
      <c r="E70" s="160">
        <f>MAX(0,E69-MAX(0,IF(E$46&lt;=$C$41,E50,0)+E62+E51))</f>
        <v/>
      </c>
      <c r="F70" s="160">
        <f>MAX(0,F69-MAX(0,IF(F$46&lt;=$C$41,F50,0)+F62+F51))</f>
        <v/>
      </c>
      <c r="G70" s="160">
        <f>MAX(0,G69-MAX(0,IF(G$46&lt;=$C$41,G50,0)+G62+G51))</f>
        <v/>
      </c>
      <c r="H70" s="160">
        <f>MAX(0,H69-MAX(0,IF(H$46&lt;=$C$41,H50,0)+H62+H51))</f>
        <v/>
      </c>
      <c r="I70" s="160">
        <f>MAX(0,I69-MAX(0,IF(I$46&lt;=$C$41,I50,0)+I62+I51))</f>
        <v/>
      </c>
      <c r="J70" s="160">
        <f>MAX(0,J69-MAX(0,IF(J$46&lt;=$C$41,J50,0)+J62+J51))</f>
        <v/>
      </c>
      <c r="K70" s="160">
        <f>MAX(0,K69-MAX(0,IF(K$46&lt;=$C$41,K50,0)+K62+K51))</f>
        <v/>
      </c>
      <c r="L70" s="160">
        <f>MAX(0,L69-MAX(0,IF(L$46&lt;=$C$41,L50,0)+L62+L51))</f>
        <v/>
      </c>
      <c r="M70" s="160">
        <f>MAX(0,M69-MAX(0,IF(M$46&lt;=$C$41,M50,0)+M62+M51))</f>
        <v/>
      </c>
      <c r="N70" s="160">
        <f>MAX(0,N69-MAX(0,IF(N$46&lt;=$C$41,N50,0)+N62+N51))</f>
        <v/>
      </c>
      <c r="O70" s="160">
        <f>MAX(0,O69-MAX(0,IF(O$46&lt;=$C$41,O50,0)+O62+O51))</f>
        <v/>
      </c>
      <c r="P70" s="160">
        <f>MAX(0,P69-MAX(0,IF(P$46&lt;=$C$41,P50,0)+P62+P51))</f>
        <v/>
      </c>
      <c r="Q70" s="160">
        <f>MAX(0,Q69-MAX(0,IF(Q$46&lt;=$C$41,Q50,0)+Q62+Q51))</f>
        <v/>
      </c>
      <c r="R70" s="160">
        <f>MAX(0,R69-MAX(0,IF(R$46&lt;=$C$41,R50,0)+R62+R51))</f>
        <v/>
      </c>
      <c r="S70" s="160">
        <f>MAX(0,S69-MAX(0,IF(S$46&lt;=$C$41,S50,0)+S62+S51))</f>
        <v/>
      </c>
      <c r="T70" s="160">
        <f>MAX(0,T69-MAX(0,IF(T$46&lt;=$C$41,T50,0)+T62+T51))</f>
        <v/>
      </c>
      <c r="U70" s="160">
        <f>MAX(0,U69-MAX(0,IF(U$46&lt;=$C$41,U50,0)+U62+U51))</f>
        <v/>
      </c>
      <c r="V70" s="160">
        <f>MAX(0,V69-MAX(0,IF(V$46&lt;=$C$41,V50,0)+V62+V51))</f>
        <v/>
      </c>
      <c r="W70" s="160">
        <f>MAX(0,W69-MAX(0,IF(W$46&lt;=$C$41,W50,0)+W62+W51))</f>
        <v/>
      </c>
      <c r="X70" s="160">
        <f>MAX(0,X69-MAX(0,IF(X$46&lt;=$C$41,X50,0)+X62+X51))</f>
        <v/>
      </c>
      <c r="Y70" s="160">
        <f>MAX(0,Y69-MAX(0,IF(Y$46&lt;=$C$41,Y50,0)+Y62+Y51))</f>
        <v/>
      </c>
      <c r="Z70" s="160">
        <f>MAX(0,Z69-MAX(0,IF(Z$46&lt;=$C$41,Z50,0)+Z62+Z51))</f>
        <v/>
      </c>
      <c r="AA70" s="160">
        <f>MAX(0,AA69-MAX(0,IF(AA$46&lt;=$C$41,AA50,0)+AA62+AA51))</f>
        <v/>
      </c>
      <c r="AB70" s="160">
        <f>MAX(0,AB69-MAX(0,IF(AB$46&lt;=$C$41,AB50,0)+AB62+AB51))</f>
        <v/>
      </c>
      <c r="AC70" s="160">
        <f>MAX(0,AC69-MAX(0,IF(AC$46&lt;=$C$41,AC50,0)+AC62+AC51))</f>
        <v/>
      </c>
      <c r="AD70" s="160">
        <f>MAX(0,AD69-MAX(0,IF(AD$46&lt;=$C$41,AD50,0)+AD62+AD51))</f>
        <v/>
      </c>
      <c r="AE70" s="160">
        <f>MAX(0,AE69-MAX(0,IF(AE$46&lt;=$C$41,AE50,0)+AE62+AE51))</f>
        <v/>
      </c>
      <c r="AF70" s="160">
        <f>MAX(0,AF69-MAX(0,IF(AF$46&lt;=$C$41,AF50,0)+AF62+AF51))</f>
        <v/>
      </c>
      <c r="AG70" s="160">
        <f>MAX(0,AG69-MAX(0,IF(AG$46&lt;=$C$41,AG50,0)+AG62+AG51))</f>
        <v/>
      </c>
      <c r="AH70" s="160">
        <f>MAX(0,AH69-MAX(0,IF(AH$46&lt;=$C$41,AH50,0)+AH62+AH51))</f>
        <v/>
      </c>
      <c r="AI70" s="160">
        <f>MAX(0,AI69-MAX(0,IF(AI$46&lt;=$C$41,AI50,0)+AI62+AI51))</f>
        <v/>
      </c>
      <c r="AJ70" s="160">
        <f>MAX(0,AJ69-MAX(0,IF(AJ$46&lt;=$C$41,AJ50,0)+AJ62+AJ51))</f>
        <v/>
      </c>
      <c r="AK70" s="160">
        <f>MAX(0,AK69-MAX(0,IF(AK$46&lt;=$C$41,AK50,0)+AK62+AK51))</f>
        <v/>
      </c>
      <c r="AL70" s="160">
        <f>MAX(0,AL69-MAX(0,IF(AL$46&lt;=$C$41,AL50,0)+AL62+AL51))</f>
        <v/>
      </c>
      <c r="AM70" s="160">
        <f>MAX(0,AM69-MAX(0,IF(AM$46&lt;=$C$41,AM50,0)+AM62+AM51))</f>
        <v/>
      </c>
      <c r="AN70" s="160">
        <f>MAX(0,AN69-MAX(0,IF(AN$46&lt;=$C$41,AN50,0)+AN62+AN51))</f>
        <v/>
      </c>
      <c r="AO70" s="160">
        <f>MAX(0,AO69-MAX(0,IF(AO$46&lt;=$C$41,AO50,0)+AO62+AO51))</f>
        <v/>
      </c>
      <c r="AP70" s="160">
        <f>MAX(0,AP69-MAX(0,IF(AP$46&lt;=$C$41,AP50,0)+AP62+AP51))</f>
        <v/>
      </c>
      <c r="AQ70" s="160">
        <f>MAX(0,AQ69-MAX(0,IF(AQ$46&lt;=$C$41,AQ50,0)+AQ62+AQ51))</f>
        <v/>
      </c>
      <c r="AR70" s="160">
        <f>MAX(0,AR69-MAX(0,IF(AR$46&lt;=$C$41,AR50,0)+AR62+AR51))</f>
        <v/>
      </c>
      <c r="AS70" s="160">
        <f>MAX(0,AS69-MAX(0,IF(AS$46&lt;=$C$41,AS50,0)+AS62+AS51))</f>
        <v/>
      </c>
      <c r="AT70" s="160">
        <f>MAX(0,AT69-MAX(0,IF(AT$46&lt;=$C$41,AT50,0)+AT62+AT51))</f>
        <v/>
      </c>
      <c r="AU70" s="160">
        <f>MAX(0,AU69-MAX(0,IF(AU$46&lt;=$C$41,AU50,0)+AU62+AU51))</f>
        <v/>
      </c>
      <c r="AV70" s="160">
        <f>MAX(0,AV69-MAX(0,IF(AV$46&lt;=$C$41,AV50,0)+AV62+AV51))</f>
        <v/>
      </c>
      <c r="AW70" s="160">
        <f>MAX(0,AW69-MAX(0,IF(AW$46&lt;=$C$41,AW50,0)+AW62+AW51))</f>
        <v/>
      </c>
      <c r="AX70" s="160">
        <f>MAX(0,AX69-MAX(0,IF(AX$46&lt;=$C$41,AX50,0)+AX62+AX51))</f>
        <v/>
      </c>
      <c r="AY70" s="160">
        <f>MAX(0,AY69-MAX(0,IF(AY$46&lt;=$C$41,AY50,0)+AY62+AY51))</f>
        <v/>
      </c>
      <c r="AZ70" s="160">
        <f>MAX(0,AZ69-MAX(0,IF(AZ$46&lt;=$C$41,AZ50,0)+AZ62+AZ51))</f>
        <v/>
      </c>
      <c r="BA70" s="160">
        <f>MAX(0,BA69-MAX(0,IF(BA$46&lt;=$C$41,BA50,0)+BA62+BA51))</f>
        <v/>
      </c>
      <c r="BB70" s="160">
        <f>MAX(0,BB69-MAX(0,IF(BB$46&lt;=$C$41,BB50,0)+BB62+BB51))</f>
        <v/>
      </c>
    </row>
    <row r="71" ht="15" customHeight="1" s="91">
      <c r="B71" s="153" t="inlineStr">
        <is>
          <t>Exit Proceeds  حصيلة التخارج</t>
        </is>
      </c>
      <c r="C71" s="153" t="inlineStr">
        <is>
          <t>SAR</t>
        </is>
      </c>
      <c r="D71" s="157">
        <f>SUM(E71:BB71)</f>
        <v/>
      </c>
      <c r="E71" s="160">
        <f>E51</f>
        <v/>
      </c>
      <c r="F71" s="160">
        <f>F51</f>
        <v/>
      </c>
      <c r="G71" s="160">
        <f>G51</f>
        <v/>
      </c>
      <c r="H71" s="160">
        <f>H51</f>
        <v/>
      </c>
      <c r="I71" s="160">
        <f>I51</f>
        <v/>
      </c>
      <c r="J71" s="160">
        <f>J51</f>
        <v/>
      </c>
      <c r="K71" s="160">
        <f>K51</f>
        <v/>
      </c>
      <c r="L71" s="160">
        <f>L51</f>
        <v/>
      </c>
      <c r="M71" s="160">
        <f>M51</f>
        <v/>
      </c>
      <c r="N71" s="160">
        <f>N51</f>
        <v/>
      </c>
      <c r="O71" s="160">
        <f>O51</f>
        <v/>
      </c>
      <c r="P71" s="160">
        <f>P51</f>
        <v/>
      </c>
      <c r="Q71" s="160">
        <f>Q51</f>
        <v/>
      </c>
      <c r="R71" s="160">
        <f>R51</f>
        <v/>
      </c>
      <c r="S71" s="160">
        <f>S51</f>
        <v/>
      </c>
      <c r="T71" s="160">
        <f>T51</f>
        <v/>
      </c>
      <c r="U71" s="160">
        <f>U51</f>
        <v/>
      </c>
      <c r="V71" s="160">
        <f>V51</f>
        <v/>
      </c>
      <c r="W71" s="160">
        <f>W51</f>
        <v/>
      </c>
      <c r="X71" s="160">
        <f>X51</f>
        <v/>
      </c>
      <c r="Y71" s="160">
        <f>Y51</f>
        <v/>
      </c>
      <c r="Z71" s="160">
        <f>Z51</f>
        <v/>
      </c>
      <c r="AA71" s="160">
        <f>AA51</f>
        <v/>
      </c>
      <c r="AB71" s="160">
        <f>AB51</f>
        <v/>
      </c>
      <c r="AC71" s="160">
        <f>AC51</f>
        <v/>
      </c>
      <c r="AD71" s="160">
        <f>AD51</f>
        <v/>
      </c>
      <c r="AE71" s="160">
        <f>AE51</f>
        <v/>
      </c>
      <c r="AF71" s="160">
        <f>AF51</f>
        <v/>
      </c>
      <c r="AG71" s="160">
        <f>AG51</f>
        <v/>
      </c>
      <c r="AH71" s="160">
        <f>AH51</f>
        <v/>
      </c>
      <c r="AI71" s="160">
        <f>AI51</f>
        <v/>
      </c>
      <c r="AJ71" s="160">
        <f>AJ51</f>
        <v/>
      </c>
      <c r="AK71" s="160">
        <f>AK51</f>
        <v/>
      </c>
      <c r="AL71" s="160">
        <f>AL51</f>
        <v/>
      </c>
      <c r="AM71" s="160">
        <f>AM51</f>
        <v/>
      </c>
      <c r="AN71" s="160">
        <f>AN51</f>
        <v/>
      </c>
      <c r="AO71" s="160">
        <f>AO51</f>
        <v/>
      </c>
      <c r="AP71" s="160">
        <f>AP51</f>
        <v/>
      </c>
      <c r="AQ71" s="160">
        <f>AQ51</f>
        <v/>
      </c>
      <c r="AR71" s="160">
        <f>AR51</f>
        <v/>
      </c>
      <c r="AS71" s="160">
        <f>AS51</f>
        <v/>
      </c>
      <c r="AT71" s="160">
        <f>AT51</f>
        <v/>
      </c>
      <c r="AU71" s="160">
        <f>AU51</f>
        <v/>
      </c>
      <c r="AV71" s="160">
        <f>AV51</f>
        <v/>
      </c>
      <c r="AW71" s="160">
        <f>AW51</f>
        <v/>
      </c>
      <c r="AX71" s="160">
        <f>AX51</f>
        <v/>
      </c>
      <c r="AY71" s="160">
        <f>AY51</f>
        <v/>
      </c>
      <c r="AZ71" s="160">
        <f>AZ51</f>
        <v/>
      </c>
      <c r="BA71" s="160">
        <f>BA51</f>
        <v/>
      </c>
      <c r="BB71" s="160">
        <f>BB51</f>
        <v/>
      </c>
    </row>
    <row r="73" ht="15" customHeight="1" s="91">
      <c r="A73" s="152" t="inlineStr">
        <is>
          <t>9  DISTRIBUTIONS &amp; WATERFALL  التوزيعات وشلال الأرباح</t>
        </is>
      </c>
      <c r="B73" s="152" t="n"/>
      <c r="C73" s="152" t="n"/>
      <c r="D73" s="152" t="n"/>
      <c r="E73" s="152" t="n"/>
      <c r="F73" s="152" t="n"/>
      <c r="G73" s="152" t="n"/>
      <c r="H73" s="152" t="n"/>
      <c r="I73" s="152" t="n"/>
      <c r="J73" s="152" t="n"/>
      <c r="K73" s="152" t="n"/>
      <c r="L73" s="152" t="n"/>
      <c r="M73" s="152" t="n"/>
      <c r="N73" s="152" t="n"/>
      <c r="O73" s="152" t="n"/>
      <c r="P73" s="152" t="n"/>
      <c r="Q73" s="152" t="n"/>
      <c r="R73" s="152" t="n"/>
      <c r="S73" s="152" t="n"/>
      <c r="T73" s="152" t="n"/>
      <c r="U73" s="152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  <c r="AD73" s="152" t="n"/>
      <c r="AE73" s="152" t="n"/>
      <c r="AF73" s="152" t="n"/>
      <c r="AG73" s="152" t="n"/>
      <c r="AH73" s="152" t="n"/>
      <c r="AI73" s="152" t="n"/>
      <c r="AJ73" s="152" t="n"/>
      <c r="AK73" s="152" t="n"/>
      <c r="AL73" s="152" t="n"/>
      <c r="AM73" s="152" t="n"/>
      <c r="AN73" s="152" t="n"/>
      <c r="AO73" s="152" t="n"/>
      <c r="AP73" s="152" t="n"/>
      <c r="AQ73" s="152" t="n"/>
      <c r="AR73" s="152" t="n"/>
      <c r="AS73" s="152" t="n"/>
      <c r="AT73" s="152" t="n"/>
      <c r="AU73" s="152" t="n"/>
      <c r="AV73" s="152" t="n"/>
      <c r="AW73" s="152" t="n"/>
      <c r="AX73" s="152" t="n"/>
      <c r="AY73" s="152" t="n"/>
      <c r="AZ73" s="152" t="n"/>
      <c r="BA73" s="152" t="n"/>
      <c r="BB73" s="152" t="n"/>
    </row>
    <row r="74" ht="15" customHeight="1" s="91">
      <c r="C74" s="165" t="inlineStr">
        <is>
          <t>Unit</t>
        </is>
      </c>
      <c r="D74" s="165" t="inlineStr">
        <is>
          <t>Total</t>
        </is>
      </c>
      <c r="E74" s="166">
        <f>E$46</f>
        <v/>
      </c>
      <c r="F74" s="166">
        <f>F$46</f>
        <v/>
      </c>
      <c r="G74" s="166">
        <f>G$46</f>
        <v/>
      </c>
      <c r="H74" s="166">
        <f>H$46</f>
        <v/>
      </c>
      <c r="I74" s="166">
        <f>I$46</f>
        <v/>
      </c>
      <c r="J74" s="166">
        <f>J$46</f>
        <v/>
      </c>
      <c r="K74" s="166">
        <f>K$46</f>
        <v/>
      </c>
      <c r="L74" s="166">
        <f>L$46</f>
        <v/>
      </c>
      <c r="M74" s="166">
        <f>M$46</f>
        <v/>
      </c>
      <c r="N74" s="166">
        <f>N$46</f>
        <v/>
      </c>
      <c r="O74" s="166">
        <f>O$46</f>
        <v/>
      </c>
      <c r="P74" s="166">
        <f>P$46</f>
        <v/>
      </c>
      <c r="Q74" s="166">
        <f>Q$46</f>
        <v/>
      </c>
      <c r="R74" s="166">
        <f>R$46</f>
        <v/>
      </c>
      <c r="S74" s="166">
        <f>S$46</f>
        <v/>
      </c>
      <c r="T74" s="166">
        <f>T$46</f>
        <v/>
      </c>
      <c r="U74" s="166">
        <f>U$46</f>
        <v/>
      </c>
      <c r="V74" s="166">
        <f>V$46</f>
        <v/>
      </c>
      <c r="W74" s="166">
        <f>W$46</f>
        <v/>
      </c>
      <c r="X74" s="166">
        <f>X$46</f>
        <v/>
      </c>
      <c r="Y74" s="166">
        <f>Y$46</f>
        <v/>
      </c>
      <c r="Z74" s="166">
        <f>Z$46</f>
        <v/>
      </c>
      <c r="AA74" s="166">
        <f>AA$46</f>
        <v/>
      </c>
      <c r="AB74" s="166">
        <f>AB$46</f>
        <v/>
      </c>
      <c r="AC74" s="166">
        <f>AC$46</f>
        <v/>
      </c>
      <c r="AD74" s="166">
        <f>AD$46</f>
        <v/>
      </c>
      <c r="AE74" s="166">
        <f>AE$46</f>
        <v/>
      </c>
      <c r="AF74" s="166">
        <f>AF$46</f>
        <v/>
      </c>
      <c r="AG74" s="166">
        <f>AG$46</f>
        <v/>
      </c>
      <c r="AH74" s="166">
        <f>AH$46</f>
        <v/>
      </c>
      <c r="AI74" s="166">
        <f>AI$46</f>
        <v/>
      </c>
      <c r="AJ74" s="166">
        <f>AJ$46</f>
        <v/>
      </c>
      <c r="AK74" s="166">
        <f>AK$46</f>
        <v/>
      </c>
      <c r="AL74" s="166">
        <f>AL$46</f>
        <v/>
      </c>
      <c r="AM74" s="166">
        <f>AM$46</f>
        <v/>
      </c>
      <c r="AN74" s="166">
        <f>AN$46</f>
        <v/>
      </c>
      <c r="AO74" s="166">
        <f>AO$46</f>
        <v/>
      </c>
      <c r="AP74" s="166">
        <f>AP$46</f>
        <v/>
      </c>
      <c r="AQ74" s="166">
        <f>AQ$46</f>
        <v/>
      </c>
      <c r="AR74" s="166">
        <f>AR$46</f>
        <v/>
      </c>
      <c r="AS74" s="166">
        <f>AS$46</f>
        <v/>
      </c>
      <c r="AT74" s="166">
        <f>AT$46</f>
        <v/>
      </c>
      <c r="AU74" s="166">
        <f>AU$46</f>
        <v/>
      </c>
      <c r="AV74" s="166">
        <f>AV$46</f>
        <v/>
      </c>
      <c r="AW74" s="166">
        <f>AW$46</f>
        <v/>
      </c>
      <c r="AX74" s="166">
        <f>AX$46</f>
        <v/>
      </c>
      <c r="AY74" s="166">
        <f>AY$46</f>
        <v/>
      </c>
      <c r="AZ74" s="166">
        <f>AZ$46</f>
        <v/>
      </c>
      <c r="BA74" s="166">
        <f>BA$46</f>
        <v/>
      </c>
      <c r="BB74" s="166">
        <f>BB$46</f>
        <v/>
      </c>
    </row>
    <row r="75" ht="15" customHeight="1" s="91">
      <c r="B75" s="153" t="inlineStr">
        <is>
          <t>Cash Available for Distribution  النقد المتاح</t>
        </is>
      </c>
      <c r="C75" s="153" t="inlineStr">
        <is>
          <t>SAR</t>
        </is>
      </c>
      <c r="D75" s="157">
        <f>SUM(E75:BB75)</f>
        <v/>
      </c>
      <c r="E75" s="160">
        <f>MAX(0,IF(AND(E$46&gt;=$C$9,E$46&lt;=$C$41),E50,0)+E62-E69+E70+E51)</f>
        <v/>
      </c>
      <c r="F75" s="160">
        <f>MAX(0,IF(AND(F$46&gt;=$C$9,F$46&lt;=$C$41),F50,0)+F62-F69+F70+F51)</f>
        <v/>
      </c>
      <c r="G75" s="160">
        <f>MAX(0,IF(AND(G$46&gt;=$C$9,G$46&lt;=$C$41),G50,0)+G62-G69+G70+G51)</f>
        <v/>
      </c>
      <c r="H75" s="160">
        <f>MAX(0,IF(AND(H$46&gt;=$C$9,H$46&lt;=$C$41),H50,0)+H62-H69+H70+H51)</f>
        <v/>
      </c>
      <c r="I75" s="160">
        <f>MAX(0,IF(AND(I$46&gt;=$C$9,I$46&lt;=$C$41),I50,0)+I62-I69+I70+I51)</f>
        <v/>
      </c>
      <c r="J75" s="160">
        <f>MAX(0,IF(AND(J$46&gt;=$C$9,J$46&lt;=$C$41),J50,0)+J62-J69+J70+J51)</f>
        <v/>
      </c>
      <c r="K75" s="160">
        <f>MAX(0,IF(AND(K$46&gt;=$C$9,K$46&lt;=$C$41),K50,0)+K62-K69+K70+K51)</f>
        <v/>
      </c>
      <c r="L75" s="160">
        <f>MAX(0,IF(AND(L$46&gt;=$C$9,L$46&lt;=$C$41),L50,0)+L62-L69+L70+L51)</f>
        <v/>
      </c>
      <c r="M75" s="160">
        <f>MAX(0,IF(AND(M$46&gt;=$C$9,M$46&lt;=$C$41),M50,0)+M62-M69+M70+M51)</f>
        <v/>
      </c>
      <c r="N75" s="160">
        <f>MAX(0,IF(AND(N$46&gt;=$C$9,N$46&lt;=$C$41),N50,0)+N62-N69+N70+N51)</f>
        <v/>
      </c>
      <c r="O75" s="160">
        <f>MAX(0,IF(AND(O$46&gt;=$C$9,O$46&lt;=$C$41),O50,0)+O62-O69+O70+O51)</f>
        <v/>
      </c>
      <c r="P75" s="160">
        <f>MAX(0,IF(AND(P$46&gt;=$C$9,P$46&lt;=$C$41),P50,0)+P62-P69+P70+P51)</f>
        <v/>
      </c>
      <c r="Q75" s="160">
        <f>MAX(0,IF(AND(Q$46&gt;=$C$9,Q$46&lt;=$C$41),Q50,0)+Q62-Q69+Q70+Q51)</f>
        <v/>
      </c>
      <c r="R75" s="160">
        <f>MAX(0,IF(AND(R$46&gt;=$C$9,R$46&lt;=$C$41),R50,0)+R62-R69+R70+R51)</f>
        <v/>
      </c>
      <c r="S75" s="160">
        <f>MAX(0,IF(AND(S$46&gt;=$C$9,S$46&lt;=$C$41),S50,0)+S62-S69+S70+S51)</f>
        <v/>
      </c>
      <c r="T75" s="160">
        <f>MAX(0,IF(AND(T$46&gt;=$C$9,T$46&lt;=$C$41),T50,0)+T62-T69+T70+T51)</f>
        <v/>
      </c>
      <c r="U75" s="160">
        <f>MAX(0,IF(AND(U$46&gt;=$C$9,U$46&lt;=$C$41),U50,0)+U62-U69+U70+U51)</f>
        <v/>
      </c>
      <c r="V75" s="160">
        <f>MAX(0,IF(AND(V$46&gt;=$C$9,V$46&lt;=$C$41),V50,0)+V62-V69+V70+V51)</f>
        <v/>
      </c>
      <c r="W75" s="160">
        <f>MAX(0,IF(AND(W$46&gt;=$C$9,W$46&lt;=$C$41),W50,0)+W62-W69+W70+W51)</f>
        <v/>
      </c>
      <c r="X75" s="160">
        <f>MAX(0,IF(AND(X$46&gt;=$C$9,X$46&lt;=$C$41),X50,0)+X62-X69+X70+X51)</f>
        <v/>
      </c>
      <c r="Y75" s="160">
        <f>MAX(0,IF(AND(Y$46&gt;=$C$9,Y$46&lt;=$C$41),Y50,0)+Y62-Y69+Y70+Y51)</f>
        <v/>
      </c>
      <c r="Z75" s="160">
        <f>MAX(0,IF(AND(Z$46&gt;=$C$9,Z$46&lt;=$C$41),Z50,0)+Z62-Z69+Z70+Z51)</f>
        <v/>
      </c>
      <c r="AA75" s="160">
        <f>MAX(0,IF(AND(AA$46&gt;=$C$9,AA$46&lt;=$C$41),AA50,0)+AA62-AA69+AA70+AA51)</f>
        <v/>
      </c>
      <c r="AB75" s="160">
        <f>MAX(0,IF(AND(AB$46&gt;=$C$9,AB$46&lt;=$C$41),AB50,0)+AB62-AB69+AB70+AB51)</f>
        <v/>
      </c>
      <c r="AC75" s="160">
        <f>MAX(0,IF(AND(AC$46&gt;=$C$9,AC$46&lt;=$C$41),AC50,0)+AC62-AC69+AC70+AC51)</f>
        <v/>
      </c>
      <c r="AD75" s="160">
        <f>MAX(0,IF(AND(AD$46&gt;=$C$9,AD$46&lt;=$C$41),AD50,0)+AD62-AD69+AD70+AD51)</f>
        <v/>
      </c>
      <c r="AE75" s="160">
        <f>MAX(0,IF(AND(AE$46&gt;=$C$9,AE$46&lt;=$C$41),AE50,0)+AE62-AE69+AE70+AE51)</f>
        <v/>
      </c>
      <c r="AF75" s="160">
        <f>MAX(0,IF(AND(AF$46&gt;=$C$9,AF$46&lt;=$C$41),AF50,0)+AF62-AF69+AF70+AF51)</f>
        <v/>
      </c>
      <c r="AG75" s="160">
        <f>MAX(0,IF(AND(AG$46&gt;=$C$9,AG$46&lt;=$C$41),AG50,0)+AG62-AG69+AG70+AG51)</f>
        <v/>
      </c>
      <c r="AH75" s="160">
        <f>MAX(0,IF(AND(AH$46&gt;=$C$9,AH$46&lt;=$C$41),AH50,0)+AH62-AH69+AH70+AH51)</f>
        <v/>
      </c>
      <c r="AI75" s="160">
        <f>MAX(0,IF(AND(AI$46&gt;=$C$9,AI$46&lt;=$C$41),AI50,0)+AI62-AI69+AI70+AI51)</f>
        <v/>
      </c>
      <c r="AJ75" s="160">
        <f>MAX(0,IF(AND(AJ$46&gt;=$C$9,AJ$46&lt;=$C$41),AJ50,0)+AJ62-AJ69+AJ70+AJ51)</f>
        <v/>
      </c>
      <c r="AK75" s="160">
        <f>MAX(0,IF(AND(AK$46&gt;=$C$9,AK$46&lt;=$C$41),AK50,0)+AK62-AK69+AK70+AK51)</f>
        <v/>
      </c>
      <c r="AL75" s="160">
        <f>MAX(0,IF(AND(AL$46&gt;=$C$9,AL$46&lt;=$C$41),AL50,0)+AL62-AL69+AL70+AL51)</f>
        <v/>
      </c>
      <c r="AM75" s="160">
        <f>MAX(0,IF(AND(AM$46&gt;=$C$9,AM$46&lt;=$C$41),AM50,0)+AM62-AM69+AM70+AM51)</f>
        <v/>
      </c>
      <c r="AN75" s="160">
        <f>MAX(0,IF(AND(AN$46&gt;=$C$9,AN$46&lt;=$C$41),AN50,0)+AN62-AN69+AN70+AN51)</f>
        <v/>
      </c>
      <c r="AO75" s="160">
        <f>MAX(0,IF(AND(AO$46&gt;=$C$9,AO$46&lt;=$C$41),AO50,0)+AO62-AO69+AO70+AO51)</f>
        <v/>
      </c>
      <c r="AP75" s="160">
        <f>MAX(0,IF(AND(AP$46&gt;=$C$9,AP$46&lt;=$C$41),AP50,0)+AP62-AP69+AP70+AP51)</f>
        <v/>
      </c>
      <c r="AQ75" s="160">
        <f>MAX(0,IF(AND(AQ$46&gt;=$C$9,AQ$46&lt;=$C$41),AQ50,0)+AQ62-AQ69+AQ70+AQ51)</f>
        <v/>
      </c>
      <c r="AR75" s="160">
        <f>MAX(0,IF(AND(AR$46&gt;=$C$9,AR$46&lt;=$C$41),AR50,0)+AR62-AR69+AR70+AR51)</f>
        <v/>
      </c>
      <c r="AS75" s="160">
        <f>MAX(0,IF(AND(AS$46&gt;=$C$9,AS$46&lt;=$C$41),AS50,0)+AS62-AS69+AS70+AS51)</f>
        <v/>
      </c>
      <c r="AT75" s="160">
        <f>MAX(0,IF(AND(AT$46&gt;=$C$9,AT$46&lt;=$C$41),AT50,0)+AT62-AT69+AT70+AT51)</f>
        <v/>
      </c>
      <c r="AU75" s="160">
        <f>MAX(0,IF(AND(AU$46&gt;=$C$9,AU$46&lt;=$C$41),AU50,0)+AU62-AU69+AU70+AU51)</f>
        <v/>
      </c>
      <c r="AV75" s="160">
        <f>MAX(0,IF(AND(AV$46&gt;=$C$9,AV$46&lt;=$C$41),AV50,0)+AV62-AV69+AV70+AV51)</f>
        <v/>
      </c>
      <c r="AW75" s="160">
        <f>MAX(0,IF(AND(AW$46&gt;=$C$9,AW$46&lt;=$C$41),AW50,0)+AW62-AW69+AW70+AW51)</f>
        <v/>
      </c>
      <c r="AX75" s="160">
        <f>MAX(0,IF(AND(AX$46&gt;=$C$9,AX$46&lt;=$C$41),AX50,0)+AX62-AX69+AX70+AX51)</f>
        <v/>
      </c>
      <c r="AY75" s="160">
        <f>MAX(0,IF(AND(AY$46&gt;=$C$9,AY$46&lt;=$C$41),AY50,0)+AY62-AY69+AY70+AY51)</f>
        <v/>
      </c>
      <c r="AZ75" s="160">
        <f>MAX(0,IF(AND(AZ$46&gt;=$C$9,AZ$46&lt;=$C$41),AZ50,0)+AZ62-AZ69+AZ70+AZ51)</f>
        <v/>
      </c>
      <c r="BA75" s="160">
        <f>MAX(0,IF(AND(BA$46&gt;=$C$9,BA$46&lt;=$C$41),BA50,0)+BA62-BA69+BA70+BA51)</f>
        <v/>
      </c>
      <c r="BB75" s="160">
        <f>MAX(0,IF(AND(BB$46&gt;=$C$9,BB$46&lt;=$C$41),BB50,0)+BB62-BB69+BB70+BB51)</f>
        <v/>
      </c>
    </row>
    <row r="77" ht="15" customHeight="1" s="91">
      <c r="B77" s="153" t="inlineStr">
        <is>
          <t>Unreturned Capital (Open)  رأس المال غير المسترد</t>
        </is>
      </c>
      <c r="C77" s="153" t="inlineStr">
        <is>
          <t>SAR</t>
        </is>
      </c>
      <c r="E77" s="160">
        <f>E56</f>
        <v/>
      </c>
      <c r="F77" s="160">
        <f>E79+F56</f>
        <v/>
      </c>
      <c r="G77" s="160">
        <f>F79+G56</f>
        <v/>
      </c>
      <c r="H77" s="160">
        <f>G79+H56</f>
        <v/>
      </c>
      <c r="I77" s="160">
        <f>H79+I56</f>
        <v/>
      </c>
      <c r="J77" s="160">
        <f>I79+J56</f>
        <v/>
      </c>
      <c r="K77" s="160">
        <f>J79+K56</f>
        <v/>
      </c>
      <c r="L77" s="160">
        <f>K79+L56</f>
        <v/>
      </c>
      <c r="M77" s="160">
        <f>L79+M56</f>
        <v/>
      </c>
      <c r="N77" s="160">
        <f>M79+N56</f>
        <v/>
      </c>
      <c r="O77" s="160">
        <f>N79+O56</f>
        <v/>
      </c>
      <c r="P77" s="160">
        <f>O79+P56</f>
        <v/>
      </c>
      <c r="Q77" s="160">
        <f>P79+Q56</f>
        <v/>
      </c>
      <c r="R77" s="160">
        <f>Q79+R56</f>
        <v/>
      </c>
      <c r="S77" s="160">
        <f>R79+S56</f>
        <v/>
      </c>
      <c r="T77" s="160">
        <f>S79+T56</f>
        <v/>
      </c>
      <c r="U77" s="160">
        <f>T79+U56</f>
        <v/>
      </c>
      <c r="V77" s="160">
        <f>U79+V56</f>
        <v/>
      </c>
      <c r="W77" s="160">
        <f>V79+W56</f>
        <v/>
      </c>
      <c r="X77" s="160">
        <f>W79+X56</f>
        <v/>
      </c>
      <c r="Y77" s="160">
        <f>X79+Y56</f>
        <v/>
      </c>
      <c r="Z77" s="160">
        <f>Y79+Z56</f>
        <v/>
      </c>
      <c r="AA77" s="160">
        <f>Z79+AA56</f>
        <v/>
      </c>
      <c r="AB77" s="160">
        <f>AA79+AB56</f>
        <v/>
      </c>
      <c r="AC77" s="160">
        <f>AB79+AC56</f>
        <v/>
      </c>
      <c r="AD77" s="160">
        <f>AC79+AD56</f>
        <v/>
      </c>
      <c r="AE77" s="160">
        <f>AD79+AE56</f>
        <v/>
      </c>
      <c r="AF77" s="160">
        <f>AE79+AF56</f>
        <v/>
      </c>
      <c r="AG77" s="160">
        <f>AF79+AG56</f>
        <v/>
      </c>
      <c r="AH77" s="160">
        <f>AG79+AH56</f>
        <v/>
      </c>
      <c r="AI77" s="160">
        <f>AH79+AI56</f>
        <v/>
      </c>
      <c r="AJ77" s="160">
        <f>AI79+AJ56</f>
        <v/>
      </c>
      <c r="AK77" s="160">
        <f>AJ79+AK56</f>
        <v/>
      </c>
      <c r="AL77" s="160">
        <f>AK79+AL56</f>
        <v/>
      </c>
      <c r="AM77" s="160">
        <f>AL79+AM56</f>
        <v/>
      </c>
      <c r="AN77" s="160">
        <f>AM79+AN56</f>
        <v/>
      </c>
      <c r="AO77" s="160">
        <f>AN79+AO56</f>
        <v/>
      </c>
      <c r="AP77" s="160">
        <f>AO79+AP56</f>
        <v/>
      </c>
      <c r="AQ77" s="160">
        <f>AP79+AQ56</f>
        <v/>
      </c>
      <c r="AR77" s="160">
        <f>AQ79+AR56</f>
        <v/>
      </c>
      <c r="AS77" s="160">
        <f>AR79+AS56</f>
        <v/>
      </c>
      <c r="AT77" s="160">
        <f>AS79+AT56</f>
        <v/>
      </c>
      <c r="AU77" s="160">
        <f>AT79+AU56</f>
        <v/>
      </c>
      <c r="AV77" s="160">
        <f>AU79+AV56</f>
        <v/>
      </c>
      <c r="AW77" s="160">
        <f>AV79+AW56</f>
        <v/>
      </c>
      <c r="AX77" s="160">
        <f>AW79+AX56</f>
        <v/>
      </c>
      <c r="AY77" s="160">
        <f>AX79+AY56</f>
        <v/>
      </c>
      <c r="AZ77" s="160">
        <f>AY79+AZ56</f>
        <v/>
      </c>
      <c r="BA77" s="160">
        <f>AZ79+BA56</f>
        <v/>
      </c>
      <c r="BB77" s="160">
        <f>BA79+BB56</f>
        <v/>
      </c>
    </row>
    <row r="78" ht="15" customHeight="1" s="91">
      <c r="B78" s="153" t="inlineStr">
        <is>
          <t>Tier 1: Return of Capital  رد رأس المال</t>
        </is>
      </c>
      <c r="C78" s="153" t="inlineStr">
        <is>
          <t>SAR</t>
        </is>
      </c>
      <c r="D78" s="157">
        <f>SUM(E78:BB78)</f>
        <v/>
      </c>
      <c r="E78" s="160">
        <f>MIN(E75,E77)</f>
        <v/>
      </c>
      <c r="F78" s="160">
        <f>MIN(F75,F77)</f>
        <v/>
      </c>
      <c r="G78" s="160">
        <f>MIN(G75,G77)</f>
        <v/>
      </c>
      <c r="H78" s="160">
        <f>MIN(H75,H77)</f>
        <v/>
      </c>
      <c r="I78" s="160">
        <f>MIN(I75,I77)</f>
        <v/>
      </c>
      <c r="J78" s="160">
        <f>MIN(J75,J77)</f>
        <v/>
      </c>
      <c r="K78" s="160">
        <f>MIN(K75,K77)</f>
        <v/>
      </c>
      <c r="L78" s="160">
        <f>MIN(L75,L77)</f>
        <v/>
      </c>
      <c r="M78" s="160">
        <f>MIN(M75,M77)</f>
        <v/>
      </c>
      <c r="N78" s="160">
        <f>MIN(N75,N77)</f>
        <v/>
      </c>
      <c r="O78" s="160">
        <f>MIN(O75,O77)</f>
        <v/>
      </c>
      <c r="P78" s="160">
        <f>MIN(P75,P77)</f>
        <v/>
      </c>
      <c r="Q78" s="160">
        <f>MIN(Q75,Q77)</f>
        <v/>
      </c>
      <c r="R78" s="160">
        <f>MIN(R75,R77)</f>
        <v/>
      </c>
      <c r="S78" s="160">
        <f>MIN(S75,S77)</f>
        <v/>
      </c>
      <c r="T78" s="160">
        <f>MIN(T75,T77)</f>
        <v/>
      </c>
      <c r="U78" s="160">
        <f>MIN(U75,U77)</f>
        <v/>
      </c>
      <c r="V78" s="160">
        <f>MIN(V75,V77)</f>
        <v/>
      </c>
      <c r="W78" s="160">
        <f>MIN(W75,W77)</f>
        <v/>
      </c>
      <c r="X78" s="160">
        <f>MIN(X75,X77)</f>
        <v/>
      </c>
      <c r="Y78" s="160">
        <f>MIN(Y75,Y77)</f>
        <v/>
      </c>
      <c r="Z78" s="160">
        <f>MIN(Z75,Z77)</f>
        <v/>
      </c>
      <c r="AA78" s="160">
        <f>MIN(AA75,AA77)</f>
        <v/>
      </c>
      <c r="AB78" s="160">
        <f>MIN(AB75,AB77)</f>
        <v/>
      </c>
      <c r="AC78" s="160">
        <f>MIN(AC75,AC77)</f>
        <v/>
      </c>
      <c r="AD78" s="160">
        <f>MIN(AD75,AD77)</f>
        <v/>
      </c>
      <c r="AE78" s="160">
        <f>MIN(AE75,AE77)</f>
        <v/>
      </c>
      <c r="AF78" s="160">
        <f>MIN(AF75,AF77)</f>
        <v/>
      </c>
      <c r="AG78" s="160">
        <f>MIN(AG75,AG77)</f>
        <v/>
      </c>
      <c r="AH78" s="160">
        <f>MIN(AH75,AH77)</f>
        <v/>
      </c>
      <c r="AI78" s="160">
        <f>MIN(AI75,AI77)</f>
        <v/>
      </c>
      <c r="AJ78" s="160">
        <f>MIN(AJ75,AJ77)</f>
        <v/>
      </c>
      <c r="AK78" s="160">
        <f>MIN(AK75,AK77)</f>
        <v/>
      </c>
      <c r="AL78" s="160">
        <f>MIN(AL75,AL77)</f>
        <v/>
      </c>
      <c r="AM78" s="160">
        <f>MIN(AM75,AM77)</f>
        <v/>
      </c>
      <c r="AN78" s="160">
        <f>MIN(AN75,AN77)</f>
        <v/>
      </c>
      <c r="AO78" s="160">
        <f>MIN(AO75,AO77)</f>
        <v/>
      </c>
      <c r="AP78" s="160">
        <f>MIN(AP75,AP77)</f>
        <v/>
      </c>
      <c r="AQ78" s="160">
        <f>MIN(AQ75,AQ77)</f>
        <v/>
      </c>
      <c r="AR78" s="160">
        <f>MIN(AR75,AR77)</f>
        <v/>
      </c>
      <c r="AS78" s="160">
        <f>MIN(AS75,AS77)</f>
        <v/>
      </c>
      <c r="AT78" s="160">
        <f>MIN(AT75,AT77)</f>
        <v/>
      </c>
      <c r="AU78" s="160">
        <f>MIN(AU75,AU77)</f>
        <v/>
      </c>
      <c r="AV78" s="160">
        <f>MIN(AV75,AV77)</f>
        <v/>
      </c>
      <c r="AW78" s="160">
        <f>MIN(AW75,AW77)</f>
        <v/>
      </c>
      <c r="AX78" s="160">
        <f>MIN(AX75,AX77)</f>
        <v/>
      </c>
      <c r="AY78" s="160">
        <f>MIN(AY75,AY77)</f>
        <v/>
      </c>
      <c r="AZ78" s="160">
        <f>MIN(AZ75,AZ77)</f>
        <v/>
      </c>
      <c r="BA78" s="160">
        <f>MIN(BA75,BA77)</f>
        <v/>
      </c>
      <c r="BB78" s="160">
        <f>MIN(BB75,BB77)</f>
        <v/>
      </c>
    </row>
    <row r="79" ht="15" customHeight="1" s="91">
      <c r="B79" s="153" t="inlineStr">
        <is>
          <t>Unreturned Capital (Close)  رأس المال غير المسترد (نهاية)</t>
        </is>
      </c>
      <c r="C79" s="153" t="inlineStr">
        <is>
          <t>SAR</t>
        </is>
      </c>
      <c r="E79" s="160">
        <f>E77-E78</f>
        <v/>
      </c>
      <c r="F79" s="160">
        <f>F77-F78</f>
        <v/>
      </c>
      <c r="G79" s="160">
        <f>G77-G78</f>
        <v/>
      </c>
      <c r="H79" s="160">
        <f>H77-H78</f>
        <v/>
      </c>
      <c r="I79" s="160">
        <f>I77-I78</f>
        <v/>
      </c>
      <c r="J79" s="160">
        <f>J77-J78</f>
        <v/>
      </c>
      <c r="K79" s="160">
        <f>K77-K78</f>
        <v/>
      </c>
      <c r="L79" s="160">
        <f>L77-L78</f>
        <v/>
      </c>
      <c r="M79" s="160">
        <f>M77-M78</f>
        <v/>
      </c>
      <c r="N79" s="160">
        <f>N77-N78</f>
        <v/>
      </c>
      <c r="O79" s="160">
        <f>O77-O78</f>
        <v/>
      </c>
      <c r="P79" s="160">
        <f>P77-P78</f>
        <v/>
      </c>
      <c r="Q79" s="160">
        <f>Q77-Q78</f>
        <v/>
      </c>
      <c r="R79" s="160">
        <f>R77-R78</f>
        <v/>
      </c>
      <c r="S79" s="160">
        <f>S77-S78</f>
        <v/>
      </c>
      <c r="T79" s="160">
        <f>T77-T78</f>
        <v/>
      </c>
      <c r="U79" s="160">
        <f>U77-U78</f>
        <v/>
      </c>
      <c r="V79" s="160">
        <f>V77-V78</f>
        <v/>
      </c>
      <c r="W79" s="160">
        <f>W77-W78</f>
        <v/>
      </c>
      <c r="X79" s="160">
        <f>X77-X78</f>
        <v/>
      </c>
      <c r="Y79" s="160">
        <f>Y77-Y78</f>
        <v/>
      </c>
      <c r="Z79" s="160">
        <f>Z77-Z78</f>
        <v/>
      </c>
      <c r="AA79" s="160">
        <f>AA77-AA78</f>
        <v/>
      </c>
      <c r="AB79" s="160">
        <f>AB77-AB78</f>
        <v/>
      </c>
      <c r="AC79" s="160">
        <f>AC77-AC78</f>
        <v/>
      </c>
      <c r="AD79" s="160">
        <f>AD77-AD78</f>
        <v/>
      </c>
      <c r="AE79" s="160">
        <f>AE77-AE78</f>
        <v/>
      </c>
      <c r="AF79" s="160">
        <f>AF77-AF78</f>
        <v/>
      </c>
      <c r="AG79" s="160">
        <f>AG77-AG78</f>
        <v/>
      </c>
      <c r="AH79" s="160">
        <f>AH77-AH78</f>
        <v/>
      </c>
      <c r="AI79" s="160">
        <f>AI77-AI78</f>
        <v/>
      </c>
      <c r="AJ79" s="160">
        <f>AJ77-AJ78</f>
        <v/>
      </c>
      <c r="AK79" s="160">
        <f>AK77-AK78</f>
        <v/>
      </c>
      <c r="AL79" s="160">
        <f>AL77-AL78</f>
        <v/>
      </c>
      <c r="AM79" s="160">
        <f>AM77-AM78</f>
        <v/>
      </c>
      <c r="AN79" s="160">
        <f>AN77-AN78</f>
        <v/>
      </c>
      <c r="AO79" s="160">
        <f>AO77-AO78</f>
        <v/>
      </c>
      <c r="AP79" s="160">
        <f>AP77-AP78</f>
        <v/>
      </c>
      <c r="AQ79" s="160">
        <f>AQ77-AQ78</f>
        <v/>
      </c>
      <c r="AR79" s="160">
        <f>AR77-AR78</f>
        <v/>
      </c>
      <c r="AS79" s="160">
        <f>AS77-AS78</f>
        <v/>
      </c>
      <c r="AT79" s="160">
        <f>AT77-AT78</f>
        <v/>
      </c>
      <c r="AU79" s="160">
        <f>AU77-AU78</f>
        <v/>
      </c>
      <c r="AV79" s="160">
        <f>AV77-AV78</f>
        <v/>
      </c>
      <c r="AW79" s="160">
        <f>AW77-AW78</f>
        <v/>
      </c>
      <c r="AX79" s="160">
        <f>AX77-AX78</f>
        <v/>
      </c>
      <c r="AY79" s="160">
        <f>AY77-AY78</f>
        <v/>
      </c>
      <c r="AZ79" s="160">
        <f>AZ77-AZ78</f>
        <v/>
      </c>
      <c r="BA79" s="160">
        <f>BA77-BA78</f>
        <v/>
      </c>
      <c r="BB79" s="160">
        <f>BB77-BB78</f>
        <v/>
      </c>
    </row>
    <row r="81" ht="15" customHeight="1" s="91">
      <c r="B81" s="153" t="inlineStr">
        <is>
          <t>Pref Accrual (% × Unreturned)  احتساب العائد التفضيلي</t>
        </is>
      </c>
      <c r="C81" s="153" t="inlineStr">
        <is>
          <t>SAR</t>
        </is>
      </c>
      <c r="D81" s="160">
        <f>SUM(E81:BB81)</f>
        <v/>
      </c>
      <c r="E81" s="160">
        <f>E77*$C$36</f>
        <v/>
      </c>
      <c r="F81" s="160">
        <f>F77*$C$36</f>
        <v/>
      </c>
      <c r="G81" s="160">
        <f>G77*$C$36</f>
        <v/>
      </c>
      <c r="H81" s="160">
        <f>H77*$C$36</f>
        <v/>
      </c>
      <c r="I81" s="160">
        <f>I77*$C$36</f>
        <v/>
      </c>
      <c r="J81" s="160">
        <f>J77*$C$36</f>
        <v/>
      </c>
      <c r="K81" s="160">
        <f>K77*$C$36</f>
        <v/>
      </c>
      <c r="L81" s="160">
        <f>L77*$C$36</f>
        <v/>
      </c>
      <c r="M81" s="160">
        <f>M77*$C$36</f>
        <v/>
      </c>
      <c r="N81" s="160">
        <f>N77*$C$36</f>
        <v/>
      </c>
      <c r="O81" s="160">
        <f>O77*$C$36</f>
        <v/>
      </c>
      <c r="P81" s="160">
        <f>P77*$C$36</f>
        <v/>
      </c>
      <c r="Q81" s="160">
        <f>Q77*$C$36</f>
        <v/>
      </c>
      <c r="R81" s="160">
        <f>R77*$C$36</f>
        <v/>
      </c>
      <c r="S81" s="160">
        <f>S77*$C$36</f>
        <v/>
      </c>
      <c r="T81" s="160">
        <f>T77*$C$36</f>
        <v/>
      </c>
      <c r="U81" s="160">
        <f>U77*$C$36</f>
        <v/>
      </c>
      <c r="V81" s="160">
        <f>V77*$C$36</f>
        <v/>
      </c>
      <c r="W81" s="160">
        <f>W77*$C$36</f>
        <v/>
      </c>
      <c r="X81" s="160">
        <f>X77*$C$36</f>
        <v/>
      </c>
      <c r="Y81" s="160">
        <f>Y77*$C$36</f>
        <v/>
      </c>
      <c r="Z81" s="160">
        <f>Z77*$C$36</f>
        <v/>
      </c>
      <c r="AA81" s="160">
        <f>AA77*$C$36</f>
        <v/>
      </c>
      <c r="AB81" s="160">
        <f>AB77*$C$36</f>
        <v/>
      </c>
      <c r="AC81" s="160">
        <f>AC77*$C$36</f>
        <v/>
      </c>
      <c r="AD81" s="160">
        <f>AD77*$C$36</f>
        <v/>
      </c>
      <c r="AE81" s="160">
        <f>AE77*$C$36</f>
        <v/>
      </c>
      <c r="AF81" s="160">
        <f>AF77*$C$36</f>
        <v/>
      </c>
      <c r="AG81" s="160">
        <f>AG77*$C$36</f>
        <v/>
      </c>
      <c r="AH81" s="160">
        <f>AH77*$C$36</f>
        <v/>
      </c>
      <c r="AI81" s="160">
        <f>AI77*$C$36</f>
        <v/>
      </c>
      <c r="AJ81" s="160">
        <f>AJ77*$C$36</f>
        <v/>
      </c>
      <c r="AK81" s="160">
        <f>AK77*$C$36</f>
        <v/>
      </c>
      <c r="AL81" s="160">
        <f>AL77*$C$36</f>
        <v/>
      </c>
      <c r="AM81" s="160">
        <f>AM77*$C$36</f>
        <v/>
      </c>
      <c r="AN81" s="160">
        <f>AN77*$C$36</f>
        <v/>
      </c>
      <c r="AO81" s="160">
        <f>AO77*$C$36</f>
        <v/>
      </c>
      <c r="AP81" s="160">
        <f>AP77*$C$36</f>
        <v/>
      </c>
      <c r="AQ81" s="160">
        <f>AQ77*$C$36</f>
        <v/>
      </c>
      <c r="AR81" s="160">
        <f>AR77*$C$36</f>
        <v/>
      </c>
      <c r="AS81" s="160">
        <f>AS77*$C$36</f>
        <v/>
      </c>
      <c r="AT81" s="160">
        <f>AT77*$C$36</f>
        <v/>
      </c>
      <c r="AU81" s="160">
        <f>AU77*$C$36</f>
        <v/>
      </c>
      <c r="AV81" s="160">
        <f>AV77*$C$36</f>
        <v/>
      </c>
      <c r="AW81" s="160">
        <f>AW77*$C$36</f>
        <v/>
      </c>
      <c r="AX81" s="160">
        <f>AX77*$C$36</f>
        <v/>
      </c>
      <c r="AY81" s="160">
        <f>AY77*$C$36</f>
        <v/>
      </c>
      <c r="AZ81" s="160">
        <f>AZ77*$C$36</f>
        <v/>
      </c>
      <c r="BA81" s="160">
        <f>BA77*$C$36</f>
        <v/>
      </c>
      <c r="BB81" s="160">
        <f>BB77*$C$36</f>
        <v/>
      </c>
    </row>
    <row r="82" ht="15" customHeight="1" s="91">
      <c r="B82" s="153" t="inlineStr">
        <is>
          <t>Unpaid Pref (Opening)  العائد غير المدفوع (بداية)</t>
        </is>
      </c>
      <c r="C82" s="153" t="inlineStr">
        <is>
          <t>SAR</t>
        </is>
      </c>
      <c r="E82" s="160">
        <f>0</f>
        <v/>
      </c>
      <c r="F82" s="160">
        <f>E85</f>
        <v/>
      </c>
      <c r="G82" s="160">
        <f>F85</f>
        <v/>
      </c>
      <c r="H82" s="160">
        <f>G85</f>
        <v/>
      </c>
      <c r="I82" s="160">
        <f>H85</f>
        <v/>
      </c>
      <c r="J82" s="160">
        <f>I85</f>
        <v/>
      </c>
      <c r="K82" s="160">
        <f>J85</f>
        <v/>
      </c>
      <c r="L82" s="160">
        <f>K85</f>
        <v/>
      </c>
      <c r="M82" s="160">
        <f>L85</f>
        <v/>
      </c>
      <c r="N82" s="160">
        <f>M85</f>
        <v/>
      </c>
      <c r="O82" s="160">
        <f>N85</f>
        <v/>
      </c>
      <c r="P82" s="160">
        <f>O85</f>
        <v/>
      </c>
      <c r="Q82" s="160">
        <f>P85</f>
        <v/>
      </c>
      <c r="R82" s="160">
        <f>Q85</f>
        <v/>
      </c>
      <c r="S82" s="160">
        <f>R85</f>
        <v/>
      </c>
      <c r="T82" s="160">
        <f>S85</f>
        <v/>
      </c>
      <c r="U82" s="160">
        <f>T85</f>
        <v/>
      </c>
      <c r="V82" s="160">
        <f>U85</f>
        <v/>
      </c>
      <c r="W82" s="160">
        <f>V85</f>
        <v/>
      </c>
      <c r="X82" s="160">
        <f>W85</f>
        <v/>
      </c>
      <c r="Y82" s="160">
        <f>X85</f>
        <v/>
      </c>
      <c r="Z82" s="160">
        <f>Y85</f>
        <v/>
      </c>
      <c r="AA82" s="160">
        <f>Z85</f>
        <v/>
      </c>
      <c r="AB82" s="160">
        <f>AA85</f>
        <v/>
      </c>
      <c r="AC82" s="160">
        <f>AB85</f>
        <v/>
      </c>
      <c r="AD82" s="160">
        <f>AC85</f>
        <v/>
      </c>
      <c r="AE82" s="160">
        <f>AD85</f>
        <v/>
      </c>
      <c r="AF82" s="160">
        <f>AE85</f>
        <v/>
      </c>
      <c r="AG82" s="160">
        <f>AF85</f>
        <v/>
      </c>
      <c r="AH82" s="160">
        <f>AG85</f>
        <v/>
      </c>
      <c r="AI82" s="160">
        <f>AH85</f>
        <v/>
      </c>
      <c r="AJ82" s="160">
        <f>AI85</f>
        <v/>
      </c>
      <c r="AK82" s="160">
        <f>AJ85</f>
        <v/>
      </c>
      <c r="AL82" s="160">
        <f>AK85</f>
        <v/>
      </c>
      <c r="AM82" s="160">
        <f>AL85</f>
        <v/>
      </c>
      <c r="AN82" s="160">
        <f>AM85</f>
        <v/>
      </c>
      <c r="AO82" s="160">
        <f>AN85</f>
        <v/>
      </c>
      <c r="AP82" s="160">
        <f>AO85</f>
        <v/>
      </c>
      <c r="AQ82" s="160">
        <f>AP85</f>
        <v/>
      </c>
      <c r="AR82" s="160">
        <f>AQ85</f>
        <v/>
      </c>
      <c r="AS82" s="160">
        <f>AR85</f>
        <v/>
      </c>
      <c r="AT82" s="160">
        <f>AS85</f>
        <v/>
      </c>
      <c r="AU82" s="160">
        <f>AT85</f>
        <v/>
      </c>
      <c r="AV82" s="160">
        <f>AU85</f>
        <v/>
      </c>
      <c r="AW82" s="160">
        <f>AV85</f>
        <v/>
      </c>
      <c r="AX82" s="160">
        <f>AW85</f>
        <v/>
      </c>
      <c r="AY82" s="160">
        <f>AX85</f>
        <v/>
      </c>
      <c r="AZ82" s="160">
        <f>AY85</f>
        <v/>
      </c>
      <c r="BA82" s="160">
        <f>AZ85</f>
        <v/>
      </c>
      <c r="BB82" s="160">
        <f>BA85</f>
        <v/>
      </c>
    </row>
    <row r="83" ht="15" customHeight="1" s="91">
      <c r="B83" s="153" t="inlineStr">
        <is>
          <t>Total Pref Owed  إجمالي المستحق</t>
        </is>
      </c>
      <c r="C83" s="153" t="inlineStr">
        <is>
          <t>SAR</t>
        </is>
      </c>
      <c r="E83" s="160">
        <f>E81+E82</f>
        <v/>
      </c>
      <c r="F83" s="160">
        <f>F81+F82</f>
        <v/>
      </c>
      <c r="G83" s="160">
        <f>G81+G82</f>
        <v/>
      </c>
      <c r="H83" s="160">
        <f>H81+H82</f>
        <v/>
      </c>
      <c r="I83" s="160">
        <f>I81+I82</f>
        <v/>
      </c>
      <c r="J83" s="160">
        <f>J81+J82</f>
        <v/>
      </c>
      <c r="K83" s="160">
        <f>K81+K82</f>
        <v/>
      </c>
      <c r="L83" s="160">
        <f>L81+L82</f>
        <v/>
      </c>
      <c r="M83" s="160">
        <f>M81+M82</f>
        <v/>
      </c>
      <c r="N83" s="160">
        <f>N81+N82</f>
        <v/>
      </c>
      <c r="O83" s="160">
        <f>O81+O82</f>
        <v/>
      </c>
      <c r="P83" s="160">
        <f>P81+P82</f>
        <v/>
      </c>
      <c r="Q83" s="160">
        <f>Q81+Q82</f>
        <v/>
      </c>
      <c r="R83" s="160">
        <f>R81+R82</f>
        <v/>
      </c>
      <c r="S83" s="160">
        <f>S81+S82</f>
        <v/>
      </c>
      <c r="T83" s="160">
        <f>T81+T82</f>
        <v/>
      </c>
      <c r="U83" s="160">
        <f>U81+U82</f>
        <v/>
      </c>
      <c r="V83" s="160">
        <f>V81+V82</f>
        <v/>
      </c>
      <c r="W83" s="160">
        <f>W81+W82</f>
        <v/>
      </c>
      <c r="X83" s="160">
        <f>X81+X82</f>
        <v/>
      </c>
      <c r="Y83" s="160">
        <f>Y81+Y82</f>
        <v/>
      </c>
      <c r="Z83" s="160">
        <f>Z81+Z82</f>
        <v/>
      </c>
      <c r="AA83" s="160">
        <f>AA81+AA82</f>
        <v/>
      </c>
      <c r="AB83" s="160">
        <f>AB81+AB82</f>
        <v/>
      </c>
      <c r="AC83" s="160">
        <f>AC81+AC82</f>
        <v/>
      </c>
      <c r="AD83" s="160">
        <f>AD81+AD82</f>
        <v/>
      </c>
      <c r="AE83" s="160">
        <f>AE81+AE82</f>
        <v/>
      </c>
      <c r="AF83" s="160">
        <f>AF81+AF82</f>
        <v/>
      </c>
      <c r="AG83" s="160">
        <f>AG81+AG82</f>
        <v/>
      </c>
      <c r="AH83" s="160">
        <f>AH81+AH82</f>
        <v/>
      </c>
      <c r="AI83" s="160">
        <f>AI81+AI82</f>
        <v/>
      </c>
      <c r="AJ83" s="160">
        <f>AJ81+AJ82</f>
        <v/>
      </c>
      <c r="AK83" s="160">
        <f>AK81+AK82</f>
        <v/>
      </c>
      <c r="AL83" s="160">
        <f>AL81+AL82</f>
        <v/>
      </c>
      <c r="AM83" s="160">
        <f>AM81+AM82</f>
        <v/>
      </c>
      <c r="AN83" s="160">
        <f>AN81+AN82</f>
        <v/>
      </c>
      <c r="AO83" s="160">
        <f>AO81+AO82</f>
        <v/>
      </c>
      <c r="AP83" s="160">
        <f>AP81+AP82</f>
        <v/>
      </c>
      <c r="AQ83" s="160">
        <f>AQ81+AQ82</f>
        <v/>
      </c>
      <c r="AR83" s="160">
        <f>AR81+AR82</f>
        <v/>
      </c>
      <c r="AS83" s="160">
        <f>AS81+AS82</f>
        <v/>
      </c>
      <c r="AT83" s="160">
        <f>AT81+AT82</f>
        <v/>
      </c>
      <c r="AU83" s="160">
        <f>AU81+AU82</f>
        <v/>
      </c>
      <c r="AV83" s="160">
        <f>AV81+AV82</f>
        <v/>
      </c>
      <c r="AW83" s="160">
        <f>AW81+AW82</f>
        <v/>
      </c>
      <c r="AX83" s="160">
        <f>AX81+AX82</f>
        <v/>
      </c>
      <c r="AY83" s="160">
        <f>AY81+AY82</f>
        <v/>
      </c>
      <c r="AZ83" s="160">
        <f>AZ81+AZ82</f>
        <v/>
      </c>
      <c r="BA83" s="160">
        <f>BA81+BA82</f>
        <v/>
      </c>
      <c r="BB83" s="160">
        <f>BB81+BB82</f>
        <v/>
      </c>
    </row>
    <row r="84" ht="15" customHeight="1" s="91">
      <c r="B84" s="153" t="inlineStr">
        <is>
          <t>Tier 2: Preferred Return Paid  سداد العائد التفضيلي</t>
        </is>
      </c>
      <c r="C84" s="153" t="inlineStr">
        <is>
          <t>SAR</t>
        </is>
      </c>
      <c r="D84" s="157">
        <f>SUM(E84:BB84)</f>
        <v/>
      </c>
      <c r="E84" s="160">
        <f>MIN(MAX(0,E75-E78),E83)</f>
        <v/>
      </c>
      <c r="F84" s="160">
        <f>MIN(MAX(0,F75-F78),F83)</f>
        <v/>
      </c>
      <c r="G84" s="160">
        <f>MIN(MAX(0,G75-G78),G83)</f>
        <v/>
      </c>
      <c r="H84" s="160">
        <f>MIN(MAX(0,H75-H78),H83)</f>
        <v/>
      </c>
      <c r="I84" s="160">
        <f>MIN(MAX(0,I75-I78),I83)</f>
        <v/>
      </c>
      <c r="J84" s="160">
        <f>MIN(MAX(0,J75-J78),J83)</f>
        <v/>
      </c>
      <c r="K84" s="160">
        <f>MIN(MAX(0,K75-K78),K83)</f>
        <v/>
      </c>
      <c r="L84" s="160">
        <f>MIN(MAX(0,L75-L78),L83)</f>
        <v/>
      </c>
      <c r="M84" s="160">
        <f>MIN(MAX(0,M75-M78),M83)</f>
        <v/>
      </c>
      <c r="N84" s="160">
        <f>MIN(MAX(0,N75-N78),N83)</f>
        <v/>
      </c>
      <c r="O84" s="160">
        <f>MIN(MAX(0,O75-O78),O83)</f>
        <v/>
      </c>
      <c r="P84" s="160">
        <f>MIN(MAX(0,P75-P78),P83)</f>
        <v/>
      </c>
      <c r="Q84" s="160">
        <f>MIN(MAX(0,Q75-Q78),Q83)</f>
        <v/>
      </c>
      <c r="R84" s="160">
        <f>MIN(MAX(0,R75-R78),R83)</f>
        <v/>
      </c>
      <c r="S84" s="160">
        <f>MIN(MAX(0,S75-S78),S83)</f>
        <v/>
      </c>
      <c r="T84" s="160">
        <f>MIN(MAX(0,T75-T78),T83)</f>
        <v/>
      </c>
      <c r="U84" s="160">
        <f>MIN(MAX(0,U75-U78),U83)</f>
        <v/>
      </c>
      <c r="V84" s="160">
        <f>MIN(MAX(0,V75-V78),V83)</f>
        <v/>
      </c>
      <c r="W84" s="160">
        <f>MIN(MAX(0,W75-W78),W83)</f>
        <v/>
      </c>
      <c r="X84" s="160">
        <f>MIN(MAX(0,X75-X78),X83)</f>
        <v/>
      </c>
      <c r="Y84" s="160">
        <f>MIN(MAX(0,Y75-Y78),Y83)</f>
        <v/>
      </c>
      <c r="Z84" s="160">
        <f>MIN(MAX(0,Z75-Z78),Z83)</f>
        <v/>
      </c>
      <c r="AA84" s="160">
        <f>MIN(MAX(0,AA75-AA78),AA83)</f>
        <v/>
      </c>
      <c r="AB84" s="160">
        <f>MIN(MAX(0,AB75-AB78),AB83)</f>
        <v/>
      </c>
      <c r="AC84" s="160">
        <f>MIN(MAX(0,AC75-AC78),AC83)</f>
        <v/>
      </c>
      <c r="AD84" s="160">
        <f>MIN(MAX(0,AD75-AD78),AD83)</f>
        <v/>
      </c>
      <c r="AE84" s="160">
        <f>MIN(MAX(0,AE75-AE78),AE83)</f>
        <v/>
      </c>
      <c r="AF84" s="160">
        <f>MIN(MAX(0,AF75-AF78),AF83)</f>
        <v/>
      </c>
      <c r="AG84" s="160">
        <f>MIN(MAX(0,AG75-AG78),AG83)</f>
        <v/>
      </c>
      <c r="AH84" s="160">
        <f>MIN(MAX(0,AH75-AH78),AH83)</f>
        <v/>
      </c>
      <c r="AI84" s="160">
        <f>MIN(MAX(0,AI75-AI78),AI83)</f>
        <v/>
      </c>
      <c r="AJ84" s="160">
        <f>MIN(MAX(0,AJ75-AJ78),AJ83)</f>
        <v/>
      </c>
      <c r="AK84" s="160">
        <f>MIN(MAX(0,AK75-AK78),AK83)</f>
        <v/>
      </c>
      <c r="AL84" s="160">
        <f>MIN(MAX(0,AL75-AL78),AL83)</f>
        <v/>
      </c>
      <c r="AM84" s="160">
        <f>MIN(MAX(0,AM75-AM78),AM83)</f>
        <v/>
      </c>
      <c r="AN84" s="160">
        <f>MIN(MAX(0,AN75-AN78),AN83)</f>
        <v/>
      </c>
      <c r="AO84" s="160">
        <f>MIN(MAX(0,AO75-AO78),AO83)</f>
        <v/>
      </c>
      <c r="AP84" s="160">
        <f>MIN(MAX(0,AP75-AP78),AP83)</f>
        <v/>
      </c>
      <c r="AQ84" s="160">
        <f>MIN(MAX(0,AQ75-AQ78),AQ83)</f>
        <v/>
      </c>
      <c r="AR84" s="160">
        <f>MIN(MAX(0,AR75-AR78),AR83)</f>
        <v/>
      </c>
      <c r="AS84" s="160">
        <f>MIN(MAX(0,AS75-AS78),AS83)</f>
        <v/>
      </c>
      <c r="AT84" s="160">
        <f>MIN(MAX(0,AT75-AT78),AT83)</f>
        <v/>
      </c>
      <c r="AU84" s="160">
        <f>MIN(MAX(0,AU75-AU78),AU83)</f>
        <v/>
      </c>
      <c r="AV84" s="160">
        <f>MIN(MAX(0,AV75-AV78),AV83)</f>
        <v/>
      </c>
      <c r="AW84" s="160">
        <f>MIN(MAX(0,AW75-AW78),AW83)</f>
        <v/>
      </c>
      <c r="AX84" s="160">
        <f>MIN(MAX(0,AX75-AX78),AX83)</f>
        <v/>
      </c>
      <c r="AY84" s="160">
        <f>MIN(MAX(0,AY75-AY78),AY83)</f>
        <v/>
      </c>
      <c r="AZ84" s="160">
        <f>MIN(MAX(0,AZ75-AZ78),AZ83)</f>
        <v/>
      </c>
      <c r="BA84" s="160">
        <f>MIN(MAX(0,BA75-BA78),BA83)</f>
        <v/>
      </c>
      <c r="BB84" s="160">
        <f>MIN(MAX(0,BB75-BB78),BB83)</f>
        <v/>
      </c>
    </row>
    <row r="85" ht="15" customHeight="1" s="91">
      <c r="B85" s="153" t="inlineStr">
        <is>
          <t>Unpaid Pref (Closing)  غير المدفوع (نهاية)</t>
        </is>
      </c>
      <c r="C85" s="153" t="inlineStr">
        <is>
          <t>SAR</t>
        </is>
      </c>
      <c r="E85" s="160">
        <f>E83-E84</f>
        <v/>
      </c>
      <c r="F85" s="160">
        <f>F83-F84</f>
        <v/>
      </c>
      <c r="G85" s="160">
        <f>G83-G84</f>
        <v/>
      </c>
      <c r="H85" s="160">
        <f>H83-H84</f>
        <v/>
      </c>
      <c r="I85" s="160">
        <f>I83-I84</f>
        <v/>
      </c>
      <c r="J85" s="160">
        <f>J83-J84</f>
        <v/>
      </c>
      <c r="K85" s="160">
        <f>K83-K84</f>
        <v/>
      </c>
      <c r="L85" s="160">
        <f>L83-L84</f>
        <v/>
      </c>
      <c r="M85" s="160">
        <f>M83-M84</f>
        <v/>
      </c>
      <c r="N85" s="160">
        <f>N83-N84</f>
        <v/>
      </c>
      <c r="O85" s="160">
        <f>O83-O84</f>
        <v/>
      </c>
      <c r="P85" s="160">
        <f>P83-P84</f>
        <v/>
      </c>
      <c r="Q85" s="160">
        <f>Q83-Q84</f>
        <v/>
      </c>
      <c r="R85" s="160">
        <f>R83-R84</f>
        <v/>
      </c>
      <c r="S85" s="160">
        <f>S83-S84</f>
        <v/>
      </c>
      <c r="T85" s="160">
        <f>T83-T84</f>
        <v/>
      </c>
      <c r="U85" s="160">
        <f>U83-U84</f>
        <v/>
      </c>
      <c r="V85" s="160">
        <f>V83-V84</f>
        <v/>
      </c>
      <c r="W85" s="160">
        <f>W83-W84</f>
        <v/>
      </c>
      <c r="X85" s="160">
        <f>X83-X84</f>
        <v/>
      </c>
      <c r="Y85" s="160">
        <f>Y83-Y84</f>
        <v/>
      </c>
      <c r="Z85" s="160">
        <f>Z83-Z84</f>
        <v/>
      </c>
      <c r="AA85" s="160">
        <f>AA83-AA84</f>
        <v/>
      </c>
      <c r="AB85" s="160">
        <f>AB83-AB84</f>
        <v/>
      </c>
      <c r="AC85" s="160">
        <f>AC83-AC84</f>
        <v/>
      </c>
      <c r="AD85" s="160">
        <f>AD83-AD84</f>
        <v/>
      </c>
      <c r="AE85" s="160">
        <f>AE83-AE84</f>
        <v/>
      </c>
      <c r="AF85" s="160">
        <f>AF83-AF84</f>
        <v/>
      </c>
      <c r="AG85" s="160">
        <f>AG83-AG84</f>
        <v/>
      </c>
      <c r="AH85" s="160">
        <f>AH83-AH84</f>
        <v/>
      </c>
      <c r="AI85" s="160">
        <f>AI83-AI84</f>
        <v/>
      </c>
      <c r="AJ85" s="160">
        <f>AJ83-AJ84</f>
        <v/>
      </c>
      <c r="AK85" s="160">
        <f>AK83-AK84</f>
        <v/>
      </c>
      <c r="AL85" s="160">
        <f>AL83-AL84</f>
        <v/>
      </c>
      <c r="AM85" s="160">
        <f>AM83-AM84</f>
        <v/>
      </c>
      <c r="AN85" s="160">
        <f>AN83-AN84</f>
        <v/>
      </c>
      <c r="AO85" s="160">
        <f>AO83-AO84</f>
        <v/>
      </c>
      <c r="AP85" s="160">
        <f>AP83-AP84</f>
        <v/>
      </c>
      <c r="AQ85" s="160">
        <f>AQ83-AQ84</f>
        <v/>
      </c>
      <c r="AR85" s="160">
        <f>AR83-AR84</f>
        <v/>
      </c>
      <c r="AS85" s="160">
        <f>AS83-AS84</f>
        <v/>
      </c>
      <c r="AT85" s="160">
        <f>AT83-AT84</f>
        <v/>
      </c>
      <c r="AU85" s="160">
        <f>AU83-AU84</f>
        <v/>
      </c>
      <c r="AV85" s="160">
        <f>AV83-AV84</f>
        <v/>
      </c>
      <c r="AW85" s="160">
        <f>AW83-AW84</f>
        <v/>
      </c>
      <c r="AX85" s="160">
        <f>AX83-AX84</f>
        <v/>
      </c>
      <c r="AY85" s="160">
        <f>AY83-AY84</f>
        <v/>
      </c>
      <c r="AZ85" s="160">
        <f>AZ83-AZ84</f>
        <v/>
      </c>
      <c r="BA85" s="160">
        <f>BA83-BA84</f>
        <v/>
      </c>
      <c r="BB85" s="160">
        <f>BB83-BB84</f>
        <v/>
      </c>
    </row>
    <row r="87" ht="15" customHeight="1" s="91">
      <c r="B87" s="153" t="inlineStr">
        <is>
          <t>Remaining After ROC + Pref  المتبقي</t>
        </is>
      </c>
      <c r="C87" s="153" t="inlineStr">
        <is>
          <t>SAR</t>
        </is>
      </c>
      <c r="E87" s="160">
        <f>MAX(0,E75-E78-E84)</f>
        <v/>
      </c>
      <c r="F87" s="160">
        <f>MAX(0,F75-F78-F84)</f>
        <v/>
      </c>
      <c r="G87" s="160">
        <f>MAX(0,G75-G78-G84)</f>
        <v/>
      </c>
      <c r="H87" s="160">
        <f>MAX(0,H75-H78-H84)</f>
        <v/>
      </c>
      <c r="I87" s="160">
        <f>MAX(0,I75-I78-I84)</f>
        <v/>
      </c>
      <c r="J87" s="160">
        <f>MAX(0,J75-J78-J84)</f>
        <v/>
      </c>
      <c r="K87" s="160">
        <f>MAX(0,K75-K78-K84)</f>
        <v/>
      </c>
      <c r="L87" s="160">
        <f>MAX(0,L75-L78-L84)</f>
        <v/>
      </c>
      <c r="M87" s="160">
        <f>MAX(0,M75-M78-M84)</f>
        <v/>
      </c>
      <c r="N87" s="160">
        <f>MAX(0,N75-N78-N84)</f>
        <v/>
      </c>
      <c r="O87" s="160">
        <f>MAX(0,O75-O78-O84)</f>
        <v/>
      </c>
      <c r="P87" s="160">
        <f>MAX(0,P75-P78-P84)</f>
        <v/>
      </c>
      <c r="Q87" s="160">
        <f>MAX(0,Q75-Q78-Q84)</f>
        <v/>
      </c>
      <c r="R87" s="160">
        <f>MAX(0,R75-R78-R84)</f>
        <v/>
      </c>
      <c r="S87" s="160">
        <f>MAX(0,S75-S78-S84)</f>
        <v/>
      </c>
      <c r="T87" s="160">
        <f>MAX(0,T75-T78-T84)</f>
        <v/>
      </c>
      <c r="U87" s="160">
        <f>MAX(0,U75-U78-U84)</f>
        <v/>
      </c>
      <c r="V87" s="160">
        <f>MAX(0,V75-V78-V84)</f>
        <v/>
      </c>
      <c r="W87" s="160">
        <f>MAX(0,W75-W78-W84)</f>
        <v/>
      </c>
      <c r="X87" s="160">
        <f>MAX(0,X75-X78-X84)</f>
        <v/>
      </c>
      <c r="Y87" s="160">
        <f>MAX(0,Y75-Y78-Y84)</f>
        <v/>
      </c>
      <c r="Z87" s="160">
        <f>MAX(0,Z75-Z78-Z84)</f>
        <v/>
      </c>
      <c r="AA87" s="160">
        <f>MAX(0,AA75-AA78-AA84)</f>
        <v/>
      </c>
      <c r="AB87" s="160">
        <f>MAX(0,AB75-AB78-AB84)</f>
        <v/>
      </c>
      <c r="AC87" s="160">
        <f>MAX(0,AC75-AC78-AC84)</f>
        <v/>
      </c>
      <c r="AD87" s="160">
        <f>MAX(0,AD75-AD78-AD84)</f>
        <v/>
      </c>
      <c r="AE87" s="160">
        <f>MAX(0,AE75-AE78-AE84)</f>
        <v/>
      </c>
      <c r="AF87" s="160">
        <f>MAX(0,AF75-AF78-AF84)</f>
        <v/>
      </c>
      <c r="AG87" s="160">
        <f>MAX(0,AG75-AG78-AG84)</f>
        <v/>
      </c>
      <c r="AH87" s="160">
        <f>MAX(0,AH75-AH78-AH84)</f>
        <v/>
      </c>
      <c r="AI87" s="160">
        <f>MAX(0,AI75-AI78-AI84)</f>
        <v/>
      </c>
      <c r="AJ87" s="160">
        <f>MAX(0,AJ75-AJ78-AJ84)</f>
        <v/>
      </c>
      <c r="AK87" s="160">
        <f>MAX(0,AK75-AK78-AK84)</f>
        <v/>
      </c>
      <c r="AL87" s="160">
        <f>MAX(0,AL75-AL78-AL84)</f>
        <v/>
      </c>
      <c r="AM87" s="160">
        <f>MAX(0,AM75-AM78-AM84)</f>
        <v/>
      </c>
      <c r="AN87" s="160">
        <f>MAX(0,AN75-AN78-AN84)</f>
        <v/>
      </c>
      <c r="AO87" s="160">
        <f>MAX(0,AO75-AO78-AO84)</f>
        <v/>
      </c>
      <c r="AP87" s="160">
        <f>MAX(0,AP75-AP78-AP84)</f>
        <v/>
      </c>
      <c r="AQ87" s="160">
        <f>MAX(0,AQ75-AQ78-AQ84)</f>
        <v/>
      </c>
      <c r="AR87" s="160">
        <f>MAX(0,AR75-AR78-AR84)</f>
        <v/>
      </c>
      <c r="AS87" s="160">
        <f>MAX(0,AS75-AS78-AS84)</f>
        <v/>
      </c>
      <c r="AT87" s="160">
        <f>MAX(0,AT75-AT78-AT84)</f>
        <v/>
      </c>
      <c r="AU87" s="160">
        <f>MAX(0,AU75-AU78-AU84)</f>
        <v/>
      </c>
      <c r="AV87" s="160">
        <f>MAX(0,AV75-AV78-AV84)</f>
        <v/>
      </c>
      <c r="AW87" s="160">
        <f>MAX(0,AW75-AW78-AW84)</f>
        <v/>
      </c>
      <c r="AX87" s="160">
        <f>MAX(0,AX75-AX78-AX84)</f>
        <v/>
      </c>
      <c r="AY87" s="160">
        <f>MAX(0,AY75-AY78-AY84)</f>
        <v/>
      </c>
      <c r="AZ87" s="160">
        <f>MAX(0,AZ75-AZ78-AZ84)</f>
        <v/>
      </c>
      <c r="BA87" s="160">
        <f>MAX(0,BA75-BA78-BA84)</f>
        <v/>
      </c>
      <c r="BB87" s="160">
        <f>MAX(0,BB75-BB78-BB84)</f>
        <v/>
      </c>
    </row>
    <row r="88" ht="15" customHeight="1" s="91">
      <c r="B88" s="153" t="inlineStr">
        <is>
          <t>Tier 3: GP Catch-up  تعويض المطور</t>
        </is>
      </c>
      <c r="C88" s="153" t="inlineStr">
        <is>
          <t>SAR</t>
        </is>
      </c>
      <c r="D88" s="157">
        <f>SUM(E88:BB88)</f>
        <v/>
      </c>
      <c r="E88" s="160">
        <f>IF($C$37="Y",MIN(E87,E84*$C$38/(1-$C$38)),0)</f>
        <v/>
      </c>
      <c r="F88" s="160">
        <f>IF($C$37="Y",MIN(F87,F84*$C$38/(1-$C$38)),0)</f>
        <v/>
      </c>
      <c r="G88" s="160">
        <f>IF($C$37="Y",MIN(G87,G84*$C$38/(1-$C$38)),0)</f>
        <v/>
      </c>
      <c r="H88" s="160">
        <f>IF($C$37="Y",MIN(H87,H84*$C$38/(1-$C$38)),0)</f>
        <v/>
      </c>
      <c r="I88" s="160">
        <f>IF($C$37="Y",MIN(I87,I84*$C$38/(1-$C$38)),0)</f>
        <v/>
      </c>
      <c r="J88" s="160">
        <f>IF($C$37="Y",MIN(J87,J84*$C$38/(1-$C$38)),0)</f>
        <v/>
      </c>
      <c r="K88" s="160">
        <f>IF($C$37="Y",MIN(K87,K84*$C$38/(1-$C$38)),0)</f>
        <v/>
      </c>
      <c r="L88" s="160">
        <f>IF($C$37="Y",MIN(L87,L84*$C$38/(1-$C$38)),0)</f>
        <v/>
      </c>
      <c r="M88" s="160">
        <f>IF($C$37="Y",MIN(M87,M84*$C$38/(1-$C$38)),0)</f>
        <v/>
      </c>
      <c r="N88" s="160">
        <f>IF($C$37="Y",MIN(N87,N84*$C$38/(1-$C$38)),0)</f>
        <v/>
      </c>
      <c r="O88" s="160">
        <f>IF($C$37="Y",MIN(O87,O84*$C$38/(1-$C$38)),0)</f>
        <v/>
      </c>
      <c r="P88" s="160">
        <f>IF($C$37="Y",MIN(P87,P84*$C$38/(1-$C$38)),0)</f>
        <v/>
      </c>
      <c r="Q88" s="160">
        <f>IF($C$37="Y",MIN(Q87,Q84*$C$38/(1-$C$38)),0)</f>
        <v/>
      </c>
      <c r="R88" s="160">
        <f>IF($C$37="Y",MIN(R87,R84*$C$38/(1-$C$38)),0)</f>
        <v/>
      </c>
      <c r="S88" s="160">
        <f>IF($C$37="Y",MIN(S87,S84*$C$38/(1-$C$38)),0)</f>
        <v/>
      </c>
      <c r="T88" s="160">
        <f>IF($C$37="Y",MIN(T87,T84*$C$38/(1-$C$38)),0)</f>
        <v/>
      </c>
      <c r="U88" s="160">
        <f>IF($C$37="Y",MIN(U87,U84*$C$38/(1-$C$38)),0)</f>
        <v/>
      </c>
      <c r="V88" s="160">
        <f>IF($C$37="Y",MIN(V87,V84*$C$38/(1-$C$38)),0)</f>
        <v/>
      </c>
      <c r="W88" s="160">
        <f>IF($C$37="Y",MIN(W87,W84*$C$38/(1-$C$38)),0)</f>
        <v/>
      </c>
      <c r="X88" s="160">
        <f>IF($C$37="Y",MIN(X87,X84*$C$38/(1-$C$38)),0)</f>
        <v/>
      </c>
      <c r="Y88" s="160">
        <f>IF($C$37="Y",MIN(Y87,Y84*$C$38/(1-$C$38)),0)</f>
        <v/>
      </c>
      <c r="Z88" s="160">
        <f>IF($C$37="Y",MIN(Z87,Z84*$C$38/(1-$C$38)),0)</f>
        <v/>
      </c>
      <c r="AA88" s="160">
        <f>IF($C$37="Y",MIN(AA87,AA84*$C$38/(1-$C$38)),0)</f>
        <v/>
      </c>
      <c r="AB88" s="160">
        <f>IF($C$37="Y",MIN(AB87,AB84*$C$38/(1-$C$38)),0)</f>
        <v/>
      </c>
      <c r="AC88" s="160">
        <f>IF($C$37="Y",MIN(AC87,AC84*$C$38/(1-$C$38)),0)</f>
        <v/>
      </c>
      <c r="AD88" s="160">
        <f>IF($C$37="Y",MIN(AD87,AD84*$C$38/(1-$C$38)),0)</f>
        <v/>
      </c>
      <c r="AE88" s="160">
        <f>IF($C$37="Y",MIN(AE87,AE84*$C$38/(1-$C$38)),0)</f>
        <v/>
      </c>
      <c r="AF88" s="160">
        <f>IF($C$37="Y",MIN(AF87,AF84*$C$38/(1-$C$38)),0)</f>
        <v/>
      </c>
      <c r="AG88" s="160">
        <f>IF($C$37="Y",MIN(AG87,AG84*$C$38/(1-$C$38)),0)</f>
        <v/>
      </c>
      <c r="AH88" s="160">
        <f>IF($C$37="Y",MIN(AH87,AH84*$C$38/(1-$C$38)),0)</f>
        <v/>
      </c>
      <c r="AI88" s="160">
        <f>IF($C$37="Y",MIN(AI87,AI84*$C$38/(1-$C$38)),0)</f>
        <v/>
      </c>
      <c r="AJ88" s="160">
        <f>IF($C$37="Y",MIN(AJ87,AJ84*$C$38/(1-$C$38)),0)</f>
        <v/>
      </c>
      <c r="AK88" s="160">
        <f>IF($C$37="Y",MIN(AK87,AK84*$C$38/(1-$C$38)),0)</f>
        <v/>
      </c>
      <c r="AL88" s="160">
        <f>IF($C$37="Y",MIN(AL87,AL84*$C$38/(1-$C$38)),0)</f>
        <v/>
      </c>
      <c r="AM88" s="160">
        <f>IF($C$37="Y",MIN(AM87,AM84*$C$38/(1-$C$38)),0)</f>
        <v/>
      </c>
      <c r="AN88" s="160">
        <f>IF($C$37="Y",MIN(AN87,AN84*$C$38/(1-$C$38)),0)</f>
        <v/>
      </c>
      <c r="AO88" s="160">
        <f>IF($C$37="Y",MIN(AO87,AO84*$C$38/(1-$C$38)),0)</f>
        <v/>
      </c>
      <c r="AP88" s="160">
        <f>IF($C$37="Y",MIN(AP87,AP84*$C$38/(1-$C$38)),0)</f>
        <v/>
      </c>
      <c r="AQ88" s="160">
        <f>IF($C$37="Y",MIN(AQ87,AQ84*$C$38/(1-$C$38)),0)</f>
        <v/>
      </c>
      <c r="AR88" s="160">
        <f>IF($C$37="Y",MIN(AR87,AR84*$C$38/(1-$C$38)),0)</f>
        <v/>
      </c>
      <c r="AS88" s="160">
        <f>IF($C$37="Y",MIN(AS87,AS84*$C$38/(1-$C$38)),0)</f>
        <v/>
      </c>
      <c r="AT88" s="160">
        <f>IF($C$37="Y",MIN(AT87,AT84*$C$38/(1-$C$38)),0)</f>
        <v/>
      </c>
      <c r="AU88" s="160">
        <f>IF($C$37="Y",MIN(AU87,AU84*$C$38/(1-$C$38)),0)</f>
        <v/>
      </c>
      <c r="AV88" s="160">
        <f>IF($C$37="Y",MIN(AV87,AV84*$C$38/(1-$C$38)),0)</f>
        <v/>
      </c>
      <c r="AW88" s="160">
        <f>IF($C$37="Y",MIN(AW87,AW84*$C$38/(1-$C$38)),0)</f>
        <v/>
      </c>
      <c r="AX88" s="160">
        <f>IF($C$37="Y",MIN(AX87,AX84*$C$38/(1-$C$38)),0)</f>
        <v/>
      </c>
      <c r="AY88" s="160">
        <f>IF($C$37="Y",MIN(AY87,AY84*$C$38/(1-$C$38)),0)</f>
        <v/>
      </c>
      <c r="AZ88" s="160">
        <f>IF($C$37="Y",MIN(AZ87,AZ84*$C$38/(1-$C$38)),0)</f>
        <v/>
      </c>
      <c r="BA88" s="160">
        <f>IF($C$37="Y",MIN(BA87,BA84*$C$38/(1-$C$38)),0)</f>
        <v/>
      </c>
      <c r="BB88" s="160">
        <f>IF($C$37="Y",MIN(BB87,BB84*$C$38/(1-$C$38)),0)</f>
        <v/>
      </c>
    </row>
    <row r="89" ht="15" customHeight="1" s="91">
      <c r="B89" s="153" t="inlineStr">
        <is>
          <t>Tier 4: Profit Split  تقسيم الأرباح</t>
        </is>
      </c>
      <c r="C89" s="153" t="inlineStr">
        <is>
          <t>SAR</t>
        </is>
      </c>
      <c r="D89" s="157">
        <f>SUM(E89:BB89)</f>
        <v/>
      </c>
      <c r="E89" s="160">
        <f>MAX(0,E87-E88)</f>
        <v/>
      </c>
      <c r="F89" s="160">
        <f>MAX(0,F87-F88)</f>
        <v/>
      </c>
      <c r="G89" s="160">
        <f>MAX(0,G87-G88)</f>
        <v/>
      </c>
      <c r="H89" s="160">
        <f>MAX(0,H87-H88)</f>
        <v/>
      </c>
      <c r="I89" s="160">
        <f>MAX(0,I87-I88)</f>
        <v/>
      </c>
      <c r="J89" s="160">
        <f>MAX(0,J87-J88)</f>
        <v/>
      </c>
      <c r="K89" s="160">
        <f>MAX(0,K87-K88)</f>
        <v/>
      </c>
      <c r="L89" s="160">
        <f>MAX(0,L87-L88)</f>
        <v/>
      </c>
      <c r="M89" s="160">
        <f>MAX(0,M87-M88)</f>
        <v/>
      </c>
      <c r="N89" s="160">
        <f>MAX(0,N87-N88)</f>
        <v/>
      </c>
      <c r="O89" s="160">
        <f>MAX(0,O87-O88)</f>
        <v/>
      </c>
      <c r="P89" s="160">
        <f>MAX(0,P87-P88)</f>
        <v/>
      </c>
      <c r="Q89" s="160">
        <f>MAX(0,Q87-Q88)</f>
        <v/>
      </c>
      <c r="R89" s="160">
        <f>MAX(0,R87-R88)</f>
        <v/>
      </c>
      <c r="S89" s="160">
        <f>MAX(0,S87-S88)</f>
        <v/>
      </c>
      <c r="T89" s="160">
        <f>MAX(0,T87-T88)</f>
        <v/>
      </c>
      <c r="U89" s="160">
        <f>MAX(0,U87-U88)</f>
        <v/>
      </c>
      <c r="V89" s="160">
        <f>MAX(0,V87-V88)</f>
        <v/>
      </c>
      <c r="W89" s="160">
        <f>MAX(0,W87-W88)</f>
        <v/>
      </c>
      <c r="X89" s="160">
        <f>MAX(0,X87-X88)</f>
        <v/>
      </c>
      <c r="Y89" s="160">
        <f>MAX(0,Y87-Y88)</f>
        <v/>
      </c>
      <c r="Z89" s="160">
        <f>MAX(0,Z87-Z88)</f>
        <v/>
      </c>
      <c r="AA89" s="160">
        <f>MAX(0,AA87-AA88)</f>
        <v/>
      </c>
      <c r="AB89" s="160">
        <f>MAX(0,AB87-AB88)</f>
        <v/>
      </c>
      <c r="AC89" s="160">
        <f>MAX(0,AC87-AC88)</f>
        <v/>
      </c>
      <c r="AD89" s="160">
        <f>MAX(0,AD87-AD88)</f>
        <v/>
      </c>
      <c r="AE89" s="160">
        <f>MAX(0,AE87-AE88)</f>
        <v/>
      </c>
      <c r="AF89" s="160">
        <f>MAX(0,AF87-AF88)</f>
        <v/>
      </c>
      <c r="AG89" s="160">
        <f>MAX(0,AG87-AG88)</f>
        <v/>
      </c>
      <c r="AH89" s="160">
        <f>MAX(0,AH87-AH88)</f>
        <v/>
      </c>
      <c r="AI89" s="160">
        <f>MAX(0,AI87-AI88)</f>
        <v/>
      </c>
      <c r="AJ89" s="160">
        <f>MAX(0,AJ87-AJ88)</f>
        <v/>
      </c>
      <c r="AK89" s="160">
        <f>MAX(0,AK87-AK88)</f>
        <v/>
      </c>
      <c r="AL89" s="160">
        <f>MAX(0,AL87-AL88)</f>
        <v/>
      </c>
      <c r="AM89" s="160">
        <f>MAX(0,AM87-AM88)</f>
        <v/>
      </c>
      <c r="AN89" s="160">
        <f>MAX(0,AN87-AN88)</f>
        <v/>
      </c>
      <c r="AO89" s="160">
        <f>MAX(0,AO87-AO88)</f>
        <v/>
      </c>
      <c r="AP89" s="160">
        <f>MAX(0,AP87-AP88)</f>
        <v/>
      </c>
      <c r="AQ89" s="160">
        <f>MAX(0,AQ87-AQ88)</f>
        <v/>
      </c>
      <c r="AR89" s="160">
        <f>MAX(0,AR87-AR88)</f>
        <v/>
      </c>
      <c r="AS89" s="160">
        <f>MAX(0,AS87-AS88)</f>
        <v/>
      </c>
      <c r="AT89" s="160">
        <f>MAX(0,AT87-AT88)</f>
        <v/>
      </c>
      <c r="AU89" s="160">
        <f>MAX(0,AU87-AU88)</f>
        <v/>
      </c>
      <c r="AV89" s="160">
        <f>MAX(0,AV87-AV88)</f>
        <v/>
      </c>
      <c r="AW89" s="160">
        <f>MAX(0,AW87-AW88)</f>
        <v/>
      </c>
      <c r="AX89" s="160">
        <f>MAX(0,AX87-AX88)</f>
        <v/>
      </c>
      <c r="AY89" s="160">
        <f>MAX(0,AY87-AY88)</f>
        <v/>
      </c>
      <c r="AZ89" s="160">
        <f>MAX(0,AZ87-AZ88)</f>
        <v/>
      </c>
      <c r="BA89" s="160">
        <f>MAX(0,BA87-BA88)</f>
        <v/>
      </c>
      <c r="BB89" s="160">
        <f>MAX(0,BB87-BB88)</f>
        <v/>
      </c>
    </row>
    <row r="90" ht="15" customHeight="1" s="91">
      <c r="B90" s="153" t="inlineStr">
        <is>
          <t xml:space="preserve">  → LP  حصة المستثمرين</t>
        </is>
      </c>
      <c r="C90" s="153" t="inlineStr">
        <is>
          <t>SAR</t>
        </is>
      </c>
      <c r="D90" s="160">
        <f>SUM(E90:BB90)</f>
        <v/>
      </c>
      <c r="E90" s="160">
        <f>E89*(1-$C$38)</f>
        <v/>
      </c>
      <c r="F90" s="160">
        <f>F89*(1-$C$38)</f>
        <v/>
      </c>
      <c r="G90" s="160">
        <f>G89*(1-$C$38)</f>
        <v/>
      </c>
      <c r="H90" s="160">
        <f>H89*(1-$C$38)</f>
        <v/>
      </c>
      <c r="I90" s="160">
        <f>I89*(1-$C$38)</f>
        <v/>
      </c>
      <c r="J90" s="160">
        <f>J89*(1-$C$38)</f>
        <v/>
      </c>
      <c r="K90" s="160">
        <f>K89*(1-$C$38)</f>
        <v/>
      </c>
      <c r="L90" s="160">
        <f>L89*(1-$C$38)</f>
        <v/>
      </c>
      <c r="M90" s="160">
        <f>M89*(1-$C$38)</f>
        <v/>
      </c>
      <c r="N90" s="160">
        <f>N89*(1-$C$38)</f>
        <v/>
      </c>
      <c r="O90" s="160">
        <f>O89*(1-$C$38)</f>
        <v/>
      </c>
      <c r="P90" s="160">
        <f>P89*(1-$C$38)</f>
        <v/>
      </c>
      <c r="Q90" s="160">
        <f>Q89*(1-$C$38)</f>
        <v/>
      </c>
      <c r="R90" s="160">
        <f>R89*(1-$C$38)</f>
        <v/>
      </c>
      <c r="S90" s="160">
        <f>S89*(1-$C$38)</f>
        <v/>
      </c>
      <c r="T90" s="160">
        <f>T89*(1-$C$38)</f>
        <v/>
      </c>
      <c r="U90" s="160">
        <f>U89*(1-$C$38)</f>
        <v/>
      </c>
      <c r="V90" s="160">
        <f>V89*(1-$C$38)</f>
        <v/>
      </c>
      <c r="W90" s="160">
        <f>W89*(1-$C$38)</f>
        <v/>
      </c>
      <c r="X90" s="160">
        <f>X89*(1-$C$38)</f>
        <v/>
      </c>
      <c r="Y90" s="160">
        <f>Y89*(1-$C$38)</f>
        <v/>
      </c>
      <c r="Z90" s="160">
        <f>Z89*(1-$C$38)</f>
        <v/>
      </c>
      <c r="AA90" s="160">
        <f>AA89*(1-$C$38)</f>
        <v/>
      </c>
      <c r="AB90" s="160">
        <f>AB89*(1-$C$38)</f>
        <v/>
      </c>
      <c r="AC90" s="160">
        <f>AC89*(1-$C$38)</f>
        <v/>
      </c>
      <c r="AD90" s="160">
        <f>AD89*(1-$C$38)</f>
        <v/>
      </c>
      <c r="AE90" s="160">
        <f>AE89*(1-$C$38)</f>
        <v/>
      </c>
      <c r="AF90" s="160">
        <f>AF89*(1-$C$38)</f>
        <v/>
      </c>
      <c r="AG90" s="160">
        <f>AG89*(1-$C$38)</f>
        <v/>
      </c>
      <c r="AH90" s="160">
        <f>AH89*(1-$C$38)</f>
        <v/>
      </c>
      <c r="AI90" s="160">
        <f>AI89*(1-$C$38)</f>
        <v/>
      </c>
      <c r="AJ90" s="160">
        <f>AJ89*(1-$C$38)</f>
        <v/>
      </c>
      <c r="AK90" s="160">
        <f>AK89*(1-$C$38)</f>
        <v/>
      </c>
      <c r="AL90" s="160">
        <f>AL89*(1-$C$38)</f>
        <v/>
      </c>
      <c r="AM90" s="160">
        <f>AM89*(1-$C$38)</f>
        <v/>
      </c>
      <c r="AN90" s="160">
        <f>AN89*(1-$C$38)</f>
        <v/>
      </c>
      <c r="AO90" s="160">
        <f>AO89*(1-$C$38)</f>
        <v/>
      </c>
      <c r="AP90" s="160">
        <f>AP89*(1-$C$38)</f>
        <v/>
      </c>
      <c r="AQ90" s="160">
        <f>AQ89*(1-$C$38)</f>
        <v/>
      </c>
      <c r="AR90" s="160">
        <f>AR89*(1-$C$38)</f>
        <v/>
      </c>
      <c r="AS90" s="160">
        <f>AS89*(1-$C$38)</f>
        <v/>
      </c>
      <c r="AT90" s="160">
        <f>AT89*(1-$C$38)</f>
        <v/>
      </c>
      <c r="AU90" s="160">
        <f>AU89*(1-$C$38)</f>
        <v/>
      </c>
      <c r="AV90" s="160">
        <f>AV89*(1-$C$38)</f>
        <v/>
      </c>
      <c r="AW90" s="160">
        <f>AW89*(1-$C$38)</f>
        <v/>
      </c>
      <c r="AX90" s="160">
        <f>AX89*(1-$C$38)</f>
        <v/>
      </c>
      <c r="AY90" s="160">
        <f>AY89*(1-$C$38)</f>
        <v/>
      </c>
      <c r="AZ90" s="160">
        <f>AZ89*(1-$C$38)</f>
        <v/>
      </c>
      <c r="BA90" s="160">
        <f>BA89*(1-$C$38)</f>
        <v/>
      </c>
      <c r="BB90" s="160">
        <f>BB89*(1-$C$38)</f>
        <v/>
      </c>
    </row>
    <row r="91" ht="15" customHeight="1" s="91">
      <c r="B91" s="153" t="inlineStr">
        <is>
          <t xml:space="preserve">  → GP / Carry  حصة الأداء</t>
        </is>
      </c>
      <c r="C91" s="153" t="inlineStr">
        <is>
          <t>SAR</t>
        </is>
      </c>
      <c r="D91" s="160">
        <f>SUM(E91:BB91)</f>
        <v/>
      </c>
      <c r="E91" s="160">
        <f>E89*$C$38</f>
        <v/>
      </c>
      <c r="F91" s="160">
        <f>F89*$C$38</f>
        <v/>
      </c>
      <c r="G91" s="160">
        <f>G89*$C$38</f>
        <v/>
      </c>
      <c r="H91" s="160">
        <f>H89*$C$38</f>
        <v/>
      </c>
      <c r="I91" s="160">
        <f>I89*$C$38</f>
        <v/>
      </c>
      <c r="J91" s="160">
        <f>J89*$C$38</f>
        <v/>
      </c>
      <c r="K91" s="160">
        <f>K89*$C$38</f>
        <v/>
      </c>
      <c r="L91" s="160">
        <f>L89*$C$38</f>
        <v/>
      </c>
      <c r="M91" s="160">
        <f>M89*$C$38</f>
        <v/>
      </c>
      <c r="N91" s="160">
        <f>N89*$C$38</f>
        <v/>
      </c>
      <c r="O91" s="160">
        <f>O89*$C$38</f>
        <v/>
      </c>
      <c r="P91" s="160">
        <f>P89*$C$38</f>
        <v/>
      </c>
      <c r="Q91" s="160">
        <f>Q89*$C$38</f>
        <v/>
      </c>
      <c r="R91" s="160">
        <f>R89*$C$38</f>
        <v/>
      </c>
      <c r="S91" s="160">
        <f>S89*$C$38</f>
        <v/>
      </c>
      <c r="T91" s="160">
        <f>T89*$C$38</f>
        <v/>
      </c>
      <c r="U91" s="160">
        <f>U89*$C$38</f>
        <v/>
      </c>
      <c r="V91" s="160">
        <f>V89*$C$38</f>
        <v/>
      </c>
      <c r="W91" s="160">
        <f>W89*$C$38</f>
        <v/>
      </c>
      <c r="X91" s="160">
        <f>X89*$C$38</f>
        <v/>
      </c>
      <c r="Y91" s="160">
        <f>Y89*$C$38</f>
        <v/>
      </c>
      <c r="Z91" s="160">
        <f>Z89*$C$38</f>
        <v/>
      </c>
      <c r="AA91" s="160">
        <f>AA89*$C$38</f>
        <v/>
      </c>
      <c r="AB91" s="160">
        <f>AB89*$C$38</f>
        <v/>
      </c>
      <c r="AC91" s="160">
        <f>AC89*$C$38</f>
        <v/>
      </c>
      <c r="AD91" s="160">
        <f>AD89*$C$38</f>
        <v/>
      </c>
      <c r="AE91" s="160">
        <f>AE89*$C$38</f>
        <v/>
      </c>
      <c r="AF91" s="160">
        <f>AF89*$C$38</f>
        <v/>
      </c>
      <c r="AG91" s="160">
        <f>AG89*$C$38</f>
        <v/>
      </c>
      <c r="AH91" s="160">
        <f>AH89*$C$38</f>
        <v/>
      </c>
      <c r="AI91" s="160">
        <f>AI89*$C$38</f>
        <v/>
      </c>
      <c r="AJ91" s="160">
        <f>AJ89*$C$38</f>
        <v/>
      </c>
      <c r="AK91" s="160">
        <f>AK89*$C$38</f>
        <v/>
      </c>
      <c r="AL91" s="160">
        <f>AL89*$C$38</f>
        <v/>
      </c>
      <c r="AM91" s="160">
        <f>AM89*$C$38</f>
        <v/>
      </c>
      <c r="AN91" s="160">
        <f>AN89*$C$38</f>
        <v/>
      </c>
      <c r="AO91" s="160">
        <f>AO89*$C$38</f>
        <v/>
      </c>
      <c r="AP91" s="160">
        <f>AP89*$C$38</f>
        <v/>
      </c>
      <c r="AQ91" s="160">
        <f>AQ89*$C$38</f>
        <v/>
      </c>
      <c r="AR91" s="160">
        <f>AR89*$C$38</f>
        <v/>
      </c>
      <c r="AS91" s="160">
        <f>AS89*$C$38</f>
        <v/>
      </c>
      <c r="AT91" s="160">
        <f>AT89*$C$38</f>
        <v/>
      </c>
      <c r="AU91" s="160">
        <f>AU89*$C$38</f>
        <v/>
      </c>
      <c r="AV91" s="160">
        <f>AV89*$C$38</f>
        <v/>
      </c>
      <c r="AW91" s="160">
        <f>AW89*$C$38</f>
        <v/>
      </c>
      <c r="AX91" s="160">
        <f>AX89*$C$38</f>
        <v/>
      </c>
      <c r="AY91" s="160">
        <f>AY89*$C$38</f>
        <v/>
      </c>
      <c r="AZ91" s="160">
        <f>AZ89*$C$38</f>
        <v/>
      </c>
      <c r="BA91" s="160">
        <f>BA89*$C$38</f>
        <v/>
      </c>
      <c r="BB91" s="160">
        <f>BB89*$C$38</f>
        <v/>
      </c>
    </row>
    <row r="93" ht="15" customHeight="1" s="91">
      <c r="B93" s="110" t="inlineStr">
        <is>
          <t>Total Distribution to LP  إجمالي توزيعات المستثمرين</t>
        </is>
      </c>
      <c r="C93" s="153" t="inlineStr">
        <is>
          <t>SAR</t>
        </is>
      </c>
      <c r="D93" s="157">
        <f>SUM(E93:BB93)</f>
        <v/>
      </c>
      <c r="E93" s="160">
        <f>E78*$C$16+E84*$C$16+E90</f>
        <v/>
      </c>
      <c r="F93" s="160">
        <f>F78*$C$16+F84*$C$16+F90</f>
        <v/>
      </c>
      <c r="G93" s="160">
        <f>G78*$C$16+G84*$C$16+G90</f>
        <v/>
      </c>
      <c r="H93" s="160">
        <f>H78*$C$16+H84*$C$16+H90</f>
        <v/>
      </c>
      <c r="I93" s="160">
        <f>I78*$C$16+I84*$C$16+I90</f>
        <v/>
      </c>
      <c r="J93" s="160">
        <f>J78*$C$16+J84*$C$16+J90</f>
        <v/>
      </c>
      <c r="K93" s="160">
        <f>K78*$C$16+K84*$C$16+K90</f>
        <v/>
      </c>
      <c r="L93" s="160">
        <f>L78*$C$16+L84*$C$16+L90</f>
        <v/>
      </c>
      <c r="M93" s="160">
        <f>M78*$C$16+M84*$C$16+M90</f>
        <v/>
      </c>
      <c r="N93" s="160">
        <f>N78*$C$16+N84*$C$16+N90</f>
        <v/>
      </c>
      <c r="O93" s="160">
        <f>O78*$C$16+O84*$C$16+O90</f>
        <v/>
      </c>
      <c r="P93" s="160">
        <f>P78*$C$16+P84*$C$16+P90</f>
        <v/>
      </c>
      <c r="Q93" s="160">
        <f>Q78*$C$16+Q84*$C$16+Q90</f>
        <v/>
      </c>
      <c r="R93" s="160">
        <f>R78*$C$16+R84*$C$16+R90</f>
        <v/>
      </c>
      <c r="S93" s="160">
        <f>S78*$C$16+S84*$C$16+S90</f>
        <v/>
      </c>
      <c r="T93" s="160">
        <f>T78*$C$16+T84*$C$16+T90</f>
        <v/>
      </c>
      <c r="U93" s="160">
        <f>U78*$C$16+U84*$C$16+U90</f>
        <v/>
      </c>
      <c r="V93" s="160">
        <f>V78*$C$16+V84*$C$16+V90</f>
        <v/>
      </c>
      <c r="W93" s="160">
        <f>W78*$C$16+W84*$C$16+W90</f>
        <v/>
      </c>
      <c r="X93" s="160">
        <f>X78*$C$16+X84*$C$16+X90</f>
        <v/>
      </c>
      <c r="Y93" s="160">
        <f>Y78*$C$16+Y84*$C$16+Y90</f>
        <v/>
      </c>
      <c r="Z93" s="160">
        <f>Z78*$C$16+Z84*$C$16+Z90</f>
        <v/>
      </c>
      <c r="AA93" s="160">
        <f>AA78*$C$16+AA84*$C$16+AA90</f>
        <v/>
      </c>
      <c r="AB93" s="160">
        <f>AB78*$C$16+AB84*$C$16+AB90</f>
        <v/>
      </c>
      <c r="AC93" s="160">
        <f>AC78*$C$16+AC84*$C$16+AC90</f>
        <v/>
      </c>
      <c r="AD93" s="160">
        <f>AD78*$C$16+AD84*$C$16+AD90</f>
        <v/>
      </c>
      <c r="AE93" s="160">
        <f>AE78*$C$16+AE84*$C$16+AE90</f>
        <v/>
      </c>
      <c r="AF93" s="160">
        <f>AF78*$C$16+AF84*$C$16+AF90</f>
        <v/>
      </c>
      <c r="AG93" s="160">
        <f>AG78*$C$16+AG84*$C$16+AG90</f>
        <v/>
      </c>
      <c r="AH93" s="160">
        <f>AH78*$C$16+AH84*$C$16+AH90</f>
        <v/>
      </c>
      <c r="AI93" s="160">
        <f>AI78*$C$16+AI84*$C$16+AI90</f>
        <v/>
      </c>
      <c r="AJ93" s="160">
        <f>AJ78*$C$16+AJ84*$C$16+AJ90</f>
        <v/>
      </c>
      <c r="AK93" s="160">
        <f>AK78*$C$16+AK84*$C$16+AK90</f>
        <v/>
      </c>
      <c r="AL93" s="160">
        <f>AL78*$C$16+AL84*$C$16+AL90</f>
        <v/>
      </c>
      <c r="AM93" s="160">
        <f>AM78*$C$16+AM84*$C$16+AM90</f>
        <v/>
      </c>
      <c r="AN93" s="160">
        <f>AN78*$C$16+AN84*$C$16+AN90</f>
        <v/>
      </c>
      <c r="AO93" s="160">
        <f>AO78*$C$16+AO84*$C$16+AO90</f>
        <v/>
      </c>
      <c r="AP93" s="160">
        <f>AP78*$C$16+AP84*$C$16+AP90</f>
        <v/>
      </c>
      <c r="AQ93" s="160">
        <f>AQ78*$C$16+AQ84*$C$16+AQ90</f>
        <v/>
      </c>
      <c r="AR93" s="160">
        <f>AR78*$C$16+AR84*$C$16+AR90</f>
        <v/>
      </c>
      <c r="AS93" s="160">
        <f>AS78*$C$16+AS84*$C$16+AS90</f>
        <v/>
      </c>
      <c r="AT93" s="160">
        <f>AT78*$C$16+AT84*$C$16+AT90</f>
        <v/>
      </c>
      <c r="AU93" s="160">
        <f>AU78*$C$16+AU84*$C$16+AU90</f>
        <v/>
      </c>
      <c r="AV93" s="160">
        <f>AV78*$C$16+AV84*$C$16+AV90</f>
        <v/>
      </c>
      <c r="AW93" s="160">
        <f>AW78*$C$16+AW84*$C$16+AW90</f>
        <v/>
      </c>
      <c r="AX93" s="160">
        <f>AX78*$C$16+AX84*$C$16+AX90</f>
        <v/>
      </c>
      <c r="AY93" s="160">
        <f>AY78*$C$16+AY84*$C$16+AY90</f>
        <v/>
      </c>
      <c r="AZ93" s="160">
        <f>AZ78*$C$16+AZ84*$C$16+AZ90</f>
        <v/>
      </c>
      <c r="BA93" s="160">
        <f>BA78*$C$16+BA84*$C$16+BA90</f>
        <v/>
      </c>
      <c r="BB93" s="160">
        <f>BB78*$C$16+BB84*$C$16+BB90</f>
        <v/>
      </c>
    </row>
    <row r="94" ht="15" customHeight="1" s="91">
      <c r="B94" s="110" t="inlineStr">
        <is>
          <t>Total Distribution to GP  إجمالي توزيعات المطور</t>
        </is>
      </c>
      <c r="C94" s="153" t="inlineStr">
        <is>
          <t>SAR</t>
        </is>
      </c>
      <c r="D94" s="157">
        <f>SUM(E94:BB94)</f>
        <v/>
      </c>
      <c r="E94" s="160">
        <f>E78*$C$15+E84*$C$15+E88+E91</f>
        <v/>
      </c>
      <c r="F94" s="160">
        <f>F78*$C$15+F84*$C$15+F88+F91</f>
        <v/>
      </c>
      <c r="G94" s="160">
        <f>G78*$C$15+G84*$C$15+G88+G91</f>
        <v/>
      </c>
      <c r="H94" s="160">
        <f>H78*$C$15+H84*$C$15+H88+H91</f>
        <v/>
      </c>
      <c r="I94" s="160">
        <f>I78*$C$15+I84*$C$15+I88+I91</f>
        <v/>
      </c>
      <c r="J94" s="160">
        <f>J78*$C$15+J84*$C$15+J88+J91</f>
        <v/>
      </c>
      <c r="K94" s="160">
        <f>K78*$C$15+K84*$C$15+K88+K91</f>
        <v/>
      </c>
      <c r="L94" s="160">
        <f>L78*$C$15+L84*$C$15+L88+L91</f>
        <v/>
      </c>
      <c r="M94" s="160">
        <f>M78*$C$15+M84*$C$15+M88+M91</f>
        <v/>
      </c>
      <c r="N94" s="160">
        <f>N78*$C$15+N84*$C$15+N88+N91</f>
        <v/>
      </c>
      <c r="O94" s="160">
        <f>O78*$C$15+O84*$C$15+O88+O91</f>
        <v/>
      </c>
      <c r="P94" s="160">
        <f>P78*$C$15+P84*$C$15+P88+P91</f>
        <v/>
      </c>
      <c r="Q94" s="160">
        <f>Q78*$C$15+Q84*$C$15+Q88+Q91</f>
        <v/>
      </c>
      <c r="R94" s="160">
        <f>R78*$C$15+R84*$C$15+R88+R91</f>
        <v/>
      </c>
      <c r="S94" s="160">
        <f>S78*$C$15+S84*$C$15+S88+S91</f>
        <v/>
      </c>
      <c r="T94" s="160">
        <f>T78*$C$15+T84*$C$15+T88+T91</f>
        <v/>
      </c>
      <c r="U94" s="160">
        <f>U78*$C$15+U84*$C$15+U88+U91</f>
        <v/>
      </c>
      <c r="V94" s="160">
        <f>V78*$C$15+V84*$C$15+V88+V91</f>
        <v/>
      </c>
      <c r="W94" s="160">
        <f>W78*$C$15+W84*$C$15+W88+W91</f>
        <v/>
      </c>
      <c r="X94" s="160">
        <f>X78*$C$15+X84*$C$15+X88+X91</f>
        <v/>
      </c>
      <c r="Y94" s="160">
        <f>Y78*$C$15+Y84*$C$15+Y88+Y91</f>
        <v/>
      </c>
      <c r="Z94" s="160">
        <f>Z78*$C$15+Z84*$C$15+Z88+Z91</f>
        <v/>
      </c>
      <c r="AA94" s="160">
        <f>AA78*$C$15+AA84*$C$15+AA88+AA91</f>
        <v/>
      </c>
      <c r="AB94" s="160">
        <f>AB78*$C$15+AB84*$C$15+AB88+AB91</f>
        <v/>
      </c>
      <c r="AC94" s="160">
        <f>AC78*$C$15+AC84*$C$15+AC88+AC91</f>
        <v/>
      </c>
      <c r="AD94" s="160">
        <f>AD78*$C$15+AD84*$C$15+AD88+AD91</f>
        <v/>
      </c>
      <c r="AE94" s="160">
        <f>AE78*$C$15+AE84*$C$15+AE88+AE91</f>
        <v/>
      </c>
      <c r="AF94" s="160">
        <f>AF78*$C$15+AF84*$C$15+AF88+AF91</f>
        <v/>
      </c>
      <c r="AG94" s="160">
        <f>AG78*$C$15+AG84*$C$15+AG88+AG91</f>
        <v/>
      </c>
      <c r="AH94" s="160">
        <f>AH78*$C$15+AH84*$C$15+AH88+AH91</f>
        <v/>
      </c>
      <c r="AI94" s="160">
        <f>AI78*$C$15+AI84*$C$15+AI88+AI91</f>
        <v/>
      </c>
      <c r="AJ94" s="160">
        <f>AJ78*$C$15+AJ84*$C$15+AJ88+AJ91</f>
        <v/>
      </c>
      <c r="AK94" s="160">
        <f>AK78*$C$15+AK84*$C$15+AK88+AK91</f>
        <v/>
      </c>
      <c r="AL94" s="160">
        <f>AL78*$C$15+AL84*$C$15+AL88+AL91</f>
        <v/>
      </c>
      <c r="AM94" s="160">
        <f>AM78*$C$15+AM84*$C$15+AM88+AM91</f>
        <v/>
      </c>
      <c r="AN94" s="160">
        <f>AN78*$C$15+AN84*$C$15+AN88+AN91</f>
        <v/>
      </c>
      <c r="AO94" s="160">
        <f>AO78*$C$15+AO84*$C$15+AO88+AO91</f>
        <v/>
      </c>
      <c r="AP94" s="160">
        <f>AP78*$C$15+AP84*$C$15+AP88+AP91</f>
        <v/>
      </c>
      <c r="AQ94" s="160">
        <f>AQ78*$C$15+AQ84*$C$15+AQ88+AQ91</f>
        <v/>
      </c>
      <c r="AR94" s="160">
        <f>AR78*$C$15+AR84*$C$15+AR88+AR91</f>
        <v/>
      </c>
      <c r="AS94" s="160">
        <f>AS78*$C$15+AS84*$C$15+AS88+AS91</f>
        <v/>
      </c>
      <c r="AT94" s="160">
        <f>AT78*$C$15+AT84*$C$15+AT88+AT91</f>
        <v/>
      </c>
      <c r="AU94" s="160">
        <f>AU78*$C$15+AU84*$C$15+AU88+AU91</f>
        <v/>
      </c>
      <c r="AV94" s="160">
        <f>AV78*$C$15+AV84*$C$15+AV88+AV91</f>
        <v/>
      </c>
      <c r="AW94" s="160">
        <f>AW78*$C$15+AW84*$C$15+AW88+AW91</f>
        <v/>
      </c>
      <c r="AX94" s="160">
        <f>AX78*$C$15+AX84*$C$15+AX88+AX91</f>
        <v/>
      </c>
      <c r="AY94" s="160">
        <f>AY78*$C$15+AY84*$C$15+AY88+AY91</f>
        <v/>
      </c>
      <c r="AZ94" s="160">
        <f>AZ78*$C$15+AZ84*$C$15+AZ88+AZ91</f>
        <v/>
      </c>
      <c r="BA94" s="160">
        <f>BA78*$C$15+BA84*$C$15+BA88+BA91</f>
        <v/>
      </c>
      <c r="BB94" s="160">
        <f>BB78*$C$15+BB84*$C$15+BB88+BB91</f>
        <v/>
      </c>
    </row>
    <row r="95" ht="15" customHeight="1" s="91">
      <c r="B95" s="110" t="inlineStr">
        <is>
          <t>Total Distributions  إجمالي التوزيعات</t>
        </is>
      </c>
      <c r="C95" s="153" t="inlineStr">
        <is>
          <t>SAR</t>
        </is>
      </c>
      <c r="D95" s="157">
        <f>SUM(E95:BB95)</f>
        <v/>
      </c>
      <c r="E95" s="157">
        <f>E93+E94</f>
        <v/>
      </c>
      <c r="F95" s="157">
        <f>F93+F94</f>
        <v/>
      </c>
      <c r="G95" s="157">
        <f>G93+G94</f>
        <v/>
      </c>
      <c r="H95" s="157">
        <f>H93+H94</f>
        <v/>
      </c>
      <c r="I95" s="157">
        <f>I93+I94</f>
        <v/>
      </c>
      <c r="J95" s="157">
        <f>J93+J94</f>
        <v/>
      </c>
      <c r="K95" s="157">
        <f>K93+K94</f>
        <v/>
      </c>
      <c r="L95" s="157">
        <f>L93+L94</f>
        <v/>
      </c>
      <c r="M95" s="157">
        <f>M93+M94</f>
        <v/>
      </c>
      <c r="N95" s="157">
        <f>N93+N94</f>
        <v/>
      </c>
      <c r="O95" s="157">
        <f>O93+O94</f>
        <v/>
      </c>
      <c r="P95" s="157">
        <f>P93+P94</f>
        <v/>
      </c>
      <c r="Q95" s="157">
        <f>Q93+Q94</f>
        <v/>
      </c>
      <c r="R95" s="157">
        <f>R93+R94</f>
        <v/>
      </c>
      <c r="S95" s="157">
        <f>S93+S94</f>
        <v/>
      </c>
      <c r="T95" s="157">
        <f>T93+T94</f>
        <v/>
      </c>
      <c r="U95" s="157">
        <f>U93+U94</f>
        <v/>
      </c>
      <c r="V95" s="157">
        <f>V93+V94</f>
        <v/>
      </c>
      <c r="W95" s="157">
        <f>W93+W94</f>
        <v/>
      </c>
      <c r="X95" s="157">
        <f>X93+X94</f>
        <v/>
      </c>
      <c r="Y95" s="157">
        <f>Y93+Y94</f>
        <v/>
      </c>
      <c r="Z95" s="157">
        <f>Z93+Z94</f>
        <v/>
      </c>
      <c r="AA95" s="157">
        <f>AA93+AA94</f>
        <v/>
      </c>
      <c r="AB95" s="157">
        <f>AB93+AB94</f>
        <v/>
      </c>
      <c r="AC95" s="157">
        <f>AC93+AC94</f>
        <v/>
      </c>
      <c r="AD95" s="157">
        <f>AD93+AD94</f>
        <v/>
      </c>
      <c r="AE95" s="157">
        <f>AE93+AE94</f>
        <v/>
      </c>
      <c r="AF95" s="157">
        <f>AF93+AF94</f>
        <v/>
      </c>
      <c r="AG95" s="157">
        <f>AG93+AG94</f>
        <v/>
      </c>
      <c r="AH95" s="157">
        <f>AH93+AH94</f>
        <v/>
      </c>
      <c r="AI95" s="157">
        <f>AI93+AI94</f>
        <v/>
      </c>
      <c r="AJ95" s="157">
        <f>AJ93+AJ94</f>
        <v/>
      </c>
      <c r="AK95" s="157">
        <f>AK93+AK94</f>
        <v/>
      </c>
      <c r="AL95" s="157">
        <f>AL93+AL94</f>
        <v/>
      </c>
      <c r="AM95" s="157">
        <f>AM93+AM94</f>
        <v/>
      </c>
      <c r="AN95" s="157">
        <f>AN93+AN94</f>
        <v/>
      </c>
      <c r="AO95" s="157">
        <f>AO93+AO94</f>
        <v/>
      </c>
      <c r="AP95" s="157">
        <f>AP93+AP94</f>
        <v/>
      </c>
      <c r="AQ95" s="157">
        <f>AQ93+AQ94</f>
        <v/>
      </c>
      <c r="AR95" s="157">
        <f>AR93+AR94</f>
        <v/>
      </c>
      <c r="AS95" s="157">
        <f>AS93+AS94</f>
        <v/>
      </c>
      <c r="AT95" s="157">
        <f>AT93+AT94</f>
        <v/>
      </c>
      <c r="AU95" s="157">
        <f>AU93+AU94</f>
        <v/>
      </c>
      <c r="AV95" s="157">
        <f>AV93+AV94</f>
        <v/>
      </c>
      <c r="AW95" s="157">
        <f>AW93+AW94</f>
        <v/>
      </c>
      <c r="AX95" s="157">
        <f>AX93+AX94</f>
        <v/>
      </c>
      <c r="AY95" s="157">
        <f>AY93+AY94</f>
        <v/>
      </c>
      <c r="AZ95" s="157">
        <f>AZ93+AZ94</f>
        <v/>
      </c>
      <c r="BA95" s="157">
        <f>BA93+BA94</f>
        <v/>
      </c>
      <c r="BB95" s="157">
        <f>BB93+BB94</f>
        <v/>
      </c>
    </row>
    <row r="97" ht="15" customHeight="1" s="91">
      <c r="A97" s="152" t="inlineStr">
        <is>
          <t>10  INVESTOR RETURNS  عوائد المستثمرين</t>
        </is>
      </c>
      <c r="B97" s="152" t="n"/>
      <c r="C97" s="152" t="n"/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  <c r="S97" s="152" t="n"/>
      <c r="T97" s="152" t="n"/>
      <c r="U97" s="152" t="n"/>
      <c r="V97" s="152" t="n"/>
      <c r="W97" s="152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  <c r="AF97" s="152" t="n"/>
      <c r="AG97" s="152" t="n"/>
      <c r="AH97" s="152" t="n"/>
      <c r="AI97" s="152" t="n"/>
      <c r="AJ97" s="152" t="n"/>
      <c r="AK97" s="152" t="n"/>
      <c r="AL97" s="152" t="n"/>
      <c r="AM97" s="152" t="n"/>
      <c r="AN97" s="152" t="n"/>
      <c r="AO97" s="152" t="n"/>
      <c r="AP97" s="152" t="n"/>
      <c r="AQ97" s="152" t="n"/>
      <c r="AR97" s="152" t="n"/>
      <c r="AS97" s="152" t="n"/>
      <c r="AT97" s="152" t="n"/>
      <c r="AU97" s="152" t="n"/>
      <c r="AV97" s="152" t="n"/>
      <c r="AW97" s="152" t="n"/>
      <c r="AX97" s="152" t="n"/>
      <c r="AY97" s="152" t="n"/>
      <c r="AZ97" s="152" t="n"/>
      <c r="BA97" s="152" t="n"/>
      <c r="BB97" s="152" t="n"/>
    </row>
    <row r="98" ht="15" customHeight="1" s="91">
      <c r="C98" s="165" t="inlineStr">
        <is>
          <t>Unit</t>
        </is>
      </c>
      <c r="D98" s="165" t="inlineStr">
        <is>
          <t>Total</t>
        </is>
      </c>
      <c r="E98" s="166">
        <f>E$46</f>
        <v/>
      </c>
      <c r="F98" s="166">
        <f>F$46</f>
        <v/>
      </c>
      <c r="G98" s="166">
        <f>G$46</f>
        <v/>
      </c>
      <c r="H98" s="166">
        <f>H$46</f>
        <v/>
      </c>
      <c r="I98" s="166">
        <f>I$46</f>
        <v/>
      </c>
      <c r="J98" s="166">
        <f>J$46</f>
        <v/>
      </c>
      <c r="K98" s="166">
        <f>K$46</f>
        <v/>
      </c>
      <c r="L98" s="166">
        <f>L$46</f>
        <v/>
      </c>
      <c r="M98" s="166">
        <f>M$46</f>
        <v/>
      </c>
      <c r="N98" s="166">
        <f>N$46</f>
        <v/>
      </c>
      <c r="O98" s="166">
        <f>O$46</f>
        <v/>
      </c>
      <c r="P98" s="166">
        <f>P$46</f>
        <v/>
      </c>
      <c r="Q98" s="166">
        <f>Q$46</f>
        <v/>
      </c>
      <c r="R98" s="166">
        <f>R$46</f>
        <v/>
      </c>
      <c r="S98" s="166">
        <f>S$46</f>
        <v/>
      </c>
      <c r="T98" s="166">
        <f>T$46</f>
        <v/>
      </c>
      <c r="U98" s="166">
        <f>U$46</f>
        <v/>
      </c>
      <c r="V98" s="166">
        <f>V$46</f>
        <v/>
      </c>
      <c r="W98" s="166">
        <f>W$46</f>
        <v/>
      </c>
      <c r="X98" s="166">
        <f>X$46</f>
        <v/>
      </c>
      <c r="Y98" s="166">
        <f>Y$46</f>
        <v/>
      </c>
      <c r="Z98" s="166">
        <f>Z$46</f>
        <v/>
      </c>
      <c r="AA98" s="166">
        <f>AA$46</f>
        <v/>
      </c>
      <c r="AB98" s="166">
        <f>AB$46</f>
        <v/>
      </c>
      <c r="AC98" s="166">
        <f>AC$46</f>
        <v/>
      </c>
      <c r="AD98" s="166">
        <f>AD$46</f>
        <v/>
      </c>
      <c r="AE98" s="166">
        <f>AE$46</f>
        <v/>
      </c>
      <c r="AF98" s="166">
        <f>AF$46</f>
        <v/>
      </c>
      <c r="AG98" s="166">
        <f>AG$46</f>
        <v/>
      </c>
      <c r="AH98" s="166">
        <f>AH$46</f>
        <v/>
      </c>
      <c r="AI98" s="166">
        <f>AI$46</f>
        <v/>
      </c>
      <c r="AJ98" s="166">
        <f>AJ$46</f>
        <v/>
      </c>
      <c r="AK98" s="166">
        <f>AK$46</f>
        <v/>
      </c>
      <c r="AL98" s="166">
        <f>AL$46</f>
        <v/>
      </c>
      <c r="AM98" s="166">
        <f>AM$46</f>
        <v/>
      </c>
      <c r="AN98" s="166">
        <f>AN$46</f>
        <v/>
      </c>
      <c r="AO98" s="166">
        <f>AO$46</f>
        <v/>
      </c>
      <c r="AP98" s="166">
        <f>AP$46</f>
        <v/>
      </c>
      <c r="AQ98" s="166">
        <f>AQ$46</f>
        <v/>
      </c>
      <c r="AR98" s="166">
        <f>AR$46</f>
        <v/>
      </c>
      <c r="AS98" s="166">
        <f>AS$46</f>
        <v/>
      </c>
      <c r="AT98" s="166">
        <f>AT$46</f>
        <v/>
      </c>
      <c r="AU98" s="166">
        <f>AU$46</f>
        <v/>
      </c>
      <c r="AV98" s="166">
        <f>AV$46</f>
        <v/>
      </c>
      <c r="AW98" s="166">
        <f>AW$46</f>
        <v/>
      </c>
      <c r="AX98" s="166">
        <f>AX$46</f>
        <v/>
      </c>
      <c r="AY98" s="166">
        <f>AY$46</f>
        <v/>
      </c>
      <c r="AZ98" s="166">
        <f>AZ$46</f>
        <v/>
      </c>
      <c r="BA98" s="166">
        <f>BA$46</f>
        <v/>
      </c>
      <c r="BB98" s="166">
        <f>BB$46</f>
        <v/>
      </c>
    </row>
    <row r="99" ht="15" customHeight="1" s="91">
      <c r="B99" s="153" t="inlineStr">
        <is>
          <t>LP Net Cash Flow</t>
        </is>
      </c>
      <c r="C99" s="153" t="inlineStr">
        <is>
          <t>SAR</t>
        </is>
      </c>
      <c r="D99" s="157">
        <f>SUM(E99:BB99)</f>
        <v/>
      </c>
      <c r="E99" s="160">
        <f>-E56*$C$16+E93</f>
        <v/>
      </c>
      <c r="F99" s="160">
        <f>-F56*$C$16+F93</f>
        <v/>
      </c>
      <c r="G99" s="160">
        <f>-G56*$C$16+G93</f>
        <v/>
      </c>
      <c r="H99" s="160">
        <f>-H56*$C$16+H93</f>
        <v/>
      </c>
      <c r="I99" s="160">
        <f>-I56*$C$16+I93</f>
        <v/>
      </c>
      <c r="J99" s="160">
        <f>-J56*$C$16+J93</f>
        <v/>
      </c>
      <c r="K99" s="160">
        <f>-K56*$C$16+K93</f>
        <v/>
      </c>
      <c r="L99" s="160">
        <f>-L56*$C$16+L93</f>
        <v/>
      </c>
      <c r="M99" s="160">
        <f>-M56*$C$16+M93</f>
        <v/>
      </c>
      <c r="N99" s="160">
        <f>-N56*$C$16+N93</f>
        <v/>
      </c>
      <c r="O99" s="160">
        <f>-O56*$C$16+O93</f>
        <v/>
      </c>
      <c r="P99" s="160">
        <f>-P56*$C$16+P93</f>
        <v/>
      </c>
      <c r="Q99" s="160">
        <f>-Q56*$C$16+Q93</f>
        <v/>
      </c>
      <c r="R99" s="160">
        <f>-R56*$C$16+R93</f>
        <v/>
      </c>
      <c r="S99" s="160">
        <f>-S56*$C$16+S93</f>
        <v/>
      </c>
      <c r="T99" s="160">
        <f>-T56*$C$16+T93</f>
        <v/>
      </c>
      <c r="U99" s="160">
        <f>-U56*$C$16+U93</f>
        <v/>
      </c>
      <c r="V99" s="160">
        <f>-V56*$C$16+V93</f>
        <v/>
      </c>
      <c r="W99" s="160">
        <f>-W56*$C$16+W93</f>
        <v/>
      </c>
      <c r="X99" s="160">
        <f>-X56*$C$16+X93</f>
        <v/>
      </c>
      <c r="Y99" s="160">
        <f>-Y56*$C$16+Y93</f>
        <v/>
      </c>
      <c r="Z99" s="160">
        <f>-Z56*$C$16+Z93</f>
        <v/>
      </c>
      <c r="AA99" s="160">
        <f>-AA56*$C$16+AA93</f>
        <v/>
      </c>
      <c r="AB99" s="160">
        <f>-AB56*$C$16+AB93</f>
        <v/>
      </c>
      <c r="AC99" s="160">
        <f>-AC56*$C$16+AC93</f>
        <v/>
      </c>
      <c r="AD99" s="160">
        <f>-AD56*$C$16+AD93</f>
        <v/>
      </c>
      <c r="AE99" s="160">
        <f>-AE56*$C$16+AE93</f>
        <v/>
      </c>
      <c r="AF99" s="160">
        <f>-AF56*$C$16+AF93</f>
        <v/>
      </c>
      <c r="AG99" s="160">
        <f>-AG56*$C$16+AG93</f>
        <v/>
      </c>
      <c r="AH99" s="160">
        <f>-AH56*$C$16+AH93</f>
        <v/>
      </c>
      <c r="AI99" s="160">
        <f>-AI56*$C$16+AI93</f>
        <v/>
      </c>
      <c r="AJ99" s="160">
        <f>-AJ56*$C$16+AJ93</f>
        <v/>
      </c>
      <c r="AK99" s="160">
        <f>-AK56*$C$16+AK93</f>
        <v/>
      </c>
      <c r="AL99" s="160">
        <f>-AL56*$C$16+AL93</f>
        <v/>
      </c>
      <c r="AM99" s="160">
        <f>-AM56*$C$16+AM93</f>
        <v/>
      </c>
      <c r="AN99" s="160">
        <f>-AN56*$C$16+AN93</f>
        <v/>
      </c>
      <c r="AO99" s="160">
        <f>-AO56*$C$16+AO93</f>
        <v/>
      </c>
      <c r="AP99" s="160">
        <f>-AP56*$C$16+AP93</f>
        <v/>
      </c>
      <c r="AQ99" s="160">
        <f>-AQ56*$C$16+AQ93</f>
        <v/>
      </c>
      <c r="AR99" s="160">
        <f>-AR56*$C$16+AR93</f>
        <v/>
      </c>
      <c r="AS99" s="160">
        <f>-AS56*$C$16+AS93</f>
        <v/>
      </c>
      <c r="AT99" s="160">
        <f>-AT56*$C$16+AT93</f>
        <v/>
      </c>
      <c r="AU99" s="160">
        <f>-AU56*$C$16+AU93</f>
        <v/>
      </c>
      <c r="AV99" s="160">
        <f>-AV56*$C$16+AV93</f>
        <v/>
      </c>
      <c r="AW99" s="160">
        <f>-AW56*$C$16+AW93</f>
        <v/>
      </c>
      <c r="AX99" s="160">
        <f>-AX56*$C$16+AX93</f>
        <v/>
      </c>
      <c r="AY99" s="160">
        <f>-AY56*$C$16+AY93</f>
        <v/>
      </c>
      <c r="AZ99" s="160">
        <f>-AZ56*$C$16+AZ93</f>
        <v/>
      </c>
      <c r="BA99" s="160">
        <f>-BA56*$C$16+BA93</f>
        <v/>
      </c>
      <c r="BB99" s="160">
        <f>-BB56*$C$16+BB93</f>
        <v/>
      </c>
    </row>
    <row r="100" ht="15" customHeight="1" s="91">
      <c r="B100" s="153" t="inlineStr">
        <is>
          <t>LP Cumulative Cash Flow</t>
        </is>
      </c>
      <c r="C100" s="153" t="inlineStr">
        <is>
          <t>SAR</t>
        </is>
      </c>
      <c r="E100" s="160">
        <f>E99</f>
        <v/>
      </c>
      <c r="F100" s="160">
        <f>E100+F99</f>
        <v/>
      </c>
      <c r="G100" s="160">
        <f>F100+G99</f>
        <v/>
      </c>
      <c r="H100" s="160">
        <f>G100+H99</f>
        <v/>
      </c>
      <c r="I100" s="160">
        <f>H100+I99</f>
        <v/>
      </c>
      <c r="J100" s="160">
        <f>I100+J99</f>
        <v/>
      </c>
      <c r="K100" s="160">
        <f>J100+K99</f>
        <v/>
      </c>
      <c r="L100" s="160">
        <f>K100+L99</f>
        <v/>
      </c>
      <c r="M100" s="160">
        <f>L100+M99</f>
        <v/>
      </c>
      <c r="N100" s="160">
        <f>M100+N99</f>
        <v/>
      </c>
      <c r="O100" s="160">
        <f>N100+O99</f>
        <v/>
      </c>
      <c r="P100" s="160">
        <f>O100+P99</f>
        <v/>
      </c>
      <c r="Q100" s="160">
        <f>P100+Q99</f>
        <v/>
      </c>
      <c r="R100" s="160">
        <f>Q100+R99</f>
        <v/>
      </c>
      <c r="S100" s="160">
        <f>R100+S99</f>
        <v/>
      </c>
      <c r="T100" s="160">
        <f>S100+T99</f>
        <v/>
      </c>
      <c r="U100" s="160">
        <f>T100+U99</f>
        <v/>
      </c>
      <c r="V100" s="160">
        <f>U100+V99</f>
        <v/>
      </c>
      <c r="W100" s="160">
        <f>V100+W99</f>
        <v/>
      </c>
      <c r="X100" s="160">
        <f>W100+X99</f>
        <v/>
      </c>
      <c r="Y100" s="160">
        <f>X100+Y99</f>
        <v/>
      </c>
      <c r="Z100" s="160">
        <f>Y100+Z99</f>
        <v/>
      </c>
      <c r="AA100" s="160">
        <f>Z100+AA99</f>
        <v/>
      </c>
      <c r="AB100" s="160">
        <f>AA100+AB99</f>
        <v/>
      </c>
      <c r="AC100" s="160">
        <f>AB100+AC99</f>
        <v/>
      </c>
      <c r="AD100" s="160">
        <f>AC100+AD99</f>
        <v/>
      </c>
      <c r="AE100" s="160">
        <f>AD100+AE99</f>
        <v/>
      </c>
      <c r="AF100" s="160">
        <f>AE100+AF99</f>
        <v/>
      </c>
      <c r="AG100" s="160">
        <f>AF100+AG99</f>
        <v/>
      </c>
      <c r="AH100" s="160">
        <f>AG100+AH99</f>
        <v/>
      </c>
      <c r="AI100" s="160">
        <f>AH100+AI99</f>
        <v/>
      </c>
      <c r="AJ100" s="160">
        <f>AI100+AJ99</f>
        <v/>
      </c>
      <c r="AK100" s="160">
        <f>AJ100+AK99</f>
        <v/>
      </c>
      <c r="AL100" s="160">
        <f>AK100+AL99</f>
        <v/>
      </c>
      <c r="AM100" s="160">
        <f>AL100+AM99</f>
        <v/>
      </c>
      <c r="AN100" s="160">
        <f>AM100+AN99</f>
        <v/>
      </c>
      <c r="AO100" s="160">
        <f>AN100+AO99</f>
        <v/>
      </c>
      <c r="AP100" s="160">
        <f>AO100+AP99</f>
        <v/>
      </c>
      <c r="AQ100" s="160">
        <f>AP100+AQ99</f>
        <v/>
      </c>
      <c r="AR100" s="160">
        <f>AQ100+AR99</f>
        <v/>
      </c>
      <c r="AS100" s="160">
        <f>AR100+AS99</f>
        <v/>
      </c>
      <c r="AT100" s="160">
        <f>AS100+AT99</f>
        <v/>
      </c>
      <c r="AU100" s="160">
        <f>AT100+AU99</f>
        <v/>
      </c>
      <c r="AV100" s="160">
        <f>AU100+AV99</f>
        <v/>
      </c>
      <c r="AW100" s="160">
        <f>AV100+AW99</f>
        <v/>
      </c>
      <c r="AX100" s="160">
        <f>AW100+AX99</f>
        <v/>
      </c>
      <c r="AY100" s="160">
        <f>AX100+AY99</f>
        <v/>
      </c>
      <c r="AZ100" s="160">
        <f>AY100+AZ99</f>
        <v/>
      </c>
      <c r="BA100" s="160">
        <f>AZ100+BA99</f>
        <v/>
      </c>
      <c r="BB100" s="160">
        <f>BA100+BB99</f>
        <v/>
      </c>
    </row>
    <row r="101" ht="15" customHeight="1" s="91">
      <c r="B101" s="110" t="inlineStr">
        <is>
          <t>LP Net IRR</t>
        </is>
      </c>
      <c r="C101" s="153" t="inlineStr">
        <is>
          <t>%</t>
        </is>
      </c>
      <c r="E101" s="161">
        <f>IFERROR(IRR(E99:BB99),"-")</f>
        <v/>
      </c>
    </row>
    <row r="103" ht="15" customHeight="1" s="91">
      <c r="B103" s="153" t="inlineStr">
        <is>
          <t>GP Net Cash Flow</t>
        </is>
      </c>
      <c r="C103" s="153" t="inlineStr">
        <is>
          <t>SAR</t>
        </is>
      </c>
      <c r="D103" s="157">
        <f>SUM(E103:BB103)</f>
        <v/>
      </c>
      <c r="E103" s="160">
        <f>-E56*$C$15+E94</f>
        <v/>
      </c>
      <c r="F103" s="160">
        <f>-F56*$C$15+F94</f>
        <v/>
      </c>
      <c r="G103" s="160">
        <f>-G56*$C$15+G94</f>
        <v/>
      </c>
      <c r="H103" s="160">
        <f>-H56*$C$15+H94</f>
        <v/>
      </c>
      <c r="I103" s="160">
        <f>-I56*$C$15+I94</f>
        <v/>
      </c>
      <c r="J103" s="160">
        <f>-J56*$C$15+J94</f>
        <v/>
      </c>
      <c r="K103" s="160">
        <f>-K56*$C$15+K94</f>
        <v/>
      </c>
      <c r="L103" s="160">
        <f>-L56*$C$15+L94</f>
        <v/>
      </c>
      <c r="M103" s="160">
        <f>-M56*$C$15+M94</f>
        <v/>
      </c>
      <c r="N103" s="160">
        <f>-N56*$C$15+N94</f>
        <v/>
      </c>
      <c r="O103" s="160">
        <f>-O56*$C$15+O94</f>
        <v/>
      </c>
      <c r="P103" s="160">
        <f>-P56*$C$15+P94</f>
        <v/>
      </c>
      <c r="Q103" s="160">
        <f>-Q56*$C$15+Q94</f>
        <v/>
      </c>
      <c r="R103" s="160">
        <f>-R56*$C$15+R94</f>
        <v/>
      </c>
      <c r="S103" s="160">
        <f>-S56*$C$15+S94</f>
        <v/>
      </c>
      <c r="T103" s="160">
        <f>-T56*$C$15+T94</f>
        <v/>
      </c>
      <c r="U103" s="160">
        <f>-U56*$C$15+U94</f>
        <v/>
      </c>
      <c r="V103" s="160">
        <f>-V56*$C$15+V94</f>
        <v/>
      </c>
      <c r="W103" s="160">
        <f>-W56*$C$15+W94</f>
        <v/>
      </c>
      <c r="X103" s="160">
        <f>-X56*$C$15+X94</f>
        <v/>
      </c>
      <c r="Y103" s="160">
        <f>-Y56*$C$15+Y94</f>
        <v/>
      </c>
      <c r="Z103" s="160">
        <f>-Z56*$C$15+Z94</f>
        <v/>
      </c>
      <c r="AA103" s="160">
        <f>-AA56*$C$15+AA94</f>
        <v/>
      </c>
      <c r="AB103" s="160">
        <f>-AB56*$C$15+AB94</f>
        <v/>
      </c>
      <c r="AC103" s="160">
        <f>-AC56*$C$15+AC94</f>
        <v/>
      </c>
      <c r="AD103" s="160">
        <f>-AD56*$C$15+AD94</f>
        <v/>
      </c>
      <c r="AE103" s="160">
        <f>-AE56*$C$15+AE94</f>
        <v/>
      </c>
      <c r="AF103" s="160">
        <f>-AF56*$C$15+AF94</f>
        <v/>
      </c>
      <c r="AG103" s="160">
        <f>-AG56*$C$15+AG94</f>
        <v/>
      </c>
      <c r="AH103" s="160">
        <f>-AH56*$C$15+AH94</f>
        <v/>
      </c>
      <c r="AI103" s="160">
        <f>-AI56*$C$15+AI94</f>
        <v/>
      </c>
      <c r="AJ103" s="160">
        <f>-AJ56*$C$15+AJ94</f>
        <v/>
      </c>
      <c r="AK103" s="160">
        <f>-AK56*$C$15+AK94</f>
        <v/>
      </c>
      <c r="AL103" s="160">
        <f>-AL56*$C$15+AL94</f>
        <v/>
      </c>
      <c r="AM103" s="160">
        <f>-AM56*$C$15+AM94</f>
        <v/>
      </c>
      <c r="AN103" s="160">
        <f>-AN56*$C$15+AN94</f>
        <v/>
      </c>
      <c r="AO103" s="160">
        <f>-AO56*$C$15+AO94</f>
        <v/>
      </c>
      <c r="AP103" s="160">
        <f>-AP56*$C$15+AP94</f>
        <v/>
      </c>
      <c r="AQ103" s="160">
        <f>-AQ56*$C$15+AQ94</f>
        <v/>
      </c>
      <c r="AR103" s="160">
        <f>-AR56*$C$15+AR94</f>
        <v/>
      </c>
      <c r="AS103" s="160">
        <f>-AS56*$C$15+AS94</f>
        <v/>
      </c>
      <c r="AT103" s="160">
        <f>-AT56*$C$15+AT94</f>
        <v/>
      </c>
      <c r="AU103" s="160">
        <f>-AU56*$C$15+AU94</f>
        <v/>
      </c>
      <c r="AV103" s="160">
        <f>-AV56*$C$15+AV94</f>
        <v/>
      </c>
      <c r="AW103" s="160">
        <f>-AW56*$C$15+AW94</f>
        <v/>
      </c>
      <c r="AX103" s="160">
        <f>-AX56*$C$15+AX94</f>
        <v/>
      </c>
      <c r="AY103" s="160">
        <f>-AY56*$C$15+AY94</f>
        <v/>
      </c>
      <c r="AZ103" s="160">
        <f>-AZ56*$C$15+AZ94</f>
        <v/>
      </c>
      <c r="BA103" s="160">
        <f>-BA56*$C$15+BA94</f>
        <v/>
      </c>
      <c r="BB103" s="160">
        <f>-BB56*$C$15+BB94</f>
        <v/>
      </c>
    </row>
    <row r="104" ht="15" customHeight="1" s="91">
      <c r="B104" s="110" t="inlineStr">
        <is>
          <t>GP Net IRR</t>
        </is>
      </c>
      <c r="C104" s="153" t="inlineStr">
        <is>
          <t>%</t>
        </is>
      </c>
      <c r="E104" s="161">
        <f>IFERROR(IRR(E103:BB103),"-")</f>
        <v/>
      </c>
    </row>
    <row r="106" ht="15" customHeight="1" s="91">
      <c r="A106" s="152" t="inlineStr">
        <is>
          <t>KPI SUMMARY  ملخص الأداء</t>
        </is>
      </c>
      <c r="B106" s="152" t="n"/>
      <c r="C106" s="152" t="n"/>
      <c r="D106" s="152" t="n"/>
      <c r="E106" s="152" t="n"/>
      <c r="F106" s="152" t="n"/>
      <c r="G106" s="152" t="n"/>
      <c r="H106" s="152" t="n"/>
      <c r="I106" s="152" t="n"/>
      <c r="J106" s="152" t="n"/>
      <c r="K106" s="152" t="n"/>
      <c r="L106" s="152" t="n"/>
      <c r="M106" s="152" t="n"/>
      <c r="N106" s="152" t="n"/>
      <c r="O106" s="152" t="n"/>
      <c r="P106" s="152" t="n"/>
      <c r="Q106" s="152" t="n"/>
      <c r="R106" s="152" t="n"/>
      <c r="S106" s="152" t="n"/>
      <c r="T106" s="152" t="n"/>
      <c r="U106" s="152" t="n"/>
      <c r="V106" s="152" t="n"/>
      <c r="W106" s="152" t="n"/>
      <c r="X106" s="152" t="n"/>
      <c r="Y106" s="152" t="n"/>
      <c r="Z106" s="152" t="n"/>
      <c r="AA106" s="152" t="n"/>
      <c r="AB106" s="152" t="n"/>
      <c r="AC106" s="152" t="n"/>
      <c r="AD106" s="152" t="n"/>
      <c r="AE106" s="152" t="n"/>
      <c r="AF106" s="152" t="n"/>
      <c r="AG106" s="152" t="n"/>
      <c r="AH106" s="152" t="n"/>
      <c r="AI106" s="152" t="n"/>
      <c r="AJ106" s="152" t="n"/>
      <c r="AK106" s="152" t="n"/>
      <c r="AL106" s="152" t="n"/>
      <c r="AM106" s="152" t="n"/>
      <c r="AN106" s="152" t="n"/>
      <c r="AO106" s="152" t="n"/>
      <c r="AP106" s="152" t="n"/>
      <c r="AQ106" s="152" t="n"/>
      <c r="AR106" s="152" t="n"/>
      <c r="AS106" s="152" t="n"/>
      <c r="AT106" s="152" t="n"/>
      <c r="AU106" s="152" t="n"/>
      <c r="AV106" s="152" t="n"/>
      <c r="AW106" s="152" t="n"/>
      <c r="AX106" s="152" t="n"/>
      <c r="AY106" s="152" t="n"/>
      <c r="AZ106" s="152" t="n"/>
      <c r="BA106" s="152" t="n"/>
      <c r="BB106" s="152" t="n"/>
    </row>
    <row r="107" ht="15" customHeight="1" s="91">
      <c r="B107" s="153" t="inlineStr">
        <is>
          <t>Project IRR (Unlevered)</t>
        </is>
      </c>
      <c r="C107" s="167">
        <f>IFERROR(IRR(E52:BB52),"-")</f>
        <v/>
      </c>
    </row>
    <row r="108" ht="15" customHeight="1" s="91">
      <c r="B108" s="153" t="inlineStr">
        <is>
          <t>LP Net IRR</t>
        </is>
      </c>
      <c r="C108" s="167">
        <f>E101</f>
        <v/>
      </c>
    </row>
    <row r="109" ht="15" customHeight="1" s="91">
      <c r="B109" s="153" t="inlineStr">
        <is>
          <t>GP Net IRR</t>
        </is>
      </c>
      <c r="C109" s="167">
        <f>E104</f>
        <v/>
      </c>
    </row>
    <row r="110" ht="15" customHeight="1" s="91">
      <c r="B110" s="153" t="inlineStr">
        <is>
          <t>LP MOIC</t>
        </is>
      </c>
      <c r="C110" s="168">
        <f>IFERROR(D93/(D56*$C$16),"-")</f>
        <v/>
      </c>
    </row>
    <row r="111" ht="15" customHeight="1" s="91">
      <c r="B111" s="153" t="inlineStr">
        <is>
          <t>GP MOIC</t>
        </is>
      </c>
      <c r="C111" s="168">
        <f>IFERROR(D94/(D56*$C$15),"-")</f>
        <v/>
      </c>
    </row>
    <row r="113" ht="15" customHeight="1" s="91">
      <c r="B113" s="153" t="inlineStr">
        <is>
          <t>Total Equity</t>
        </is>
      </c>
      <c r="C113" s="157">
        <f>$C$14</f>
        <v/>
      </c>
    </row>
    <row r="114" ht="15" customHeight="1" s="91">
      <c r="B114" s="153" t="inlineStr">
        <is>
          <t>Total Debt Drawn</t>
        </is>
      </c>
      <c r="C114" s="157">
        <f>D57</f>
        <v/>
      </c>
    </row>
    <row r="115" ht="15" customHeight="1" s="91">
      <c r="B115" s="153" t="inlineStr">
        <is>
          <t>Total Fees</t>
        </is>
      </c>
      <c r="C115" s="157">
        <f>D69</f>
        <v/>
      </c>
    </row>
    <row r="116" ht="15" customHeight="1" s="91">
      <c r="B116" s="153" t="inlineStr">
        <is>
          <t>Exit Proceeds</t>
        </is>
      </c>
      <c r="C116" s="157">
        <f>D51</f>
        <v/>
      </c>
    </row>
    <row r="118" ht="15" customHeight="1" s="91">
      <c r="A118" s="152" t="inlineStr">
        <is>
          <t>MODEL CHECKS  فحوصات النموذج</t>
        </is>
      </c>
      <c r="B118" s="152" t="n"/>
      <c r="C118" s="152" t="n"/>
      <c r="D118" s="152" t="n"/>
      <c r="E118" s="152" t="n"/>
      <c r="F118" s="152" t="n"/>
      <c r="G118" s="152" t="n"/>
      <c r="H118" s="152" t="n"/>
      <c r="I118" s="152" t="n"/>
      <c r="J118" s="152" t="n"/>
      <c r="K118" s="152" t="n"/>
      <c r="L118" s="152" t="n"/>
      <c r="M118" s="152" t="n"/>
      <c r="N118" s="152" t="n"/>
      <c r="O118" s="152" t="n"/>
      <c r="P118" s="152" t="n"/>
      <c r="Q118" s="152" t="n"/>
      <c r="R118" s="152" t="n"/>
      <c r="S118" s="152" t="n"/>
      <c r="T118" s="152" t="n"/>
      <c r="U118" s="152" t="n"/>
      <c r="V118" s="152" t="n"/>
      <c r="W118" s="152" t="n"/>
      <c r="X118" s="152" t="n"/>
      <c r="Y118" s="152" t="n"/>
      <c r="Z118" s="152" t="n"/>
      <c r="AA118" s="152" t="n"/>
      <c r="AB118" s="152" t="n"/>
      <c r="AC118" s="152" t="n"/>
      <c r="AD118" s="152" t="n"/>
      <c r="AE118" s="152" t="n"/>
      <c r="AF118" s="152" t="n"/>
      <c r="AG118" s="152" t="n"/>
      <c r="AH118" s="152" t="n"/>
      <c r="AI118" s="152" t="n"/>
      <c r="AJ118" s="152" t="n"/>
      <c r="AK118" s="152" t="n"/>
      <c r="AL118" s="152" t="n"/>
      <c r="AM118" s="152" t="n"/>
      <c r="AN118" s="152" t="n"/>
      <c r="AO118" s="152" t="n"/>
      <c r="AP118" s="152" t="n"/>
      <c r="AQ118" s="152" t="n"/>
      <c r="AR118" s="152" t="n"/>
      <c r="AS118" s="152" t="n"/>
      <c r="AT118" s="152" t="n"/>
      <c r="AU118" s="152" t="n"/>
      <c r="AV118" s="152" t="n"/>
      <c r="AW118" s="152" t="n"/>
      <c r="AX118" s="152" t="n"/>
      <c r="AY118" s="152" t="n"/>
      <c r="AZ118" s="152" t="n"/>
      <c r="BA118" s="152" t="n"/>
      <c r="BB118" s="152" t="n"/>
    </row>
    <row r="119" ht="15" customHeight="1" s="91">
      <c r="B119" s="153" t="inlineStr">
        <is>
          <t>Net CF = Inc+Land+CAPEX</t>
        </is>
      </c>
      <c r="C119" s="153">
        <f>IF(ABS(D50-(D47+D48+D49))&lt;1,"✓","✗")</f>
        <v/>
      </c>
    </row>
    <row r="120" ht="15" customHeight="1" s="91">
      <c r="B120" s="153" t="inlineStr">
        <is>
          <t>Equity Calls = Equity + Unfunded Fees</t>
        </is>
      </c>
      <c r="C120" s="153">
        <f>IF(ABS(D56-($C$14+D70))&lt;MAX(1,$C$14*0.05),"✓","✗")</f>
        <v/>
      </c>
    </row>
    <row r="121" ht="15" customHeight="1" s="91">
      <c r="B121" s="153" t="inlineStr">
        <is>
          <t>Distributions ≤ Cash Available</t>
        </is>
      </c>
      <c r="C121" s="153">
        <f>IF(D95&lt;=D75+1,"✓","✗")</f>
        <v/>
      </c>
    </row>
    <row r="122" ht="15" customHeight="1" s="91">
      <c r="B122" s="153" t="inlineStr">
        <is>
          <t>Debt Balance ≥ 0</t>
        </is>
      </c>
      <c r="C122" s="153">
        <f>IF(MIN(E60:BB60)&gt;=0,"✓","✗")</f>
        <v/>
      </c>
    </row>
    <row r="123" ht="15" customHeight="1" s="91">
      <c r="B123" s="153" t="inlineStr">
        <is>
          <t>LP+GP = Total Dist</t>
        </is>
      </c>
      <c r="C123" s="153">
        <f>IF(ABS(D95-(D93+D94))&lt;1,"✓","✗")</f>
        <v/>
      </c>
    </row>
    <row r="124" ht="15" customHeight="1" s="91">
      <c r="B124" s="153" t="inlineStr">
        <is>
          <t>Debt fully repaid by tenor end</t>
        </is>
      </c>
      <c r="C124" s="153">
        <f>IF(IFERROR(VLOOKUP($C$9+$C$24,E46:BB60,MATCH($C$9+$C$24,E46:BB46,0),FALSE()),0)&lt;=1,"✓","✗")</f>
        <v/>
      </c>
    </row>
    <row r="125" ht="15" customHeight="1" s="91">
      <c r="A125" s="152" t="inlineStr">
        <is>
          <t>NPV ANALYSIS  تحليل صافي القيمة الحالية</t>
        </is>
      </c>
      <c r="B125" s="152" t="n"/>
      <c r="C125" s="152" t="n"/>
      <c r="D125" s="152" t="n"/>
      <c r="E125" s="152" t="n"/>
      <c r="F125" s="152" t="n"/>
      <c r="G125" s="152" t="n"/>
      <c r="H125" s="152" t="n"/>
      <c r="I125" s="152" t="n"/>
      <c r="J125" s="152" t="n"/>
      <c r="K125" s="152" t="n"/>
      <c r="L125" s="152" t="n"/>
      <c r="M125" s="152" t="n"/>
      <c r="N125" s="152" t="n"/>
      <c r="O125" s="152" t="n"/>
      <c r="P125" s="152" t="n"/>
      <c r="Q125" s="152" t="n"/>
      <c r="R125" s="152" t="n"/>
      <c r="S125" s="152" t="n"/>
      <c r="T125" s="152" t="n"/>
      <c r="U125" s="152" t="n"/>
      <c r="V125" s="152" t="n"/>
      <c r="W125" s="152" t="n"/>
      <c r="X125" s="152" t="n"/>
      <c r="Y125" s="152" t="n"/>
      <c r="Z125" s="152" t="n"/>
      <c r="AA125" s="152" t="n"/>
      <c r="AB125" s="152" t="n"/>
      <c r="AC125" s="152" t="n"/>
      <c r="AD125" s="152" t="n"/>
      <c r="AE125" s="152" t="n"/>
      <c r="AF125" s="152" t="n"/>
      <c r="AG125" s="152" t="n"/>
      <c r="AH125" s="152" t="n"/>
      <c r="AI125" s="152" t="n"/>
      <c r="AJ125" s="152" t="n"/>
      <c r="AK125" s="152" t="n"/>
      <c r="AL125" s="152" t="n"/>
      <c r="AM125" s="152" t="n"/>
      <c r="AN125" s="152" t="n"/>
      <c r="AO125" s="152" t="n"/>
      <c r="AP125" s="152" t="n"/>
      <c r="AQ125" s="152" t="n"/>
      <c r="AR125" s="152" t="n"/>
      <c r="AS125" s="152" t="n"/>
      <c r="AT125" s="152" t="n"/>
      <c r="AU125" s="152" t="n"/>
      <c r="AV125" s="152" t="n"/>
      <c r="AW125" s="152" t="n"/>
      <c r="AX125" s="152" t="n"/>
      <c r="AY125" s="152" t="n"/>
      <c r="AZ125" s="152" t="n"/>
      <c r="BA125" s="152" t="n"/>
      <c r="BB125" s="152" t="n"/>
    </row>
    <row r="127" ht="15" customHeight="1" s="91">
      <c r="B127" s="153" t="inlineStr">
        <is>
          <t>Project (Unlevered)</t>
        </is>
      </c>
      <c r="C127" s="153" t="inlineStr">
        <is>
          <t>@ 10%</t>
        </is>
      </c>
      <c r="D127" s="160">
        <f>IFERROR(E52+NPV(0.1,F52:BB52),"-")</f>
        <v/>
      </c>
    </row>
    <row r="128" ht="15" customHeight="1" s="91">
      <c r="B128" s="169" t="inlineStr">
        <is>
          <t>═══ Debt Tranche Detail (perDraw mode) ═══</t>
        </is>
      </c>
      <c r="C128" s="153" t="inlineStr">
        <is>
          <t>@ 10%</t>
        </is>
      </c>
      <c r="D128" s="160">
        <f>IFERROR(E99+NPV(0.1,F99:BB99),"-")</f>
        <v/>
      </c>
    </row>
    <row r="129" ht="15" customHeight="1" s="91">
      <c r="B129" s="153" t="inlineStr">
        <is>
          <t>Tranche #</t>
        </is>
      </c>
      <c r="C129" s="153" t="inlineStr">
        <is>
          <t>Draw Amount</t>
        </is>
      </c>
      <c r="D129" s="160" t="inlineStr">
        <is>
          <t>Total Repaid</t>
        </is>
      </c>
      <c r="E129" s="90">
        <f>Inputs!$C$7+0</f>
        <v/>
      </c>
      <c r="F129" s="90">
        <f>Inputs!$C$7+1</f>
        <v/>
      </c>
      <c r="G129" s="90">
        <f>Inputs!$C$7+2</f>
        <v/>
      </c>
      <c r="H129" s="90">
        <f>Inputs!$C$7+3</f>
        <v/>
      </c>
      <c r="I129" s="90">
        <f>Inputs!$C$7+4</f>
        <v/>
      </c>
      <c r="J129" s="90">
        <f>Inputs!$C$7+5</f>
        <v/>
      </c>
      <c r="K129" s="90">
        <f>Inputs!$C$7+6</f>
        <v/>
      </c>
      <c r="L129" s="90">
        <f>Inputs!$C$7+7</f>
        <v/>
      </c>
      <c r="M129" s="90">
        <f>Inputs!$C$7+8</f>
        <v/>
      </c>
      <c r="N129" s="90">
        <f>Inputs!$C$7+9</f>
        <v/>
      </c>
      <c r="O129" s="90">
        <f>Inputs!$C$7+10</f>
        <v/>
      </c>
      <c r="P129" s="90">
        <f>Inputs!$C$7+11</f>
        <v/>
      </c>
      <c r="Q129" s="90">
        <f>Inputs!$C$7+12</f>
        <v/>
      </c>
      <c r="R129" s="90">
        <f>Inputs!$C$7+13</f>
        <v/>
      </c>
      <c r="S129" s="90">
        <f>Inputs!$C$7+14</f>
        <v/>
      </c>
      <c r="T129" s="90">
        <f>Inputs!$C$7+15</f>
        <v/>
      </c>
      <c r="U129" s="90">
        <f>Inputs!$C$7+16</f>
        <v/>
      </c>
      <c r="V129" s="90">
        <f>Inputs!$C$7+17</f>
        <v/>
      </c>
      <c r="W129" s="90">
        <f>Inputs!$C$7+18</f>
        <v/>
      </c>
      <c r="X129" s="90">
        <f>Inputs!$C$7+19</f>
        <v/>
      </c>
      <c r="Y129" s="90">
        <f>Inputs!$C$7+20</f>
        <v/>
      </c>
      <c r="Z129" s="90">
        <f>Inputs!$C$7+21</f>
        <v/>
      </c>
      <c r="AA129" s="90">
        <f>Inputs!$C$7+22</f>
        <v/>
      </c>
      <c r="AB129" s="90">
        <f>Inputs!$C$7+23</f>
        <v/>
      </c>
      <c r="AC129" s="90">
        <f>Inputs!$C$7+24</f>
        <v/>
      </c>
      <c r="AD129" s="90">
        <f>Inputs!$C$7+25</f>
        <v/>
      </c>
      <c r="AE129" s="90">
        <f>Inputs!$C$7+26</f>
        <v/>
      </c>
      <c r="AF129" s="90">
        <f>Inputs!$C$7+27</f>
        <v/>
      </c>
      <c r="AG129" s="90">
        <f>Inputs!$C$7+28</f>
        <v/>
      </c>
      <c r="AH129" s="90">
        <f>Inputs!$C$7+29</f>
        <v/>
      </c>
      <c r="AI129" s="90">
        <f>Inputs!$C$7+30</f>
        <v/>
      </c>
      <c r="AJ129" s="90">
        <f>Inputs!$C$7+31</f>
        <v/>
      </c>
      <c r="AK129" s="90">
        <f>Inputs!$C$7+32</f>
        <v/>
      </c>
      <c r="AL129" s="90">
        <f>Inputs!$C$7+33</f>
        <v/>
      </c>
      <c r="AM129" s="90">
        <f>Inputs!$C$7+34</f>
        <v/>
      </c>
      <c r="AN129" s="90">
        <f>Inputs!$C$7+35</f>
        <v/>
      </c>
      <c r="AO129" s="90">
        <f>Inputs!$C$7+36</f>
        <v/>
      </c>
      <c r="AP129" s="90">
        <f>Inputs!$C$7+37</f>
        <v/>
      </c>
      <c r="AQ129" s="90">
        <f>Inputs!$C$7+38</f>
        <v/>
      </c>
      <c r="AR129" s="90">
        <f>Inputs!$C$7+39</f>
        <v/>
      </c>
      <c r="AS129" s="90">
        <f>Inputs!$C$7+40</f>
        <v/>
      </c>
      <c r="AT129" s="90">
        <f>Inputs!$C$7+41</f>
        <v/>
      </c>
      <c r="AU129" s="90">
        <f>Inputs!$C$7+42</f>
        <v/>
      </c>
      <c r="AV129" s="90">
        <f>Inputs!$C$7+43</f>
        <v/>
      </c>
      <c r="AW129" s="90">
        <f>Inputs!$C$7+44</f>
        <v/>
      </c>
      <c r="AX129" s="90">
        <f>Inputs!$C$7+45</f>
        <v/>
      </c>
      <c r="AY129" s="90">
        <f>Inputs!$C$7+46</f>
        <v/>
      </c>
      <c r="AZ129" s="90">
        <f>Inputs!$C$7+47</f>
        <v/>
      </c>
      <c r="BA129" s="90">
        <f>Inputs!$C$7+48</f>
        <v/>
      </c>
      <c r="BB129" s="90">
        <f>Inputs!$C$7+49</f>
        <v/>
      </c>
    </row>
    <row r="130" ht="15" customHeight="1" s="91">
      <c r="B130" s="90" t="inlineStr">
        <is>
          <t>Tranche 1</t>
        </is>
      </c>
      <c r="C130" s="170">
        <f>IF(ABS($D$49)&gt;0,SUMPRODUCT(($E$46:$BB$46=$C$9+0)*IF($E49:$BB49&lt;0,ABS($E49:$BB49),0))*$C$19/ABS($D$49),0)</f>
        <v/>
      </c>
      <c r="D130" s="90">
        <f>SUM(E130:BB130)</f>
        <v/>
      </c>
      <c r="E130" s="90">
        <f>IF(AND($C130&gt;0,E$46&gt;=$C$9+0+$C$26,0&lt;$C130),MIN($C130/$C$27,$C130-0),0)</f>
        <v/>
      </c>
      <c r="F130" s="90">
        <f>IF(AND($C130&gt;0,F$46&gt;=$C$9+0+$C$26,SUM($E130:E130)&lt;$C130),MIN($C130/$C$27,$C130-SUM($E130:E130)),0)</f>
        <v/>
      </c>
      <c r="G130" s="90">
        <f>IF(AND($C130&gt;0,G$46&gt;=$C$9+0+$C$26,SUM($E130:F130)&lt;$C130),MIN($C130/$C$27,$C130-SUM($E130:F130)),0)</f>
        <v/>
      </c>
      <c r="H130" s="90">
        <f>IF(AND($C130&gt;0,H$46&gt;=$C$9+0+$C$26,SUM($E130:G130)&lt;$C130),MIN($C130/$C$27,$C130-SUM($E130:G130)),0)</f>
        <v/>
      </c>
      <c r="I130" s="90">
        <f>IF(AND($C130&gt;0,I$46&gt;=$C$9+0+$C$26,SUM($E130:H130)&lt;$C130),MIN($C130/$C$27,$C130-SUM($E130:H130)),0)</f>
        <v/>
      </c>
      <c r="J130" s="90">
        <f>IF(AND($C130&gt;0,J$46&gt;=$C$9+0+$C$26,SUM($E130:I130)&lt;$C130),MIN($C130/$C$27,$C130-SUM($E130:I130)),0)</f>
        <v/>
      </c>
      <c r="K130" s="90">
        <f>IF(AND($C130&gt;0,K$46&gt;=$C$9+0+$C$26,SUM($E130:J130)&lt;$C130),MIN($C130/$C$27,$C130-SUM($E130:J130)),0)</f>
        <v/>
      </c>
      <c r="L130" s="90">
        <f>IF(AND($C130&gt;0,L$46&gt;=$C$9+0+$C$26,SUM($E130:K130)&lt;$C130),MIN($C130/$C$27,$C130-SUM($E130:K130)),0)</f>
        <v/>
      </c>
      <c r="M130" s="90">
        <f>IF(AND($C130&gt;0,M$46&gt;=$C$9+0+$C$26,SUM($E130:L130)&lt;$C130),MIN($C130/$C$27,$C130-SUM($E130:L130)),0)</f>
        <v/>
      </c>
      <c r="N130" s="90">
        <f>IF(AND($C130&gt;0,N$46&gt;=$C$9+0+$C$26,SUM($E130:M130)&lt;$C130),MIN($C130/$C$27,$C130-SUM($E130:M130)),0)</f>
        <v/>
      </c>
      <c r="O130" s="90">
        <f>IF(AND($C130&gt;0,O$46&gt;=$C$9+0+$C$26,SUM($E130:N130)&lt;$C130),MIN($C130/$C$27,$C130-SUM($E130:N130)),0)</f>
        <v/>
      </c>
      <c r="P130" s="90">
        <f>IF(AND($C130&gt;0,P$46&gt;=$C$9+0+$C$26,SUM($E130:O130)&lt;$C130),MIN($C130/$C$27,$C130-SUM($E130:O130)),0)</f>
        <v/>
      </c>
      <c r="Q130" s="90">
        <f>IF(AND($C130&gt;0,Q$46&gt;=$C$9+0+$C$26,SUM($E130:P130)&lt;$C130),MIN($C130/$C$27,$C130-SUM($E130:P130)),0)</f>
        <v/>
      </c>
      <c r="R130" s="90">
        <f>IF(AND($C130&gt;0,R$46&gt;=$C$9+0+$C$26,SUM($E130:Q130)&lt;$C130),MIN($C130/$C$27,$C130-SUM($E130:Q130)),0)</f>
        <v/>
      </c>
      <c r="S130" s="90">
        <f>IF(AND($C130&gt;0,S$46&gt;=$C$9+0+$C$26,SUM($E130:R130)&lt;$C130),MIN($C130/$C$27,$C130-SUM($E130:R130)),0)</f>
        <v/>
      </c>
      <c r="T130" s="90">
        <f>IF(AND($C130&gt;0,T$46&gt;=$C$9+0+$C$26,SUM($E130:S130)&lt;$C130),MIN($C130/$C$27,$C130-SUM($E130:S130)),0)</f>
        <v/>
      </c>
      <c r="U130" s="90">
        <f>IF(AND($C130&gt;0,U$46&gt;=$C$9+0+$C$26,SUM($E130:T130)&lt;$C130),MIN($C130/$C$27,$C130-SUM($E130:T130)),0)</f>
        <v/>
      </c>
      <c r="V130" s="90">
        <f>IF(AND($C130&gt;0,V$46&gt;=$C$9+0+$C$26,SUM($E130:U130)&lt;$C130),MIN($C130/$C$27,$C130-SUM($E130:U130)),0)</f>
        <v/>
      </c>
      <c r="W130" s="90">
        <f>IF(AND($C130&gt;0,W$46&gt;=$C$9+0+$C$26,SUM($E130:V130)&lt;$C130),MIN($C130/$C$27,$C130-SUM($E130:V130)),0)</f>
        <v/>
      </c>
      <c r="X130" s="90">
        <f>IF(AND($C130&gt;0,X$46&gt;=$C$9+0+$C$26,SUM($E130:W130)&lt;$C130),MIN($C130/$C$27,$C130-SUM($E130:W130)),0)</f>
        <v/>
      </c>
      <c r="Y130" s="90">
        <f>IF(AND($C130&gt;0,Y$46&gt;=$C$9+0+$C$26,SUM($E130:X130)&lt;$C130),MIN($C130/$C$27,$C130-SUM($E130:X130)),0)</f>
        <v/>
      </c>
      <c r="Z130" s="90">
        <f>IF(AND($C130&gt;0,Z$46&gt;=$C$9+0+$C$26,SUM($E130:Y130)&lt;$C130),MIN($C130/$C$27,$C130-SUM($E130:Y130)),0)</f>
        <v/>
      </c>
      <c r="AA130" s="90">
        <f>IF(AND($C130&gt;0,AA$46&gt;=$C$9+0+$C$26,SUM($E130:Z130)&lt;$C130),MIN($C130/$C$27,$C130-SUM($E130:Z130)),0)</f>
        <v/>
      </c>
      <c r="AB130" s="90">
        <f>IF(AND($C130&gt;0,AB$46&gt;=$C$9+0+$C$26,SUM($E130:AA130)&lt;$C130),MIN($C130/$C$27,$C130-SUM($E130:AA130)),0)</f>
        <v/>
      </c>
      <c r="AC130" s="90">
        <f>IF(AND($C130&gt;0,AC$46&gt;=$C$9+0+$C$26,SUM($E130:AB130)&lt;$C130),MIN($C130/$C$27,$C130-SUM($E130:AB130)),0)</f>
        <v/>
      </c>
      <c r="AD130" s="90">
        <f>IF(AND($C130&gt;0,AD$46&gt;=$C$9+0+$C$26,SUM($E130:AC130)&lt;$C130),MIN($C130/$C$27,$C130-SUM($E130:AC130)),0)</f>
        <v/>
      </c>
      <c r="AE130" s="90">
        <f>IF(AND($C130&gt;0,AE$46&gt;=$C$9+0+$C$26,SUM($E130:AD130)&lt;$C130),MIN($C130/$C$27,$C130-SUM($E130:AD130)),0)</f>
        <v/>
      </c>
      <c r="AF130" s="90">
        <f>IF(AND($C130&gt;0,AF$46&gt;=$C$9+0+$C$26,SUM($E130:AE130)&lt;$C130),MIN($C130/$C$27,$C130-SUM($E130:AE130)),0)</f>
        <v/>
      </c>
      <c r="AG130" s="90">
        <f>IF(AND($C130&gt;0,AG$46&gt;=$C$9+0+$C$26,SUM($E130:AF130)&lt;$C130),MIN($C130/$C$27,$C130-SUM($E130:AF130)),0)</f>
        <v/>
      </c>
      <c r="AH130" s="90">
        <f>IF(AND($C130&gt;0,AH$46&gt;=$C$9+0+$C$26,SUM($E130:AG130)&lt;$C130),MIN($C130/$C$27,$C130-SUM($E130:AG130)),0)</f>
        <v/>
      </c>
      <c r="AI130" s="90">
        <f>IF(AND($C130&gt;0,AI$46&gt;=$C$9+0+$C$26,SUM($E130:AH130)&lt;$C130),MIN($C130/$C$27,$C130-SUM($E130:AH130)),0)</f>
        <v/>
      </c>
      <c r="AJ130" s="90">
        <f>IF(AND($C130&gt;0,AJ$46&gt;=$C$9+0+$C$26,SUM($E130:AI130)&lt;$C130),MIN($C130/$C$27,$C130-SUM($E130:AI130)),0)</f>
        <v/>
      </c>
      <c r="AK130" s="90">
        <f>IF(AND($C130&gt;0,AK$46&gt;=$C$9+0+$C$26,SUM($E130:AJ130)&lt;$C130),MIN($C130/$C$27,$C130-SUM($E130:AJ130)),0)</f>
        <v/>
      </c>
      <c r="AL130" s="90">
        <f>IF(AND($C130&gt;0,AL$46&gt;=$C$9+0+$C$26,SUM($E130:AK130)&lt;$C130),MIN($C130/$C$27,$C130-SUM($E130:AK130)),0)</f>
        <v/>
      </c>
      <c r="AM130" s="90">
        <f>IF(AND($C130&gt;0,AM$46&gt;=$C$9+0+$C$26,SUM($E130:AL130)&lt;$C130),MIN($C130/$C$27,$C130-SUM($E130:AL130)),0)</f>
        <v/>
      </c>
      <c r="AN130" s="90">
        <f>IF(AND($C130&gt;0,AN$46&gt;=$C$9+0+$C$26,SUM($E130:AM130)&lt;$C130),MIN($C130/$C$27,$C130-SUM($E130:AM130)),0)</f>
        <v/>
      </c>
      <c r="AO130" s="90">
        <f>IF(AND($C130&gt;0,AO$46&gt;=$C$9+0+$C$26,SUM($E130:AN130)&lt;$C130),MIN($C130/$C$27,$C130-SUM($E130:AN130)),0)</f>
        <v/>
      </c>
      <c r="AP130" s="90">
        <f>IF(AND($C130&gt;0,AP$46&gt;=$C$9+0+$C$26,SUM($E130:AO130)&lt;$C130),MIN($C130/$C$27,$C130-SUM($E130:AO130)),0)</f>
        <v/>
      </c>
      <c r="AQ130" s="90">
        <f>IF(AND($C130&gt;0,AQ$46&gt;=$C$9+0+$C$26,SUM($E130:AP130)&lt;$C130),MIN($C130/$C$27,$C130-SUM($E130:AP130)),0)</f>
        <v/>
      </c>
      <c r="AR130" s="90">
        <f>IF(AND($C130&gt;0,AR$46&gt;=$C$9+0+$C$26,SUM($E130:AQ130)&lt;$C130),MIN($C130/$C$27,$C130-SUM($E130:AQ130)),0)</f>
        <v/>
      </c>
      <c r="AS130" s="90">
        <f>IF(AND($C130&gt;0,AS$46&gt;=$C$9+0+$C$26,SUM($E130:AR130)&lt;$C130),MIN($C130/$C$27,$C130-SUM($E130:AR130)),0)</f>
        <v/>
      </c>
      <c r="AT130" s="90">
        <f>IF(AND($C130&gt;0,AT$46&gt;=$C$9+0+$C$26,SUM($E130:AS130)&lt;$C130),MIN($C130/$C$27,$C130-SUM($E130:AS130)),0)</f>
        <v/>
      </c>
      <c r="AU130" s="90">
        <f>IF(AND($C130&gt;0,AU$46&gt;=$C$9+0+$C$26,SUM($E130:AT130)&lt;$C130),MIN($C130/$C$27,$C130-SUM($E130:AT130)),0)</f>
        <v/>
      </c>
      <c r="AV130" s="90">
        <f>IF(AND($C130&gt;0,AV$46&gt;=$C$9+0+$C$26,SUM($E130:AU130)&lt;$C130),MIN($C130/$C$27,$C130-SUM($E130:AU130)),0)</f>
        <v/>
      </c>
      <c r="AW130" s="90">
        <f>IF(AND($C130&gt;0,AW$46&gt;=$C$9+0+$C$26,SUM($E130:AV130)&lt;$C130),MIN($C130/$C$27,$C130-SUM($E130:AV130)),0)</f>
        <v/>
      </c>
      <c r="AX130" s="90">
        <f>IF(AND($C130&gt;0,AX$46&gt;=$C$9+0+$C$26,SUM($E130:AW130)&lt;$C130),MIN($C130/$C$27,$C130-SUM($E130:AW130)),0)</f>
        <v/>
      </c>
      <c r="AY130" s="90">
        <f>IF(AND($C130&gt;0,AY$46&gt;=$C$9+0+$C$26,SUM($E130:AX130)&lt;$C130),MIN($C130/$C$27,$C130-SUM($E130:AX130)),0)</f>
        <v/>
      </c>
      <c r="AZ130" s="90">
        <f>IF(AND($C130&gt;0,AZ$46&gt;=$C$9+0+$C$26,SUM($E130:AY130)&lt;$C130),MIN($C130/$C$27,$C130-SUM($E130:AY130)),0)</f>
        <v/>
      </c>
      <c r="BA130" s="90">
        <f>IF(AND($C130&gt;0,BA$46&gt;=$C$9+0+$C$26,SUM($E130:AZ130)&lt;$C130),MIN($C130/$C$27,$C130-SUM($E130:AZ130)),0)</f>
        <v/>
      </c>
      <c r="BB130" s="90">
        <f>IF(AND($C130&gt;0,BB$46&gt;=$C$9+0+$C$26,SUM($E130:BA130)&lt;$C130),MIN($C130/$C$27,$C130-SUM($E130:BA130)),0)</f>
        <v/>
      </c>
    </row>
    <row r="131" ht="15" customHeight="1" s="91">
      <c r="B131" s="153" t="inlineStr">
        <is>
          <t>Tranche 2</t>
        </is>
      </c>
      <c r="C131" s="160">
        <f>IF(ABS($D$49)&gt;0,SUMPRODUCT(($E$46:$BB$46=$C$9+1)*IF($E49:$BB49&lt;0,ABS($E49:$BB49),0))*$C$19/ABS($D$49),0)</f>
        <v/>
      </c>
      <c r="D131" s="160">
        <f>SUM(E131:BB131)</f>
        <v/>
      </c>
      <c r="E131" s="90">
        <f>IF(AND($C131&gt;0,E$46&gt;=$C$9+1+$C$26,0&lt;$C131),MIN($C131/$C$27,$C131-0),0)</f>
        <v/>
      </c>
      <c r="F131" s="90">
        <f>IF(AND($C131&gt;0,F$46&gt;=$C$9+1+$C$26,SUM($E131:E131)&lt;$C131),MIN($C131/$C$27,$C131-SUM($E131:E131)),0)</f>
        <v/>
      </c>
      <c r="G131" s="90">
        <f>IF(AND($C131&gt;0,G$46&gt;=$C$9+1+$C$26,SUM($E131:F131)&lt;$C131),MIN($C131/$C$27,$C131-SUM($E131:F131)),0)</f>
        <v/>
      </c>
      <c r="H131" s="90">
        <f>IF(AND($C131&gt;0,H$46&gt;=$C$9+1+$C$26,SUM($E131:G131)&lt;$C131),MIN($C131/$C$27,$C131-SUM($E131:G131)),0)</f>
        <v/>
      </c>
      <c r="I131" s="90">
        <f>IF(AND($C131&gt;0,I$46&gt;=$C$9+1+$C$26,SUM($E131:H131)&lt;$C131),MIN($C131/$C$27,$C131-SUM($E131:H131)),0)</f>
        <v/>
      </c>
      <c r="J131" s="90">
        <f>IF(AND($C131&gt;0,J$46&gt;=$C$9+1+$C$26,SUM($E131:I131)&lt;$C131),MIN($C131/$C$27,$C131-SUM($E131:I131)),0)</f>
        <v/>
      </c>
      <c r="K131" s="90">
        <f>IF(AND($C131&gt;0,K$46&gt;=$C$9+1+$C$26,SUM($E131:J131)&lt;$C131),MIN($C131/$C$27,$C131-SUM($E131:J131)),0)</f>
        <v/>
      </c>
      <c r="L131" s="90">
        <f>IF(AND($C131&gt;0,L$46&gt;=$C$9+1+$C$26,SUM($E131:K131)&lt;$C131),MIN($C131/$C$27,$C131-SUM($E131:K131)),0)</f>
        <v/>
      </c>
      <c r="M131" s="90">
        <f>IF(AND($C131&gt;0,M$46&gt;=$C$9+1+$C$26,SUM($E131:L131)&lt;$C131),MIN($C131/$C$27,$C131-SUM($E131:L131)),0)</f>
        <v/>
      </c>
      <c r="N131" s="90">
        <f>IF(AND($C131&gt;0,N$46&gt;=$C$9+1+$C$26,SUM($E131:M131)&lt;$C131),MIN($C131/$C$27,$C131-SUM($E131:M131)),0)</f>
        <v/>
      </c>
      <c r="O131" s="90">
        <f>IF(AND($C131&gt;0,O$46&gt;=$C$9+1+$C$26,SUM($E131:N131)&lt;$C131),MIN($C131/$C$27,$C131-SUM($E131:N131)),0)</f>
        <v/>
      </c>
      <c r="P131" s="90">
        <f>IF(AND($C131&gt;0,P$46&gt;=$C$9+1+$C$26,SUM($E131:O131)&lt;$C131),MIN($C131/$C$27,$C131-SUM($E131:O131)),0)</f>
        <v/>
      </c>
      <c r="Q131" s="90">
        <f>IF(AND($C131&gt;0,Q$46&gt;=$C$9+1+$C$26,SUM($E131:P131)&lt;$C131),MIN($C131/$C$27,$C131-SUM($E131:P131)),0)</f>
        <v/>
      </c>
      <c r="R131" s="90">
        <f>IF(AND($C131&gt;0,R$46&gt;=$C$9+1+$C$26,SUM($E131:Q131)&lt;$C131),MIN($C131/$C$27,$C131-SUM($E131:Q131)),0)</f>
        <v/>
      </c>
      <c r="S131" s="90">
        <f>IF(AND($C131&gt;0,S$46&gt;=$C$9+1+$C$26,SUM($E131:R131)&lt;$C131),MIN($C131/$C$27,$C131-SUM($E131:R131)),0)</f>
        <v/>
      </c>
      <c r="T131" s="90">
        <f>IF(AND($C131&gt;0,T$46&gt;=$C$9+1+$C$26,SUM($E131:S131)&lt;$C131),MIN($C131/$C$27,$C131-SUM($E131:S131)),0)</f>
        <v/>
      </c>
      <c r="U131" s="90">
        <f>IF(AND($C131&gt;0,U$46&gt;=$C$9+1+$C$26,SUM($E131:T131)&lt;$C131),MIN($C131/$C$27,$C131-SUM($E131:T131)),0)</f>
        <v/>
      </c>
      <c r="V131" s="90">
        <f>IF(AND($C131&gt;0,V$46&gt;=$C$9+1+$C$26,SUM($E131:U131)&lt;$C131),MIN($C131/$C$27,$C131-SUM($E131:U131)),0)</f>
        <v/>
      </c>
      <c r="W131" s="90">
        <f>IF(AND($C131&gt;0,W$46&gt;=$C$9+1+$C$26,SUM($E131:V131)&lt;$C131),MIN($C131/$C$27,$C131-SUM($E131:V131)),0)</f>
        <v/>
      </c>
      <c r="X131" s="90">
        <f>IF(AND($C131&gt;0,X$46&gt;=$C$9+1+$C$26,SUM($E131:W131)&lt;$C131),MIN($C131/$C$27,$C131-SUM($E131:W131)),0)</f>
        <v/>
      </c>
      <c r="Y131" s="90">
        <f>IF(AND($C131&gt;0,Y$46&gt;=$C$9+1+$C$26,SUM($E131:X131)&lt;$C131),MIN($C131/$C$27,$C131-SUM($E131:X131)),0)</f>
        <v/>
      </c>
      <c r="Z131" s="90">
        <f>IF(AND($C131&gt;0,Z$46&gt;=$C$9+1+$C$26,SUM($E131:Y131)&lt;$C131),MIN($C131/$C$27,$C131-SUM($E131:Y131)),0)</f>
        <v/>
      </c>
      <c r="AA131" s="90">
        <f>IF(AND($C131&gt;0,AA$46&gt;=$C$9+1+$C$26,SUM($E131:Z131)&lt;$C131),MIN($C131/$C$27,$C131-SUM($E131:Z131)),0)</f>
        <v/>
      </c>
      <c r="AB131" s="90">
        <f>IF(AND($C131&gt;0,AB$46&gt;=$C$9+1+$C$26,SUM($E131:AA131)&lt;$C131),MIN($C131/$C$27,$C131-SUM($E131:AA131)),0)</f>
        <v/>
      </c>
      <c r="AC131" s="90">
        <f>IF(AND($C131&gt;0,AC$46&gt;=$C$9+1+$C$26,SUM($E131:AB131)&lt;$C131),MIN($C131/$C$27,$C131-SUM($E131:AB131)),0)</f>
        <v/>
      </c>
      <c r="AD131" s="90">
        <f>IF(AND($C131&gt;0,AD$46&gt;=$C$9+1+$C$26,SUM($E131:AC131)&lt;$C131),MIN($C131/$C$27,$C131-SUM($E131:AC131)),0)</f>
        <v/>
      </c>
      <c r="AE131" s="90">
        <f>IF(AND($C131&gt;0,AE$46&gt;=$C$9+1+$C$26,SUM($E131:AD131)&lt;$C131),MIN($C131/$C$27,$C131-SUM($E131:AD131)),0)</f>
        <v/>
      </c>
      <c r="AF131" s="90">
        <f>IF(AND($C131&gt;0,AF$46&gt;=$C$9+1+$C$26,SUM($E131:AE131)&lt;$C131),MIN($C131/$C$27,$C131-SUM($E131:AE131)),0)</f>
        <v/>
      </c>
      <c r="AG131" s="90">
        <f>IF(AND($C131&gt;0,AG$46&gt;=$C$9+1+$C$26,SUM($E131:AF131)&lt;$C131),MIN($C131/$C$27,$C131-SUM($E131:AF131)),0)</f>
        <v/>
      </c>
      <c r="AH131" s="90">
        <f>IF(AND($C131&gt;0,AH$46&gt;=$C$9+1+$C$26,SUM($E131:AG131)&lt;$C131),MIN($C131/$C$27,$C131-SUM($E131:AG131)),0)</f>
        <v/>
      </c>
      <c r="AI131" s="90">
        <f>IF(AND($C131&gt;0,AI$46&gt;=$C$9+1+$C$26,SUM($E131:AH131)&lt;$C131),MIN($C131/$C$27,$C131-SUM($E131:AH131)),0)</f>
        <v/>
      </c>
      <c r="AJ131" s="90">
        <f>IF(AND($C131&gt;0,AJ$46&gt;=$C$9+1+$C$26,SUM($E131:AI131)&lt;$C131),MIN($C131/$C$27,$C131-SUM($E131:AI131)),0)</f>
        <v/>
      </c>
      <c r="AK131" s="90">
        <f>IF(AND($C131&gt;0,AK$46&gt;=$C$9+1+$C$26,SUM($E131:AJ131)&lt;$C131),MIN($C131/$C$27,$C131-SUM($E131:AJ131)),0)</f>
        <v/>
      </c>
      <c r="AL131" s="90">
        <f>IF(AND($C131&gt;0,AL$46&gt;=$C$9+1+$C$26,SUM($E131:AK131)&lt;$C131),MIN($C131/$C$27,$C131-SUM($E131:AK131)),0)</f>
        <v/>
      </c>
      <c r="AM131" s="90">
        <f>IF(AND($C131&gt;0,AM$46&gt;=$C$9+1+$C$26,SUM($E131:AL131)&lt;$C131),MIN($C131/$C$27,$C131-SUM($E131:AL131)),0)</f>
        <v/>
      </c>
      <c r="AN131" s="90">
        <f>IF(AND($C131&gt;0,AN$46&gt;=$C$9+1+$C$26,SUM($E131:AM131)&lt;$C131),MIN($C131/$C$27,$C131-SUM($E131:AM131)),0)</f>
        <v/>
      </c>
      <c r="AO131" s="90">
        <f>IF(AND($C131&gt;0,AO$46&gt;=$C$9+1+$C$26,SUM($E131:AN131)&lt;$C131),MIN($C131/$C$27,$C131-SUM($E131:AN131)),0)</f>
        <v/>
      </c>
      <c r="AP131" s="90">
        <f>IF(AND($C131&gt;0,AP$46&gt;=$C$9+1+$C$26,SUM($E131:AO131)&lt;$C131),MIN($C131/$C$27,$C131-SUM($E131:AO131)),0)</f>
        <v/>
      </c>
      <c r="AQ131" s="90">
        <f>IF(AND($C131&gt;0,AQ$46&gt;=$C$9+1+$C$26,SUM($E131:AP131)&lt;$C131),MIN($C131/$C$27,$C131-SUM($E131:AP131)),0)</f>
        <v/>
      </c>
      <c r="AR131" s="90">
        <f>IF(AND($C131&gt;0,AR$46&gt;=$C$9+1+$C$26,SUM($E131:AQ131)&lt;$C131),MIN($C131/$C$27,$C131-SUM($E131:AQ131)),0)</f>
        <v/>
      </c>
      <c r="AS131" s="90">
        <f>IF(AND($C131&gt;0,AS$46&gt;=$C$9+1+$C$26,SUM($E131:AR131)&lt;$C131),MIN($C131/$C$27,$C131-SUM($E131:AR131)),0)</f>
        <v/>
      </c>
      <c r="AT131" s="90">
        <f>IF(AND($C131&gt;0,AT$46&gt;=$C$9+1+$C$26,SUM($E131:AS131)&lt;$C131),MIN($C131/$C$27,$C131-SUM($E131:AS131)),0)</f>
        <v/>
      </c>
      <c r="AU131" s="90">
        <f>IF(AND($C131&gt;0,AU$46&gt;=$C$9+1+$C$26,SUM($E131:AT131)&lt;$C131),MIN($C131/$C$27,$C131-SUM($E131:AT131)),0)</f>
        <v/>
      </c>
      <c r="AV131" s="90">
        <f>IF(AND($C131&gt;0,AV$46&gt;=$C$9+1+$C$26,SUM($E131:AU131)&lt;$C131),MIN($C131/$C$27,$C131-SUM($E131:AU131)),0)</f>
        <v/>
      </c>
      <c r="AW131" s="90">
        <f>IF(AND($C131&gt;0,AW$46&gt;=$C$9+1+$C$26,SUM($E131:AV131)&lt;$C131),MIN($C131/$C$27,$C131-SUM($E131:AV131)),0)</f>
        <v/>
      </c>
      <c r="AX131" s="90">
        <f>IF(AND($C131&gt;0,AX$46&gt;=$C$9+1+$C$26,SUM($E131:AW131)&lt;$C131),MIN($C131/$C$27,$C131-SUM($E131:AW131)),0)</f>
        <v/>
      </c>
      <c r="AY131" s="90">
        <f>IF(AND($C131&gt;0,AY$46&gt;=$C$9+1+$C$26,SUM($E131:AX131)&lt;$C131),MIN($C131/$C$27,$C131-SUM($E131:AX131)),0)</f>
        <v/>
      </c>
      <c r="AZ131" s="90">
        <f>IF(AND($C131&gt;0,AZ$46&gt;=$C$9+1+$C$26,SUM($E131:AY131)&lt;$C131),MIN($C131/$C$27,$C131-SUM($E131:AY131)),0)</f>
        <v/>
      </c>
      <c r="BA131" s="90">
        <f>IF(AND($C131&gt;0,BA$46&gt;=$C$9+1+$C$26,SUM($E131:AZ131)&lt;$C131),MIN($C131/$C$27,$C131-SUM($E131:AZ131)),0)</f>
        <v/>
      </c>
      <c r="BB131" s="90">
        <f>IF(AND($C131&gt;0,BB$46&gt;=$C$9+1+$C$26,SUM($E131:BA131)&lt;$C131),MIN($C131/$C$27,$C131-SUM($E131:BA131)),0)</f>
        <v/>
      </c>
    </row>
    <row r="132" ht="15" customHeight="1" s="91">
      <c r="B132" s="153" t="inlineStr">
        <is>
          <t>Tranche 3</t>
        </is>
      </c>
      <c r="C132" s="160">
        <f>IF(ABS($D$49)&gt;0,SUMPRODUCT(($E$46:$BB$46=$C$9+2)*IF($E49:$BB49&lt;0,ABS($E49:$BB49),0))*$C$19/ABS($D$49),0)</f>
        <v/>
      </c>
      <c r="D132" s="160">
        <f>SUM(E132:BB132)</f>
        <v/>
      </c>
      <c r="E132" s="90">
        <f>IF(AND($C132&gt;0,E$46&gt;=$C$9+2+$C$26,0&lt;$C132),MIN($C132/$C$27,$C132-0),0)</f>
        <v/>
      </c>
      <c r="F132" s="90">
        <f>IF(AND($C132&gt;0,F$46&gt;=$C$9+2+$C$26,SUM($E132:E132)&lt;$C132),MIN($C132/$C$27,$C132-SUM($E132:E132)),0)</f>
        <v/>
      </c>
      <c r="G132" s="90">
        <f>IF(AND($C132&gt;0,G$46&gt;=$C$9+2+$C$26,SUM($E132:F132)&lt;$C132),MIN($C132/$C$27,$C132-SUM($E132:F132)),0)</f>
        <v/>
      </c>
      <c r="H132" s="90">
        <f>IF(AND($C132&gt;0,H$46&gt;=$C$9+2+$C$26,SUM($E132:G132)&lt;$C132),MIN($C132/$C$27,$C132-SUM($E132:G132)),0)</f>
        <v/>
      </c>
      <c r="I132" s="90">
        <f>IF(AND($C132&gt;0,I$46&gt;=$C$9+2+$C$26,SUM($E132:H132)&lt;$C132),MIN($C132/$C$27,$C132-SUM($E132:H132)),0)</f>
        <v/>
      </c>
      <c r="J132" s="90">
        <f>IF(AND($C132&gt;0,J$46&gt;=$C$9+2+$C$26,SUM($E132:I132)&lt;$C132),MIN($C132/$C$27,$C132-SUM($E132:I132)),0)</f>
        <v/>
      </c>
      <c r="K132" s="90">
        <f>IF(AND($C132&gt;0,K$46&gt;=$C$9+2+$C$26,SUM($E132:J132)&lt;$C132),MIN($C132/$C$27,$C132-SUM($E132:J132)),0)</f>
        <v/>
      </c>
      <c r="L132" s="90">
        <f>IF(AND($C132&gt;0,L$46&gt;=$C$9+2+$C$26,SUM($E132:K132)&lt;$C132),MIN($C132/$C$27,$C132-SUM($E132:K132)),0)</f>
        <v/>
      </c>
      <c r="M132" s="90">
        <f>IF(AND($C132&gt;0,M$46&gt;=$C$9+2+$C$26,SUM($E132:L132)&lt;$C132),MIN($C132/$C$27,$C132-SUM($E132:L132)),0)</f>
        <v/>
      </c>
      <c r="N132" s="90">
        <f>IF(AND($C132&gt;0,N$46&gt;=$C$9+2+$C$26,SUM($E132:M132)&lt;$C132),MIN($C132/$C$27,$C132-SUM($E132:M132)),0)</f>
        <v/>
      </c>
      <c r="O132" s="90">
        <f>IF(AND($C132&gt;0,O$46&gt;=$C$9+2+$C$26,SUM($E132:N132)&lt;$C132),MIN($C132/$C$27,$C132-SUM($E132:N132)),0)</f>
        <v/>
      </c>
      <c r="P132" s="90">
        <f>IF(AND($C132&gt;0,P$46&gt;=$C$9+2+$C$26,SUM($E132:O132)&lt;$C132),MIN($C132/$C$27,$C132-SUM($E132:O132)),0)</f>
        <v/>
      </c>
      <c r="Q132" s="90">
        <f>IF(AND($C132&gt;0,Q$46&gt;=$C$9+2+$C$26,SUM($E132:P132)&lt;$C132),MIN($C132/$C$27,$C132-SUM($E132:P132)),0)</f>
        <v/>
      </c>
      <c r="R132" s="90">
        <f>IF(AND($C132&gt;0,R$46&gt;=$C$9+2+$C$26,SUM($E132:Q132)&lt;$C132),MIN($C132/$C$27,$C132-SUM($E132:Q132)),0)</f>
        <v/>
      </c>
      <c r="S132" s="90">
        <f>IF(AND($C132&gt;0,S$46&gt;=$C$9+2+$C$26,SUM($E132:R132)&lt;$C132),MIN($C132/$C$27,$C132-SUM($E132:R132)),0)</f>
        <v/>
      </c>
      <c r="T132" s="90">
        <f>IF(AND($C132&gt;0,T$46&gt;=$C$9+2+$C$26,SUM($E132:S132)&lt;$C132),MIN($C132/$C$27,$C132-SUM($E132:S132)),0)</f>
        <v/>
      </c>
      <c r="U132" s="90">
        <f>IF(AND($C132&gt;0,U$46&gt;=$C$9+2+$C$26,SUM($E132:T132)&lt;$C132),MIN($C132/$C$27,$C132-SUM($E132:T132)),0)</f>
        <v/>
      </c>
      <c r="V132" s="90">
        <f>IF(AND($C132&gt;0,V$46&gt;=$C$9+2+$C$26,SUM($E132:U132)&lt;$C132),MIN($C132/$C$27,$C132-SUM($E132:U132)),0)</f>
        <v/>
      </c>
      <c r="W132" s="90">
        <f>IF(AND($C132&gt;0,W$46&gt;=$C$9+2+$C$26,SUM($E132:V132)&lt;$C132),MIN($C132/$C$27,$C132-SUM($E132:V132)),0)</f>
        <v/>
      </c>
      <c r="X132" s="90">
        <f>IF(AND($C132&gt;0,X$46&gt;=$C$9+2+$C$26,SUM($E132:W132)&lt;$C132),MIN($C132/$C$27,$C132-SUM($E132:W132)),0)</f>
        <v/>
      </c>
      <c r="Y132" s="90">
        <f>IF(AND($C132&gt;0,Y$46&gt;=$C$9+2+$C$26,SUM($E132:X132)&lt;$C132),MIN($C132/$C$27,$C132-SUM($E132:X132)),0)</f>
        <v/>
      </c>
      <c r="Z132" s="90">
        <f>IF(AND($C132&gt;0,Z$46&gt;=$C$9+2+$C$26,SUM($E132:Y132)&lt;$C132),MIN($C132/$C$27,$C132-SUM($E132:Y132)),0)</f>
        <v/>
      </c>
      <c r="AA132" s="90">
        <f>IF(AND($C132&gt;0,AA$46&gt;=$C$9+2+$C$26,SUM($E132:Z132)&lt;$C132),MIN($C132/$C$27,$C132-SUM($E132:Z132)),0)</f>
        <v/>
      </c>
      <c r="AB132" s="90">
        <f>IF(AND($C132&gt;0,AB$46&gt;=$C$9+2+$C$26,SUM($E132:AA132)&lt;$C132),MIN($C132/$C$27,$C132-SUM($E132:AA132)),0)</f>
        <v/>
      </c>
      <c r="AC132" s="90">
        <f>IF(AND($C132&gt;0,AC$46&gt;=$C$9+2+$C$26,SUM($E132:AB132)&lt;$C132),MIN($C132/$C$27,$C132-SUM($E132:AB132)),0)</f>
        <v/>
      </c>
      <c r="AD132" s="90">
        <f>IF(AND($C132&gt;0,AD$46&gt;=$C$9+2+$C$26,SUM($E132:AC132)&lt;$C132),MIN($C132/$C$27,$C132-SUM($E132:AC132)),0)</f>
        <v/>
      </c>
      <c r="AE132" s="90">
        <f>IF(AND($C132&gt;0,AE$46&gt;=$C$9+2+$C$26,SUM($E132:AD132)&lt;$C132),MIN($C132/$C$27,$C132-SUM($E132:AD132)),0)</f>
        <v/>
      </c>
      <c r="AF132" s="90">
        <f>IF(AND($C132&gt;0,AF$46&gt;=$C$9+2+$C$26,SUM($E132:AE132)&lt;$C132),MIN($C132/$C$27,$C132-SUM($E132:AE132)),0)</f>
        <v/>
      </c>
      <c r="AG132" s="90">
        <f>IF(AND($C132&gt;0,AG$46&gt;=$C$9+2+$C$26,SUM($E132:AF132)&lt;$C132),MIN($C132/$C$27,$C132-SUM($E132:AF132)),0)</f>
        <v/>
      </c>
      <c r="AH132" s="90">
        <f>IF(AND($C132&gt;0,AH$46&gt;=$C$9+2+$C$26,SUM($E132:AG132)&lt;$C132),MIN($C132/$C$27,$C132-SUM($E132:AG132)),0)</f>
        <v/>
      </c>
      <c r="AI132" s="90">
        <f>IF(AND($C132&gt;0,AI$46&gt;=$C$9+2+$C$26,SUM($E132:AH132)&lt;$C132),MIN($C132/$C$27,$C132-SUM($E132:AH132)),0)</f>
        <v/>
      </c>
      <c r="AJ132" s="90">
        <f>IF(AND($C132&gt;0,AJ$46&gt;=$C$9+2+$C$26,SUM($E132:AI132)&lt;$C132),MIN($C132/$C$27,$C132-SUM($E132:AI132)),0)</f>
        <v/>
      </c>
      <c r="AK132" s="90">
        <f>IF(AND($C132&gt;0,AK$46&gt;=$C$9+2+$C$26,SUM($E132:AJ132)&lt;$C132),MIN($C132/$C$27,$C132-SUM($E132:AJ132)),0)</f>
        <v/>
      </c>
      <c r="AL132" s="90">
        <f>IF(AND($C132&gt;0,AL$46&gt;=$C$9+2+$C$26,SUM($E132:AK132)&lt;$C132),MIN($C132/$C$27,$C132-SUM($E132:AK132)),0)</f>
        <v/>
      </c>
      <c r="AM132" s="90">
        <f>IF(AND($C132&gt;0,AM$46&gt;=$C$9+2+$C$26,SUM($E132:AL132)&lt;$C132),MIN($C132/$C$27,$C132-SUM($E132:AL132)),0)</f>
        <v/>
      </c>
      <c r="AN132" s="90">
        <f>IF(AND($C132&gt;0,AN$46&gt;=$C$9+2+$C$26,SUM($E132:AM132)&lt;$C132),MIN($C132/$C$27,$C132-SUM($E132:AM132)),0)</f>
        <v/>
      </c>
      <c r="AO132" s="90">
        <f>IF(AND($C132&gt;0,AO$46&gt;=$C$9+2+$C$26,SUM($E132:AN132)&lt;$C132),MIN($C132/$C$27,$C132-SUM($E132:AN132)),0)</f>
        <v/>
      </c>
      <c r="AP132" s="90">
        <f>IF(AND($C132&gt;0,AP$46&gt;=$C$9+2+$C$26,SUM($E132:AO132)&lt;$C132),MIN($C132/$C$27,$C132-SUM($E132:AO132)),0)</f>
        <v/>
      </c>
      <c r="AQ132" s="90">
        <f>IF(AND($C132&gt;0,AQ$46&gt;=$C$9+2+$C$26,SUM($E132:AP132)&lt;$C132),MIN($C132/$C$27,$C132-SUM($E132:AP132)),0)</f>
        <v/>
      </c>
      <c r="AR132" s="90">
        <f>IF(AND($C132&gt;0,AR$46&gt;=$C$9+2+$C$26,SUM($E132:AQ132)&lt;$C132),MIN($C132/$C$27,$C132-SUM($E132:AQ132)),0)</f>
        <v/>
      </c>
      <c r="AS132" s="90">
        <f>IF(AND($C132&gt;0,AS$46&gt;=$C$9+2+$C$26,SUM($E132:AR132)&lt;$C132),MIN($C132/$C$27,$C132-SUM($E132:AR132)),0)</f>
        <v/>
      </c>
      <c r="AT132" s="90">
        <f>IF(AND($C132&gt;0,AT$46&gt;=$C$9+2+$C$26,SUM($E132:AS132)&lt;$C132),MIN($C132/$C$27,$C132-SUM($E132:AS132)),0)</f>
        <v/>
      </c>
      <c r="AU132" s="90">
        <f>IF(AND($C132&gt;0,AU$46&gt;=$C$9+2+$C$26,SUM($E132:AT132)&lt;$C132),MIN($C132/$C$27,$C132-SUM($E132:AT132)),0)</f>
        <v/>
      </c>
      <c r="AV132" s="90">
        <f>IF(AND($C132&gt;0,AV$46&gt;=$C$9+2+$C$26,SUM($E132:AU132)&lt;$C132),MIN($C132/$C$27,$C132-SUM($E132:AU132)),0)</f>
        <v/>
      </c>
      <c r="AW132" s="90">
        <f>IF(AND($C132&gt;0,AW$46&gt;=$C$9+2+$C$26,SUM($E132:AV132)&lt;$C132),MIN($C132/$C$27,$C132-SUM($E132:AV132)),0)</f>
        <v/>
      </c>
      <c r="AX132" s="90">
        <f>IF(AND($C132&gt;0,AX$46&gt;=$C$9+2+$C$26,SUM($E132:AW132)&lt;$C132),MIN($C132/$C$27,$C132-SUM($E132:AW132)),0)</f>
        <v/>
      </c>
      <c r="AY132" s="90">
        <f>IF(AND($C132&gt;0,AY$46&gt;=$C$9+2+$C$26,SUM($E132:AX132)&lt;$C132),MIN($C132/$C$27,$C132-SUM($E132:AX132)),0)</f>
        <v/>
      </c>
      <c r="AZ132" s="90">
        <f>IF(AND($C132&gt;0,AZ$46&gt;=$C$9+2+$C$26,SUM($E132:AY132)&lt;$C132),MIN($C132/$C$27,$C132-SUM($E132:AY132)),0)</f>
        <v/>
      </c>
      <c r="BA132" s="90">
        <f>IF(AND($C132&gt;0,BA$46&gt;=$C$9+2+$C$26,SUM($E132:AZ132)&lt;$C132),MIN($C132/$C$27,$C132-SUM($E132:AZ132)),0)</f>
        <v/>
      </c>
      <c r="BB132" s="90">
        <f>IF(AND($C132&gt;0,BB$46&gt;=$C$9+2+$C$26,SUM($E132:BA132)&lt;$C132),MIN($C132/$C$27,$C132-SUM($E132:BA132)),0)</f>
        <v/>
      </c>
    </row>
    <row r="133" ht="15" customHeight="1" s="91">
      <c r="B133" s="153" t="inlineStr">
        <is>
          <t>Tranche 4</t>
        </is>
      </c>
      <c r="C133" s="160">
        <f>IF(ABS($D$49)&gt;0,SUMPRODUCT(($E$46:$BB$46=$C$9+3)*IF($E49:$BB49&lt;0,ABS($E49:$BB49),0))*$C$19/ABS($D$49),0)</f>
        <v/>
      </c>
      <c r="D133" s="160">
        <f>SUM(E133:BB133)</f>
        <v/>
      </c>
      <c r="E133" s="90">
        <f>IF(AND($C133&gt;0,E$46&gt;=$C$9+3+$C$26,0&lt;$C133),MIN($C133/$C$27,$C133-0),0)</f>
        <v/>
      </c>
      <c r="F133" s="90">
        <f>IF(AND($C133&gt;0,F$46&gt;=$C$9+3+$C$26,SUM($E133:E133)&lt;$C133),MIN($C133/$C$27,$C133-SUM($E133:E133)),0)</f>
        <v/>
      </c>
      <c r="G133" s="90">
        <f>IF(AND($C133&gt;0,G$46&gt;=$C$9+3+$C$26,SUM($E133:F133)&lt;$C133),MIN($C133/$C$27,$C133-SUM($E133:F133)),0)</f>
        <v/>
      </c>
      <c r="H133" s="90">
        <f>IF(AND($C133&gt;0,H$46&gt;=$C$9+3+$C$26,SUM($E133:G133)&lt;$C133),MIN($C133/$C$27,$C133-SUM($E133:G133)),0)</f>
        <v/>
      </c>
      <c r="I133" s="90">
        <f>IF(AND($C133&gt;0,I$46&gt;=$C$9+3+$C$26,SUM($E133:H133)&lt;$C133),MIN($C133/$C$27,$C133-SUM($E133:H133)),0)</f>
        <v/>
      </c>
      <c r="J133" s="90">
        <f>IF(AND($C133&gt;0,J$46&gt;=$C$9+3+$C$26,SUM($E133:I133)&lt;$C133),MIN($C133/$C$27,$C133-SUM($E133:I133)),0)</f>
        <v/>
      </c>
      <c r="K133" s="90">
        <f>IF(AND($C133&gt;0,K$46&gt;=$C$9+3+$C$26,SUM($E133:J133)&lt;$C133),MIN($C133/$C$27,$C133-SUM($E133:J133)),0)</f>
        <v/>
      </c>
      <c r="L133" s="90">
        <f>IF(AND($C133&gt;0,L$46&gt;=$C$9+3+$C$26,SUM($E133:K133)&lt;$C133),MIN($C133/$C$27,$C133-SUM($E133:K133)),0)</f>
        <v/>
      </c>
      <c r="M133" s="90">
        <f>IF(AND($C133&gt;0,M$46&gt;=$C$9+3+$C$26,SUM($E133:L133)&lt;$C133),MIN($C133/$C$27,$C133-SUM($E133:L133)),0)</f>
        <v/>
      </c>
      <c r="N133" s="90">
        <f>IF(AND($C133&gt;0,N$46&gt;=$C$9+3+$C$26,SUM($E133:M133)&lt;$C133),MIN($C133/$C$27,$C133-SUM($E133:M133)),0)</f>
        <v/>
      </c>
      <c r="O133" s="90">
        <f>IF(AND($C133&gt;0,O$46&gt;=$C$9+3+$C$26,SUM($E133:N133)&lt;$C133),MIN($C133/$C$27,$C133-SUM($E133:N133)),0)</f>
        <v/>
      </c>
      <c r="P133" s="90">
        <f>IF(AND($C133&gt;0,P$46&gt;=$C$9+3+$C$26,SUM($E133:O133)&lt;$C133),MIN($C133/$C$27,$C133-SUM($E133:O133)),0)</f>
        <v/>
      </c>
      <c r="Q133" s="90">
        <f>IF(AND($C133&gt;0,Q$46&gt;=$C$9+3+$C$26,SUM($E133:P133)&lt;$C133),MIN($C133/$C$27,$C133-SUM($E133:P133)),0)</f>
        <v/>
      </c>
      <c r="R133" s="90">
        <f>IF(AND($C133&gt;0,R$46&gt;=$C$9+3+$C$26,SUM($E133:Q133)&lt;$C133),MIN($C133/$C$27,$C133-SUM($E133:Q133)),0)</f>
        <v/>
      </c>
      <c r="S133" s="90">
        <f>IF(AND($C133&gt;0,S$46&gt;=$C$9+3+$C$26,SUM($E133:R133)&lt;$C133),MIN($C133/$C$27,$C133-SUM($E133:R133)),0)</f>
        <v/>
      </c>
      <c r="T133" s="90">
        <f>IF(AND($C133&gt;0,T$46&gt;=$C$9+3+$C$26,SUM($E133:S133)&lt;$C133),MIN($C133/$C$27,$C133-SUM($E133:S133)),0)</f>
        <v/>
      </c>
      <c r="U133" s="90">
        <f>IF(AND($C133&gt;0,U$46&gt;=$C$9+3+$C$26,SUM($E133:T133)&lt;$C133),MIN($C133/$C$27,$C133-SUM($E133:T133)),0)</f>
        <v/>
      </c>
      <c r="V133" s="90">
        <f>IF(AND($C133&gt;0,V$46&gt;=$C$9+3+$C$26,SUM($E133:U133)&lt;$C133),MIN($C133/$C$27,$C133-SUM($E133:U133)),0)</f>
        <v/>
      </c>
      <c r="W133" s="90">
        <f>IF(AND($C133&gt;0,W$46&gt;=$C$9+3+$C$26,SUM($E133:V133)&lt;$C133),MIN($C133/$C$27,$C133-SUM($E133:V133)),0)</f>
        <v/>
      </c>
      <c r="X133" s="90">
        <f>IF(AND($C133&gt;0,X$46&gt;=$C$9+3+$C$26,SUM($E133:W133)&lt;$C133),MIN($C133/$C$27,$C133-SUM($E133:W133)),0)</f>
        <v/>
      </c>
      <c r="Y133" s="90">
        <f>IF(AND($C133&gt;0,Y$46&gt;=$C$9+3+$C$26,SUM($E133:X133)&lt;$C133),MIN($C133/$C$27,$C133-SUM($E133:X133)),0)</f>
        <v/>
      </c>
      <c r="Z133" s="90">
        <f>IF(AND($C133&gt;0,Z$46&gt;=$C$9+3+$C$26,SUM($E133:Y133)&lt;$C133),MIN($C133/$C$27,$C133-SUM($E133:Y133)),0)</f>
        <v/>
      </c>
      <c r="AA133" s="90">
        <f>IF(AND($C133&gt;0,AA$46&gt;=$C$9+3+$C$26,SUM($E133:Z133)&lt;$C133),MIN($C133/$C$27,$C133-SUM($E133:Z133)),0)</f>
        <v/>
      </c>
      <c r="AB133" s="90">
        <f>IF(AND($C133&gt;0,AB$46&gt;=$C$9+3+$C$26,SUM($E133:AA133)&lt;$C133),MIN($C133/$C$27,$C133-SUM($E133:AA133)),0)</f>
        <v/>
      </c>
      <c r="AC133" s="90">
        <f>IF(AND($C133&gt;0,AC$46&gt;=$C$9+3+$C$26,SUM($E133:AB133)&lt;$C133),MIN($C133/$C$27,$C133-SUM($E133:AB133)),0)</f>
        <v/>
      </c>
      <c r="AD133" s="90">
        <f>IF(AND($C133&gt;0,AD$46&gt;=$C$9+3+$C$26,SUM($E133:AC133)&lt;$C133),MIN($C133/$C$27,$C133-SUM($E133:AC133)),0)</f>
        <v/>
      </c>
      <c r="AE133" s="90">
        <f>IF(AND($C133&gt;0,AE$46&gt;=$C$9+3+$C$26,SUM($E133:AD133)&lt;$C133),MIN($C133/$C$27,$C133-SUM($E133:AD133)),0)</f>
        <v/>
      </c>
      <c r="AF133" s="90">
        <f>IF(AND($C133&gt;0,AF$46&gt;=$C$9+3+$C$26,SUM($E133:AE133)&lt;$C133),MIN($C133/$C$27,$C133-SUM($E133:AE133)),0)</f>
        <v/>
      </c>
      <c r="AG133" s="90">
        <f>IF(AND($C133&gt;0,AG$46&gt;=$C$9+3+$C$26,SUM($E133:AF133)&lt;$C133),MIN($C133/$C$27,$C133-SUM($E133:AF133)),0)</f>
        <v/>
      </c>
      <c r="AH133" s="90">
        <f>IF(AND($C133&gt;0,AH$46&gt;=$C$9+3+$C$26,SUM($E133:AG133)&lt;$C133),MIN($C133/$C$27,$C133-SUM($E133:AG133)),0)</f>
        <v/>
      </c>
      <c r="AI133" s="90">
        <f>IF(AND($C133&gt;0,AI$46&gt;=$C$9+3+$C$26,SUM($E133:AH133)&lt;$C133),MIN($C133/$C$27,$C133-SUM($E133:AH133)),0)</f>
        <v/>
      </c>
      <c r="AJ133" s="90">
        <f>IF(AND($C133&gt;0,AJ$46&gt;=$C$9+3+$C$26,SUM($E133:AI133)&lt;$C133),MIN($C133/$C$27,$C133-SUM($E133:AI133)),0)</f>
        <v/>
      </c>
      <c r="AK133" s="90">
        <f>IF(AND($C133&gt;0,AK$46&gt;=$C$9+3+$C$26,SUM($E133:AJ133)&lt;$C133),MIN($C133/$C$27,$C133-SUM($E133:AJ133)),0)</f>
        <v/>
      </c>
      <c r="AL133" s="90">
        <f>IF(AND($C133&gt;0,AL$46&gt;=$C$9+3+$C$26,SUM($E133:AK133)&lt;$C133),MIN($C133/$C$27,$C133-SUM($E133:AK133)),0)</f>
        <v/>
      </c>
      <c r="AM133" s="90">
        <f>IF(AND($C133&gt;0,AM$46&gt;=$C$9+3+$C$26,SUM($E133:AL133)&lt;$C133),MIN($C133/$C$27,$C133-SUM($E133:AL133)),0)</f>
        <v/>
      </c>
      <c r="AN133" s="90">
        <f>IF(AND($C133&gt;0,AN$46&gt;=$C$9+3+$C$26,SUM($E133:AM133)&lt;$C133),MIN($C133/$C$27,$C133-SUM($E133:AM133)),0)</f>
        <v/>
      </c>
      <c r="AO133" s="90">
        <f>IF(AND($C133&gt;0,AO$46&gt;=$C$9+3+$C$26,SUM($E133:AN133)&lt;$C133),MIN($C133/$C$27,$C133-SUM($E133:AN133)),0)</f>
        <v/>
      </c>
      <c r="AP133" s="90">
        <f>IF(AND($C133&gt;0,AP$46&gt;=$C$9+3+$C$26,SUM($E133:AO133)&lt;$C133),MIN($C133/$C$27,$C133-SUM($E133:AO133)),0)</f>
        <v/>
      </c>
      <c r="AQ133" s="90">
        <f>IF(AND($C133&gt;0,AQ$46&gt;=$C$9+3+$C$26,SUM($E133:AP133)&lt;$C133),MIN($C133/$C$27,$C133-SUM($E133:AP133)),0)</f>
        <v/>
      </c>
      <c r="AR133" s="90">
        <f>IF(AND($C133&gt;0,AR$46&gt;=$C$9+3+$C$26,SUM($E133:AQ133)&lt;$C133),MIN($C133/$C$27,$C133-SUM($E133:AQ133)),0)</f>
        <v/>
      </c>
      <c r="AS133" s="90">
        <f>IF(AND($C133&gt;0,AS$46&gt;=$C$9+3+$C$26,SUM($E133:AR133)&lt;$C133),MIN($C133/$C$27,$C133-SUM($E133:AR133)),0)</f>
        <v/>
      </c>
      <c r="AT133" s="90">
        <f>IF(AND($C133&gt;0,AT$46&gt;=$C$9+3+$C$26,SUM($E133:AS133)&lt;$C133),MIN($C133/$C$27,$C133-SUM($E133:AS133)),0)</f>
        <v/>
      </c>
      <c r="AU133" s="90">
        <f>IF(AND($C133&gt;0,AU$46&gt;=$C$9+3+$C$26,SUM($E133:AT133)&lt;$C133),MIN($C133/$C$27,$C133-SUM($E133:AT133)),0)</f>
        <v/>
      </c>
      <c r="AV133" s="90">
        <f>IF(AND($C133&gt;0,AV$46&gt;=$C$9+3+$C$26,SUM($E133:AU133)&lt;$C133),MIN($C133/$C$27,$C133-SUM($E133:AU133)),0)</f>
        <v/>
      </c>
      <c r="AW133" s="90">
        <f>IF(AND($C133&gt;0,AW$46&gt;=$C$9+3+$C$26,SUM($E133:AV133)&lt;$C133),MIN($C133/$C$27,$C133-SUM($E133:AV133)),0)</f>
        <v/>
      </c>
      <c r="AX133" s="90">
        <f>IF(AND($C133&gt;0,AX$46&gt;=$C$9+3+$C$26,SUM($E133:AW133)&lt;$C133),MIN($C133/$C$27,$C133-SUM($E133:AW133)),0)</f>
        <v/>
      </c>
      <c r="AY133" s="90">
        <f>IF(AND($C133&gt;0,AY$46&gt;=$C$9+3+$C$26,SUM($E133:AX133)&lt;$C133),MIN($C133/$C$27,$C133-SUM($E133:AX133)),0)</f>
        <v/>
      </c>
      <c r="AZ133" s="90">
        <f>IF(AND($C133&gt;0,AZ$46&gt;=$C$9+3+$C$26,SUM($E133:AY133)&lt;$C133),MIN($C133/$C$27,$C133-SUM($E133:AY133)),0)</f>
        <v/>
      </c>
      <c r="BA133" s="90">
        <f>IF(AND($C133&gt;0,BA$46&gt;=$C$9+3+$C$26,SUM($E133:AZ133)&lt;$C133),MIN($C133/$C$27,$C133-SUM($E133:AZ133)),0)</f>
        <v/>
      </c>
      <c r="BB133" s="90">
        <f>IF(AND($C133&gt;0,BB$46&gt;=$C$9+3+$C$26,SUM($E133:BA133)&lt;$C133),MIN($C133/$C$27,$C133-SUM($E133:BA133)),0)</f>
        <v/>
      </c>
    </row>
    <row r="134" ht="15" customHeight="1" s="91">
      <c r="B134" s="90" t="inlineStr">
        <is>
          <t>Tranche 5</t>
        </is>
      </c>
      <c r="C134" s="170">
        <f>IF(ABS($D$49)&gt;0,SUMPRODUCT(($E$46:$BB$46=$C$9+4)*IF($E49:$BB49&lt;0,ABS($E49:$BB49),0))*$C$19/ABS($D$49),0)</f>
        <v/>
      </c>
      <c r="D134" s="90">
        <f>SUM(E134:BB134)</f>
        <v/>
      </c>
      <c r="E134" s="90">
        <f>IF(AND($C134&gt;0,E$46&gt;=$C$9+4+$C$26,0&lt;$C134),MIN($C134/$C$27,$C134-0),0)</f>
        <v/>
      </c>
      <c r="F134" s="90">
        <f>IF(AND($C134&gt;0,F$46&gt;=$C$9+4+$C$26,SUM($E134:E134)&lt;$C134),MIN($C134/$C$27,$C134-SUM($E134:E134)),0)</f>
        <v/>
      </c>
      <c r="G134" s="90">
        <f>IF(AND($C134&gt;0,G$46&gt;=$C$9+4+$C$26,SUM($E134:F134)&lt;$C134),MIN($C134/$C$27,$C134-SUM($E134:F134)),0)</f>
        <v/>
      </c>
      <c r="H134" s="90">
        <f>IF(AND($C134&gt;0,H$46&gt;=$C$9+4+$C$26,SUM($E134:G134)&lt;$C134),MIN($C134/$C$27,$C134-SUM($E134:G134)),0)</f>
        <v/>
      </c>
      <c r="I134" s="90">
        <f>IF(AND($C134&gt;0,I$46&gt;=$C$9+4+$C$26,SUM($E134:H134)&lt;$C134),MIN($C134/$C$27,$C134-SUM($E134:H134)),0)</f>
        <v/>
      </c>
      <c r="J134" s="90">
        <f>IF(AND($C134&gt;0,J$46&gt;=$C$9+4+$C$26,SUM($E134:I134)&lt;$C134),MIN($C134/$C$27,$C134-SUM($E134:I134)),0)</f>
        <v/>
      </c>
      <c r="K134" s="90">
        <f>IF(AND($C134&gt;0,K$46&gt;=$C$9+4+$C$26,SUM($E134:J134)&lt;$C134),MIN($C134/$C$27,$C134-SUM($E134:J134)),0)</f>
        <v/>
      </c>
      <c r="L134" s="90">
        <f>IF(AND($C134&gt;0,L$46&gt;=$C$9+4+$C$26,SUM($E134:K134)&lt;$C134),MIN($C134/$C$27,$C134-SUM($E134:K134)),0)</f>
        <v/>
      </c>
      <c r="M134" s="90">
        <f>IF(AND($C134&gt;0,M$46&gt;=$C$9+4+$C$26,SUM($E134:L134)&lt;$C134),MIN($C134/$C$27,$C134-SUM($E134:L134)),0)</f>
        <v/>
      </c>
      <c r="N134" s="90">
        <f>IF(AND($C134&gt;0,N$46&gt;=$C$9+4+$C$26,SUM($E134:M134)&lt;$C134),MIN($C134/$C$27,$C134-SUM($E134:M134)),0)</f>
        <v/>
      </c>
      <c r="O134" s="90">
        <f>IF(AND($C134&gt;0,O$46&gt;=$C$9+4+$C$26,SUM($E134:N134)&lt;$C134),MIN($C134/$C$27,$C134-SUM($E134:N134)),0)</f>
        <v/>
      </c>
      <c r="P134" s="90">
        <f>IF(AND($C134&gt;0,P$46&gt;=$C$9+4+$C$26,SUM($E134:O134)&lt;$C134),MIN($C134/$C$27,$C134-SUM($E134:O134)),0)</f>
        <v/>
      </c>
      <c r="Q134" s="90">
        <f>IF(AND($C134&gt;0,Q$46&gt;=$C$9+4+$C$26,SUM($E134:P134)&lt;$C134),MIN($C134/$C$27,$C134-SUM($E134:P134)),0)</f>
        <v/>
      </c>
      <c r="R134" s="90">
        <f>IF(AND($C134&gt;0,R$46&gt;=$C$9+4+$C$26,SUM($E134:Q134)&lt;$C134),MIN($C134/$C$27,$C134-SUM($E134:Q134)),0)</f>
        <v/>
      </c>
      <c r="S134" s="90">
        <f>IF(AND($C134&gt;0,S$46&gt;=$C$9+4+$C$26,SUM($E134:R134)&lt;$C134),MIN($C134/$C$27,$C134-SUM($E134:R134)),0)</f>
        <v/>
      </c>
      <c r="T134" s="90">
        <f>IF(AND($C134&gt;0,T$46&gt;=$C$9+4+$C$26,SUM($E134:S134)&lt;$C134),MIN($C134/$C$27,$C134-SUM($E134:S134)),0)</f>
        <v/>
      </c>
      <c r="U134" s="90">
        <f>IF(AND($C134&gt;0,U$46&gt;=$C$9+4+$C$26,SUM($E134:T134)&lt;$C134),MIN($C134/$C$27,$C134-SUM($E134:T134)),0)</f>
        <v/>
      </c>
      <c r="V134" s="90">
        <f>IF(AND($C134&gt;0,V$46&gt;=$C$9+4+$C$26,SUM($E134:U134)&lt;$C134),MIN($C134/$C$27,$C134-SUM($E134:U134)),0)</f>
        <v/>
      </c>
      <c r="W134" s="90">
        <f>IF(AND($C134&gt;0,W$46&gt;=$C$9+4+$C$26,SUM($E134:V134)&lt;$C134),MIN($C134/$C$27,$C134-SUM($E134:V134)),0)</f>
        <v/>
      </c>
      <c r="X134" s="90">
        <f>IF(AND($C134&gt;0,X$46&gt;=$C$9+4+$C$26,SUM($E134:W134)&lt;$C134),MIN($C134/$C$27,$C134-SUM($E134:W134)),0)</f>
        <v/>
      </c>
      <c r="Y134" s="90">
        <f>IF(AND($C134&gt;0,Y$46&gt;=$C$9+4+$C$26,SUM($E134:X134)&lt;$C134),MIN($C134/$C$27,$C134-SUM($E134:X134)),0)</f>
        <v/>
      </c>
      <c r="Z134" s="90">
        <f>IF(AND($C134&gt;0,Z$46&gt;=$C$9+4+$C$26,SUM($E134:Y134)&lt;$C134),MIN($C134/$C$27,$C134-SUM($E134:Y134)),0)</f>
        <v/>
      </c>
      <c r="AA134" s="90">
        <f>IF(AND($C134&gt;0,AA$46&gt;=$C$9+4+$C$26,SUM($E134:Z134)&lt;$C134),MIN($C134/$C$27,$C134-SUM($E134:Z134)),0)</f>
        <v/>
      </c>
      <c r="AB134" s="90">
        <f>IF(AND($C134&gt;0,AB$46&gt;=$C$9+4+$C$26,SUM($E134:AA134)&lt;$C134),MIN($C134/$C$27,$C134-SUM($E134:AA134)),0)</f>
        <v/>
      </c>
      <c r="AC134" s="90">
        <f>IF(AND($C134&gt;0,AC$46&gt;=$C$9+4+$C$26,SUM($E134:AB134)&lt;$C134),MIN($C134/$C$27,$C134-SUM($E134:AB134)),0)</f>
        <v/>
      </c>
      <c r="AD134" s="90">
        <f>IF(AND($C134&gt;0,AD$46&gt;=$C$9+4+$C$26,SUM($E134:AC134)&lt;$C134),MIN($C134/$C$27,$C134-SUM($E134:AC134)),0)</f>
        <v/>
      </c>
      <c r="AE134" s="90">
        <f>IF(AND($C134&gt;0,AE$46&gt;=$C$9+4+$C$26,SUM($E134:AD134)&lt;$C134),MIN($C134/$C$27,$C134-SUM($E134:AD134)),0)</f>
        <v/>
      </c>
      <c r="AF134" s="90">
        <f>IF(AND($C134&gt;0,AF$46&gt;=$C$9+4+$C$26,SUM($E134:AE134)&lt;$C134),MIN($C134/$C$27,$C134-SUM($E134:AE134)),0)</f>
        <v/>
      </c>
      <c r="AG134" s="90">
        <f>IF(AND($C134&gt;0,AG$46&gt;=$C$9+4+$C$26,SUM($E134:AF134)&lt;$C134),MIN($C134/$C$27,$C134-SUM($E134:AF134)),0)</f>
        <v/>
      </c>
      <c r="AH134" s="90">
        <f>IF(AND($C134&gt;0,AH$46&gt;=$C$9+4+$C$26,SUM($E134:AG134)&lt;$C134),MIN($C134/$C$27,$C134-SUM($E134:AG134)),0)</f>
        <v/>
      </c>
      <c r="AI134" s="90">
        <f>IF(AND($C134&gt;0,AI$46&gt;=$C$9+4+$C$26,SUM($E134:AH134)&lt;$C134),MIN($C134/$C$27,$C134-SUM($E134:AH134)),0)</f>
        <v/>
      </c>
      <c r="AJ134" s="90">
        <f>IF(AND($C134&gt;0,AJ$46&gt;=$C$9+4+$C$26,SUM($E134:AI134)&lt;$C134),MIN($C134/$C$27,$C134-SUM($E134:AI134)),0)</f>
        <v/>
      </c>
      <c r="AK134" s="90">
        <f>IF(AND($C134&gt;0,AK$46&gt;=$C$9+4+$C$26,SUM($E134:AJ134)&lt;$C134),MIN($C134/$C$27,$C134-SUM($E134:AJ134)),0)</f>
        <v/>
      </c>
      <c r="AL134" s="90">
        <f>IF(AND($C134&gt;0,AL$46&gt;=$C$9+4+$C$26,SUM($E134:AK134)&lt;$C134),MIN($C134/$C$27,$C134-SUM($E134:AK134)),0)</f>
        <v/>
      </c>
      <c r="AM134" s="90">
        <f>IF(AND($C134&gt;0,AM$46&gt;=$C$9+4+$C$26,SUM($E134:AL134)&lt;$C134),MIN($C134/$C$27,$C134-SUM($E134:AL134)),0)</f>
        <v/>
      </c>
      <c r="AN134" s="90">
        <f>IF(AND($C134&gt;0,AN$46&gt;=$C$9+4+$C$26,SUM($E134:AM134)&lt;$C134),MIN($C134/$C$27,$C134-SUM($E134:AM134)),0)</f>
        <v/>
      </c>
      <c r="AO134" s="90">
        <f>IF(AND($C134&gt;0,AO$46&gt;=$C$9+4+$C$26,SUM($E134:AN134)&lt;$C134),MIN($C134/$C$27,$C134-SUM($E134:AN134)),0)</f>
        <v/>
      </c>
      <c r="AP134" s="90">
        <f>IF(AND($C134&gt;0,AP$46&gt;=$C$9+4+$C$26,SUM($E134:AO134)&lt;$C134),MIN($C134/$C$27,$C134-SUM($E134:AO134)),0)</f>
        <v/>
      </c>
      <c r="AQ134" s="90">
        <f>IF(AND($C134&gt;0,AQ$46&gt;=$C$9+4+$C$26,SUM($E134:AP134)&lt;$C134),MIN($C134/$C$27,$C134-SUM($E134:AP134)),0)</f>
        <v/>
      </c>
      <c r="AR134" s="90">
        <f>IF(AND($C134&gt;0,AR$46&gt;=$C$9+4+$C$26,SUM($E134:AQ134)&lt;$C134),MIN($C134/$C$27,$C134-SUM($E134:AQ134)),0)</f>
        <v/>
      </c>
      <c r="AS134" s="90">
        <f>IF(AND($C134&gt;0,AS$46&gt;=$C$9+4+$C$26,SUM($E134:AR134)&lt;$C134),MIN($C134/$C$27,$C134-SUM($E134:AR134)),0)</f>
        <v/>
      </c>
      <c r="AT134" s="90">
        <f>IF(AND($C134&gt;0,AT$46&gt;=$C$9+4+$C$26,SUM($E134:AS134)&lt;$C134),MIN($C134/$C$27,$C134-SUM($E134:AS134)),0)</f>
        <v/>
      </c>
      <c r="AU134" s="90">
        <f>IF(AND($C134&gt;0,AU$46&gt;=$C$9+4+$C$26,SUM($E134:AT134)&lt;$C134),MIN($C134/$C$27,$C134-SUM($E134:AT134)),0)</f>
        <v/>
      </c>
      <c r="AV134" s="90">
        <f>IF(AND($C134&gt;0,AV$46&gt;=$C$9+4+$C$26,SUM($E134:AU134)&lt;$C134),MIN($C134/$C$27,$C134-SUM($E134:AU134)),0)</f>
        <v/>
      </c>
      <c r="AW134" s="90">
        <f>IF(AND($C134&gt;0,AW$46&gt;=$C$9+4+$C$26,SUM($E134:AV134)&lt;$C134),MIN($C134/$C$27,$C134-SUM($E134:AV134)),0)</f>
        <v/>
      </c>
      <c r="AX134" s="90">
        <f>IF(AND($C134&gt;0,AX$46&gt;=$C$9+4+$C$26,SUM($E134:AW134)&lt;$C134),MIN($C134/$C$27,$C134-SUM($E134:AW134)),0)</f>
        <v/>
      </c>
      <c r="AY134" s="90">
        <f>IF(AND($C134&gt;0,AY$46&gt;=$C$9+4+$C$26,SUM($E134:AX134)&lt;$C134),MIN($C134/$C$27,$C134-SUM($E134:AX134)),0)</f>
        <v/>
      </c>
      <c r="AZ134" s="90">
        <f>IF(AND($C134&gt;0,AZ$46&gt;=$C$9+4+$C$26,SUM($E134:AY134)&lt;$C134),MIN($C134/$C$27,$C134-SUM($E134:AY134)),0)</f>
        <v/>
      </c>
      <c r="BA134" s="90">
        <f>IF(AND($C134&gt;0,BA$46&gt;=$C$9+4+$C$26,SUM($E134:AZ134)&lt;$C134),MIN($C134/$C$27,$C134-SUM($E134:AZ134)),0)</f>
        <v/>
      </c>
      <c r="BB134" s="90">
        <f>IF(AND($C134&gt;0,BB$46&gt;=$C$9+4+$C$26,SUM($E134:BA134)&lt;$C134),MIN($C134/$C$27,$C134-SUM($E134:BA134)),0)</f>
        <v/>
      </c>
    </row>
    <row r="135" ht="15" customHeight="1" s="91">
      <c r="B135" s="153" t="inlineStr">
        <is>
          <t>Tranche 6</t>
        </is>
      </c>
      <c r="C135" s="160">
        <f>IF(ABS($D$49)&gt;0,SUMPRODUCT(($E$46:$BB$46=$C$9+5)*IF($E49:$BB49&lt;0,ABS($E49:$BB49),0))*$C$19/ABS($D$49),0)</f>
        <v/>
      </c>
      <c r="D135" s="160">
        <f>SUM(E135:BB135)</f>
        <v/>
      </c>
      <c r="E135" s="90">
        <f>IF(AND($C135&gt;0,E$46&gt;=$C$9+5+$C$26,0&lt;$C135),MIN($C135/$C$27,$C135-0),0)</f>
        <v/>
      </c>
      <c r="F135" s="90">
        <f>IF(AND($C135&gt;0,F$46&gt;=$C$9+5+$C$26,SUM($E135:E135)&lt;$C135),MIN($C135/$C$27,$C135-SUM($E135:E135)),0)</f>
        <v/>
      </c>
      <c r="G135" s="90">
        <f>IF(AND($C135&gt;0,G$46&gt;=$C$9+5+$C$26,SUM($E135:F135)&lt;$C135),MIN($C135/$C$27,$C135-SUM($E135:F135)),0)</f>
        <v/>
      </c>
      <c r="H135" s="90">
        <f>IF(AND($C135&gt;0,H$46&gt;=$C$9+5+$C$26,SUM($E135:G135)&lt;$C135),MIN($C135/$C$27,$C135-SUM($E135:G135)),0)</f>
        <v/>
      </c>
      <c r="I135" s="90">
        <f>IF(AND($C135&gt;0,I$46&gt;=$C$9+5+$C$26,SUM($E135:H135)&lt;$C135),MIN($C135/$C$27,$C135-SUM($E135:H135)),0)</f>
        <v/>
      </c>
      <c r="J135" s="90">
        <f>IF(AND($C135&gt;0,J$46&gt;=$C$9+5+$C$26,SUM($E135:I135)&lt;$C135),MIN($C135/$C$27,$C135-SUM($E135:I135)),0)</f>
        <v/>
      </c>
      <c r="K135" s="90">
        <f>IF(AND($C135&gt;0,K$46&gt;=$C$9+5+$C$26,SUM($E135:J135)&lt;$C135),MIN($C135/$C$27,$C135-SUM($E135:J135)),0)</f>
        <v/>
      </c>
      <c r="L135" s="90">
        <f>IF(AND($C135&gt;0,L$46&gt;=$C$9+5+$C$26,SUM($E135:K135)&lt;$C135),MIN($C135/$C$27,$C135-SUM($E135:K135)),0)</f>
        <v/>
      </c>
      <c r="M135" s="90">
        <f>IF(AND($C135&gt;0,M$46&gt;=$C$9+5+$C$26,SUM($E135:L135)&lt;$C135),MIN($C135/$C$27,$C135-SUM($E135:L135)),0)</f>
        <v/>
      </c>
      <c r="N135" s="90">
        <f>IF(AND($C135&gt;0,N$46&gt;=$C$9+5+$C$26,SUM($E135:M135)&lt;$C135),MIN($C135/$C$27,$C135-SUM($E135:M135)),0)</f>
        <v/>
      </c>
      <c r="O135" s="90">
        <f>IF(AND($C135&gt;0,O$46&gt;=$C$9+5+$C$26,SUM($E135:N135)&lt;$C135),MIN($C135/$C$27,$C135-SUM($E135:N135)),0)</f>
        <v/>
      </c>
      <c r="P135" s="90">
        <f>IF(AND($C135&gt;0,P$46&gt;=$C$9+5+$C$26,SUM($E135:O135)&lt;$C135),MIN($C135/$C$27,$C135-SUM($E135:O135)),0)</f>
        <v/>
      </c>
      <c r="Q135" s="90">
        <f>IF(AND($C135&gt;0,Q$46&gt;=$C$9+5+$C$26,SUM($E135:P135)&lt;$C135),MIN($C135/$C$27,$C135-SUM($E135:P135)),0)</f>
        <v/>
      </c>
      <c r="R135" s="90">
        <f>IF(AND($C135&gt;0,R$46&gt;=$C$9+5+$C$26,SUM($E135:Q135)&lt;$C135),MIN($C135/$C$27,$C135-SUM($E135:Q135)),0)</f>
        <v/>
      </c>
      <c r="S135" s="90">
        <f>IF(AND($C135&gt;0,S$46&gt;=$C$9+5+$C$26,SUM($E135:R135)&lt;$C135),MIN($C135/$C$27,$C135-SUM($E135:R135)),0)</f>
        <v/>
      </c>
      <c r="T135" s="90">
        <f>IF(AND($C135&gt;0,T$46&gt;=$C$9+5+$C$26,SUM($E135:S135)&lt;$C135),MIN($C135/$C$27,$C135-SUM($E135:S135)),0)</f>
        <v/>
      </c>
      <c r="U135" s="90">
        <f>IF(AND($C135&gt;0,U$46&gt;=$C$9+5+$C$26,SUM($E135:T135)&lt;$C135),MIN($C135/$C$27,$C135-SUM($E135:T135)),0)</f>
        <v/>
      </c>
      <c r="V135" s="90">
        <f>IF(AND($C135&gt;0,V$46&gt;=$C$9+5+$C$26,SUM($E135:U135)&lt;$C135),MIN($C135/$C$27,$C135-SUM($E135:U135)),0)</f>
        <v/>
      </c>
      <c r="W135" s="90">
        <f>IF(AND($C135&gt;0,W$46&gt;=$C$9+5+$C$26,SUM($E135:V135)&lt;$C135),MIN($C135/$C$27,$C135-SUM($E135:V135)),0)</f>
        <v/>
      </c>
      <c r="X135" s="90">
        <f>IF(AND($C135&gt;0,X$46&gt;=$C$9+5+$C$26,SUM($E135:W135)&lt;$C135),MIN($C135/$C$27,$C135-SUM($E135:W135)),0)</f>
        <v/>
      </c>
      <c r="Y135" s="90">
        <f>IF(AND($C135&gt;0,Y$46&gt;=$C$9+5+$C$26,SUM($E135:X135)&lt;$C135),MIN($C135/$C$27,$C135-SUM($E135:X135)),0)</f>
        <v/>
      </c>
      <c r="Z135" s="90">
        <f>IF(AND($C135&gt;0,Z$46&gt;=$C$9+5+$C$26,SUM($E135:Y135)&lt;$C135),MIN($C135/$C$27,$C135-SUM($E135:Y135)),0)</f>
        <v/>
      </c>
      <c r="AA135" s="90">
        <f>IF(AND($C135&gt;0,AA$46&gt;=$C$9+5+$C$26,SUM($E135:Z135)&lt;$C135),MIN($C135/$C$27,$C135-SUM($E135:Z135)),0)</f>
        <v/>
      </c>
      <c r="AB135" s="90">
        <f>IF(AND($C135&gt;0,AB$46&gt;=$C$9+5+$C$26,SUM($E135:AA135)&lt;$C135),MIN($C135/$C$27,$C135-SUM($E135:AA135)),0)</f>
        <v/>
      </c>
      <c r="AC135" s="90">
        <f>IF(AND($C135&gt;0,AC$46&gt;=$C$9+5+$C$26,SUM($E135:AB135)&lt;$C135),MIN($C135/$C$27,$C135-SUM($E135:AB135)),0)</f>
        <v/>
      </c>
      <c r="AD135" s="90">
        <f>IF(AND($C135&gt;0,AD$46&gt;=$C$9+5+$C$26,SUM($E135:AC135)&lt;$C135),MIN($C135/$C$27,$C135-SUM($E135:AC135)),0)</f>
        <v/>
      </c>
      <c r="AE135" s="90">
        <f>IF(AND($C135&gt;0,AE$46&gt;=$C$9+5+$C$26,SUM($E135:AD135)&lt;$C135),MIN($C135/$C$27,$C135-SUM($E135:AD135)),0)</f>
        <v/>
      </c>
      <c r="AF135" s="90">
        <f>IF(AND($C135&gt;0,AF$46&gt;=$C$9+5+$C$26,SUM($E135:AE135)&lt;$C135),MIN($C135/$C$27,$C135-SUM($E135:AE135)),0)</f>
        <v/>
      </c>
      <c r="AG135" s="90">
        <f>IF(AND($C135&gt;0,AG$46&gt;=$C$9+5+$C$26,SUM($E135:AF135)&lt;$C135),MIN($C135/$C$27,$C135-SUM($E135:AF135)),0)</f>
        <v/>
      </c>
      <c r="AH135" s="90">
        <f>IF(AND($C135&gt;0,AH$46&gt;=$C$9+5+$C$26,SUM($E135:AG135)&lt;$C135),MIN($C135/$C$27,$C135-SUM($E135:AG135)),0)</f>
        <v/>
      </c>
      <c r="AI135" s="90">
        <f>IF(AND($C135&gt;0,AI$46&gt;=$C$9+5+$C$26,SUM($E135:AH135)&lt;$C135),MIN($C135/$C$27,$C135-SUM($E135:AH135)),0)</f>
        <v/>
      </c>
      <c r="AJ135" s="90">
        <f>IF(AND($C135&gt;0,AJ$46&gt;=$C$9+5+$C$26,SUM($E135:AI135)&lt;$C135),MIN($C135/$C$27,$C135-SUM($E135:AI135)),0)</f>
        <v/>
      </c>
      <c r="AK135" s="90">
        <f>IF(AND($C135&gt;0,AK$46&gt;=$C$9+5+$C$26,SUM($E135:AJ135)&lt;$C135),MIN($C135/$C$27,$C135-SUM($E135:AJ135)),0)</f>
        <v/>
      </c>
      <c r="AL135" s="90">
        <f>IF(AND($C135&gt;0,AL$46&gt;=$C$9+5+$C$26,SUM($E135:AK135)&lt;$C135),MIN($C135/$C$27,$C135-SUM($E135:AK135)),0)</f>
        <v/>
      </c>
      <c r="AM135" s="90">
        <f>IF(AND($C135&gt;0,AM$46&gt;=$C$9+5+$C$26,SUM($E135:AL135)&lt;$C135),MIN($C135/$C$27,$C135-SUM($E135:AL135)),0)</f>
        <v/>
      </c>
      <c r="AN135" s="90">
        <f>IF(AND($C135&gt;0,AN$46&gt;=$C$9+5+$C$26,SUM($E135:AM135)&lt;$C135),MIN($C135/$C$27,$C135-SUM($E135:AM135)),0)</f>
        <v/>
      </c>
      <c r="AO135" s="90">
        <f>IF(AND($C135&gt;0,AO$46&gt;=$C$9+5+$C$26,SUM($E135:AN135)&lt;$C135),MIN($C135/$C$27,$C135-SUM($E135:AN135)),0)</f>
        <v/>
      </c>
      <c r="AP135" s="90">
        <f>IF(AND($C135&gt;0,AP$46&gt;=$C$9+5+$C$26,SUM($E135:AO135)&lt;$C135),MIN($C135/$C$27,$C135-SUM($E135:AO135)),0)</f>
        <v/>
      </c>
      <c r="AQ135" s="90">
        <f>IF(AND($C135&gt;0,AQ$46&gt;=$C$9+5+$C$26,SUM($E135:AP135)&lt;$C135),MIN($C135/$C$27,$C135-SUM($E135:AP135)),0)</f>
        <v/>
      </c>
      <c r="AR135" s="90">
        <f>IF(AND($C135&gt;0,AR$46&gt;=$C$9+5+$C$26,SUM($E135:AQ135)&lt;$C135),MIN($C135/$C$27,$C135-SUM($E135:AQ135)),0)</f>
        <v/>
      </c>
      <c r="AS135" s="90">
        <f>IF(AND($C135&gt;0,AS$46&gt;=$C$9+5+$C$26,SUM($E135:AR135)&lt;$C135),MIN($C135/$C$27,$C135-SUM($E135:AR135)),0)</f>
        <v/>
      </c>
      <c r="AT135" s="90">
        <f>IF(AND($C135&gt;0,AT$46&gt;=$C$9+5+$C$26,SUM($E135:AS135)&lt;$C135),MIN($C135/$C$27,$C135-SUM($E135:AS135)),0)</f>
        <v/>
      </c>
      <c r="AU135" s="90">
        <f>IF(AND($C135&gt;0,AU$46&gt;=$C$9+5+$C$26,SUM($E135:AT135)&lt;$C135),MIN($C135/$C$27,$C135-SUM($E135:AT135)),0)</f>
        <v/>
      </c>
      <c r="AV135" s="90">
        <f>IF(AND($C135&gt;0,AV$46&gt;=$C$9+5+$C$26,SUM($E135:AU135)&lt;$C135),MIN($C135/$C$27,$C135-SUM($E135:AU135)),0)</f>
        <v/>
      </c>
      <c r="AW135" s="90">
        <f>IF(AND($C135&gt;0,AW$46&gt;=$C$9+5+$C$26,SUM($E135:AV135)&lt;$C135),MIN($C135/$C$27,$C135-SUM($E135:AV135)),0)</f>
        <v/>
      </c>
      <c r="AX135" s="90">
        <f>IF(AND($C135&gt;0,AX$46&gt;=$C$9+5+$C$26,SUM($E135:AW135)&lt;$C135),MIN($C135/$C$27,$C135-SUM($E135:AW135)),0)</f>
        <v/>
      </c>
      <c r="AY135" s="90">
        <f>IF(AND($C135&gt;0,AY$46&gt;=$C$9+5+$C$26,SUM($E135:AX135)&lt;$C135),MIN($C135/$C$27,$C135-SUM($E135:AX135)),0)</f>
        <v/>
      </c>
      <c r="AZ135" s="90">
        <f>IF(AND($C135&gt;0,AZ$46&gt;=$C$9+5+$C$26,SUM($E135:AY135)&lt;$C135),MIN($C135/$C$27,$C135-SUM($E135:AY135)),0)</f>
        <v/>
      </c>
      <c r="BA135" s="90">
        <f>IF(AND($C135&gt;0,BA$46&gt;=$C$9+5+$C$26,SUM($E135:AZ135)&lt;$C135),MIN($C135/$C$27,$C135-SUM($E135:AZ135)),0)</f>
        <v/>
      </c>
      <c r="BB135" s="90">
        <f>IF(AND($C135&gt;0,BB$46&gt;=$C$9+5+$C$26,SUM($E135:BA135)&lt;$C135),MIN($C135/$C$27,$C135-SUM($E135:BA135)),0)</f>
        <v/>
      </c>
    </row>
    <row r="136" ht="15" customHeight="1" s="91">
      <c r="B136" s="153" t="inlineStr">
        <is>
          <t>Tranche 7</t>
        </is>
      </c>
      <c r="C136" s="160">
        <f>IF(ABS($D$49)&gt;0,SUMPRODUCT(($E$46:$BB$46=$C$9+6)*IF($E49:$BB49&lt;0,ABS($E49:$BB49),0))*$C$19/ABS($D$49),0)</f>
        <v/>
      </c>
      <c r="D136" s="160">
        <f>SUM(E136:BB136)</f>
        <v/>
      </c>
      <c r="E136" s="90">
        <f>IF(AND($C136&gt;0,E$46&gt;=$C$9+6+$C$26,0&lt;$C136),MIN($C136/$C$27,$C136-0),0)</f>
        <v/>
      </c>
      <c r="F136" s="90">
        <f>IF(AND($C136&gt;0,F$46&gt;=$C$9+6+$C$26,SUM($E136:E136)&lt;$C136),MIN($C136/$C$27,$C136-SUM($E136:E136)),0)</f>
        <v/>
      </c>
      <c r="G136" s="90">
        <f>IF(AND($C136&gt;0,G$46&gt;=$C$9+6+$C$26,SUM($E136:F136)&lt;$C136),MIN($C136/$C$27,$C136-SUM($E136:F136)),0)</f>
        <v/>
      </c>
      <c r="H136" s="90">
        <f>IF(AND($C136&gt;0,H$46&gt;=$C$9+6+$C$26,SUM($E136:G136)&lt;$C136),MIN($C136/$C$27,$C136-SUM($E136:G136)),0)</f>
        <v/>
      </c>
      <c r="I136" s="90">
        <f>IF(AND($C136&gt;0,I$46&gt;=$C$9+6+$C$26,SUM($E136:H136)&lt;$C136),MIN($C136/$C$27,$C136-SUM($E136:H136)),0)</f>
        <v/>
      </c>
      <c r="J136" s="90">
        <f>IF(AND($C136&gt;0,J$46&gt;=$C$9+6+$C$26,SUM($E136:I136)&lt;$C136),MIN($C136/$C$27,$C136-SUM($E136:I136)),0)</f>
        <v/>
      </c>
      <c r="K136" s="90">
        <f>IF(AND($C136&gt;0,K$46&gt;=$C$9+6+$C$26,SUM($E136:J136)&lt;$C136),MIN($C136/$C$27,$C136-SUM($E136:J136)),0)</f>
        <v/>
      </c>
      <c r="L136" s="90">
        <f>IF(AND($C136&gt;0,L$46&gt;=$C$9+6+$C$26,SUM($E136:K136)&lt;$C136),MIN($C136/$C$27,$C136-SUM($E136:K136)),0)</f>
        <v/>
      </c>
      <c r="M136" s="90">
        <f>IF(AND($C136&gt;0,M$46&gt;=$C$9+6+$C$26,SUM($E136:L136)&lt;$C136),MIN($C136/$C$27,$C136-SUM($E136:L136)),0)</f>
        <v/>
      </c>
      <c r="N136" s="90">
        <f>IF(AND($C136&gt;0,N$46&gt;=$C$9+6+$C$26,SUM($E136:M136)&lt;$C136),MIN($C136/$C$27,$C136-SUM($E136:M136)),0)</f>
        <v/>
      </c>
      <c r="O136" s="90">
        <f>IF(AND($C136&gt;0,O$46&gt;=$C$9+6+$C$26,SUM($E136:N136)&lt;$C136),MIN($C136/$C$27,$C136-SUM($E136:N136)),0)</f>
        <v/>
      </c>
      <c r="P136" s="90">
        <f>IF(AND($C136&gt;0,P$46&gt;=$C$9+6+$C$26,SUM($E136:O136)&lt;$C136),MIN($C136/$C$27,$C136-SUM($E136:O136)),0)</f>
        <v/>
      </c>
      <c r="Q136" s="90">
        <f>IF(AND($C136&gt;0,Q$46&gt;=$C$9+6+$C$26,SUM($E136:P136)&lt;$C136),MIN($C136/$C$27,$C136-SUM($E136:P136)),0)</f>
        <v/>
      </c>
      <c r="R136" s="90">
        <f>IF(AND($C136&gt;0,R$46&gt;=$C$9+6+$C$26,SUM($E136:Q136)&lt;$C136),MIN($C136/$C$27,$C136-SUM($E136:Q136)),0)</f>
        <v/>
      </c>
      <c r="S136" s="90">
        <f>IF(AND($C136&gt;0,S$46&gt;=$C$9+6+$C$26,SUM($E136:R136)&lt;$C136),MIN($C136/$C$27,$C136-SUM($E136:R136)),0)</f>
        <v/>
      </c>
      <c r="T136" s="90">
        <f>IF(AND($C136&gt;0,T$46&gt;=$C$9+6+$C$26,SUM($E136:S136)&lt;$C136),MIN($C136/$C$27,$C136-SUM($E136:S136)),0)</f>
        <v/>
      </c>
      <c r="U136" s="90">
        <f>IF(AND($C136&gt;0,U$46&gt;=$C$9+6+$C$26,SUM($E136:T136)&lt;$C136),MIN($C136/$C$27,$C136-SUM($E136:T136)),0)</f>
        <v/>
      </c>
      <c r="V136" s="90">
        <f>IF(AND($C136&gt;0,V$46&gt;=$C$9+6+$C$26,SUM($E136:U136)&lt;$C136),MIN($C136/$C$27,$C136-SUM($E136:U136)),0)</f>
        <v/>
      </c>
      <c r="W136" s="90">
        <f>IF(AND($C136&gt;0,W$46&gt;=$C$9+6+$C$26,SUM($E136:V136)&lt;$C136),MIN($C136/$C$27,$C136-SUM($E136:V136)),0)</f>
        <v/>
      </c>
      <c r="X136" s="90">
        <f>IF(AND($C136&gt;0,X$46&gt;=$C$9+6+$C$26,SUM($E136:W136)&lt;$C136),MIN($C136/$C$27,$C136-SUM($E136:W136)),0)</f>
        <v/>
      </c>
      <c r="Y136" s="90">
        <f>IF(AND($C136&gt;0,Y$46&gt;=$C$9+6+$C$26,SUM($E136:X136)&lt;$C136),MIN($C136/$C$27,$C136-SUM($E136:X136)),0)</f>
        <v/>
      </c>
      <c r="Z136" s="90">
        <f>IF(AND($C136&gt;0,Z$46&gt;=$C$9+6+$C$26,SUM($E136:Y136)&lt;$C136),MIN($C136/$C$27,$C136-SUM($E136:Y136)),0)</f>
        <v/>
      </c>
      <c r="AA136" s="90">
        <f>IF(AND($C136&gt;0,AA$46&gt;=$C$9+6+$C$26,SUM($E136:Z136)&lt;$C136),MIN($C136/$C$27,$C136-SUM($E136:Z136)),0)</f>
        <v/>
      </c>
      <c r="AB136" s="90">
        <f>IF(AND($C136&gt;0,AB$46&gt;=$C$9+6+$C$26,SUM($E136:AA136)&lt;$C136),MIN($C136/$C$27,$C136-SUM($E136:AA136)),0)</f>
        <v/>
      </c>
      <c r="AC136" s="90">
        <f>IF(AND($C136&gt;0,AC$46&gt;=$C$9+6+$C$26,SUM($E136:AB136)&lt;$C136),MIN($C136/$C$27,$C136-SUM($E136:AB136)),0)</f>
        <v/>
      </c>
      <c r="AD136" s="90">
        <f>IF(AND($C136&gt;0,AD$46&gt;=$C$9+6+$C$26,SUM($E136:AC136)&lt;$C136),MIN($C136/$C$27,$C136-SUM($E136:AC136)),0)</f>
        <v/>
      </c>
      <c r="AE136" s="90">
        <f>IF(AND($C136&gt;0,AE$46&gt;=$C$9+6+$C$26,SUM($E136:AD136)&lt;$C136),MIN($C136/$C$27,$C136-SUM($E136:AD136)),0)</f>
        <v/>
      </c>
      <c r="AF136" s="90">
        <f>IF(AND($C136&gt;0,AF$46&gt;=$C$9+6+$C$26,SUM($E136:AE136)&lt;$C136),MIN($C136/$C$27,$C136-SUM($E136:AE136)),0)</f>
        <v/>
      </c>
      <c r="AG136" s="90">
        <f>IF(AND($C136&gt;0,AG$46&gt;=$C$9+6+$C$26,SUM($E136:AF136)&lt;$C136),MIN($C136/$C$27,$C136-SUM($E136:AF136)),0)</f>
        <v/>
      </c>
      <c r="AH136" s="90">
        <f>IF(AND($C136&gt;0,AH$46&gt;=$C$9+6+$C$26,SUM($E136:AG136)&lt;$C136),MIN($C136/$C$27,$C136-SUM($E136:AG136)),0)</f>
        <v/>
      </c>
      <c r="AI136" s="90">
        <f>IF(AND($C136&gt;0,AI$46&gt;=$C$9+6+$C$26,SUM($E136:AH136)&lt;$C136),MIN($C136/$C$27,$C136-SUM($E136:AH136)),0)</f>
        <v/>
      </c>
      <c r="AJ136" s="90">
        <f>IF(AND($C136&gt;0,AJ$46&gt;=$C$9+6+$C$26,SUM($E136:AI136)&lt;$C136),MIN($C136/$C$27,$C136-SUM($E136:AI136)),0)</f>
        <v/>
      </c>
      <c r="AK136" s="90">
        <f>IF(AND($C136&gt;0,AK$46&gt;=$C$9+6+$C$26,SUM($E136:AJ136)&lt;$C136),MIN($C136/$C$27,$C136-SUM($E136:AJ136)),0)</f>
        <v/>
      </c>
      <c r="AL136" s="90">
        <f>IF(AND($C136&gt;0,AL$46&gt;=$C$9+6+$C$26,SUM($E136:AK136)&lt;$C136),MIN($C136/$C$27,$C136-SUM($E136:AK136)),0)</f>
        <v/>
      </c>
      <c r="AM136" s="90">
        <f>IF(AND($C136&gt;0,AM$46&gt;=$C$9+6+$C$26,SUM($E136:AL136)&lt;$C136),MIN($C136/$C$27,$C136-SUM($E136:AL136)),0)</f>
        <v/>
      </c>
      <c r="AN136" s="90">
        <f>IF(AND($C136&gt;0,AN$46&gt;=$C$9+6+$C$26,SUM($E136:AM136)&lt;$C136),MIN($C136/$C$27,$C136-SUM($E136:AM136)),0)</f>
        <v/>
      </c>
      <c r="AO136" s="90">
        <f>IF(AND($C136&gt;0,AO$46&gt;=$C$9+6+$C$26,SUM($E136:AN136)&lt;$C136),MIN($C136/$C$27,$C136-SUM($E136:AN136)),0)</f>
        <v/>
      </c>
      <c r="AP136" s="90">
        <f>IF(AND($C136&gt;0,AP$46&gt;=$C$9+6+$C$26,SUM($E136:AO136)&lt;$C136),MIN($C136/$C$27,$C136-SUM($E136:AO136)),0)</f>
        <v/>
      </c>
      <c r="AQ136" s="90">
        <f>IF(AND($C136&gt;0,AQ$46&gt;=$C$9+6+$C$26,SUM($E136:AP136)&lt;$C136),MIN($C136/$C$27,$C136-SUM($E136:AP136)),0)</f>
        <v/>
      </c>
      <c r="AR136" s="90">
        <f>IF(AND($C136&gt;0,AR$46&gt;=$C$9+6+$C$26,SUM($E136:AQ136)&lt;$C136),MIN($C136/$C$27,$C136-SUM($E136:AQ136)),0)</f>
        <v/>
      </c>
      <c r="AS136" s="90">
        <f>IF(AND($C136&gt;0,AS$46&gt;=$C$9+6+$C$26,SUM($E136:AR136)&lt;$C136),MIN($C136/$C$27,$C136-SUM($E136:AR136)),0)</f>
        <v/>
      </c>
      <c r="AT136" s="90">
        <f>IF(AND($C136&gt;0,AT$46&gt;=$C$9+6+$C$26,SUM($E136:AS136)&lt;$C136),MIN($C136/$C$27,$C136-SUM($E136:AS136)),0)</f>
        <v/>
      </c>
      <c r="AU136" s="90">
        <f>IF(AND($C136&gt;0,AU$46&gt;=$C$9+6+$C$26,SUM($E136:AT136)&lt;$C136),MIN($C136/$C$27,$C136-SUM($E136:AT136)),0)</f>
        <v/>
      </c>
      <c r="AV136" s="90">
        <f>IF(AND($C136&gt;0,AV$46&gt;=$C$9+6+$C$26,SUM($E136:AU136)&lt;$C136),MIN($C136/$C$27,$C136-SUM($E136:AU136)),0)</f>
        <v/>
      </c>
      <c r="AW136" s="90">
        <f>IF(AND($C136&gt;0,AW$46&gt;=$C$9+6+$C$26,SUM($E136:AV136)&lt;$C136),MIN($C136/$C$27,$C136-SUM($E136:AV136)),0)</f>
        <v/>
      </c>
      <c r="AX136" s="90">
        <f>IF(AND($C136&gt;0,AX$46&gt;=$C$9+6+$C$26,SUM($E136:AW136)&lt;$C136),MIN($C136/$C$27,$C136-SUM($E136:AW136)),0)</f>
        <v/>
      </c>
      <c r="AY136" s="90">
        <f>IF(AND($C136&gt;0,AY$46&gt;=$C$9+6+$C$26,SUM($E136:AX136)&lt;$C136),MIN($C136/$C$27,$C136-SUM($E136:AX136)),0)</f>
        <v/>
      </c>
      <c r="AZ136" s="90">
        <f>IF(AND($C136&gt;0,AZ$46&gt;=$C$9+6+$C$26,SUM($E136:AY136)&lt;$C136),MIN($C136/$C$27,$C136-SUM($E136:AY136)),0)</f>
        <v/>
      </c>
      <c r="BA136" s="90">
        <f>IF(AND($C136&gt;0,BA$46&gt;=$C$9+6+$C$26,SUM($E136:AZ136)&lt;$C136),MIN($C136/$C$27,$C136-SUM($E136:AZ136)),0)</f>
        <v/>
      </c>
      <c r="BB136" s="90">
        <f>IF(AND($C136&gt;0,BB$46&gt;=$C$9+6+$C$26,SUM($E136:BA136)&lt;$C136),MIN($C136/$C$27,$C136-SUM($E136:BA136)),0)</f>
        <v/>
      </c>
    </row>
    <row r="137" ht="15" customHeight="1" s="91">
      <c r="B137" s="153" t="inlineStr">
        <is>
          <t>Tranche 8</t>
        </is>
      </c>
      <c r="C137" s="160">
        <f>IF(ABS($D$49)&gt;0,SUMPRODUCT(($E$46:$BB$46=$C$9+7)*IF($E49:$BB49&lt;0,ABS($E49:$BB49),0))*$C$19/ABS($D$49),0)</f>
        <v/>
      </c>
      <c r="D137" s="160">
        <f>SUM(E137:BB137)</f>
        <v/>
      </c>
      <c r="E137" s="90">
        <f>IF(AND($C137&gt;0,E$46&gt;=$C$9+7+$C$26,0&lt;$C137),MIN($C137/$C$27,$C137-0),0)</f>
        <v/>
      </c>
      <c r="F137" s="90">
        <f>IF(AND($C137&gt;0,F$46&gt;=$C$9+7+$C$26,SUM($E137:E137)&lt;$C137),MIN($C137/$C$27,$C137-SUM($E137:E137)),0)</f>
        <v/>
      </c>
      <c r="G137" s="90">
        <f>IF(AND($C137&gt;0,G$46&gt;=$C$9+7+$C$26,SUM($E137:F137)&lt;$C137),MIN($C137/$C$27,$C137-SUM($E137:F137)),0)</f>
        <v/>
      </c>
      <c r="H137" s="90">
        <f>IF(AND($C137&gt;0,H$46&gt;=$C$9+7+$C$26,SUM($E137:G137)&lt;$C137),MIN($C137/$C$27,$C137-SUM($E137:G137)),0)</f>
        <v/>
      </c>
      <c r="I137" s="90">
        <f>IF(AND($C137&gt;0,I$46&gt;=$C$9+7+$C$26,SUM($E137:H137)&lt;$C137),MIN($C137/$C$27,$C137-SUM($E137:H137)),0)</f>
        <v/>
      </c>
      <c r="J137" s="90">
        <f>IF(AND($C137&gt;0,J$46&gt;=$C$9+7+$C$26,SUM($E137:I137)&lt;$C137),MIN($C137/$C$27,$C137-SUM($E137:I137)),0)</f>
        <v/>
      </c>
      <c r="K137" s="90">
        <f>IF(AND($C137&gt;0,K$46&gt;=$C$9+7+$C$26,SUM($E137:J137)&lt;$C137),MIN($C137/$C$27,$C137-SUM($E137:J137)),0)</f>
        <v/>
      </c>
      <c r="L137" s="90">
        <f>IF(AND($C137&gt;0,L$46&gt;=$C$9+7+$C$26,SUM($E137:K137)&lt;$C137),MIN($C137/$C$27,$C137-SUM($E137:K137)),0)</f>
        <v/>
      </c>
      <c r="M137" s="90">
        <f>IF(AND($C137&gt;0,M$46&gt;=$C$9+7+$C$26,SUM($E137:L137)&lt;$C137),MIN($C137/$C$27,$C137-SUM($E137:L137)),0)</f>
        <v/>
      </c>
      <c r="N137" s="90">
        <f>IF(AND($C137&gt;0,N$46&gt;=$C$9+7+$C$26,SUM($E137:M137)&lt;$C137),MIN($C137/$C$27,$C137-SUM($E137:M137)),0)</f>
        <v/>
      </c>
      <c r="O137" s="90">
        <f>IF(AND($C137&gt;0,O$46&gt;=$C$9+7+$C$26,SUM($E137:N137)&lt;$C137),MIN($C137/$C$27,$C137-SUM($E137:N137)),0)</f>
        <v/>
      </c>
      <c r="P137" s="90">
        <f>IF(AND($C137&gt;0,P$46&gt;=$C$9+7+$C$26,SUM($E137:O137)&lt;$C137),MIN($C137/$C$27,$C137-SUM($E137:O137)),0)</f>
        <v/>
      </c>
      <c r="Q137" s="90">
        <f>IF(AND($C137&gt;0,Q$46&gt;=$C$9+7+$C$26,SUM($E137:P137)&lt;$C137),MIN($C137/$C$27,$C137-SUM($E137:P137)),0)</f>
        <v/>
      </c>
      <c r="R137" s="90">
        <f>IF(AND($C137&gt;0,R$46&gt;=$C$9+7+$C$26,SUM($E137:Q137)&lt;$C137),MIN($C137/$C$27,$C137-SUM($E137:Q137)),0)</f>
        <v/>
      </c>
      <c r="S137" s="90">
        <f>IF(AND($C137&gt;0,S$46&gt;=$C$9+7+$C$26,SUM($E137:R137)&lt;$C137),MIN($C137/$C$27,$C137-SUM($E137:R137)),0)</f>
        <v/>
      </c>
      <c r="T137" s="90">
        <f>IF(AND($C137&gt;0,T$46&gt;=$C$9+7+$C$26,SUM($E137:S137)&lt;$C137),MIN($C137/$C$27,$C137-SUM($E137:S137)),0)</f>
        <v/>
      </c>
      <c r="U137" s="90">
        <f>IF(AND($C137&gt;0,U$46&gt;=$C$9+7+$C$26,SUM($E137:T137)&lt;$C137),MIN($C137/$C$27,$C137-SUM($E137:T137)),0)</f>
        <v/>
      </c>
      <c r="V137" s="90">
        <f>IF(AND($C137&gt;0,V$46&gt;=$C$9+7+$C$26,SUM($E137:U137)&lt;$C137),MIN($C137/$C$27,$C137-SUM($E137:U137)),0)</f>
        <v/>
      </c>
      <c r="W137" s="90">
        <f>IF(AND($C137&gt;0,W$46&gt;=$C$9+7+$C$26,SUM($E137:V137)&lt;$C137),MIN($C137/$C$27,$C137-SUM($E137:V137)),0)</f>
        <v/>
      </c>
      <c r="X137" s="90">
        <f>IF(AND($C137&gt;0,X$46&gt;=$C$9+7+$C$26,SUM($E137:W137)&lt;$C137),MIN($C137/$C$27,$C137-SUM($E137:W137)),0)</f>
        <v/>
      </c>
      <c r="Y137" s="90">
        <f>IF(AND($C137&gt;0,Y$46&gt;=$C$9+7+$C$26,SUM($E137:X137)&lt;$C137),MIN($C137/$C$27,$C137-SUM($E137:X137)),0)</f>
        <v/>
      </c>
      <c r="Z137" s="90">
        <f>IF(AND($C137&gt;0,Z$46&gt;=$C$9+7+$C$26,SUM($E137:Y137)&lt;$C137),MIN($C137/$C$27,$C137-SUM($E137:Y137)),0)</f>
        <v/>
      </c>
      <c r="AA137" s="90">
        <f>IF(AND($C137&gt;0,AA$46&gt;=$C$9+7+$C$26,SUM($E137:Z137)&lt;$C137),MIN($C137/$C$27,$C137-SUM($E137:Z137)),0)</f>
        <v/>
      </c>
      <c r="AB137" s="90">
        <f>IF(AND($C137&gt;0,AB$46&gt;=$C$9+7+$C$26,SUM($E137:AA137)&lt;$C137),MIN($C137/$C$27,$C137-SUM($E137:AA137)),0)</f>
        <v/>
      </c>
      <c r="AC137" s="90">
        <f>IF(AND($C137&gt;0,AC$46&gt;=$C$9+7+$C$26,SUM($E137:AB137)&lt;$C137),MIN($C137/$C$27,$C137-SUM($E137:AB137)),0)</f>
        <v/>
      </c>
      <c r="AD137" s="90">
        <f>IF(AND($C137&gt;0,AD$46&gt;=$C$9+7+$C$26,SUM($E137:AC137)&lt;$C137),MIN($C137/$C$27,$C137-SUM($E137:AC137)),0)</f>
        <v/>
      </c>
      <c r="AE137" s="90">
        <f>IF(AND($C137&gt;0,AE$46&gt;=$C$9+7+$C$26,SUM($E137:AD137)&lt;$C137),MIN($C137/$C$27,$C137-SUM($E137:AD137)),0)</f>
        <v/>
      </c>
      <c r="AF137" s="90">
        <f>IF(AND($C137&gt;0,AF$46&gt;=$C$9+7+$C$26,SUM($E137:AE137)&lt;$C137),MIN($C137/$C$27,$C137-SUM($E137:AE137)),0)</f>
        <v/>
      </c>
      <c r="AG137" s="90">
        <f>IF(AND($C137&gt;0,AG$46&gt;=$C$9+7+$C$26,SUM($E137:AF137)&lt;$C137),MIN($C137/$C$27,$C137-SUM($E137:AF137)),0)</f>
        <v/>
      </c>
      <c r="AH137" s="90">
        <f>IF(AND($C137&gt;0,AH$46&gt;=$C$9+7+$C$26,SUM($E137:AG137)&lt;$C137),MIN($C137/$C$27,$C137-SUM($E137:AG137)),0)</f>
        <v/>
      </c>
      <c r="AI137" s="90">
        <f>IF(AND($C137&gt;0,AI$46&gt;=$C$9+7+$C$26,SUM($E137:AH137)&lt;$C137),MIN($C137/$C$27,$C137-SUM($E137:AH137)),0)</f>
        <v/>
      </c>
      <c r="AJ137" s="90">
        <f>IF(AND($C137&gt;0,AJ$46&gt;=$C$9+7+$C$26,SUM($E137:AI137)&lt;$C137),MIN($C137/$C$27,$C137-SUM($E137:AI137)),0)</f>
        <v/>
      </c>
      <c r="AK137" s="90">
        <f>IF(AND($C137&gt;0,AK$46&gt;=$C$9+7+$C$26,SUM($E137:AJ137)&lt;$C137),MIN($C137/$C$27,$C137-SUM($E137:AJ137)),0)</f>
        <v/>
      </c>
      <c r="AL137" s="90">
        <f>IF(AND($C137&gt;0,AL$46&gt;=$C$9+7+$C$26,SUM($E137:AK137)&lt;$C137),MIN($C137/$C$27,$C137-SUM($E137:AK137)),0)</f>
        <v/>
      </c>
      <c r="AM137" s="90">
        <f>IF(AND($C137&gt;0,AM$46&gt;=$C$9+7+$C$26,SUM($E137:AL137)&lt;$C137),MIN($C137/$C$27,$C137-SUM($E137:AL137)),0)</f>
        <v/>
      </c>
      <c r="AN137" s="90">
        <f>IF(AND($C137&gt;0,AN$46&gt;=$C$9+7+$C$26,SUM($E137:AM137)&lt;$C137),MIN($C137/$C$27,$C137-SUM($E137:AM137)),0)</f>
        <v/>
      </c>
      <c r="AO137" s="90">
        <f>IF(AND($C137&gt;0,AO$46&gt;=$C$9+7+$C$26,SUM($E137:AN137)&lt;$C137),MIN($C137/$C$27,$C137-SUM($E137:AN137)),0)</f>
        <v/>
      </c>
      <c r="AP137" s="90">
        <f>IF(AND($C137&gt;0,AP$46&gt;=$C$9+7+$C$26,SUM($E137:AO137)&lt;$C137),MIN($C137/$C$27,$C137-SUM($E137:AO137)),0)</f>
        <v/>
      </c>
      <c r="AQ137" s="90">
        <f>IF(AND($C137&gt;0,AQ$46&gt;=$C$9+7+$C$26,SUM($E137:AP137)&lt;$C137),MIN($C137/$C$27,$C137-SUM($E137:AP137)),0)</f>
        <v/>
      </c>
      <c r="AR137" s="90">
        <f>IF(AND($C137&gt;0,AR$46&gt;=$C$9+7+$C$26,SUM($E137:AQ137)&lt;$C137),MIN($C137/$C$27,$C137-SUM($E137:AQ137)),0)</f>
        <v/>
      </c>
      <c r="AS137" s="90">
        <f>IF(AND($C137&gt;0,AS$46&gt;=$C$9+7+$C$26,SUM($E137:AR137)&lt;$C137),MIN($C137/$C$27,$C137-SUM($E137:AR137)),0)</f>
        <v/>
      </c>
      <c r="AT137" s="90">
        <f>IF(AND($C137&gt;0,AT$46&gt;=$C$9+7+$C$26,SUM($E137:AS137)&lt;$C137),MIN($C137/$C$27,$C137-SUM($E137:AS137)),0)</f>
        <v/>
      </c>
      <c r="AU137" s="90">
        <f>IF(AND($C137&gt;0,AU$46&gt;=$C$9+7+$C$26,SUM($E137:AT137)&lt;$C137),MIN($C137/$C$27,$C137-SUM($E137:AT137)),0)</f>
        <v/>
      </c>
      <c r="AV137" s="90">
        <f>IF(AND($C137&gt;0,AV$46&gt;=$C$9+7+$C$26,SUM($E137:AU137)&lt;$C137),MIN($C137/$C$27,$C137-SUM($E137:AU137)),0)</f>
        <v/>
      </c>
      <c r="AW137" s="90">
        <f>IF(AND($C137&gt;0,AW$46&gt;=$C$9+7+$C$26,SUM($E137:AV137)&lt;$C137),MIN($C137/$C$27,$C137-SUM($E137:AV137)),0)</f>
        <v/>
      </c>
      <c r="AX137" s="90">
        <f>IF(AND($C137&gt;0,AX$46&gt;=$C$9+7+$C$26,SUM($E137:AW137)&lt;$C137),MIN($C137/$C$27,$C137-SUM($E137:AW137)),0)</f>
        <v/>
      </c>
      <c r="AY137" s="90">
        <f>IF(AND($C137&gt;0,AY$46&gt;=$C$9+7+$C$26,SUM($E137:AX137)&lt;$C137),MIN($C137/$C$27,$C137-SUM($E137:AX137)),0)</f>
        <v/>
      </c>
      <c r="AZ137" s="90">
        <f>IF(AND($C137&gt;0,AZ$46&gt;=$C$9+7+$C$26,SUM($E137:AY137)&lt;$C137),MIN($C137/$C$27,$C137-SUM($E137:AY137)),0)</f>
        <v/>
      </c>
      <c r="BA137" s="90">
        <f>IF(AND($C137&gt;0,BA$46&gt;=$C$9+7+$C$26,SUM($E137:AZ137)&lt;$C137),MIN($C137/$C$27,$C137-SUM($E137:AZ137)),0)</f>
        <v/>
      </c>
      <c r="BB137" s="90">
        <f>IF(AND($C137&gt;0,BB$46&gt;=$C$9+7+$C$26,SUM($E137:BA137)&lt;$C137),MIN($C137/$C$27,$C137-SUM($E137:BA137)),0)</f>
        <v/>
      </c>
    </row>
    <row r="138" ht="15" customHeight="1" s="91">
      <c r="B138" s="90" t="inlineStr">
        <is>
          <t>Tranche 9</t>
        </is>
      </c>
      <c r="C138" s="170">
        <f>IF(ABS($D$49)&gt;0,SUMPRODUCT(($E$46:$BB$46=$C$9+8)*IF($E49:$BB49&lt;0,ABS($E49:$BB49),0))*$C$19/ABS($D$49),0)</f>
        <v/>
      </c>
      <c r="D138" s="90">
        <f>SUM(E138:BB138)</f>
        <v/>
      </c>
      <c r="E138" s="90">
        <f>IF(AND($C138&gt;0,E$46&gt;=$C$9+8+$C$26,0&lt;$C138),MIN($C138/$C$27,$C138-0),0)</f>
        <v/>
      </c>
      <c r="F138" s="90">
        <f>IF(AND($C138&gt;0,F$46&gt;=$C$9+8+$C$26,SUM($E138:E138)&lt;$C138),MIN($C138/$C$27,$C138-SUM($E138:E138)),0)</f>
        <v/>
      </c>
      <c r="G138" s="90">
        <f>IF(AND($C138&gt;0,G$46&gt;=$C$9+8+$C$26,SUM($E138:F138)&lt;$C138),MIN($C138/$C$27,$C138-SUM($E138:F138)),0)</f>
        <v/>
      </c>
      <c r="H138" s="90">
        <f>IF(AND($C138&gt;0,H$46&gt;=$C$9+8+$C$26,SUM($E138:G138)&lt;$C138),MIN($C138/$C$27,$C138-SUM($E138:G138)),0)</f>
        <v/>
      </c>
      <c r="I138" s="90">
        <f>IF(AND($C138&gt;0,I$46&gt;=$C$9+8+$C$26,SUM($E138:H138)&lt;$C138),MIN($C138/$C$27,$C138-SUM($E138:H138)),0)</f>
        <v/>
      </c>
      <c r="J138" s="90">
        <f>IF(AND($C138&gt;0,J$46&gt;=$C$9+8+$C$26,SUM($E138:I138)&lt;$C138),MIN($C138/$C$27,$C138-SUM($E138:I138)),0)</f>
        <v/>
      </c>
      <c r="K138" s="90">
        <f>IF(AND($C138&gt;0,K$46&gt;=$C$9+8+$C$26,SUM($E138:J138)&lt;$C138),MIN($C138/$C$27,$C138-SUM($E138:J138)),0)</f>
        <v/>
      </c>
      <c r="L138" s="90">
        <f>IF(AND($C138&gt;0,L$46&gt;=$C$9+8+$C$26,SUM($E138:K138)&lt;$C138),MIN($C138/$C$27,$C138-SUM($E138:K138)),0)</f>
        <v/>
      </c>
      <c r="M138" s="90">
        <f>IF(AND($C138&gt;0,M$46&gt;=$C$9+8+$C$26,SUM($E138:L138)&lt;$C138),MIN($C138/$C$27,$C138-SUM($E138:L138)),0)</f>
        <v/>
      </c>
      <c r="N138" s="90">
        <f>IF(AND($C138&gt;0,N$46&gt;=$C$9+8+$C$26,SUM($E138:M138)&lt;$C138),MIN($C138/$C$27,$C138-SUM($E138:M138)),0)</f>
        <v/>
      </c>
      <c r="O138" s="90">
        <f>IF(AND($C138&gt;0,O$46&gt;=$C$9+8+$C$26,SUM($E138:N138)&lt;$C138),MIN($C138/$C$27,$C138-SUM($E138:N138)),0)</f>
        <v/>
      </c>
      <c r="P138" s="90">
        <f>IF(AND($C138&gt;0,P$46&gt;=$C$9+8+$C$26,SUM($E138:O138)&lt;$C138),MIN($C138/$C$27,$C138-SUM($E138:O138)),0)</f>
        <v/>
      </c>
      <c r="Q138" s="90">
        <f>IF(AND($C138&gt;0,Q$46&gt;=$C$9+8+$C$26,SUM($E138:P138)&lt;$C138),MIN($C138/$C$27,$C138-SUM($E138:P138)),0)</f>
        <v/>
      </c>
      <c r="R138" s="90">
        <f>IF(AND($C138&gt;0,R$46&gt;=$C$9+8+$C$26,SUM($E138:Q138)&lt;$C138),MIN($C138/$C$27,$C138-SUM($E138:Q138)),0)</f>
        <v/>
      </c>
      <c r="S138" s="90">
        <f>IF(AND($C138&gt;0,S$46&gt;=$C$9+8+$C$26,SUM($E138:R138)&lt;$C138),MIN($C138/$C$27,$C138-SUM($E138:R138)),0)</f>
        <v/>
      </c>
      <c r="T138" s="90">
        <f>IF(AND($C138&gt;0,T$46&gt;=$C$9+8+$C$26,SUM($E138:S138)&lt;$C138),MIN($C138/$C$27,$C138-SUM($E138:S138)),0)</f>
        <v/>
      </c>
      <c r="U138" s="90">
        <f>IF(AND($C138&gt;0,U$46&gt;=$C$9+8+$C$26,SUM($E138:T138)&lt;$C138),MIN($C138/$C$27,$C138-SUM($E138:T138)),0)</f>
        <v/>
      </c>
      <c r="V138" s="90">
        <f>IF(AND($C138&gt;0,V$46&gt;=$C$9+8+$C$26,SUM($E138:U138)&lt;$C138),MIN($C138/$C$27,$C138-SUM($E138:U138)),0)</f>
        <v/>
      </c>
      <c r="W138" s="90">
        <f>IF(AND($C138&gt;0,W$46&gt;=$C$9+8+$C$26,SUM($E138:V138)&lt;$C138),MIN($C138/$C$27,$C138-SUM($E138:V138)),0)</f>
        <v/>
      </c>
      <c r="X138" s="90">
        <f>IF(AND($C138&gt;0,X$46&gt;=$C$9+8+$C$26,SUM($E138:W138)&lt;$C138),MIN($C138/$C$27,$C138-SUM($E138:W138)),0)</f>
        <v/>
      </c>
      <c r="Y138" s="90">
        <f>IF(AND($C138&gt;0,Y$46&gt;=$C$9+8+$C$26,SUM($E138:X138)&lt;$C138),MIN($C138/$C$27,$C138-SUM($E138:X138)),0)</f>
        <v/>
      </c>
      <c r="Z138" s="90">
        <f>IF(AND($C138&gt;0,Z$46&gt;=$C$9+8+$C$26,SUM($E138:Y138)&lt;$C138),MIN($C138/$C$27,$C138-SUM($E138:Y138)),0)</f>
        <v/>
      </c>
      <c r="AA138" s="90">
        <f>IF(AND($C138&gt;0,AA$46&gt;=$C$9+8+$C$26,SUM($E138:Z138)&lt;$C138),MIN($C138/$C$27,$C138-SUM($E138:Z138)),0)</f>
        <v/>
      </c>
      <c r="AB138" s="90">
        <f>IF(AND($C138&gt;0,AB$46&gt;=$C$9+8+$C$26,SUM($E138:AA138)&lt;$C138),MIN($C138/$C$27,$C138-SUM($E138:AA138)),0)</f>
        <v/>
      </c>
      <c r="AC138" s="90">
        <f>IF(AND($C138&gt;0,AC$46&gt;=$C$9+8+$C$26,SUM($E138:AB138)&lt;$C138),MIN($C138/$C$27,$C138-SUM($E138:AB138)),0)</f>
        <v/>
      </c>
      <c r="AD138" s="90">
        <f>IF(AND($C138&gt;0,AD$46&gt;=$C$9+8+$C$26,SUM($E138:AC138)&lt;$C138),MIN($C138/$C$27,$C138-SUM($E138:AC138)),0)</f>
        <v/>
      </c>
      <c r="AE138" s="90">
        <f>IF(AND($C138&gt;0,AE$46&gt;=$C$9+8+$C$26,SUM($E138:AD138)&lt;$C138),MIN($C138/$C$27,$C138-SUM($E138:AD138)),0)</f>
        <v/>
      </c>
      <c r="AF138" s="90">
        <f>IF(AND($C138&gt;0,AF$46&gt;=$C$9+8+$C$26,SUM($E138:AE138)&lt;$C138),MIN($C138/$C$27,$C138-SUM($E138:AE138)),0)</f>
        <v/>
      </c>
      <c r="AG138" s="90">
        <f>IF(AND($C138&gt;0,AG$46&gt;=$C$9+8+$C$26,SUM($E138:AF138)&lt;$C138),MIN($C138/$C$27,$C138-SUM($E138:AF138)),0)</f>
        <v/>
      </c>
      <c r="AH138" s="90">
        <f>IF(AND($C138&gt;0,AH$46&gt;=$C$9+8+$C$26,SUM($E138:AG138)&lt;$C138),MIN($C138/$C$27,$C138-SUM($E138:AG138)),0)</f>
        <v/>
      </c>
      <c r="AI138" s="90">
        <f>IF(AND($C138&gt;0,AI$46&gt;=$C$9+8+$C$26,SUM($E138:AH138)&lt;$C138),MIN($C138/$C$27,$C138-SUM($E138:AH138)),0)</f>
        <v/>
      </c>
      <c r="AJ138" s="90">
        <f>IF(AND($C138&gt;0,AJ$46&gt;=$C$9+8+$C$26,SUM($E138:AI138)&lt;$C138),MIN($C138/$C$27,$C138-SUM($E138:AI138)),0)</f>
        <v/>
      </c>
      <c r="AK138" s="90">
        <f>IF(AND($C138&gt;0,AK$46&gt;=$C$9+8+$C$26,SUM($E138:AJ138)&lt;$C138),MIN($C138/$C$27,$C138-SUM($E138:AJ138)),0)</f>
        <v/>
      </c>
      <c r="AL138" s="90">
        <f>IF(AND($C138&gt;0,AL$46&gt;=$C$9+8+$C$26,SUM($E138:AK138)&lt;$C138),MIN($C138/$C$27,$C138-SUM($E138:AK138)),0)</f>
        <v/>
      </c>
      <c r="AM138" s="90">
        <f>IF(AND($C138&gt;0,AM$46&gt;=$C$9+8+$C$26,SUM($E138:AL138)&lt;$C138),MIN($C138/$C$27,$C138-SUM($E138:AL138)),0)</f>
        <v/>
      </c>
      <c r="AN138" s="90">
        <f>IF(AND($C138&gt;0,AN$46&gt;=$C$9+8+$C$26,SUM($E138:AM138)&lt;$C138),MIN($C138/$C$27,$C138-SUM($E138:AM138)),0)</f>
        <v/>
      </c>
      <c r="AO138" s="90">
        <f>IF(AND($C138&gt;0,AO$46&gt;=$C$9+8+$C$26,SUM($E138:AN138)&lt;$C138),MIN($C138/$C$27,$C138-SUM($E138:AN138)),0)</f>
        <v/>
      </c>
      <c r="AP138" s="90">
        <f>IF(AND($C138&gt;0,AP$46&gt;=$C$9+8+$C$26,SUM($E138:AO138)&lt;$C138),MIN($C138/$C$27,$C138-SUM($E138:AO138)),0)</f>
        <v/>
      </c>
      <c r="AQ138" s="90">
        <f>IF(AND($C138&gt;0,AQ$46&gt;=$C$9+8+$C$26,SUM($E138:AP138)&lt;$C138),MIN($C138/$C$27,$C138-SUM($E138:AP138)),0)</f>
        <v/>
      </c>
      <c r="AR138" s="90">
        <f>IF(AND($C138&gt;0,AR$46&gt;=$C$9+8+$C$26,SUM($E138:AQ138)&lt;$C138),MIN($C138/$C$27,$C138-SUM($E138:AQ138)),0)</f>
        <v/>
      </c>
      <c r="AS138" s="90">
        <f>IF(AND($C138&gt;0,AS$46&gt;=$C$9+8+$C$26,SUM($E138:AR138)&lt;$C138),MIN($C138/$C$27,$C138-SUM($E138:AR138)),0)</f>
        <v/>
      </c>
      <c r="AT138" s="90">
        <f>IF(AND($C138&gt;0,AT$46&gt;=$C$9+8+$C$26,SUM($E138:AS138)&lt;$C138),MIN($C138/$C$27,$C138-SUM($E138:AS138)),0)</f>
        <v/>
      </c>
      <c r="AU138" s="90">
        <f>IF(AND($C138&gt;0,AU$46&gt;=$C$9+8+$C$26,SUM($E138:AT138)&lt;$C138),MIN($C138/$C$27,$C138-SUM($E138:AT138)),0)</f>
        <v/>
      </c>
      <c r="AV138" s="90">
        <f>IF(AND($C138&gt;0,AV$46&gt;=$C$9+8+$C$26,SUM($E138:AU138)&lt;$C138),MIN($C138/$C$27,$C138-SUM($E138:AU138)),0)</f>
        <v/>
      </c>
      <c r="AW138" s="90">
        <f>IF(AND($C138&gt;0,AW$46&gt;=$C$9+8+$C$26,SUM($E138:AV138)&lt;$C138),MIN($C138/$C$27,$C138-SUM($E138:AV138)),0)</f>
        <v/>
      </c>
      <c r="AX138" s="90">
        <f>IF(AND($C138&gt;0,AX$46&gt;=$C$9+8+$C$26,SUM($E138:AW138)&lt;$C138),MIN($C138/$C$27,$C138-SUM($E138:AW138)),0)</f>
        <v/>
      </c>
      <c r="AY138" s="90">
        <f>IF(AND($C138&gt;0,AY$46&gt;=$C$9+8+$C$26,SUM($E138:AX138)&lt;$C138),MIN($C138/$C$27,$C138-SUM($E138:AX138)),0)</f>
        <v/>
      </c>
      <c r="AZ138" s="90">
        <f>IF(AND($C138&gt;0,AZ$46&gt;=$C$9+8+$C$26,SUM($E138:AY138)&lt;$C138),MIN($C138/$C$27,$C138-SUM($E138:AY138)),0)</f>
        <v/>
      </c>
      <c r="BA138" s="90">
        <f>IF(AND($C138&gt;0,BA$46&gt;=$C$9+8+$C$26,SUM($E138:AZ138)&lt;$C138),MIN($C138/$C$27,$C138-SUM($E138:AZ138)),0)</f>
        <v/>
      </c>
      <c r="BB138" s="90">
        <f>IF(AND($C138&gt;0,BB$46&gt;=$C$9+8+$C$26,SUM($E138:BA138)&lt;$C138),MIN($C138/$C$27,$C138-SUM($E138:BA138)),0)</f>
        <v/>
      </c>
    </row>
    <row r="139" ht="15" customHeight="1" s="91">
      <c r="B139" s="90" t="inlineStr">
        <is>
          <t>Tranche 10</t>
        </is>
      </c>
      <c r="C139" s="170">
        <f>IF(ABS($D$49)&gt;0,SUMPRODUCT(($E$46:$BB$46=$C$9+9)*IF($E49:$BB49&lt;0,ABS($E49:$BB49),0))*$C$19/ABS($D$49),0)</f>
        <v/>
      </c>
      <c r="D139" s="90">
        <f>SUM(E139:BB139)</f>
        <v/>
      </c>
      <c r="E139" s="90">
        <f>IF(AND($C139&gt;0,E$46&gt;=$C$9+9+$C$26,0&lt;$C139),MIN($C139/$C$27,$C139-0),0)</f>
        <v/>
      </c>
      <c r="F139" s="90">
        <f>IF(AND($C139&gt;0,F$46&gt;=$C$9+9+$C$26,SUM($E139:E139)&lt;$C139),MIN($C139/$C$27,$C139-SUM($E139:E139)),0)</f>
        <v/>
      </c>
      <c r="G139" s="90">
        <f>IF(AND($C139&gt;0,G$46&gt;=$C$9+9+$C$26,SUM($E139:F139)&lt;$C139),MIN($C139/$C$27,$C139-SUM($E139:F139)),0)</f>
        <v/>
      </c>
      <c r="H139" s="90">
        <f>IF(AND($C139&gt;0,H$46&gt;=$C$9+9+$C$26,SUM($E139:G139)&lt;$C139),MIN($C139/$C$27,$C139-SUM($E139:G139)),0)</f>
        <v/>
      </c>
      <c r="I139" s="90">
        <f>IF(AND($C139&gt;0,I$46&gt;=$C$9+9+$C$26,SUM($E139:H139)&lt;$C139),MIN($C139/$C$27,$C139-SUM($E139:H139)),0)</f>
        <v/>
      </c>
      <c r="J139" s="90">
        <f>IF(AND($C139&gt;0,J$46&gt;=$C$9+9+$C$26,SUM($E139:I139)&lt;$C139),MIN($C139/$C$27,$C139-SUM($E139:I139)),0)</f>
        <v/>
      </c>
      <c r="K139" s="90">
        <f>IF(AND($C139&gt;0,K$46&gt;=$C$9+9+$C$26,SUM($E139:J139)&lt;$C139),MIN($C139/$C$27,$C139-SUM($E139:J139)),0)</f>
        <v/>
      </c>
      <c r="L139" s="90">
        <f>IF(AND($C139&gt;0,L$46&gt;=$C$9+9+$C$26,SUM($E139:K139)&lt;$C139),MIN($C139/$C$27,$C139-SUM($E139:K139)),0)</f>
        <v/>
      </c>
      <c r="M139" s="90">
        <f>IF(AND($C139&gt;0,M$46&gt;=$C$9+9+$C$26,SUM($E139:L139)&lt;$C139),MIN($C139/$C$27,$C139-SUM($E139:L139)),0)</f>
        <v/>
      </c>
      <c r="N139" s="90">
        <f>IF(AND($C139&gt;0,N$46&gt;=$C$9+9+$C$26,SUM($E139:M139)&lt;$C139),MIN($C139/$C$27,$C139-SUM($E139:M139)),0)</f>
        <v/>
      </c>
      <c r="O139" s="90">
        <f>IF(AND($C139&gt;0,O$46&gt;=$C$9+9+$C$26,SUM($E139:N139)&lt;$C139),MIN($C139/$C$27,$C139-SUM($E139:N139)),0)</f>
        <v/>
      </c>
      <c r="P139" s="90">
        <f>IF(AND($C139&gt;0,P$46&gt;=$C$9+9+$C$26,SUM($E139:O139)&lt;$C139),MIN($C139/$C$27,$C139-SUM($E139:O139)),0)</f>
        <v/>
      </c>
      <c r="Q139" s="90">
        <f>IF(AND($C139&gt;0,Q$46&gt;=$C$9+9+$C$26,SUM($E139:P139)&lt;$C139),MIN($C139/$C$27,$C139-SUM($E139:P139)),0)</f>
        <v/>
      </c>
      <c r="R139" s="90">
        <f>IF(AND($C139&gt;0,R$46&gt;=$C$9+9+$C$26,SUM($E139:Q139)&lt;$C139),MIN($C139/$C$27,$C139-SUM($E139:Q139)),0)</f>
        <v/>
      </c>
      <c r="S139" s="90">
        <f>IF(AND($C139&gt;0,S$46&gt;=$C$9+9+$C$26,SUM($E139:R139)&lt;$C139),MIN($C139/$C$27,$C139-SUM($E139:R139)),0)</f>
        <v/>
      </c>
      <c r="T139" s="90">
        <f>IF(AND($C139&gt;0,T$46&gt;=$C$9+9+$C$26,SUM($E139:S139)&lt;$C139),MIN($C139/$C$27,$C139-SUM($E139:S139)),0)</f>
        <v/>
      </c>
      <c r="U139" s="90">
        <f>IF(AND($C139&gt;0,U$46&gt;=$C$9+9+$C$26,SUM($E139:T139)&lt;$C139),MIN($C139/$C$27,$C139-SUM($E139:T139)),0)</f>
        <v/>
      </c>
      <c r="V139" s="90">
        <f>IF(AND($C139&gt;0,V$46&gt;=$C$9+9+$C$26,SUM($E139:U139)&lt;$C139),MIN($C139/$C$27,$C139-SUM($E139:U139)),0)</f>
        <v/>
      </c>
      <c r="W139" s="90">
        <f>IF(AND($C139&gt;0,W$46&gt;=$C$9+9+$C$26,SUM($E139:V139)&lt;$C139),MIN($C139/$C$27,$C139-SUM($E139:V139)),0)</f>
        <v/>
      </c>
      <c r="X139" s="90">
        <f>IF(AND($C139&gt;0,X$46&gt;=$C$9+9+$C$26,SUM($E139:W139)&lt;$C139),MIN($C139/$C$27,$C139-SUM($E139:W139)),0)</f>
        <v/>
      </c>
      <c r="Y139" s="90">
        <f>IF(AND($C139&gt;0,Y$46&gt;=$C$9+9+$C$26,SUM($E139:X139)&lt;$C139),MIN($C139/$C$27,$C139-SUM($E139:X139)),0)</f>
        <v/>
      </c>
      <c r="Z139" s="90">
        <f>IF(AND($C139&gt;0,Z$46&gt;=$C$9+9+$C$26,SUM($E139:Y139)&lt;$C139),MIN($C139/$C$27,$C139-SUM($E139:Y139)),0)</f>
        <v/>
      </c>
      <c r="AA139" s="90">
        <f>IF(AND($C139&gt;0,AA$46&gt;=$C$9+9+$C$26,SUM($E139:Z139)&lt;$C139),MIN($C139/$C$27,$C139-SUM($E139:Z139)),0)</f>
        <v/>
      </c>
      <c r="AB139" s="90">
        <f>IF(AND($C139&gt;0,AB$46&gt;=$C$9+9+$C$26,SUM($E139:AA139)&lt;$C139),MIN($C139/$C$27,$C139-SUM($E139:AA139)),0)</f>
        <v/>
      </c>
      <c r="AC139" s="90">
        <f>IF(AND($C139&gt;0,AC$46&gt;=$C$9+9+$C$26,SUM($E139:AB139)&lt;$C139),MIN($C139/$C$27,$C139-SUM($E139:AB139)),0)</f>
        <v/>
      </c>
      <c r="AD139" s="90">
        <f>IF(AND($C139&gt;0,AD$46&gt;=$C$9+9+$C$26,SUM($E139:AC139)&lt;$C139),MIN($C139/$C$27,$C139-SUM($E139:AC139)),0)</f>
        <v/>
      </c>
      <c r="AE139" s="90">
        <f>IF(AND($C139&gt;0,AE$46&gt;=$C$9+9+$C$26,SUM($E139:AD139)&lt;$C139),MIN($C139/$C$27,$C139-SUM($E139:AD139)),0)</f>
        <v/>
      </c>
      <c r="AF139" s="90">
        <f>IF(AND($C139&gt;0,AF$46&gt;=$C$9+9+$C$26,SUM($E139:AE139)&lt;$C139),MIN($C139/$C$27,$C139-SUM($E139:AE139)),0)</f>
        <v/>
      </c>
      <c r="AG139" s="90">
        <f>IF(AND($C139&gt;0,AG$46&gt;=$C$9+9+$C$26,SUM($E139:AF139)&lt;$C139),MIN($C139/$C$27,$C139-SUM($E139:AF139)),0)</f>
        <v/>
      </c>
      <c r="AH139" s="90">
        <f>IF(AND($C139&gt;0,AH$46&gt;=$C$9+9+$C$26,SUM($E139:AG139)&lt;$C139),MIN($C139/$C$27,$C139-SUM($E139:AG139)),0)</f>
        <v/>
      </c>
      <c r="AI139" s="90">
        <f>IF(AND($C139&gt;0,AI$46&gt;=$C$9+9+$C$26,SUM($E139:AH139)&lt;$C139),MIN($C139/$C$27,$C139-SUM($E139:AH139)),0)</f>
        <v/>
      </c>
      <c r="AJ139" s="90">
        <f>IF(AND($C139&gt;0,AJ$46&gt;=$C$9+9+$C$26,SUM($E139:AI139)&lt;$C139),MIN($C139/$C$27,$C139-SUM($E139:AI139)),0)</f>
        <v/>
      </c>
      <c r="AK139" s="90">
        <f>IF(AND($C139&gt;0,AK$46&gt;=$C$9+9+$C$26,SUM($E139:AJ139)&lt;$C139),MIN($C139/$C$27,$C139-SUM($E139:AJ139)),0)</f>
        <v/>
      </c>
      <c r="AL139" s="90">
        <f>IF(AND($C139&gt;0,AL$46&gt;=$C$9+9+$C$26,SUM($E139:AK139)&lt;$C139),MIN($C139/$C$27,$C139-SUM($E139:AK139)),0)</f>
        <v/>
      </c>
      <c r="AM139" s="90">
        <f>IF(AND($C139&gt;0,AM$46&gt;=$C$9+9+$C$26,SUM($E139:AL139)&lt;$C139),MIN($C139/$C$27,$C139-SUM($E139:AL139)),0)</f>
        <v/>
      </c>
      <c r="AN139" s="90">
        <f>IF(AND($C139&gt;0,AN$46&gt;=$C$9+9+$C$26,SUM($E139:AM139)&lt;$C139),MIN($C139/$C$27,$C139-SUM($E139:AM139)),0)</f>
        <v/>
      </c>
      <c r="AO139" s="90">
        <f>IF(AND($C139&gt;0,AO$46&gt;=$C$9+9+$C$26,SUM($E139:AN139)&lt;$C139),MIN($C139/$C$27,$C139-SUM($E139:AN139)),0)</f>
        <v/>
      </c>
      <c r="AP139" s="90">
        <f>IF(AND($C139&gt;0,AP$46&gt;=$C$9+9+$C$26,SUM($E139:AO139)&lt;$C139),MIN($C139/$C$27,$C139-SUM($E139:AO139)),0)</f>
        <v/>
      </c>
      <c r="AQ139" s="90">
        <f>IF(AND($C139&gt;0,AQ$46&gt;=$C$9+9+$C$26,SUM($E139:AP139)&lt;$C139),MIN($C139/$C$27,$C139-SUM($E139:AP139)),0)</f>
        <v/>
      </c>
      <c r="AR139" s="90">
        <f>IF(AND($C139&gt;0,AR$46&gt;=$C$9+9+$C$26,SUM($E139:AQ139)&lt;$C139),MIN($C139/$C$27,$C139-SUM($E139:AQ139)),0)</f>
        <v/>
      </c>
      <c r="AS139" s="90">
        <f>IF(AND($C139&gt;0,AS$46&gt;=$C$9+9+$C$26,SUM($E139:AR139)&lt;$C139),MIN($C139/$C$27,$C139-SUM($E139:AR139)),0)</f>
        <v/>
      </c>
      <c r="AT139" s="90">
        <f>IF(AND($C139&gt;0,AT$46&gt;=$C$9+9+$C$26,SUM($E139:AS139)&lt;$C139),MIN($C139/$C$27,$C139-SUM($E139:AS139)),0)</f>
        <v/>
      </c>
      <c r="AU139" s="90">
        <f>IF(AND($C139&gt;0,AU$46&gt;=$C$9+9+$C$26,SUM($E139:AT139)&lt;$C139),MIN($C139/$C$27,$C139-SUM($E139:AT139)),0)</f>
        <v/>
      </c>
      <c r="AV139" s="90">
        <f>IF(AND($C139&gt;0,AV$46&gt;=$C$9+9+$C$26,SUM($E139:AU139)&lt;$C139),MIN($C139/$C$27,$C139-SUM($E139:AU139)),0)</f>
        <v/>
      </c>
      <c r="AW139" s="90">
        <f>IF(AND($C139&gt;0,AW$46&gt;=$C$9+9+$C$26,SUM($E139:AV139)&lt;$C139),MIN($C139/$C$27,$C139-SUM($E139:AV139)),0)</f>
        <v/>
      </c>
      <c r="AX139" s="90">
        <f>IF(AND($C139&gt;0,AX$46&gt;=$C$9+9+$C$26,SUM($E139:AW139)&lt;$C139),MIN($C139/$C$27,$C139-SUM($E139:AW139)),0)</f>
        <v/>
      </c>
      <c r="AY139" s="90">
        <f>IF(AND($C139&gt;0,AY$46&gt;=$C$9+9+$C$26,SUM($E139:AX139)&lt;$C139),MIN($C139/$C$27,$C139-SUM($E139:AX139)),0)</f>
        <v/>
      </c>
      <c r="AZ139" s="90">
        <f>IF(AND($C139&gt;0,AZ$46&gt;=$C$9+9+$C$26,SUM($E139:AY139)&lt;$C139),MIN($C139/$C$27,$C139-SUM($E139:AY139)),0)</f>
        <v/>
      </c>
      <c r="BA139" s="90">
        <f>IF(AND($C139&gt;0,BA$46&gt;=$C$9+9+$C$26,SUM($E139:AZ139)&lt;$C139),MIN($C139/$C$27,$C139-SUM($E139:AZ139)),0)</f>
        <v/>
      </c>
      <c r="BB139" s="90">
        <f>IF(AND($C139&gt;0,BB$46&gt;=$C$9+9+$C$26,SUM($E139:BA139)&lt;$C139),MIN($C139/$C$27,$C139-SUM($E139:BA139)),0)</f>
        <v/>
      </c>
    </row>
    <row r="140" ht="15" customHeight="1" s="91">
      <c r="A140" s="152" t="inlineStr">
        <is>
          <t>IMPORT  البيانات المستوردة (يمكن طيها ▼)</t>
        </is>
      </c>
      <c r="B140" s="171" t="inlineStr">
        <is>
          <t>Total Tranche Repayment</t>
        </is>
      </c>
      <c r="C140" s="152" t="n"/>
      <c r="D140" s="152">
        <f>SUM(E140:BB140)</f>
        <v/>
      </c>
      <c r="E140" s="90">
        <f>SUM(E130:E139)</f>
        <v/>
      </c>
      <c r="F140" s="90">
        <f>SUM(F130:F139)</f>
        <v/>
      </c>
      <c r="G140" s="90">
        <f>SUM(G130:G139)</f>
        <v/>
      </c>
      <c r="H140" s="90">
        <f>SUM(H130:H139)</f>
        <v/>
      </c>
      <c r="I140" s="90">
        <f>SUM(I130:I139)</f>
        <v/>
      </c>
      <c r="J140" s="90">
        <f>SUM(J130:J139)</f>
        <v/>
      </c>
      <c r="K140" s="90">
        <f>SUM(K130:K139)</f>
        <v/>
      </c>
      <c r="L140" s="90">
        <f>SUM(L130:L139)</f>
        <v/>
      </c>
      <c r="M140" s="90">
        <f>SUM(M130:M139)</f>
        <v/>
      </c>
      <c r="N140" s="90">
        <f>SUM(N130:N139)</f>
        <v/>
      </c>
      <c r="O140" s="90">
        <f>SUM(O130:O139)</f>
        <v/>
      </c>
      <c r="P140" s="90">
        <f>SUM(P130:P139)</f>
        <v/>
      </c>
      <c r="Q140" s="90">
        <f>SUM(Q130:Q139)</f>
        <v/>
      </c>
      <c r="R140" s="90">
        <f>SUM(R130:R139)</f>
        <v/>
      </c>
      <c r="S140" s="90">
        <f>SUM(S130:S139)</f>
        <v/>
      </c>
      <c r="T140" s="90">
        <f>SUM(T130:T139)</f>
        <v/>
      </c>
      <c r="U140" s="90">
        <f>SUM(U130:U139)</f>
        <v/>
      </c>
      <c r="V140" s="90">
        <f>SUM(V130:V139)</f>
        <v/>
      </c>
      <c r="W140" s="90">
        <f>SUM(W130:W139)</f>
        <v/>
      </c>
      <c r="X140" s="90">
        <f>SUM(X130:X139)</f>
        <v/>
      </c>
      <c r="Y140" s="90">
        <f>SUM(Y130:Y139)</f>
        <v/>
      </c>
      <c r="Z140" s="90">
        <f>SUM(Z130:Z139)</f>
        <v/>
      </c>
      <c r="AA140" s="90">
        <f>SUM(AA130:AA139)</f>
        <v/>
      </c>
      <c r="AB140" s="90">
        <f>SUM(AB130:AB139)</f>
        <v/>
      </c>
      <c r="AC140" s="90">
        <f>SUM(AC130:AC139)</f>
        <v/>
      </c>
      <c r="AD140" s="90">
        <f>SUM(AD130:AD139)</f>
        <v/>
      </c>
      <c r="AE140" s="90">
        <f>SUM(AE130:AE139)</f>
        <v/>
      </c>
      <c r="AF140" s="90">
        <f>SUM(AF130:AF139)</f>
        <v/>
      </c>
      <c r="AG140" s="90">
        <f>SUM(AG130:AG139)</f>
        <v/>
      </c>
      <c r="AH140" s="90">
        <f>SUM(AH130:AH139)</f>
        <v/>
      </c>
      <c r="AI140" s="90">
        <f>SUM(AI130:AI139)</f>
        <v/>
      </c>
      <c r="AJ140" s="90">
        <f>SUM(AJ130:AJ139)</f>
        <v/>
      </c>
      <c r="AK140" s="90">
        <f>SUM(AK130:AK139)</f>
        <v/>
      </c>
      <c r="AL140" s="90">
        <f>SUM(AL130:AL139)</f>
        <v/>
      </c>
      <c r="AM140" s="90">
        <f>SUM(AM130:AM139)</f>
        <v/>
      </c>
      <c r="AN140" s="90">
        <f>SUM(AN130:AN139)</f>
        <v/>
      </c>
      <c r="AO140" s="90">
        <f>SUM(AO130:AO139)</f>
        <v/>
      </c>
      <c r="AP140" s="90">
        <f>SUM(AP130:AP139)</f>
        <v/>
      </c>
      <c r="AQ140" s="90">
        <f>SUM(AQ130:AQ139)</f>
        <v/>
      </c>
      <c r="AR140" s="90">
        <f>SUM(AR130:AR139)</f>
        <v/>
      </c>
      <c r="AS140" s="90">
        <f>SUM(AS130:AS139)</f>
        <v/>
      </c>
      <c r="AT140" s="90">
        <f>SUM(AT130:AT139)</f>
        <v/>
      </c>
      <c r="AU140" s="90">
        <f>SUM(AU130:AU139)</f>
        <v/>
      </c>
      <c r="AV140" s="90">
        <f>SUM(AV130:AV139)</f>
        <v/>
      </c>
      <c r="AW140" s="90">
        <f>SUM(AW130:AW139)</f>
        <v/>
      </c>
      <c r="AX140" s="90">
        <f>SUM(AX130:AX139)</f>
        <v/>
      </c>
      <c r="AY140" s="90">
        <f>SUM(AY130:AY139)</f>
        <v/>
      </c>
      <c r="AZ140" s="90">
        <f>SUM(AZ130:AZ139)</f>
        <v/>
      </c>
      <c r="BA140" s="90">
        <f>SUM(BA130:BA139)</f>
        <v/>
      </c>
      <c r="BB140" s="90">
        <f>SUM(BB130:BB139)</f>
        <v/>
      </c>
    </row>
    <row r="141" hidden="1" outlineLevel="1" ht="15" customHeight="1" s="91">
      <c r="B141" s="153" t="inlineStr">
        <is>
          <t>DevCost (excl Land)</t>
        </is>
      </c>
      <c r="C141" s="155">
        <f>C17</f>
        <v/>
      </c>
    </row>
    <row r="142" hidden="1" outlineLevel="1" ht="15" customHeight="1" s="91">
      <c r="B142" s="153" t="inlineStr">
        <is>
          <t>Land Capitalization</t>
        </is>
      </c>
      <c r="C142" s="155">
        <f>C12</f>
        <v/>
      </c>
    </row>
    <row r="143" hidden="1" outlineLevel="1" ht="15" customHeight="1" s="91">
      <c r="B143" s="153" t="inlineStr">
        <is>
          <t>Max Debt</t>
        </is>
      </c>
      <c r="C143" s="155">
        <f>C19</f>
        <v/>
      </c>
    </row>
    <row r="144" hidden="1" outlineLevel="1" ht="15" customHeight="1" s="91">
      <c r="B144" s="153" t="inlineStr">
        <is>
          <t>Total Equity</t>
        </is>
      </c>
      <c r="C144" s="155">
        <f>C14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1">
    <dataValidation sqref="C22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B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42" customWidth="1" style="90" min="2" max="2"/>
    <col width="14" customWidth="1" style="90" min="3" max="3"/>
    <col width="18" customWidth="1" style="90" min="4" max="4"/>
    <col width="14" customWidth="1" style="90" min="5" max="54"/>
  </cols>
  <sheetData>
    <row r="1" ht="15" customHeight="1" s="91">
      <c r="A1" s="152" t="inlineStr">
        <is>
          <t>FUND MODEL - ZAN 3  نموذج الصندوق - ZAN 3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</row>
    <row r="3" ht="15" customHeight="1" s="91">
      <c r="A3" s="152" t="inlineStr">
        <is>
          <t>1  FUND INFORMATION  معلومات الصندوق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2" t="n"/>
      <c r="AS3" s="152" t="n"/>
      <c r="AT3" s="152" t="n"/>
      <c r="AU3" s="152" t="n"/>
      <c r="AV3" s="152" t="n"/>
      <c r="AW3" s="152" t="n"/>
      <c r="AX3" s="152" t="n"/>
      <c r="AY3" s="152" t="n"/>
      <c r="AZ3" s="152" t="n"/>
      <c r="BA3" s="152" t="n"/>
      <c r="BB3" s="152" t="n"/>
    </row>
    <row r="4" ht="15" customHeight="1" s="91">
      <c r="B4" s="153" t="inlineStr">
        <is>
          <t>Fund Name</t>
        </is>
      </c>
      <c r="C4" s="114" t="inlineStr">
        <is>
          <t>ZAN Infrastructure Fund</t>
        </is>
      </c>
      <c r="D4" s="120" t="inlineStr">
        <is>
          <t>اسم الصندوق</t>
        </is>
      </c>
    </row>
    <row r="5" ht="15" customHeight="1" s="91">
      <c r="B5" s="153" t="inlineStr">
        <is>
          <t>ZAN Section</t>
        </is>
      </c>
      <c r="C5" s="153" t="inlineStr">
        <is>
          <t>ZAN 3</t>
        </is>
      </c>
      <c r="D5" s="120" t="inlineStr">
        <is>
          <t>القسم</t>
        </is>
      </c>
    </row>
    <row r="6" ht="15" customHeight="1" s="91">
      <c r="B6" s="153" t="inlineStr">
        <is>
          <t>Vehicle Type</t>
        </is>
      </c>
      <c r="C6" s="114" t="inlineStr">
        <is>
          <t>Fund</t>
        </is>
      </c>
      <c r="D6" s="120" t="inlineStr">
        <is>
          <t>نوع الأداة</t>
        </is>
      </c>
    </row>
    <row r="7" ht="15" customHeight="1" s="91">
      <c r="B7" s="153" t="inlineStr">
        <is>
          <t>Strategy</t>
        </is>
      </c>
      <c r="C7" s="114" t="inlineStr">
        <is>
          <t>Develop &amp; Hold</t>
        </is>
      </c>
      <c r="D7" s="120" t="inlineStr">
        <is>
          <t>الاستراتيجية</t>
        </is>
      </c>
    </row>
    <row r="8" ht="15" customHeight="1" s="91">
      <c r="B8" s="153" t="inlineStr">
        <is>
          <t>Currency</t>
        </is>
      </c>
      <c r="C8" s="112">
        <f>Inputs!C9</f>
        <v/>
      </c>
      <c r="D8" s="120" t="inlineStr">
        <is>
          <t>العملة</t>
        </is>
      </c>
    </row>
    <row r="9" ht="15" customHeight="1" s="91">
      <c r="B9" s="153" t="inlineStr">
        <is>
          <t>Fund Start Year  سنة بداية الصندوق</t>
        </is>
      </c>
      <c r="C9" s="159">
        <f>Inputs!C7+Inputs!C47-1</f>
        <v/>
      </c>
      <c r="D9" s="120" t="inlineStr">
        <is>
          <t>سنة بداية الصندوق</t>
        </is>
      </c>
    </row>
    <row r="11" ht="15" customHeight="1" s="91">
      <c r="A11" s="152" t="inlineStr">
        <is>
          <t>2  CAPITAL STRUCTURE  هيكل رأس المال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</row>
    <row r="12" ht="15" customHeight="1" s="91">
      <c r="B12" s="153" t="inlineStr">
        <is>
          <t>GP Equity (Sponsor/Land)</t>
        </is>
      </c>
      <c r="C12" s="155">
        <f>Inputs!E69</f>
        <v/>
      </c>
      <c r="D12" s="120" t="inlineStr">
        <is>
          <t>حصة المطور (الأرض)</t>
        </is>
      </c>
    </row>
    <row r="13" ht="15" customHeight="1" s="91">
      <c r="B13" s="153" t="inlineStr">
        <is>
          <t>LP Equity (Investors)</t>
        </is>
      </c>
      <c r="C13" s="160">
        <f>C14-C12</f>
        <v/>
      </c>
      <c r="D13" s="120" t="inlineStr">
        <is>
          <t>حصة المستثمرين</t>
        </is>
      </c>
    </row>
    <row r="14" ht="15" customHeight="1" s="91">
      <c r="B14" s="153" t="inlineStr">
        <is>
          <t>Total Equity</t>
        </is>
      </c>
      <c r="C14" s="157">
        <f>C18-C19</f>
        <v/>
      </c>
      <c r="D14" s="120" t="inlineStr">
        <is>
          <t>إجمالي حقوق الملكية</t>
        </is>
      </c>
    </row>
    <row r="15" ht="15" customHeight="1" s="91">
      <c r="B15" s="153" t="inlineStr">
        <is>
          <t>Sponsor %</t>
        </is>
      </c>
      <c r="C15" s="161">
        <f>IF(C14=0,0,C12/C14)</f>
        <v/>
      </c>
    </row>
    <row r="16" ht="15" customHeight="1" s="91">
      <c r="B16" s="153" t="inlineStr">
        <is>
          <t>LP %</t>
        </is>
      </c>
      <c r="C16" s="161">
        <f>IF(C14=0,0,C13/C14)</f>
        <v/>
      </c>
    </row>
    <row r="17" ht="15" customHeight="1" s="91">
      <c r="B17" s="153" t="inlineStr">
        <is>
          <t>Development Cost (excl. Land)</t>
        </is>
      </c>
      <c r="C17" s="155">
        <f>CAPEX!D38</f>
        <v/>
      </c>
    </row>
    <row r="18" ht="15" customHeight="1" s="91">
      <c r="B18" s="153" t="inlineStr">
        <is>
          <t>Development Cost (incl. Land)</t>
        </is>
      </c>
      <c r="C18" s="157">
        <f>C17+C12</f>
        <v/>
      </c>
      <c r="D18" s="120" t="inlineStr">
        <is>
          <t>تكاليف التطوير شاملة الأرض</t>
        </is>
      </c>
    </row>
    <row r="19" ht="15" customHeight="1" s="91">
      <c r="B19" s="153" t="inlineStr">
        <is>
          <t>Max Debt</t>
        </is>
      </c>
      <c r="C19" s="155">
        <f>IF($C$22="Y",C18*Inputs!$C$85,0)</f>
        <v/>
      </c>
      <c r="D19" s="120" t="inlineStr">
        <is>
          <t>الحد الأقصى للدين</t>
        </is>
      </c>
    </row>
    <row r="21" ht="15" customHeight="1" s="91">
      <c r="A21" s="152" t="inlineStr">
        <is>
          <t>3  DEBT  الدين</t>
        </is>
      </c>
      <c r="B21" s="152" t="n"/>
      <c r="C21" s="152" t="n"/>
      <c r="D21" s="152" t="n"/>
      <c r="E21" s="152" t="n"/>
      <c r="F21" s="152" t="n"/>
      <c r="G21" s="152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  <c r="AK21" s="152" t="n"/>
      <c r="AL21" s="152" t="n"/>
      <c r="AM21" s="152" t="n"/>
      <c r="AN21" s="152" t="n"/>
      <c r="AO21" s="152" t="n"/>
      <c r="AP21" s="152" t="n"/>
      <c r="AQ21" s="152" t="n"/>
      <c r="AR21" s="152" t="n"/>
      <c r="AS21" s="152" t="n"/>
      <c r="AT21" s="152" t="n"/>
      <c r="AU21" s="152" t="n"/>
      <c r="AV21" s="152" t="n"/>
      <c r="AW21" s="152" t="n"/>
      <c r="AX21" s="152" t="n"/>
      <c r="AY21" s="152" t="n"/>
      <c r="AZ21" s="152" t="n"/>
      <c r="BA21" s="152" t="n"/>
      <c r="BB21" s="152" t="n"/>
    </row>
    <row r="22" ht="15" customHeight="1" s="91">
      <c r="B22" s="153" t="inlineStr">
        <is>
          <t>Debt Allowed (Y/N)</t>
        </is>
      </c>
      <c r="C22" s="114" t="inlineStr">
        <is>
          <t>Y</t>
        </is>
      </c>
      <c r="D22" s="120" t="inlineStr">
        <is>
          <t>هل الدين مسموح؟</t>
        </is>
      </c>
    </row>
    <row r="23" ht="15" customHeight="1" s="91">
      <c r="B23" s="153" t="inlineStr">
        <is>
          <t>Annual Financing Rate</t>
        </is>
      </c>
      <c r="C23" s="156">
        <f>Inputs!E$126</f>
        <v/>
      </c>
      <c r="D23" s="120" t="inlineStr">
        <is>
          <t>معدل التمويل السنوي</t>
        </is>
      </c>
    </row>
    <row r="24" ht="15" customHeight="1" s="91">
      <c r="B24" s="153" t="inlineStr">
        <is>
          <t>Total Loan Tenor (incl. Grace)</t>
        </is>
      </c>
      <c r="C24" s="159">
        <f>Inputs!E$127</f>
        <v/>
      </c>
      <c r="D24" s="120" t="inlineStr">
        <is>
          <t>مدة القرض شاملة السماح</t>
        </is>
      </c>
    </row>
    <row r="25" ht="15" customHeight="1" s="91">
      <c r="B25" s="153" t="inlineStr">
        <is>
          <t>Upfront Fee %</t>
        </is>
      </c>
      <c r="C25" s="156">
        <f>Inputs!E$129</f>
        <v/>
      </c>
      <c r="D25" s="120" t="inlineStr">
        <is>
          <t>رسوم إصدار القرض</t>
        </is>
      </c>
    </row>
    <row r="26" ht="15" customHeight="1" s="91">
      <c r="B26" s="153" t="inlineStr">
        <is>
          <t>Grace Period (years)</t>
        </is>
      </c>
      <c r="C26" s="159">
        <f>Inputs!E$128</f>
        <v/>
      </c>
      <c r="D26" s="120" t="inlineStr">
        <is>
          <t>فترة السماح</t>
        </is>
      </c>
    </row>
    <row r="27" ht="15" customHeight="1" s="91">
      <c r="B27" s="90" t="inlineStr">
        <is>
          <t>Repay Years  سنوات السداد</t>
        </is>
      </c>
      <c r="C27" s="90">
        <f>C24-C26</f>
        <v/>
      </c>
    </row>
    <row r="28" ht="15" customHeight="1" s="91">
      <c r="A28" s="152" t="inlineStr">
        <is>
          <t>4  FEES  الرسوم</t>
        </is>
      </c>
      <c r="B28" s="152" t="inlineStr">
        <is>
          <t>Debt Tranche Mode  نمط الشرائح</t>
        </is>
      </c>
      <c r="C28" s="152">
        <f>Inputs!E$144</f>
        <v/>
      </c>
      <c r="D28" s="152" t="n"/>
      <c r="E28" s="152" t="n"/>
      <c r="F28" s="152" t="n"/>
      <c r="G28" s="152" t="n"/>
      <c r="H28" s="152" t="n"/>
      <c r="I28" s="152" t="n"/>
      <c r="J28" s="152" t="n"/>
      <c r="K28" s="152" t="n"/>
      <c r="L28" s="152" t="n"/>
      <c r="M28" s="152" t="n"/>
      <c r="N28" s="152" t="n"/>
      <c r="O28" s="152" t="n"/>
      <c r="P28" s="152" t="n"/>
      <c r="Q28" s="152" t="n"/>
      <c r="R28" s="152" t="n"/>
      <c r="S28" s="152" t="n"/>
      <c r="T28" s="152" t="n"/>
      <c r="U28" s="152" t="n"/>
      <c r="V28" s="152" t="n"/>
      <c r="W28" s="152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  <c r="AK28" s="152" t="n"/>
      <c r="AL28" s="152" t="n"/>
      <c r="AM28" s="152" t="n"/>
      <c r="AN28" s="152" t="n"/>
      <c r="AO28" s="152" t="n"/>
      <c r="AP28" s="152" t="n"/>
      <c r="AQ28" s="152" t="n"/>
      <c r="AR28" s="152" t="n"/>
      <c r="AS28" s="152" t="n"/>
      <c r="AT28" s="152" t="n"/>
      <c r="AU28" s="152" t="n"/>
      <c r="AV28" s="152" t="n"/>
      <c r="AW28" s="152" t="n"/>
      <c r="AX28" s="152" t="n"/>
      <c r="AY28" s="152" t="n"/>
      <c r="AZ28" s="152" t="n"/>
      <c r="BA28" s="152" t="n"/>
      <c r="BB28" s="152" t="n"/>
    </row>
    <row r="29" ht="15" customHeight="1" s="91">
      <c r="B29" s="153" t="inlineStr">
        <is>
          <t>Subscription Fee</t>
        </is>
      </c>
      <c r="C29" s="156">
        <f>Inputs!E$130</f>
        <v/>
      </c>
      <c r="D29" s="120" t="inlineStr">
        <is>
          <t>رسوم الاشتراك</t>
        </is>
      </c>
    </row>
    <row r="30" ht="15" customHeight="1" s="91">
      <c r="B30" s="153" t="inlineStr">
        <is>
          <t>Annual Management Fee</t>
        </is>
      </c>
      <c r="C30" s="156">
        <f>Inputs!E$131</f>
        <v/>
      </c>
      <c r="D30" s="120" t="inlineStr">
        <is>
          <t>رسوم الإدارة السنوية</t>
        </is>
      </c>
    </row>
    <row r="31" ht="15" customHeight="1" s="91">
      <c r="B31" s="153" t="inlineStr">
        <is>
          <t>Annual Custody Fee (Fixed SAR)</t>
        </is>
      </c>
      <c r="C31" s="155">
        <f>Inputs!E$132</f>
        <v/>
      </c>
      <c r="D31" s="120" t="inlineStr">
        <is>
          <t>رسوم الحفظ السنوية</t>
        </is>
      </c>
    </row>
    <row r="32" ht="15" customHeight="1" s="91">
      <c r="B32" s="153" t="inlineStr">
        <is>
          <t>Developer Fee % (of CAPEX)</t>
        </is>
      </c>
      <c r="C32" s="156">
        <f>Inputs!E$133</f>
        <v/>
      </c>
      <c r="D32" s="120" t="inlineStr">
        <is>
          <t>رسوم المطور</t>
        </is>
      </c>
    </row>
    <row r="33" ht="15" customHeight="1" s="91">
      <c r="B33" s="153" t="inlineStr">
        <is>
          <t>Structuring Fee</t>
        </is>
      </c>
      <c r="C33" s="156">
        <f>Inputs!E$134</f>
        <v/>
      </c>
      <c r="D33" s="120" t="inlineStr">
        <is>
          <t>رسوم الهيكلة</t>
        </is>
      </c>
    </row>
    <row r="35" ht="15" customHeight="1" s="91">
      <c r="A35" s="152" t="inlineStr">
        <is>
          <t>5  WATERFALL  شلال التوزيعات</t>
        </is>
      </c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2" t="n"/>
      <c r="S35" s="152" t="n"/>
      <c r="T35" s="152" t="n"/>
      <c r="U35" s="152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  <c r="AP35" s="152" t="n"/>
      <c r="AQ35" s="152" t="n"/>
      <c r="AR35" s="152" t="n"/>
      <c r="AS35" s="152" t="n"/>
      <c r="AT35" s="152" t="n"/>
      <c r="AU35" s="152" t="n"/>
      <c r="AV35" s="152" t="n"/>
      <c r="AW35" s="152" t="n"/>
      <c r="AX35" s="152" t="n"/>
      <c r="AY35" s="152" t="n"/>
      <c r="AZ35" s="152" t="n"/>
      <c r="BA35" s="152" t="n"/>
      <c r="BB35" s="152" t="n"/>
    </row>
    <row r="36" ht="15" customHeight="1" s="91">
      <c r="B36" s="153" t="inlineStr">
        <is>
          <t>Preferred Return %</t>
        </is>
      </c>
      <c r="C36" s="156">
        <f>Inputs!E$135</f>
        <v/>
      </c>
      <c r="D36" s="120" t="inlineStr">
        <is>
          <t>العائد التفضيلي</t>
        </is>
      </c>
    </row>
    <row r="37" ht="15" customHeight="1" s="91">
      <c r="B37" s="153" t="inlineStr">
        <is>
          <t>GP Catch-up? (Y/N)</t>
        </is>
      </c>
      <c r="C37" s="112">
        <f>Inputs!E$136</f>
        <v/>
      </c>
      <c r="D37" s="120" t="inlineStr">
        <is>
          <t>تعويض المطور</t>
        </is>
      </c>
    </row>
    <row r="38" ht="15" customHeight="1" s="91">
      <c r="B38" s="153" t="inlineStr">
        <is>
          <t>Carry %</t>
        </is>
      </c>
      <c r="C38" s="156">
        <f>Inputs!E$137</f>
        <v/>
      </c>
      <c r="D38" s="120" t="inlineStr">
        <is>
          <t>نسبة الأداء</t>
        </is>
      </c>
    </row>
    <row r="40" ht="15" customHeight="1" s="91">
      <c r="A40" s="152" t="inlineStr">
        <is>
          <t>6  EXIT  التخارج</t>
        </is>
      </c>
      <c r="B40" s="152" t="n"/>
      <c r="C40" s="152" t="n"/>
      <c r="D40" s="152" t="n"/>
      <c r="E40" s="152" t="n"/>
      <c r="F40" s="152" t="n"/>
      <c r="G40" s="152" t="n"/>
      <c r="H40" s="152" t="n"/>
      <c r="I40" s="152" t="n"/>
      <c r="J40" s="152" t="n"/>
      <c r="K40" s="152" t="n"/>
      <c r="L40" s="152" t="n"/>
      <c r="M40" s="152" t="n"/>
      <c r="N40" s="152" t="n"/>
      <c r="O40" s="152" t="n"/>
      <c r="P40" s="152" t="n"/>
      <c r="Q40" s="152" t="n"/>
      <c r="R40" s="152" t="n"/>
      <c r="S40" s="152" t="n"/>
      <c r="T40" s="152" t="n"/>
      <c r="U40" s="152" t="n"/>
      <c r="V40" s="152" t="n"/>
      <c r="W40" s="152" t="n"/>
      <c r="X40" s="152" t="n"/>
      <c r="Y40" s="152" t="n"/>
      <c r="Z40" s="152" t="n"/>
      <c r="AA40" s="15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  <c r="AK40" s="152" t="n"/>
      <c r="AL40" s="152" t="n"/>
      <c r="AM40" s="152" t="n"/>
      <c r="AN40" s="152" t="n"/>
      <c r="AO40" s="152" t="n"/>
      <c r="AP40" s="152" t="n"/>
      <c r="AQ40" s="152" t="n"/>
      <c r="AR40" s="152" t="n"/>
      <c r="AS40" s="152" t="n"/>
      <c r="AT40" s="152" t="n"/>
      <c r="AU40" s="152" t="n"/>
      <c r="AV40" s="152" t="n"/>
      <c r="AW40" s="152" t="n"/>
      <c r="AX40" s="152" t="n"/>
      <c r="AY40" s="152" t="n"/>
      <c r="AZ40" s="152" t="n"/>
      <c r="BA40" s="152" t="n"/>
      <c r="BB40" s="152" t="n"/>
    </row>
    <row r="41" ht="15" customHeight="1" s="91">
      <c r="B41" s="153" t="inlineStr">
        <is>
          <t>Exit Year</t>
        </is>
      </c>
      <c r="C41" s="159">
        <f>Inputs!E$138</f>
        <v/>
      </c>
      <c r="D41" s="120" t="inlineStr">
        <is>
          <t>سنة التخارج</t>
        </is>
      </c>
    </row>
    <row r="42" ht="15" customHeight="1" s="91">
      <c r="B42" s="153" t="inlineStr">
        <is>
          <t>Exit Multiple (x rent)</t>
        </is>
      </c>
      <c r="C42" s="162">
        <f>Inputs!E$139</f>
        <v/>
      </c>
      <c r="D42" s="120" t="inlineStr">
        <is>
          <t>مضاعف الإيجار</t>
        </is>
      </c>
    </row>
    <row r="43" ht="15" customHeight="1" s="91">
      <c r="B43" s="153" t="inlineStr">
        <is>
          <t>Exit Cost %</t>
        </is>
      </c>
      <c r="C43" s="156">
        <f>Inputs!E$140</f>
        <v/>
      </c>
      <c r="D43" s="120" t="inlineStr">
        <is>
          <t>تكلفة التخارج</t>
        </is>
      </c>
    </row>
    <row r="44" ht="15" customHeight="1" s="91">
      <c r="B44" s="90" t="inlineStr">
        <is>
          <t>Exit Method</t>
        </is>
      </c>
      <c r="C44" s="90">
        <f>Inputs!$C$107</f>
        <v/>
      </c>
      <c r="D44" s="163" t="inlineStr">
        <is>
          <t>طريقة التخارج</t>
        </is>
      </c>
    </row>
    <row r="45" ht="15" customHeight="1" s="91">
      <c r="A45" s="152" t="inlineStr">
        <is>
          <t>7  PROJECT CASH FLOWS (Unlevered)  تدفقات المشروع</t>
        </is>
      </c>
      <c r="B45" s="152" t="inlineStr">
        <is>
          <t>Exit Cap Rate %</t>
        </is>
      </c>
      <c r="C45" s="164">
        <f>Inputs!E$141</f>
        <v/>
      </c>
      <c r="D45" s="152" t="inlineStr">
        <is>
          <t>معدل الرسملة</t>
        </is>
      </c>
      <c r="E45" s="152" t="n"/>
      <c r="F45" s="152" t="n"/>
      <c r="G45" s="152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2" t="n"/>
      <c r="S45" s="152" t="n"/>
      <c r="T45" s="152" t="n"/>
      <c r="U45" s="152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  <c r="AK45" s="152" t="n"/>
      <c r="AL45" s="152" t="n"/>
      <c r="AM45" s="152" t="n"/>
      <c r="AN45" s="152" t="n"/>
      <c r="AO45" s="152" t="n"/>
      <c r="AP45" s="152" t="n"/>
      <c r="AQ45" s="152" t="n"/>
      <c r="AR45" s="152" t="n"/>
      <c r="AS45" s="152" t="n"/>
      <c r="AT45" s="152" t="n"/>
      <c r="AU45" s="152" t="n"/>
      <c r="AV45" s="152" t="n"/>
      <c r="AW45" s="152" t="n"/>
      <c r="AX45" s="152" t="n"/>
      <c r="AY45" s="152" t="n"/>
      <c r="AZ45" s="152" t="n"/>
      <c r="BA45" s="152" t="n"/>
      <c r="BB45" s="152" t="n"/>
    </row>
    <row r="46" ht="15" customHeight="1" s="91">
      <c r="C46" s="165" t="inlineStr">
        <is>
          <t>Unit</t>
        </is>
      </c>
      <c r="D46" s="165" t="inlineStr">
        <is>
          <t>Total</t>
        </is>
      </c>
      <c r="E46" s="166">
        <f>Inputs!$C$7+0</f>
        <v/>
      </c>
      <c r="F46" s="166">
        <f>Inputs!$C$7+1</f>
        <v/>
      </c>
      <c r="G46" s="166">
        <f>Inputs!$C$7+2</f>
        <v/>
      </c>
      <c r="H46" s="166">
        <f>Inputs!$C$7+3</f>
        <v/>
      </c>
      <c r="I46" s="166">
        <f>Inputs!$C$7+4</f>
        <v/>
      </c>
      <c r="J46" s="166">
        <f>Inputs!$C$7+5</f>
        <v/>
      </c>
      <c r="K46" s="166">
        <f>Inputs!$C$7+6</f>
        <v/>
      </c>
      <c r="L46" s="166">
        <f>Inputs!$C$7+7</f>
        <v/>
      </c>
      <c r="M46" s="166">
        <f>Inputs!$C$7+8</f>
        <v/>
      </c>
      <c r="N46" s="166">
        <f>Inputs!$C$7+9</f>
        <v/>
      </c>
      <c r="O46" s="166">
        <f>Inputs!$C$7+10</f>
        <v/>
      </c>
      <c r="P46" s="166">
        <f>Inputs!$C$7+11</f>
        <v/>
      </c>
      <c r="Q46" s="166">
        <f>Inputs!$C$7+12</f>
        <v/>
      </c>
      <c r="R46" s="166">
        <f>Inputs!$C$7+13</f>
        <v/>
      </c>
      <c r="S46" s="166">
        <f>Inputs!$C$7+14</f>
        <v/>
      </c>
      <c r="T46" s="166">
        <f>Inputs!$C$7+15</f>
        <v/>
      </c>
      <c r="U46" s="166">
        <f>Inputs!$C$7+16</f>
        <v/>
      </c>
      <c r="V46" s="166">
        <f>Inputs!$C$7+17</f>
        <v/>
      </c>
      <c r="W46" s="166">
        <f>Inputs!$C$7+18</f>
        <v/>
      </c>
      <c r="X46" s="166">
        <f>Inputs!$C$7+19</f>
        <v/>
      </c>
      <c r="Y46" s="166">
        <f>Inputs!$C$7+20</f>
        <v/>
      </c>
      <c r="Z46" s="166">
        <f>Inputs!$C$7+21</f>
        <v/>
      </c>
      <c r="AA46" s="166">
        <f>Inputs!$C$7+22</f>
        <v/>
      </c>
      <c r="AB46" s="166">
        <f>Inputs!$C$7+23</f>
        <v/>
      </c>
      <c r="AC46" s="166">
        <f>Inputs!$C$7+24</f>
        <v/>
      </c>
      <c r="AD46" s="166">
        <f>Inputs!$C$7+25</f>
        <v/>
      </c>
      <c r="AE46" s="166">
        <f>Inputs!$C$7+26</f>
        <v/>
      </c>
      <c r="AF46" s="166">
        <f>Inputs!$C$7+27</f>
        <v/>
      </c>
      <c r="AG46" s="166">
        <f>Inputs!$C$7+28</f>
        <v/>
      </c>
      <c r="AH46" s="166">
        <f>Inputs!$C$7+29</f>
        <v/>
      </c>
      <c r="AI46" s="166">
        <f>Inputs!$C$7+30</f>
        <v/>
      </c>
      <c r="AJ46" s="166">
        <f>Inputs!$C$7+31</f>
        <v/>
      </c>
      <c r="AK46" s="166">
        <f>Inputs!$C$7+32</f>
        <v/>
      </c>
      <c r="AL46" s="166">
        <f>Inputs!$C$7+33</f>
        <v/>
      </c>
      <c r="AM46" s="166">
        <f>Inputs!$C$7+34</f>
        <v/>
      </c>
      <c r="AN46" s="166">
        <f>Inputs!$C$7+35</f>
        <v/>
      </c>
      <c r="AO46" s="166">
        <f>Inputs!$C$7+36</f>
        <v/>
      </c>
      <c r="AP46" s="166">
        <f>Inputs!$C$7+37</f>
        <v/>
      </c>
      <c r="AQ46" s="166">
        <f>Inputs!$C$7+38</f>
        <v/>
      </c>
      <c r="AR46" s="166">
        <f>Inputs!$C$7+39</f>
        <v/>
      </c>
      <c r="AS46" s="166">
        <f>Inputs!$C$7+40</f>
        <v/>
      </c>
      <c r="AT46" s="166">
        <f>Inputs!$C$7+41</f>
        <v/>
      </c>
      <c r="AU46" s="166">
        <f>Inputs!$C$7+42</f>
        <v/>
      </c>
      <c r="AV46" s="166">
        <f>Inputs!$C$7+43</f>
        <v/>
      </c>
      <c r="AW46" s="166">
        <f>Inputs!$C$7+44</f>
        <v/>
      </c>
      <c r="AX46" s="166">
        <f>Inputs!$C$7+45</f>
        <v/>
      </c>
      <c r="AY46" s="166">
        <f>Inputs!$C$7+46</f>
        <v/>
      </c>
      <c r="AZ46" s="166">
        <f>Inputs!$C$7+47</f>
        <v/>
      </c>
      <c r="BA46" s="166">
        <f>Inputs!$C$7+48</f>
        <v/>
      </c>
      <c r="BB46" s="166">
        <f>Inputs!$C$7+49</f>
        <v/>
      </c>
    </row>
    <row r="47" ht="15" customHeight="1" s="91">
      <c r="B47" s="153" t="inlineStr">
        <is>
          <t>Rental Income  الإيرادات</t>
        </is>
      </c>
      <c r="C47" s="153" t="inlineStr">
        <is>
          <t>SAR</t>
        </is>
      </c>
      <c r="D47" s="157">
        <f>SUM(E47:BB47)</f>
        <v/>
      </c>
      <c r="E47" s="155">
        <f>CashFlow!D19</f>
        <v/>
      </c>
      <c r="F47" s="155">
        <f>CashFlow!E19</f>
        <v/>
      </c>
      <c r="G47" s="155">
        <f>CashFlow!F19</f>
        <v/>
      </c>
      <c r="H47" s="155">
        <f>CashFlow!G19</f>
        <v/>
      </c>
      <c r="I47" s="155">
        <f>CashFlow!H19</f>
        <v/>
      </c>
      <c r="J47" s="155">
        <f>CashFlow!I19</f>
        <v/>
      </c>
      <c r="K47" s="155">
        <f>CashFlow!J19</f>
        <v/>
      </c>
      <c r="L47" s="155">
        <f>CashFlow!K19</f>
        <v/>
      </c>
      <c r="M47" s="155">
        <f>CashFlow!L19</f>
        <v/>
      </c>
      <c r="N47" s="155">
        <f>CashFlow!M19</f>
        <v/>
      </c>
      <c r="O47" s="155">
        <f>CashFlow!N19</f>
        <v/>
      </c>
      <c r="P47" s="155">
        <f>CashFlow!O19</f>
        <v/>
      </c>
      <c r="Q47" s="155">
        <f>CashFlow!P19</f>
        <v/>
      </c>
      <c r="R47" s="155">
        <f>CashFlow!Q19</f>
        <v/>
      </c>
      <c r="S47" s="155">
        <f>CashFlow!R19</f>
        <v/>
      </c>
      <c r="T47" s="155">
        <f>CashFlow!S19</f>
        <v/>
      </c>
      <c r="U47" s="155">
        <f>CashFlow!T19</f>
        <v/>
      </c>
      <c r="V47" s="155">
        <f>CashFlow!U19</f>
        <v/>
      </c>
      <c r="W47" s="155">
        <f>CashFlow!V19</f>
        <v/>
      </c>
      <c r="X47" s="155">
        <f>CashFlow!W19</f>
        <v/>
      </c>
      <c r="Y47" s="155">
        <f>CashFlow!X19</f>
        <v/>
      </c>
      <c r="Z47" s="155">
        <f>CashFlow!Y19</f>
        <v/>
      </c>
      <c r="AA47" s="155">
        <f>CashFlow!Z19</f>
        <v/>
      </c>
      <c r="AB47" s="155">
        <f>CashFlow!AA19</f>
        <v/>
      </c>
      <c r="AC47" s="155">
        <f>CashFlow!AB19</f>
        <v/>
      </c>
      <c r="AD47" s="155">
        <f>CashFlow!AC19</f>
        <v/>
      </c>
      <c r="AE47" s="155">
        <f>CashFlow!AD19</f>
        <v/>
      </c>
      <c r="AF47" s="155">
        <f>CashFlow!AE19</f>
        <v/>
      </c>
      <c r="AG47" s="155">
        <f>CashFlow!AF19</f>
        <v/>
      </c>
      <c r="AH47" s="155">
        <f>CashFlow!AG19</f>
        <v/>
      </c>
      <c r="AI47" s="155">
        <f>CashFlow!AH19</f>
        <v/>
      </c>
      <c r="AJ47" s="155">
        <f>CashFlow!AI19</f>
        <v/>
      </c>
      <c r="AK47" s="155">
        <f>CashFlow!AJ19</f>
        <v/>
      </c>
      <c r="AL47" s="155">
        <f>CashFlow!AK19</f>
        <v/>
      </c>
      <c r="AM47" s="155">
        <f>CashFlow!AL19</f>
        <v/>
      </c>
      <c r="AN47" s="155">
        <f>CashFlow!AM19</f>
        <v/>
      </c>
      <c r="AO47" s="155">
        <f>CashFlow!AN19</f>
        <v/>
      </c>
      <c r="AP47" s="155">
        <f>CashFlow!AO19</f>
        <v/>
      </c>
      <c r="AQ47" s="155">
        <f>CashFlow!AP19</f>
        <v/>
      </c>
      <c r="AR47" s="155">
        <f>CashFlow!AQ19</f>
        <v/>
      </c>
      <c r="AS47" s="155">
        <f>CashFlow!AR19</f>
        <v/>
      </c>
      <c r="AT47" s="155">
        <f>CashFlow!AS19</f>
        <v/>
      </c>
      <c r="AU47" s="155">
        <f>CashFlow!AT19</f>
        <v/>
      </c>
      <c r="AV47" s="155">
        <f>CashFlow!AU19</f>
        <v/>
      </c>
      <c r="AW47" s="155">
        <f>CashFlow!AV19</f>
        <v/>
      </c>
      <c r="AX47" s="155">
        <f>CashFlow!AW19</f>
        <v/>
      </c>
      <c r="AY47" s="155">
        <f>CashFlow!AX19</f>
        <v/>
      </c>
      <c r="AZ47" s="155">
        <f>CashFlow!AY19</f>
        <v/>
      </c>
      <c r="BA47" s="155">
        <f>CashFlow!AZ19</f>
        <v/>
      </c>
      <c r="BB47" s="155">
        <f>CashFlow!BA19</f>
        <v/>
      </c>
    </row>
    <row r="48" ht="15" customHeight="1" s="91">
      <c r="B48" s="153" t="inlineStr">
        <is>
          <t>Land Rent  إيجار الأرض</t>
        </is>
      </c>
      <c r="C48" s="153" t="inlineStr">
        <is>
          <t>SAR</t>
        </is>
      </c>
      <c r="D48" s="157">
        <f>SUM(E48:BB48)</f>
        <v/>
      </c>
      <c r="E48" s="155">
        <f>CashFlow!D20</f>
        <v/>
      </c>
      <c r="F48" s="155">
        <f>CashFlow!E20</f>
        <v/>
      </c>
      <c r="G48" s="155">
        <f>CashFlow!F20</f>
        <v/>
      </c>
      <c r="H48" s="155">
        <f>CashFlow!G20</f>
        <v/>
      </c>
      <c r="I48" s="155">
        <f>CashFlow!H20</f>
        <v/>
      </c>
      <c r="J48" s="155">
        <f>CashFlow!I20</f>
        <v/>
      </c>
      <c r="K48" s="155">
        <f>CashFlow!J20</f>
        <v/>
      </c>
      <c r="L48" s="155">
        <f>CashFlow!K20</f>
        <v/>
      </c>
      <c r="M48" s="155">
        <f>CashFlow!L20</f>
        <v/>
      </c>
      <c r="N48" s="155">
        <f>CashFlow!M20</f>
        <v/>
      </c>
      <c r="O48" s="155">
        <f>CashFlow!N20</f>
        <v/>
      </c>
      <c r="P48" s="155">
        <f>CashFlow!O20</f>
        <v/>
      </c>
      <c r="Q48" s="155">
        <f>CashFlow!P20</f>
        <v/>
      </c>
      <c r="R48" s="155">
        <f>CashFlow!Q20</f>
        <v/>
      </c>
      <c r="S48" s="155">
        <f>CashFlow!R20</f>
        <v/>
      </c>
      <c r="T48" s="155">
        <f>CashFlow!S20</f>
        <v/>
      </c>
      <c r="U48" s="155">
        <f>CashFlow!T20</f>
        <v/>
      </c>
      <c r="V48" s="155">
        <f>CashFlow!U20</f>
        <v/>
      </c>
      <c r="W48" s="155">
        <f>CashFlow!V20</f>
        <v/>
      </c>
      <c r="X48" s="155">
        <f>CashFlow!W20</f>
        <v/>
      </c>
      <c r="Y48" s="155">
        <f>CashFlow!X20</f>
        <v/>
      </c>
      <c r="Z48" s="155">
        <f>CashFlow!Y20</f>
        <v/>
      </c>
      <c r="AA48" s="155">
        <f>CashFlow!Z20</f>
        <v/>
      </c>
      <c r="AB48" s="155">
        <f>CashFlow!AA20</f>
        <v/>
      </c>
      <c r="AC48" s="155">
        <f>CashFlow!AB20</f>
        <v/>
      </c>
      <c r="AD48" s="155">
        <f>CashFlow!AC20</f>
        <v/>
      </c>
      <c r="AE48" s="155">
        <f>CashFlow!AD20</f>
        <v/>
      </c>
      <c r="AF48" s="155">
        <f>CashFlow!AE20</f>
        <v/>
      </c>
      <c r="AG48" s="155">
        <f>CashFlow!AF20</f>
        <v/>
      </c>
      <c r="AH48" s="155">
        <f>CashFlow!AG20</f>
        <v/>
      </c>
      <c r="AI48" s="155">
        <f>CashFlow!AH20</f>
        <v/>
      </c>
      <c r="AJ48" s="155">
        <f>CashFlow!AI20</f>
        <v/>
      </c>
      <c r="AK48" s="155">
        <f>CashFlow!AJ20</f>
        <v/>
      </c>
      <c r="AL48" s="155">
        <f>CashFlow!AK20</f>
        <v/>
      </c>
      <c r="AM48" s="155">
        <f>CashFlow!AL20</f>
        <v/>
      </c>
      <c r="AN48" s="155">
        <f>CashFlow!AM20</f>
        <v/>
      </c>
      <c r="AO48" s="155">
        <f>CashFlow!AN20</f>
        <v/>
      </c>
      <c r="AP48" s="155">
        <f>CashFlow!AO20</f>
        <v/>
      </c>
      <c r="AQ48" s="155">
        <f>CashFlow!AP20</f>
        <v/>
      </c>
      <c r="AR48" s="155">
        <f>CashFlow!AQ20</f>
        <v/>
      </c>
      <c r="AS48" s="155">
        <f>CashFlow!AR20</f>
        <v/>
      </c>
      <c r="AT48" s="155">
        <f>CashFlow!AS20</f>
        <v/>
      </c>
      <c r="AU48" s="155">
        <f>CashFlow!AT20</f>
        <v/>
      </c>
      <c r="AV48" s="155">
        <f>CashFlow!AU20</f>
        <v/>
      </c>
      <c r="AW48" s="155">
        <f>CashFlow!AV20</f>
        <v/>
      </c>
      <c r="AX48" s="155">
        <f>CashFlow!AW20</f>
        <v/>
      </c>
      <c r="AY48" s="155">
        <f>CashFlow!AX20</f>
        <v/>
      </c>
      <c r="AZ48" s="155">
        <f>CashFlow!AY20</f>
        <v/>
      </c>
      <c r="BA48" s="155">
        <f>CashFlow!AZ20</f>
        <v/>
      </c>
      <c r="BB48" s="155">
        <f>CashFlow!BA20</f>
        <v/>
      </c>
    </row>
    <row r="49" ht="15" customHeight="1" s="91">
      <c r="B49" s="153" t="inlineStr">
        <is>
          <t>Development CAPEX  تكاليف التطوير</t>
        </is>
      </c>
      <c r="C49" s="153" t="inlineStr">
        <is>
          <t>SAR</t>
        </is>
      </c>
      <c r="D49" s="157">
        <f>SUM(E49:BB49)</f>
        <v/>
      </c>
      <c r="E49" s="155">
        <f>CashFlow!D21</f>
        <v/>
      </c>
      <c r="F49" s="155">
        <f>CashFlow!E21</f>
        <v/>
      </c>
      <c r="G49" s="155">
        <f>CashFlow!F21</f>
        <v/>
      </c>
      <c r="H49" s="155">
        <f>CashFlow!G21</f>
        <v/>
      </c>
      <c r="I49" s="155">
        <f>CashFlow!H21</f>
        <v/>
      </c>
      <c r="J49" s="155">
        <f>CashFlow!I21</f>
        <v/>
      </c>
      <c r="K49" s="155">
        <f>CashFlow!J21</f>
        <v/>
      </c>
      <c r="L49" s="155">
        <f>CashFlow!K21</f>
        <v/>
      </c>
      <c r="M49" s="155">
        <f>CashFlow!L21</f>
        <v/>
      </c>
      <c r="N49" s="155">
        <f>CashFlow!M21</f>
        <v/>
      </c>
      <c r="O49" s="155">
        <f>CashFlow!N21</f>
        <v/>
      </c>
      <c r="P49" s="155">
        <f>CashFlow!O21</f>
        <v/>
      </c>
      <c r="Q49" s="155">
        <f>CashFlow!P21</f>
        <v/>
      </c>
      <c r="R49" s="155">
        <f>CashFlow!Q21</f>
        <v/>
      </c>
      <c r="S49" s="155">
        <f>CashFlow!R21</f>
        <v/>
      </c>
      <c r="T49" s="155">
        <f>CashFlow!S21</f>
        <v/>
      </c>
      <c r="U49" s="155">
        <f>CashFlow!T21</f>
        <v/>
      </c>
      <c r="V49" s="155">
        <f>CashFlow!U21</f>
        <v/>
      </c>
      <c r="W49" s="155">
        <f>CashFlow!V21</f>
        <v/>
      </c>
      <c r="X49" s="155">
        <f>CashFlow!W21</f>
        <v/>
      </c>
      <c r="Y49" s="155">
        <f>CashFlow!X21</f>
        <v/>
      </c>
      <c r="Z49" s="155">
        <f>CashFlow!Y21</f>
        <v/>
      </c>
      <c r="AA49" s="155">
        <f>CashFlow!Z21</f>
        <v/>
      </c>
      <c r="AB49" s="155">
        <f>CashFlow!AA21</f>
        <v/>
      </c>
      <c r="AC49" s="155">
        <f>CashFlow!AB21</f>
        <v/>
      </c>
      <c r="AD49" s="155">
        <f>CashFlow!AC21</f>
        <v/>
      </c>
      <c r="AE49" s="155">
        <f>CashFlow!AD21</f>
        <v/>
      </c>
      <c r="AF49" s="155">
        <f>CashFlow!AE21</f>
        <v/>
      </c>
      <c r="AG49" s="155">
        <f>CashFlow!AF21</f>
        <v/>
      </c>
      <c r="AH49" s="155">
        <f>CashFlow!AG21</f>
        <v/>
      </c>
      <c r="AI49" s="155">
        <f>CashFlow!AH21</f>
        <v/>
      </c>
      <c r="AJ49" s="155">
        <f>CashFlow!AI21</f>
        <v/>
      </c>
      <c r="AK49" s="155">
        <f>CashFlow!AJ21</f>
        <v/>
      </c>
      <c r="AL49" s="155">
        <f>CashFlow!AK21</f>
        <v/>
      </c>
      <c r="AM49" s="155">
        <f>CashFlow!AL21</f>
        <v/>
      </c>
      <c r="AN49" s="155">
        <f>CashFlow!AM21</f>
        <v/>
      </c>
      <c r="AO49" s="155">
        <f>CashFlow!AN21</f>
        <v/>
      </c>
      <c r="AP49" s="155">
        <f>CashFlow!AO21</f>
        <v/>
      </c>
      <c r="AQ49" s="155">
        <f>CashFlow!AP21</f>
        <v/>
      </c>
      <c r="AR49" s="155">
        <f>CashFlow!AQ21</f>
        <v/>
      </c>
      <c r="AS49" s="155">
        <f>CashFlow!AR21</f>
        <v/>
      </c>
      <c r="AT49" s="155">
        <f>CashFlow!AS21</f>
        <v/>
      </c>
      <c r="AU49" s="155">
        <f>CashFlow!AT21</f>
        <v/>
      </c>
      <c r="AV49" s="155">
        <f>CashFlow!AU21</f>
        <v/>
      </c>
      <c r="AW49" s="155">
        <f>CashFlow!AV21</f>
        <v/>
      </c>
      <c r="AX49" s="155">
        <f>CashFlow!AW21</f>
        <v/>
      </c>
      <c r="AY49" s="155">
        <f>CashFlow!AX21</f>
        <v/>
      </c>
      <c r="AZ49" s="155">
        <f>CashFlow!AY21</f>
        <v/>
      </c>
      <c r="BA49" s="155">
        <f>CashFlow!AZ21</f>
        <v/>
      </c>
      <c r="BB49" s="155">
        <f>CashFlow!BA21</f>
        <v/>
      </c>
    </row>
    <row r="50" ht="15" customHeight="1" s="91">
      <c r="B50" s="110" t="inlineStr">
        <is>
          <t>Net Project CF (Unlevered)</t>
        </is>
      </c>
      <c r="C50" s="153" t="inlineStr">
        <is>
          <t>SAR</t>
        </is>
      </c>
      <c r="D50" s="157">
        <f>SUM(E50:BB50)</f>
        <v/>
      </c>
      <c r="E50" s="157">
        <f>E47+E48+E49</f>
        <v/>
      </c>
      <c r="F50" s="157">
        <f>F47+F48+F49</f>
        <v/>
      </c>
      <c r="G50" s="157">
        <f>G47+G48+G49</f>
        <v/>
      </c>
      <c r="H50" s="157">
        <f>H47+H48+H49</f>
        <v/>
      </c>
      <c r="I50" s="157">
        <f>I47+I48+I49</f>
        <v/>
      </c>
      <c r="J50" s="157">
        <f>J47+J48+J49</f>
        <v/>
      </c>
      <c r="K50" s="157">
        <f>K47+K48+K49</f>
        <v/>
      </c>
      <c r="L50" s="157">
        <f>L47+L48+L49</f>
        <v/>
      </c>
      <c r="M50" s="157">
        <f>M47+M48+M49</f>
        <v/>
      </c>
      <c r="N50" s="157">
        <f>N47+N48+N49</f>
        <v/>
      </c>
      <c r="O50" s="157">
        <f>O47+O48+O49</f>
        <v/>
      </c>
      <c r="P50" s="157">
        <f>P47+P48+P49</f>
        <v/>
      </c>
      <c r="Q50" s="157">
        <f>Q47+Q48+Q49</f>
        <v/>
      </c>
      <c r="R50" s="157">
        <f>R47+R48+R49</f>
        <v/>
      </c>
      <c r="S50" s="157">
        <f>S47+S48+S49</f>
        <v/>
      </c>
      <c r="T50" s="157">
        <f>T47+T48+T49</f>
        <v/>
      </c>
      <c r="U50" s="157">
        <f>U47+U48+U49</f>
        <v/>
      </c>
      <c r="V50" s="157">
        <f>V47+V48+V49</f>
        <v/>
      </c>
      <c r="W50" s="157">
        <f>W47+W48+W49</f>
        <v/>
      </c>
      <c r="X50" s="157">
        <f>X47+X48+X49</f>
        <v/>
      </c>
      <c r="Y50" s="157">
        <f>Y47+Y48+Y49</f>
        <v/>
      </c>
      <c r="Z50" s="157">
        <f>Z47+Z48+Z49</f>
        <v/>
      </c>
      <c r="AA50" s="157">
        <f>AA47+AA48+AA49</f>
        <v/>
      </c>
      <c r="AB50" s="157">
        <f>AB47+AB48+AB49</f>
        <v/>
      </c>
      <c r="AC50" s="157">
        <f>AC47+AC48+AC49</f>
        <v/>
      </c>
      <c r="AD50" s="157">
        <f>AD47+AD48+AD49</f>
        <v/>
      </c>
      <c r="AE50" s="157">
        <f>AE47+AE48+AE49</f>
        <v/>
      </c>
      <c r="AF50" s="157">
        <f>AF47+AF48+AF49</f>
        <v/>
      </c>
      <c r="AG50" s="157">
        <f>AG47+AG48+AG49</f>
        <v/>
      </c>
      <c r="AH50" s="157">
        <f>AH47+AH48+AH49</f>
        <v/>
      </c>
      <c r="AI50" s="157">
        <f>AI47+AI48+AI49</f>
        <v/>
      </c>
      <c r="AJ50" s="157">
        <f>AJ47+AJ48+AJ49</f>
        <v/>
      </c>
      <c r="AK50" s="157">
        <f>AK47+AK48+AK49</f>
        <v/>
      </c>
      <c r="AL50" s="157">
        <f>AL47+AL48+AL49</f>
        <v/>
      </c>
      <c r="AM50" s="157">
        <f>AM47+AM48+AM49</f>
        <v/>
      </c>
      <c r="AN50" s="157">
        <f>AN47+AN48+AN49</f>
        <v/>
      </c>
      <c r="AO50" s="157">
        <f>AO47+AO48+AO49</f>
        <v/>
      </c>
      <c r="AP50" s="157">
        <f>AP47+AP48+AP49</f>
        <v/>
      </c>
      <c r="AQ50" s="157">
        <f>AQ47+AQ48+AQ49</f>
        <v/>
      </c>
      <c r="AR50" s="157">
        <f>AR47+AR48+AR49</f>
        <v/>
      </c>
      <c r="AS50" s="157">
        <f>AS47+AS48+AS49</f>
        <v/>
      </c>
      <c r="AT50" s="157">
        <f>AT47+AT48+AT49</f>
        <v/>
      </c>
      <c r="AU50" s="157">
        <f>AU47+AU48+AU49</f>
        <v/>
      </c>
      <c r="AV50" s="157">
        <f>AV47+AV48+AV49</f>
        <v/>
      </c>
      <c r="AW50" s="157">
        <f>AW47+AW48+AW49</f>
        <v/>
      </c>
      <c r="AX50" s="157">
        <f>AX47+AX48+AX49</f>
        <v/>
      </c>
      <c r="AY50" s="157">
        <f>AY47+AY48+AY49</f>
        <v/>
      </c>
      <c r="AZ50" s="157">
        <f>AZ47+AZ48+AZ49</f>
        <v/>
      </c>
      <c r="BA50" s="157">
        <f>BA47+BA48+BA49</f>
        <v/>
      </c>
      <c r="BB50" s="157">
        <f>BB47+BB48+BB49</f>
        <v/>
      </c>
    </row>
    <row r="51" ht="15" customHeight="1" s="91">
      <c r="B51" s="153" t="inlineStr">
        <is>
          <t>Exit Proceeds  حصيلة التخارج</t>
        </is>
      </c>
      <c r="C51" s="153" t="inlineStr">
        <is>
          <t>SAR</t>
        </is>
      </c>
      <c r="D51" s="157">
        <f>SUM(E51:BB51)</f>
        <v/>
      </c>
      <c r="E51" s="160">
        <f>IF(E$46=$C$41,IF($C$44="Sale",E47*$C$42*(1-$C$43),E47/$C$45*(1-$C$43)),0)</f>
        <v/>
      </c>
      <c r="F51" s="160">
        <f>IF(F$46=$C$41,IF($C$44="Sale",F47*$C$42*(1-$C$43),F47/$C$45*(1-$C$43)),0)</f>
        <v/>
      </c>
      <c r="G51" s="160">
        <f>IF(G$46=$C$41,IF($C$44="Sale",G47*$C$42*(1-$C$43),G47/$C$45*(1-$C$43)),0)</f>
        <v/>
      </c>
      <c r="H51" s="160">
        <f>IF(H$46=$C$41,IF($C$44="Sale",H47*$C$42*(1-$C$43),H47/$C$45*(1-$C$43)),0)</f>
        <v/>
      </c>
      <c r="I51" s="160">
        <f>IF(I$46=$C$41,IF($C$44="Sale",I47*$C$42*(1-$C$43),I47/$C$45*(1-$C$43)),0)</f>
        <v/>
      </c>
      <c r="J51" s="160">
        <f>IF(J$46=$C$41,IF($C$44="Sale",J47*$C$42*(1-$C$43),J47/$C$45*(1-$C$43)),0)</f>
        <v/>
      </c>
      <c r="K51" s="160">
        <f>IF(K$46=$C$41,IF($C$44="Sale",K47*$C$42*(1-$C$43),K47/$C$45*(1-$C$43)),0)</f>
        <v/>
      </c>
      <c r="L51" s="160">
        <f>IF(L$46=$C$41,IF($C$44="Sale",L47*$C$42*(1-$C$43),L47/$C$45*(1-$C$43)),0)</f>
        <v/>
      </c>
      <c r="M51" s="160">
        <f>IF(M$46=$C$41,IF($C$44="Sale",M47*$C$42*(1-$C$43),M47/$C$45*(1-$C$43)),0)</f>
        <v/>
      </c>
      <c r="N51" s="160">
        <f>IF(N$46=$C$41,IF($C$44="Sale",N47*$C$42*(1-$C$43),N47/$C$45*(1-$C$43)),0)</f>
        <v/>
      </c>
      <c r="O51" s="160">
        <f>IF(O$46=$C$41,IF($C$44="Sale",O47*$C$42*(1-$C$43),O47/$C$45*(1-$C$43)),0)</f>
        <v/>
      </c>
      <c r="P51" s="160">
        <f>IF(P$46=$C$41,IF($C$44="Sale",P47*$C$42*(1-$C$43),P47/$C$45*(1-$C$43)),0)</f>
        <v/>
      </c>
      <c r="Q51" s="160">
        <f>IF(Q$46=$C$41,IF($C$44="Sale",Q47*$C$42*(1-$C$43),Q47/$C$45*(1-$C$43)),0)</f>
        <v/>
      </c>
      <c r="R51" s="160">
        <f>IF(R$46=$C$41,IF($C$44="Sale",R47*$C$42*(1-$C$43),R47/$C$45*(1-$C$43)),0)</f>
        <v/>
      </c>
      <c r="S51" s="160">
        <f>IF(S$46=$C$41,IF($C$44="Sale",S47*$C$42*(1-$C$43),S47/$C$45*(1-$C$43)),0)</f>
        <v/>
      </c>
      <c r="T51" s="160">
        <f>IF(T$46=$C$41,IF($C$44="Sale",T47*$C$42*(1-$C$43),T47/$C$45*(1-$C$43)),0)</f>
        <v/>
      </c>
      <c r="U51" s="160">
        <f>IF(U$46=$C$41,IF($C$44="Sale",U47*$C$42*(1-$C$43),U47/$C$45*(1-$C$43)),0)</f>
        <v/>
      </c>
      <c r="V51" s="160">
        <f>IF(V$46=$C$41,IF($C$44="Sale",V47*$C$42*(1-$C$43),V47/$C$45*(1-$C$43)),0)</f>
        <v/>
      </c>
      <c r="W51" s="160">
        <f>IF(W$46=$C$41,IF($C$44="Sale",W47*$C$42*(1-$C$43),W47/$C$45*(1-$C$43)),0)</f>
        <v/>
      </c>
      <c r="X51" s="160">
        <f>IF(X$46=$C$41,IF($C$44="Sale",X47*$C$42*(1-$C$43),X47/$C$45*(1-$C$43)),0)</f>
        <v/>
      </c>
      <c r="Y51" s="160">
        <f>IF(Y$46=$C$41,IF($C$44="Sale",Y47*$C$42*(1-$C$43),Y47/$C$45*(1-$C$43)),0)</f>
        <v/>
      </c>
      <c r="Z51" s="160">
        <f>IF(Z$46=$C$41,IF($C$44="Sale",Z47*$C$42*(1-$C$43),Z47/$C$45*(1-$C$43)),0)</f>
        <v/>
      </c>
      <c r="AA51" s="160">
        <f>IF(AA$46=$C$41,IF($C$44="Sale",AA47*$C$42*(1-$C$43),AA47/$C$45*(1-$C$43)),0)</f>
        <v/>
      </c>
      <c r="AB51" s="160">
        <f>IF(AB$46=$C$41,IF($C$44="Sale",AB47*$C$42*(1-$C$43),AB47/$C$45*(1-$C$43)),0)</f>
        <v/>
      </c>
      <c r="AC51" s="160">
        <f>IF(AC$46=$C$41,IF($C$44="Sale",AC47*$C$42*(1-$C$43),AC47/$C$45*(1-$C$43)),0)</f>
        <v/>
      </c>
      <c r="AD51" s="160">
        <f>IF(AD$46=$C$41,IF($C$44="Sale",AD47*$C$42*(1-$C$43),AD47/$C$45*(1-$C$43)),0)</f>
        <v/>
      </c>
      <c r="AE51" s="160">
        <f>IF(AE$46=$C$41,IF($C$44="Sale",AE47*$C$42*(1-$C$43),AE47/$C$45*(1-$C$43)),0)</f>
        <v/>
      </c>
      <c r="AF51" s="160">
        <f>IF(AF$46=$C$41,IF($C$44="Sale",AF47*$C$42*(1-$C$43),AF47/$C$45*(1-$C$43)),0)</f>
        <v/>
      </c>
      <c r="AG51" s="160">
        <f>IF(AG$46=$C$41,IF($C$44="Sale",AG47*$C$42*(1-$C$43),AG47/$C$45*(1-$C$43)),0)</f>
        <v/>
      </c>
      <c r="AH51" s="160">
        <f>IF(AH$46=$C$41,IF($C$44="Sale",AH47*$C$42*(1-$C$43),AH47/$C$45*(1-$C$43)),0)</f>
        <v/>
      </c>
      <c r="AI51" s="160">
        <f>IF(AI$46=$C$41,IF($C$44="Sale",AI47*$C$42*(1-$C$43),AI47/$C$45*(1-$C$43)),0)</f>
        <v/>
      </c>
      <c r="AJ51" s="160">
        <f>IF(AJ$46=$C$41,IF($C$44="Sale",AJ47*$C$42*(1-$C$43),AJ47/$C$45*(1-$C$43)),0)</f>
        <v/>
      </c>
      <c r="AK51" s="160">
        <f>IF(AK$46=$C$41,IF($C$44="Sale",AK47*$C$42*(1-$C$43),AK47/$C$45*(1-$C$43)),0)</f>
        <v/>
      </c>
      <c r="AL51" s="160">
        <f>IF(AL$46=$C$41,IF($C$44="Sale",AL47*$C$42*(1-$C$43),AL47/$C$45*(1-$C$43)),0)</f>
        <v/>
      </c>
      <c r="AM51" s="160">
        <f>IF(AM$46=$C$41,IF($C$44="Sale",AM47*$C$42*(1-$C$43),AM47/$C$45*(1-$C$43)),0)</f>
        <v/>
      </c>
      <c r="AN51" s="160">
        <f>IF(AN$46=$C$41,IF($C$44="Sale",AN47*$C$42*(1-$C$43),AN47/$C$45*(1-$C$43)),0)</f>
        <v/>
      </c>
      <c r="AO51" s="160">
        <f>IF(AO$46=$C$41,IF($C$44="Sale",AO47*$C$42*(1-$C$43),AO47/$C$45*(1-$C$43)),0)</f>
        <v/>
      </c>
      <c r="AP51" s="160">
        <f>IF(AP$46=$C$41,IF($C$44="Sale",AP47*$C$42*(1-$C$43),AP47/$C$45*(1-$C$43)),0)</f>
        <v/>
      </c>
      <c r="AQ51" s="160">
        <f>IF(AQ$46=$C$41,IF($C$44="Sale",AQ47*$C$42*(1-$C$43),AQ47/$C$45*(1-$C$43)),0)</f>
        <v/>
      </c>
      <c r="AR51" s="160">
        <f>IF(AR$46=$C$41,IF($C$44="Sale",AR47*$C$42*(1-$C$43),AR47/$C$45*(1-$C$43)),0)</f>
        <v/>
      </c>
      <c r="AS51" s="160">
        <f>IF(AS$46=$C$41,IF($C$44="Sale",AS47*$C$42*(1-$C$43),AS47/$C$45*(1-$C$43)),0)</f>
        <v/>
      </c>
      <c r="AT51" s="160">
        <f>IF(AT$46=$C$41,IF($C$44="Sale",AT47*$C$42*(1-$C$43),AT47/$C$45*(1-$C$43)),0)</f>
        <v/>
      </c>
      <c r="AU51" s="160">
        <f>IF(AU$46=$C$41,IF($C$44="Sale",AU47*$C$42*(1-$C$43),AU47/$C$45*(1-$C$43)),0)</f>
        <v/>
      </c>
      <c r="AV51" s="160">
        <f>IF(AV$46=$C$41,IF($C$44="Sale",AV47*$C$42*(1-$C$43),AV47/$C$45*(1-$C$43)),0)</f>
        <v/>
      </c>
      <c r="AW51" s="160">
        <f>IF(AW$46=$C$41,IF($C$44="Sale",AW47*$C$42*(1-$C$43),AW47/$C$45*(1-$C$43)),0)</f>
        <v/>
      </c>
      <c r="AX51" s="160">
        <f>IF(AX$46=$C$41,IF($C$44="Sale",AX47*$C$42*(1-$C$43),AX47/$C$45*(1-$C$43)),0)</f>
        <v/>
      </c>
      <c r="AY51" s="160">
        <f>IF(AY$46=$C$41,IF($C$44="Sale",AY47*$C$42*(1-$C$43),AY47/$C$45*(1-$C$43)),0)</f>
        <v/>
      </c>
      <c r="AZ51" s="160">
        <f>IF(AZ$46=$C$41,IF($C$44="Sale",AZ47*$C$42*(1-$C$43),AZ47/$C$45*(1-$C$43)),0)</f>
        <v/>
      </c>
      <c r="BA51" s="160">
        <f>IF(BA$46=$C$41,IF($C$44="Sale",BA47*$C$42*(1-$C$43),BA47/$C$45*(1-$C$43)),0)</f>
        <v/>
      </c>
      <c r="BB51" s="160">
        <f>IF(BB$46=$C$41,IF($C$44="Sale",BB47*$C$42*(1-$C$43),BB47/$C$45*(1-$C$43)),0)</f>
        <v/>
      </c>
    </row>
    <row r="52" ht="15" customHeight="1" s="91">
      <c r="B52" s="153" t="inlineStr">
        <is>
          <t>Unlevered CF (incl. Exit)  التدفق شامل التخارج</t>
        </is>
      </c>
      <c r="C52" s="153" t="inlineStr">
        <is>
          <t>SAR</t>
        </is>
      </c>
      <c r="D52" s="157">
        <f>SUM(E52:BB52)</f>
        <v/>
      </c>
      <c r="E52" s="160">
        <f>IF(AND(E$46&gt;=$C$9,E$46&lt;=$C$41),E50+E51,0)</f>
        <v/>
      </c>
      <c r="F52" s="160">
        <f>IF(AND(F$46&gt;=$C$9,F$46&lt;=$C$41),F50+F51,0)</f>
        <v/>
      </c>
      <c r="G52" s="160">
        <f>IF(AND(G$46&gt;=$C$9,G$46&lt;=$C$41),G50+G51,0)</f>
        <v/>
      </c>
      <c r="H52" s="160">
        <f>IF(AND(H$46&gt;=$C$9,H$46&lt;=$C$41),H50+H51,0)</f>
        <v/>
      </c>
      <c r="I52" s="160">
        <f>IF(AND(I$46&gt;=$C$9,I$46&lt;=$C$41),I50+I51,0)</f>
        <v/>
      </c>
      <c r="J52" s="160">
        <f>IF(AND(J$46&gt;=$C$9,J$46&lt;=$C$41),J50+J51,0)</f>
        <v/>
      </c>
      <c r="K52" s="160">
        <f>IF(AND(K$46&gt;=$C$9,K$46&lt;=$C$41),K50+K51,0)</f>
        <v/>
      </c>
      <c r="L52" s="160">
        <f>IF(AND(L$46&gt;=$C$9,L$46&lt;=$C$41),L50+L51,0)</f>
        <v/>
      </c>
      <c r="M52" s="160">
        <f>IF(AND(M$46&gt;=$C$9,M$46&lt;=$C$41),M50+M51,0)</f>
        <v/>
      </c>
      <c r="N52" s="160">
        <f>IF(AND(N$46&gt;=$C$9,N$46&lt;=$C$41),N50+N51,0)</f>
        <v/>
      </c>
      <c r="O52" s="160">
        <f>IF(AND(O$46&gt;=$C$9,O$46&lt;=$C$41),O50+O51,0)</f>
        <v/>
      </c>
      <c r="P52" s="160">
        <f>IF(AND(P$46&gt;=$C$9,P$46&lt;=$C$41),P50+P51,0)</f>
        <v/>
      </c>
      <c r="Q52" s="160">
        <f>IF(AND(Q$46&gt;=$C$9,Q$46&lt;=$C$41),Q50+Q51,0)</f>
        <v/>
      </c>
      <c r="R52" s="160">
        <f>IF(AND(R$46&gt;=$C$9,R$46&lt;=$C$41),R50+R51,0)</f>
        <v/>
      </c>
      <c r="S52" s="160">
        <f>IF(AND(S$46&gt;=$C$9,S$46&lt;=$C$41),S50+S51,0)</f>
        <v/>
      </c>
      <c r="T52" s="160">
        <f>IF(AND(T$46&gt;=$C$9,T$46&lt;=$C$41),T50+T51,0)</f>
        <v/>
      </c>
      <c r="U52" s="160">
        <f>IF(AND(U$46&gt;=$C$9,U$46&lt;=$C$41),U50+U51,0)</f>
        <v/>
      </c>
      <c r="V52" s="160">
        <f>IF(AND(V$46&gt;=$C$9,V$46&lt;=$C$41),V50+V51,0)</f>
        <v/>
      </c>
      <c r="W52" s="160">
        <f>IF(AND(W$46&gt;=$C$9,W$46&lt;=$C$41),W50+W51,0)</f>
        <v/>
      </c>
      <c r="X52" s="160">
        <f>IF(AND(X$46&gt;=$C$9,X$46&lt;=$C$41),X50+X51,0)</f>
        <v/>
      </c>
      <c r="Y52" s="160">
        <f>IF(AND(Y$46&gt;=$C$9,Y$46&lt;=$C$41),Y50+Y51,0)</f>
        <v/>
      </c>
      <c r="Z52" s="160">
        <f>IF(AND(Z$46&gt;=$C$9,Z$46&lt;=$C$41),Z50+Z51,0)</f>
        <v/>
      </c>
      <c r="AA52" s="160">
        <f>IF(AND(AA$46&gt;=$C$9,AA$46&lt;=$C$41),AA50+AA51,0)</f>
        <v/>
      </c>
      <c r="AB52" s="160">
        <f>IF(AND(AB$46&gt;=$C$9,AB$46&lt;=$C$41),AB50+AB51,0)</f>
        <v/>
      </c>
      <c r="AC52" s="160">
        <f>IF(AND(AC$46&gt;=$C$9,AC$46&lt;=$C$41),AC50+AC51,0)</f>
        <v/>
      </c>
      <c r="AD52" s="160">
        <f>IF(AND(AD$46&gt;=$C$9,AD$46&lt;=$C$41),AD50+AD51,0)</f>
        <v/>
      </c>
      <c r="AE52" s="160">
        <f>IF(AND(AE$46&gt;=$C$9,AE$46&lt;=$C$41),AE50+AE51,0)</f>
        <v/>
      </c>
      <c r="AF52" s="160">
        <f>IF(AND(AF$46&gt;=$C$9,AF$46&lt;=$C$41),AF50+AF51,0)</f>
        <v/>
      </c>
      <c r="AG52" s="160">
        <f>IF(AND(AG$46&gt;=$C$9,AG$46&lt;=$C$41),AG50+AG51,0)</f>
        <v/>
      </c>
      <c r="AH52" s="160">
        <f>IF(AND(AH$46&gt;=$C$9,AH$46&lt;=$C$41),AH50+AH51,0)</f>
        <v/>
      </c>
      <c r="AI52" s="160">
        <f>IF(AND(AI$46&gt;=$C$9,AI$46&lt;=$C$41),AI50+AI51,0)</f>
        <v/>
      </c>
      <c r="AJ52" s="160">
        <f>IF(AND(AJ$46&gt;=$C$9,AJ$46&lt;=$C$41),AJ50+AJ51,0)</f>
        <v/>
      </c>
      <c r="AK52" s="160">
        <f>IF(AND(AK$46&gt;=$C$9,AK$46&lt;=$C$41),AK50+AK51,0)</f>
        <v/>
      </c>
      <c r="AL52" s="160">
        <f>IF(AND(AL$46&gt;=$C$9,AL$46&lt;=$C$41),AL50+AL51,0)</f>
        <v/>
      </c>
      <c r="AM52" s="160">
        <f>IF(AND(AM$46&gt;=$C$9,AM$46&lt;=$C$41),AM50+AM51,0)</f>
        <v/>
      </c>
      <c r="AN52" s="160">
        <f>IF(AND(AN$46&gt;=$C$9,AN$46&lt;=$C$41),AN50+AN51,0)</f>
        <v/>
      </c>
      <c r="AO52" s="160">
        <f>IF(AND(AO$46&gt;=$C$9,AO$46&lt;=$C$41),AO50+AO51,0)</f>
        <v/>
      </c>
      <c r="AP52" s="160">
        <f>IF(AND(AP$46&gt;=$C$9,AP$46&lt;=$C$41),AP50+AP51,0)</f>
        <v/>
      </c>
      <c r="AQ52" s="160">
        <f>IF(AND(AQ$46&gt;=$C$9,AQ$46&lt;=$C$41),AQ50+AQ51,0)</f>
        <v/>
      </c>
      <c r="AR52" s="160">
        <f>IF(AND(AR$46&gt;=$C$9,AR$46&lt;=$C$41),AR50+AR51,0)</f>
        <v/>
      </c>
      <c r="AS52" s="160">
        <f>IF(AND(AS$46&gt;=$C$9,AS$46&lt;=$C$41),AS50+AS51,0)</f>
        <v/>
      </c>
      <c r="AT52" s="160">
        <f>IF(AND(AT$46&gt;=$C$9,AT$46&lt;=$C$41),AT50+AT51,0)</f>
        <v/>
      </c>
      <c r="AU52" s="160">
        <f>IF(AND(AU$46&gt;=$C$9,AU$46&lt;=$C$41),AU50+AU51,0)</f>
        <v/>
      </c>
      <c r="AV52" s="160">
        <f>IF(AND(AV$46&gt;=$C$9,AV$46&lt;=$C$41),AV50+AV51,0)</f>
        <v/>
      </c>
      <c r="AW52" s="160">
        <f>IF(AND(AW$46&gt;=$C$9,AW$46&lt;=$C$41),AW50+AW51,0)</f>
        <v/>
      </c>
      <c r="AX52" s="160">
        <f>IF(AND(AX$46&gt;=$C$9,AX$46&lt;=$C$41),AX50+AX51,0)</f>
        <v/>
      </c>
      <c r="AY52" s="160">
        <f>IF(AND(AY$46&gt;=$C$9,AY$46&lt;=$C$41),AY50+AY51,0)</f>
        <v/>
      </c>
      <c r="AZ52" s="160">
        <f>IF(AND(AZ$46&gt;=$C$9,AZ$46&lt;=$C$41),AZ50+AZ51,0)</f>
        <v/>
      </c>
      <c r="BA52" s="160">
        <f>IF(AND(BA$46&gt;=$C$9,BA$46&lt;=$C$41),BA50+BA51,0)</f>
        <v/>
      </c>
      <c r="BB52" s="160">
        <f>IF(AND(BB$46&gt;=$C$9,BB$46&lt;=$C$41),BB50+BB51,0)</f>
        <v/>
      </c>
    </row>
    <row r="53">
      <c r="B53" t="inlineStr">
        <is>
          <t>(helper: single repay)</t>
        </is>
      </c>
      <c r="D53">
        <f>SUM(E53:BB53)</f>
        <v/>
      </c>
      <c r="E53">
        <f>IF(AND($C$22="Y",(E$46-$C$9+1)&gt;$C$26,E58&gt;0),-MIN(E58,$C$19/$C$27),0)</f>
        <v/>
      </c>
      <c r="F53">
        <f>IF(AND($C$22="Y",(F$46-$C$9+1)&gt;$C$26,F58&gt;0),-MIN(F58,$C$19/$C$27),0)</f>
        <v/>
      </c>
      <c r="G53">
        <f>IF(AND($C$22="Y",(G$46-$C$9+1)&gt;$C$26,G58&gt;0),-MIN(G58,$C$19/$C$27),0)</f>
        <v/>
      </c>
      <c r="H53">
        <f>IF(AND($C$22="Y",(H$46-$C$9+1)&gt;$C$26,H58&gt;0),-MIN(H58,$C$19/$C$27),0)</f>
        <v/>
      </c>
      <c r="I53">
        <f>IF(AND($C$22="Y",(I$46-$C$9+1)&gt;$C$26,I58&gt;0),-MIN(I58,$C$19/$C$27),0)</f>
        <v/>
      </c>
      <c r="J53">
        <f>IF(AND($C$22="Y",(J$46-$C$9+1)&gt;$C$26,J58&gt;0),-MIN(J58,$C$19/$C$27),0)</f>
        <v/>
      </c>
      <c r="K53">
        <f>IF(AND($C$22="Y",(K$46-$C$9+1)&gt;$C$26,K58&gt;0),-MIN(K58,$C$19/$C$27),0)</f>
        <v/>
      </c>
      <c r="L53">
        <f>IF(AND($C$22="Y",(L$46-$C$9+1)&gt;$C$26,L58&gt;0),-MIN(L58,$C$19/$C$27),0)</f>
        <v/>
      </c>
      <c r="M53">
        <f>IF(AND($C$22="Y",(M$46-$C$9+1)&gt;$C$26,M58&gt;0),-MIN(M58,$C$19/$C$27),0)</f>
        <v/>
      </c>
      <c r="N53">
        <f>IF(AND($C$22="Y",(N$46-$C$9+1)&gt;$C$26,N58&gt;0),-MIN(N58,$C$19/$C$27),0)</f>
        <v/>
      </c>
      <c r="O53">
        <f>IF(AND($C$22="Y",(O$46-$C$9+1)&gt;$C$26,O58&gt;0),-MIN(O58,$C$19/$C$27),0)</f>
        <v/>
      </c>
      <c r="P53">
        <f>IF(AND($C$22="Y",(P$46-$C$9+1)&gt;$C$26,P58&gt;0),-MIN(P58,$C$19/$C$27),0)</f>
        <v/>
      </c>
      <c r="Q53">
        <f>IF(AND($C$22="Y",(Q$46-$C$9+1)&gt;$C$26,Q58&gt;0),-MIN(Q58,$C$19/$C$27),0)</f>
        <v/>
      </c>
      <c r="R53">
        <f>IF(AND($C$22="Y",(R$46-$C$9+1)&gt;$C$26,R58&gt;0),-MIN(R58,$C$19/$C$27),0)</f>
        <v/>
      </c>
      <c r="S53">
        <f>IF(AND($C$22="Y",(S$46-$C$9+1)&gt;$C$26,S58&gt;0),-MIN(S58,$C$19/$C$27),0)</f>
        <v/>
      </c>
      <c r="T53">
        <f>IF(AND($C$22="Y",(T$46-$C$9+1)&gt;$C$26,T58&gt;0),-MIN(T58,$C$19/$C$27),0)</f>
        <v/>
      </c>
      <c r="U53">
        <f>IF(AND($C$22="Y",(U$46-$C$9+1)&gt;$C$26,U58&gt;0),-MIN(U58,$C$19/$C$27),0)</f>
        <v/>
      </c>
      <c r="V53">
        <f>IF(AND($C$22="Y",(V$46-$C$9+1)&gt;$C$26,V58&gt;0),-MIN(V58,$C$19/$C$27),0)</f>
        <v/>
      </c>
      <c r="W53">
        <f>IF(AND($C$22="Y",(W$46-$C$9+1)&gt;$C$26,W58&gt;0),-MIN(W58,$C$19/$C$27),0)</f>
        <v/>
      </c>
      <c r="X53">
        <f>IF(AND($C$22="Y",(X$46-$C$9+1)&gt;$C$26,X58&gt;0),-MIN(X58,$C$19/$C$27),0)</f>
        <v/>
      </c>
      <c r="Y53">
        <f>IF(AND($C$22="Y",(Y$46-$C$9+1)&gt;$C$26,Y58&gt;0),-MIN(Y58,$C$19/$C$27),0)</f>
        <v/>
      </c>
      <c r="Z53">
        <f>IF(AND($C$22="Y",(Z$46-$C$9+1)&gt;$C$26,Z58&gt;0),-MIN(Z58,$C$19/$C$27),0)</f>
        <v/>
      </c>
      <c r="AA53">
        <f>IF(AND($C$22="Y",(AA$46-$C$9+1)&gt;$C$26,AA58&gt;0),-MIN(AA58,$C$19/$C$27),0)</f>
        <v/>
      </c>
      <c r="AB53">
        <f>IF(AND($C$22="Y",(AB$46-$C$9+1)&gt;$C$26,AB58&gt;0),-MIN(AB58,$C$19/$C$27),0)</f>
        <v/>
      </c>
      <c r="AC53">
        <f>IF(AND($C$22="Y",(AC$46-$C$9+1)&gt;$C$26,AC58&gt;0),-MIN(AC58,$C$19/$C$27),0)</f>
        <v/>
      </c>
      <c r="AD53">
        <f>IF(AND($C$22="Y",(AD$46-$C$9+1)&gt;$C$26,AD58&gt;0),-MIN(AD58,$C$19/$C$27),0)</f>
        <v/>
      </c>
      <c r="AE53">
        <f>IF(AND($C$22="Y",(AE$46-$C$9+1)&gt;$C$26,AE58&gt;0),-MIN(AE58,$C$19/$C$27),0)</f>
        <v/>
      </c>
      <c r="AF53">
        <f>IF(AND($C$22="Y",(AF$46-$C$9+1)&gt;$C$26,AF58&gt;0),-MIN(AF58,$C$19/$C$27),0)</f>
        <v/>
      </c>
      <c r="AG53">
        <f>IF(AND($C$22="Y",(AG$46-$C$9+1)&gt;$C$26,AG58&gt;0),-MIN(AG58,$C$19/$C$27),0)</f>
        <v/>
      </c>
      <c r="AH53">
        <f>IF(AND($C$22="Y",(AH$46-$C$9+1)&gt;$C$26,AH58&gt;0),-MIN(AH58,$C$19/$C$27),0)</f>
        <v/>
      </c>
      <c r="AI53">
        <f>IF(AND($C$22="Y",(AI$46-$C$9+1)&gt;$C$26,AI58&gt;0),-MIN(AI58,$C$19/$C$27),0)</f>
        <v/>
      </c>
      <c r="AJ53">
        <f>IF(AND($C$22="Y",(AJ$46-$C$9+1)&gt;$C$26,AJ58&gt;0),-MIN(AJ58,$C$19/$C$27),0)</f>
        <v/>
      </c>
      <c r="AK53">
        <f>IF(AND($C$22="Y",(AK$46-$C$9+1)&gt;$C$26,AK58&gt;0),-MIN(AK58,$C$19/$C$27),0)</f>
        <v/>
      </c>
      <c r="AL53">
        <f>IF(AND($C$22="Y",(AL$46-$C$9+1)&gt;$C$26,AL58&gt;0),-MIN(AL58,$C$19/$C$27),0)</f>
        <v/>
      </c>
      <c r="AM53">
        <f>IF(AND($C$22="Y",(AM$46-$C$9+1)&gt;$C$26,AM58&gt;0),-MIN(AM58,$C$19/$C$27),0)</f>
        <v/>
      </c>
      <c r="AN53">
        <f>IF(AND($C$22="Y",(AN$46-$C$9+1)&gt;$C$26,AN58&gt;0),-MIN(AN58,$C$19/$C$27),0)</f>
        <v/>
      </c>
      <c r="AO53">
        <f>IF(AND($C$22="Y",(AO$46-$C$9+1)&gt;$C$26,AO58&gt;0),-MIN(AO58,$C$19/$C$27),0)</f>
        <v/>
      </c>
      <c r="AP53">
        <f>IF(AND($C$22="Y",(AP$46-$C$9+1)&gt;$C$26,AP58&gt;0),-MIN(AP58,$C$19/$C$27),0)</f>
        <v/>
      </c>
      <c r="AQ53">
        <f>IF(AND($C$22="Y",(AQ$46-$C$9+1)&gt;$C$26,AQ58&gt;0),-MIN(AQ58,$C$19/$C$27),0)</f>
        <v/>
      </c>
      <c r="AR53">
        <f>IF(AND($C$22="Y",(AR$46-$C$9+1)&gt;$C$26,AR58&gt;0),-MIN(AR58,$C$19/$C$27),0)</f>
        <v/>
      </c>
      <c r="AS53">
        <f>IF(AND($C$22="Y",(AS$46-$C$9+1)&gt;$C$26,AS58&gt;0),-MIN(AS58,$C$19/$C$27),0)</f>
        <v/>
      </c>
      <c r="AT53">
        <f>IF(AND($C$22="Y",(AT$46-$C$9+1)&gt;$C$26,AT58&gt;0),-MIN(AT58,$C$19/$C$27),0)</f>
        <v/>
      </c>
      <c r="AU53">
        <f>IF(AND($C$22="Y",(AU$46-$C$9+1)&gt;$C$26,AU58&gt;0),-MIN(AU58,$C$19/$C$27),0)</f>
        <v/>
      </c>
      <c r="AV53">
        <f>IF(AND($C$22="Y",(AV$46-$C$9+1)&gt;$C$26,AV58&gt;0),-MIN(AV58,$C$19/$C$27),0)</f>
        <v/>
      </c>
      <c r="AW53">
        <f>IF(AND($C$22="Y",(AW$46-$C$9+1)&gt;$C$26,AW58&gt;0),-MIN(AW58,$C$19/$C$27),0)</f>
        <v/>
      </c>
      <c r="AX53">
        <f>IF(AND($C$22="Y",(AX$46-$C$9+1)&gt;$C$26,AX58&gt;0),-MIN(AX58,$C$19/$C$27),0)</f>
        <v/>
      </c>
      <c r="AY53">
        <f>IF(AND($C$22="Y",(AY$46-$C$9+1)&gt;$C$26,AY58&gt;0),-MIN(AY58,$C$19/$C$27),0)</f>
        <v/>
      </c>
      <c r="AZ53">
        <f>IF(AND($C$22="Y",(AZ$46-$C$9+1)&gt;$C$26,AZ58&gt;0),-MIN(AZ58,$C$19/$C$27),0)</f>
        <v/>
      </c>
      <c r="BA53">
        <f>IF(AND($C$22="Y",(BA$46-$C$9+1)&gt;$C$26,BA58&gt;0),-MIN(BA58,$C$19/$C$27),0)</f>
        <v/>
      </c>
      <c r="BB53">
        <f>IF(AND($C$22="Y",(BB$46-$C$9+1)&gt;$C$26,BB58&gt;0),-MIN(BB58,$C$19/$C$27),0)</f>
        <v/>
      </c>
    </row>
    <row r="54" ht="15" customHeight="1" s="91">
      <c r="A54" s="152" t="inlineStr">
        <is>
          <t>8  FUND CASH FLOW (Levered)  تدفقات الصندوق الممولة</t>
        </is>
      </c>
      <c r="B54" s="152" t="inlineStr">
        <is>
          <t>(helper: perDraw repay)</t>
        </is>
      </c>
      <c r="C54" s="152" t="n"/>
      <c r="D54" s="152">
        <f>SUM(E54:BB54)</f>
        <v/>
      </c>
      <c r="E54" s="152">
        <f>-E140</f>
        <v/>
      </c>
      <c r="F54" s="152">
        <f>-F140</f>
        <v/>
      </c>
      <c r="G54" s="152">
        <f>-G140</f>
        <v/>
      </c>
      <c r="H54" s="152">
        <f>-H140</f>
        <v/>
      </c>
      <c r="I54" s="152">
        <f>-I140</f>
        <v/>
      </c>
      <c r="J54" s="152">
        <f>-J140</f>
        <v/>
      </c>
      <c r="K54" s="152">
        <f>-K140</f>
        <v/>
      </c>
      <c r="L54" s="152">
        <f>-L140</f>
        <v/>
      </c>
      <c r="M54" s="152">
        <f>-M140</f>
        <v/>
      </c>
      <c r="N54" s="152">
        <f>-N140</f>
        <v/>
      </c>
      <c r="O54" s="152">
        <f>-O140</f>
        <v/>
      </c>
      <c r="P54" s="152">
        <f>-P140</f>
        <v/>
      </c>
      <c r="Q54" s="152">
        <f>-Q140</f>
        <v/>
      </c>
      <c r="R54" s="152">
        <f>-R140</f>
        <v/>
      </c>
      <c r="S54" s="152">
        <f>-S140</f>
        <v/>
      </c>
      <c r="T54" s="152">
        <f>-T140</f>
        <v/>
      </c>
      <c r="U54" s="152">
        <f>-U140</f>
        <v/>
      </c>
      <c r="V54" s="152">
        <f>-V140</f>
        <v/>
      </c>
      <c r="W54" s="152">
        <f>-W140</f>
        <v/>
      </c>
      <c r="X54" s="152">
        <f>-X140</f>
        <v/>
      </c>
      <c r="Y54" s="152">
        <f>-Y140</f>
        <v/>
      </c>
      <c r="Z54" s="152">
        <f>-Z140</f>
        <v/>
      </c>
      <c r="AA54" s="152">
        <f>-AA140</f>
        <v/>
      </c>
      <c r="AB54" s="152">
        <f>-AB140</f>
        <v/>
      </c>
      <c r="AC54" s="152">
        <f>-AC140</f>
        <v/>
      </c>
      <c r="AD54" s="152">
        <f>-AD140</f>
        <v/>
      </c>
      <c r="AE54" s="152">
        <f>-AE140</f>
        <v/>
      </c>
      <c r="AF54" s="152">
        <f>-AF140</f>
        <v/>
      </c>
      <c r="AG54" s="152">
        <f>-AG140</f>
        <v/>
      </c>
      <c r="AH54" s="152">
        <f>-AH140</f>
        <v/>
      </c>
      <c r="AI54" s="152">
        <f>-AI140</f>
        <v/>
      </c>
      <c r="AJ54" s="152">
        <f>-AJ140</f>
        <v/>
      </c>
      <c r="AK54" s="152">
        <f>-AK140</f>
        <v/>
      </c>
      <c r="AL54" s="152">
        <f>-AL140</f>
        <v/>
      </c>
      <c r="AM54" s="152">
        <f>-AM140</f>
        <v/>
      </c>
      <c r="AN54" s="152">
        <f>-AN140</f>
        <v/>
      </c>
      <c r="AO54" s="152">
        <f>-AO140</f>
        <v/>
      </c>
      <c r="AP54" s="152">
        <f>-AP140</f>
        <v/>
      </c>
      <c r="AQ54" s="152">
        <f>-AQ140</f>
        <v/>
      </c>
      <c r="AR54" s="152">
        <f>-AR140</f>
        <v/>
      </c>
      <c r="AS54" s="152">
        <f>-AS140</f>
        <v/>
      </c>
      <c r="AT54" s="152">
        <f>-AT140</f>
        <v/>
      </c>
      <c r="AU54" s="152">
        <f>-AU140</f>
        <v/>
      </c>
      <c r="AV54" s="152">
        <f>-AV140</f>
        <v/>
      </c>
      <c r="AW54" s="152">
        <f>-AW140</f>
        <v/>
      </c>
      <c r="AX54" s="152">
        <f>-AX140</f>
        <v/>
      </c>
      <c r="AY54" s="152">
        <f>-AY140</f>
        <v/>
      </c>
      <c r="AZ54" s="152">
        <f>-AZ140</f>
        <v/>
      </c>
      <c r="BA54" s="152">
        <f>-BA140</f>
        <v/>
      </c>
      <c r="BB54" s="152">
        <f>-BB140</f>
        <v/>
      </c>
    </row>
    <row r="55" ht="15" customHeight="1" s="91">
      <c r="C55" s="165" t="inlineStr">
        <is>
          <t>Unit</t>
        </is>
      </c>
      <c r="D55" s="165" t="inlineStr">
        <is>
          <t>Total</t>
        </is>
      </c>
      <c r="E55" s="166">
        <f>E$46</f>
        <v/>
      </c>
      <c r="F55" s="166">
        <f>F$46</f>
        <v/>
      </c>
      <c r="G55" s="166">
        <f>G$46</f>
        <v/>
      </c>
      <c r="H55" s="166">
        <f>H$46</f>
        <v/>
      </c>
      <c r="I55" s="166">
        <f>I$46</f>
        <v/>
      </c>
      <c r="J55" s="166">
        <f>J$46</f>
        <v/>
      </c>
      <c r="K55" s="166">
        <f>K$46</f>
        <v/>
      </c>
      <c r="L55" s="166">
        <f>L$46</f>
        <v/>
      </c>
      <c r="M55" s="166">
        <f>M$46</f>
        <v/>
      </c>
      <c r="N55" s="166">
        <f>N$46</f>
        <v/>
      </c>
      <c r="O55" s="166">
        <f>O$46</f>
        <v/>
      </c>
      <c r="P55" s="166">
        <f>P$46</f>
        <v/>
      </c>
      <c r="Q55" s="166">
        <f>Q$46</f>
        <v/>
      </c>
      <c r="R55" s="166">
        <f>R$46</f>
        <v/>
      </c>
      <c r="S55" s="166">
        <f>S$46</f>
        <v/>
      </c>
      <c r="T55" s="166">
        <f>T$46</f>
        <v/>
      </c>
      <c r="U55" s="166">
        <f>U$46</f>
        <v/>
      </c>
      <c r="V55" s="166">
        <f>V$46</f>
        <v/>
      </c>
      <c r="W55" s="166">
        <f>W$46</f>
        <v/>
      </c>
      <c r="X55" s="166">
        <f>X$46</f>
        <v/>
      </c>
      <c r="Y55" s="166">
        <f>Y$46</f>
        <v/>
      </c>
      <c r="Z55" s="166">
        <f>Z$46</f>
        <v/>
      </c>
      <c r="AA55" s="166">
        <f>AA$46</f>
        <v/>
      </c>
      <c r="AB55" s="166">
        <f>AB$46</f>
        <v/>
      </c>
      <c r="AC55" s="166">
        <f>AC$46</f>
        <v/>
      </c>
      <c r="AD55" s="166">
        <f>AD$46</f>
        <v/>
      </c>
      <c r="AE55" s="166">
        <f>AE$46</f>
        <v/>
      </c>
      <c r="AF55" s="166">
        <f>AF$46</f>
        <v/>
      </c>
      <c r="AG55" s="166">
        <f>AG$46</f>
        <v/>
      </c>
      <c r="AH55" s="166">
        <f>AH$46</f>
        <v/>
      </c>
      <c r="AI55" s="166">
        <f>AI$46</f>
        <v/>
      </c>
      <c r="AJ55" s="166">
        <f>AJ$46</f>
        <v/>
      </c>
      <c r="AK55" s="166">
        <f>AK$46</f>
        <v/>
      </c>
      <c r="AL55" s="166">
        <f>AL$46</f>
        <v/>
      </c>
      <c r="AM55" s="166">
        <f>AM$46</f>
        <v/>
      </c>
      <c r="AN55" s="166">
        <f>AN$46</f>
        <v/>
      </c>
      <c r="AO55" s="166">
        <f>AO$46</f>
        <v/>
      </c>
      <c r="AP55" s="166">
        <f>AP$46</f>
        <v/>
      </c>
      <c r="AQ55" s="166">
        <f>AQ$46</f>
        <v/>
      </c>
      <c r="AR55" s="166">
        <f>AR$46</f>
        <v/>
      </c>
      <c r="AS55" s="166">
        <f>AS$46</f>
        <v/>
      </c>
      <c r="AT55" s="166">
        <f>AT$46</f>
        <v/>
      </c>
      <c r="AU55" s="166">
        <f>AU$46</f>
        <v/>
      </c>
      <c r="AV55" s="166">
        <f>AV$46</f>
        <v/>
      </c>
      <c r="AW55" s="166">
        <f>AW$46</f>
        <v/>
      </c>
      <c r="AX55" s="166">
        <f>AX$46</f>
        <v/>
      </c>
      <c r="AY55" s="166">
        <f>AY$46</f>
        <v/>
      </c>
      <c r="AZ55" s="166">
        <f>AZ$46</f>
        <v/>
      </c>
      <c r="BA55" s="166">
        <f>BA$46</f>
        <v/>
      </c>
      <c r="BB55" s="166">
        <f>BB$46</f>
        <v/>
      </c>
    </row>
    <row r="56" ht="15" customHeight="1" s="91">
      <c r="B56" s="153" t="inlineStr">
        <is>
          <t>Equity Calls  سحب رأس المال</t>
        </is>
      </c>
      <c r="C56" s="153" t="inlineStr">
        <is>
          <t>SAR</t>
        </is>
      </c>
      <c r="D56" s="157">
        <f>SUM(E56:BB56)</f>
        <v/>
      </c>
      <c r="E56" s="160">
        <f>IF(AND(E49&lt;0,E$46&gt;=$C$9,E$46&lt;=$C$41),ABS(E49/$D$49)*$C$14,0)+E70</f>
        <v/>
      </c>
      <c r="F56" s="160">
        <f>IF(AND(F49&lt;0,F$46&gt;=$C$9,F$46&lt;=$C$41),ABS(F49/$D$49)*$C$14,0)+F70</f>
        <v/>
      </c>
      <c r="G56" s="160">
        <f>IF(AND(G49&lt;0,G$46&gt;=$C$9,G$46&lt;=$C$41),ABS(G49/$D$49)*$C$14,0)+G70</f>
        <v/>
      </c>
      <c r="H56" s="160">
        <f>IF(AND(H49&lt;0,H$46&gt;=$C$9,H$46&lt;=$C$41),ABS(H49/$D$49)*$C$14,0)+H70</f>
        <v/>
      </c>
      <c r="I56" s="160">
        <f>IF(AND(I49&lt;0,I$46&gt;=$C$9,I$46&lt;=$C$41),ABS(I49/$D$49)*$C$14,0)+I70</f>
        <v/>
      </c>
      <c r="J56" s="160">
        <f>IF(AND(J49&lt;0,J$46&gt;=$C$9,J$46&lt;=$C$41),ABS(J49/$D$49)*$C$14,0)+J70</f>
        <v/>
      </c>
      <c r="K56" s="160">
        <f>IF(AND(K49&lt;0,K$46&gt;=$C$9,K$46&lt;=$C$41),ABS(K49/$D$49)*$C$14,0)+K70</f>
        <v/>
      </c>
      <c r="L56" s="160">
        <f>IF(AND(L49&lt;0,L$46&gt;=$C$9,L$46&lt;=$C$41),ABS(L49/$D$49)*$C$14,0)+L70</f>
        <v/>
      </c>
      <c r="M56" s="160">
        <f>IF(AND(M49&lt;0,M$46&gt;=$C$9,M$46&lt;=$C$41),ABS(M49/$D$49)*$C$14,0)+M70</f>
        <v/>
      </c>
      <c r="N56" s="160">
        <f>IF(AND(N49&lt;0,N$46&gt;=$C$9,N$46&lt;=$C$41),ABS(N49/$D$49)*$C$14,0)+N70</f>
        <v/>
      </c>
      <c r="O56" s="160">
        <f>IF(AND(O49&lt;0,O$46&gt;=$C$9,O$46&lt;=$C$41),ABS(O49/$D$49)*$C$14,0)+O70</f>
        <v/>
      </c>
      <c r="P56" s="160">
        <f>IF(AND(P49&lt;0,P$46&gt;=$C$9,P$46&lt;=$C$41),ABS(P49/$D$49)*$C$14,0)+P70</f>
        <v/>
      </c>
      <c r="Q56" s="160">
        <f>IF(AND(Q49&lt;0,Q$46&gt;=$C$9,Q$46&lt;=$C$41),ABS(Q49/$D$49)*$C$14,0)+Q70</f>
        <v/>
      </c>
      <c r="R56" s="160">
        <f>IF(AND(R49&lt;0,R$46&gt;=$C$9,R$46&lt;=$C$41),ABS(R49/$D$49)*$C$14,0)+R70</f>
        <v/>
      </c>
      <c r="S56" s="160">
        <f>IF(AND(S49&lt;0,S$46&gt;=$C$9,S$46&lt;=$C$41),ABS(S49/$D$49)*$C$14,0)+S70</f>
        <v/>
      </c>
      <c r="T56" s="160">
        <f>IF(AND(T49&lt;0,T$46&gt;=$C$9,T$46&lt;=$C$41),ABS(T49/$D$49)*$C$14,0)+T70</f>
        <v/>
      </c>
      <c r="U56" s="160">
        <f>IF(AND(U49&lt;0,U$46&gt;=$C$9,U$46&lt;=$C$41),ABS(U49/$D$49)*$C$14,0)+U70</f>
        <v/>
      </c>
      <c r="V56" s="160">
        <f>IF(AND(V49&lt;0,V$46&gt;=$C$9,V$46&lt;=$C$41),ABS(V49/$D$49)*$C$14,0)+V70</f>
        <v/>
      </c>
      <c r="W56" s="160">
        <f>IF(AND(W49&lt;0,W$46&gt;=$C$9,W$46&lt;=$C$41),ABS(W49/$D$49)*$C$14,0)+W70</f>
        <v/>
      </c>
      <c r="X56" s="160">
        <f>IF(AND(X49&lt;0,X$46&gt;=$C$9,X$46&lt;=$C$41),ABS(X49/$D$49)*$C$14,0)+X70</f>
        <v/>
      </c>
      <c r="Y56" s="160">
        <f>IF(AND(Y49&lt;0,Y$46&gt;=$C$9,Y$46&lt;=$C$41),ABS(Y49/$D$49)*$C$14,0)+Y70</f>
        <v/>
      </c>
      <c r="Z56" s="160">
        <f>IF(AND(Z49&lt;0,Z$46&gt;=$C$9,Z$46&lt;=$C$41),ABS(Z49/$D$49)*$C$14,0)+Z70</f>
        <v/>
      </c>
      <c r="AA56" s="160">
        <f>IF(AND(AA49&lt;0,AA$46&gt;=$C$9,AA$46&lt;=$C$41),ABS(AA49/$D$49)*$C$14,0)+AA70</f>
        <v/>
      </c>
      <c r="AB56" s="160">
        <f>IF(AND(AB49&lt;0,AB$46&gt;=$C$9,AB$46&lt;=$C$41),ABS(AB49/$D$49)*$C$14,0)+AB70</f>
        <v/>
      </c>
      <c r="AC56" s="160">
        <f>IF(AND(AC49&lt;0,AC$46&gt;=$C$9,AC$46&lt;=$C$41),ABS(AC49/$D$49)*$C$14,0)+AC70</f>
        <v/>
      </c>
      <c r="AD56" s="160">
        <f>IF(AND(AD49&lt;0,AD$46&gt;=$C$9,AD$46&lt;=$C$41),ABS(AD49/$D$49)*$C$14,0)+AD70</f>
        <v/>
      </c>
      <c r="AE56" s="160">
        <f>IF(AND(AE49&lt;0,AE$46&gt;=$C$9,AE$46&lt;=$C$41),ABS(AE49/$D$49)*$C$14,0)+AE70</f>
        <v/>
      </c>
      <c r="AF56" s="160">
        <f>IF(AND(AF49&lt;0,AF$46&gt;=$C$9,AF$46&lt;=$C$41),ABS(AF49/$D$49)*$C$14,0)+AF70</f>
        <v/>
      </c>
      <c r="AG56" s="160">
        <f>IF(AND(AG49&lt;0,AG$46&gt;=$C$9,AG$46&lt;=$C$41),ABS(AG49/$D$49)*$C$14,0)+AG70</f>
        <v/>
      </c>
      <c r="AH56" s="160">
        <f>IF(AND(AH49&lt;0,AH$46&gt;=$C$9,AH$46&lt;=$C$41),ABS(AH49/$D$49)*$C$14,0)+AH70</f>
        <v/>
      </c>
      <c r="AI56" s="160">
        <f>IF(AND(AI49&lt;0,AI$46&gt;=$C$9,AI$46&lt;=$C$41),ABS(AI49/$D$49)*$C$14,0)+AI70</f>
        <v/>
      </c>
      <c r="AJ56" s="160">
        <f>IF(AND(AJ49&lt;0,AJ$46&gt;=$C$9,AJ$46&lt;=$C$41),ABS(AJ49/$D$49)*$C$14,0)+AJ70</f>
        <v/>
      </c>
      <c r="AK56" s="160">
        <f>IF(AND(AK49&lt;0,AK$46&gt;=$C$9,AK$46&lt;=$C$41),ABS(AK49/$D$49)*$C$14,0)+AK70</f>
        <v/>
      </c>
      <c r="AL56" s="160">
        <f>IF(AND(AL49&lt;0,AL$46&gt;=$C$9,AL$46&lt;=$C$41),ABS(AL49/$D$49)*$C$14,0)+AL70</f>
        <v/>
      </c>
      <c r="AM56" s="160">
        <f>IF(AND(AM49&lt;0,AM$46&gt;=$C$9,AM$46&lt;=$C$41),ABS(AM49/$D$49)*$C$14,0)+AM70</f>
        <v/>
      </c>
      <c r="AN56" s="160">
        <f>IF(AND(AN49&lt;0,AN$46&gt;=$C$9,AN$46&lt;=$C$41),ABS(AN49/$D$49)*$C$14,0)+AN70</f>
        <v/>
      </c>
      <c r="AO56" s="160">
        <f>IF(AND(AO49&lt;0,AO$46&gt;=$C$9,AO$46&lt;=$C$41),ABS(AO49/$D$49)*$C$14,0)+AO70</f>
        <v/>
      </c>
      <c r="AP56" s="160">
        <f>IF(AND(AP49&lt;0,AP$46&gt;=$C$9,AP$46&lt;=$C$41),ABS(AP49/$D$49)*$C$14,0)+AP70</f>
        <v/>
      </c>
      <c r="AQ56" s="160">
        <f>IF(AND(AQ49&lt;0,AQ$46&gt;=$C$9,AQ$46&lt;=$C$41),ABS(AQ49/$D$49)*$C$14,0)+AQ70</f>
        <v/>
      </c>
      <c r="AR56" s="160">
        <f>IF(AND(AR49&lt;0,AR$46&gt;=$C$9,AR$46&lt;=$C$41),ABS(AR49/$D$49)*$C$14,0)+AR70</f>
        <v/>
      </c>
      <c r="AS56" s="160">
        <f>IF(AND(AS49&lt;0,AS$46&gt;=$C$9,AS$46&lt;=$C$41),ABS(AS49/$D$49)*$C$14,0)+AS70</f>
        <v/>
      </c>
      <c r="AT56" s="160">
        <f>IF(AND(AT49&lt;0,AT$46&gt;=$C$9,AT$46&lt;=$C$41),ABS(AT49/$D$49)*$C$14,0)+AT70</f>
        <v/>
      </c>
      <c r="AU56" s="160">
        <f>IF(AND(AU49&lt;0,AU$46&gt;=$C$9,AU$46&lt;=$C$41),ABS(AU49/$D$49)*$C$14,0)+AU70</f>
        <v/>
      </c>
      <c r="AV56" s="160">
        <f>IF(AND(AV49&lt;0,AV$46&gt;=$C$9,AV$46&lt;=$C$41),ABS(AV49/$D$49)*$C$14,0)+AV70</f>
        <v/>
      </c>
      <c r="AW56" s="160">
        <f>IF(AND(AW49&lt;0,AW$46&gt;=$C$9,AW$46&lt;=$C$41),ABS(AW49/$D$49)*$C$14,0)+AW70</f>
        <v/>
      </c>
      <c r="AX56" s="160">
        <f>IF(AND(AX49&lt;0,AX$46&gt;=$C$9,AX$46&lt;=$C$41),ABS(AX49/$D$49)*$C$14,0)+AX70</f>
        <v/>
      </c>
      <c r="AY56" s="160">
        <f>IF(AND(AY49&lt;0,AY$46&gt;=$C$9,AY$46&lt;=$C$41),ABS(AY49/$D$49)*$C$14,0)+AY70</f>
        <v/>
      </c>
      <c r="AZ56" s="160">
        <f>IF(AND(AZ49&lt;0,AZ$46&gt;=$C$9,AZ$46&lt;=$C$41),ABS(AZ49/$D$49)*$C$14,0)+AZ70</f>
        <v/>
      </c>
      <c r="BA56" s="160">
        <f>IF(AND(BA49&lt;0,BA$46&gt;=$C$9,BA$46&lt;=$C$41),ABS(BA49/$D$49)*$C$14,0)+BA70</f>
        <v/>
      </c>
      <c r="BB56" s="160">
        <f>IF(AND(BB49&lt;0,BB$46&gt;=$C$9,BB$46&lt;=$C$41),ABS(BB49/$D$49)*$C$14,0)+BB70</f>
        <v/>
      </c>
    </row>
    <row r="57" ht="15" customHeight="1" s="91">
      <c r="B57" s="153" t="inlineStr">
        <is>
          <t>Debt Drawdown  سحب القرض</t>
        </is>
      </c>
      <c r="C57" s="153" t="inlineStr">
        <is>
          <t>SAR</t>
        </is>
      </c>
      <c r="D57" s="157">
        <f>SUM(E57:BB57)</f>
        <v/>
      </c>
      <c r="E57" s="160">
        <f>IF(AND($C$22="Y",E49&lt;0,E$46&gt;=$C$9,E$46&lt;=$C$41),MIN(ABS(E49/$D$49)*$C$19,MAX(0,$C$19-0)),0)</f>
        <v/>
      </c>
      <c r="F57" s="160">
        <f>IF(AND($C$22="Y",F49&lt;0,F$46&gt;=$C$9,F$46&lt;=$C$41),MIN(ABS(F49/$D$49)*$C$19,MAX(0,$C$19-E60)),0)</f>
        <v/>
      </c>
      <c r="G57" s="160">
        <f>IF(AND($C$22="Y",G49&lt;0,G$46&gt;=$C$9,G$46&lt;=$C$41),MIN(ABS(G49/$D$49)*$C$19,MAX(0,$C$19-F60)),0)</f>
        <v/>
      </c>
      <c r="H57" s="160">
        <f>IF(AND($C$22="Y",H49&lt;0,H$46&gt;=$C$9,H$46&lt;=$C$41),MIN(ABS(H49/$D$49)*$C$19,MAX(0,$C$19-G60)),0)</f>
        <v/>
      </c>
      <c r="I57" s="160">
        <f>IF(AND($C$22="Y",I49&lt;0,I$46&gt;=$C$9,I$46&lt;=$C$41),MIN(ABS(I49/$D$49)*$C$19,MAX(0,$C$19-H60)),0)</f>
        <v/>
      </c>
      <c r="J57" s="160">
        <f>IF(AND($C$22="Y",J49&lt;0,J$46&gt;=$C$9,J$46&lt;=$C$41),MIN(ABS(J49/$D$49)*$C$19,MAX(0,$C$19-I60)),0)</f>
        <v/>
      </c>
      <c r="K57" s="160">
        <f>IF(AND($C$22="Y",K49&lt;0,K$46&gt;=$C$9,K$46&lt;=$C$41),MIN(ABS(K49/$D$49)*$C$19,MAX(0,$C$19-J60)),0)</f>
        <v/>
      </c>
      <c r="L57" s="160">
        <f>IF(AND($C$22="Y",L49&lt;0,L$46&gt;=$C$9,L$46&lt;=$C$41),MIN(ABS(L49/$D$49)*$C$19,MAX(0,$C$19-K60)),0)</f>
        <v/>
      </c>
      <c r="M57" s="160">
        <f>IF(AND($C$22="Y",M49&lt;0,M$46&gt;=$C$9,M$46&lt;=$C$41),MIN(ABS(M49/$D$49)*$C$19,MAX(0,$C$19-L60)),0)</f>
        <v/>
      </c>
      <c r="N57" s="160">
        <f>IF(AND($C$22="Y",N49&lt;0,N$46&gt;=$C$9,N$46&lt;=$C$41),MIN(ABS(N49/$D$49)*$C$19,MAX(0,$C$19-M60)),0)</f>
        <v/>
      </c>
      <c r="O57" s="160">
        <f>IF(AND($C$22="Y",O49&lt;0,O$46&gt;=$C$9,O$46&lt;=$C$41),MIN(ABS(O49/$D$49)*$C$19,MAX(0,$C$19-N60)),0)</f>
        <v/>
      </c>
      <c r="P57" s="160">
        <f>IF(AND($C$22="Y",P49&lt;0,P$46&gt;=$C$9,P$46&lt;=$C$41),MIN(ABS(P49/$D$49)*$C$19,MAX(0,$C$19-O60)),0)</f>
        <v/>
      </c>
      <c r="Q57" s="160">
        <f>IF(AND($C$22="Y",Q49&lt;0,Q$46&gt;=$C$9,Q$46&lt;=$C$41),MIN(ABS(Q49/$D$49)*$C$19,MAX(0,$C$19-P60)),0)</f>
        <v/>
      </c>
      <c r="R57" s="160">
        <f>IF(AND($C$22="Y",R49&lt;0,R$46&gt;=$C$9,R$46&lt;=$C$41),MIN(ABS(R49/$D$49)*$C$19,MAX(0,$C$19-Q60)),0)</f>
        <v/>
      </c>
      <c r="S57" s="160">
        <f>IF(AND($C$22="Y",S49&lt;0,S$46&gt;=$C$9,S$46&lt;=$C$41),MIN(ABS(S49/$D$49)*$C$19,MAX(0,$C$19-R60)),0)</f>
        <v/>
      </c>
      <c r="T57" s="160">
        <f>IF(AND($C$22="Y",T49&lt;0,T$46&gt;=$C$9,T$46&lt;=$C$41),MIN(ABS(T49/$D$49)*$C$19,MAX(0,$C$19-S60)),0)</f>
        <v/>
      </c>
      <c r="U57" s="160">
        <f>IF(AND($C$22="Y",U49&lt;0,U$46&gt;=$C$9,U$46&lt;=$C$41),MIN(ABS(U49/$D$49)*$C$19,MAX(0,$C$19-T60)),0)</f>
        <v/>
      </c>
      <c r="V57" s="160">
        <f>IF(AND($C$22="Y",V49&lt;0,V$46&gt;=$C$9,V$46&lt;=$C$41),MIN(ABS(V49/$D$49)*$C$19,MAX(0,$C$19-U60)),0)</f>
        <v/>
      </c>
      <c r="W57" s="160">
        <f>IF(AND($C$22="Y",W49&lt;0,W$46&gt;=$C$9,W$46&lt;=$C$41),MIN(ABS(W49/$D$49)*$C$19,MAX(0,$C$19-V60)),0)</f>
        <v/>
      </c>
      <c r="X57" s="160">
        <f>IF(AND($C$22="Y",X49&lt;0,X$46&gt;=$C$9,X$46&lt;=$C$41),MIN(ABS(X49/$D$49)*$C$19,MAX(0,$C$19-W60)),0)</f>
        <v/>
      </c>
      <c r="Y57" s="160">
        <f>IF(AND($C$22="Y",Y49&lt;0,Y$46&gt;=$C$9,Y$46&lt;=$C$41),MIN(ABS(Y49/$D$49)*$C$19,MAX(0,$C$19-X60)),0)</f>
        <v/>
      </c>
      <c r="Z57" s="160">
        <f>IF(AND($C$22="Y",Z49&lt;0,Z$46&gt;=$C$9,Z$46&lt;=$C$41),MIN(ABS(Z49/$D$49)*$C$19,MAX(0,$C$19-Y60)),0)</f>
        <v/>
      </c>
      <c r="AA57" s="160">
        <f>IF(AND($C$22="Y",AA49&lt;0,AA$46&gt;=$C$9,AA$46&lt;=$C$41),MIN(ABS(AA49/$D$49)*$C$19,MAX(0,$C$19-Z60)),0)</f>
        <v/>
      </c>
      <c r="AB57" s="160">
        <f>IF(AND($C$22="Y",AB49&lt;0,AB$46&gt;=$C$9,AB$46&lt;=$C$41),MIN(ABS(AB49/$D$49)*$C$19,MAX(0,$C$19-AA60)),0)</f>
        <v/>
      </c>
      <c r="AC57" s="160">
        <f>IF(AND($C$22="Y",AC49&lt;0,AC$46&gt;=$C$9,AC$46&lt;=$C$41),MIN(ABS(AC49/$D$49)*$C$19,MAX(0,$C$19-AB60)),0)</f>
        <v/>
      </c>
      <c r="AD57" s="160">
        <f>IF(AND($C$22="Y",AD49&lt;0,AD$46&gt;=$C$9,AD$46&lt;=$C$41),MIN(ABS(AD49/$D$49)*$C$19,MAX(0,$C$19-AC60)),0)</f>
        <v/>
      </c>
      <c r="AE57" s="160">
        <f>IF(AND($C$22="Y",AE49&lt;0,AE$46&gt;=$C$9,AE$46&lt;=$C$41),MIN(ABS(AE49/$D$49)*$C$19,MAX(0,$C$19-AD60)),0)</f>
        <v/>
      </c>
      <c r="AF57" s="160">
        <f>IF(AND($C$22="Y",AF49&lt;0,AF$46&gt;=$C$9,AF$46&lt;=$C$41),MIN(ABS(AF49/$D$49)*$C$19,MAX(0,$C$19-AE60)),0)</f>
        <v/>
      </c>
      <c r="AG57" s="160">
        <f>IF(AND($C$22="Y",AG49&lt;0,AG$46&gt;=$C$9,AG$46&lt;=$C$41),MIN(ABS(AG49/$D$49)*$C$19,MAX(0,$C$19-AF60)),0)</f>
        <v/>
      </c>
      <c r="AH57" s="160">
        <f>IF(AND($C$22="Y",AH49&lt;0,AH$46&gt;=$C$9,AH$46&lt;=$C$41),MIN(ABS(AH49/$D$49)*$C$19,MAX(0,$C$19-AG60)),0)</f>
        <v/>
      </c>
      <c r="AI57" s="160">
        <f>IF(AND($C$22="Y",AI49&lt;0,AI$46&gt;=$C$9,AI$46&lt;=$C$41),MIN(ABS(AI49/$D$49)*$C$19,MAX(0,$C$19-AH60)),0)</f>
        <v/>
      </c>
      <c r="AJ57" s="160">
        <f>IF(AND($C$22="Y",AJ49&lt;0,AJ$46&gt;=$C$9,AJ$46&lt;=$C$41),MIN(ABS(AJ49/$D$49)*$C$19,MAX(0,$C$19-AI60)),0)</f>
        <v/>
      </c>
      <c r="AK57" s="160">
        <f>IF(AND($C$22="Y",AK49&lt;0,AK$46&gt;=$C$9,AK$46&lt;=$C$41),MIN(ABS(AK49/$D$49)*$C$19,MAX(0,$C$19-AJ60)),0)</f>
        <v/>
      </c>
      <c r="AL57" s="160">
        <f>IF(AND($C$22="Y",AL49&lt;0,AL$46&gt;=$C$9,AL$46&lt;=$C$41),MIN(ABS(AL49/$D$49)*$C$19,MAX(0,$C$19-AK60)),0)</f>
        <v/>
      </c>
      <c r="AM57" s="160">
        <f>IF(AND($C$22="Y",AM49&lt;0,AM$46&gt;=$C$9,AM$46&lt;=$C$41),MIN(ABS(AM49/$D$49)*$C$19,MAX(0,$C$19-AL60)),0)</f>
        <v/>
      </c>
      <c r="AN57" s="160">
        <f>IF(AND($C$22="Y",AN49&lt;0,AN$46&gt;=$C$9,AN$46&lt;=$C$41),MIN(ABS(AN49/$D$49)*$C$19,MAX(0,$C$19-AM60)),0)</f>
        <v/>
      </c>
      <c r="AO57" s="160">
        <f>IF(AND($C$22="Y",AO49&lt;0,AO$46&gt;=$C$9,AO$46&lt;=$C$41),MIN(ABS(AO49/$D$49)*$C$19,MAX(0,$C$19-AN60)),0)</f>
        <v/>
      </c>
      <c r="AP57" s="160">
        <f>IF(AND($C$22="Y",AP49&lt;0,AP$46&gt;=$C$9,AP$46&lt;=$C$41),MIN(ABS(AP49/$D$49)*$C$19,MAX(0,$C$19-AO60)),0)</f>
        <v/>
      </c>
      <c r="AQ57" s="160">
        <f>IF(AND($C$22="Y",AQ49&lt;0,AQ$46&gt;=$C$9,AQ$46&lt;=$C$41),MIN(ABS(AQ49/$D$49)*$C$19,MAX(0,$C$19-AP60)),0)</f>
        <v/>
      </c>
      <c r="AR57" s="160">
        <f>IF(AND($C$22="Y",AR49&lt;0,AR$46&gt;=$C$9,AR$46&lt;=$C$41),MIN(ABS(AR49/$D$49)*$C$19,MAX(0,$C$19-AQ60)),0)</f>
        <v/>
      </c>
      <c r="AS57" s="160">
        <f>IF(AND($C$22="Y",AS49&lt;0,AS$46&gt;=$C$9,AS$46&lt;=$C$41),MIN(ABS(AS49/$D$49)*$C$19,MAX(0,$C$19-AR60)),0)</f>
        <v/>
      </c>
      <c r="AT57" s="160">
        <f>IF(AND($C$22="Y",AT49&lt;0,AT$46&gt;=$C$9,AT$46&lt;=$C$41),MIN(ABS(AT49/$D$49)*$C$19,MAX(0,$C$19-AS60)),0)</f>
        <v/>
      </c>
      <c r="AU57" s="160">
        <f>IF(AND($C$22="Y",AU49&lt;0,AU$46&gt;=$C$9,AU$46&lt;=$C$41),MIN(ABS(AU49/$D$49)*$C$19,MAX(0,$C$19-AT60)),0)</f>
        <v/>
      </c>
      <c r="AV57" s="160">
        <f>IF(AND($C$22="Y",AV49&lt;0,AV$46&gt;=$C$9,AV$46&lt;=$C$41),MIN(ABS(AV49/$D$49)*$C$19,MAX(0,$C$19-AU60)),0)</f>
        <v/>
      </c>
      <c r="AW57" s="160">
        <f>IF(AND($C$22="Y",AW49&lt;0,AW$46&gt;=$C$9,AW$46&lt;=$C$41),MIN(ABS(AW49/$D$49)*$C$19,MAX(0,$C$19-AV60)),0)</f>
        <v/>
      </c>
      <c r="AX57" s="160">
        <f>IF(AND($C$22="Y",AX49&lt;0,AX$46&gt;=$C$9,AX$46&lt;=$C$41),MIN(ABS(AX49/$D$49)*$C$19,MAX(0,$C$19-AW60)),0)</f>
        <v/>
      </c>
      <c r="AY57" s="160">
        <f>IF(AND($C$22="Y",AY49&lt;0,AY$46&gt;=$C$9,AY$46&lt;=$C$41),MIN(ABS(AY49/$D$49)*$C$19,MAX(0,$C$19-AX60)),0)</f>
        <v/>
      </c>
      <c r="AZ57" s="160">
        <f>IF(AND($C$22="Y",AZ49&lt;0,AZ$46&gt;=$C$9,AZ$46&lt;=$C$41),MIN(ABS(AZ49/$D$49)*$C$19,MAX(0,$C$19-AY60)),0)</f>
        <v/>
      </c>
      <c r="BA57" s="160">
        <f>IF(AND($C$22="Y",BA49&lt;0,BA$46&gt;=$C$9,BA$46&lt;=$C$41),MIN(ABS(BA49/$D$49)*$C$19,MAX(0,$C$19-AZ60)),0)</f>
        <v/>
      </c>
      <c r="BB57" s="160">
        <f>IF(AND($C$22="Y",BB49&lt;0,BB$46&gt;=$C$9,BB$46&lt;=$C$41),MIN(ABS(BB49/$D$49)*$C$19,MAX(0,$C$19-BA60)),0)</f>
        <v/>
      </c>
    </row>
    <row r="58" ht="15" customHeight="1" s="91">
      <c r="B58" s="153" t="inlineStr">
        <is>
          <t>Debt Balance (Open)  رصيد الدين بداية السنة</t>
        </is>
      </c>
      <c r="C58" s="153" t="inlineStr">
        <is>
          <t>SAR</t>
        </is>
      </c>
      <c r="D58" s="160">
        <f>SUM(E58:BB58)</f>
        <v/>
      </c>
      <c r="E58" s="160">
        <f>0</f>
        <v/>
      </c>
      <c r="F58" s="160">
        <f>E60</f>
        <v/>
      </c>
      <c r="G58" s="160">
        <f>F60</f>
        <v/>
      </c>
      <c r="H58" s="160">
        <f>G60</f>
        <v/>
      </c>
      <c r="I58" s="160">
        <f>H60</f>
        <v/>
      </c>
      <c r="J58" s="160">
        <f>I60</f>
        <v/>
      </c>
      <c r="K58" s="160">
        <f>J60</f>
        <v/>
      </c>
      <c r="L58" s="160">
        <f>K60</f>
        <v/>
      </c>
      <c r="M58" s="160">
        <f>L60</f>
        <v/>
      </c>
      <c r="N58" s="160">
        <f>M60</f>
        <v/>
      </c>
      <c r="O58" s="160">
        <f>N60</f>
        <v/>
      </c>
      <c r="P58" s="160">
        <f>O60</f>
        <v/>
      </c>
      <c r="Q58" s="160">
        <f>P60</f>
        <v/>
      </c>
      <c r="R58" s="160">
        <f>Q60</f>
        <v/>
      </c>
      <c r="S58" s="160">
        <f>R60</f>
        <v/>
      </c>
      <c r="T58" s="160">
        <f>S60</f>
        <v/>
      </c>
      <c r="U58" s="160">
        <f>T60</f>
        <v/>
      </c>
      <c r="V58" s="160">
        <f>U60</f>
        <v/>
      </c>
      <c r="W58" s="160">
        <f>V60</f>
        <v/>
      </c>
      <c r="X58" s="160">
        <f>W60</f>
        <v/>
      </c>
      <c r="Y58" s="160">
        <f>X60</f>
        <v/>
      </c>
      <c r="Z58" s="160">
        <f>Y60</f>
        <v/>
      </c>
      <c r="AA58" s="160">
        <f>Z60</f>
        <v/>
      </c>
      <c r="AB58" s="160">
        <f>AA60</f>
        <v/>
      </c>
      <c r="AC58" s="160">
        <f>AB60</f>
        <v/>
      </c>
      <c r="AD58" s="160">
        <f>AC60</f>
        <v/>
      </c>
      <c r="AE58" s="160">
        <f>AD60</f>
        <v/>
      </c>
      <c r="AF58" s="160">
        <f>AE60</f>
        <v/>
      </c>
      <c r="AG58" s="160">
        <f>AF60</f>
        <v/>
      </c>
      <c r="AH58" s="160">
        <f>AG60</f>
        <v/>
      </c>
      <c r="AI58" s="160">
        <f>AH60</f>
        <v/>
      </c>
      <c r="AJ58" s="160">
        <f>AI60</f>
        <v/>
      </c>
      <c r="AK58" s="160">
        <f>AJ60</f>
        <v/>
      </c>
      <c r="AL58" s="160">
        <f>AK60</f>
        <v/>
      </c>
      <c r="AM58" s="160">
        <f>AL60</f>
        <v/>
      </c>
      <c r="AN58" s="160">
        <f>AM60</f>
        <v/>
      </c>
      <c r="AO58" s="160">
        <f>AN60</f>
        <v/>
      </c>
      <c r="AP58" s="160">
        <f>AO60</f>
        <v/>
      </c>
      <c r="AQ58" s="160">
        <f>AP60</f>
        <v/>
      </c>
      <c r="AR58" s="160">
        <f>AQ60</f>
        <v/>
      </c>
      <c r="AS58" s="160">
        <f>AR60</f>
        <v/>
      </c>
      <c r="AT58" s="160">
        <f>AS60</f>
        <v/>
      </c>
      <c r="AU58" s="160">
        <f>AT60</f>
        <v/>
      </c>
      <c r="AV58" s="160">
        <f>AU60</f>
        <v/>
      </c>
      <c r="AW58" s="160">
        <f>AV60</f>
        <v/>
      </c>
      <c r="AX58" s="160">
        <f>AW60</f>
        <v/>
      </c>
      <c r="AY58" s="160">
        <f>AX60</f>
        <v/>
      </c>
      <c r="AZ58" s="160">
        <f>AY60</f>
        <v/>
      </c>
      <c r="BA58" s="160">
        <f>AZ60</f>
        <v/>
      </c>
      <c r="BB58" s="160">
        <f>BA60</f>
        <v/>
      </c>
    </row>
    <row r="59" ht="15" customHeight="1" s="91">
      <c r="B59" s="153" t="inlineStr">
        <is>
          <t>Debt Repayment  سداد أصل الدين</t>
        </is>
      </c>
      <c r="C59" s="153" t="inlineStr">
        <is>
          <t>SAR</t>
        </is>
      </c>
      <c r="D59" s="157">
        <f>SUM(E59:BB59)</f>
        <v/>
      </c>
      <c r="E59" s="160">
        <f>IF($C$28="perDraw",E54,E53)</f>
        <v/>
      </c>
      <c r="F59" s="160">
        <f>IF($C$28="perDraw",F54,F53)</f>
        <v/>
      </c>
      <c r="G59" s="160">
        <f>IF($C$28="perDraw",G54,G53)</f>
        <v/>
      </c>
      <c r="H59" s="160">
        <f>IF($C$28="perDraw",H54,H53)</f>
        <v/>
      </c>
      <c r="I59" s="160">
        <f>IF($C$28="perDraw",I54,I53)</f>
        <v/>
      </c>
      <c r="J59" s="160">
        <f>IF($C$28="perDraw",J54,J53)</f>
        <v/>
      </c>
      <c r="K59" s="160">
        <f>IF($C$28="perDraw",K54,K53)</f>
        <v/>
      </c>
      <c r="L59" s="160">
        <f>IF($C$28="perDraw",L54,L53)</f>
        <v/>
      </c>
      <c r="M59" s="160">
        <f>IF($C$28="perDraw",M54,M53)</f>
        <v/>
      </c>
      <c r="N59" s="160">
        <f>IF($C$28="perDraw",N54,N53)</f>
        <v/>
      </c>
      <c r="O59" s="160">
        <f>IF($C$28="perDraw",O54,O53)</f>
        <v/>
      </c>
      <c r="P59" s="160">
        <f>IF($C$28="perDraw",P54,P53)</f>
        <v/>
      </c>
      <c r="Q59" s="160">
        <f>IF($C$28="perDraw",Q54,Q53)</f>
        <v/>
      </c>
      <c r="R59" s="160">
        <f>IF($C$28="perDraw",R54,R53)</f>
        <v/>
      </c>
      <c r="S59" s="160">
        <f>IF($C$28="perDraw",S54,S53)</f>
        <v/>
      </c>
      <c r="T59" s="160">
        <f>IF($C$28="perDraw",T54,T53)</f>
        <v/>
      </c>
      <c r="U59" s="160">
        <f>IF($C$28="perDraw",U54,U53)</f>
        <v/>
      </c>
      <c r="V59" s="160">
        <f>IF($C$28="perDraw",V54,V53)</f>
        <v/>
      </c>
      <c r="W59" s="160">
        <f>IF($C$28="perDraw",W54,W53)</f>
        <v/>
      </c>
      <c r="X59" s="160">
        <f>IF($C$28="perDraw",X54,X53)</f>
        <v/>
      </c>
      <c r="Y59" s="160">
        <f>IF($C$28="perDraw",Y54,Y53)</f>
        <v/>
      </c>
      <c r="Z59" s="160">
        <f>IF($C$28="perDraw",Z54,Z53)</f>
        <v/>
      </c>
      <c r="AA59" s="160">
        <f>IF($C$28="perDraw",AA54,AA53)</f>
        <v/>
      </c>
      <c r="AB59" s="160">
        <f>IF($C$28="perDraw",AB54,AB53)</f>
        <v/>
      </c>
      <c r="AC59" s="160">
        <f>IF($C$28="perDraw",AC54,AC53)</f>
        <v/>
      </c>
      <c r="AD59" s="160">
        <f>IF($C$28="perDraw",AD54,AD53)</f>
        <v/>
      </c>
      <c r="AE59" s="160">
        <f>IF($C$28="perDraw",AE54,AE53)</f>
        <v/>
      </c>
      <c r="AF59" s="160">
        <f>IF($C$28="perDraw",AF54,AF53)</f>
        <v/>
      </c>
      <c r="AG59" s="160">
        <f>IF($C$28="perDraw",AG54,AG53)</f>
        <v/>
      </c>
      <c r="AH59" s="160">
        <f>IF($C$28="perDraw",AH54,AH53)</f>
        <v/>
      </c>
      <c r="AI59" s="160">
        <f>IF($C$28="perDraw",AI54,AI53)</f>
        <v/>
      </c>
      <c r="AJ59" s="160">
        <f>IF($C$28="perDraw",AJ54,AJ53)</f>
        <v/>
      </c>
      <c r="AK59" s="160">
        <f>IF($C$28="perDraw",AK54,AK53)</f>
        <v/>
      </c>
      <c r="AL59" s="160">
        <f>IF($C$28="perDraw",AL54,AL53)</f>
        <v/>
      </c>
      <c r="AM59" s="160">
        <f>IF($C$28="perDraw",AM54,AM53)</f>
        <v/>
      </c>
      <c r="AN59" s="160">
        <f>IF($C$28="perDraw",AN54,AN53)</f>
        <v/>
      </c>
      <c r="AO59" s="160">
        <f>IF($C$28="perDraw",AO54,AO53)</f>
        <v/>
      </c>
      <c r="AP59" s="160">
        <f>IF($C$28="perDraw",AP54,AP53)</f>
        <v/>
      </c>
      <c r="AQ59" s="160">
        <f>IF($C$28="perDraw",AQ54,AQ53)</f>
        <v/>
      </c>
      <c r="AR59" s="160">
        <f>IF($C$28="perDraw",AR54,AR53)</f>
        <v/>
      </c>
      <c r="AS59" s="160">
        <f>IF($C$28="perDraw",AS54,AS53)</f>
        <v/>
      </c>
      <c r="AT59" s="160">
        <f>IF($C$28="perDraw",AT54,AT53)</f>
        <v/>
      </c>
      <c r="AU59" s="160">
        <f>IF($C$28="perDraw",AU54,AU53)</f>
        <v/>
      </c>
      <c r="AV59" s="160">
        <f>IF($C$28="perDraw",AV54,AV53)</f>
        <v/>
      </c>
      <c r="AW59" s="160">
        <f>IF($C$28="perDraw",AW54,AW53)</f>
        <v/>
      </c>
      <c r="AX59" s="160">
        <f>IF($C$28="perDraw",AX54,AX53)</f>
        <v/>
      </c>
      <c r="AY59" s="160">
        <f>IF($C$28="perDraw",AY54,AY53)</f>
        <v/>
      </c>
      <c r="AZ59" s="160">
        <f>IF($C$28="perDraw",AZ54,AZ53)</f>
        <v/>
      </c>
      <c r="BA59" s="160">
        <f>IF($C$28="perDraw",BA54,BA53)</f>
        <v/>
      </c>
      <c r="BB59" s="160">
        <f>IF($C$28="perDraw",BB54,BB53)</f>
        <v/>
      </c>
    </row>
    <row r="60" ht="15" customHeight="1" s="91">
      <c r="B60" s="153" t="inlineStr">
        <is>
          <t>Debt Balance (Close)  رصيد الدين نهاية السنة</t>
        </is>
      </c>
      <c r="C60" s="153" t="inlineStr">
        <is>
          <t>SAR</t>
        </is>
      </c>
      <c r="D60" s="160">
        <f>SUM(E60:BB60)</f>
        <v/>
      </c>
      <c r="E60" s="160">
        <f>MAX(0,E58+E57+E59)</f>
        <v/>
      </c>
      <c r="F60" s="160">
        <f>MAX(0,F58+F57+F59)</f>
        <v/>
      </c>
      <c r="G60" s="160">
        <f>MAX(0,G58+G57+G59)</f>
        <v/>
      </c>
      <c r="H60" s="160">
        <f>MAX(0,H58+H57+H59)</f>
        <v/>
      </c>
      <c r="I60" s="160">
        <f>MAX(0,I58+I57+I59)</f>
        <v/>
      </c>
      <c r="J60" s="160">
        <f>MAX(0,J58+J57+J59)</f>
        <v/>
      </c>
      <c r="K60" s="160">
        <f>MAX(0,K58+K57+K59)</f>
        <v/>
      </c>
      <c r="L60" s="160">
        <f>MAX(0,L58+L57+L59)</f>
        <v/>
      </c>
      <c r="M60" s="160">
        <f>MAX(0,M58+M57+M59)</f>
        <v/>
      </c>
      <c r="N60" s="160">
        <f>MAX(0,N58+N57+N59)</f>
        <v/>
      </c>
      <c r="O60" s="160">
        <f>MAX(0,O58+O57+O59)</f>
        <v/>
      </c>
      <c r="P60" s="160">
        <f>MAX(0,P58+P57+P59)</f>
        <v/>
      </c>
      <c r="Q60" s="160">
        <f>MAX(0,Q58+Q57+Q59)</f>
        <v/>
      </c>
      <c r="R60" s="160">
        <f>MAX(0,R58+R57+R59)</f>
        <v/>
      </c>
      <c r="S60" s="160">
        <f>MAX(0,S58+S57+S59)</f>
        <v/>
      </c>
      <c r="T60" s="160">
        <f>MAX(0,T58+T57+T59)</f>
        <v/>
      </c>
      <c r="U60" s="160">
        <f>MAX(0,U58+U57+U59)</f>
        <v/>
      </c>
      <c r="V60" s="160">
        <f>MAX(0,V58+V57+V59)</f>
        <v/>
      </c>
      <c r="W60" s="160">
        <f>MAX(0,W58+W57+W59)</f>
        <v/>
      </c>
      <c r="X60" s="160">
        <f>MAX(0,X58+X57+X59)</f>
        <v/>
      </c>
      <c r="Y60" s="160">
        <f>MAX(0,Y58+Y57+Y59)</f>
        <v/>
      </c>
      <c r="Z60" s="160">
        <f>MAX(0,Z58+Z57+Z59)</f>
        <v/>
      </c>
      <c r="AA60" s="160">
        <f>MAX(0,AA58+AA57+AA59)</f>
        <v/>
      </c>
      <c r="AB60" s="160">
        <f>MAX(0,AB58+AB57+AB59)</f>
        <v/>
      </c>
      <c r="AC60" s="160">
        <f>MAX(0,AC58+AC57+AC59)</f>
        <v/>
      </c>
      <c r="AD60" s="160">
        <f>MAX(0,AD58+AD57+AD59)</f>
        <v/>
      </c>
      <c r="AE60" s="160">
        <f>MAX(0,AE58+AE57+AE59)</f>
        <v/>
      </c>
      <c r="AF60" s="160">
        <f>MAX(0,AF58+AF57+AF59)</f>
        <v/>
      </c>
      <c r="AG60" s="160">
        <f>MAX(0,AG58+AG57+AG59)</f>
        <v/>
      </c>
      <c r="AH60" s="160">
        <f>MAX(0,AH58+AH57+AH59)</f>
        <v/>
      </c>
      <c r="AI60" s="160">
        <f>MAX(0,AI58+AI57+AI59)</f>
        <v/>
      </c>
      <c r="AJ60" s="160">
        <f>MAX(0,AJ58+AJ57+AJ59)</f>
        <v/>
      </c>
      <c r="AK60" s="160">
        <f>MAX(0,AK58+AK57+AK59)</f>
        <v/>
      </c>
      <c r="AL60" s="160">
        <f>MAX(0,AL58+AL57+AL59)</f>
        <v/>
      </c>
      <c r="AM60" s="160">
        <f>MAX(0,AM58+AM57+AM59)</f>
        <v/>
      </c>
      <c r="AN60" s="160">
        <f>MAX(0,AN58+AN57+AN59)</f>
        <v/>
      </c>
      <c r="AO60" s="160">
        <f>MAX(0,AO58+AO57+AO59)</f>
        <v/>
      </c>
      <c r="AP60" s="160">
        <f>MAX(0,AP58+AP57+AP59)</f>
        <v/>
      </c>
      <c r="AQ60" s="160">
        <f>MAX(0,AQ58+AQ57+AQ59)</f>
        <v/>
      </c>
      <c r="AR60" s="160">
        <f>MAX(0,AR58+AR57+AR59)</f>
        <v/>
      </c>
      <c r="AS60" s="160">
        <f>MAX(0,AS58+AS57+AS59)</f>
        <v/>
      </c>
      <c r="AT60" s="160">
        <f>MAX(0,AT58+AT57+AT59)</f>
        <v/>
      </c>
      <c r="AU60" s="160">
        <f>MAX(0,AU58+AU57+AU59)</f>
        <v/>
      </c>
      <c r="AV60" s="160">
        <f>MAX(0,AV58+AV57+AV59)</f>
        <v/>
      </c>
      <c r="AW60" s="160">
        <f>MAX(0,AW58+AW57+AW59)</f>
        <v/>
      </c>
      <c r="AX60" s="160">
        <f>MAX(0,AX58+AX57+AX59)</f>
        <v/>
      </c>
      <c r="AY60" s="160">
        <f>MAX(0,AY58+AY57+AY59)</f>
        <v/>
      </c>
      <c r="AZ60" s="160">
        <f>MAX(0,AZ58+AZ57+AZ59)</f>
        <v/>
      </c>
      <c r="BA60" s="160">
        <f>MAX(0,BA58+BA57+BA59)</f>
        <v/>
      </c>
      <c r="BB60" s="160">
        <f>MAX(0,BB58+BB57+BB59)</f>
        <v/>
      </c>
    </row>
    <row r="61" ht="15" customHeight="1" s="91">
      <c r="B61" s="153" t="inlineStr">
        <is>
          <t>Debt Interest  تكلفة التمويل</t>
        </is>
      </c>
      <c r="C61" s="153" t="inlineStr">
        <is>
          <t>SAR</t>
        </is>
      </c>
      <c r="D61" s="157">
        <f>SUM(E61:BB61)</f>
        <v/>
      </c>
      <c r="E61" s="160">
        <f>IF(AND($C$22="Y",E58+E60&gt;0),-(E58+E60)/2*$C$23,0)-ABS(E57)*$C$25</f>
        <v/>
      </c>
      <c r="F61" s="160">
        <f>IF(AND($C$22="Y",F58+F60&gt;0),-(F58+F60)/2*$C$23,0)-ABS(F57)*$C$25</f>
        <v/>
      </c>
      <c r="G61" s="160">
        <f>IF(AND($C$22="Y",G58+G60&gt;0),-(G58+G60)/2*$C$23,0)-ABS(G57)*$C$25</f>
        <v/>
      </c>
      <c r="H61" s="160">
        <f>IF(AND($C$22="Y",H58+H60&gt;0),-(H58+H60)/2*$C$23,0)-ABS(H57)*$C$25</f>
        <v/>
      </c>
      <c r="I61" s="160">
        <f>IF(AND($C$22="Y",I58+I60&gt;0),-(I58+I60)/2*$C$23,0)-ABS(I57)*$C$25</f>
        <v/>
      </c>
      <c r="J61" s="160">
        <f>IF(AND($C$22="Y",J58+J60&gt;0),-(J58+J60)/2*$C$23,0)-ABS(J57)*$C$25</f>
        <v/>
      </c>
      <c r="K61" s="160">
        <f>IF(AND($C$22="Y",K58+K60&gt;0),-(K58+K60)/2*$C$23,0)-ABS(K57)*$C$25</f>
        <v/>
      </c>
      <c r="L61" s="160">
        <f>IF(AND($C$22="Y",L58+L60&gt;0),-(L58+L60)/2*$C$23,0)-ABS(L57)*$C$25</f>
        <v/>
      </c>
      <c r="M61" s="160">
        <f>IF(AND($C$22="Y",M58+M60&gt;0),-(M58+M60)/2*$C$23,0)-ABS(M57)*$C$25</f>
        <v/>
      </c>
      <c r="N61" s="160">
        <f>IF(AND($C$22="Y",N58+N60&gt;0),-(N58+N60)/2*$C$23,0)-ABS(N57)*$C$25</f>
        <v/>
      </c>
      <c r="O61" s="160">
        <f>IF(AND($C$22="Y",O58+O60&gt;0),-(O58+O60)/2*$C$23,0)-ABS(O57)*$C$25</f>
        <v/>
      </c>
      <c r="P61" s="160">
        <f>IF(AND($C$22="Y",P58+P60&gt;0),-(P58+P60)/2*$C$23,0)-ABS(P57)*$C$25</f>
        <v/>
      </c>
      <c r="Q61" s="160">
        <f>IF(AND($C$22="Y",Q58+Q60&gt;0),-(Q58+Q60)/2*$C$23,0)-ABS(Q57)*$C$25</f>
        <v/>
      </c>
      <c r="R61" s="160">
        <f>IF(AND($C$22="Y",R58+R60&gt;0),-(R58+R60)/2*$C$23,0)-ABS(R57)*$C$25</f>
        <v/>
      </c>
      <c r="S61" s="160">
        <f>IF(AND($C$22="Y",S58+S60&gt;0),-(S58+S60)/2*$C$23,0)-ABS(S57)*$C$25</f>
        <v/>
      </c>
      <c r="T61" s="160">
        <f>IF(AND($C$22="Y",T58+T60&gt;0),-(T58+T60)/2*$C$23,0)-ABS(T57)*$C$25</f>
        <v/>
      </c>
      <c r="U61" s="160">
        <f>IF(AND($C$22="Y",U58+U60&gt;0),-(U58+U60)/2*$C$23,0)-ABS(U57)*$C$25</f>
        <v/>
      </c>
      <c r="V61" s="160">
        <f>IF(AND($C$22="Y",V58+V60&gt;0),-(V58+V60)/2*$C$23,0)-ABS(V57)*$C$25</f>
        <v/>
      </c>
      <c r="W61" s="160">
        <f>IF(AND($C$22="Y",W58+W60&gt;0),-(W58+W60)/2*$C$23,0)-ABS(W57)*$C$25</f>
        <v/>
      </c>
      <c r="X61" s="160">
        <f>IF(AND($C$22="Y",X58+X60&gt;0),-(X58+X60)/2*$C$23,0)-ABS(X57)*$C$25</f>
        <v/>
      </c>
      <c r="Y61" s="160">
        <f>IF(AND($C$22="Y",Y58+Y60&gt;0),-(Y58+Y60)/2*$C$23,0)-ABS(Y57)*$C$25</f>
        <v/>
      </c>
      <c r="Z61" s="160">
        <f>IF(AND($C$22="Y",Z58+Z60&gt;0),-(Z58+Z60)/2*$C$23,0)-ABS(Z57)*$C$25</f>
        <v/>
      </c>
      <c r="AA61" s="160">
        <f>IF(AND($C$22="Y",AA58+AA60&gt;0),-(AA58+AA60)/2*$C$23,0)-ABS(AA57)*$C$25</f>
        <v/>
      </c>
      <c r="AB61" s="160">
        <f>IF(AND($C$22="Y",AB58+AB60&gt;0),-(AB58+AB60)/2*$C$23,0)-ABS(AB57)*$C$25</f>
        <v/>
      </c>
      <c r="AC61" s="160">
        <f>IF(AND($C$22="Y",AC58+AC60&gt;0),-(AC58+AC60)/2*$C$23,0)-ABS(AC57)*$C$25</f>
        <v/>
      </c>
      <c r="AD61" s="160">
        <f>IF(AND($C$22="Y",AD58+AD60&gt;0),-(AD58+AD60)/2*$C$23,0)-ABS(AD57)*$C$25</f>
        <v/>
      </c>
      <c r="AE61" s="160">
        <f>IF(AND($C$22="Y",AE58+AE60&gt;0),-(AE58+AE60)/2*$C$23,0)-ABS(AE57)*$C$25</f>
        <v/>
      </c>
      <c r="AF61" s="160">
        <f>IF(AND($C$22="Y",AF58+AF60&gt;0),-(AF58+AF60)/2*$C$23,0)-ABS(AF57)*$C$25</f>
        <v/>
      </c>
      <c r="AG61" s="160">
        <f>IF(AND($C$22="Y",AG58+AG60&gt;0),-(AG58+AG60)/2*$C$23,0)-ABS(AG57)*$C$25</f>
        <v/>
      </c>
      <c r="AH61" s="160">
        <f>IF(AND($C$22="Y",AH58+AH60&gt;0),-(AH58+AH60)/2*$C$23,0)-ABS(AH57)*$C$25</f>
        <v/>
      </c>
      <c r="AI61" s="160">
        <f>IF(AND($C$22="Y",AI58+AI60&gt;0),-(AI58+AI60)/2*$C$23,0)-ABS(AI57)*$C$25</f>
        <v/>
      </c>
      <c r="AJ61" s="160">
        <f>IF(AND($C$22="Y",AJ58+AJ60&gt;0),-(AJ58+AJ60)/2*$C$23,0)-ABS(AJ57)*$C$25</f>
        <v/>
      </c>
      <c r="AK61" s="160">
        <f>IF(AND($C$22="Y",AK58+AK60&gt;0),-(AK58+AK60)/2*$C$23,0)-ABS(AK57)*$C$25</f>
        <v/>
      </c>
      <c r="AL61" s="160">
        <f>IF(AND($C$22="Y",AL58+AL60&gt;0),-(AL58+AL60)/2*$C$23,0)-ABS(AL57)*$C$25</f>
        <v/>
      </c>
      <c r="AM61" s="160">
        <f>IF(AND($C$22="Y",AM58+AM60&gt;0),-(AM58+AM60)/2*$C$23,0)-ABS(AM57)*$C$25</f>
        <v/>
      </c>
      <c r="AN61" s="160">
        <f>IF(AND($C$22="Y",AN58+AN60&gt;0),-(AN58+AN60)/2*$C$23,0)-ABS(AN57)*$C$25</f>
        <v/>
      </c>
      <c r="AO61" s="160">
        <f>IF(AND($C$22="Y",AO58+AO60&gt;0),-(AO58+AO60)/2*$C$23,0)-ABS(AO57)*$C$25</f>
        <v/>
      </c>
      <c r="AP61" s="160">
        <f>IF(AND($C$22="Y",AP58+AP60&gt;0),-(AP58+AP60)/2*$C$23,0)-ABS(AP57)*$C$25</f>
        <v/>
      </c>
      <c r="AQ61" s="160">
        <f>IF(AND($C$22="Y",AQ58+AQ60&gt;0),-(AQ58+AQ60)/2*$C$23,0)-ABS(AQ57)*$C$25</f>
        <v/>
      </c>
      <c r="AR61" s="160">
        <f>IF(AND($C$22="Y",AR58+AR60&gt;0),-(AR58+AR60)/2*$C$23,0)-ABS(AR57)*$C$25</f>
        <v/>
      </c>
      <c r="AS61" s="160">
        <f>IF(AND($C$22="Y",AS58+AS60&gt;0),-(AS58+AS60)/2*$C$23,0)-ABS(AS57)*$C$25</f>
        <v/>
      </c>
      <c r="AT61" s="160">
        <f>IF(AND($C$22="Y",AT58+AT60&gt;0),-(AT58+AT60)/2*$C$23,0)-ABS(AT57)*$C$25</f>
        <v/>
      </c>
      <c r="AU61" s="160">
        <f>IF(AND($C$22="Y",AU58+AU60&gt;0),-(AU58+AU60)/2*$C$23,0)-ABS(AU57)*$C$25</f>
        <v/>
      </c>
      <c r="AV61" s="160">
        <f>IF(AND($C$22="Y",AV58+AV60&gt;0),-(AV58+AV60)/2*$C$23,0)-ABS(AV57)*$C$25</f>
        <v/>
      </c>
      <c r="AW61" s="160">
        <f>IF(AND($C$22="Y",AW58+AW60&gt;0),-(AW58+AW60)/2*$C$23,0)-ABS(AW57)*$C$25</f>
        <v/>
      </c>
      <c r="AX61" s="160">
        <f>IF(AND($C$22="Y",AX58+AX60&gt;0),-(AX58+AX60)/2*$C$23,0)-ABS(AX57)*$C$25</f>
        <v/>
      </c>
      <c r="AY61" s="160">
        <f>IF(AND($C$22="Y",AY58+AY60&gt;0),-(AY58+AY60)/2*$C$23,0)-ABS(AY57)*$C$25</f>
        <v/>
      </c>
      <c r="AZ61" s="160">
        <f>IF(AND($C$22="Y",AZ58+AZ60&gt;0),-(AZ58+AZ60)/2*$C$23,0)-ABS(AZ57)*$C$25</f>
        <v/>
      </c>
      <c r="BA61" s="160">
        <f>IF(AND($C$22="Y",BA58+BA60&gt;0),-(BA58+BA60)/2*$C$23,0)-ABS(BA57)*$C$25</f>
        <v/>
      </c>
      <c r="BB61" s="160">
        <f>IF(AND($C$22="Y",BB58+BB60&gt;0),-(BB58+BB60)/2*$C$23,0)-ABS(BB57)*$C$25</f>
        <v/>
      </c>
    </row>
    <row r="62" ht="15" customHeight="1" s="91">
      <c r="B62" s="110" t="inlineStr">
        <is>
          <t>Total Debt Service  إجمالي خدمة الدين</t>
        </is>
      </c>
      <c r="C62" s="153" t="inlineStr">
        <is>
          <t>SAR</t>
        </is>
      </c>
      <c r="D62" s="157">
        <f>SUM(E62:BB62)</f>
        <v/>
      </c>
      <c r="E62" s="157">
        <f>E59+E61</f>
        <v/>
      </c>
      <c r="F62" s="157">
        <f>F59+F61</f>
        <v/>
      </c>
      <c r="G62" s="157">
        <f>G59+G61</f>
        <v/>
      </c>
      <c r="H62" s="157">
        <f>H59+H61</f>
        <v/>
      </c>
      <c r="I62" s="157">
        <f>I59+I61</f>
        <v/>
      </c>
      <c r="J62" s="157">
        <f>J59+J61</f>
        <v/>
      </c>
      <c r="K62" s="157">
        <f>K59+K61</f>
        <v/>
      </c>
      <c r="L62" s="157">
        <f>L59+L61</f>
        <v/>
      </c>
      <c r="M62" s="157">
        <f>M59+M61</f>
        <v/>
      </c>
      <c r="N62" s="157">
        <f>N59+N61</f>
        <v/>
      </c>
      <c r="O62" s="157">
        <f>O59+O61</f>
        <v/>
      </c>
      <c r="P62" s="157">
        <f>P59+P61</f>
        <v/>
      </c>
      <c r="Q62" s="157">
        <f>Q59+Q61</f>
        <v/>
      </c>
      <c r="R62" s="157">
        <f>R59+R61</f>
        <v/>
      </c>
      <c r="S62" s="157">
        <f>S59+S61</f>
        <v/>
      </c>
      <c r="T62" s="157">
        <f>T59+T61</f>
        <v/>
      </c>
      <c r="U62" s="157">
        <f>U59+U61</f>
        <v/>
      </c>
      <c r="V62" s="157">
        <f>V59+V61</f>
        <v/>
      </c>
      <c r="W62" s="157">
        <f>W59+W61</f>
        <v/>
      </c>
      <c r="X62" s="157">
        <f>X59+X61</f>
        <v/>
      </c>
      <c r="Y62" s="157">
        <f>Y59+Y61</f>
        <v/>
      </c>
      <c r="Z62" s="157">
        <f>Z59+Z61</f>
        <v/>
      </c>
      <c r="AA62" s="157">
        <f>AA59+AA61</f>
        <v/>
      </c>
      <c r="AB62" s="157">
        <f>AB59+AB61</f>
        <v/>
      </c>
      <c r="AC62" s="157">
        <f>AC59+AC61</f>
        <v/>
      </c>
      <c r="AD62" s="157">
        <f>AD59+AD61</f>
        <v/>
      </c>
      <c r="AE62" s="157">
        <f>AE59+AE61</f>
        <v/>
      </c>
      <c r="AF62" s="157">
        <f>AF59+AF61</f>
        <v/>
      </c>
      <c r="AG62" s="157">
        <f>AG59+AG61</f>
        <v/>
      </c>
      <c r="AH62" s="157">
        <f>AH59+AH61</f>
        <v/>
      </c>
      <c r="AI62" s="157">
        <f>AI59+AI61</f>
        <v/>
      </c>
      <c r="AJ62" s="157">
        <f>AJ59+AJ61</f>
        <v/>
      </c>
      <c r="AK62" s="157">
        <f>AK59+AK61</f>
        <v/>
      </c>
      <c r="AL62" s="157">
        <f>AL59+AL61</f>
        <v/>
      </c>
      <c r="AM62" s="157">
        <f>AM59+AM61</f>
        <v/>
      </c>
      <c r="AN62" s="157">
        <f>AN59+AN61</f>
        <v/>
      </c>
      <c r="AO62" s="157">
        <f>AO59+AO61</f>
        <v/>
      </c>
      <c r="AP62" s="157">
        <f>AP59+AP61</f>
        <v/>
      </c>
      <c r="AQ62" s="157">
        <f>AQ59+AQ61</f>
        <v/>
      </c>
      <c r="AR62" s="157">
        <f>AR59+AR61</f>
        <v/>
      </c>
      <c r="AS62" s="157">
        <f>AS59+AS61</f>
        <v/>
      </c>
      <c r="AT62" s="157">
        <f>AT59+AT61</f>
        <v/>
      </c>
      <c r="AU62" s="157">
        <f>AU59+AU61</f>
        <v/>
      </c>
      <c r="AV62" s="157">
        <f>AV59+AV61</f>
        <v/>
      </c>
      <c r="AW62" s="157">
        <f>AW59+AW61</f>
        <v/>
      </c>
      <c r="AX62" s="157">
        <f>AX59+AX61</f>
        <v/>
      </c>
      <c r="AY62" s="157">
        <f>AY59+AY61</f>
        <v/>
      </c>
      <c r="AZ62" s="157">
        <f>AZ59+AZ61</f>
        <v/>
      </c>
      <c r="BA62" s="157">
        <f>BA59+BA61</f>
        <v/>
      </c>
      <c r="BB62" s="157">
        <f>BB59+BB61</f>
        <v/>
      </c>
    </row>
    <row r="63" ht="15" customHeight="1" s="91">
      <c r="B63" s="90" t="inlineStr">
        <is>
          <t>Other Fund Fees  رسوم أخرى</t>
        </is>
      </c>
      <c r="D63" s="90">
        <f>SUM(E63:BB63)</f>
        <v/>
      </c>
      <c r="E63" s="90">
        <f>IF(E$46=$C$9,Inputs!E$145+Inputs!E$146+$C$17*Inputs!E$150,0)+IF(AND(E$46&gt;=$C$9,E$46&lt;=$C$41),Inputs!E$147,0)+IF(AND(E$46&gt;=$C$9,E$46&lt;=$C$41,E47&gt;0),MIN(Inputs!E$149,$C$17*Inputs!E$148),0)</f>
        <v/>
      </c>
      <c r="F63" s="90">
        <f>IF(F$46=$C$9,Inputs!E$145+Inputs!E$146+$C$17*Inputs!E$150,0)+IF(AND(F$46&gt;=$C$9,F$46&lt;=$C$41),Inputs!E$147,0)+IF(AND(F$46&gt;=$C$9,F$46&lt;=$C$41,F47&gt;0),MIN(Inputs!E$149,$C$17*Inputs!E$148),0)</f>
        <v/>
      </c>
      <c r="G63" s="90">
        <f>IF(G$46=$C$9,Inputs!E$145+Inputs!E$146+$C$17*Inputs!E$150,0)+IF(AND(G$46&gt;=$C$9,G$46&lt;=$C$41),Inputs!E$147,0)+IF(AND(G$46&gt;=$C$9,G$46&lt;=$C$41,G47&gt;0),MIN(Inputs!E$149,$C$17*Inputs!E$148),0)</f>
        <v/>
      </c>
      <c r="H63" s="90">
        <f>IF(H$46=$C$9,Inputs!E$145+Inputs!E$146+$C$17*Inputs!E$150,0)+IF(AND(H$46&gt;=$C$9,H$46&lt;=$C$41),Inputs!E$147,0)+IF(AND(H$46&gt;=$C$9,H$46&lt;=$C$41,H47&gt;0),MIN(Inputs!E$149,$C$17*Inputs!E$148),0)</f>
        <v/>
      </c>
      <c r="I63" s="90">
        <f>IF(I$46=$C$9,Inputs!E$145+Inputs!E$146+$C$17*Inputs!E$150,0)+IF(AND(I$46&gt;=$C$9,I$46&lt;=$C$41),Inputs!E$147,0)+IF(AND(I$46&gt;=$C$9,I$46&lt;=$C$41,I47&gt;0),MIN(Inputs!E$149,$C$17*Inputs!E$148),0)</f>
        <v/>
      </c>
      <c r="J63" s="90">
        <f>IF(J$46=$C$9,Inputs!E$145+Inputs!E$146+$C$17*Inputs!E$150,0)+IF(AND(J$46&gt;=$C$9,J$46&lt;=$C$41),Inputs!E$147,0)+IF(AND(J$46&gt;=$C$9,J$46&lt;=$C$41,J47&gt;0),MIN(Inputs!E$149,$C$17*Inputs!E$148),0)</f>
        <v/>
      </c>
      <c r="K63" s="90">
        <f>IF(K$46=$C$9,Inputs!E$145+Inputs!E$146+$C$17*Inputs!E$150,0)+IF(AND(K$46&gt;=$C$9,K$46&lt;=$C$41),Inputs!E$147,0)+IF(AND(K$46&gt;=$C$9,K$46&lt;=$C$41,K47&gt;0),MIN(Inputs!E$149,$C$17*Inputs!E$148),0)</f>
        <v/>
      </c>
      <c r="L63" s="90">
        <f>IF(L$46=$C$9,Inputs!E$145+Inputs!E$146+$C$17*Inputs!E$150,0)+IF(AND(L$46&gt;=$C$9,L$46&lt;=$C$41),Inputs!E$147,0)+IF(AND(L$46&gt;=$C$9,L$46&lt;=$C$41,L47&gt;0),MIN(Inputs!E$149,$C$17*Inputs!E$148),0)</f>
        <v/>
      </c>
      <c r="M63" s="90">
        <f>IF(M$46=$C$9,Inputs!E$145+Inputs!E$146+$C$17*Inputs!E$150,0)+IF(AND(M$46&gt;=$C$9,M$46&lt;=$C$41),Inputs!E$147,0)+IF(AND(M$46&gt;=$C$9,M$46&lt;=$C$41,M47&gt;0),MIN(Inputs!E$149,$C$17*Inputs!E$148),0)</f>
        <v/>
      </c>
      <c r="N63" s="90">
        <f>IF(N$46=$C$9,Inputs!E$145+Inputs!E$146+$C$17*Inputs!E$150,0)+IF(AND(N$46&gt;=$C$9,N$46&lt;=$C$41),Inputs!E$147,0)+IF(AND(N$46&gt;=$C$9,N$46&lt;=$C$41,N47&gt;0),MIN(Inputs!E$149,$C$17*Inputs!E$148),0)</f>
        <v/>
      </c>
      <c r="O63" s="90">
        <f>IF(O$46=$C$9,Inputs!E$145+Inputs!E$146+$C$17*Inputs!E$150,0)+IF(AND(O$46&gt;=$C$9,O$46&lt;=$C$41),Inputs!E$147,0)+IF(AND(O$46&gt;=$C$9,O$46&lt;=$C$41,O47&gt;0),MIN(Inputs!E$149,$C$17*Inputs!E$148),0)</f>
        <v/>
      </c>
      <c r="P63" s="90">
        <f>IF(P$46=$C$9,Inputs!E$145+Inputs!E$146+$C$17*Inputs!E$150,0)+IF(AND(P$46&gt;=$C$9,P$46&lt;=$C$41),Inputs!E$147,0)+IF(AND(P$46&gt;=$C$9,P$46&lt;=$C$41,P47&gt;0),MIN(Inputs!E$149,$C$17*Inputs!E$148),0)</f>
        <v/>
      </c>
      <c r="Q63" s="90">
        <f>IF(Q$46=$C$9,Inputs!E$145+Inputs!E$146+$C$17*Inputs!E$150,0)+IF(AND(Q$46&gt;=$C$9,Q$46&lt;=$C$41),Inputs!E$147,0)+IF(AND(Q$46&gt;=$C$9,Q$46&lt;=$C$41,Q47&gt;0),MIN(Inputs!E$149,$C$17*Inputs!E$148),0)</f>
        <v/>
      </c>
      <c r="R63" s="90">
        <f>IF(R$46=$C$9,Inputs!E$145+Inputs!E$146+$C$17*Inputs!E$150,0)+IF(AND(R$46&gt;=$C$9,R$46&lt;=$C$41),Inputs!E$147,0)+IF(AND(R$46&gt;=$C$9,R$46&lt;=$C$41,R47&gt;0),MIN(Inputs!E$149,$C$17*Inputs!E$148),0)</f>
        <v/>
      </c>
      <c r="S63" s="90">
        <f>IF(S$46=$C$9,Inputs!E$145+Inputs!E$146+$C$17*Inputs!E$150,0)+IF(AND(S$46&gt;=$C$9,S$46&lt;=$C$41),Inputs!E$147,0)+IF(AND(S$46&gt;=$C$9,S$46&lt;=$C$41,S47&gt;0),MIN(Inputs!E$149,$C$17*Inputs!E$148),0)</f>
        <v/>
      </c>
      <c r="T63" s="90">
        <f>IF(T$46=$C$9,Inputs!E$145+Inputs!E$146+$C$17*Inputs!E$150,0)+IF(AND(T$46&gt;=$C$9,T$46&lt;=$C$41),Inputs!E$147,0)+IF(AND(T$46&gt;=$C$9,T$46&lt;=$C$41,T47&gt;0),MIN(Inputs!E$149,$C$17*Inputs!E$148),0)</f>
        <v/>
      </c>
      <c r="U63" s="90">
        <f>IF(U$46=$C$9,Inputs!E$145+Inputs!E$146+$C$17*Inputs!E$150,0)+IF(AND(U$46&gt;=$C$9,U$46&lt;=$C$41),Inputs!E$147,0)+IF(AND(U$46&gt;=$C$9,U$46&lt;=$C$41,U47&gt;0),MIN(Inputs!E$149,$C$17*Inputs!E$148),0)</f>
        <v/>
      </c>
      <c r="V63" s="90">
        <f>IF(V$46=$C$9,Inputs!E$145+Inputs!E$146+$C$17*Inputs!E$150,0)+IF(AND(V$46&gt;=$C$9,V$46&lt;=$C$41),Inputs!E$147,0)+IF(AND(V$46&gt;=$C$9,V$46&lt;=$C$41,V47&gt;0),MIN(Inputs!E$149,$C$17*Inputs!E$148),0)</f>
        <v/>
      </c>
      <c r="W63" s="90">
        <f>IF(W$46=$C$9,Inputs!E$145+Inputs!E$146+$C$17*Inputs!E$150,0)+IF(AND(W$46&gt;=$C$9,W$46&lt;=$C$41),Inputs!E$147,0)+IF(AND(W$46&gt;=$C$9,W$46&lt;=$C$41,W47&gt;0),MIN(Inputs!E$149,$C$17*Inputs!E$148),0)</f>
        <v/>
      </c>
      <c r="X63" s="90">
        <f>IF(X$46=$C$9,Inputs!E$145+Inputs!E$146+$C$17*Inputs!E$150,0)+IF(AND(X$46&gt;=$C$9,X$46&lt;=$C$41),Inputs!E$147,0)+IF(AND(X$46&gt;=$C$9,X$46&lt;=$C$41,X47&gt;0),MIN(Inputs!E$149,$C$17*Inputs!E$148),0)</f>
        <v/>
      </c>
      <c r="Y63" s="90">
        <f>IF(Y$46=$C$9,Inputs!E$145+Inputs!E$146+$C$17*Inputs!E$150,0)+IF(AND(Y$46&gt;=$C$9,Y$46&lt;=$C$41),Inputs!E$147,0)+IF(AND(Y$46&gt;=$C$9,Y$46&lt;=$C$41,Y47&gt;0),MIN(Inputs!E$149,$C$17*Inputs!E$148),0)</f>
        <v/>
      </c>
      <c r="Z63" s="90">
        <f>IF(Z$46=$C$9,Inputs!E$145+Inputs!E$146+$C$17*Inputs!E$150,0)+IF(AND(Z$46&gt;=$C$9,Z$46&lt;=$C$41),Inputs!E$147,0)+IF(AND(Z$46&gt;=$C$9,Z$46&lt;=$C$41,Z47&gt;0),MIN(Inputs!E$149,$C$17*Inputs!E$148),0)</f>
        <v/>
      </c>
      <c r="AA63" s="90">
        <f>IF(AA$46=$C$9,Inputs!E$145+Inputs!E$146+$C$17*Inputs!E$150,0)+IF(AND(AA$46&gt;=$C$9,AA$46&lt;=$C$41),Inputs!E$147,0)+IF(AND(AA$46&gt;=$C$9,AA$46&lt;=$C$41,AA47&gt;0),MIN(Inputs!E$149,$C$17*Inputs!E$148),0)</f>
        <v/>
      </c>
      <c r="AB63" s="90">
        <f>IF(AB$46=$C$9,Inputs!E$145+Inputs!E$146+$C$17*Inputs!E$150,0)+IF(AND(AB$46&gt;=$C$9,AB$46&lt;=$C$41),Inputs!E$147,0)+IF(AND(AB$46&gt;=$C$9,AB$46&lt;=$C$41,AB47&gt;0),MIN(Inputs!E$149,$C$17*Inputs!E$148),0)</f>
        <v/>
      </c>
      <c r="AC63" s="90">
        <f>IF(AC$46=$C$9,Inputs!E$145+Inputs!E$146+$C$17*Inputs!E$150,0)+IF(AND(AC$46&gt;=$C$9,AC$46&lt;=$C$41),Inputs!E$147,0)+IF(AND(AC$46&gt;=$C$9,AC$46&lt;=$C$41,AC47&gt;0),MIN(Inputs!E$149,$C$17*Inputs!E$148),0)</f>
        <v/>
      </c>
      <c r="AD63" s="90">
        <f>IF(AD$46=$C$9,Inputs!E$145+Inputs!E$146+$C$17*Inputs!E$150,0)+IF(AND(AD$46&gt;=$C$9,AD$46&lt;=$C$41),Inputs!E$147,0)+IF(AND(AD$46&gt;=$C$9,AD$46&lt;=$C$41,AD47&gt;0),MIN(Inputs!E$149,$C$17*Inputs!E$148),0)</f>
        <v/>
      </c>
      <c r="AE63" s="90">
        <f>IF(AE$46=$C$9,Inputs!E$145+Inputs!E$146+$C$17*Inputs!E$150,0)+IF(AND(AE$46&gt;=$C$9,AE$46&lt;=$C$41),Inputs!E$147,0)+IF(AND(AE$46&gt;=$C$9,AE$46&lt;=$C$41,AE47&gt;0),MIN(Inputs!E$149,$C$17*Inputs!E$148),0)</f>
        <v/>
      </c>
      <c r="AF63" s="90">
        <f>IF(AF$46=$C$9,Inputs!E$145+Inputs!E$146+$C$17*Inputs!E$150,0)+IF(AND(AF$46&gt;=$C$9,AF$46&lt;=$C$41),Inputs!E$147,0)+IF(AND(AF$46&gt;=$C$9,AF$46&lt;=$C$41,AF47&gt;0),MIN(Inputs!E$149,$C$17*Inputs!E$148),0)</f>
        <v/>
      </c>
      <c r="AG63" s="90">
        <f>IF(AG$46=$C$9,Inputs!E$145+Inputs!E$146+$C$17*Inputs!E$150,0)+IF(AND(AG$46&gt;=$C$9,AG$46&lt;=$C$41),Inputs!E$147,0)+IF(AND(AG$46&gt;=$C$9,AG$46&lt;=$C$41,AG47&gt;0),MIN(Inputs!E$149,$C$17*Inputs!E$148),0)</f>
        <v/>
      </c>
      <c r="AH63" s="90">
        <f>IF(AH$46=$C$9,Inputs!E$145+Inputs!E$146+$C$17*Inputs!E$150,0)+IF(AND(AH$46&gt;=$C$9,AH$46&lt;=$C$41),Inputs!E$147,0)+IF(AND(AH$46&gt;=$C$9,AH$46&lt;=$C$41,AH47&gt;0),MIN(Inputs!E$149,$C$17*Inputs!E$148),0)</f>
        <v/>
      </c>
      <c r="AI63" s="90">
        <f>IF(AI$46=$C$9,Inputs!E$145+Inputs!E$146+$C$17*Inputs!E$150,0)+IF(AND(AI$46&gt;=$C$9,AI$46&lt;=$C$41),Inputs!E$147,0)+IF(AND(AI$46&gt;=$C$9,AI$46&lt;=$C$41,AI47&gt;0),MIN(Inputs!E$149,$C$17*Inputs!E$148),0)</f>
        <v/>
      </c>
      <c r="AJ63" s="90">
        <f>IF(AJ$46=$C$9,Inputs!E$145+Inputs!E$146+$C$17*Inputs!E$150,0)+IF(AND(AJ$46&gt;=$C$9,AJ$46&lt;=$C$41),Inputs!E$147,0)+IF(AND(AJ$46&gt;=$C$9,AJ$46&lt;=$C$41,AJ47&gt;0),MIN(Inputs!E$149,$C$17*Inputs!E$148),0)</f>
        <v/>
      </c>
      <c r="AK63" s="90">
        <f>IF(AK$46=$C$9,Inputs!E$145+Inputs!E$146+$C$17*Inputs!E$150,0)+IF(AND(AK$46&gt;=$C$9,AK$46&lt;=$C$41),Inputs!E$147,0)+IF(AND(AK$46&gt;=$C$9,AK$46&lt;=$C$41,AK47&gt;0),MIN(Inputs!E$149,$C$17*Inputs!E$148),0)</f>
        <v/>
      </c>
      <c r="AL63" s="90">
        <f>IF(AL$46=$C$9,Inputs!E$145+Inputs!E$146+$C$17*Inputs!E$150,0)+IF(AND(AL$46&gt;=$C$9,AL$46&lt;=$C$41),Inputs!E$147,0)+IF(AND(AL$46&gt;=$C$9,AL$46&lt;=$C$41,AL47&gt;0),MIN(Inputs!E$149,$C$17*Inputs!E$148),0)</f>
        <v/>
      </c>
      <c r="AM63" s="90">
        <f>IF(AM$46=$C$9,Inputs!E$145+Inputs!E$146+$C$17*Inputs!E$150,0)+IF(AND(AM$46&gt;=$C$9,AM$46&lt;=$C$41),Inputs!E$147,0)+IF(AND(AM$46&gt;=$C$9,AM$46&lt;=$C$41,AM47&gt;0),MIN(Inputs!E$149,$C$17*Inputs!E$148),0)</f>
        <v/>
      </c>
      <c r="AN63" s="90">
        <f>IF(AN$46=$C$9,Inputs!E$145+Inputs!E$146+$C$17*Inputs!E$150,0)+IF(AND(AN$46&gt;=$C$9,AN$46&lt;=$C$41),Inputs!E$147,0)+IF(AND(AN$46&gt;=$C$9,AN$46&lt;=$C$41,AN47&gt;0),MIN(Inputs!E$149,$C$17*Inputs!E$148),0)</f>
        <v/>
      </c>
      <c r="AO63" s="90">
        <f>IF(AO$46=$C$9,Inputs!E$145+Inputs!E$146+$C$17*Inputs!E$150,0)+IF(AND(AO$46&gt;=$C$9,AO$46&lt;=$C$41),Inputs!E$147,0)+IF(AND(AO$46&gt;=$C$9,AO$46&lt;=$C$41,AO47&gt;0),MIN(Inputs!E$149,$C$17*Inputs!E$148),0)</f>
        <v/>
      </c>
      <c r="AP63" s="90">
        <f>IF(AP$46=$C$9,Inputs!E$145+Inputs!E$146+$C$17*Inputs!E$150,0)+IF(AND(AP$46&gt;=$C$9,AP$46&lt;=$C$41),Inputs!E$147,0)+IF(AND(AP$46&gt;=$C$9,AP$46&lt;=$C$41,AP47&gt;0),MIN(Inputs!E$149,$C$17*Inputs!E$148),0)</f>
        <v/>
      </c>
      <c r="AQ63" s="90">
        <f>IF(AQ$46=$C$9,Inputs!E$145+Inputs!E$146+$C$17*Inputs!E$150,0)+IF(AND(AQ$46&gt;=$C$9,AQ$46&lt;=$C$41),Inputs!E$147,0)+IF(AND(AQ$46&gt;=$C$9,AQ$46&lt;=$C$41,AQ47&gt;0),MIN(Inputs!E$149,$C$17*Inputs!E$148),0)</f>
        <v/>
      </c>
      <c r="AR63" s="90">
        <f>IF(AR$46=$C$9,Inputs!E$145+Inputs!E$146+$C$17*Inputs!E$150,0)+IF(AND(AR$46&gt;=$C$9,AR$46&lt;=$C$41),Inputs!E$147,0)+IF(AND(AR$46&gt;=$C$9,AR$46&lt;=$C$41,AR47&gt;0),MIN(Inputs!E$149,$C$17*Inputs!E$148),0)</f>
        <v/>
      </c>
      <c r="AS63" s="90">
        <f>IF(AS$46=$C$9,Inputs!E$145+Inputs!E$146+$C$17*Inputs!E$150,0)+IF(AND(AS$46&gt;=$C$9,AS$46&lt;=$C$41),Inputs!E$147,0)+IF(AND(AS$46&gt;=$C$9,AS$46&lt;=$C$41,AS47&gt;0),MIN(Inputs!E$149,$C$17*Inputs!E$148),0)</f>
        <v/>
      </c>
      <c r="AT63" s="90">
        <f>IF(AT$46=$C$9,Inputs!E$145+Inputs!E$146+$C$17*Inputs!E$150,0)+IF(AND(AT$46&gt;=$C$9,AT$46&lt;=$C$41),Inputs!E$147,0)+IF(AND(AT$46&gt;=$C$9,AT$46&lt;=$C$41,AT47&gt;0),MIN(Inputs!E$149,$C$17*Inputs!E$148),0)</f>
        <v/>
      </c>
      <c r="AU63" s="90">
        <f>IF(AU$46=$C$9,Inputs!E$145+Inputs!E$146+$C$17*Inputs!E$150,0)+IF(AND(AU$46&gt;=$C$9,AU$46&lt;=$C$41),Inputs!E$147,0)+IF(AND(AU$46&gt;=$C$9,AU$46&lt;=$C$41,AU47&gt;0),MIN(Inputs!E$149,$C$17*Inputs!E$148),0)</f>
        <v/>
      </c>
      <c r="AV63" s="90">
        <f>IF(AV$46=$C$9,Inputs!E$145+Inputs!E$146+$C$17*Inputs!E$150,0)+IF(AND(AV$46&gt;=$C$9,AV$46&lt;=$C$41),Inputs!E$147,0)+IF(AND(AV$46&gt;=$C$9,AV$46&lt;=$C$41,AV47&gt;0),MIN(Inputs!E$149,$C$17*Inputs!E$148),0)</f>
        <v/>
      </c>
      <c r="AW63" s="90">
        <f>IF(AW$46=$C$9,Inputs!E$145+Inputs!E$146+$C$17*Inputs!E$150,0)+IF(AND(AW$46&gt;=$C$9,AW$46&lt;=$C$41),Inputs!E$147,0)+IF(AND(AW$46&gt;=$C$9,AW$46&lt;=$C$41,AW47&gt;0),MIN(Inputs!E$149,$C$17*Inputs!E$148),0)</f>
        <v/>
      </c>
      <c r="AX63" s="90">
        <f>IF(AX$46=$C$9,Inputs!E$145+Inputs!E$146+$C$17*Inputs!E$150,0)+IF(AND(AX$46&gt;=$C$9,AX$46&lt;=$C$41),Inputs!E$147,0)+IF(AND(AX$46&gt;=$C$9,AX$46&lt;=$C$41,AX47&gt;0),MIN(Inputs!E$149,$C$17*Inputs!E$148),0)</f>
        <v/>
      </c>
      <c r="AY63" s="90">
        <f>IF(AY$46=$C$9,Inputs!E$145+Inputs!E$146+$C$17*Inputs!E$150,0)+IF(AND(AY$46&gt;=$C$9,AY$46&lt;=$C$41),Inputs!E$147,0)+IF(AND(AY$46&gt;=$C$9,AY$46&lt;=$C$41,AY47&gt;0),MIN(Inputs!E$149,$C$17*Inputs!E$148),0)</f>
        <v/>
      </c>
      <c r="AZ63" s="90">
        <f>IF(AZ$46=$C$9,Inputs!E$145+Inputs!E$146+$C$17*Inputs!E$150,0)+IF(AND(AZ$46&gt;=$C$9,AZ$46&lt;=$C$41),Inputs!E$147,0)+IF(AND(AZ$46&gt;=$C$9,AZ$46&lt;=$C$41,AZ47&gt;0),MIN(Inputs!E$149,$C$17*Inputs!E$148),0)</f>
        <v/>
      </c>
      <c r="BA63" s="90">
        <f>IF(BA$46=$C$9,Inputs!E$145+Inputs!E$146+$C$17*Inputs!E$150,0)+IF(AND(BA$46&gt;=$C$9,BA$46&lt;=$C$41),Inputs!E$147,0)+IF(AND(BA$46&gt;=$C$9,BA$46&lt;=$C$41,BA47&gt;0),MIN(Inputs!E$149,$C$17*Inputs!E$148),0)</f>
        <v/>
      </c>
      <c r="BB63" s="90">
        <f>IF(BB$46=$C$9,Inputs!E$145+Inputs!E$146+$C$17*Inputs!E$150,0)+IF(AND(BB$46&gt;=$C$9,BB$46&lt;=$C$41),Inputs!E$147,0)+IF(AND(BB$46&gt;=$C$9,BB$46&lt;=$C$41,BB47&gt;0),MIN(Inputs!E$149,$C$17*Inputs!E$148),0)</f>
        <v/>
      </c>
    </row>
    <row r="64" ht="15" customHeight="1" s="91">
      <c r="B64" s="153" t="inlineStr">
        <is>
          <t>Subscription Fee  رسوم الاشتراك</t>
        </is>
      </c>
      <c r="C64" s="153" t="inlineStr">
        <is>
          <t>SAR</t>
        </is>
      </c>
      <c r="D64" s="160">
        <f>SUM(E64:BB64)</f>
        <v/>
      </c>
      <c r="E64" s="160">
        <f>IF(E$46=$C$9,$C$14*$C$29,0)</f>
        <v/>
      </c>
      <c r="F64" s="160">
        <f>IF(F$46=$C$9,$C$14*$C$29,0)</f>
        <v/>
      </c>
      <c r="G64" s="160">
        <f>IF(G$46=$C$9,$C$14*$C$29,0)</f>
        <v/>
      </c>
      <c r="H64" s="160">
        <f>IF(H$46=$C$9,$C$14*$C$29,0)</f>
        <v/>
      </c>
      <c r="I64" s="160">
        <f>IF(I$46=$C$9,$C$14*$C$29,0)</f>
        <v/>
      </c>
      <c r="J64" s="160">
        <f>IF(J$46=$C$9,$C$14*$C$29,0)</f>
        <v/>
      </c>
      <c r="K64" s="160">
        <f>IF(K$46=$C$9,$C$14*$C$29,0)</f>
        <v/>
      </c>
      <c r="L64" s="160">
        <f>IF(L$46=$C$9,$C$14*$C$29,0)</f>
        <v/>
      </c>
      <c r="M64" s="160">
        <f>IF(M$46=$C$9,$C$14*$C$29,0)</f>
        <v/>
      </c>
      <c r="N64" s="160">
        <f>IF(N$46=$C$9,$C$14*$C$29,0)</f>
        <v/>
      </c>
      <c r="O64" s="160">
        <f>IF(O$46=$C$9,$C$14*$C$29,0)</f>
        <v/>
      </c>
      <c r="P64" s="160">
        <f>IF(P$46=$C$9,$C$14*$C$29,0)</f>
        <v/>
      </c>
      <c r="Q64" s="160">
        <f>IF(Q$46=$C$9,$C$14*$C$29,0)</f>
        <v/>
      </c>
      <c r="R64" s="160">
        <f>IF(R$46=$C$9,$C$14*$C$29,0)</f>
        <v/>
      </c>
      <c r="S64" s="160">
        <f>IF(S$46=$C$9,$C$14*$C$29,0)</f>
        <v/>
      </c>
      <c r="T64" s="160">
        <f>IF(T$46=$C$9,$C$14*$C$29,0)</f>
        <v/>
      </c>
      <c r="U64" s="160">
        <f>IF(U$46=$C$9,$C$14*$C$29,0)</f>
        <v/>
      </c>
      <c r="V64" s="160">
        <f>IF(V$46=$C$9,$C$14*$C$29,0)</f>
        <v/>
      </c>
      <c r="W64" s="160">
        <f>IF(W$46=$C$9,$C$14*$C$29,0)</f>
        <v/>
      </c>
      <c r="X64" s="160">
        <f>IF(X$46=$C$9,$C$14*$C$29,0)</f>
        <v/>
      </c>
      <c r="Y64" s="160">
        <f>IF(Y$46=$C$9,$C$14*$C$29,0)</f>
        <v/>
      </c>
      <c r="Z64" s="160">
        <f>IF(Z$46=$C$9,$C$14*$C$29,0)</f>
        <v/>
      </c>
      <c r="AA64" s="160">
        <f>IF(AA$46=$C$9,$C$14*$C$29,0)</f>
        <v/>
      </c>
      <c r="AB64" s="160">
        <f>IF(AB$46=$C$9,$C$14*$C$29,0)</f>
        <v/>
      </c>
      <c r="AC64" s="160">
        <f>IF(AC$46=$C$9,$C$14*$C$29,0)</f>
        <v/>
      </c>
      <c r="AD64" s="160">
        <f>IF(AD$46=$C$9,$C$14*$C$29,0)</f>
        <v/>
      </c>
      <c r="AE64" s="160">
        <f>IF(AE$46=$C$9,$C$14*$C$29,0)</f>
        <v/>
      </c>
      <c r="AF64" s="160">
        <f>IF(AF$46=$C$9,$C$14*$C$29,0)</f>
        <v/>
      </c>
      <c r="AG64" s="160">
        <f>IF(AG$46=$C$9,$C$14*$C$29,0)</f>
        <v/>
      </c>
      <c r="AH64" s="160">
        <f>IF(AH$46=$C$9,$C$14*$C$29,0)</f>
        <v/>
      </c>
      <c r="AI64" s="160">
        <f>IF(AI$46=$C$9,$C$14*$C$29,0)</f>
        <v/>
      </c>
      <c r="AJ64" s="160">
        <f>IF(AJ$46=$C$9,$C$14*$C$29,0)</f>
        <v/>
      </c>
      <c r="AK64" s="160">
        <f>IF(AK$46=$C$9,$C$14*$C$29,0)</f>
        <v/>
      </c>
      <c r="AL64" s="160">
        <f>IF(AL$46=$C$9,$C$14*$C$29,0)</f>
        <v/>
      </c>
      <c r="AM64" s="160">
        <f>IF(AM$46=$C$9,$C$14*$C$29,0)</f>
        <v/>
      </c>
      <c r="AN64" s="160">
        <f>IF(AN$46=$C$9,$C$14*$C$29,0)</f>
        <v/>
      </c>
      <c r="AO64" s="160">
        <f>IF(AO$46=$C$9,$C$14*$C$29,0)</f>
        <v/>
      </c>
      <c r="AP64" s="160">
        <f>IF(AP$46=$C$9,$C$14*$C$29,0)</f>
        <v/>
      </c>
      <c r="AQ64" s="160">
        <f>IF(AQ$46=$C$9,$C$14*$C$29,0)</f>
        <v/>
      </c>
      <c r="AR64" s="160">
        <f>IF(AR$46=$C$9,$C$14*$C$29,0)</f>
        <v/>
      </c>
      <c r="AS64" s="160">
        <f>IF(AS$46=$C$9,$C$14*$C$29,0)</f>
        <v/>
      </c>
      <c r="AT64" s="160">
        <f>IF(AT$46=$C$9,$C$14*$C$29,0)</f>
        <v/>
      </c>
      <c r="AU64" s="160">
        <f>IF(AU$46=$C$9,$C$14*$C$29,0)</f>
        <v/>
      </c>
      <c r="AV64" s="160">
        <f>IF(AV$46=$C$9,$C$14*$C$29,0)</f>
        <v/>
      </c>
      <c r="AW64" s="160">
        <f>IF(AW$46=$C$9,$C$14*$C$29,0)</f>
        <v/>
      </c>
      <c r="AX64" s="160">
        <f>IF(AX$46=$C$9,$C$14*$C$29,0)</f>
        <v/>
      </c>
      <c r="AY64" s="160">
        <f>IF(AY$46=$C$9,$C$14*$C$29,0)</f>
        <v/>
      </c>
      <c r="AZ64" s="160">
        <f>IF(AZ$46=$C$9,$C$14*$C$29,0)</f>
        <v/>
      </c>
      <c r="BA64" s="160">
        <f>IF(BA$46=$C$9,$C$14*$C$29,0)</f>
        <v/>
      </c>
      <c r="BB64" s="160">
        <f>IF(BB$46=$C$9,$C$14*$C$29,0)</f>
        <v/>
      </c>
    </row>
    <row r="65" ht="15" customHeight="1" s="91">
      <c r="B65" s="153" t="inlineStr">
        <is>
          <t>Management Fee  رسوم الإدارة (% of Fund Assets)</t>
        </is>
      </c>
      <c r="C65" s="153" t="inlineStr">
        <is>
          <t>SAR</t>
        </is>
      </c>
      <c r="D65" s="160">
        <f>SUM(E65:BB65)</f>
        <v/>
      </c>
      <c r="E65" s="160">
        <f>MIN(Inputs!E$142,IF(AND(E$46&gt;=$C$9,E$46&lt;=$C$41),$C$18*$C$30,0))</f>
        <v/>
      </c>
      <c r="F65" s="160">
        <f>MIN(Inputs!E$142,IF(AND(F$46&gt;=$C$9,F$46&lt;=$C$41),$C$18*$C$30,0))</f>
        <v/>
      </c>
      <c r="G65" s="160">
        <f>MIN(Inputs!E$142,IF(AND(G$46&gt;=$C$9,G$46&lt;=$C$41),$C$18*$C$30,0))</f>
        <v/>
      </c>
      <c r="H65" s="160">
        <f>MIN(Inputs!E$142,IF(AND(H$46&gt;=$C$9,H$46&lt;=$C$41),$C$18*$C$30,0))</f>
        <v/>
      </c>
      <c r="I65" s="160">
        <f>MIN(Inputs!E$142,IF(AND(I$46&gt;=$C$9,I$46&lt;=$C$41),$C$18*$C$30,0))</f>
        <v/>
      </c>
      <c r="J65" s="160">
        <f>MIN(Inputs!E$142,IF(AND(J$46&gt;=$C$9,J$46&lt;=$C$41),$C$18*$C$30,0))</f>
        <v/>
      </c>
      <c r="K65" s="160">
        <f>MIN(Inputs!E$142,IF(AND(K$46&gt;=$C$9,K$46&lt;=$C$41),$C$18*$C$30,0))</f>
        <v/>
      </c>
      <c r="L65" s="160">
        <f>MIN(Inputs!E$142,IF(AND(L$46&gt;=$C$9,L$46&lt;=$C$41),$C$18*$C$30,0))</f>
        <v/>
      </c>
      <c r="M65" s="160">
        <f>MIN(Inputs!E$142,IF(AND(M$46&gt;=$C$9,M$46&lt;=$C$41),$C$18*$C$30,0))</f>
        <v/>
      </c>
      <c r="N65" s="160">
        <f>MIN(Inputs!E$142,IF(AND(N$46&gt;=$C$9,N$46&lt;=$C$41),$C$18*$C$30,0))</f>
        <v/>
      </c>
      <c r="O65" s="160">
        <f>MIN(Inputs!E$142,IF(AND(O$46&gt;=$C$9,O$46&lt;=$C$41),$C$18*$C$30,0))</f>
        <v/>
      </c>
      <c r="P65" s="160">
        <f>MIN(Inputs!E$142,IF(AND(P$46&gt;=$C$9,P$46&lt;=$C$41),$C$18*$C$30,0))</f>
        <v/>
      </c>
      <c r="Q65" s="160">
        <f>MIN(Inputs!E$142,IF(AND(Q$46&gt;=$C$9,Q$46&lt;=$C$41),$C$18*$C$30,0))</f>
        <v/>
      </c>
      <c r="R65" s="160">
        <f>MIN(Inputs!E$142,IF(AND(R$46&gt;=$C$9,R$46&lt;=$C$41),$C$18*$C$30,0))</f>
        <v/>
      </c>
      <c r="S65" s="160">
        <f>MIN(Inputs!E$142,IF(AND(S$46&gt;=$C$9,S$46&lt;=$C$41),$C$18*$C$30,0))</f>
        <v/>
      </c>
      <c r="T65" s="160">
        <f>MIN(Inputs!E$142,IF(AND(T$46&gt;=$C$9,T$46&lt;=$C$41),$C$18*$C$30,0))</f>
        <v/>
      </c>
      <c r="U65" s="160">
        <f>MIN(Inputs!E$142,IF(AND(U$46&gt;=$C$9,U$46&lt;=$C$41),$C$18*$C$30,0))</f>
        <v/>
      </c>
      <c r="V65" s="160">
        <f>MIN(Inputs!E$142,IF(AND(V$46&gt;=$C$9,V$46&lt;=$C$41),$C$18*$C$30,0))</f>
        <v/>
      </c>
      <c r="W65" s="160">
        <f>MIN(Inputs!E$142,IF(AND(W$46&gt;=$C$9,W$46&lt;=$C$41),$C$18*$C$30,0))</f>
        <v/>
      </c>
      <c r="X65" s="160">
        <f>MIN(Inputs!E$142,IF(AND(X$46&gt;=$C$9,X$46&lt;=$C$41),$C$18*$C$30,0))</f>
        <v/>
      </c>
      <c r="Y65" s="160">
        <f>MIN(Inputs!E$142,IF(AND(Y$46&gt;=$C$9,Y$46&lt;=$C$41),$C$18*$C$30,0))</f>
        <v/>
      </c>
      <c r="Z65" s="160">
        <f>MIN(Inputs!E$142,IF(AND(Z$46&gt;=$C$9,Z$46&lt;=$C$41),$C$18*$C$30,0))</f>
        <v/>
      </c>
      <c r="AA65" s="160">
        <f>MIN(Inputs!E$142,IF(AND(AA$46&gt;=$C$9,AA$46&lt;=$C$41),$C$18*$C$30,0))</f>
        <v/>
      </c>
      <c r="AB65" s="160">
        <f>MIN(Inputs!E$142,IF(AND(AB$46&gt;=$C$9,AB$46&lt;=$C$41),$C$18*$C$30,0))</f>
        <v/>
      </c>
      <c r="AC65" s="160">
        <f>MIN(Inputs!E$142,IF(AND(AC$46&gt;=$C$9,AC$46&lt;=$C$41),$C$18*$C$30,0))</f>
        <v/>
      </c>
      <c r="AD65" s="160">
        <f>MIN(Inputs!E$142,IF(AND(AD$46&gt;=$C$9,AD$46&lt;=$C$41),$C$18*$C$30,0))</f>
        <v/>
      </c>
      <c r="AE65" s="160">
        <f>MIN(Inputs!E$142,IF(AND(AE$46&gt;=$C$9,AE$46&lt;=$C$41),$C$18*$C$30,0))</f>
        <v/>
      </c>
      <c r="AF65" s="160">
        <f>MIN(Inputs!E$142,IF(AND(AF$46&gt;=$C$9,AF$46&lt;=$C$41),$C$18*$C$30,0))</f>
        <v/>
      </c>
      <c r="AG65" s="160">
        <f>MIN(Inputs!E$142,IF(AND(AG$46&gt;=$C$9,AG$46&lt;=$C$41),$C$18*$C$30,0))</f>
        <v/>
      </c>
      <c r="AH65" s="160">
        <f>MIN(Inputs!E$142,IF(AND(AH$46&gt;=$C$9,AH$46&lt;=$C$41),$C$18*$C$30,0))</f>
        <v/>
      </c>
      <c r="AI65" s="160">
        <f>MIN(Inputs!E$142,IF(AND(AI$46&gt;=$C$9,AI$46&lt;=$C$41),$C$18*$C$30,0))</f>
        <v/>
      </c>
      <c r="AJ65" s="160">
        <f>MIN(Inputs!E$142,IF(AND(AJ$46&gt;=$C$9,AJ$46&lt;=$C$41),$C$18*$C$30,0))</f>
        <v/>
      </c>
      <c r="AK65" s="160">
        <f>MIN(Inputs!E$142,IF(AND(AK$46&gt;=$C$9,AK$46&lt;=$C$41),$C$18*$C$30,0))</f>
        <v/>
      </c>
      <c r="AL65" s="160">
        <f>MIN(Inputs!E$142,IF(AND(AL$46&gt;=$C$9,AL$46&lt;=$C$41),$C$18*$C$30,0))</f>
        <v/>
      </c>
      <c r="AM65" s="160">
        <f>MIN(Inputs!E$142,IF(AND(AM$46&gt;=$C$9,AM$46&lt;=$C$41),$C$18*$C$30,0))</f>
        <v/>
      </c>
      <c r="AN65" s="160">
        <f>MIN(Inputs!E$142,IF(AND(AN$46&gt;=$C$9,AN$46&lt;=$C$41),$C$18*$C$30,0))</f>
        <v/>
      </c>
      <c r="AO65" s="160">
        <f>MIN(Inputs!E$142,IF(AND(AO$46&gt;=$C$9,AO$46&lt;=$C$41),$C$18*$C$30,0))</f>
        <v/>
      </c>
      <c r="AP65" s="160">
        <f>MIN(Inputs!E$142,IF(AND(AP$46&gt;=$C$9,AP$46&lt;=$C$41),$C$18*$C$30,0))</f>
        <v/>
      </c>
      <c r="AQ65" s="160">
        <f>MIN(Inputs!E$142,IF(AND(AQ$46&gt;=$C$9,AQ$46&lt;=$C$41),$C$18*$C$30,0))</f>
        <v/>
      </c>
      <c r="AR65" s="160">
        <f>MIN(Inputs!E$142,IF(AND(AR$46&gt;=$C$9,AR$46&lt;=$C$41),$C$18*$C$30,0))</f>
        <v/>
      </c>
      <c r="AS65" s="160">
        <f>MIN(Inputs!E$142,IF(AND(AS$46&gt;=$C$9,AS$46&lt;=$C$41),$C$18*$C$30,0))</f>
        <v/>
      </c>
      <c r="AT65" s="160">
        <f>MIN(Inputs!E$142,IF(AND(AT$46&gt;=$C$9,AT$46&lt;=$C$41),$C$18*$C$30,0))</f>
        <v/>
      </c>
      <c r="AU65" s="160">
        <f>MIN(Inputs!E$142,IF(AND(AU$46&gt;=$C$9,AU$46&lt;=$C$41),$C$18*$C$30,0))</f>
        <v/>
      </c>
      <c r="AV65" s="160">
        <f>MIN(Inputs!E$142,IF(AND(AV$46&gt;=$C$9,AV$46&lt;=$C$41),$C$18*$C$30,0))</f>
        <v/>
      </c>
      <c r="AW65" s="160">
        <f>MIN(Inputs!E$142,IF(AND(AW$46&gt;=$C$9,AW$46&lt;=$C$41),$C$18*$C$30,0))</f>
        <v/>
      </c>
      <c r="AX65" s="160">
        <f>MIN(Inputs!E$142,IF(AND(AX$46&gt;=$C$9,AX$46&lt;=$C$41),$C$18*$C$30,0))</f>
        <v/>
      </c>
      <c r="AY65" s="160">
        <f>MIN(Inputs!E$142,IF(AND(AY$46&gt;=$C$9,AY$46&lt;=$C$41),$C$18*$C$30,0))</f>
        <v/>
      </c>
      <c r="AZ65" s="160">
        <f>MIN(Inputs!E$142,IF(AND(AZ$46&gt;=$C$9,AZ$46&lt;=$C$41),$C$18*$C$30,0))</f>
        <v/>
      </c>
      <c r="BA65" s="160">
        <f>MIN(Inputs!E$142,IF(AND(BA$46&gt;=$C$9,BA$46&lt;=$C$41),$C$18*$C$30,0))</f>
        <v/>
      </c>
      <c r="BB65" s="160">
        <f>MIN(Inputs!E$142,IF(AND(BB$46&gt;=$C$9,BB$46&lt;=$C$41),$C$18*$C$30,0))</f>
        <v/>
      </c>
    </row>
    <row r="66" ht="15" customHeight="1" s="91">
      <c r="B66" s="153" t="inlineStr">
        <is>
          <t>Custody Fee  رسوم الحفظ</t>
        </is>
      </c>
      <c r="C66" s="153" t="inlineStr">
        <is>
          <t>SAR</t>
        </is>
      </c>
      <c r="D66" s="160">
        <f>SUM(E66:BB66)</f>
        <v/>
      </c>
      <c r="E66" s="160">
        <f>IF(AND($C$17&gt;0,E$46&gt;=$C$9,E$46&lt;=$C$41),$C$31,0)</f>
        <v/>
      </c>
      <c r="F66" s="160">
        <f>IF(AND($C$17&gt;0,F$46&gt;=$C$9,F$46&lt;=$C$41),$C$31,0)</f>
        <v/>
      </c>
      <c r="G66" s="160">
        <f>IF(AND($C$17&gt;0,G$46&gt;=$C$9,G$46&lt;=$C$41),$C$31,0)</f>
        <v/>
      </c>
      <c r="H66" s="160">
        <f>IF(AND($C$17&gt;0,H$46&gt;=$C$9,H$46&lt;=$C$41),$C$31,0)</f>
        <v/>
      </c>
      <c r="I66" s="160">
        <f>IF(AND($C$17&gt;0,I$46&gt;=$C$9,I$46&lt;=$C$41),$C$31,0)</f>
        <v/>
      </c>
      <c r="J66" s="160">
        <f>IF(AND($C$17&gt;0,J$46&gt;=$C$9,J$46&lt;=$C$41),$C$31,0)</f>
        <v/>
      </c>
      <c r="K66" s="160">
        <f>IF(AND($C$17&gt;0,K$46&gt;=$C$9,K$46&lt;=$C$41),$C$31,0)</f>
        <v/>
      </c>
      <c r="L66" s="160">
        <f>IF(AND($C$17&gt;0,L$46&gt;=$C$9,L$46&lt;=$C$41),$C$31,0)</f>
        <v/>
      </c>
      <c r="M66" s="160">
        <f>IF(AND($C$17&gt;0,M$46&gt;=$C$9,M$46&lt;=$C$41),$C$31,0)</f>
        <v/>
      </c>
      <c r="N66" s="160">
        <f>IF(AND($C$17&gt;0,N$46&gt;=$C$9,N$46&lt;=$C$41),$C$31,0)</f>
        <v/>
      </c>
      <c r="O66" s="160">
        <f>IF(AND($C$17&gt;0,O$46&gt;=$C$9,O$46&lt;=$C$41),$C$31,0)</f>
        <v/>
      </c>
      <c r="P66" s="160">
        <f>IF(AND($C$17&gt;0,P$46&gt;=$C$9,P$46&lt;=$C$41),$C$31,0)</f>
        <v/>
      </c>
      <c r="Q66" s="160">
        <f>IF(AND($C$17&gt;0,Q$46&gt;=$C$9,Q$46&lt;=$C$41),$C$31,0)</f>
        <v/>
      </c>
      <c r="R66" s="160">
        <f>IF(AND($C$17&gt;0,R$46&gt;=$C$9,R$46&lt;=$C$41),$C$31,0)</f>
        <v/>
      </c>
      <c r="S66" s="160">
        <f>IF(AND($C$17&gt;0,S$46&gt;=$C$9,S$46&lt;=$C$41),$C$31,0)</f>
        <v/>
      </c>
      <c r="T66" s="160">
        <f>IF(AND($C$17&gt;0,T$46&gt;=$C$9,T$46&lt;=$C$41),$C$31,0)</f>
        <v/>
      </c>
      <c r="U66" s="160">
        <f>IF(AND($C$17&gt;0,U$46&gt;=$C$9,U$46&lt;=$C$41),$C$31,0)</f>
        <v/>
      </c>
      <c r="V66" s="160">
        <f>IF(AND($C$17&gt;0,V$46&gt;=$C$9,V$46&lt;=$C$41),$C$31,0)</f>
        <v/>
      </c>
      <c r="W66" s="160">
        <f>IF(AND($C$17&gt;0,W$46&gt;=$C$9,W$46&lt;=$C$41),$C$31,0)</f>
        <v/>
      </c>
      <c r="X66" s="160">
        <f>IF(AND($C$17&gt;0,X$46&gt;=$C$9,X$46&lt;=$C$41),$C$31,0)</f>
        <v/>
      </c>
      <c r="Y66" s="160">
        <f>IF(AND($C$17&gt;0,Y$46&gt;=$C$9,Y$46&lt;=$C$41),$C$31,0)</f>
        <v/>
      </c>
      <c r="Z66" s="160">
        <f>IF(AND($C$17&gt;0,Z$46&gt;=$C$9,Z$46&lt;=$C$41),$C$31,0)</f>
        <v/>
      </c>
      <c r="AA66" s="160">
        <f>IF(AND($C$17&gt;0,AA$46&gt;=$C$9,AA$46&lt;=$C$41),$C$31,0)</f>
        <v/>
      </c>
      <c r="AB66" s="160">
        <f>IF(AND($C$17&gt;0,AB$46&gt;=$C$9,AB$46&lt;=$C$41),$C$31,0)</f>
        <v/>
      </c>
      <c r="AC66" s="160">
        <f>IF(AND($C$17&gt;0,AC$46&gt;=$C$9,AC$46&lt;=$C$41),$C$31,0)</f>
        <v/>
      </c>
      <c r="AD66" s="160">
        <f>IF(AND($C$17&gt;0,AD$46&gt;=$C$9,AD$46&lt;=$C$41),$C$31,0)</f>
        <v/>
      </c>
      <c r="AE66" s="160">
        <f>IF(AND($C$17&gt;0,AE$46&gt;=$C$9,AE$46&lt;=$C$41),$C$31,0)</f>
        <v/>
      </c>
      <c r="AF66" s="160">
        <f>IF(AND($C$17&gt;0,AF$46&gt;=$C$9,AF$46&lt;=$C$41),$C$31,0)</f>
        <v/>
      </c>
      <c r="AG66" s="160">
        <f>IF(AND($C$17&gt;0,AG$46&gt;=$C$9,AG$46&lt;=$C$41),$C$31,0)</f>
        <v/>
      </c>
      <c r="AH66" s="160">
        <f>IF(AND($C$17&gt;0,AH$46&gt;=$C$9,AH$46&lt;=$C$41),$C$31,0)</f>
        <v/>
      </c>
      <c r="AI66" s="160">
        <f>IF(AND($C$17&gt;0,AI$46&gt;=$C$9,AI$46&lt;=$C$41),$C$31,0)</f>
        <v/>
      </c>
      <c r="AJ66" s="160">
        <f>IF(AND($C$17&gt;0,AJ$46&gt;=$C$9,AJ$46&lt;=$C$41),$C$31,0)</f>
        <v/>
      </c>
      <c r="AK66" s="160">
        <f>IF(AND($C$17&gt;0,AK$46&gt;=$C$9,AK$46&lt;=$C$41),$C$31,0)</f>
        <v/>
      </c>
      <c r="AL66" s="160">
        <f>IF(AND($C$17&gt;0,AL$46&gt;=$C$9,AL$46&lt;=$C$41),$C$31,0)</f>
        <v/>
      </c>
      <c r="AM66" s="160">
        <f>IF(AND($C$17&gt;0,AM$46&gt;=$C$9,AM$46&lt;=$C$41),$C$31,0)</f>
        <v/>
      </c>
      <c r="AN66" s="160">
        <f>IF(AND($C$17&gt;0,AN$46&gt;=$C$9,AN$46&lt;=$C$41),$C$31,0)</f>
        <v/>
      </c>
      <c r="AO66" s="160">
        <f>IF(AND($C$17&gt;0,AO$46&gt;=$C$9,AO$46&lt;=$C$41),$C$31,0)</f>
        <v/>
      </c>
      <c r="AP66" s="160">
        <f>IF(AND($C$17&gt;0,AP$46&gt;=$C$9,AP$46&lt;=$C$41),$C$31,0)</f>
        <v/>
      </c>
      <c r="AQ66" s="160">
        <f>IF(AND($C$17&gt;0,AQ$46&gt;=$C$9,AQ$46&lt;=$C$41),$C$31,0)</f>
        <v/>
      </c>
      <c r="AR66" s="160">
        <f>IF(AND($C$17&gt;0,AR$46&gt;=$C$9,AR$46&lt;=$C$41),$C$31,0)</f>
        <v/>
      </c>
      <c r="AS66" s="160">
        <f>IF(AND($C$17&gt;0,AS$46&gt;=$C$9,AS$46&lt;=$C$41),$C$31,0)</f>
        <v/>
      </c>
      <c r="AT66" s="160">
        <f>IF(AND($C$17&gt;0,AT$46&gt;=$C$9,AT$46&lt;=$C$41),$C$31,0)</f>
        <v/>
      </c>
      <c r="AU66" s="160">
        <f>IF(AND($C$17&gt;0,AU$46&gt;=$C$9,AU$46&lt;=$C$41),$C$31,0)</f>
        <v/>
      </c>
      <c r="AV66" s="160">
        <f>IF(AND($C$17&gt;0,AV$46&gt;=$C$9,AV$46&lt;=$C$41),$C$31,0)</f>
        <v/>
      </c>
      <c r="AW66" s="160">
        <f>IF(AND($C$17&gt;0,AW$46&gt;=$C$9,AW$46&lt;=$C$41),$C$31,0)</f>
        <v/>
      </c>
      <c r="AX66" s="160">
        <f>IF(AND($C$17&gt;0,AX$46&gt;=$C$9,AX$46&lt;=$C$41),$C$31,0)</f>
        <v/>
      </c>
      <c r="AY66" s="160">
        <f>IF(AND($C$17&gt;0,AY$46&gt;=$C$9,AY$46&lt;=$C$41),$C$31,0)</f>
        <v/>
      </c>
      <c r="AZ66" s="160">
        <f>IF(AND($C$17&gt;0,AZ$46&gt;=$C$9,AZ$46&lt;=$C$41),$C$31,0)</f>
        <v/>
      </c>
      <c r="BA66" s="160">
        <f>IF(AND($C$17&gt;0,BA$46&gt;=$C$9,BA$46&lt;=$C$41),$C$31,0)</f>
        <v/>
      </c>
      <c r="BB66" s="160">
        <f>IF(AND($C$17&gt;0,BB$46&gt;=$C$9,BB$46&lt;=$C$41),$C$31,0)</f>
        <v/>
      </c>
    </row>
    <row r="67" ht="15" customHeight="1" s="91">
      <c r="B67" s="153" t="inlineStr">
        <is>
          <t>Developer Fee  رسوم المطور</t>
        </is>
      </c>
      <c r="C67" s="153" t="inlineStr">
        <is>
          <t>SAR</t>
        </is>
      </c>
      <c r="D67" s="160">
        <f>SUM(E67:BB67)</f>
        <v/>
      </c>
      <c r="E67" s="160">
        <f>IF(AND(E49&lt;0,E$46&gt;=$C$9,E$46&lt;=$C$41),ABS(E49)*$C$32,0)</f>
        <v/>
      </c>
      <c r="F67" s="160">
        <f>IF(AND(F49&lt;0,F$46&gt;=$C$9,F$46&lt;=$C$41),ABS(F49)*$C$32,0)</f>
        <v/>
      </c>
      <c r="G67" s="160">
        <f>IF(AND(G49&lt;0,G$46&gt;=$C$9,G$46&lt;=$C$41),ABS(G49)*$C$32,0)</f>
        <v/>
      </c>
      <c r="H67" s="160">
        <f>IF(AND(H49&lt;0,H$46&gt;=$C$9,H$46&lt;=$C$41),ABS(H49)*$C$32,0)</f>
        <v/>
      </c>
      <c r="I67" s="160">
        <f>IF(AND(I49&lt;0,I$46&gt;=$C$9,I$46&lt;=$C$41),ABS(I49)*$C$32,0)</f>
        <v/>
      </c>
      <c r="J67" s="160">
        <f>IF(AND(J49&lt;0,J$46&gt;=$C$9,J$46&lt;=$C$41),ABS(J49)*$C$32,0)</f>
        <v/>
      </c>
      <c r="K67" s="160">
        <f>IF(AND(K49&lt;0,K$46&gt;=$C$9,K$46&lt;=$C$41),ABS(K49)*$C$32,0)</f>
        <v/>
      </c>
      <c r="L67" s="160">
        <f>IF(AND(L49&lt;0,L$46&gt;=$C$9,L$46&lt;=$C$41),ABS(L49)*$C$32,0)</f>
        <v/>
      </c>
      <c r="M67" s="160">
        <f>IF(AND(M49&lt;0,M$46&gt;=$C$9,M$46&lt;=$C$41),ABS(M49)*$C$32,0)</f>
        <v/>
      </c>
      <c r="N67" s="160">
        <f>IF(AND(N49&lt;0,N$46&gt;=$C$9,N$46&lt;=$C$41),ABS(N49)*$C$32,0)</f>
        <v/>
      </c>
      <c r="O67" s="160">
        <f>IF(AND(O49&lt;0,O$46&gt;=$C$9,O$46&lt;=$C$41),ABS(O49)*$C$32,0)</f>
        <v/>
      </c>
      <c r="P67" s="160">
        <f>IF(AND(P49&lt;0,P$46&gt;=$C$9,P$46&lt;=$C$41),ABS(P49)*$C$32,0)</f>
        <v/>
      </c>
      <c r="Q67" s="160">
        <f>IF(AND(Q49&lt;0,Q$46&gt;=$C$9,Q$46&lt;=$C$41),ABS(Q49)*$C$32,0)</f>
        <v/>
      </c>
      <c r="R67" s="160">
        <f>IF(AND(R49&lt;0,R$46&gt;=$C$9,R$46&lt;=$C$41),ABS(R49)*$C$32,0)</f>
        <v/>
      </c>
      <c r="S67" s="160">
        <f>IF(AND(S49&lt;0,S$46&gt;=$C$9,S$46&lt;=$C$41),ABS(S49)*$C$32,0)</f>
        <v/>
      </c>
      <c r="T67" s="160">
        <f>IF(AND(T49&lt;0,T$46&gt;=$C$9,T$46&lt;=$C$41),ABS(T49)*$C$32,0)</f>
        <v/>
      </c>
      <c r="U67" s="160">
        <f>IF(AND(U49&lt;0,U$46&gt;=$C$9,U$46&lt;=$C$41),ABS(U49)*$C$32,0)</f>
        <v/>
      </c>
      <c r="V67" s="160">
        <f>IF(AND(V49&lt;0,V$46&gt;=$C$9,V$46&lt;=$C$41),ABS(V49)*$C$32,0)</f>
        <v/>
      </c>
      <c r="W67" s="160">
        <f>IF(AND(W49&lt;0,W$46&gt;=$C$9,W$46&lt;=$C$41),ABS(W49)*$C$32,0)</f>
        <v/>
      </c>
      <c r="X67" s="160">
        <f>IF(AND(X49&lt;0,X$46&gt;=$C$9,X$46&lt;=$C$41),ABS(X49)*$C$32,0)</f>
        <v/>
      </c>
      <c r="Y67" s="160">
        <f>IF(AND(Y49&lt;0,Y$46&gt;=$C$9,Y$46&lt;=$C$41),ABS(Y49)*$C$32,0)</f>
        <v/>
      </c>
      <c r="Z67" s="160">
        <f>IF(AND(Z49&lt;0,Z$46&gt;=$C$9,Z$46&lt;=$C$41),ABS(Z49)*$C$32,0)</f>
        <v/>
      </c>
      <c r="AA67" s="160">
        <f>IF(AND(AA49&lt;0,AA$46&gt;=$C$9,AA$46&lt;=$C$41),ABS(AA49)*$C$32,0)</f>
        <v/>
      </c>
      <c r="AB67" s="160">
        <f>IF(AND(AB49&lt;0,AB$46&gt;=$C$9,AB$46&lt;=$C$41),ABS(AB49)*$C$32,0)</f>
        <v/>
      </c>
      <c r="AC67" s="160">
        <f>IF(AND(AC49&lt;0,AC$46&gt;=$C$9,AC$46&lt;=$C$41),ABS(AC49)*$C$32,0)</f>
        <v/>
      </c>
      <c r="AD67" s="160">
        <f>IF(AND(AD49&lt;0,AD$46&gt;=$C$9,AD$46&lt;=$C$41),ABS(AD49)*$C$32,0)</f>
        <v/>
      </c>
      <c r="AE67" s="160">
        <f>IF(AND(AE49&lt;0,AE$46&gt;=$C$9,AE$46&lt;=$C$41),ABS(AE49)*$C$32,0)</f>
        <v/>
      </c>
      <c r="AF67" s="160">
        <f>IF(AND(AF49&lt;0,AF$46&gt;=$C$9,AF$46&lt;=$C$41),ABS(AF49)*$C$32,0)</f>
        <v/>
      </c>
      <c r="AG67" s="160">
        <f>IF(AND(AG49&lt;0,AG$46&gt;=$C$9,AG$46&lt;=$C$41),ABS(AG49)*$C$32,0)</f>
        <v/>
      </c>
      <c r="AH67" s="160">
        <f>IF(AND(AH49&lt;0,AH$46&gt;=$C$9,AH$46&lt;=$C$41),ABS(AH49)*$C$32,0)</f>
        <v/>
      </c>
      <c r="AI67" s="160">
        <f>IF(AND(AI49&lt;0,AI$46&gt;=$C$9,AI$46&lt;=$C$41),ABS(AI49)*$C$32,0)</f>
        <v/>
      </c>
      <c r="AJ67" s="160">
        <f>IF(AND(AJ49&lt;0,AJ$46&gt;=$C$9,AJ$46&lt;=$C$41),ABS(AJ49)*$C$32,0)</f>
        <v/>
      </c>
      <c r="AK67" s="160">
        <f>IF(AND(AK49&lt;0,AK$46&gt;=$C$9,AK$46&lt;=$C$41),ABS(AK49)*$C$32,0)</f>
        <v/>
      </c>
      <c r="AL67" s="160">
        <f>IF(AND(AL49&lt;0,AL$46&gt;=$C$9,AL$46&lt;=$C$41),ABS(AL49)*$C$32,0)</f>
        <v/>
      </c>
      <c r="AM67" s="160">
        <f>IF(AND(AM49&lt;0,AM$46&gt;=$C$9,AM$46&lt;=$C$41),ABS(AM49)*$C$32,0)</f>
        <v/>
      </c>
      <c r="AN67" s="160">
        <f>IF(AND(AN49&lt;0,AN$46&gt;=$C$9,AN$46&lt;=$C$41),ABS(AN49)*$C$32,0)</f>
        <v/>
      </c>
      <c r="AO67" s="160">
        <f>IF(AND(AO49&lt;0,AO$46&gt;=$C$9,AO$46&lt;=$C$41),ABS(AO49)*$C$32,0)</f>
        <v/>
      </c>
      <c r="AP67" s="160">
        <f>IF(AND(AP49&lt;0,AP$46&gt;=$C$9,AP$46&lt;=$C$41),ABS(AP49)*$C$32,0)</f>
        <v/>
      </c>
      <c r="AQ67" s="160">
        <f>IF(AND(AQ49&lt;0,AQ$46&gt;=$C$9,AQ$46&lt;=$C$41),ABS(AQ49)*$C$32,0)</f>
        <v/>
      </c>
      <c r="AR67" s="160">
        <f>IF(AND(AR49&lt;0,AR$46&gt;=$C$9,AR$46&lt;=$C$41),ABS(AR49)*$C$32,0)</f>
        <v/>
      </c>
      <c r="AS67" s="160">
        <f>IF(AND(AS49&lt;0,AS$46&gt;=$C$9,AS$46&lt;=$C$41),ABS(AS49)*$C$32,0)</f>
        <v/>
      </c>
      <c r="AT67" s="160">
        <f>IF(AND(AT49&lt;0,AT$46&gt;=$C$9,AT$46&lt;=$C$41),ABS(AT49)*$C$32,0)</f>
        <v/>
      </c>
      <c r="AU67" s="160">
        <f>IF(AND(AU49&lt;0,AU$46&gt;=$C$9,AU$46&lt;=$C$41),ABS(AU49)*$C$32,0)</f>
        <v/>
      </c>
      <c r="AV67" s="160">
        <f>IF(AND(AV49&lt;0,AV$46&gt;=$C$9,AV$46&lt;=$C$41),ABS(AV49)*$C$32,0)</f>
        <v/>
      </c>
      <c r="AW67" s="160">
        <f>IF(AND(AW49&lt;0,AW$46&gt;=$C$9,AW$46&lt;=$C$41),ABS(AW49)*$C$32,0)</f>
        <v/>
      </c>
      <c r="AX67" s="160">
        <f>IF(AND(AX49&lt;0,AX$46&gt;=$C$9,AX$46&lt;=$C$41),ABS(AX49)*$C$32,0)</f>
        <v/>
      </c>
      <c r="AY67" s="160">
        <f>IF(AND(AY49&lt;0,AY$46&gt;=$C$9,AY$46&lt;=$C$41),ABS(AY49)*$C$32,0)</f>
        <v/>
      </c>
      <c r="AZ67" s="160">
        <f>IF(AND(AZ49&lt;0,AZ$46&gt;=$C$9,AZ$46&lt;=$C$41),ABS(AZ49)*$C$32,0)</f>
        <v/>
      </c>
      <c r="BA67" s="160">
        <f>IF(AND(BA49&lt;0,BA$46&gt;=$C$9,BA$46&lt;=$C$41),ABS(BA49)*$C$32,0)</f>
        <v/>
      </c>
      <c r="BB67" s="160">
        <f>IF(AND(BB49&lt;0,BB$46&gt;=$C$9,BB$46&lt;=$C$41),ABS(BB49)*$C$32,0)</f>
        <v/>
      </c>
    </row>
    <row r="68" ht="15" customHeight="1" s="91">
      <c r="B68" s="153" t="inlineStr">
        <is>
          <t>Structuring Fee  رسوم الهيكلة</t>
        </is>
      </c>
      <c r="C68" s="153" t="inlineStr">
        <is>
          <t>SAR</t>
        </is>
      </c>
      <c r="D68" s="160">
        <f>SUM(E68:BB68)</f>
        <v/>
      </c>
      <c r="E68" s="160">
        <f>IF(E$46=$C$9,MIN(Inputs!E$143,ABS($D$49)*$C$33),0)</f>
        <v/>
      </c>
      <c r="F68" s="160">
        <f>IF(F$46=$C$9,MIN(Inputs!E$143,ABS($D$49)*$C$33),0)</f>
        <v/>
      </c>
      <c r="G68" s="160">
        <f>IF(G$46=$C$9,MIN(Inputs!E$143,ABS($D$49)*$C$33),0)</f>
        <v/>
      </c>
      <c r="H68" s="160">
        <f>IF(H$46=$C$9,MIN(Inputs!E$143,ABS($D$49)*$C$33),0)</f>
        <v/>
      </c>
      <c r="I68" s="160">
        <f>IF(I$46=$C$9,MIN(Inputs!E$143,ABS($D$49)*$C$33),0)</f>
        <v/>
      </c>
      <c r="J68" s="160">
        <f>IF(J$46=$C$9,MIN(Inputs!E$143,ABS($D$49)*$C$33),0)</f>
        <v/>
      </c>
      <c r="K68" s="160">
        <f>IF(K$46=$C$9,MIN(Inputs!E$143,ABS($D$49)*$C$33),0)</f>
        <v/>
      </c>
      <c r="L68" s="160">
        <f>IF(L$46=$C$9,MIN(Inputs!E$143,ABS($D$49)*$C$33),0)</f>
        <v/>
      </c>
      <c r="M68" s="160">
        <f>IF(M$46=$C$9,MIN(Inputs!E$143,ABS($D$49)*$C$33),0)</f>
        <v/>
      </c>
      <c r="N68" s="160">
        <f>IF(N$46=$C$9,MIN(Inputs!E$143,ABS($D$49)*$C$33),0)</f>
        <v/>
      </c>
      <c r="O68" s="160">
        <f>IF(O$46=$C$9,MIN(Inputs!E$143,ABS($D$49)*$C$33),0)</f>
        <v/>
      </c>
      <c r="P68" s="160">
        <f>IF(P$46=$C$9,MIN(Inputs!E$143,ABS($D$49)*$C$33),0)</f>
        <v/>
      </c>
      <c r="Q68" s="160">
        <f>IF(Q$46=$C$9,MIN(Inputs!E$143,ABS($D$49)*$C$33),0)</f>
        <v/>
      </c>
      <c r="R68" s="160">
        <f>IF(R$46=$C$9,MIN(Inputs!E$143,ABS($D$49)*$C$33),0)</f>
        <v/>
      </c>
      <c r="S68" s="160">
        <f>IF(S$46=$C$9,MIN(Inputs!E$143,ABS($D$49)*$C$33),0)</f>
        <v/>
      </c>
      <c r="T68" s="160">
        <f>IF(T$46=$C$9,MIN(Inputs!E$143,ABS($D$49)*$C$33),0)</f>
        <v/>
      </c>
      <c r="U68" s="160">
        <f>IF(U$46=$C$9,MIN(Inputs!E$143,ABS($D$49)*$C$33),0)</f>
        <v/>
      </c>
      <c r="V68" s="160">
        <f>IF(V$46=$C$9,MIN(Inputs!E$143,ABS($D$49)*$C$33),0)</f>
        <v/>
      </c>
      <c r="W68" s="160">
        <f>IF(W$46=$C$9,MIN(Inputs!E$143,ABS($D$49)*$C$33),0)</f>
        <v/>
      </c>
      <c r="X68" s="160">
        <f>IF(X$46=$C$9,MIN(Inputs!E$143,ABS($D$49)*$C$33),0)</f>
        <v/>
      </c>
      <c r="Y68" s="160">
        <f>IF(Y$46=$C$9,MIN(Inputs!E$143,ABS($D$49)*$C$33),0)</f>
        <v/>
      </c>
      <c r="Z68" s="160">
        <f>IF(Z$46=$C$9,MIN(Inputs!E$143,ABS($D$49)*$C$33),0)</f>
        <v/>
      </c>
      <c r="AA68" s="160">
        <f>IF(AA$46=$C$9,MIN(Inputs!E$143,ABS($D$49)*$C$33),0)</f>
        <v/>
      </c>
      <c r="AB68" s="160">
        <f>IF(AB$46=$C$9,MIN(Inputs!E$143,ABS($D$49)*$C$33),0)</f>
        <v/>
      </c>
      <c r="AC68" s="160">
        <f>IF(AC$46=$C$9,MIN(Inputs!E$143,ABS($D$49)*$C$33),0)</f>
        <v/>
      </c>
      <c r="AD68" s="160">
        <f>IF(AD$46=$C$9,MIN(Inputs!E$143,ABS($D$49)*$C$33),0)</f>
        <v/>
      </c>
      <c r="AE68" s="160">
        <f>IF(AE$46=$C$9,MIN(Inputs!E$143,ABS($D$49)*$C$33),0)</f>
        <v/>
      </c>
      <c r="AF68" s="160">
        <f>IF(AF$46=$C$9,MIN(Inputs!E$143,ABS($D$49)*$C$33),0)</f>
        <v/>
      </c>
      <c r="AG68" s="160">
        <f>IF(AG$46=$C$9,MIN(Inputs!E$143,ABS($D$49)*$C$33),0)</f>
        <v/>
      </c>
      <c r="AH68" s="160">
        <f>IF(AH$46=$C$9,MIN(Inputs!E$143,ABS($D$49)*$C$33),0)</f>
        <v/>
      </c>
      <c r="AI68" s="160">
        <f>IF(AI$46=$C$9,MIN(Inputs!E$143,ABS($D$49)*$C$33),0)</f>
        <v/>
      </c>
      <c r="AJ68" s="160">
        <f>IF(AJ$46=$C$9,MIN(Inputs!E$143,ABS($D$49)*$C$33),0)</f>
        <v/>
      </c>
      <c r="AK68" s="160">
        <f>IF(AK$46=$C$9,MIN(Inputs!E$143,ABS($D$49)*$C$33),0)</f>
        <v/>
      </c>
      <c r="AL68" s="160">
        <f>IF(AL$46=$C$9,MIN(Inputs!E$143,ABS($D$49)*$C$33),0)</f>
        <v/>
      </c>
      <c r="AM68" s="160">
        <f>IF(AM$46=$C$9,MIN(Inputs!E$143,ABS($D$49)*$C$33),0)</f>
        <v/>
      </c>
      <c r="AN68" s="160">
        <f>IF(AN$46=$C$9,MIN(Inputs!E$143,ABS($D$49)*$C$33),0)</f>
        <v/>
      </c>
      <c r="AO68" s="160">
        <f>IF(AO$46=$C$9,MIN(Inputs!E$143,ABS($D$49)*$C$33),0)</f>
        <v/>
      </c>
      <c r="AP68" s="160">
        <f>IF(AP$46=$C$9,MIN(Inputs!E$143,ABS($D$49)*$C$33),0)</f>
        <v/>
      </c>
      <c r="AQ68" s="160">
        <f>IF(AQ$46=$C$9,MIN(Inputs!E$143,ABS($D$49)*$C$33),0)</f>
        <v/>
      </c>
      <c r="AR68" s="160">
        <f>IF(AR$46=$C$9,MIN(Inputs!E$143,ABS($D$49)*$C$33),0)</f>
        <v/>
      </c>
      <c r="AS68" s="160">
        <f>IF(AS$46=$C$9,MIN(Inputs!E$143,ABS($D$49)*$C$33),0)</f>
        <v/>
      </c>
      <c r="AT68" s="160">
        <f>IF(AT$46=$C$9,MIN(Inputs!E$143,ABS($D$49)*$C$33),0)</f>
        <v/>
      </c>
      <c r="AU68" s="160">
        <f>IF(AU$46=$C$9,MIN(Inputs!E$143,ABS($D$49)*$C$33),0)</f>
        <v/>
      </c>
      <c r="AV68" s="160">
        <f>IF(AV$46=$C$9,MIN(Inputs!E$143,ABS($D$49)*$C$33),0)</f>
        <v/>
      </c>
      <c r="AW68" s="160">
        <f>IF(AW$46=$C$9,MIN(Inputs!E$143,ABS($D$49)*$C$33),0)</f>
        <v/>
      </c>
      <c r="AX68" s="160">
        <f>IF(AX$46=$C$9,MIN(Inputs!E$143,ABS($D$49)*$C$33),0)</f>
        <v/>
      </c>
      <c r="AY68" s="160">
        <f>IF(AY$46=$C$9,MIN(Inputs!E$143,ABS($D$49)*$C$33),0)</f>
        <v/>
      </c>
      <c r="AZ68" s="160">
        <f>IF(AZ$46=$C$9,MIN(Inputs!E$143,ABS($D$49)*$C$33),0)</f>
        <v/>
      </c>
      <c r="BA68" s="160">
        <f>IF(BA$46=$C$9,MIN(Inputs!E$143,ABS($D$49)*$C$33),0)</f>
        <v/>
      </c>
      <c r="BB68" s="160">
        <f>IF(BB$46=$C$9,MIN(Inputs!E$143,ABS($D$49)*$C$33),0)</f>
        <v/>
      </c>
    </row>
    <row r="69" ht="15" customHeight="1" s="91">
      <c r="B69" s="110" t="inlineStr">
        <is>
          <t>Total Fees  إجمالي الرسوم</t>
        </is>
      </c>
      <c r="C69" s="153" t="inlineStr">
        <is>
          <t>SAR</t>
        </is>
      </c>
      <c r="D69" s="157">
        <f>SUM(E69:BB69)</f>
        <v/>
      </c>
      <c r="E69" s="157">
        <f>E63+E64+E65+E66+E67+E68</f>
        <v/>
      </c>
      <c r="F69" s="157">
        <f>F63+F64+F65+F66+F67+F68</f>
        <v/>
      </c>
      <c r="G69" s="157">
        <f>G63+G64+G65+G66+G67+G68</f>
        <v/>
      </c>
      <c r="H69" s="157">
        <f>H63+H64+H65+H66+H67+H68</f>
        <v/>
      </c>
      <c r="I69" s="157">
        <f>I63+I64+I65+I66+I67+I68</f>
        <v/>
      </c>
      <c r="J69" s="157">
        <f>J63+J64+J65+J66+J67+J68</f>
        <v/>
      </c>
      <c r="K69" s="157">
        <f>K63+K64+K65+K66+K67+K68</f>
        <v/>
      </c>
      <c r="L69" s="157">
        <f>L63+L64+L65+L66+L67+L68</f>
        <v/>
      </c>
      <c r="M69" s="157">
        <f>M63+M64+M65+M66+M67+M68</f>
        <v/>
      </c>
      <c r="N69" s="157">
        <f>N63+N64+N65+N66+N67+N68</f>
        <v/>
      </c>
      <c r="O69" s="157">
        <f>O63+O64+O65+O66+O67+O68</f>
        <v/>
      </c>
      <c r="P69" s="157">
        <f>P63+P64+P65+P66+P67+P68</f>
        <v/>
      </c>
      <c r="Q69" s="157">
        <f>Q63+Q64+Q65+Q66+Q67+Q68</f>
        <v/>
      </c>
      <c r="R69" s="157">
        <f>R63+R64+R65+R66+R67+R68</f>
        <v/>
      </c>
      <c r="S69" s="157">
        <f>S63+S64+S65+S66+S67+S68</f>
        <v/>
      </c>
      <c r="T69" s="157">
        <f>T63+T64+T65+T66+T67+T68</f>
        <v/>
      </c>
      <c r="U69" s="157">
        <f>U63+U64+U65+U66+U67+U68</f>
        <v/>
      </c>
      <c r="V69" s="157">
        <f>V63+V64+V65+V66+V67+V68</f>
        <v/>
      </c>
      <c r="W69" s="157">
        <f>W63+W64+W65+W66+W67+W68</f>
        <v/>
      </c>
      <c r="X69" s="157">
        <f>X63+X64+X65+X66+X67+X68</f>
        <v/>
      </c>
      <c r="Y69" s="157">
        <f>Y63+Y64+Y65+Y66+Y67+Y68</f>
        <v/>
      </c>
      <c r="Z69" s="157">
        <f>Z63+Z64+Z65+Z66+Z67+Z68</f>
        <v/>
      </c>
      <c r="AA69" s="157">
        <f>AA63+AA64+AA65+AA66+AA67+AA68</f>
        <v/>
      </c>
      <c r="AB69" s="157">
        <f>AB63+AB64+AB65+AB66+AB67+AB68</f>
        <v/>
      </c>
      <c r="AC69" s="157">
        <f>AC63+AC64+AC65+AC66+AC67+AC68</f>
        <v/>
      </c>
      <c r="AD69" s="157">
        <f>AD63+AD64+AD65+AD66+AD67+AD68</f>
        <v/>
      </c>
      <c r="AE69" s="157">
        <f>AE63+AE64+AE65+AE66+AE67+AE68</f>
        <v/>
      </c>
      <c r="AF69" s="157">
        <f>AF63+AF64+AF65+AF66+AF67+AF68</f>
        <v/>
      </c>
      <c r="AG69" s="157">
        <f>AG63+AG64+AG65+AG66+AG67+AG68</f>
        <v/>
      </c>
      <c r="AH69" s="157">
        <f>AH63+AH64+AH65+AH66+AH67+AH68</f>
        <v/>
      </c>
      <c r="AI69" s="157">
        <f>AI63+AI64+AI65+AI66+AI67+AI68</f>
        <v/>
      </c>
      <c r="AJ69" s="157">
        <f>AJ63+AJ64+AJ65+AJ66+AJ67+AJ68</f>
        <v/>
      </c>
      <c r="AK69" s="157">
        <f>AK63+AK64+AK65+AK66+AK67+AK68</f>
        <v/>
      </c>
      <c r="AL69" s="157">
        <f>AL63+AL64+AL65+AL66+AL67+AL68</f>
        <v/>
      </c>
      <c r="AM69" s="157">
        <f>AM63+AM64+AM65+AM66+AM67+AM68</f>
        <v/>
      </c>
      <c r="AN69" s="157">
        <f>AN63+AN64+AN65+AN66+AN67+AN68</f>
        <v/>
      </c>
      <c r="AO69" s="157">
        <f>AO63+AO64+AO65+AO66+AO67+AO68</f>
        <v/>
      </c>
      <c r="AP69" s="157">
        <f>AP63+AP64+AP65+AP66+AP67+AP68</f>
        <v/>
      </c>
      <c r="AQ69" s="157">
        <f>AQ63+AQ64+AQ65+AQ66+AQ67+AQ68</f>
        <v/>
      </c>
      <c r="AR69" s="157">
        <f>AR63+AR64+AR65+AR66+AR67+AR68</f>
        <v/>
      </c>
      <c r="AS69" s="157">
        <f>AS63+AS64+AS65+AS66+AS67+AS68</f>
        <v/>
      </c>
      <c r="AT69" s="157">
        <f>AT63+AT64+AT65+AT66+AT67+AT68</f>
        <v/>
      </c>
      <c r="AU69" s="157">
        <f>AU63+AU64+AU65+AU66+AU67+AU68</f>
        <v/>
      </c>
      <c r="AV69" s="157">
        <f>AV63+AV64+AV65+AV66+AV67+AV68</f>
        <v/>
      </c>
      <c r="AW69" s="157">
        <f>AW63+AW64+AW65+AW66+AW67+AW68</f>
        <v/>
      </c>
      <c r="AX69" s="157">
        <f>AX63+AX64+AX65+AX66+AX67+AX68</f>
        <v/>
      </c>
      <c r="AY69" s="157">
        <f>AY63+AY64+AY65+AY66+AY67+AY68</f>
        <v/>
      </c>
      <c r="AZ69" s="157">
        <f>AZ63+AZ64+AZ65+AZ66+AZ67+AZ68</f>
        <v/>
      </c>
      <c r="BA69" s="157">
        <f>BA63+BA64+BA65+BA66+BA67+BA68</f>
        <v/>
      </c>
      <c r="BB69" s="157">
        <f>BB63+BB64+BB65+BB66+BB67+BB68</f>
        <v/>
      </c>
    </row>
    <row r="70" ht="15" customHeight="1" s="91">
      <c r="B70" s="153" t="inlineStr">
        <is>
          <t>Unfunded Fees (Equity-Funded)  الرسوم الممولة من الإكوتي</t>
        </is>
      </c>
      <c r="C70" s="153" t="inlineStr">
        <is>
          <t>SAR</t>
        </is>
      </c>
      <c r="D70" s="160">
        <f>SUM(E70:BB70)</f>
        <v/>
      </c>
      <c r="E70" s="160">
        <f>MAX(0,E69-MAX(0,IF(E$46&lt;=$C$41,E50,0)+E62+E51))</f>
        <v/>
      </c>
      <c r="F70" s="160">
        <f>MAX(0,F69-MAX(0,IF(F$46&lt;=$C$41,F50,0)+F62+F51))</f>
        <v/>
      </c>
      <c r="G70" s="160">
        <f>MAX(0,G69-MAX(0,IF(G$46&lt;=$C$41,G50,0)+G62+G51))</f>
        <v/>
      </c>
      <c r="H70" s="160">
        <f>MAX(0,H69-MAX(0,IF(H$46&lt;=$C$41,H50,0)+H62+H51))</f>
        <v/>
      </c>
      <c r="I70" s="160">
        <f>MAX(0,I69-MAX(0,IF(I$46&lt;=$C$41,I50,0)+I62+I51))</f>
        <v/>
      </c>
      <c r="J70" s="160">
        <f>MAX(0,J69-MAX(0,IF(J$46&lt;=$C$41,J50,0)+J62+J51))</f>
        <v/>
      </c>
      <c r="K70" s="160">
        <f>MAX(0,K69-MAX(0,IF(K$46&lt;=$C$41,K50,0)+K62+K51))</f>
        <v/>
      </c>
      <c r="L70" s="160">
        <f>MAX(0,L69-MAX(0,IF(L$46&lt;=$C$41,L50,0)+L62+L51))</f>
        <v/>
      </c>
      <c r="M70" s="160">
        <f>MAX(0,M69-MAX(0,IF(M$46&lt;=$C$41,M50,0)+M62+M51))</f>
        <v/>
      </c>
      <c r="N70" s="160">
        <f>MAX(0,N69-MAX(0,IF(N$46&lt;=$C$41,N50,0)+N62+N51))</f>
        <v/>
      </c>
      <c r="O70" s="160">
        <f>MAX(0,O69-MAX(0,IF(O$46&lt;=$C$41,O50,0)+O62+O51))</f>
        <v/>
      </c>
      <c r="P70" s="160">
        <f>MAX(0,P69-MAX(0,IF(P$46&lt;=$C$41,P50,0)+P62+P51))</f>
        <v/>
      </c>
      <c r="Q70" s="160">
        <f>MAX(0,Q69-MAX(0,IF(Q$46&lt;=$C$41,Q50,0)+Q62+Q51))</f>
        <v/>
      </c>
      <c r="R70" s="160">
        <f>MAX(0,R69-MAX(0,IF(R$46&lt;=$C$41,R50,0)+R62+R51))</f>
        <v/>
      </c>
      <c r="S70" s="160">
        <f>MAX(0,S69-MAX(0,IF(S$46&lt;=$C$41,S50,0)+S62+S51))</f>
        <v/>
      </c>
      <c r="T70" s="160">
        <f>MAX(0,T69-MAX(0,IF(T$46&lt;=$C$41,T50,0)+T62+T51))</f>
        <v/>
      </c>
      <c r="U70" s="160">
        <f>MAX(0,U69-MAX(0,IF(U$46&lt;=$C$41,U50,0)+U62+U51))</f>
        <v/>
      </c>
      <c r="V70" s="160">
        <f>MAX(0,V69-MAX(0,IF(V$46&lt;=$C$41,V50,0)+V62+V51))</f>
        <v/>
      </c>
      <c r="W70" s="160">
        <f>MAX(0,W69-MAX(0,IF(W$46&lt;=$C$41,W50,0)+W62+W51))</f>
        <v/>
      </c>
      <c r="X70" s="160">
        <f>MAX(0,X69-MAX(0,IF(X$46&lt;=$C$41,X50,0)+X62+X51))</f>
        <v/>
      </c>
      <c r="Y70" s="160">
        <f>MAX(0,Y69-MAX(0,IF(Y$46&lt;=$C$41,Y50,0)+Y62+Y51))</f>
        <v/>
      </c>
      <c r="Z70" s="160">
        <f>MAX(0,Z69-MAX(0,IF(Z$46&lt;=$C$41,Z50,0)+Z62+Z51))</f>
        <v/>
      </c>
      <c r="AA70" s="160">
        <f>MAX(0,AA69-MAX(0,IF(AA$46&lt;=$C$41,AA50,0)+AA62+AA51))</f>
        <v/>
      </c>
      <c r="AB70" s="160">
        <f>MAX(0,AB69-MAX(0,IF(AB$46&lt;=$C$41,AB50,0)+AB62+AB51))</f>
        <v/>
      </c>
      <c r="AC70" s="160">
        <f>MAX(0,AC69-MAX(0,IF(AC$46&lt;=$C$41,AC50,0)+AC62+AC51))</f>
        <v/>
      </c>
      <c r="AD70" s="160">
        <f>MAX(0,AD69-MAX(0,IF(AD$46&lt;=$C$41,AD50,0)+AD62+AD51))</f>
        <v/>
      </c>
      <c r="AE70" s="160">
        <f>MAX(0,AE69-MAX(0,IF(AE$46&lt;=$C$41,AE50,0)+AE62+AE51))</f>
        <v/>
      </c>
      <c r="AF70" s="160">
        <f>MAX(0,AF69-MAX(0,IF(AF$46&lt;=$C$41,AF50,0)+AF62+AF51))</f>
        <v/>
      </c>
      <c r="AG70" s="160">
        <f>MAX(0,AG69-MAX(0,IF(AG$46&lt;=$C$41,AG50,0)+AG62+AG51))</f>
        <v/>
      </c>
      <c r="AH70" s="160">
        <f>MAX(0,AH69-MAX(0,IF(AH$46&lt;=$C$41,AH50,0)+AH62+AH51))</f>
        <v/>
      </c>
      <c r="AI70" s="160">
        <f>MAX(0,AI69-MAX(0,IF(AI$46&lt;=$C$41,AI50,0)+AI62+AI51))</f>
        <v/>
      </c>
      <c r="AJ70" s="160">
        <f>MAX(0,AJ69-MAX(0,IF(AJ$46&lt;=$C$41,AJ50,0)+AJ62+AJ51))</f>
        <v/>
      </c>
      <c r="AK70" s="160">
        <f>MAX(0,AK69-MAX(0,IF(AK$46&lt;=$C$41,AK50,0)+AK62+AK51))</f>
        <v/>
      </c>
      <c r="AL70" s="160">
        <f>MAX(0,AL69-MAX(0,IF(AL$46&lt;=$C$41,AL50,0)+AL62+AL51))</f>
        <v/>
      </c>
      <c r="AM70" s="160">
        <f>MAX(0,AM69-MAX(0,IF(AM$46&lt;=$C$41,AM50,0)+AM62+AM51))</f>
        <v/>
      </c>
      <c r="AN70" s="160">
        <f>MAX(0,AN69-MAX(0,IF(AN$46&lt;=$C$41,AN50,0)+AN62+AN51))</f>
        <v/>
      </c>
      <c r="AO70" s="160">
        <f>MAX(0,AO69-MAX(0,IF(AO$46&lt;=$C$41,AO50,0)+AO62+AO51))</f>
        <v/>
      </c>
      <c r="AP70" s="160">
        <f>MAX(0,AP69-MAX(0,IF(AP$46&lt;=$C$41,AP50,0)+AP62+AP51))</f>
        <v/>
      </c>
      <c r="AQ70" s="160">
        <f>MAX(0,AQ69-MAX(0,IF(AQ$46&lt;=$C$41,AQ50,0)+AQ62+AQ51))</f>
        <v/>
      </c>
      <c r="AR70" s="160">
        <f>MAX(0,AR69-MAX(0,IF(AR$46&lt;=$C$41,AR50,0)+AR62+AR51))</f>
        <v/>
      </c>
      <c r="AS70" s="160">
        <f>MAX(0,AS69-MAX(0,IF(AS$46&lt;=$C$41,AS50,0)+AS62+AS51))</f>
        <v/>
      </c>
      <c r="AT70" s="160">
        <f>MAX(0,AT69-MAX(0,IF(AT$46&lt;=$C$41,AT50,0)+AT62+AT51))</f>
        <v/>
      </c>
      <c r="AU70" s="160">
        <f>MAX(0,AU69-MAX(0,IF(AU$46&lt;=$C$41,AU50,0)+AU62+AU51))</f>
        <v/>
      </c>
      <c r="AV70" s="160">
        <f>MAX(0,AV69-MAX(0,IF(AV$46&lt;=$C$41,AV50,0)+AV62+AV51))</f>
        <v/>
      </c>
      <c r="AW70" s="160">
        <f>MAX(0,AW69-MAX(0,IF(AW$46&lt;=$C$41,AW50,0)+AW62+AW51))</f>
        <v/>
      </c>
      <c r="AX70" s="160">
        <f>MAX(0,AX69-MAX(0,IF(AX$46&lt;=$C$41,AX50,0)+AX62+AX51))</f>
        <v/>
      </c>
      <c r="AY70" s="160">
        <f>MAX(0,AY69-MAX(0,IF(AY$46&lt;=$C$41,AY50,0)+AY62+AY51))</f>
        <v/>
      </c>
      <c r="AZ70" s="160">
        <f>MAX(0,AZ69-MAX(0,IF(AZ$46&lt;=$C$41,AZ50,0)+AZ62+AZ51))</f>
        <v/>
      </c>
      <c r="BA70" s="160">
        <f>MAX(0,BA69-MAX(0,IF(BA$46&lt;=$C$41,BA50,0)+BA62+BA51))</f>
        <v/>
      </c>
      <c r="BB70" s="160">
        <f>MAX(0,BB69-MAX(0,IF(BB$46&lt;=$C$41,BB50,0)+BB62+BB51))</f>
        <v/>
      </c>
    </row>
    <row r="71" ht="15" customHeight="1" s="91">
      <c r="B71" s="153" t="inlineStr">
        <is>
          <t>Exit Proceeds  حصيلة التخارج</t>
        </is>
      </c>
      <c r="C71" s="153" t="inlineStr">
        <is>
          <t>SAR</t>
        </is>
      </c>
      <c r="D71" s="157">
        <f>SUM(E71:BB71)</f>
        <v/>
      </c>
      <c r="E71" s="160">
        <f>E51</f>
        <v/>
      </c>
      <c r="F71" s="160">
        <f>F51</f>
        <v/>
      </c>
      <c r="G71" s="160">
        <f>G51</f>
        <v/>
      </c>
      <c r="H71" s="160">
        <f>H51</f>
        <v/>
      </c>
      <c r="I71" s="160">
        <f>I51</f>
        <v/>
      </c>
      <c r="J71" s="160">
        <f>J51</f>
        <v/>
      </c>
      <c r="K71" s="160">
        <f>K51</f>
        <v/>
      </c>
      <c r="L71" s="160">
        <f>L51</f>
        <v/>
      </c>
      <c r="M71" s="160">
        <f>M51</f>
        <v/>
      </c>
      <c r="N71" s="160">
        <f>N51</f>
        <v/>
      </c>
      <c r="O71" s="160">
        <f>O51</f>
        <v/>
      </c>
      <c r="P71" s="160">
        <f>P51</f>
        <v/>
      </c>
      <c r="Q71" s="160">
        <f>Q51</f>
        <v/>
      </c>
      <c r="R71" s="160">
        <f>R51</f>
        <v/>
      </c>
      <c r="S71" s="160">
        <f>S51</f>
        <v/>
      </c>
      <c r="T71" s="160">
        <f>T51</f>
        <v/>
      </c>
      <c r="U71" s="160">
        <f>U51</f>
        <v/>
      </c>
      <c r="V71" s="160">
        <f>V51</f>
        <v/>
      </c>
      <c r="W71" s="160">
        <f>W51</f>
        <v/>
      </c>
      <c r="X71" s="160">
        <f>X51</f>
        <v/>
      </c>
      <c r="Y71" s="160">
        <f>Y51</f>
        <v/>
      </c>
      <c r="Z71" s="160">
        <f>Z51</f>
        <v/>
      </c>
      <c r="AA71" s="160">
        <f>AA51</f>
        <v/>
      </c>
      <c r="AB71" s="160">
        <f>AB51</f>
        <v/>
      </c>
      <c r="AC71" s="160">
        <f>AC51</f>
        <v/>
      </c>
      <c r="AD71" s="160">
        <f>AD51</f>
        <v/>
      </c>
      <c r="AE71" s="160">
        <f>AE51</f>
        <v/>
      </c>
      <c r="AF71" s="160">
        <f>AF51</f>
        <v/>
      </c>
      <c r="AG71" s="160">
        <f>AG51</f>
        <v/>
      </c>
      <c r="AH71" s="160">
        <f>AH51</f>
        <v/>
      </c>
      <c r="AI71" s="160">
        <f>AI51</f>
        <v/>
      </c>
      <c r="AJ71" s="160">
        <f>AJ51</f>
        <v/>
      </c>
      <c r="AK71" s="160">
        <f>AK51</f>
        <v/>
      </c>
      <c r="AL71" s="160">
        <f>AL51</f>
        <v/>
      </c>
      <c r="AM71" s="160">
        <f>AM51</f>
        <v/>
      </c>
      <c r="AN71" s="160">
        <f>AN51</f>
        <v/>
      </c>
      <c r="AO71" s="160">
        <f>AO51</f>
        <v/>
      </c>
      <c r="AP71" s="160">
        <f>AP51</f>
        <v/>
      </c>
      <c r="AQ71" s="160">
        <f>AQ51</f>
        <v/>
      </c>
      <c r="AR71" s="160">
        <f>AR51</f>
        <v/>
      </c>
      <c r="AS71" s="160">
        <f>AS51</f>
        <v/>
      </c>
      <c r="AT71" s="160">
        <f>AT51</f>
        <v/>
      </c>
      <c r="AU71" s="160">
        <f>AU51</f>
        <v/>
      </c>
      <c r="AV71" s="160">
        <f>AV51</f>
        <v/>
      </c>
      <c r="AW71" s="160">
        <f>AW51</f>
        <v/>
      </c>
      <c r="AX71" s="160">
        <f>AX51</f>
        <v/>
      </c>
      <c r="AY71" s="160">
        <f>AY51</f>
        <v/>
      </c>
      <c r="AZ71" s="160">
        <f>AZ51</f>
        <v/>
      </c>
      <c r="BA71" s="160">
        <f>BA51</f>
        <v/>
      </c>
      <c r="BB71" s="160">
        <f>BB51</f>
        <v/>
      </c>
    </row>
    <row r="73" ht="15" customHeight="1" s="91">
      <c r="A73" s="152" t="inlineStr">
        <is>
          <t>9  DISTRIBUTIONS &amp; WATERFALL  التوزيعات وشلال الأرباح</t>
        </is>
      </c>
      <c r="B73" s="152" t="n"/>
      <c r="C73" s="152" t="n"/>
      <c r="D73" s="152" t="n"/>
      <c r="E73" s="152" t="n"/>
      <c r="F73" s="152" t="n"/>
      <c r="G73" s="152" t="n"/>
      <c r="H73" s="152" t="n"/>
      <c r="I73" s="152" t="n"/>
      <c r="J73" s="152" t="n"/>
      <c r="K73" s="152" t="n"/>
      <c r="L73" s="152" t="n"/>
      <c r="M73" s="152" t="n"/>
      <c r="N73" s="152" t="n"/>
      <c r="O73" s="152" t="n"/>
      <c r="P73" s="152" t="n"/>
      <c r="Q73" s="152" t="n"/>
      <c r="R73" s="152" t="n"/>
      <c r="S73" s="152" t="n"/>
      <c r="T73" s="152" t="n"/>
      <c r="U73" s="152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  <c r="AD73" s="152" t="n"/>
      <c r="AE73" s="152" t="n"/>
      <c r="AF73" s="152" t="n"/>
      <c r="AG73" s="152" t="n"/>
      <c r="AH73" s="152" t="n"/>
      <c r="AI73" s="152" t="n"/>
      <c r="AJ73" s="152" t="n"/>
      <c r="AK73" s="152" t="n"/>
      <c r="AL73" s="152" t="n"/>
      <c r="AM73" s="152" t="n"/>
      <c r="AN73" s="152" t="n"/>
      <c r="AO73" s="152" t="n"/>
      <c r="AP73" s="152" t="n"/>
      <c r="AQ73" s="152" t="n"/>
      <c r="AR73" s="152" t="n"/>
      <c r="AS73" s="152" t="n"/>
      <c r="AT73" s="152" t="n"/>
      <c r="AU73" s="152" t="n"/>
      <c r="AV73" s="152" t="n"/>
      <c r="AW73" s="152" t="n"/>
      <c r="AX73" s="152" t="n"/>
      <c r="AY73" s="152" t="n"/>
      <c r="AZ73" s="152" t="n"/>
      <c r="BA73" s="152" t="n"/>
      <c r="BB73" s="152" t="n"/>
    </row>
    <row r="74" ht="15" customHeight="1" s="91">
      <c r="C74" s="165" t="inlineStr">
        <is>
          <t>Unit</t>
        </is>
      </c>
      <c r="D74" s="165" t="inlineStr">
        <is>
          <t>Total</t>
        </is>
      </c>
      <c r="E74" s="166">
        <f>E$46</f>
        <v/>
      </c>
      <c r="F74" s="166">
        <f>F$46</f>
        <v/>
      </c>
      <c r="G74" s="166">
        <f>G$46</f>
        <v/>
      </c>
      <c r="H74" s="166">
        <f>H$46</f>
        <v/>
      </c>
      <c r="I74" s="166">
        <f>I$46</f>
        <v/>
      </c>
      <c r="J74" s="166">
        <f>J$46</f>
        <v/>
      </c>
      <c r="K74" s="166">
        <f>K$46</f>
        <v/>
      </c>
      <c r="L74" s="166">
        <f>L$46</f>
        <v/>
      </c>
      <c r="M74" s="166">
        <f>M$46</f>
        <v/>
      </c>
      <c r="N74" s="166">
        <f>N$46</f>
        <v/>
      </c>
      <c r="O74" s="166">
        <f>O$46</f>
        <v/>
      </c>
      <c r="P74" s="166">
        <f>P$46</f>
        <v/>
      </c>
      <c r="Q74" s="166">
        <f>Q$46</f>
        <v/>
      </c>
      <c r="R74" s="166">
        <f>R$46</f>
        <v/>
      </c>
      <c r="S74" s="166">
        <f>S$46</f>
        <v/>
      </c>
      <c r="T74" s="166">
        <f>T$46</f>
        <v/>
      </c>
      <c r="U74" s="166">
        <f>U$46</f>
        <v/>
      </c>
      <c r="V74" s="166">
        <f>V$46</f>
        <v/>
      </c>
      <c r="W74" s="166">
        <f>W$46</f>
        <v/>
      </c>
      <c r="X74" s="166">
        <f>X$46</f>
        <v/>
      </c>
      <c r="Y74" s="166">
        <f>Y$46</f>
        <v/>
      </c>
      <c r="Z74" s="166">
        <f>Z$46</f>
        <v/>
      </c>
      <c r="AA74" s="166">
        <f>AA$46</f>
        <v/>
      </c>
      <c r="AB74" s="166">
        <f>AB$46</f>
        <v/>
      </c>
      <c r="AC74" s="166">
        <f>AC$46</f>
        <v/>
      </c>
      <c r="AD74" s="166">
        <f>AD$46</f>
        <v/>
      </c>
      <c r="AE74" s="166">
        <f>AE$46</f>
        <v/>
      </c>
      <c r="AF74" s="166">
        <f>AF$46</f>
        <v/>
      </c>
      <c r="AG74" s="166">
        <f>AG$46</f>
        <v/>
      </c>
      <c r="AH74" s="166">
        <f>AH$46</f>
        <v/>
      </c>
      <c r="AI74" s="166">
        <f>AI$46</f>
        <v/>
      </c>
      <c r="AJ74" s="166">
        <f>AJ$46</f>
        <v/>
      </c>
      <c r="AK74" s="166">
        <f>AK$46</f>
        <v/>
      </c>
      <c r="AL74" s="166">
        <f>AL$46</f>
        <v/>
      </c>
      <c r="AM74" s="166">
        <f>AM$46</f>
        <v/>
      </c>
      <c r="AN74" s="166">
        <f>AN$46</f>
        <v/>
      </c>
      <c r="AO74" s="166">
        <f>AO$46</f>
        <v/>
      </c>
      <c r="AP74" s="166">
        <f>AP$46</f>
        <v/>
      </c>
      <c r="AQ74" s="166">
        <f>AQ$46</f>
        <v/>
      </c>
      <c r="AR74" s="166">
        <f>AR$46</f>
        <v/>
      </c>
      <c r="AS74" s="166">
        <f>AS$46</f>
        <v/>
      </c>
      <c r="AT74" s="166">
        <f>AT$46</f>
        <v/>
      </c>
      <c r="AU74" s="166">
        <f>AU$46</f>
        <v/>
      </c>
      <c r="AV74" s="166">
        <f>AV$46</f>
        <v/>
      </c>
      <c r="AW74" s="166">
        <f>AW$46</f>
        <v/>
      </c>
      <c r="AX74" s="166">
        <f>AX$46</f>
        <v/>
      </c>
      <c r="AY74" s="166">
        <f>AY$46</f>
        <v/>
      </c>
      <c r="AZ74" s="166">
        <f>AZ$46</f>
        <v/>
      </c>
      <c r="BA74" s="166">
        <f>BA$46</f>
        <v/>
      </c>
      <c r="BB74" s="166">
        <f>BB$46</f>
        <v/>
      </c>
    </row>
    <row r="75" ht="15" customHeight="1" s="91">
      <c r="B75" s="153" t="inlineStr">
        <is>
          <t>Cash Available for Distribution  النقد المتاح</t>
        </is>
      </c>
      <c r="C75" s="153" t="inlineStr">
        <is>
          <t>SAR</t>
        </is>
      </c>
      <c r="D75" s="157">
        <f>SUM(E75:BB75)</f>
        <v/>
      </c>
      <c r="E75" s="160">
        <f>MAX(0,IF(AND(E$46&gt;=$C$9,E$46&lt;=$C$41),E50,0)+E62-E69+E70+E51)</f>
        <v/>
      </c>
      <c r="F75" s="160">
        <f>MAX(0,IF(AND(F$46&gt;=$C$9,F$46&lt;=$C$41),F50,0)+F62-F69+F70+F51)</f>
        <v/>
      </c>
      <c r="G75" s="160">
        <f>MAX(0,IF(AND(G$46&gt;=$C$9,G$46&lt;=$C$41),G50,0)+G62-G69+G70+G51)</f>
        <v/>
      </c>
      <c r="H75" s="160">
        <f>MAX(0,IF(AND(H$46&gt;=$C$9,H$46&lt;=$C$41),H50,0)+H62-H69+H70+H51)</f>
        <v/>
      </c>
      <c r="I75" s="160">
        <f>MAX(0,IF(AND(I$46&gt;=$C$9,I$46&lt;=$C$41),I50,0)+I62-I69+I70+I51)</f>
        <v/>
      </c>
      <c r="J75" s="160">
        <f>MAX(0,IF(AND(J$46&gt;=$C$9,J$46&lt;=$C$41),J50,0)+J62-J69+J70+J51)</f>
        <v/>
      </c>
      <c r="K75" s="160">
        <f>MAX(0,IF(AND(K$46&gt;=$C$9,K$46&lt;=$C$41),K50,0)+K62-K69+K70+K51)</f>
        <v/>
      </c>
      <c r="L75" s="160">
        <f>MAX(0,IF(AND(L$46&gt;=$C$9,L$46&lt;=$C$41),L50,0)+L62-L69+L70+L51)</f>
        <v/>
      </c>
      <c r="M75" s="160">
        <f>MAX(0,IF(AND(M$46&gt;=$C$9,M$46&lt;=$C$41),M50,0)+M62-M69+M70+M51)</f>
        <v/>
      </c>
      <c r="N75" s="160">
        <f>MAX(0,IF(AND(N$46&gt;=$C$9,N$46&lt;=$C$41),N50,0)+N62-N69+N70+N51)</f>
        <v/>
      </c>
      <c r="O75" s="160">
        <f>MAX(0,IF(AND(O$46&gt;=$C$9,O$46&lt;=$C$41),O50,0)+O62-O69+O70+O51)</f>
        <v/>
      </c>
      <c r="P75" s="160">
        <f>MAX(0,IF(AND(P$46&gt;=$C$9,P$46&lt;=$C$41),P50,0)+P62-P69+P70+P51)</f>
        <v/>
      </c>
      <c r="Q75" s="160">
        <f>MAX(0,IF(AND(Q$46&gt;=$C$9,Q$46&lt;=$C$41),Q50,0)+Q62-Q69+Q70+Q51)</f>
        <v/>
      </c>
      <c r="R75" s="160">
        <f>MAX(0,IF(AND(R$46&gt;=$C$9,R$46&lt;=$C$41),R50,0)+R62-R69+R70+R51)</f>
        <v/>
      </c>
      <c r="S75" s="160">
        <f>MAX(0,IF(AND(S$46&gt;=$C$9,S$46&lt;=$C$41),S50,0)+S62-S69+S70+S51)</f>
        <v/>
      </c>
      <c r="T75" s="160">
        <f>MAX(0,IF(AND(T$46&gt;=$C$9,T$46&lt;=$C$41),T50,0)+T62-T69+T70+T51)</f>
        <v/>
      </c>
      <c r="U75" s="160">
        <f>MAX(0,IF(AND(U$46&gt;=$C$9,U$46&lt;=$C$41),U50,0)+U62-U69+U70+U51)</f>
        <v/>
      </c>
      <c r="V75" s="160">
        <f>MAX(0,IF(AND(V$46&gt;=$C$9,V$46&lt;=$C$41),V50,0)+V62-V69+V70+V51)</f>
        <v/>
      </c>
      <c r="W75" s="160">
        <f>MAX(0,IF(AND(W$46&gt;=$C$9,W$46&lt;=$C$41),W50,0)+W62-W69+W70+W51)</f>
        <v/>
      </c>
      <c r="X75" s="160">
        <f>MAX(0,IF(AND(X$46&gt;=$C$9,X$46&lt;=$C$41),X50,0)+X62-X69+X70+X51)</f>
        <v/>
      </c>
      <c r="Y75" s="160">
        <f>MAX(0,IF(AND(Y$46&gt;=$C$9,Y$46&lt;=$C$41),Y50,0)+Y62-Y69+Y70+Y51)</f>
        <v/>
      </c>
      <c r="Z75" s="160">
        <f>MAX(0,IF(AND(Z$46&gt;=$C$9,Z$46&lt;=$C$41),Z50,0)+Z62-Z69+Z70+Z51)</f>
        <v/>
      </c>
      <c r="AA75" s="160">
        <f>MAX(0,IF(AND(AA$46&gt;=$C$9,AA$46&lt;=$C$41),AA50,0)+AA62-AA69+AA70+AA51)</f>
        <v/>
      </c>
      <c r="AB75" s="160">
        <f>MAX(0,IF(AND(AB$46&gt;=$C$9,AB$46&lt;=$C$41),AB50,0)+AB62-AB69+AB70+AB51)</f>
        <v/>
      </c>
      <c r="AC75" s="160">
        <f>MAX(0,IF(AND(AC$46&gt;=$C$9,AC$46&lt;=$C$41),AC50,0)+AC62-AC69+AC70+AC51)</f>
        <v/>
      </c>
      <c r="AD75" s="160">
        <f>MAX(0,IF(AND(AD$46&gt;=$C$9,AD$46&lt;=$C$41),AD50,0)+AD62-AD69+AD70+AD51)</f>
        <v/>
      </c>
      <c r="AE75" s="160">
        <f>MAX(0,IF(AND(AE$46&gt;=$C$9,AE$46&lt;=$C$41),AE50,0)+AE62-AE69+AE70+AE51)</f>
        <v/>
      </c>
      <c r="AF75" s="160">
        <f>MAX(0,IF(AND(AF$46&gt;=$C$9,AF$46&lt;=$C$41),AF50,0)+AF62-AF69+AF70+AF51)</f>
        <v/>
      </c>
      <c r="AG75" s="160">
        <f>MAX(0,IF(AND(AG$46&gt;=$C$9,AG$46&lt;=$C$41),AG50,0)+AG62-AG69+AG70+AG51)</f>
        <v/>
      </c>
      <c r="AH75" s="160">
        <f>MAX(0,IF(AND(AH$46&gt;=$C$9,AH$46&lt;=$C$41),AH50,0)+AH62-AH69+AH70+AH51)</f>
        <v/>
      </c>
      <c r="AI75" s="160">
        <f>MAX(0,IF(AND(AI$46&gt;=$C$9,AI$46&lt;=$C$41),AI50,0)+AI62-AI69+AI70+AI51)</f>
        <v/>
      </c>
      <c r="AJ75" s="160">
        <f>MAX(0,IF(AND(AJ$46&gt;=$C$9,AJ$46&lt;=$C$41),AJ50,0)+AJ62-AJ69+AJ70+AJ51)</f>
        <v/>
      </c>
      <c r="AK75" s="160">
        <f>MAX(0,IF(AND(AK$46&gt;=$C$9,AK$46&lt;=$C$41),AK50,0)+AK62-AK69+AK70+AK51)</f>
        <v/>
      </c>
      <c r="AL75" s="160">
        <f>MAX(0,IF(AND(AL$46&gt;=$C$9,AL$46&lt;=$C$41),AL50,0)+AL62-AL69+AL70+AL51)</f>
        <v/>
      </c>
      <c r="AM75" s="160">
        <f>MAX(0,IF(AND(AM$46&gt;=$C$9,AM$46&lt;=$C$41),AM50,0)+AM62-AM69+AM70+AM51)</f>
        <v/>
      </c>
      <c r="AN75" s="160">
        <f>MAX(0,IF(AND(AN$46&gt;=$C$9,AN$46&lt;=$C$41),AN50,0)+AN62-AN69+AN70+AN51)</f>
        <v/>
      </c>
      <c r="AO75" s="160">
        <f>MAX(0,IF(AND(AO$46&gt;=$C$9,AO$46&lt;=$C$41),AO50,0)+AO62-AO69+AO70+AO51)</f>
        <v/>
      </c>
      <c r="AP75" s="160">
        <f>MAX(0,IF(AND(AP$46&gt;=$C$9,AP$46&lt;=$C$41),AP50,0)+AP62-AP69+AP70+AP51)</f>
        <v/>
      </c>
      <c r="AQ75" s="160">
        <f>MAX(0,IF(AND(AQ$46&gt;=$C$9,AQ$46&lt;=$C$41),AQ50,0)+AQ62-AQ69+AQ70+AQ51)</f>
        <v/>
      </c>
      <c r="AR75" s="160">
        <f>MAX(0,IF(AND(AR$46&gt;=$C$9,AR$46&lt;=$C$41),AR50,0)+AR62-AR69+AR70+AR51)</f>
        <v/>
      </c>
      <c r="AS75" s="160">
        <f>MAX(0,IF(AND(AS$46&gt;=$C$9,AS$46&lt;=$C$41),AS50,0)+AS62-AS69+AS70+AS51)</f>
        <v/>
      </c>
      <c r="AT75" s="160">
        <f>MAX(0,IF(AND(AT$46&gt;=$C$9,AT$46&lt;=$C$41),AT50,0)+AT62-AT69+AT70+AT51)</f>
        <v/>
      </c>
      <c r="AU75" s="160">
        <f>MAX(0,IF(AND(AU$46&gt;=$C$9,AU$46&lt;=$C$41),AU50,0)+AU62-AU69+AU70+AU51)</f>
        <v/>
      </c>
      <c r="AV75" s="160">
        <f>MAX(0,IF(AND(AV$46&gt;=$C$9,AV$46&lt;=$C$41),AV50,0)+AV62-AV69+AV70+AV51)</f>
        <v/>
      </c>
      <c r="AW75" s="160">
        <f>MAX(0,IF(AND(AW$46&gt;=$C$9,AW$46&lt;=$C$41),AW50,0)+AW62-AW69+AW70+AW51)</f>
        <v/>
      </c>
      <c r="AX75" s="160">
        <f>MAX(0,IF(AND(AX$46&gt;=$C$9,AX$46&lt;=$C$41),AX50,0)+AX62-AX69+AX70+AX51)</f>
        <v/>
      </c>
      <c r="AY75" s="160">
        <f>MAX(0,IF(AND(AY$46&gt;=$C$9,AY$46&lt;=$C$41),AY50,0)+AY62-AY69+AY70+AY51)</f>
        <v/>
      </c>
      <c r="AZ75" s="160">
        <f>MAX(0,IF(AND(AZ$46&gt;=$C$9,AZ$46&lt;=$C$41),AZ50,0)+AZ62-AZ69+AZ70+AZ51)</f>
        <v/>
      </c>
      <c r="BA75" s="160">
        <f>MAX(0,IF(AND(BA$46&gt;=$C$9,BA$46&lt;=$C$41),BA50,0)+BA62-BA69+BA70+BA51)</f>
        <v/>
      </c>
      <c r="BB75" s="160">
        <f>MAX(0,IF(AND(BB$46&gt;=$C$9,BB$46&lt;=$C$41),BB50,0)+BB62-BB69+BB70+BB51)</f>
        <v/>
      </c>
    </row>
    <row r="77" ht="15" customHeight="1" s="91">
      <c r="B77" s="153" t="inlineStr">
        <is>
          <t>Unreturned Capital (Open)  رأس المال غير المسترد</t>
        </is>
      </c>
      <c r="C77" s="153" t="inlineStr">
        <is>
          <t>SAR</t>
        </is>
      </c>
      <c r="E77" s="160">
        <f>E56</f>
        <v/>
      </c>
      <c r="F77" s="160">
        <f>E79+F56</f>
        <v/>
      </c>
      <c r="G77" s="160">
        <f>F79+G56</f>
        <v/>
      </c>
      <c r="H77" s="160">
        <f>G79+H56</f>
        <v/>
      </c>
      <c r="I77" s="160">
        <f>H79+I56</f>
        <v/>
      </c>
      <c r="J77" s="160">
        <f>I79+J56</f>
        <v/>
      </c>
      <c r="K77" s="160">
        <f>J79+K56</f>
        <v/>
      </c>
      <c r="L77" s="160">
        <f>K79+L56</f>
        <v/>
      </c>
      <c r="M77" s="160">
        <f>L79+M56</f>
        <v/>
      </c>
      <c r="N77" s="160">
        <f>M79+N56</f>
        <v/>
      </c>
      <c r="O77" s="160">
        <f>N79+O56</f>
        <v/>
      </c>
      <c r="P77" s="160">
        <f>O79+P56</f>
        <v/>
      </c>
      <c r="Q77" s="160">
        <f>P79+Q56</f>
        <v/>
      </c>
      <c r="R77" s="160">
        <f>Q79+R56</f>
        <v/>
      </c>
      <c r="S77" s="160">
        <f>R79+S56</f>
        <v/>
      </c>
      <c r="T77" s="160">
        <f>S79+T56</f>
        <v/>
      </c>
      <c r="U77" s="160">
        <f>T79+U56</f>
        <v/>
      </c>
      <c r="V77" s="160">
        <f>U79+V56</f>
        <v/>
      </c>
      <c r="W77" s="160">
        <f>V79+W56</f>
        <v/>
      </c>
      <c r="X77" s="160">
        <f>W79+X56</f>
        <v/>
      </c>
      <c r="Y77" s="160">
        <f>X79+Y56</f>
        <v/>
      </c>
      <c r="Z77" s="160">
        <f>Y79+Z56</f>
        <v/>
      </c>
      <c r="AA77" s="160">
        <f>Z79+AA56</f>
        <v/>
      </c>
      <c r="AB77" s="160">
        <f>AA79+AB56</f>
        <v/>
      </c>
      <c r="AC77" s="160">
        <f>AB79+AC56</f>
        <v/>
      </c>
      <c r="AD77" s="160">
        <f>AC79+AD56</f>
        <v/>
      </c>
      <c r="AE77" s="160">
        <f>AD79+AE56</f>
        <v/>
      </c>
      <c r="AF77" s="160">
        <f>AE79+AF56</f>
        <v/>
      </c>
      <c r="AG77" s="160">
        <f>AF79+AG56</f>
        <v/>
      </c>
      <c r="AH77" s="160">
        <f>AG79+AH56</f>
        <v/>
      </c>
      <c r="AI77" s="160">
        <f>AH79+AI56</f>
        <v/>
      </c>
      <c r="AJ77" s="160">
        <f>AI79+AJ56</f>
        <v/>
      </c>
      <c r="AK77" s="160">
        <f>AJ79+AK56</f>
        <v/>
      </c>
      <c r="AL77" s="160">
        <f>AK79+AL56</f>
        <v/>
      </c>
      <c r="AM77" s="160">
        <f>AL79+AM56</f>
        <v/>
      </c>
      <c r="AN77" s="160">
        <f>AM79+AN56</f>
        <v/>
      </c>
      <c r="AO77" s="160">
        <f>AN79+AO56</f>
        <v/>
      </c>
      <c r="AP77" s="160">
        <f>AO79+AP56</f>
        <v/>
      </c>
      <c r="AQ77" s="160">
        <f>AP79+AQ56</f>
        <v/>
      </c>
      <c r="AR77" s="160">
        <f>AQ79+AR56</f>
        <v/>
      </c>
      <c r="AS77" s="160">
        <f>AR79+AS56</f>
        <v/>
      </c>
      <c r="AT77" s="160">
        <f>AS79+AT56</f>
        <v/>
      </c>
      <c r="AU77" s="160">
        <f>AT79+AU56</f>
        <v/>
      </c>
      <c r="AV77" s="160">
        <f>AU79+AV56</f>
        <v/>
      </c>
      <c r="AW77" s="160">
        <f>AV79+AW56</f>
        <v/>
      </c>
      <c r="AX77" s="160">
        <f>AW79+AX56</f>
        <v/>
      </c>
      <c r="AY77" s="160">
        <f>AX79+AY56</f>
        <v/>
      </c>
      <c r="AZ77" s="160">
        <f>AY79+AZ56</f>
        <v/>
      </c>
      <c r="BA77" s="160">
        <f>AZ79+BA56</f>
        <v/>
      </c>
      <c r="BB77" s="160">
        <f>BA79+BB56</f>
        <v/>
      </c>
    </row>
    <row r="78" ht="15" customHeight="1" s="91">
      <c r="B78" s="153" t="inlineStr">
        <is>
          <t>Tier 1: Return of Capital  رد رأس المال</t>
        </is>
      </c>
      <c r="C78" s="153" t="inlineStr">
        <is>
          <t>SAR</t>
        </is>
      </c>
      <c r="D78" s="157">
        <f>SUM(E78:BB78)</f>
        <v/>
      </c>
      <c r="E78" s="160">
        <f>MIN(E75,E77)</f>
        <v/>
      </c>
      <c r="F78" s="160">
        <f>MIN(F75,F77)</f>
        <v/>
      </c>
      <c r="G78" s="160">
        <f>MIN(G75,G77)</f>
        <v/>
      </c>
      <c r="H78" s="160">
        <f>MIN(H75,H77)</f>
        <v/>
      </c>
      <c r="I78" s="160">
        <f>MIN(I75,I77)</f>
        <v/>
      </c>
      <c r="J78" s="160">
        <f>MIN(J75,J77)</f>
        <v/>
      </c>
      <c r="K78" s="160">
        <f>MIN(K75,K77)</f>
        <v/>
      </c>
      <c r="L78" s="160">
        <f>MIN(L75,L77)</f>
        <v/>
      </c>
      <c r="M78" s="160">
        <f>MIN(M75,M77)</f>
        <v/>
      </c>
      <c r="N78" s="160">
        <f>MIN(N75,N77)</f>
        <v/>
      </c>
      <c r="O78" s="160">
        <f>MIN(O75,O77)</f>
        <v/>
      </c>
      <c r="P78" s="160">
        <f>MIN(P75,P77)</f>
        <v/>
      </c>
      <c r="Q78" s="160">
        <f>MIN(Q75,Q77)</f>
        <v/>
      </c>
      <c r="R78" s="160">
        <f>MIN(R75,R77)</f>
        <v/>
      </c>
      <c r="S78" s="160">
        <f>MIN(S75,S77)</f>
        <v/>
      </c>
      <c r="T78" s="160">
        <f>MIN(T75,T77)</f>
        <v/>
      </c>
      <c r="U78" s="160">
        <f>MIN(U75,U77)</f>
        <v/>
      </c>
      <c r="V78" s="160">
        <f>MIN(V75,V77)</f>
        <v/>
      </c>
      <c r="W78" s="160">
        <f>MIN(W75,W77)</f>
        <v/>
      </c>
      <c r="X78" s="160">
        <f>MIN(X75,X77)</f>
        <v/>
      </c>
      <c r="Y78" s="160">
        <f>MIN(Y75,Y77)</f>
        <v/>
      </c>
      <c r="Z78" s="160">
        <f>MIN(Z75,Z77)</f>
        <v/>
      </c>
      <c r="AA78" s="160">
        <f>MIN(AA75,AA77)</f>
        <v/>
      </c>
      <c r="AB78" s="160">
        <f>MIN(AB75,AB77)</f>
        <v/>
      </c>
      <c r="AC78" s="160">
        <f>MIN(AC75,AC77)</f>
        <v/>
      </c>
      <c r="AD78" s="160">
        <f>MIN(AD75,AD77)</f>
        <v/>
      </c>
      <c r="AE78" s="160">
        <f>MIN(AE75,AE77)</f>
        <v/>
      </c>
      <c r="AF78" s="160">
        <f>MIN(AF75,AF77)</f>
        <v/>
      </c>
      <c r="AG78" s="160">
        <f>MIN(AG75,AG77)</f>
        <v/>
      </c>
      <c r="AH78" s="160">
        <f>MIN(AH75,AH77)</f>
        <v/>
      </c>
      <c r="AI78" s="160">
        <f>MIN(AI75,AI77)</f>
        <v/>
      </c>
      <c r="AJ78" s="160">
        <f>MIN(AJ75,AJ77)</f>
        <v/>
      </c>
      <c r="AK78" s="160">
        <f>MIN(AK75,AK77)</f>
        <v/>
      </c>
      <c r="AL78" s="160">
        <f>MIN(AL75,AL77)</f>
        <v/>
      </c>
      <c r="AM78" s="160">
        <f>MIN(AM75,AM77)</f>
        <v/>
      </c>
      <c r="AN78" s="160">
        <f>MIN(AN75,AN77)</f>
        <v/>
      </c>
      <c r="AO78" s="160">
        <f>MIN(AO75,AO77)</f>
        <v/>
      </c>
      <c r="AP78" s="160">
        <f>MIN(AP75,AP77)</f>
        <v/>
      </c>
      <c r="AQ78" s="160">
        <f>MIN(AQ75,AQ77)</f>
        <v/>
      </c>
      <c r="AR78" s="160">
        <f>MIN(AR75,AR77)</f>
        <v/>
      </c>
      <c r="AS78" s="160">
        <f>MIN(AS75,AS77)</f>
        <v/>
      </c>
      <c r="AT78" s="160">
        <f>MIN(AT75,AT77)</f>
        <v/>
      </c>
      <c r="AU78" s="160">
        <f>MIN(AU75,AU77)</f>
        <v/>
      </c>
      <c r="AV78" s="160">
        <f>MIN(AV75,AV77)</f>
        <v/>
      </c>
      <c r="AW78" s="160">
        <f>MIN(AW75,AW77)</f>
        <v/>
      </c>
      <c r="AX78" s="160">
        <f>MIN(AX75,AX77)</f>
        <v/>
      </c>
      <c r="AY78" s="160">
        <f>MIN(AY75,AY77)</f>
        <v/>
      </c>
      <c r="AZ78" s="160">
        <f>MIN(AZ75,AZ77)</f>
        <v/>
      </c>
      <c r="BA78" s="160">
        <f>MIN(BA75,BA77)</f>
        <v/>
      </c>
      <c r="BB78" s="160">
        <f>MIN(BB75,BB77)</f>
        <v/>
      </c>
    </row>
    <row r="79" ht="15" customHeight="1" s="91">
      <c r="B79" s="153" t="inlineStr">
        <is>
          <t>Unreturned Capital (Close)  رأس المال غير المسترد (نهاية)</t>
        </is>
      </c>
      <c r="C79" s="153" t="inlineStr">
        <is>
          <t>SAR</t>
        </is>
      </c>
      <c r="E79" s="160">
        <f>E77-E78</f>
        <v/>
      </c>
      <c r="F79" s="160">
        <f>F77-F78</f>
        <v/>
      </c>
      <c r="G79" s="160">
        <f>G77-G78</f>
        <v/>
      </c>
      <c r="H79" s="160">
        <f>H77-H78</f>
        <v/>
      </c>
      <c r="I79" s="160">
        <f>I77-I78</f>
        <v/>
      </c>
      <c r="J79" s="160">
        <f>J77-J78</f>
        <v/>
      </c>
      <c r="K79" s="160">
        <f>K77-K78</f>
        <v/>
      </c>
      <c r="L79" s="160">
        <f>L77-L78</f>
        <v/>
      </c>
      <c r="M79" s="160">
        <f>M77-M78</f>
        <v/>
      </c>
      <c r="N79" s="160">
        <f>N77-N78</f>
        <v/>
      </c>
      <c r="O79" s="160">
        <f>O77-O78</f>
        <v/>
      </c>
      <c r="P79" s="160">
        <f>P77-P78</f>
        <v/>
      </c>
      <c r="Q79" s="160">
        <f>Q77-Q78</f>
        <v/>
      </c>
      <c r="R79" s="160">
        <f>R77-R78</f>
        <v/>
      </c>
      <c r="S79" s="160">
        <f>S77-S78</f>
        <v/>
      </c>
      <c r="T79" s="160">
        <f>T77-T78</f>
        <v/>
      </c>
      <c r="U79" s="160">
        <f>U77-U78</f>
        <v/>
      </c>
      <c r="V79" s="160">
        <f>V77-V78</f>
        <v/>
      </c>
      <c r="W79" s="160">
        <f>W77-W78</f>
        <v/>
      </c>
      <c r="X79" s="160">
        <f>X77-X78</f>
        <v/>
      </c>
      <c r="Y79" s="160">
        <f>Y77-Y78</f>
        <v/>
      </c>
      <c r="Z79" s="160">
        <f>Z77-Z78</f>
        <v/>
      </c>
      <c r="AA79" s="160">
        <f>AA77-AA78</f>
        <v/>
      </c>
      <c r="AB79" s="160">
        <f>AB77-AB78</f>
        <v/>
      </c>
      <c r="AC79" s="160">
        <f>AC77-AC78</f>
        <v/>
      </c>
      <c r="AD79" s="160">
        <f>AD77-AD78</f>
        <v/>
      </c>
      <c r="AE79" s="160">
        <f>AE77-AE78</f>
        <v/>
      </c>
      <c r="AF79" s="160">
        <f>AF77-AF78</f>
        <v/>
      </c>
      <c r="AG79" s="160">
        <f>AG77-AG78</f>
        <v/>
      </c>
      <c r="AH79" s="160">
        <f>AH77-AH78</f>
        <v/>
      </c>
      <c r="AI79" s="160">
        <f>AI77-AI78</f>
        <v/>
      </c>
      <c r="AJ79" s="160">
        <f>AJ77-AJ78</f>
        <v/>
      </c>
      <c r="AK79" s="160">
        <f>AK77-AK78</f>
        <v/>
      </c>
      <c r="AL79" s="160">
        <f>AL77-AL78</f>
        <v/>
      </c>
      <c r="AM79" s="160">
        <f>AM77-AM78</f>
        <v/>
      </c>
      <c r="AN79" s="160">
        <f>AN77-AN78</f>
        <v/>
      </c>
      <c r="AO79" s="160">
        <f>AO77-AO78</f>
        <v/>
      </c>
      <c r="AP79" s="160">
        <f>AP77-AP78</f>
        <v/>
      </c>
      <c r="AQ79" s="160">
        <f>AQ77-AQ78</f>
        <v/>
      </c>
      <c r="AR79" s="160">
        <f>AR77-AR78</f>
        <v/>
      </c>
      <c r="AS79" s="160">
        <f>AS77-AS78</f>
        <v/>
      </c>
      <c r="AT79" s="160">
        <f>AT77-AT78</f>
        <v/>
      </c>
      <c r="AU79" s="160">
        <f>AU77-AU78</f>
        <v/>
      </c>
      <c r="AV79" s="160">
        <f>AV77-AV78</f>
        <v/>
      </c>
      <c r="AW79" s="160">
        <f>AW77-AW78</f>
        <v/>
      </c>
      <c r="AX79" s="160">
        <f>AX77-AX78</f>
        <v/>
      </c>
      <c r="AY79" s="160">
        <f>AY77-AY78</f>
        <v/>
      </c>
      <c r="AZ79" s="160">
        <f>AZ77-AZ78</f>
        <v/>
      </c>
      <c r="BA79" s="160">
        <f>BA77-BA78</f>
        <v/>
      </c>
      <c r="BB79" s="160">
        <f>BB77-BB78</f>
        <v/>
      </c>
    </row>
    <row r="81" ht="15" customHeight="1" s="91">
      <c r="B81" s="153" t="inlineStr">
        <is>
          <t>Pref Accrual (% × Unreturned)  احتساب العائد التفضيلي</t>
        </is>
      </c>
      <c r="C81" s="153" t="inlineStr">
        <is>
          <t>SAR</t>
        </is>
      </c>
      <c r="D81" s="160">
        <f>SUM(E81:BB81)</f>
        <v/>
      </c>
      <c r="E81" s="160">
        <f>E77*$C$36</f>
        <v/>
      </c>
      <c r="F81" s="160">
        <f>F77*$C$36</f>
        <v/>
      </c>
      <c r="G81" s="160">
        <f>G77*$C$36</f>
        <v/>
      </c>
      <c r="H81" s="160">
        <f>H77*$C$36</f>
        <v/>
      </c>
      <c r="I81" s="160">
        <f>I77*$C$36</f>
        <v/>
      </c>
      <c r="J81" s="160">
        <f>J77*$C$36</f>
        <v/>
      </c>
      <c r="K81" s="160">
        <f>K77*$C$36</f>
        <v/>
      </c>
      <c r="L81" s="160">
        <f>L77*$C$36</f>
        <v/>
      </c>
      <c r="M81" s="160">
        <f>M77*$C$36</f>
        <v/>
      </c>
      <c r="N81" s="160">
        <f>N77*$C$36</f>
        <v/>
      </c>
      <c r="O81" s="160">
        <f>O77*$C$36</f>
        <v/>
      </c>
      <c r="P81" s="160">
        <f>P77*$C$36</f>
        <v/>
      </c>
      <c r="Q81" s="160">
        <f>Q77*$C$36</f>
        <v/>
      </c>
      <c r="R81" s="160">
        <f>R77*$C$36</f>
        <v/>
      </c>
      <c r="S81" s="160">
        <f>S77*$C$36</f>
        <v/>
      </c>
      <c r="T81" s="160">
        <f>T77*$C$36</f>
        <v/>
      </c>
      <c r="U81" s="160">
        <f>U77*$C$36</f>
        <v/>
      </c>
      <c r="V81" s="160">
        <f>V77*$C$36</f>
        <v/>
      </c>
      <c r="W81" s="160">
        <f>W77*$C$36</f>
        <v/>
      </c>
      <c r="X81" s="160">
        <f>X77*$C$36</f>
        <v/>
      </c>
      <c r="Y81" s="160">
        <f>Y77*$C$36</f>
        <v/>
      </c>
      <c r="Z81" s="160">
        <f>Z77*$C$36</f>
        <v/>
      </c>
      <c r="AA81" s="160">
        <f>AA77*$C$36</f>
        <v/>
      </c>
      <c r="AB81" s="160">
        <f>AB77*$C$36</f>
        <v/>
      </c>
      <c r="AC81" s="160">
        <f>AC77*$C$36</f>
        <v/>
      </c>
      <c r="AD81" s="160">
        <f>AD77*$C$36</f>
        <v/>
      </c>
      <c r="AE81" s="160">
        <f>AE77*$C$36</f>
        <v/>
      </c>
      <c r="AF81" s="160">
        <f>AF77*$C$36</f>
        <v/>
      </c>
      <c r="AG81" s="160">
        <f>AG77*$C$36</f>
        <v/>
      </c>
      <c r="AH81" s="160">
        <f>AH77*$C$36</f>
        <v/>
      </c>
      <c r="AI81" s="160">
        <f>AI77*$C$36</f>
        <v/>
      </c>
      <c r="AJ81" s="160">
        <f>AJ77*$C$36</f>
        <v/>
      </c>
      <c r="AK81" s="160">
        <f>AK77*$C$36</f>
        <v/>
      </c>
      <c r="AL81" s="160">
        <f>AL77*$C$36</f>
        <v/>
      </c>
      <c r="AM81" s="160">
        <f>AM77*$C$36</f>
        <v/>
      </c>
      <c r="AN81" s="160">
        <f>AN77*$C$36</f>
        <v/>
      </c>
      <c r="AO81" s="160">
        <f>AO77*$C$36</f>
        <v/>
      </c>
      <c r="AP81" s="160">
        <f>AP77*$C$36</f>
        <v/>
      </c>
      <c r="AQ81" s="160">
        <f>AQ77*$C$36</f>
        <v/>
      </c>
      <c r="AR81" s="160">
        <f>AR77*$C$36</f>
        <v/>
      </c>
      <c r="AS81" s="160">
        <f>AS77*$C$36</f>
        <v/>
      </c>
      <c r="AT81" s="160">
        <f>AT77*$C$36</f>
        <v/>
      </c>
      <c r="AU81" s="160">
        <f>AU77*$C$36</f>
        <v/>
      </c>
      <c r="AV81" s="160">
        <f>AV77*$C$36</f>
        <v/>
      </c>
      <c r="AW81" s="160">
        <f>AW77*$C$36</f>
        <v/>
      </c>
      <c r="AX81" s="160">
        <f>AX77*$C$36</f>
        <v/>
      </c>
      <c r="AY81" s="160">
        <f>AY77*$C$36</f>
        <v/>
      </c>
      <c r="AZ81" s="160">
        <f>AZ77*$C$36</f>
        <v/>
      </c>
      <c r="BA81" s="160">
        <f>BA77*$C$36</f>
        <v/>
      </c>
      <c r="BB81" s="160">
        <f>BB77*$C$36</f>
        <v/>
      </c>
    </row>
    <row r="82" ht="15" customHeight="1" s="91">
      <c r="B82" s="153" t="inlineStr">
        <is>
          <t>Unpaid Pref (Opening)  العائد غير المدفوع (بداية)</t>
        </is>
      </c>
      <c r="C82" s="153" t="inlineStr">
        <is>
          <t>SAR</t>
        </is>
      </c>
      <c r="E82" s="160">
        <f>0</f>
        <v/>
      </c>
      <c r="F82" s="160">
        <f>E85</f>
        <v/>
      </c>
      <c r="G82" s="160">
        <f>F85</f>
        <v/>
      </c>
      <c r="H82" s="160">
        <f>G85</f>
        <v/>
      </c>
      <c r="I82" s="160">
        <f>H85</f>
        <v/>
      </c>
      <c r="J82" s="160">
        <f>I85</f>
        <v/>
      </c>
      <c r="K82" s="160">
        <f>J85</f>
        <v/>
      </c>
      <c r="L82" s="160">
        <f>K85</f>
        <v/>
      </c>
      <c r="M82" s="160">
        <f>L85</f>
        <v/>
      </c>
      <c r="N82" s="160">
        <f>M85</f>
        <v/>
      </c>
      <c r="O82" s="160">
        <f>N85</f>
        <v/>
      </c>
      <c r="P82" s="160">
        <f>O85</f>
        <v/>
      </c>
      <c r="Q82" s="160">
        <f>P85</f>
        <v/>
      </c>
      <c r="R82" s="160">
        <f>Q85</f>
        <v/>
      </c>
      <c r="S82" s="160">
        <f>R85</f>
        <v/>
      </c>
      <c r="T82" s="160">
        <f>S85</f>
        <v/>
      </c>
      <c r="U82" s="160">
        <f>T85</f>
        <v/>
      </c>
      <c r="V82" s="160">
        <f>U85</f>
        <v/>
      </c>
      <c r="W82" s="160">
        <f>V85</f>
        <v/>
      </c>
      <c r="X82" s="160">
        <f>W85</f>
        <v/>
      </c>
      <c r="Y82" s="160">
        <f>X85</f>
        <v/>
      </c>
      <c r="Z82" s="160">
        <f>Y85</f>
        <v/>
      </c>
      <c r="AA82" s="160">
        <f>Z85</f>
        <v/>
      </c>
      <c r="AB82" s="160">
        <f>AA85</f>
        <v/>
      </c>
      <c r="AC82" s="160">
        <f>AB85</f>
        <v/>
      </c>
      <c r="AD82" s="160">
        <f>AC85</f>
        <v/>
      </c>
      <c r="AE82" s="160">
        <f>AD85</f>
        <v/>
      </c>
      <c r="AF82" s="160">
        <f>AE85</f>
        <v/>
      </c>
      <c r="AG82" s="160">
        <f>AF85</f>
        <v/>
      </c>
      <c r="AH82" s="160">
        <f>AG85</f>
        <v/>
      </c>
      <c r="AI82" s="160">
        <f>AH85</f>
        <v/>
      </c>
      <c r="AJ82" s="160">
        <f>AI85</f>
        <v/>
      </c>
      <c r="AK82" s="160">
        <f>AJ85</f>
        <v/>
      </c>
      <c r="AL82" s="160">
        <f>AK85</f>
        <v/>
      </c>
      <c r="AM82" s="160">
        <f>AL85</f>
        <v/>
      </c>
      <c r="AN82" s="160">
        <f>AM85</f>
        <v/>
      </c>
      <c r="AO82" s="160">
        <f>AN85</f>
        <v/>
      </c>
      <c r="AP82" s="160">
        <f>AO85</f>
        <v/>
      </c>
      <c r="AQ82" s="160">
        <f>AP85</f>
        <v/>
      </c>
      <c r="AR82" s="160">
        <f>AQ85</f>
        <v/>
      </c>
      <c r="AS82" s="160">
        <f>AR85</f>
        <v/>
      </c>
      <c r="AT82" s="160">
        <f>AS85</f>
        <v/>
      </c>
      <c r="AU82" s="160">
        <f>AT85</f>
        <v/>
      </c>
      <c r="AV82" s="160">
        <f>AU85</f>
        <v/>
      </c>
      <c r="AW82" s="160">
        <f>AV85</f>
        <v/>
      </c>
      <c r="AX82" s="160">
        <f>AW85</f>
        <v/>
      </c>
      <c r="AY82" s="160">
        <f>AX85</f>
        <v/>
      </c>
      <c r="AZ82" s="160">
        <f>AY85</f>
        <v/>
      </c>
      <c r="BA82" s="160">
        <f>AZ85</f>
        <v/>
      </c>
      <c r="BB82" s="160">
        <f>BA85</f>
        <v/>
      </c>
    </row>
    <row r="83" ht="15" customHeight="1" s="91">
      <c r="B83" s="153" t="inlineStr">
        <is>
          <t>Total Pref Owed  إجمالي المستحق</t>
        </is>
      </c>
      <c r="C83" s="153" t="inlineStr">
        <is>
          <t>SAR</t>
        </is>
      </c>
      <c r="E83" s="160">
        <f>E81+E82</f>
        <v/>
      </c>
      <c r="F83" s="160">
        <f>F81+F82</f>
        <v/>
      </c>
      <c r="G83" s="160">
        <f>G81+G82</f>
        <v/>
      </c>
      <c r="H83" s="160">
        <f>H81+H82</f>
        <v/>
      </c>
      <c r="I83" s="160">
        <f>I81+I82</f>
        <v/>
      </c>
      <c r="J83" s="160">
        <f>J81+J82</f>
        <v/>
      </c>
      <c r="K83" s="160">
        <f>K81+K82</f>
        <v/>
      </c>
      <c r="L83" s="160">
        <f>L81+L82</f>
        <v/>
      </c>
      <c r="M83" s="160">
        <f>M81+M82</f>
        <v/>
      </c>
      <c r="N83" s="160">
        <f>N81+N82</f>
        <v/>
      </c>
      <c r="O83" s="160">
        <f>O81+O82</f>
        <v/>
      </c>
      <c r="P83" s="160">
        <f>P81+P82</f>
        <v/>
      </c>
      <c r="Q83" s="160">
        <f>Q81+Q82</f>
        <v/>
      </c>
      <c r="R83" s="160">
        <f>R81+R82</f>
        <v/>
      </c>
      <c r="S83" s="160">
        <f>S81+S82</f>
        <v/>
      </c>
      <c r="T83" s="160">
        <f>T81+T82</f>
        <v/>
      </c>
      <c r="U83" s="160">
        <f>U81+U82</f>
        <v/>
      </c>
      <c r="V83" s="160">
        <f>V81+V82</f>
        <v/>
      </c>
      <c r="W83" s="160">
        <f>W81+W82</f>
        <v/>
      </c>
      <c r="X83" s="160">
        <f>X81+X82</f>
        <v/>
      </c>
      <c r="Y83" s="160">
        <f>Y81+Y82</f>
        <v/>
      </c>
      <c r="Z83" s="160">
        <f>Z81+Z82</f>
        <v/>
      </c>
      <c r="AA83" s="160">
        <f>AA81+AA82</f>
        <v/>
      </c>
      <c r="AB83" s="160">
        <f>AB81+AB82</f>
        <v/>
      </c>
      <c r="AC83" s="160">
        <f>AC81+AC82</f>
        <v/>
      </c>
      <c r="AD83" s="160">
        <f>AD81+AD82</f>
        <v/>
      </c>
      <c r="AE83" s="160">
        <f>AE81+AE82</f>
        <v/>
      </c>
      <c r="AF83" s="160">
        <f>AF81+AF82</f>
        <v/>
      </c>
      <c r="AG83" s="160">
        <f>AG81+AG82</f>
        <v/>
      </c>
      <c r="AH83" s="160">
        <f>AH81+AH82</f>
        <v/>
      </c>
      <c r="AI83" s="160">
        <f>AI81+AI82</f>
        <v/>
      </c>
      <c r="AJ83" s="160">
        <f>AJ81+AJ82</f>
        <v/>
      </c>
      <c r="AK83" s="160">
        <f>AK81+AK82</f>
        <v/>
      </c>
      <c r="AL83" s="160">
        <f>AL81+AL82</f>
        <v/>
      </c>
      <c r="AM83" s="160">
        <f>AM81+AM82</f>
        <v/>
      </c>
      <c r="AN83" s="160">
        <f>AN81+AN82</f>
        <v/>
      </c>
      <c r="AO83" s="160">
        <f>AO81+AO82</f>
        <v/>
      </c>
      <c r="AP83" s="160">
        <f>AP81+AP82</f>
        <v/>
      </c>
      <c r="AQ83" s="160">
        <f>AQ81+AQ82</f>
        <v/>
      </c>
      <c r="AR83" s="160">
        <f>AR81+AR82</f>
        <v/>
      </c>
      <c r="AS83" s="160">
        <f>AS81+AS82</f>
        <v/>
      </c>
      <c r="AT83" s="160">
        <f>AT81+AT82</f>
        <v/>
      </c>
      <c r="AU83" s="160">
        <f>AU81+AU82</f>
        <v/>
      </c>
      <c r="AV83" s="160">
        <f>AV81+AV82</f>
        <v/>
      </c>
      <c r="AW83" s="160">
        <f>AW81+AW82</f>
        <v/>
      </c>
      <c r="AX83" s="160">
        <f>AX81+AX82</f>
        <v/>
      </c>
      <c r="AY83" s="160">
        <f>AY81+AY82</f>
        <v/>
      </c>
      <c r="AZ83" s="160">
        <f>AZ81+AZ82</f>
        <v/>
      </c>
      <c r="BA83" s="160">
        <f>BA81+BA82</f>
        <v/>
      </c>
      <c r="BB83" s="160">
        <f>BB81+BB82</f>
        <v/>
      </c>
    </row>
    <row r="84" ht="15" customHeight="1" s="91">
      <c r="B84" s="153" t="inlineStr">
        <is>
          <t>Tier 2: Preferred Return Paid  سداد العائد التفضيلي</t>
        </is>
      </c>
      <c r="C84" s="153" t="inlineStr">
        <is>
          <t>SAR</t>
        </is>
      </c>
      <c r="D84" s="157">
        <f>SUM(E84:BB84)</f>
        <v/>
      </c>
      <c r="E84" s="160">
        <f>MIN(MAX(0,E75-E78),E83)</f>
        <v/>
      </c>
      <c r="F84" s="160">
        <f>MIN(MAX(0,F75-F78),F83)</f>
        <v/>
      </c>
      <c r="G84" s="160">
        <f>MIN(MAX(0,G75-G78),G83)</f>
        <v/>
      </c>
      <c r="H84" s="160">
        <f>MIN(MAX(0,H75-H78),H83)</f>
        <v/>
      </c>
      <c r="I84" s="160">
        <f>MIN(MAX(0,I75-I78),I83)</f>
        <v/>
      </c>
      <c r="J84" s="160">
        <f>MIN(MAX(0,J75-J78),J83)</f>
        <v/>
      </c>
      <c r="K84" s="160">
        <f>MIN(MAX(0,K75-K78),K83)</f>
        <v/>
      </c>
      <c r="L84" s="160">
        <f>MIN(MAX(0,L75-L78),L83)</f>
        <v/>
      </c>
      <c r="M84" s="160">
        <f>MIN(MAX(0,M75-M78),M83)</f>
        <v/>
      </c>
      <c r="N84" s="160">
        <f>MIN(MAX(0,N75-N78),N83)</f>
        <v/>
      </c>
      <c r="O84" s="160">
        <f>MIN(MAX(0,O75-O78),O83)</f>
        <v/>
      </c>
      <c r="P84" s="160">
        <f>MIN(MAX(0,P75-P78),P83)</f>
        <v/>
      </c>
      <c r="Q84" s="160">
        <f>MIN(MAX(0,Q75-Q78),Q83)</f>
        <v/>
      </c>
      <c r="R84" s="160">
        <f>MIN(MAX(0,R75-R78),R83)</f>
        <v/>
      </c>
      <c r="S84" s="160">
        <f>MIN(MAX(0,S75-S78),S83)</f>
        <v/>
      </c>
      <c r="T84" s="160">
        <f>MIN(MAX(0,T75-T78),T83)</f>
        <v/>
      </c>
      <c r="U84" s="160">
        <f>MIN(MAX(0,U75-U78),U83)</f>
        <v/>
      </c>
      <c r="V84" s="160">
        <f>MIN(MAX(0,V75-V78),V83)</f>
        <v/>
      </c>
      <c r="W84" s="160">
        <f>MIN(MAX(0,W75-W78),W83)</f>
        <v/>
      </c>
      <c r="X84" s="160">
        <f>MIN(MAX(0,X75-X78),X83)</f>
        <v/>
      </c>
      <c r="Y84" s="160">
        <f>MIN(MAX(0,Y75-Y78),Y83)</f>
        <v/>
      </c>
      <c r="Z84" s="160">
        <f>MIN(MAX(0,Z75-Z78),Z83)</f>
        <v/>
      </c>
      <c r="AA84" s="160">
        <f>MIN(MAX(0,AA75-AA78),AA83)</f>
        <v/>
      </c>
      <c r="AB84" s="160">
        <f>MIN(MAX(0,AB75-AB78),AB83)</f>
        <v/>
      </c>
      <c r="AC84" s="160">
        <f>MIN(MAX(0,AC75-AC78),AC83)</f>
        <v/>
      </c>
      <c r="AD84" s="160">
        <f>MIN(MAX(0,AD75-AD78),AD83)</f>
        <v/>
      </c>
      <c r="AE84" s="160">
        <f>MIN(MAX(0,AE75-AE78),AE83)</f>
        <v/>
      </c>
      <c r="AF84" s="160">
        <f>MIN(MAX(0,AF75-AF78),AF83)</f>
        <v/>
      </c>
      <c r="AG84" s="160">
        <f>MIN(MAX(0,AG75-AG78),AG83)</f>
        <v/>
      </c>
      <c r="AH84" s="160">
        <f>MIN(MAX(0,AH75-AH78),AH83)</f>
        <v/>
      </c>
      <c r="AI84" s="160">
        <f>MIN(MAX(0,AI75-AI78),AI83)</f>
        <v/>
      </c>
      <c r="AJ84" s="160">
        <f>MIN(MAX(0,AJ75-AJ78),AJ83)</f>
        <v/>
      </c>
      <c r="AK84" s="160">
        <f>MIN(MAX(0,AK75-AK78),AK83)</f>
        <v/>
      </c>
      <c r="AL84" s="160">
        <f>MIN(MAX(0,AL75-AL78),AL83)</f>
        <v/>
      </c>
      <c r="AM84" s="160">
        <f>MIN(MAX(0,AM75-AM78),AM83)</f>
        <v/>
      </c>
      <c r="AN84" s="160">
        <f>MIN(MAX(0,AN75-AN78),AN83)</f>
        <v/>
      </c>
      <c r="AO84" s="160">
        <f>MIN(MAX(0,AO75-AO78),AO83)</f>
        <v/>
      </c>
      <c r="AP84" s="160">
        <f>MIN(MAX(0,AP75-AP78),AP83)</f>
        <v/>
      </c>
      <c r="AQ84" s="160">
        <f>MIN(MAX(0,AQ75-AQ78),AQ83)</f>
        <v/>
      </c>
      <c r="AR84" s="160">
        <f>MIN(MAX(0,AR75-AR78),AR83)</f>
        <v/>
      </c>
      <c r="AS84" s="160">
        <f>MIN(MAX(0,AS75-AS78),AS83)</f>
        <v/>
      </c>
      <c r="AT84" s="160">
        <f>MIN(MAX(0,AT75-AT78),AT83)</f>
        <v/>
      </c>
      <c r="AU84" s="160">
        <f>MIN(MAX(0,AU75-AU78),AU83)</f>
        <v/>
      </c>
      <c r="AV84" s="160">
        <f>MIN(MAX(0,AV75-AV78),AV83)</f>
        <v/>
      </c>
      <c r="AW84" s="160">
        <f>MIN(MAX(0,AW75-AW78),AW83)</f>
        <v/>
      </c>
      <c r="AX84" s="160">
        <f>MIN(MAX(0,AX75-AX78),AX83)</f>
        <v/>
      </c>
      <c r="AY84" s="160">
        <f>MIN(MAX(0,AY75-AY78),AY83)</f>
        <v/>
      </c>
      <c r="AZ84" s="160">
        <f>MIN(MAX(0,AZ75-AZ78),AZ83)</f>
        <v/>
      </c>
      <c r="BA84" s="160">
        <f>MIN(MAX(0,BA75-BA78),BA83)</f>
        <v/>
      </c>
      <c r="BB84" s="160">
        <f>MIN(MAX(0,BB75-BB78),BB83)</f>
        <v/>
      </c>
    </row>
    <row r="85" ht="15" customHeight="1" s="91">
      <c r="B85" s="153" t="inlineStr">
        <is>
          <t>Unpaid Pref (Closing)  غير المدفوع (نهاية)</t>
        </is>
      </c>
      <c r="C85" s="153" t="inlineStr">
        <is>
          <t>SAR</t>
        </is>
      </c>
      <c r="E85" s="160">
        <f>E83-E84</f>
        <v/>
      </c>
      <c r="F85" s="160">
        <f>F83-F84</f>
        <v/>
      </c>
      <c r="G85" s="160">
        <f>G83-G84</f>
        <v/>
      </c>
      <c r="H85" s="160">
        <f>H83-H84</f>
        <v/>
      </c>
      <c r="I85" s="160">
        <f>I83-I84</f>
        <v/>
      </c>
      <c r="J85" s="160">
        <f>J83-J84</f>
        <v/>
      </c>
      <c r="K85" s="160">
        <f>K83-K84</f>
        <v/>
      </c>
      <c r="L85" s="160">
        <f>L83-L84</f>
        <v/>
      </c>
      <c r="M85" s="160">
        <f>M83-M84</f>
        <v/>
      </c>
      <c r="N85" s="160">
        <f>N83-N84</f>
        <v/>
      </c>
      <c r="O85" s="160">
        <f>O83-O84</f>
        <v/>
      </c>
      <c r="P85" s="160">
        <f>P83-P84</f>
        <v/>
      </c>
      <c r="Q85" s="160">
        <f>Q83-Q84</f>
        <v/>
      </c>
      <c r="R85" s="160">
        <f>R83-R84</f>
        <v/>
      </c>
      <c r="S85" s="160">
        <f>S83-S84</f>
        <v/>
      </c>
      <c r="T85" s="160">
        <f>T83-T84</f>
        <v/>
      </c>
      <c r="U85" s="160">
        <f>U83-U84</f>
        <v/>
      </c>
      <c r="V85" s="160">
        <f>V83-V84</f>
        <v/>
      </c>
      <c r="W85" s="160">
        <f>W83-W84</f>
        <v/>
      </c>
      <c r="X85" s="160">
        <f>X83-X84</f>
        <v/>
      </c>
      <c r="Y85" s="160">
        <f>Y83-Y84</f>
        <v/>
      </c>
      <c r="Z85" s="160">
        <f>Z83-Z84</f>
        <v/>
      </c>
      <c r="AA85" s="160">
        <f>AA83-AA84</f>
        <v/>
      </c>
      <c r="AB85" s="160">
        <f>AB83-AB84</f>
        <v/>
      </c>
      <c r="AC85" s="160">
        <f>AC83-AC84</f>
        <v/>
      </c>
      <c r="AD85" s="160">
        <f>AD83-AD84</f>
        <v/>
      </c>
      <c r="AE85" s="160">
        <f>AE83-AE84</f>
        <v/>
      </c>
      <c r="AF85" s="160">
        <f>AF83-AF84</f>
        <v/>
      </c>
      <c r="AG85" s="160">
        <f>AG83-AG84</f>
        <v/>
      </c>
      <c r="AH85" s="160">
        <f>AH83-AH84</f>
        <v/>
      </c>
      <c r="AI85" s="160">
        <f>AI83-AI84</f>
        <v/>
      </c>
      <c r="AJ85" s="160">
        <f>AJ83-AJ84</f>
        <v/>
      </c>
      <c r="AK85" s="160">
        <f>AK83-AK84</f>
        <v/>
      </c>
      <c r="AL85" s="160">
        <f>AL83-AL84</f>
        <v/>
      </c>
      <c r="AM85" s="160">
        <f>AM83-AM84</f>
        <v/>
      </c>
      <c r="AN85" s="160">
        <f>AN83-AN84</f>
        <v/>
      </c>
      <c r="AO85" s="160">
        <f>AO83-AO84</f>
        <v/>
      </c>
      <c r="AP85" s="160">
        <f>AP83-AP84</f>
        <v/>
      </c>
      <c r="AQ85" s="160">
        <f>AQ83-AQ84</f>
        <v/>
      </c>
      <c r="AR85" s="160">
        <f>AR83-AR84</f>
        <v/>
      </c>
      <c r="AS85" s="160">
        <f>AS83-AS84</f>
        <v/>
      </c>
      <c r="AT85" s="160">
        <f>AT83-AT84</f>
        <v/>
      </c>
      <c r="AU85" s="160">
        <f>AU83-AU84</f>
        <v/>
      </c>
      <c r="AV85" s="160">
        <f>AV83-AV84</f>
        <v/>
      </c>
      <c r="AW85" s="160">
        <f>AW83-AW84</f>
        <v/>
      </c>
      <c r="AX85" s="160">
        <f>AX83-AX84</f>
        <v/>
      </c>
      <c r="AY85" s="160">
        <f>AY83-AY84</f>
        <v/>
      </c>
      <c r="AZ85" s="160">
        <f>AZ83-AZ84</f>
        <v/>
      </c>
      <c r="BA85" s="160">
        <f>BA83-BA84</f>
        <v/>
      </c>
      <c r="BB85" s="160">
        <f>BB83-BB84</f>
        <v/>
      </c>
    </row>
    <row r="87" ht="15" customHeight="1" s="91">
      <c r="B87" s="153" t="inlineStr">
        <is>
          <t>Remaining After ROC + Pref  المتبقي</t>
        </is>
      </c>
      <c r="C87" s="153" t="inlineStr">
        <is>
          <t>SAR</t>
        </is>
      </c>
      <c r="E87" s="160">
        <f>MAX(0,E75-E78-E84)</f>
        <v/>
      </c>
      <c r="F87" s="160">
        <f>MAX(0,F75-F78-F84)</f>
        <v/>
      </c>
      <c r="G87" s="160">
        <f>MAX(0,G75-G78-G84)</f>
        <v/>
      </c>
      <c r="H87" s="160">
        <f>MAX(0,H75-H78-H84)</f>
        <v/>
      </c>
      <c r="I87" s="160">
        <f>MAX(0,I75-I78-I84)</f>
        <v/>
      </c>
      <c r="J87" s="160">
        <f>MAX(0,J75-J78-J84)</f>
        <v/>
      </c>
      <c r="K87" s="160">
        <f>MAX(0,K75-K78-K84)</f>
        <v/>
      </c>
      <c r="L87" s="160">
        <f>MAX(0,L75-L78-L84)</f>
        <v/>
      </c>
      <c r="M87" s="160">
        <f>MAX(0,M75-M78-M84)</f>
        <v/>
      </c>
      <c r="N87" s="160">
        <f>MAX(0,N75-N78-N84)</f>
        <v/>
      </c>
      <c r="O87" s="160">
        <f>MAX(0,O75-O78-O84)</f>
        <v/>
      </c>
      <c r="P87" s="160">
        <f>MAX(0,P75-P78-P84)</f>
        <v/>
      </c>
      <c r="Q87" s="160">
        <f>MAX(0,Q75-Q78-Q84)</f>
        <v/>
      </c>
      <c r="R87" s="160">
        <f>MAX(0,R75-R78-R84)</f>
        <v/>
      </c>
      <c r="S87" s="160">
        <f>MAX(0,S75-S78-S84)</f>
        <v/>
      </c>
      <c r="T87" s="160">
        <f>MAX(0,T75-T78-T84)</f>
        <v/>
      </c>
      <c r="U87" s="160">
        <f>MAX(0,U75-U78-U84)</f>
        <v/>
      </c>
      <c r="V87" s="160">
        <f>MAX(0,V75-V78-V84)</f>
        <v/>
      </c>
      <c r="W87" s="160">
        <f>MAX(0,W75-W78-W84)</f>
        <v/>
      </c>
      <c r="X87" s="160">
        <f>MAX(0,X75-X78-X84)</f>
        <v/>
      </c>
      <c r="Y87" s="160">
        <f>MAX(0,Y75-Y78-Y84)</f>
        <v/>
      </c>
      <c r="Z87" s="160">
        <f>MAX(0,Z75-Z78-Z84)</f>
        <v/>
      </c>
      <c r="AA87" s="160">
        <f>MAX(0,AA75-AA78-AA84)</f>
        <v/>
      </c>
      <c r="AB87" s="160">
        <f>MAX(0,AB75-AB78-AB84)</f>
        <v/>
      </c>
      <c r="AC87" s="160">
        <f>MAX(0,AC75-AC78-AC84)</f>
        <v/>
      </c>
      <c r="AD87" s="160">
        <f>MAX(0,AD75-AD78-AD84)</f>
        <v/>
      </c>
      <c r="AE87" s="160">
        <f>MAX(0,AE75-AE78-AE84)</f>
        <v/>
      </c>
      <c r="AF87" s="160">
        <f>MAX(0,AF75-AF78-AF84)</f>
        <v/>
      </c>
      <c r="AG87" s="160">
        <f>MAX(0,AG75-AG78-AG84)</f>
        <v/>
      </c>
      <c r="AH87" s="160">
        <f>MAX(0,AH75-AH78-AH84)</f>
        <v/>
      </c>
      <c r="AI87" s="160">
        <f>MAX(0,AI75-AI78-AI84)</f>
        <v/>
      </c>
      <c r="AJ87" s="160">
        <f>MAX(0,AJ75-AJ78-AJ84)</f>
        <v/>
      </c>
      <c r="AK87" s="160">
        <f>MAX(0,AK75-AK78-AK84)</f>
        <v/>
      </c>
      <c r="AL87" s="160">
        <f>MAX(0,AL75-AL78-AL84)</f>
        <v/>
      </c>
      <c r="AM87" s="160">
        <f>MAX(0,AM75-AM78-AM84)</f>
        <v/>
      </c>
      <c r="AN87" s="160">
        <f>MAX(0,AN75-AN78-AN84)</f>
        <v/>
      </c>
      <c r="AO87" s="160">
        <f>MAX(0,AO75-AO78-AO84)</f>
        <v/>
      </c>
      <c r="AP87" s="160">
        <f>MAX(0,AP75-AP78-AP84)</f>
        <v/>
      </c>
      <c r="AQ87" s="160">
        <f>MAX(0,AQ75-AQ78-AQ84)</f>
        <v/>
      </c>
      <c r="AR87" s="160">
        <f>MAX(0,AR75-AR78-AR84)</f>
        <v/>
      </c>
      <c r="AS87" s="160">
        <f>MAX(0,AS75-AS78-AS84)</f>
        <v/>
      </c>
      <c r="AT87" s="160">
        <f>MAX(0,AT75-AT78-AT84)</f>
        <v/>
      </c>
      <c r="AU87" s="160">
        <f>MAX(0,AU75-AU78-AU84)</f>
        <v/>
      </c>
      <c r="AV87" s="160">
        <f>MAX(0,AV75-AV78-AV84)</f>
        <v/>
      </c>
      <c r="AW87" s="160">
        <f>MAX(0,AW75-AW78-AW84)</f>
        <v/>
      </c>
      <c r="AX87" s="160">
        <f>MAX(0,AX75-AX78-AX84)</f>
        <v/>
      </c>
      <c r="AY87" s="160">
        <f>MAX(0,AY75-AY78-AY84)</f>
        <v/>
      </c>
      <c r="AZ87" s="160">
        <f>MAX(0,AZ75-AZ78-AZ84)</f>
        <v/>
      </c>
      <c r="BA87" s="160">
        <f>MAX(0,BA75-BA78-BA84)</f>
        <v/>
      </c>
      <c r="BB87" s="160">
        <f>MAX(0,BB75-BB78-BB84)</f>
        <v/>
      </c>
    </row>
    <row r="88" ht="15" customHeight="1" s="91">
      <c r="B88" s="153" t="inlineStr">
        <is>
          <t>Tier 3: GP Catch-up  تعويض المطور</t>
        </is>
      </c>
      <c r="C88" s="153" t="inlineStr">
        <is>
          <t>SAR</t>
        </is>
      </c>
      <c r="D88" s="157">
        <f>SUM(E88:BB88)</f>
        <v/>
      </c>
      <c r="E88" s="160">
        <f>IF($C$37="Y",MIN(E87,E84*$C$38/(1-$C$38)),0)</f>
        <v/>
      </c>
      <c r="F88" s="160">
        <f>IF($C$37="Y",MIN(F87,F84*$C$38/(1-$C$38)),0)</f>
        <v/>
      </c>
      <c r="G88" s="160">
        <f>IF($C$37="Y",MIN(G87,G84*$C$38/(1-$C$38)),0)</f>
        <v/>
      </c>
      <c r="H88" s="160">
        <f>IF($C$37="Y",MIN(H87,H84*$C$38/(1-$C$38)),0)</f>
        <v/>
      </c>
      <c r="I88" s="160">
        <f>IF($C$37="Y",MIN(I87,I84*$C$38/(1-$C$38)),0)</f>
        <v/>
      </c>
      <c r="J88" s="160">
        <f>IF($C$37="Y",MIN(J87,J84*$C$38/(1-$C$38)),0)</f>
        <v/>
      </c>
      <c r="K88" s="160">
        <f>IF($C$37="Y",MIN(K87,K84*$C$38/(1-$C$38)),0)</f>
        <v/>
      </c>
      <c r="L88" s="160">
        <f>IF($C$37="Y",MIN(L87,L84*$C$38/(1-$C$38)),0)</f>
        <v/>
      </c>
      <c r="M88" s="160">
        <f>IF($C$37="Y",MIN(M87,M84*$C$38/(1-$C$38)),0)</f>
        <v/>
      </c>
      <c r="N88" s="160">
        <f>IF($C$37="Y",MIN(N87,N84*$C$38/(1-$C$38)),0)</f>
        <v/>
      </c>
      <c r="O88" s="160">
        <f>IF($C$37="Y",MIN(O87,O84*$C$38/(1-$C$38)),0)</f>
        <v/>
      </c>
      <c r="P88" s="160">
        <f>IF($C$37="Y",MIN(P87,P84*$C$38/(1-$C$38)),0)</f>
        <v/>
      </c>
      <c r="Q88" s="160">
        <f>IF($C$37="Y",MIN(Q87,Q84*$C$38/(1-$C$38)),0)</f>
        <v/>
      </c>
      <c r="R88" s="160">
        <f>IF($C$37="Y",MIN(R87,R84*$C$38/(1-$C$38)),0)</f>
        <v/>
      </c>
      <c r="S88" s="160">
        <f>IF($C$37="Y",MIN(S87,S84*$C$38/(1-$C$38)),0)</f>
        <v/>
      </c>
      <c r="T88" s="160">
        <f>IF($C$37="Y",MIN(T87,T84*$C$38/(1-$C$38)),0)</f>
        <v/>
      </c>
      <c r="U88" s="160">
        <f>IF($C$37="Y",MIN(U87,U84*$C$38/(1-$C$38)),0)</f>
        <v/>
      </c>
      <c r="V88" s="160">
        <f>IF($C$37="Y",MIN(V87,V84*$C$38/(1-$C$38)),0)</f>
        <v/>
      </c>
      <c r="W88" s="160">
        <f>IF($C$37="Y",MIN(W87,W84*$C$38/(1-$C$38)),0)</f>
        <v/>
      </c>
      <c r="X88" s="160">
        <f>IF($C$37="Y",MIN(X87,X84*$C$38/(1-$C$38)),0)</f>
        <v/>
      </c>
      <c r="Y88" s="160">
        <f>IF($C$37="Y",MIN(Y87,Y84*$C$38/(1-$C$38)),0)</f>
        <v/>
      </c>
      <c r="Z88" s="160">
        <f>IF($C$37="Y",MIN(Z87,Z84*$C$38/(1-$C$38)),0)</f>
        <v/>
      </c>
      <c r="AA88" s="160">
        <f>IF($C$37="Y",MIN(AA87,AA84*$C$38/(1-$C$38)),0)</f>
        <v/>
      </c>
      <c r="AB88" s="160">
        <f>IF($C$37="Y",MIN(AB87,AB84*$C$38/(1-$C$38)),0)</f>
        <v/>
      </c>
      <c r="AC88" s="160">
        <f>IF($C$37="Y",MIN(AC87,AC84*$C$38/(1-$C$38)),0)</f>
        <v/>
      </c>
      <c r="AD88" s="160">
        <f>IF($C$37="Y",MIN(AD87,AD84*$C$38/(1-$C$38)),0)</f>
        <v/>
      </c>
      <c r="AE88" s="160">
        <f>IF($C$37="Y",MIN(AE87,AE84*$C$38/(1-$C$38)),0)</f>
        <v/>
      </c>
      <c r="AF88" s="160">
        <f>IF($C$37="Y",MIN(AF87,AF84*$C$38/(1-$C$38)),0)</f>
        <v/>
      </c>
      <c r="AG88" s="160">
        <f>IF($C$37="Y",MIN(AG87,AG84*$C$38/(1-$C$38)),0)</f>
        <v/>
      </c>
      <c r="AH88" s="160">
        <f>IF($C$37="Y",MIN(AH87,AH84*$C$38/(1-$C$38)),0)</f>
        <v/>
      </c>
      <c r="AI88" s="160">
        <f>IF($C$37="Y",MIN(AI87,AI84*$C$38/(1-$C$38)),0)</f>
        <v/>
      </c>
      <c r="AJ88" s="160">
        <f>IF($C$37="Y",MIN(AJ87,AJ84*$C$38/(1-$C$38)),0)</f>
        <v/>
      </c>
      <c r="AK88" s="160">
        <f>IF($C$37="Y",MIN(AK87,AK84*$C$38/(1-$C$38)),0)</f>
        <v/>
      </c>
      <c r="AL88" s="160">
        <f>IF($C$37="Y",MIN(AL87,AL84*$C$38/(1-$C$38)),0)</f>
        <v/>
      </c>
      <c r="AM88" s="160">
        <f>IF($C$37="Y",MIN(AM87,AM84*$C$38/(1-$C$38)),0)</f>
        <v/>
      </c>
      <c r="AN88" s="160">
        <f>IF($C$37="Y",MIN(AN87,AN84*$C$38/(1-$C$38)),0)</f>
        <v/>
      </c>
      <c r="AO88" s="160">
        <f>IF($C$37="Y",MIN(AO87,AO84*$C$38/(1-$C$38)),0)</f>
        <v/>
      </c>
      <c r="AP88" s="160">
        <f>IF($C$37="Y",MIN(AP87,AP84*$C$38/(1-$C$38)),0)</f>
        <v/>
      </c>
      <c r="AQ88" s="160">
        <f>IF($C$37="Y",MIN(AQ87,AQ84*$C$38/(1-$C$38)),0)</f>
        <v/>
      </c>
      <c r="AR88" s="160">
        <f>IF($C$37="Y",MIN(AR87,AR84*$C$38/(1-$C$38)),0)</f>
        <v/>
      </c>
      <c r="AS88" s="160">
        <f>IF($C$37="Y",MIN(AS87,AS84*$C$38/(1-$C$38)),0)</f>
        <v/>
      </c>
      <c r="AT88" s="160">
        <f>IF($C$37="Y",MIN(AT87,AT84*$C$38/(1-$C$38)),0)</f>
        <v/>
      </c>
      <c r="AU88" s="160">
        <f>IF($C$37="Y",MIN(AU87,AU84*$C$38/(1-$C$38)),0)</f>
        <v/>
      </c>
      <c r="AV88" s="160">
        <f>IF($C$37="Y",MIN(AV87,AV84*$C$38/(1-$C$38)),0)</f>
        <v/>
      </c>
      <c r="AW88" s="160">
        <f>IF($C$37="Y",MIN(AW87,AW84*$C$38/(1-$C$38)),0)</f>
        <v/>
      </c>
      <c r="AX88" s="160">
        <f>IF($C$37="Y",MIN(AX87,AX84*$C$38/(1-$C$38)),0)</f>
        <v/>
      </c>
      <c r="AY88" s="160">
        <f>IF($C$37="Y",MIN(AY87,AY84*$C$38/(1-$C$38)),0)</f>
        <v/>
      </c>
      <c r="AZ88" s="160">
        <f>IF($C$37="Y",MIN(AZ87,AZ84*$C$38/(1-$C$38)),0)</f>
        <v/>
      </c>
      <c r="BA88" s="160">
        <f>IF($C$37="Y",MIN(BA87,BA84*$C$38/(1-$C$38)),0)</f>
        <v/>
      </c>
      <c r="BB88" s="160">
        <f>IF($C$37="Y",MIN(BB87,BB84*$C$38/(1-$C$38)),0)</f>
        <v/>
      </c>
    </row>
    <row r="89" ht="15" customHeight="1" s="91">
      <c r="B89" s="153" t="inlineStr">
        <is>
          <t>Tier 4: Profit Split  تقسيم الأرباح</t>
        </is>
      </c>
      <c r="C89" s="153" t="inlineStr">
        <is>
          <t>SAR</t>
        </is>
      </c>
      <c r="D89" s="157">
        <f>SUM(E89:BB89)</f>
        <v/>
      </c>
      <c r="E89" s="160">
        <f>MAX(0,E87-E88)</f>
        <v/>
      </c>
      <c r="F89" s="160">
        <f>MAX(0,F87-F88)</f>
        <v/>
      </c>
      <c r="G89" s="160">
        <f>MAX(0,G87-G88)</f>
        <v/>
      </c>
      <c r="H89" s="160">
        <f>MAX(0,H87-H88)</f>
        <v/>
      </c>
      <c r="I89" s="160">
        <f>MAX(0,I87-I88)</f>
        <v/>
      </c>
      <c r="J89" s="160">
        <f>MAX(0,J87-J88)</f>
        <v/>
      </c>
      <c r="K89" s="160">
        <f>MAX(0,K87-K88)</f>
        <v/>
      </c>
      <c r="L89" s="160">
        <f>MAX(0,L87-L88)</f>
        <v/>
      </c>
      <c r="M89" s="160">
        <f>MAX(0,M87-M88)</f>
        <v/>
      </c>
      <c r="N89" s="160">
        <f>MAX(0,N87-N88)</f>
        <v/>
      </c>
      <c r="O89" s="160">
        <f>MAX(0,O87-O88)</f>
        <v/>
      </c>
      <c r="P89" s="160">
        <f>MAX(0,P87-P88)</f>
        <v/>
      </c>
      <c r="Q89" s="160">
        <f>MAX(0,Q87-Q88)</f>
        <v/>
      </c>
      <c r="R89" s="160">
        <f>MAX(0,R87-R88)</f>
        <v/>
      </c>
      <c r="S89" s="160">
        <f>MAX(0,S87-S88)</f>
        <v/>
      </c>
      <c r="T89" s="160">
        <f>MAX(0,T87-T88)</f>
        <v/>
      </c>
      <c r="U89" s="160">
        <f>MAX(0,U87-U88)</f>
        <v/>
      </c>
      <c r="V89" s="160">
        <f>MAX(0,V87-V88)</f>
        <v/>
      </c>
      <c r="W89" s="160">
        <f>MAX(0,W87-W88)</f>
        <v/>
      </c>
      <c r="X89" s="160">
        <f>MAX(0,X87-X88)</f>
        <v/>
      </c>
      <c r="Y89" s="160">
        <f>MAX(0,Y87-Y88)</f>
        <v/>
      </c>
      <c r="Z89" s="160">
        <f>MAX(0,Z87-Z88)</f>
        <v/>
      </c>
      <c r="AA89" s="160">
        <f>MAX(0,AA87-AA88)</f>
        <v/>
      </c>
      <c r="AB89" s="160">
        <f>MAX(0,AB87-AB88)</f>
        <v/>
      </c>
      <c r="AC89" s="160">
        <f>MAX(0,AC87-AC88)</f>
        <v/>
      </c>
      <c r="AD89" s="160">
        <f>MAX(0,AD87-AD88)</f>
        <v/>
      </c>
      <c r="AE89" s="160">
        <f>MAX(0,AE87-AE88)</f>
        <v/>
      </c>
      <c r="AF89" s="160">
        <f>MAX(0,AF87-AF88)</f>
        <v/>
      </c>
      <c r="AG89" s="160">
        <f>MAX(0,AG87-AG88)</f>
        <v/>
      </c>
      <c r="AH89" s="160">
        <f>MAX(0,AH87-AH88)</f>
        <v/>
      </c>
      <c r="AI89" s="160">
        <f>MAX(0,AI87-AI88)</f>
        <v/>
      </c>
      <c r="AJ89" s="160">
        <f>MAX(0,AJ87-AJ88)</f>
        <v/>
      </c>
      <c r="AK89" s="160">
        <f>MAX(0,AK87-AK88)</f>
        <v/>
      </c>
      <c r="AL89" s="160">
        <f>MAX(0,AL87-AL88)</f>
        <v/>
      </c>
      <c r="AM89" s="160">
        <f>MAX(0,AM87-AM88)</f>
        <v/>
      </c>
      <c r="AN89" s="160">
        <f>MAX(0,AN87-AN88)</f>
        <v/>
      </c>
      <c r="AO89" s="160">
        <f>MAX(0,AO87-AO88)</f>
        <v/>
      </c>
      <c r="AP89" s="160">
        <f>MAX(0,AP87-AP88)</f>
        <v/>
      </c>
      <c r="AQ89" s="160">
        <f>MAX(0,AQ87-AQ88)</f>
        <v/>
      </c>
      <c r="AR89" s="160">
        <f>MAX(0,AR87-AR88)</f>
        <v/>
      </c>
      <c r="AS89" s="160">
        <f>MAX(0,AS87-AS88)</f>
        <v/>
      </c>
      <c r="AT89" s="160">
        <f>MAX(0,AT87-AT88)</f>
        <v/>
      </c>
      <c r="AU89" s="160">
        <f>MAX(0,AU87-AU88)</f>
        <v/>
      </c>
      <c r="AV89" s="160">
        <f>MAX(0,AV87-AV88)</f>
        <v/>
      </c>
      <c r="AW89" s="160">
        <f>MAX(0,AW87-AW88)</f>
        <v/>
      </c>
      <c r="AX89" s="160">
        <f>MAX(0,AX87-AX88)</f>
        <v/>
      </c>
      <c r="AY89" s="160">
        <f>MAX(0,AY87-AY88)</f>
        <v/>
      </c>
      <c r="AZ89" s="160">
        <f>MAX(0,AZ87-AZ88)</f>
        <v/>
      </c>
      <c r="BA89" s="160">
        <f>MAX(0,BA87-BA88)</f>
        <v/>
      </c>
      <c r="BB89" s="160">
        <f>MAX(0,BB87-BB88)</f>
        <v/>
      </c>
    </row>
    <row r="90" ht="15" customHeight="1" s="91">
      <c r="B90" s="153" t="inlineStr">
        <is>
          <t xml:space="preserve">  → LP  حصة المستثمرين</t>
        </is>
      </c>
      <c r="C90" s="153" t="inlineStr">
        <is>
          <t>SAR</t>
        </is>
      </c>
      <c r="D90" s="160">
        <f>SUM(E90:BB90)</f>
        <v/>
      </c>
      <c r="E90" s="160">
        <f>E89*(1-$C$38)</f>
        <v/>
      </c>
      <c r="F90" s="160">
        <f>F89*(1-$C$38)</f>
        <v/>
      </c>
      <c r="G90" s="160">
        <f>G89*(1-$C$38)</f>
        <v/>
      </c>
      <c r="H90" s="160">
        <f>H89*(1-$C$38)</f>
        <v/>
      </c>
      <c r="I90" s="160">
        <f>I89*(1-$C$38)</f>
        <v/>
      </c>
      <c r="J90" s="160">
        <f>J89*(1-$C$38)</f>
        <v/>
      </c>
      <c r="K90" s="160">
        <f>K89*(1-$C$38)</f>
        <v/>
      </c>
      <c r="L90" s="160">
        <f>L89*(1-$C$38)</f>
        <v/>
      </c>
      <c r="M90" s="160">
        <f>M89*(1-$C$38)</f>
        <v/>
      </c>
      <c r="N90" s="160">
        <f>N89*(1-$C$38)</f>
        <v/>
      </c>
      <c r="O90" s="160">
        <f>O89*(1-$C$38)</f>
        <v/>
      </c>
      <c r="P90" s="160">
        <f>P89*(1-$C$38)</f>
        <v/>
      </c>
      <c r="Q90" s="160">
        <f>Q89*(1-$C$38)</f>
        <v/>
      </c>
      <c r="R90" s="160">
        <f>R89*(1-$C$38)</f>
        <v/>
      </c>
      <c r="S90" s="160">
        <f>S89*(1-$C$38)</f>
        <v/>
      </c>
      <c r="T90" s="160">
        <f>T89*(1-$C$38)</f>
        <v/>
      </c>
      <c r="U90" s="160">
        <f>U89*(1-$C$38)</f>
        <v/>
      </c>
      <c r="V90" s="160">
        <f>V89*(1-$C$38)</f>
        <v/>
      </c>
      <c r="W90" s="160">
        <f>W89*(1-$C$38)</f>
        <v/>
      </c>
      <c r="X90" s="160">
        <f>X89*(1-$C$38)</f>
        <v/>
      </c>
      <c r="Y90" s="160">
        <f>Y89*(1-$C$38)</f>
        <v/>
      </c>
      <c r="Z90" s="160">
        <f>Z89*(1-$C$38)</f>
        <v/>
      </c>
      <c r="AA90" s="160">
        <f>AA89*(1-$C$38)</f>
        <v/>
      </c>
      <c r="AB90" s="160">
        <f>AB89*(1-$C$38)</f>
        <v/>
      </c>
      <c r="AC90" s="160">
        <f>AC89*(1-$C$38)</f>
        <v/>
      </c>
      <c r="AD90" s="160">
        <f>AD89*(1-$C$38)</f>
        <v/>
      </c>
      <c r="AE90" s="160">
        <f>AE89*(1-$C$38)</f>
        <v/>
      </c>
      <c r="AF90" s="160">
        <f>AF89*(1-$C$38)</f>
        <v/>
      </c>
      <c r="AG90" s="160">
        <f>AG89*(1-$C$38)</f>
        <v/>
      </c>
      <c r="AH90" s="160">
        <f>AH89*(1-$C$38)</f>
        <v/>
      </c>
      <c r="AI90" s="160">
        <f>AI89*(1-$C$38)</f>
        <v/>
      </c>
      <c r="AJ90" s="160">
        <f>AJ89*(1-$C$38)</f>
        <v/>
      </c>
      <c r="AK90" s="160">
        <f>AK89*(1-$C$38)</f>
        <v/>
      </c>
      <c r="AL90" s="160">
        <f>AL89*(1-$C$38)</f>
        <v/>
      </c>
      <c r="AM90" s="160">
        <f>AM89*(1-$C$38)</f>
        <v/>
      </c>
      <c r="AN90" s="160">
        <f>AN89*(1-$C$38)</f>
        <v/>
      </c>
      <c r="AO90" s="160">
        <f>AO89*(1-$C$38)</f>
        <v/>
      </c>
      <c r="AP90" s="160">
        <f>AP89*(1-$C$38)</f>
        <v/>
      </c>
      <c r="AQ90" s="160">
        <f>AQ89*(1-$C$38)</f>
        <v/>
      </c>
      <c r="AR90" s="160">
        <f>AR89*(1-$C$38)</f>
        <v/>
      </c>
      <c r="AS90" s="160">
        <f>AS89*(1-$C$38)</f>
        <v/>
      </c>
      <c r="AT90" s="160">
        <f>AT89*(1-$C$38)</f>
        <v/>
      </c>
      <c r="AU90" s="160">
        <f>AU89*(1-$C$38)</f>
        <v/>
      </c>
      <c r="AV90" s="160">
        <f>AV89*(1-$C$38)</f>
        <v/>
      </c>
      <c r="AW90" s="160">
        <f>AW89*(1-$C$38)</f>
        <v/>
      </c>
      <c r="AX90" s="160">
        <f>AX89*(1-$C$38)</f>
        <v/>
      </c>
      <c r="AY90" s="160">
        <f>AY89*(1-$C$38)</f>
        <v/>
      </c>
      <c r="AZ90" s="160">
        <f>AZ89*(1-$C$38)</f>
        <v/>
      </c>
      <c r="BA90" s="160">
        <f>BA89*(1-$C$38)</f>
        <v/>
      </c>
      <c r="BB90" s="160">
        <f>BB89*(1-$C$38)</f>
        <v/>
      </c>
    </row>
    <row r="91" ht="15" customHeight="1" s="91">
      <c r="B91" s="153" t="inlineStr">
        <is>
          <t xml:space="preserve">  → GP / Carry  حصة الأداء</t>
        </is>
      </c>
      <c r="C91" s="153" t="inlineStr">
        <is>
          <t>SAR</t>
        </is>
      </c>
      <c r="D91" s="160">
        <f>SUM(E91:BB91)</f>
        <v/>
      </c>
      <c r="E91" s="160">
        <f>E89*$C$38</f>
        <v/>
      </c>
      <c r="F91" s="160">
        <f>F89*$C$38</f>
        <v/>
      </c>
      <c r="G91" s="160">
        <f>G89*$C$38</f>
        <v/>
      </c>
      <c r="H91" s="160">
        <f>H89*$C$38</f>
        <v/>
      </c>
      <c r="I91" s="160">
        <f>I89*$C$38</f>
        <v/>
      </c>
      <c r="J91" s="160">
        <f>J89*$C$38</f>
        <v/>
      </c>
      <c r="K91" s="160">
        <f>K89*$C$38</f>
        <v/>
      </c>
      <c r="L91" s="160">
        <f>L89*$C$38</f>
        <v/>
      </c>
      <c r="M91" s="160">
        <f>M89*$C$38</f>
        <v/>
      </c>
      <c r="N91" s="160">
        <f>N89*$C$38</f>
        <v/>
      </c>
      <c r="O91" s="160">
        <f>O89*$C$38</f>
        <v/>
      </c>
      <c r="P91" s="160">
        <f>P89*$C$38</f>
        <v/>
      </c>
      <c r="Q91" s="160">
        <f>Q89*$C$38</f>
        <v/>
      </c>
      <c r="R91" s="160">
        <f>R89*$C$38</f>
        <v/>
      </c>
      <c r="S91" s="160">
        <f>S89*$C$38</f>
        <v/>
      </c>
      <c r="T91" s="160">
        <f>T89*$C$38</f>
        <v/>
      </c>
      <c r="U91" s="160">
        <f>U89*$C$38</f>
        <v/>
      </c>
      <c r="V91" s="160">
        <f>V89*$C$38</f>
        <v/>
      </c>
      <c r="W91" s="160">
        <f>W89*$C$38</f>
        <v/>
      </c>
      <c r="X91" s="160">
        <f>X89*$C$38</f>
        <v/>
      </c>
      <c r="Y91" s="160">
        <f>Y89*$C$38</f>
        <v/>
      </c>
      <c r="Z91" s="160">
        <f>Z89*$C$38</f>
        <v/>
      </c>
      <c r="AA91" s="160">
        <f>AA89*$C$38</f>
        <v/>
      </c>
      <c r="AB91" s="160">
        <f>AB89*$C$38</f>
        <v/>
      </c>
      <c r="AC91" s="160">
        <f>AC89*$C$38</f>
        <v/>
      </c>
      <c r="AD91" s="160">
        <f>AD89*$C$38</f>
        <v/>
      </c>
      <c r="AE91" s="160">
        <f>AE89*$C$38</f>
        <v/>
      </c>
      <c r="AF91" s="160">
        <f>AF89*$C$38</f>
        <v/>
      </c>
      <c r="AG91" s="160">
        <f>AG89*$C$38</f>
        <v/>
      </c>
      <c r="AH91" s="160">
        <f>AH89*$C$38</f>
        <v/>
      </c>
      <c r="AI91" s="160">
        <f>AI89*$C$38</f>
        <v/>
      </c>
      <c r="AJ91" s="160">
        <f>AJ89*$C$38</f>
        <v/>
      </c>
      <c r="AK91" s="160">
        <f>AK89*$C$38</f>
        <v/>
      </c>
      <c r="AL91" s="160">
        <f>AL89*$C$38</f>
        <v/>
      </c>
      <c r="AM91" s="160">
        <f>AM89*$C$38</f>
        <v/>
      </c>
      <c r="AN91" s="160">
        <f>AN89*$C$38</f>
        <v/>
      </c>
      <c r="AO91" s="160">
        <f>AO89*$C$38</f>
        <v/>
      </c>
      <c r="AP91" s="160">
        <f>AP89*$C$38</f>
        <v/>
      </c>
      <c r="AQ91" s="160">
        <f>AQ89*$C$38</f>
        <v/>
      </c>
      <c r="AR91" s="160">
        <f>AR89*$C$38</f>
        <v/>
      </c>
      <c r="AS91" s="160">
        <f>AS89*$C$38</f>
        <v/>
      </c>
      <c r="AT91" s="160">
        <f>AT89*$C$38</f>
        <v/>
      </c>
      <c r="AU91" s="160">
        <f>AU89*$C$38</f>
        <v/>
      </c>
      <c r="AV91" s="160">
        <f>AV89*$C$38</f>
        <v/>
      </c>
      <c r="AW91" s="160">
        <f>AW89*$C$38</f>
        <v/>
      </c>
      <c r="AX91" s="160">
        <f>AX89*$C$38</f>
        <v/>
      </c>
      <c r="AY91" s="160">
        <f>AY89*$C$38</f>
        <v/>
      </c>
      <c r="AZ91" s="160">
        <f>AZ89*$C$38</f>
        <v/>
      </c>
      <c r="BA91" s="160">
        <f>BA89*$C$38</f>
        <v/>
      </c>
      <c r="BB91" s="160">
        <f>BB89*$C$38</f>
        <v/>
      </c>
    </row>
    <row r="93" ht="15" customHeight="1" s="91">
      <c r="B93" s="110" t="inlineStr">
        <is>
          <t>Total Distribution to LP  إجمالي توزيعات المستثمرين</t>
        </is>
      </c>
      <c r="C93" s="153" t="inlineStr">
        <is>
          <t>SAR</t>
        </is>
      </c>
      <c r="D93" s="157">
        <f>SUM(E93:BB93)</f>
        <v/>
      </c>
      <c r="E93" s="160">
        <f>E78*$C$16+E84*$C$16+E90</f>
        <v/>
      </c>
      <c r="F93" s="160">
        <f>F78*$C$16+F84*$C$16+F90</f>
        <v/>
      </c>
      <c r="G93" s="160">
        <f>G78*$C$16+G84*$C$16+G90</f>
        <v/>
      </c>
      <c r="H93" s="160">
        <f>H78*$C$16+H84*$C$16+H90</f>
        <v/>
      </c>
      <c r="I93" s="160">
        <f>I78*$C$16+I84*$C$16+I90</f>
        <v/>
      </c>
      <c r="J93" s="160">
        <f>J78*$C$16+J84*$C$16+J90</f>
        <v/>
      </c>
      <c r="K93" s="160">
        <f>K78*$C$16+K84*$C$16+K90</f>
        <v/>
      </c>
      <c r="L93" s="160">
        <f>L78*$C$16+L84*$C$16+L90</f>
        <v/>
      </c>
      <c r="M93" s="160">
        <f>M78*$C$16+M84*$C$16+M90</f>
        <v/>
      </c>
      <c r="N93" s="160">
        <f>N78*$C$16+N84*$C$16+N90</f>
        <v/>
      </c>
      <c r="O93" s="160">
        <f>O78*$C$16+O84*$C$16+O90</f>
        <v/>
      </c>
      <c r="P93" s="160">
        <f>P78*$C$16+P84*$C$16+P90</f>
        <v/>
      </c>
      <c r="Q93" s="160">
        <f>Q78*$C$16+Q84*$C$16+Q90</f>
        <v/>
      </c>
      <c r="R93" s="160">
        <f>R78*$C$16+R84*$C$16+R90</f>
        <v/>
      </c>
      <c r="S93" s="160">
        <f>S78*$C$16+S84*$C$16+S90</f>
        <v/>
      </c>
      <c r="T93" s="160">
        <f>T78*$C$16+T84*$C$16+T90</f>
        <v/>
      </c>
      <c r="U93" s="160">
        <f>U78*$C$16+U84*$C$16+U90</f>
        <v/>
      </c>
      <c r="V93" s="160">
        <f>V78*$C$16+V84*$C$16+V90</f>
        <v/>
      </c>
      <c r="W93" s="160">
        <f>W78*$C$16+W84*$C$16+W90</f>
        <v/>
      </c>
      <c r="X93" s="160">
        <f>X78*$C$16+X84*$C$16+X90</f>
        <v/>
      </c>
      <c r="Y93" s="160">
        <f>Y78*$C$16+Y84*$C$16+Y90</f>
        <v/>
      </c>
      <c r="Z93" s="160">
        <f>Z78*$C$16+Z84*$C$16+Z90</f>
        <v/>
      </c>
      <c r="AA93" s="160">
        <f>AA78*$C$16+AA84*$C$16+AA90</f>
        <v/>
      </c>
      <c r="AB93" s="160">
        <f>AB78*$C$16+AB84*$C$16+AB90</f>
        <v/>
      </c>
      <c r="AC93" s="160">
        <f>AC78*$C$16+AC84*$C$16+AC90</f>
        <v/>
      </c>
      <c r="AD93" s="160">
        <f>AD78*$C$16+AD84*$C$16+AD90</f>
        <v/>
      </c>
      <c r="AE93" s="160">
        <f>AE78*$C$16+AE84*$C$16+AE90</f>
        <v/>
      </c>
      <c r="AF93" s="160">
        <f>AF78*$C$16+AF84*$C$16+AF90</f>
        <v/>
      </c>
      <c r="AG93" s="160">
        <f>AG78*$C$16+AG84*$C$16+AG90</f>
        <v/>
      </c>
      <c r="AH93" s="160">
        <f>AH78*$C$16+AH84*$C$16+AH90</f>
        <v/>
      </c>
      <c r="AI93" s="160">
        <f>AI78*$C$16+AI84*$C$16+AI90</f>
        <v/>
      </c>
      <c r="AJ93" s="160">
        <f>AJ78*$C$16+AJ84*$C$16+AJ90</f>
        <v/>
      </c>
      <c r="AK93" s="160">
        <f>AK78*$C$16+AK84*$C$16+AK90</f>
        <v/>
      </c>
      <c r="AL93" s="160">
        <f>AL78*$C$16+AL84*$C$16+AL90</f>
        <v/>
      </c>
      <c r="AM93" s="160">
        <f>AM78*$C$16+AM84*$C$16+AM90</f>
        <v/>
      </c>
      <c r="AN93" s="160">
        <f>AN78*$C$16+AN84*$C$16+AN90</f>
        <v/>
      </c>
      <c r="AO93" s="160">
        <f>AO78*$C$16+AO84*$C$16+AO90</f>
        <v/>
      </c>
      <c r="AP93" s="160">
        <f>AP78*$C$16+AP84*$C$16+AP90</f>
        <v/>
      </c>
      <c r="AQ93" s="160">
        <f>AQ78*$C$16+AQ84*$C$16+AQ90</f>
        <v/>
      </c>
      <c r="AR93" s="160">
        <f>AR78*$C$16+AR84*$C$16+AR90</f>
        <v/>
      </c>
      <c r="AS93" s="160">
        <f>AS78*$C$16+AS84*$C$16+AS90</f>
        <v/>
      </c>
      <c r="AT93" s="160">
        <f>AT78*$C$16+AT84*$C$16+AT90</f>
        <v/>
      </c>
      <c r="AU93" s="160">
        <f>AU78*$C$16+AU84*$C$16+AU90</f>
        <v/>
      </c>
      <c r="AV93" s="160">
        <f>AV78*$C$16+AV84*$C$16+AV90</f>
        <v/>
      </c>
      <c r="AW93" s="160">
        <f>AW78*$C$16+AW84*$C$16+AW90</f>
        <v/>
      </c>
      <c r="AX93" s="160">
        <f>AX78*$C$16+AX84*$C$16+AX90</f>
        <v/>
      </c>
      <c r="AY93" s="160">
        <f>AY78*$C$16+AY84*$C$16+AY90</f>
        <v/>
      </c>
      <c r="AZ93" s="160">
        <f>AZ78*$C$16+AZ84*$C$16+AZ90</f>
        <v/>
      </c>
      <c r="BA93" s="160">
        <f>BA78*$C$16+BA84*$C$16+BA90</f>
        <v/>
      </c>
      <c r="BB93" s="160">
        <f>BB78*$C$16+BB84*$C$16+BB90</f>
        <v/>
      </c>
    </row>
    <row r="94" ht="15" customHeight="1" s="91">
      <c r="B94" s="110" t="inlineStr">
        <is>
          <t>Total Distribution to GP  إجمالي توزيعات المطور</t>
        </is>
      </c>
      <c r="C94" s="153" t="inlineStr">
        <is>
          <t>SAR</t>
        </is>
      </c>
      <c r="D94" s="157">
        <f>SUM(E94:BB94)</f>
        <v/>
      </c>
      <c r="E94" s="160">
        <f>E78*$C$15+E84*$C$15+E88+E91</f>
        <v/>
      </c>
      <c r="F94" s="160">
        <f>F78*$C$15+F84*$C$15+F88+F91</f>
        <v/>
      </c>
      <c r="G94" s="160">
        <f>G78*$C$15+G84*$C$15+G88+G91</f>
        <v/>
      </c>
      <c r="H94" s="160">
        <f>H78*$C$15+H84*$C$15+H88+H91</f>
        <v/>
      </c>
      <c r="I94" s="160">
        <f>I78*$C$15+I84*$C$15+I88+I91</f>
        <v/>
      </c>
      <c r="J94" s="160">
        <f>J78*$C$15+J84*$C$15+J88+J91</f>
        <v/>
      </c>
      <c r="K94" s="160">
        <f>K78*$C$15+K84*$C$15+K88+K91</f>
        <v/>
      </c>
      <c r="L94" s="160">
        <f>L78*$C$15+L84*$C$15+L88+L91</f>
        <v/>
      </c>
      <c r="M94" s="160">
        <f>M78*$C$15+M84*$C$15+M88+M91</f>
        <v/>
      </c>
      <c r="N94" s="160">
        <f>N78*$C$15+N84*$C$15+N88+N91</f>
        <v/>
      </c>
      <c r="O94" s="160">
        <f>O78*$C$15+O84*$C$15+O88+O91</f>
        <v/>
      </c>
      <c r="P94" s="160">
        <f>P78*$C$15+P84*$C$15+P88+P91</f>
        <v/>
      </c>
      <c r="Q94" s="160">
        <f>Q78*$C$15+Q84*$C$15+Q88+Q91</f>
        <v/>
      </c>
      <c r="R94" s="160">
        <f>R78*$C$15+R84*$C$15+R88+R91</f>
        <v/>
      </c>
      <c r="S94" s="160">
        <f>S78*$C$15+S84*$C$15+S88+S91</f>
        <v/>
      </c>
      <c r="T94" s="160">
        <f>T78*$C$15+T84*$C$15+T88+T91</f>
        <v/>
      </c>
      <c r="U94" s="160">
        <f>U78*$C$15+U84*$C$15+U88+U91</f>
        <v/>
      </c>
      <c r="V94" s="160">
        <f>V78*$C$15+V84*$C$15+V88+V91</f>
        <v/>
      </c>
      <c r="W94" s="160">
        <f>W78*$C$15+W84*$C$15+W88+W91</f>
        <v/>
      </c>
      <c r="X94" s="160">
        <f>X78*$C$15+X84*$C$15+X88+X91</f>
        <v/>
      </c>
      <c r="Y94" s="160">
        <f>Y78*$C$15+Y84*$C$15+Y88+Y91</f>
        <v/>
      </c>
      <c r="Z94" s="160">
        <f>Z78*$C$15+Z84*$C$15+Z88+Z91</f>
        <v/>
      </c>
      <c r="AA94" s="160">
        <f>AA78*$C$15+AA84*$C$15+AA88+AA91</f>
        <v/>
      </c>
      <c r="AB94" s="160">
        <f>AB78*$C$15+AB84*$C$15+AB88+AB91</f>
        <v/>
      </c>
      <c r="AC94" s="160">
        <f>AC78*$C$15+AC84*$C$15+AC88+AC91</f>
        <v/>
      </c>
      <c r="AD94" s="160">
        <f>AD78*$C$15+AD84*$C$15+AD88+AD91</f>
        <v/>
      </c>
      <c r="AE94" s="160">
        <f>AE78*$C$15+AE84*$C$15+AE88+AE91</f>
        <v/>
      </c>
      <c r="AF94" s="160">
        <f>AF78*$C$15+AF84*$C$15+AF88+AF91</f>
        <v/>
      </c>
      <c r="AG94" s="160">
        <f>AG78*$C$15+AG84*$C$15+AG88+AG91</f>
        <v/>
      </c>
      <c r="AH94" s="160">
        <f>AH78*$C$15+AH84*$C$15+AH88+AH91</f>
        <v/>
      </c>
      <c r="AI94" s="160">
        <f>AI78*$C$15+AI84*$C$15+AI88+AI91</f>
        <v/>
      </c>
      <c r="AJ94" s="160">
        <f>AJ78*$C$15+AJ84*$C$15+AJ88+AJ91</f>
        <v/>
      </c>
      <c r="AK94" s="160">
        <f>AK78*$C$15+AK84*$C$15+AK88+AK91</f>
        <v/>
      </c>
      <c r="AL94" s="160">
        <f>AL78*$C$15+AL84*$C$15+AL88+AL91</f>
        <v/>
      </c>
      <c r="AM94" s="160">
        <f>AM78*$C$15+AM84*$C$15+AM88+AM91</f>
        <v/>
      </c>
      <c r="AN94" s="160">
        <f>AN78*$C$15+AN84*$C$15+AN88+AN91</f>
        <v/>
      </c>
      <c r="AO94" s="160">
        <f>AO78*$C$15+AO84*$C$15+AO88+AO91</f>
        <v/>
      </c>
      <c r="AP94" s="160">
        <f>AP78*$C$15+AP84*$C$15+AP88+AP91</f>
        <v/>
      </c>
      <c r="AQ94" s="160">
        <f>AQ78*$C$15+AQ84*$C$15+AQ88+AQ91</f>
        <v/>
      </c>
      <c r="AR94" s="160">
        <f>AR78*$C$15+AR84*$C$15+AR88+AR91</f>
        <v/>
      </c>
      <c r="AS94" s="160">
        <f>AS78*$C$15+AS84*$C$15+AS88+AS91</f>
        <v/>
      </c>
      <c r="AT94" s="160">
        <f>AT78*$C$15+AT84*$C$15+AT88+AT91</f>
        <v/>
      </c>
      <c r="AU94" s="160">
        <f>AU78*$C$15+AU84*$C$15+AU88+AU91</f>
        <v/>
      </c>
      <c r="AV94" s="160">
        <f>AV78*$C$15+AV84*$C$15+AV88+AV91</f>
        <v/>
      </c>
      <c r="AW94" s="160">
        <f>AW78*$C$15+AW84*$C$15+AW88+AW91</f>
        <v/>
      </c>
      <c r="AX94" s="160">
        <f>AX78*$C$15+AX84*$C$15+AX88+AX91</f>
        <v/>
      </c>
      <c r="AY94" s="160">
        <f>AY78*$C$15+AY84*$C$15+AY88+AY91</f>
        <v/>
      </c>
      <c r="AZ94" s="160">
        <f>AZ78*$C$15+AZ84*$C$15+AZ88+AZ91</f>
        <v/>
      </c>
      <c r="BA94" s="160">
        <f>BA78*$C$15+BA84*$C$15+BA88+BA91</f>
        <v/>
      </c>
      <c r="BB94" s="160">
        <f>BB78*$C$15+BB84*$C$15+BB88+BB91</f>
        <v/>
      </c>
    </row>
    <row r="95" ht="15" customHeight="1" s="91">
      <c r="B95" s="110" t="inlineStr">
        <is>
          <t>Total Distributions  إجمالي التوزيعات</t>
        </is>
      </c>
      <c r="C95" s="153" t="inlineStr">
        <is>
          <t>SAR</t>
        </is>
      </c>
      <c r="D95" s="157">
        <f>SUM(E95:BB95)</f>
        <v/>
      </c>
      <c r="E95" s="157">
        <f>E93+E94</f>
        <v/>
      </c>
      <c r="F95" s="157">
        <f>F93+F94</f>
        <v/>
      </c>
      <c r="G95" s="157">
        <f>G93+G94</f>
        <v/>
      </c>
      <c r="H95" s="157">
        <f>H93+H94</f>
        <v/>
      </c>
      <c r="I95" s="157">
        <f>I93+I94</f>
        <v/>
      </c>
      <c r="J95" s="157">
        <f>J93+J94</f>
        <v/>
      </c>
      <c r="K95" s="157">
        <f>K93+K94</f>
        <v/>
      </c>
      <c r="L95" s="157">
        <f>L93+L94</f>
        <v/>
      </c>
      <c r="M95" s="157">
        <f>M93+M94</f>
        <v/>
      </c>
      <c r="N95" s="157">
        <f>N93+N94</f>
        <v/>
      </c>
      <c r="O95" s="157">
        <f>O93+O94</f>
        <v/>
      </c>
      <c r="P95" s="157">
        <f>P93+P94</f>
        <v/>
      </c>
      <c r="Q95" s="157">
        <f>Q93+Q94</f>
        <v/>
      </c>
      <c r="R95" s="157">
        <f>R93+R94</f>
        <v/>
      </c>
      <c r="S95" s="157">
        <f>S93+S94</f>
        <v/>
      </c>
      <c r="T95" s="157">
        <f>T93+T94</f>
        <v/>
      </c>
      <c r="U95" s="157">
        <f>U93+U94</f>
        <v/>
      </c>
      <c r="V95" s="157">
        <f>V93+V94</f>
        <v/>
      </c>
      <c r="W95" s="157">
        <f>W93+W94</f>
        <v/>
      </c>
      <c r="X95" s="157">
        <f>X93+X94</f>
        <v/>
      </c>
      <c r="Y95" s="157">
        <f>Y93+Y94</f>
        <v/>
      </c>
      <c r="Z95" s="157">
        <f>Z93+Z94</f>
        <v/>
      </c>
      <c r="AA95" s="157">
        <f>AA93+AA94</f>
        <v/>
      </c>
      <c r="AB95" s="157">
        <f>AB93+AB94</f>
        <v/>
      </c>
      <c r="AC95" s="157">
        <f>AC93+AC94</f>
        <v/>
      </c>
      <c r="AD95" s="157">
        <f>AD93+AD94</f>
        <v/>
      </c>
      <c r="AE95" s="157">
        <f>AE93+AE94</f>
        <v/>
      </c>
      <c r="AF95" s="157">
        <f>AF93+AF94</f>
        <v/>
      </c>
      <c r="AG95" s="157">
        <f>AG93+AG94</f>
        <v/>
      </c>
      <c r="AH95" s="157">
        <f>AH93+AH94</f>
        <v/>
      </c>
      <c r="AI95" s="157">
        <f>AI93+AI94</f>
        <v/>
      </c>
      <c r="AJ95" s="157">
        <f>AJ93+AJ94</f>
        <v/>
      </c>
      <c r="AK95" s="157">
        <f>AK93+AK94</f>
        <v/>
      </c>
      <c r="AL95" s="157">
        <f>AL93+AL94</f>
        <v/>
      </c>
      <c r="AM95" s="157">
        <f>AM93+AM94</f>
        <v/>
      </c>
      <c r="AN95" s="157">
        <f>AN93+AN94</f>
        <v/>
      </c>
      <c r="AO95" s="157">
        <f>AO93+AO94</f>
        <v/>
      </c>
      <c r="AP95" s="157">
        <f>AP93+AP94</f>
        <v/>
      </c>
      <c r="AQ95" s="157">
        <f>AQ93+AQ94</f>
        <v/>
      </c>
      <c r="AR95" s="157">
        <f>AR93+AR94</f>
        <v/>
      </c>
      <c r="AS95" s="157">
        <f>AS93+AS94</f>
        <v/>
      </c>
      <c r="AT95" s="157">
        <f>AT93+AT94</f>
        <v/>
      </c>
      <c r="AU95" s="157">
        <f>AU93+AU94</f>
        <v/>
      </c>
      <c r="AV95" s="157">
        <f>AV93+AV94</f>
        <v/>
      </c>
      <c r="AW95" s="157">
        <f>AW93+AW94</f>
        <v/>
      </c>
      <c r="AX95" s="157">
        <f>AX93+AX94</f>
        <v/>
      </c>
      <c r="AY95" s="157">
        <f>AY93+AY94</f>
        <v/>
      </c>
      <c r="AZ95" s="157">
        <f>AZ93+AZ94</f>
        <v/>
      </c>
      <c r="BA95" s="157">
        <f>BA93+BA94</f>
        <v/>
      </c>
      <c r="BB95" s="157">
        <f>BB93+BB94</f>
        <v/>
      </c>
    </row>
    <row r="97" ht="15" customHeight="1" s="91">
      <c r="A97" s="152" t="inlineStr">
        <is>
          <t>10  INVESTOR RETURNS  عوائد المستثمرين</t>
        </is>
      </c>
      <c r="B97" s="152" t="n"/>
      <c r="C97" s="152" t="n"/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  <c r="S97" s="152" t="n"/>
      <c r="T97" s="152" t="n"/>
      <c r="U97" s="152" t="n"/>
      <c r="V97" s="152" t="n"/>
      <c r="W97" s="152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  <c r="AF97" s="152" t="n"/>
      <c r="AG97" s="152" t="n"/>
      <c r="AH97" s="152" t="n"/>
      <c r="AI97" s="152" t="n"/>
      <c r="AJ97" s="152" t="n"/>
      <c r="AK97" s="152" t="n"/>
      <c r="AL97" s="152" t="n"/>
      <c r="AM97" s="152" t="n"/>
      <c r="AN97" s="152" t="n"/>
      <c r="AO97" s="152" t="n"/>
      <c r="AP97" s="152" t="n"/>
      <c r="AQ97" s="152" t="n"/>
      <c r="AR97" s="152" t="n"/>
      <c r="AS97" s="152" t="n"/>
      <c r="AT97" s="152" t="n"/>
      <c r="AU97" s="152" t="n"/>
      <c r="AV97" s="152" t="n"/>
      <c r="AW97" s="152" t="n"/>
      <c r="AX97" s="152" t="n"/>
      <c r="AY97" s="152" t="n"/>
      <c r="AZ97" s="152" t="n"/>
      <c r="BA97" s="152" t="n"/>
      <c r="BB97" s="152" t="n"/>
    </row>
    <row r="98" ht="15" customHeight="1" s="91">
      <c r="C98" s="165" t="inlineStr">
        <is>
          <t>Unit</t>
        </is>
      </c>
      <c r="D98" s="165" t="inlineStr">
        <is>
          <t>Total</t>
        </is>
      </c>
      <c r="E98" s="166">
        <f>E$46</f>
        <v/>
      </c>
      <c r="F98" s="166">
        <f>F$46</f>
        <v/>
      </c>
      <c r="G98" s="166">
        <f>G$46</f>
        <v/>
      </c>
      <c r="H98" s="166">
        <f>H$46</f>
        <v/>
      </c>
      <c r="I98" s="166">
        <f>I$46</f>
        <v/>
      </c>
      <c r="J98" s="166">
        <f>J$46</f>
        <v/>
      </c>
      <c r="K98" s="166">
        <f>K$46</f>
        <v/>
      </c>
      <c r="L98" s="166">
        <f>L$46</f>
        <v/>
      </c>
      <c r="M98" s="166">
        <f>M$46</f>
        <v/>
      </c>
      <c r="N98" s="166">
        <f>N$46</f>
        <v/>
      </c>
      <c r="O98" s="166">
        <f>O$46</f>
        <v/>
      </c>
      <c r="P98" s="166">
        <f>P$46</f>
        <v/>
      </c>
      <c r="Q98" s="166">
        <f>Q$46</f>
        <v/>
      </c>
      <c r="R98" s="166">
        <f>R$46</f>
        <v/>
      </c>
      <c r="S98" s="166">
        <f>S$46</f>
        <v/>
      </c>
      <c r="T98" s="166">
        <f>T$46</f>
        <v/>
      </c>
      <c r="U98" s="166">
        <f>U$46</f>
        <v/>
      </c>
      <c r="V98" s="166">
        <f>V$46</f>
        <v/>
      </c>
      <c r="W98" s="166">
        <f>W$46</f>
        <v/>
      </c>
      <c r="X98" s="166">
        <f>X$46</f>
        <v/>
      </c>
      <c r="Y98" s="166">
        <f>Y$46</f>
        <v/>
      </c>
      <c r="Z98" s="166">
        <f>Z$46</f>
        <v/>
      </c>
      <c r="AA98" s="166">
        <f>AA$46</f>
        <v/>
      </c>
      <c r="AB98" s="166">
        <f>AB$46</f>
        <v/>
      </c>
      <c r="AC98" s="166">
        <f>AC$46</f>
        <v/>
      </c>
      <c r="AD98" s="166">
        <f>AD$46</f>
        <v/>
      </c>
      <c r="AE98" s="166">
        <f>AE$46</f>
        <v/>
      </c>
      <c r="AF98" s="166">
        <f>AF$46</f>
        <v/>
      </c>
      <c r="AG98" s="166">
        <f>AG$46</f>
        <v/>
      </c>
      <c r="AH98" s="166">
        <f>AH$46</f>
        <v/>
      </c>
      <c r="AI98" s="166">
        <f>AI$46</f>
        <v/>
      </c>
      <c r="AJ98" s="166">
        <f>AJ$46</f>
        <v/>
      </c>
      <c r="AK98" s="166">
        <f>AK$46</f>
        <v/>
      </c>
      <c r="AL98" s="166">
        <f>AL$46</f>
        <v/>
      </c>
      <c r="AM98" s="166">
        <f>AM$46</f>
        <v/>
      </c>
      <c r="AN98" s="166">
        <f>AN$46</f>
        <v/>
      </c>
      <c r="AO98" s="166">
        <f>AO$46</f>
        <v/>
      </c>
      <c r="AP98" s="166">
        <f>AP$46</f>
        <v/>
      </c>
      <c r="AQ98" s="166">
        <f>AQ$46</f>
        <v/>
      </c>
      <c r="AR98" s="166">
        <f>AR$46</f>
        <v/>
      </c>
      <c r="AS98" s="166">
        <f>AS$46</f>
        <v/>
      </c>
      <c r="AT98" s="166">
        <f>AT$46</f>
        <v/>
      </c>
      <c r="AU98" s="166">
        <f>AU$46</f>
        <v/>
      </c>
      <c r="AV98" s="166">
        <f>AV$46</f>
        <v/>
      </c>
      <c r="AW98" s="166">
        <f>AW$46</f>
        <v/>
      </c>
      <c r="AX98" s="166">
        <f>AX$46</f>
        <v/>
      </c>
      <c r="AY98" s="166">
        <f>AY$46</f>
        <v/>
      </c>
      <c r="AZ98" s="166">
        <f>AZ$46</f>
        <v/>
      </c>
      <c r="BA98" s="166">
        <f>BA$46</f>
        <v/>
      </c>
      <c r="BB98" s="166">
        <f>BB$46</f>
        <v/>
      </c>
    </row>
    <row r="99" ht="15" customHeight="1" s="91">
      <c r="B99" s="153" t="inlineStr">
        <is>
          <t>LP Net Cash Flow</t>
        </is>
      </c>
      <c r="C99" s="153" t="inlineStr">
        <is>
          <t>SAR</t>
        </is>
      </c>
      <c r="D99" s="157">
        <f>SUM(E99:BB99)</f>
        <v/>
      </c>
      <c r="E99" s="160">
        <f>-E56*$C$16+E93</f>
        <v/>
      </c>
      <c r="F99" s="160">
        <f>-F56*$C$16+F93</f>
        <v/>
      </c>
      <c r="G99" s="160">
        <f>-G56*$C$16+G93</f>
        <v/>
      </c>
      <c r="H99" s="160">
        <f>-H56*$C$16+H93</f>
        <v/>
      </c>
      <c r="I99" s="160">
        <f>-I56*$C$16+I93</f>
        <v/>
      </c>
      <c r="J99" s="160">
        <f>-J56*$C$16+J93</f>
        <v/>
      </c>
      <c r="K99" s="160">
        <f>-K56*$C$16+K93</f>
        <v/>
      </c>
      <c r="L99" s="160">
        <f>-L56*$C$16+L93</f>
        <v/>
      </c>
      <c r="M99" s="160">
        <f>-M56*$C$16+M93</f>
        <v/>
      </c>
      <c r="N99" s="160">
        <f>-N56*$C$16+N93</f>
        <v/>
      </c>
      <c r="O99" s="160">
        <f>-O56*$C$16+O93</f>
        <v/>
      </c>
      <c r="P99" s="160">
        <f>-P56*$C$16+P93</f>
        <v/>
      </c>
      <c r="Q99" s="160">
        <f>-Q56*$C$16+Q93</f>
        <v/>
      </c>
      <c r="R99" s="160">
        <f>-R56*$C$16+R93</f>
        <v/>
      </c>
      <c r="S99" s="160">
        <f>-S56*$C$16+S93</f>
        <v/>
      </c>
      <c r="T99" s="160">
        <f>-T56*$C$16+T93</f>
        <v/>
      </c>
      <c r="U99" s="160">
        <f>-U56*$C$16+U93</f>
        <v/>
      </c>
      <c r="V99" s="160">
        <f>-V56*$C$16+V93</f>
        <v/>
      </c>
      <c r="W99" s="160">
        <f>-W56*$C$16+W93</f>
        <v/>
      </c>
      <c r="X99" s="160">
        <f>-X56*$C$16+X93</f>
        <v/>
      </c>
      <c r="Y99" s="160">
        <f>-Y56*$C$16+Y93</f>
        <v/>
      </c>
      <c r="Z99" s="160">
        <f>-Z56*$C$16+Z93</f>
        <v/>
      </c>
      <c r="AA99" s="160">
        <f>-AA56*$C$16+AA93</f>
        <v/>
      </c>
      <c r="AB99" s="160">
        <f>-AB56*$C$16+AB93</f>
        <v/>
      </c>
      <c r="AC99" s="160">
        <f>-AC56*$C$16+AC93</f>
        <v/>
      </c>
      <c r="AD99" s="160">
        <f>-AD56*$C$16+AD93</f>
        <v/>
      </c>
      <c r="AE99" s="160">
        <f>-AE56*$C$16+AE93</f>
        <v/>
      </c>
      <c r="AF99" s="160">
        <f>-AF56*$C$16+AF93</f>
        <v/>
      </c>
      <c r="AG99" s="160">
        <f>-AG56*$C$16+AG93</f>
        <v/>
      </c>
      <c r="AH99" s="160">
        <f>-AH56*$C$16+AH93</f>
        <v/>
      </c>
      <c r="AI99" s="160">
        <f>-AI56*$C$16+AI93</f>
        <v/>
      </c>
      <c r="AJ99" s="160">
        <f>-AJ56*$C$16+AJ93</f>
        <v/>
      </c>
      <c r="AK99" s="160">
        <f>-AK56*$C$16+AK93</f>
        <v/>
      </c>
      <c r="AL99" s="160">
        <f>-AL56*$C$16+AL93</f>
        <v/>
      </c>
      <c r="AM99" s="160">
        <f>-AM56*$C$16+AM93</f>
        <v/>
      </c>
      <c r="AN99" s="160">
        <f>-AN56*$C$16+AN93</f>
        <v/>
      </c>
      <c r="AO99" s="160">
        <f>-AO56*$C$16+AO93</f>
        <v/>
      </c>
      <c r="AP99" s="160">
        <f>-AP56*$C$16+AP93</f>
        <v/>
      </c>
      <c r="AQ99" s="160">
        <f>-AQ56*$C$16+AQ93</f>
        <v/>
      </c>
      <c r="AR99" s="160">
        <f>-AR56*$C$16+AR93</f>
        <v/>
      </c>
      <c r="AS99" s="160">
        <f>-AS56*$C$16+AS93</f>
        <v/>
      </c>
      <c r="AT99" s="160">
        <f>-AT56*$C$16+AT93</f>
        <v/>
      </c>
      <c r="AU99" s="160">
        <f>-AU56*$C$16+AU93</f>
        <v/>
      </c>
      <c r="AV99" s="160">
        <f>-AV56*$C$16+AV93</f>
        <v/>
      </c>
      <c r="AW99" s="160">
        <f>-AW56*$C$16+AW93</f>
        <v/>
      </c>
      <c r="AX99" s="160">
        <f>-AX56*$C$16+AX93</f>
        <v/>
      </c>
      <c r="AY99" s="160">
        <f>-AY56*$C$16+AY93</f>
        <v/>
      </c>
      <c r="AZ99" s="160">
        <f>-AZ56*$C$16+AZ93</f>
        <v/>
      </c>
      <c r="BA99" s="160">
        <f>-BA56*$C$16+BA93</f>
        <v/>
      </c>
      <c r="BB99" s="160">
        <f>-BB56*$C$16+BB93</f>
        <v/>
      </c>
    </row>
    <row r="100" ht="15" customHeight="1" s="91">
      <c r="B100" s="153" t="inlineStr">
        <is>
          <t>LP Cumulative Cash Flow</t>
        </is>
      </c>
      <c r="C100" s="153" t="inlineStr">
        <is>
          <t>SAR</t>
        </is>
      </c>
      <c r="E100" s="160">
        <f>E99</f>
        <v/>
      </c>
      <c r="F100" s="160">
        <f>E100+F99</f>
        <v/>
      </c>
      <c r="G100" s="160">
        <f>F100+G99</f>
        <v/>
      </c>
      <c r="H100" s="160">
        <f>G100+H99</f>
        <v/>
      </c>
      <c r="I100" s="160">
        <f>H100+I99</f>
        <v/>
      </c>
      <c r="J100" s="160">
        <f>I100+J99</f>
        <v/>
      </c>
      <c r="K100" s="160">
        <f>J100+K99</f>
        <v/>
      </c>
      <c r="L100" s="160">
        <f>K100+L99</f>
        <v/>
      </c>
      <c r="M100" s="160">
        <f>L100+M99</f>
        <v/>
      </c>
      <c r="N100" s="160">
        <f>M100+N99</f>
        <v/>
      </c>
      <c r="O100" s="160">
        <f>N100+O99</f>
        <v/>
      </c>
      <c r="P100" s="160">
        <f>O100+P99</f>
        <v/>
      </c>
      <c r="Q100" s="160">
        <f>P100+Q99</f>
        <v/>
      </c>
      <c r="R100" s="160">
        <f>Q100+R99</f>
        <v/>
      </c>
      <c r="S100" s="160">
        <f>R100+S99</f>
        <v/>
      </c>
      <c r="T100" s="160">
        <f>S100+T99</f>
        <v/>
      </c>
      <c r="U100" s="160">
        <f>T100+U99</f>
        <v/>
      </c>
      <c r="V100" s="160">
        <f>U100+V99</f>
        <v/>
      </c>
      <c r="W100" s="160">
        <f>V100+W99</f>
        <v/>
      </c>
      <c r="X100" s="160">
        <f>W100+X99</f>
        <v/>
      </c>
      <c r="Y100" s="160">
        <f>X100+Y99</f>
        <v/>
      </c>
      <c r="Z100" s="160">
        <f>Y100+Z99</f>
        <v/>
      </c>
      <c r="AA100" s="160">
        <f>Z100+AA99</f>
        <v/>
      </c>
      <c r="AB100" s="160">
        <f>AA100+AB99</f>
        <v/>
      </c>
      <c r="AC100" s="160">
        <f>AB100+AC99</f>
        <v/>
      </c>
      <c r="AD100" s="160">
        <f>AC100+AD99</f>
        <v/>
      </c>
      <c r="AE100" s="160">
        <f>AD100+AE99</f>
        <v/>
      </c>
      <c r="AF100" s="160">
        <f>AE100+AF99</f>
        <v/>
      </c>
      <c r="AG100" s="160">
        <f>AF100+AG99</f>
        <v/>
      </c>
      <c r="AH100" s="160">
        <f>AG100+AH99</f>
        <v/>
      </c>
      <c r="AI100" s="160">
        <f>AH100+AI99</f>
        <v/>
      </c>
      <c r="AJ100" s="160">
        <f>AI100+AJ99</f>
        <v/>
      </c>
      <c r="AK100" s="160">
        <f>AJ100+AK99</f>
        <v/>
      </c>
      <c r="AL100" s="160">
        <f>AK100+AL99</f>
        <v/>
      </c>
      <c r="AM100" s="160">
        <f>AL100+AM99</f>
        <v/>
      </c>
      <c r="AN100" s="160">
        <f>AM100+AN99</f>
        <v/>
      </c>
      <c r="AO100" s="160">
        <f>AN100+AO99</f>
        <v/>
      </c>
      <c r="AP100" s="160">
        <f>AO100+AP99</f>
        <v/>
      </c>
      <c r="AQ100" s="160">
        <f>AP100+AQ99</f>
        <v/>
      </c>
      <c r="AR100" s="160">
        <f>AQ100+AR99</f>
        <v/>
      </c>
      <c r="AS100" s="160">
        <f>AR100+AS99</f>
        <v/>
      </c>
      <c r="AT100" s="160">
        <f>AS100+AT99</f>
        <v/>
      </c>
      <c r="AU100" s="160">
        <f>AT100+AU99</f>
        <v/>
      </c>
      <c r="AV100" s="160">
        <f>AU100+AV99</f>
        <v/>
      </c>
      <c r="AW100" s="160">
        <f>AV100+AW99</f>
        <v/>
      </c>
      <c r="AX100" s="160">
        <f>AW100+AX99</f>
        <v/>
      </c>
      <c r="AY100" s="160">
        <f>AX100+AY99</f>
        <v/>
      </c>
      <c r="AZ100" s="160">
        <f>AY100+AZ99</f>
        <v/>
      </c>
      <c r="BA100" s="160">
        <f>AZ100+BA99</f>
        <v/>
      </c>
      <c r="BB100" s="160">
        <f>BA100+BB99</f>
        <v/>
      </c>
    </row>
    <row r="101" ht="15" customHeight="1" s="91">
      <c r="B101" s="110" t="inlineStr">
        <is>
          <t>LP Net IRR</t>
        </is>
      </c>
      <c r="C101" s="153" t="inlineStr">
        <is>
          <t>%</t>
        </is>
      </c>
      <c r="E101" s="161">
        <f>IFERROR(IRR(E99:BB99),"-")</f>
        <v/>
      </c>
    </row>
    <row r="103" ht="15" customHeight="1" s="91">
      <c r="B103" s="153" t="inlineStr">
        <is>
          <t>GP Net Cash Flow</t>
        </is>
      </c>
      <c r="C103" s="153" t="inlineStr">
        <is>
          <t>SAR</t>
        </is>
      </c>
      <c r="D103" s="157">
        <f>SUM(E103:BB103)</f>
        <v/>
      </c>
      <c r="E103" s="160">
        <f>-E56*$C$15+E94</f>
        <v/>
      </c>
      <c r="F103" s="160">
        <f>-F56*$C$15+F94</f>
        <v/>
      </c>
      <c r="G103" s="160">
        <f>-G56*$C$15+G94</f>
        <v/>
      </c>
      <c r="H103" s="160">
        <f>-H56*$C$15+H94</f>
        <v/>
      </c>
      <c r="I103" s="160">
        <f>-I56*$C$15+I94</f>
        <v/>
      </c>
      <c r="J103" s="160">
        <f>-J56*$C$15+J94</f>
        <v/>
      </c>
      <c r="K103" s="160">
        <f>-K56*$C$15+K94</f>
        <v/>
      </c>
      <c r="L103" s="160">
        <f>-L56*$C$15+L94</f>
        <v/>
      </c>
      <c r="M103" s="160">
        <f>-M56*$C$15+M94</f>
        <v/>
      </c>
      <c r="N103" s="160">
        <f>-N56*$C$15+N94</f>
        <v/>
      </c>
      <c r="O103" s="160">
        <f>-O56*$C$15+O94</f>
        <v/>
      </c>
      <c r="P103" s="160">
        <f>-P56*$C$15+P94</f>
        <v/>
      </c>
      <c r="Q103" s="160">
        <f>-Q56*$C$15+Q94</f>
        <v/>
      </c>
      <c r="R103" s="160">
        <f>-R56*$C$15+R94</f>
        <v/>
      </c>
      <c r="S103" s="160">
        <f>-S56*$C$15+S94</f>
        <v/>
      </c>
      <c r="T103" s="160">
        <f>-T56*$C$15+T94</f>
        <v/>
      </c>
      <c r="U103" s="160">
        <f>-U56*$C$15+U94</f>
        <v/>
      </c>
      <c r="V103" s="160">
        <f>-V56*$C$15+V94</f>
        <v/>
      </c>
      <c r="W103" s="160">
        <f>-W56*$C$15+W94</f>
        <v/>
      </c>
      <c r="X103" s="160">
        <f>-X56*$C$15+X94</f>
        <v/>
      </c>
      <c r="Y103" s="160">
        <f>-Y56*$C$15+Y94</f>
        <v/>
      </c>
      <c r="Z103" s="160">
        <f>-Z56*$C$15+Z94</f>
        <v/>
      </c>
      <c r="AA103" s="160">
        <f>-AA56*$C$15+AA94</f>
        <v/>
      </c>
      <c r="AB103" s="160">
        <f>-AB56*$C$15+AB94</f>
        <v/>
      </c>
      <c r="AC103" s="160">
        <f>-AC56*$C$15+AC94</f>
        <v/>
      </c>
      <c r="AD103" s="160">
        <f>-AD56*$C$15+AD94</f>
        <v/>
      </c>
      <c r="AE103" s="160">
        <f>-AE56*$C$15+AE94</f>
        <v/>
      </c>
      <c r="AF103" s="160">
        <f>-AF56*$C$15+AF94</f>
        <v/>
      </c>
      <c r="AG103" s="160">
        <f>-AG56*$C$15+AG94</f>
        <v/>
      </c>
      <c r="AH103" s="160">
        <f>-AH56*$C$15+AH94</f>
        <v/>
      </c>
      <c r="AI103" s="160">
        <f>-AI56*$C$15+AI94</f>
        <v/>
      </c>
      <c r="AJ103" s="160">
        <f>-AJ56*$C$15+AJ94</f>
        <v/>
      </c>
      <c r="AK103" s="160">
        <f>-AK56*$C$15+AK94</f>
        <v/>
      </c>
      <c r="AL103" s="160">
        <f>-AL56*$C$15+AL94</f>
        <v/>
      </c>
      <c r="AM103" s="160">
        <f>-AM56*$C$15+AM94</f>
        <v/>
      </c>
      <c r="AN103" s="160">
        <f>-AN56*$C$15+AN94</f>
        <v/>
      </c>
      <c r="AO103" s="160">
        <f>-AO56*$C$15+AO94</f>
        <v/>
      </c>
      <c r="AP103" s="160">
        <f>-AP56*$C$15+AP94</f>
        <v/>
      </c>
      <c r="AQ103" s="160">
        <f>-AQ56*$C$15+AQ94</f>
        <v/>
      </c>
      <c r="AR103" s="160">
        <f>-AR56*$C$15+AR94</f>
        <v/>
      </c>
      <c r="AS103" s="160">
        <f>-AS56*$C$15+AS94</f>
        <v/>
      </c>
      <c r="AT103" s="160">
        <f>-AT56*$C$15+AT94</f>
        <v/>
      </c>
      <c r="AU103" s="160">
        <f>-AU56*$C$15+AU94</f>
        <v/>
      </c>
      <c r="AV103" s="160">
        <f>-AV56*$C$15+AV94</f>
        <v/>
      </c>
      <c r="AW103" s="160">
        <f>-AW56*$C$15+AW94</f>
        <v/>
      </c>
      <c r="AX103" s="160">
        <f>-AX56*$C$15+AX94</f>
        <v/>
      </c>
      <c r="AY103" s="160">
        <f>-AY56*$C$15+AY94</f>
        <v/>
      </c>
      <c r="AZ103" s="160">
        <f>-AZ56*$C$15+AZ94</f>
        <v/>
      </c>
      <c r="BA103" s="160">
        <f>-BA56*$C$15+BA94</f>
        <v/>
      </c>
      <c r="BB103" s="160">
        <f>-BB56*$C$15+BB94</f>
        <v/>
      </c>
    </row>
    <row r="104" ht="15" customHeight="1" s="91">
      <c r="B104" s="110" t="inlineStr">
        <is>
          <t>GP Net IRR</t>
        </is>
      </c>
      <c r="C104" s="153" t="inlineStr">
        <is>
          <t>%</t>
        </is>
      </c>
      <c r="E104" s="161">
        <f>IFERROR(IRR(E103:BB103),"-")</f>
        <v/>
      </c>
    </row>
    <row r="106" ht="15" customHeight="1" s="91">
      <c r="A106" s="152" t="inlineStr">
        <is>
          <t>KPI SUMMARY  ملخص الأداء</t>
        </is>
      </c>
      <c r="B106" s="152" t="n"/>
      <c r="C106" s="152" t="n"/>
      <c r="D106" s="152" t="n"/>
      <c r="E106" s="152" t="n"/>
      <c r="F106" s="152" t="n"/>
      <c r="G106" s="152" t="n"/>
      <c r="H106" s="152" t="n"/>
      <c r="I106" s="152" t="n"/>
      <c r="J106" s="152" t="n"/>
      <c r="K106" s="152" t="n"/>
      <c r="L106" s="152" t="n"/>
      <c r="M106" s="152" t="n"/>
      <c r="N106" s="152" t="n"/>
      <c r="O106" s="152" t="n"/>
      <c r="P106" s="152" t="n"/>
      <c r="Q106" s="152" t="n"/>
      <c r="R106" s="152" t="n"/>
      <c r="S106" s="152" t="n"/>
      <c r="T106" s="152" t="n"/>
      <c r="U106" s="152" t="n"/>
      <c r="V106" s="152" t="n"/>
      <c r="W106" s="152" t="n"/>
      <c r="X106" s="152" t="n"/>
      <c r="Y106" s="152" t="n"/>
      <c r="Z106" s="152" t="n"/>
      <c r="AA106" s="152" t="n"/>
      <c r="AB106" s="152" t="n"/>
      <c r="AC106" s="152" t="n"/>
      <c r="AD106" s="152" t="n"/>
      <c r="AE106" s="152" t="n"/>
      <c r="AF106" s="152" t="n"/>
      <c r="AG106" s="152" t="n"/>
      <c r="AH106" s="152" t="n"/>
      <c r="AI106" s="152" t="n"/>
      <c r="AJ106" s="152" t="n"/>
      <c r="AK106" s="152" t="n"/>
      <c r="AL106" s="152" t="n"/>
      <c r="AM106" s="152" t="n"/>
      <c r="AN106" s="152" t="n"/>
      <c r="AO106" s="152" t="n"/>
      <c r="AP106" s="152" t="n"/>
      <c r="AQ106" s="152" t="n"/>
      <c r="AR106" s="152" t="n"/>
      <c r="AS106" s="152" t="n"/>
      <c r="AT106" s="152" t="n"/>
      <c r="AU106" s="152" t="n"/>
      <c r="AV106" s="152" t="n"/>
      <c r="AW106" s="152" t="n"/>
      <c r="AX106" s="152" t="n"/>
      <c r="AY106" s="152" t="n"/>
      <c r="AZ106" s="152" t="n"/>
      <c r="BA106" s="152" t="n"/>
      <c r="BB106" s="152" t="n"/>
    </row>
    <row r="107" ht="15" customHeight="1" s="91">
      <c r="B107" s="153" t="inlineStr">
        <is>
          <t>Project IRR (Unlevered)</t>
        </is>
      </c>
      <c r="C107" s="167">
        <f>IFERROR(IRR(E52:BB52),"-")</f>
        <v/>
      </c>
    </row>
    <row r="108" ht="15" customHeight="1" s="91">
      <c r="B108" s="153" t="inlineStr">
        <is>
          <t>LP Net IRR</t>
        </is>
      </c>
      <c r="C108" s="167">
        <f>E101</f>
        <v/>
      </c>
    </row>
    <row r="109" ht="15" customHeight="1" s="91">
      <c r="B109" s="153" t="inlineStr">
        <is>
          <t>GP Net IRR</t>
        </is>
      </c>
      <c r="C109" s="167">
        <f>E104</f>
        <v/>
      </c>
    </row>
    <row r="110" ht="15" customHeight="1" s="91">
      <c r="B110" s="153" t="inlineStr">
        <is>
          <t>LP MOIC</t>
        </is>
      </c>
      <c r="C110" s="168">
        <f>IFERROR(D93/(D56*$C$16),"-")</f>
        <v/>
      </c>
    </row>
    <row r="111" ht="15" customHeight="1" s="91">
      <c r="B111" s="153" t="inlineStr">
        <is>
          <t>GP MOIC</t>
        </is>
      </c>
      <c r="C111" s="168">
        <f>IFERROR(D94/(D56*$C$15),"-")</f>
        <v/>
      </c>
    </row>
    <row r="113" ht="15" customHeight="1" s="91">
      <c r="B113" s="153" t="inlineStr">
        <is>
          <t>Total Equity</t>
        </is>
      </c>
      <c r="C113" s="157">
        <f>$C$14</f>
        <v/>
      </c>
    </row>
    <row r="114" ht="15" customHeight="1" s="91">
      <c r="B114" s="153" t="inlineStr">
        <is>
          <t>Total Debt Drawn</t>
        </is>
      </c>
      <c r="C114" s="157">
        <f>D57</f>
        <v/>
      </c>
    </row>
    <row r="115" ht="15" customHeight="1" s="91">
      <c r="B115" s="153" t="inlineStr">
        <is>
          <t>Total Fees</t>
        </is>
      </c>
      <c r="C115" s="157">
        <f>D69</f>
        <v/>
      </c>
    </row>
    <row r="116" ht="15" customHeight="1" s="91">
      <c r="B116" s="153" t="inlineStr">
        <is>
          <t>Exit Proceeds</t>
        </is>
      </c>
      <c r="C116" s="157">
        <f>D51</f>
        <v/>
      </c>
    </row>
    <row r="118" ht="15" customHeight="1" s="91">
      <c r="A118" s="152" t="inlineStr">
        <is>
          <t>MODEL CHECKS  فحوصات النموذج</t>
        </is>
      </c>
      <c r="B118" s="152" t="n"/>
      <c r="C118" s="152" t="n"/>
      <c r="D118" s="152" t="n"/>
      <c r="E118" s="152" t="n"/>
      <c r="F118" s="152" t="n"/>
      <c r="G118" s="152" t="n"/>
      <c r="H118" s="152" t="n"/>
      <c r="I118" s="152" t="n"/>
      <c r="J118" s="152" t="n"/>
      <c r="K118" s="152" t="n"/>
      <c r="L118" s="152" t="n"/>
      <c r="M118" s="152" t="n"/>
      <c r="N118" s="152" t="n"/>
      <c r="O118" s="152" t="n"/>
      <c r="P118" s="152" t="n"/>
      <c r="Q118" s="152" t="n"/>
      <c r="R118" s="152" t="n"/>
      <c r="S118" s="152" t="n"/>
      <c r="T118" s="152" t="n"/>
      <c r="U118" s="152" t="n"/>
      <c r="V118" s="152" t="n"/>
      <c r="W118" s="152" t="n"/>
      <c r="X118" s="152" t="n"/>
      <c r="Y118" s="152" t="n"/>
      <c r="Z118" s="152" t="n"/>
      <c r="AA118" s="152" t="n"/>
      <c r="AB118" s="152" t="n"/>
      <c r="AC118" s="152" t="n"/>
      <c r="AD118" s="152" t="n"/>
      <c r="AE118" s="152" t="n"/>
      <c r="AF118" s="152" t="n"/>
      <c r="AG118" s="152" t="n"/>
      <c r="AH118" s="152" t="n"/>
      <c r="AI118" s="152" t="n"/>
      <c r="AJ118" s="152" t="n"/>
      <c r="AK118" s="152" t="n"/>
      <c r="AL118" s="152" t="n"/>
      <c r="AM118" s="152" t="n"/>
      <c r="AN118" s="152" t="n"/>
      <c r="AO118" s="152" t="n"/>
      <c r="AP118" s="152" t="n"/>
      <c r="AQ118" s="152" t="n"/>
      <c r="AR118" s="152" t="n"/>
      <c r="AS118" s="152" t="n"/>
      <c r="AT118" s="152" t="n"/>
      <c r="AU118" s="152" t="n"/>
      <c r="AV118" s="152" t="n"/>
      <c r="AW118" s="152" t="n"/>
      <c r="AX118" s="152" t="n"/>
      <c r="AY118" s="152" t="n"/>
      <c r="AZ118" s="152" t="n"/>
      <c r="BA118" s="152" t="n"/>
      <c r="BB118" s="152" t="n"/>
    </row>
    <row r="119" ht="15" customHeight="1" s="91">
      <c r="B119" s="153" t="inlineStr">
        <is>
          <t>Net CF = Inc+Land+CAPEX</t>
        </is>
      </c>
      <c r="C119" s="153">
        <f>IF(ABS(D50-(D47+D48+D49))&lt;1,"✓","✗")</f>
        <v/>
      </c>
    </row>
    <row r="120" ht="15" customHeight="1" s="91">
      <c r="B120" s="153" t="inlineStr">
        <is>
          <t>Equity Calls = Equity + Unfunded Fees</t>
        </is>
      </c>
      <c r="C120" s="153">
        <f>IF(ABS(D56-($C$14+D70))&lt;MAX(1,$C$14*0.05),"✓","✗")</f>
        <v/>
      </c>
    </row>
    <row r="121" ht="15" customHeight="1" s="91">
      <c r="B121" s="153" t="inlineStr">
        <is>
          <t>Distributions ≤ Cash Available</t>
        </is>
      </c>
      <c r="C121" s="153">
        <f>IF(D95&lt;=D75+1,"✓","✗")</f>
        <v/>
      </c>
    </row>
    <row r="122" ht="15" customHeight="1" s="91">
      <c r="B122" s="153" t="inlineStr">
        <is>
          <t>Debt Balance ≥ 0</t>
        </is>
      </c>
      <c r="C122" s="153">
        <f>IF(MIN(E60:BB60)&gt;=0,"✓","✗")</f>
        <v/>
      </c>
    </row>
    <row r="123" ht="15" customHeight="1" s="91">
      <c r="B123" s="153" t="inlineStr">
        <is>
          <t>LP+GP = Total Dist</t>
        </is>
      </c>
      <c r="C123" s="153">
        <f>IF(ABS(D95-(D93+D94))&lt;1,"✓","✗")</f>
        <v/>
      </c>
    </row>
    <row r="124" ht="15" customHeight="1" s="91">
      <c r="B124" s="153" t="inlineStr">
        <is>
          <t>Debt fully repaid by tenor end</t>
        </is>
      </c>
      <c r="C124" s="153">
        <f>IF(IFERROR(VLOOKUP($C$9+$C$24,E46:BB60,MATCH($C$9+$C$24,E46:BB46,0),FALSE()),0)&lt;=1,"✓","✗")</f>
        <v/>
      </c>
    </row>
    <row r="125" ht="15" customHeight="1" s="91">
      <c r="A125" s="152" t="inlineStr">
        <is>
          <t>NPV ANALYSIS  تحليل صافي القيمة الحالية</t>
        </is>
      </c>
      <c r="B125" s="152" t="n"/>
      <c r="C125" s="152" t="n"/>
      <c r="D125" s="152" t="n"/>
      <c r="E125" s="152" t="n"/>
      <c r="F125" s="152" t="n"/>
      <c r="G125" s="152" t="n"/>
      <c r="H125" s="152" t="n"/>
      <c r="I125" s="152" t="n"/>
      <c r="J125" s="152" t="n"/>
      <c r="K125" s="152" t="n"/>
      <c r="L125" s="152" t="n"/>
      <c r="M125" s="152" t="n"/>
      <c r="N125" s="152" t="n"/>
      <c r="O125" s="152" t="n"/>
      <c r="P125" s="152" t="n"/>
      <c r="Q125" s="152" t="n"/>
      <c r="R125" s="152" t="n"/>
      <c r="S125" s="152" t="n"/>
      <c r="T125" s="152" t="n"/>
      <c r="U125" s="152" t="n"/>
      <c r="V125" s="152" t="n"/>
      <c r="W125" s="152" t="n"/>
      <c r="X125" s="152" t="n"/>
      <c r="Y125" s="152" t="n"/>
      <c r="Z125" s="152" t="n"/>
      <c r="AA125" s="152" t="n"/>
      <c r="AB125" s="152" t="n"/>
      <c r="AC125" s="152" t="n"/>
      <c r="AD125" s="152" t="n"/>
      <c r="AE125" s="152" t="n"/>
      <c r="AF125" s="152" t="n"/>
      <c r="AG125" s="152" t="n"/>
      <c r="AH125" s="152" t="n"/>
      <c r="AI125" s="152" t="n"/>
      <c r="AJ125" s="152" t="n"/>
      <c r="AK125" s="152" t="n"/>
      <c r="AL125" s="152" t="n"/>
      <c r="AM125" s="152" t="n"/>
      <c r="AN125" s="152" t="n"/>
      <c r="AO125" s="152" t="n"/>
      <c r="AP125" s="152" t="n"/>
      <c r="AQ125" s="152" t="n"/>
      <c r="AR125" s="152" t="n"/>
      <c r="AS125" s="152" t="n"/>
      <c r="AT125" s="152" t="n"/>
      <c r="AU125" s="152" t="n"/>
      <c r="AV125" s="152" t="n"/>
      <c r="AW125" s="152" t="n"/>
      <c r="AX125" s="152" t="n"/>
      <c r="AY125" s="152" t="n"/>
      <c r="AZ125" s="152" t="n"/>
      <c r="BA125" s="152" t="n"/>
      <c r="BB125" s="152" t="n"/>
    </row>
    <row r="127" ht="15" customHeight="1" s="91">
      <c r="B127" s="153" t="inlineStr">
        <is>
          <t>Project (Unlevered)</t>
        </is>
      </c>
      <c r="C127" s="153" t="inlineStr">
        <is>
          <t>@ 10%</t>
        </is>
      </c>
      <c r="D127" s="160">
        <f>IFERROR(E52+NPV(0.1,F52:BB52),"-")</f>
        <v/>
      </c>
    </row>
    <row r="128" ht="15" customHeight="1" s="91">
      <c r="B128" s="169" t="inlineStr">
        <is>
          <t>═══ Debt Tranche Detail (perDraw mode) ═══</t>
        </is>
      </c>
      <c r="C128" s="153" t="inlineStr">
        <is>
          <t>@ 10%</t>
        </is>
      </c>
      <c r="D128" s="160">
        <f>IFERROR(E99+NPV(0.1,F99:BB99),"-")</f>
        <v/>
      </c>
    </row>
    <row r="129" ht="15" customHeight="1" s="91">
      <c r="B129" s="153" t="inlineStr">
        <is>
          <t>Tranche #</t>
        </is>
      </c>
      <c r="C129" s="153" t="inlineStr">
        <is>
          <t>Draw Amount</t>
        </is>
      </c>
      <c r="D129" s="160" t="inlineStr">
        <is>
          <t>Total Repaid</t>
        </is>
      </c>
      <c r="E129" s="90">
        <f>Inputs!$C$7+0</f>
        <v/>
      </c>
      <c r="F129" s="90">
        <f>Inputs!$C$7+1</f>
        <v/>
      </c>
      <c r="G129" s="90">
        <f>Inputs!$C$7+2</f>
        <v/>
      </c>
      <c r="H129" s="90">
        <f>Inputs!$C$7+3</f>
        <v/>
      </c>
      <c r="I129" s="90">
        <f>Inputs!$C$7+4</f>
        <v/>
      </c>
      <c r="J129" s="90">
        <f>Inputs!$C$7+5</f>
        <v/>
      </c>
      <c r="K129" s="90">
        <f>Inputs!$C$7+6</f>
        <v/>
      </c>
      <c r="L129" s="90">
        <f>Inputs!$C$7+7</f>
        <v/>
      </c>
      <c r="M129" s="90">
        <f>Inputs!$C$7+8</f>
        <v/>
      </c>
      <c r="N129" s="90">
        <f>Inputs!$C$7+9</f>
        <v/>
      </c>
      <c r="O129" s="90">
        <f>Inputs!$C$7+10</f>
        <v/>
      </c>
      <c r="P129" s="90">
        <f>Inputs!$C$7+11</f>
        <v/>
      </c>
      <c r="Q129" s="90">
        <f>Inputs!$C$7+12</f>
        <v/>
      </c>
      <c r="R129" s="90">
        <f>Inputs!$C$7+13</f>
        <v/>
      </c>
      <c r="S129" s="90">
        <f>Inputs!$C$7+14</f>
        <v/>
      </c>
      <c r="T129" s="90">
        <f>Inputs!$C$7+15</f>
        <v/>
      </c>
      <c r="U129" s="90">
        <f>Inputs!$C$7+16</f>
        <v/>
      </c>
      <c r="V129" s="90">
        <f>Inputs!$C$7+17</f>
        <v/>
      </c>
      <c r="W129" s="90">
        <f>Inputs!$C$7+18</f>
        <v/>
      </c>
      <c r="X129" s="90">
        <f>Inputs!$C$7+19</f>
        <v/>
      </c>
      <c r="Y129" s="90">
        <f>Inputs!$C$7+20</f>
        <v/>
      </c>
      <c r="Z129" s="90">
        <f>Inputs!$C$7+21</f>
        <v/>
      </c>
      <c r="AA129" s="90">
        <f>Inputs!$C$7+22</f>
        <v/>
      </c>
      <c r="AB129" s="90">
        <f>Inputs!$C$7+23</f>
        <v/>
      </c>
      <c r="AC129" s="90">
        <f>Inputs!$C$7+24</f>
        <v/>
      </c>
      <c r="AD129" s="90">
        <f>Inputs!$C$7+25</f>
        <v/>
      </c>
      <c r="AE129" s="90">
        <f>Inputs!$C$7+26</f>
        <v/>
      </c>
      <c r="AF129" s="90">
        <f>Inputs!$C$7+27</f>
        <v/>
      </c>
      <c r="AG129" s="90">
        <f>Inputs!$C$7+28</f>
        <v/>
      </c>
      <c r="AH129" s="90">
        <f>Inputs!$C$7+29</f>
        <v/>
      </c>
      <c r="AI129" s="90">
        <f>Inputs!$C$7+30</f>
        <v/>
      </c>
      <c r="AJ129" s="90">
        <f>Inputs!$C$7+31</f>
        <v/>
      </c>
      <c r="AK129" s="90">
        <f>Inputs!$C$7+32</f>
        <v/>
      </c>
      <c r="AL129" s="90">
        <f>Inputs!$C$7+33</f>
        <v/>
      </c>
      <c r="AM129" s="90">
        <f>Inputs!$C$7+34</f>
        <v/>
      </c>
      <c r="AN129" s="90">
        <f>Inputs!$C$7+35</f>
        <v/>
      </c>
      <c r="AO129" s="90">
        <f>Inputs!$C$7+36</f>
        <v/>
      </c>
      <c r="AP129" s="90">
        <f>Inputs!$C$7+37</f>
        <v/>
      </c>
      <c r="AQ129" s="90">
        <f>Inputs!$C$7+38</f>
        <v/>
      </c>
      <c r="AR129" s="90">
        <f>Inputs!$C$7+39</f>
        <v/>
      </c>
      <c r="AS129" s="90">
        <f>Inputs!$C$7+40</f>
        <v/>
      </c>
      <c r="AT129" s="90">
        <f>Inputs!$C$7+41</f>
        <v/>
      </c>
      <c r="AU129" s="90">
        <f>Inputs!$C$7+42</f>
        <v/>
      </c>
      <c r="AV129" s="90">
        <f>Inputs!$C$7+43</f>
        <v/>
      </c>
      <c r="AW129" s="90">
        <f>Inputs!$C$7+44</f>
        <v/>
      </c>
      <c r="AX129" s="90">
        <f>Inputs!$C$7+45</f>
        <v/>
      </c>
      <c r="AY129" s="90">
        <f>Inputs!$C$7+46</f>
        <v/>
      </c>
      <c r="AZ129" s="90">
        <f>Inputs!$C$7+47</f>
        <v/>
      </c>
      <c r="BA129" s="90">
        <f>Inputs!$C$7+48</f>
        <v/>
      </c>
      <c r="BB129" s="90">
        <f>Inputs!$C$7+49</f>
        <v/>
      </c>
    </row>
    <row r="130" ht="15" customHeight="1" s="91">
      <c r="B130" s="90" t="inlineStr">
        <is>
          <t>Tranche 1</t>
        </is>
      </c>
      <c r="C130" s="170">
        <f>IF(ABS($D$49)&gt;0,SUMPRODUCT(($E$46:$BB$46=$C$9+0)*IF($E49:$BB49&lt;0,ABS($E49:$BB49),0))*$C$19/ABS($D$49),0)</f>
        <v/>
      </c>
      <c r="D130" s="90">
        <f>SUM(E130:BB130)</f>
        <v/>
      </c>
      <c r="E130" s="90">
        <f>IF(AND($C130&gt;0,E$46&gt;=$C$9+0+$C$26,0&lt;$C130),MIN($C130/$C$27,$C130-0),0)</f>
        <v/>
      </c>
      <c r="F130" s="90">
        <f>IF(AND($C130&gt;0,F$46&gt;=$C$9+0+$C$26,SUM($E130:E130)&lt;$C130),MIN($C130/$C$27,$C130-SUM($E130:E130)),0)</f>
        <v/>
      </c>
      <c r="G130" s="90">
        <f>IF(AND($C130&gt;0,G$46&gt;=$C$9+0+$C$26,SUM($E130:F130)&lt;$C130),MIN($C130/$C$27,$C130-SUM($E130:F130)),0)</f>
        <v/>
      </c>
      <c r="H130" s="90">
        <f>IF(AND($C130&gt;0,H$46&gt;=$C$9+0+$C$26,SUM($E130:G130)&lt;$C130),MIN($C130/$C$27,$C130-SUM($E130:G130)),0)</f>
        <v/>
      </c>
      <c r="I130" s="90">
        <f>IF(AND($C130&gt;0,I$46&gt;=$C$9+0+$C$26,SUM($E130:H130)&lt;$C130),MIN($C130/$C$27,$C130-SUM($E130:H130)),0)</f>
        <v/>
      </c>
      <c r="J130" s="90">
        <f>IF(AND($C130&gt;0,J$46&gt;=$C$9+0+$C$26,SUM($E130:I130)&lt;$C130),MIN($C130/$C$27,$C130-SUM($E130:I130)),0)</f>
        <v/>
      </c>
      <c r="K130" s="90">
        <f>IF(AND($C130&gt;0,K$46&gt;=$C$9+0+$C$26,SUM($E130:J130)&lt;$C130),MIN($C130/$C$27,$C130-SUM($E130:J130)),0)</f>
        <v/>
      </c>
      <c r="L130" s="90">
        <f>IF(AND($C130&gt;0,L$46&gt;=$C$9+0+$C$26,SUM($E130:K130)&lt;$C130),MIN($C130/$C$27,$C130-SUM($E130:K130)),0)</f>
        <v/>
      </c>
      <c r="M130" s="90">
        <f>IF(AND($C130&gt;0,M$46&gt;=$C$9+0+$C$26,SUM($E130:L130)&lt;$C130),MIN($C130/$C$27,$C130-SUM($E130:L130)),0)</f>
        <v/>
      </c>
      <c r="N130" s="90">
        <f>IF(AND($C130&gt;0,N$46&gt;=$C$9+0+$C$26,SUM($E130:M130)&lt;$C130),MIN($C130/$C$27,$C130-SUM($E130:M130)),0)</f>
        <v/>
      </c>
      <c r="O130" s="90">
        <f>IF(AND($C130&gt;0,O$46&gt;=$C$9+0+$C$26,SUM($E130:N130)&lt;$C130),MIN($C130/$C$27,$C130-SUM($E130:N130)),0)</f>
        <v/>
      </c>
      <c r="P130" s="90">
        <f>IF(AND($C130&gt;0,P$46&gt;=$C$9+0+$C$26,SUM($E130:O130)&lt;$C130),MIN($C130/$C$27,$C130-SUM($E130:O130)),0)</f>
        <v/>
      </c>
      <c r="Q130" s="90">
        <f>IF(AND($C130&gt;0,Q$46&gt;=$C$9+0+$C$26,SUM($E130:P130)&lt;$C130),MIN($C130/$C$27,$C130-SUM($E130:P130)),0)</f>
        <v/>
      </c>
      <c r="R130" s="90">
        <f>IF(AND($C130&gt;0,R$46&gt;=$C$9+0+$C$26,SUM($E130:Q130)&lt;$C130),MIN($C130/$C$27,$C130-SUM($E130:Q130)),0)</f>
        <v/>
      </c>
      <c r="S130" s="90">
        <f>IF(AND($C130&gt;0,S$46&gt;=$C$9+0+$C$26,SUM($E130:R130)&lt;$C130),MIN($C130/$C$27,$C130-SUM($E130:R130)),0)</f>
        <v/>
      </c>
      <c r="T130" s="90">
        <f>IF(AND($C130&gt;0,T$46&gt;=$C$9+0+$C$26,SUM($E130:S130)&lt;$C130),MIN($C130/$C$27,$C130-SUM($E130:S130)),0)</f>
        <v/>
      </c>
      <c r="U130" s="90">
        <f>IF(AND($C130&gt;0,U$46&gt;=$C$9+0+$C$26,SUM($E130:T130)&lt;$C130),MIN($C130/$C$27,$C130-SUM($E130:T130)),0)</f>
        <v/>
      </c>
      <c r="V130" s="90">
        <f>IF(AND($C130&gt;0,V$46&gt;=$C$9+0+$C$26,SUM($E130:U130)&lt;$C130),MIN($C130/$C$27,$C130-SUM($E130:U130)),0)</f>
        <v/>
      </c>
      <c r="W130" s="90">
        <f>IF(AND($C130&gt;0,W$46&gt;=$C$9+0+$C$26,SUM($E130:V130)&lt;$C130),MIN($C130/$C$27,$C130-SUM($E130:V130)),0)</f>
        <v/>
      </c>
      <c r="X130" s="90">
        <f>IF(AND($C130&gt;0,X$46&gt;=$C$9+0+$C$26,SUM($E130:W130)&lt;$C130),MIN($C130/$C$27,$C130-SUM($E130:W130)),0)</f>
        <v/>
      </c>
      <c r="Y130" s="90">
        <f>IF(AND($C130&gt;0,Y$46&gt;=$C$9+0+$C$26,SUM($E130:X130)&lt;$C130),MIN($C130/$C$27,$C130-SUM($E130:X130)),0)</f>
        <v/>
      </c>
      <c r="Z130" s="90">
        <f>IF(AND($C130&gt;0,Z$46&gt;=$C$9+0+$C$26,SUM($E130:Y130)&lt;$C130),MIN($C130/$C$27,$C130-SUM($E130:Y130)),0)</f>
        <v/>
      </c>
      <c r="AA130" s="90">
        <f>IF(AND($C130&gt;0,AA$46&gt;=$C$9+0+$C$26,SUM($E130:Z130)&lt;$C130),MIN($C130/$C$27,$C130-SUM($E130:Z130)),0)</f>
        <v/>
      </c>
      <c r="AB130" s="90">
        <f>IF(AND($C130&gt;0,AB$46&gt;=$C$9+0+$C$26,SUM($E130:AA130)&lt;$C130),MIN($C130/$C$27,$C130-SUM($E130:AA130)),0)</f>
        <v/>
      </c>
      <c r="AC130" s="90">
        <f>IF(AND($C130&gt;0,AC$46&gt;=$C$9+0+$C$26,SUM($E130:AB130)&lt;$C130),MIN($C130/$C$27,$C130-SUM($E130:AB130)),0)</f>
        <v/>
      </c>
      <c r="AD130" s="90">
        <f>IF(AND($C130&gt;0,AD$46&gt;=$C$9+0+$C$26,SUM($E130:AC130)&lt;$C130),MIN($C130/$C$27,$C130-SUM($E130:AC130)),0)</f>
        <v/>
      </c>
      <c r="AE130" s="90">
        <f>IF(AND($C130&gt;0,AE$46&gt;=$C$9+0+$C$26,SUM($E130:AD130)&lt;$C130),MIN($C130/$C$27,$C130-SUM($E130:AD130)),0)</f>
        <v/>
      </c>
      <c r="AF130" s="90">
        <f>IF(AND($C130&gt;0,AF$46&gt;=$C$9+0+$C$26,SUM($E130:AE130)&lt;$C130),MIN($C130/$C$27,$C130-SUM($E130:AE130)),0)</f>
        <v/>
      </c>
      <c r="AG130" s="90">
        <f>IF(AND($C130&gt;0,AG$46&gt;=$C$9+0+$C$26,SUM($E130:AF130)&lt;$C130),MIN($C130/$C$27,$C130-SUM($E130:AF130)),0)</f>
        <v/>
      </c>
      <c r="AH130" s="90">
        <f>IF(AND($C130&gt;0,AH$46&gt;=$C$9+0+$C$26,SUM($E130:AG130)&lt;$C130),MIN($C130/$C$27,$C130-SUM($E130:AG130)),0)</f>
        <v/>
      </c>
      <c r="AI130" s="90">
        <f>IF(AND($C130&gt;0,AI$46&gt;=$C$9+0+$C$26,SUM($E130:AH130)&lt;$C130),MIN($C130/$C$27,$C130-SUM($E130:AH130)),0)</f>
        <v/>
      </c>
      <c r="AJ130" s="90">
        <f>IF(AND($C130&gt;0,AJ$46&gt;=$C$9+0+$C$26,SUM($E130:AI130)&lt;$C130),MIN($C130/$C$27,$C130-SUM($E130:AI130)),0)</f>
        <v/>
      </c>
      <c r="AK130" s="90">
        <f>IF(AND($C130&gt;0,AK$46&gt;=$C$9+0+$C$26,SUM($E130:AJ130)&lt;$C130),MIN($C130/$C$27,$C130-SUM($E130:AJ130)),0)</f>
        <v/>
      </c>
      <c r="AL130" s="90">
        <f>IF(AND($C130&gt;0,AL$46&gt;=$C$9+0+$C$26,SUM($E130:AK130)&lt;$C130),MIN($C130/$C$27,$C130-SUM($E130:AK130)),0)</f>
        <v/>
      </c>
      <c r="AM130" s="90">
        <f>IF(AND($C130&gt;0,AM$46&gt;=$C$9+0+$C$26,SUM($E130:AL130)&lt;$C130),MIN($C130/$C$27,$C130-SUM($E130:AL130)),0)</f>
        <v/>
      </c>
      <c r="AN130" s="90">
        <f>IF(AND($C130&gt;0,AN$46&gt;=$C$9+0+$C$26,SUM($E130:AM130)&lt;$C130),MIN($C130/$C$27,$C130-SUM($E130:AM130)),0)</f>
        <v/>
      </c>
      <c r="AO130" s="90">
        <f>IF(AND($C130&gt;0,AO$46&gt;=$C$9+0+$C$26,SUM($E130:AN130)&lt;$C130),MIN($C130/$C$27,$C130-SUM($E130:AN130)),0)</f>
        <v/>
      </c>
      <c r="AP130" s="90">
        <f>IF(AND($C130&gt;0,AP$46&gt;=$C$9+0+$C$26,SUM($E130:AO130)&lt;$C130),MIN($C130/$C$27,$C130-SUM($E130:AO130)),0)</f>
        <v/>
      </c>
      <c r="AQ130" s="90">
        <f>IF(AND($C130&gt;0,AQ$46&gt;=$C$9+0+$C$26,SUM($E130:AP130)&lt;$C130),MIN($C130/$C$27,$C130-SUM($E130:AP130)),0)</f>
        <v/>
      </c>
      <c r="AR130" s="90">
        <f>IF(AND($C130&gt;0,AR$46&gt;=$C$9+0+$C$26,SUM($E130:AQ130)&lt;$C130),MIN($C130/$C$27,$C130-SUM($E130:AQ130)),0)</f>
        <v/>
      </c>
      <c r="AS130" s="90">
        <f>IF(AND($C130&gt;0,AS$46&gt;=$C$9+0+$C$26,SUM($E130:AR130)&lt;$C130),MIN($C130/$C$27,$C130-SUM($E130:AR130)),0)</f>
        <v/>
      </c>
      <c r="AT130" s="90">
        <f>IF(AND($C130&gt;0,AT$46&gt;=$C$9+0+$C$26,SUM($E130:AS130)&lt;$C130),MIN($C130/$C$27,$C130-SUM($E130:AS130)),0)</f>
        <v/>
      </c>
      <c r="AU130" s="90">
        <f>IF(AND($C130&gt;0,AU$46&gt;=$C$9+0+$C$26,SUM($E130:AT130)&lt;$C130),MIN($C130/$C$27,$C130-SUM($E130:AT130)),0)</f>
        <v/>
      </c>
      <c r="AV130" s="90">
        <f>IF(AND($C130&gt;0,AV$46&gt;=$C$9+0+$C$26,SUM($E130:AU130)&lt;$C130),MIN($C130/$C$27,$C130-SUM($E130:AU130)),0)</f>
        <v/>
      </c>
      <c r="AW130" s="90">
        <f>IF(AND($C130&gt;0,AW$46&gt;=$C$9+0+$C$26,SUM($E130:AV130)&lt;$C130),MIN($C130/$C$27,$C130-SUM($E130:AV130)),0)</f>
        <v/>
      </c>
      <c r="AX130" s="90">
        <f>IF(AND($C130&gt;0,AX$46&gt;=$C$9+0+$C$26,SUM($E130:AW130)&lt;$C130),MIN($C130/$C$27,$C130-SUM($E130:AW130)),0)</f>
        <v/>
      </c>
      <c r="AY130" s="90">
        <f>IF(AND($C130&gt;0,AY$46&gt;=$C$9+0+$C$26,SUM($E130:AX130)&lt;$C130),MIN($C130/$C$27,$C130-SUM($E130:AX130)),0)</f>
        <v/>
      </c>
      <c r="AZ130" s="90">
        <f>IF(AND($C130&gt;0,AZ$46&gt;=$C$9+0+$C$26,SUM($E130:AY130)&lt;$C130),MIN($C130/$C$27,$C130-SUM($E130:AY130)),0)</f>
        <v/>
      </c>
      <c r="BA130" s="90">
        <f>IF(AND($C130&gt;0,BA$46&gt;=$C$9+0+$C$26,SUM($E130:AZ130)&lt;$C130),MIN($C130/$C$27,$C130-SUM($E130:AZ130)),0)</f>
        <v/>
      </c>
      <c r="BB130" s="90">
        <f>IF(AND($C130&gt;0,BB$46&gt;=$C$9+0+$C$26,SUM($E130:BA130)&lt;$C130),MIN($C130/$C$27,$C130-SUM($E130:BA130)),0)</f>
        <v/>
      </c>
    </row>
    <row r="131" ht="15" customHeight="1" s="91">
      <c r="B131" s="153" t="inlineStr">
        <is>
          <t>Tranche 2</t>
        </is>
      </c>
      <c r="C131" s="160">
        <f>IF(ABS($D$49)&gt;0,SUMPRODUCT(($E$46:$BB$46=$C$9+1)*IF($E49:$BB49&lt;0,ABS($E49:$BB49),0))*$C$19/ABS($D$49),0)</f>
        <v/>
      </c>
      <c r="D131" s="160">
        <f>SUM(E131:BB131)</f>
        <v/>
      </c>
      <c r="E131" s="90">
        <f>IF(AND($C131&gt;0,E$46&gt;=$C$9+1+$C$26,0&lt;$C131),MIN($C131/$C$27,$C131-0),0)</f>
        <v/>
      </c>
      <c r="F131" s="90">
        <f>IF(AND($C131&gt;0,F$46&gt;=$C$9+1+$C$26,SUM($E131:E131)&lt;$C131),MIN($C131/$C$27,$C131-SUM($E131:E131)),0)</f>
        <v/>
      </c>
      <c r="G131" s="90">
        <f>IF(AND($C131&gt;0,G$46&gt;=$C$9+1+$C$26,SUM($E131:F131)&lt;$C131),MIN($C131/$C$27,$C131-SUM($E131:F131)),0)</f>
        <v/>
      </c>
      <c r="H131" s="90">
        <f>IF(AND($C131&gt;0,H$46&gt;=$C$9+1+$C$26,SUM($E131:G131)&lt;$C131),MIN($C131/$C$27,$C131-SUM($E131:G131)),0)</f>
        <v/>
      </c>
      <c r="I131" s="90">
        <f>IF(AND($C131&gt;0,I$46&gt;=$C$9+1+$C$26,SUM($E131:H131)&lt;$C131),MIN($C131/$C$27,$C131-SUM($E131:H131)),0)</f>
        <v/>
      </c>
      <c r="J131" s="90">
        <f>IF(AND($C131&gt;0,J$46&gt;=$C$9+1+$C$26,SUM($E131:I131)&lt;$C131),MIN($C131/$C$27,$C131-SUM($E131:I131)),0)</f>
        <v/>
      </c>
      <c r="K131" s="90">
        <f>IF(AND($C131&gt;0,K$46&gt;=$C$9+1+$C$26,SUM($E131:J131)&lt;$C131),MIN($C131/$C$27,$C131-SUM($E131:J131)),0)</f>
        <v/>
      </c>
      <c r="L131" s="90">
        <f>IF(AND($C131&gt;0,L$46&gt;=$C$9+1+$C$26,SUM($E131:K131)&lt;$C131),MIN($C131/$C$27,$C131-SUM($E131:K131)),0)</f>
        <v/>
      </c>
      <c r="M131" s="90">
        <f>IF(AND($C131&gt;0,M$46&gt;=$C$9+1+$C$26,SUM($E131:L131)&lt;$C131),MIN($C131/$C$27,$C131-SUM($E131:L131)),0)</f>
        <v/>
      </c>
      <c r="N131" s="90">
        <f>IF(AND($C131&gt;0,N$46&gt;=$C$9+1+$C$26,SUM($E131:M131)&lt;$C131),MIN($C131/$C$27,$C131-SUM($E131:M131)),0)</f>
        <v/>
      </c>
      <c r="O131" s="90">
        <f>IF(AND($C131&gt;0,O$46&gt;=$C$9+1+$C$26,SUM($E131:N131)&lt;$C131),MIN($C131/$C$27,$C131-SUM($E131:N131)),0)</f>
        <v/>
      </c>
      <c r="P131" s="90">
        <f>IF(AND($C131&gt;0,P$46&gt;=$C$9+1+$C$26,SUM($E131:O131)&lt;$C131),MIN($C131/$C$27,$C131-SUM($E131:O131)),0)</f>
        <v/>
      </c>
      <c r="Q131" s="90">
        <f>IF(AND($C131&gt;0,Q$46&gt;=$C$9+1+$C$26,SUM($E131:P131)&lt;$C131),MIN($C131/$C$27,$C131-SUM($E131:P131)),0)</f>
        <v/>
      </c>
      <c r="R131" s="90">
        <f>IF(AND($C131&gt;0,R$46&gt;=$C$9+1+$C$26,SUM($E131:Q131)&lt;$C131),MIN($C131/$C$27,$C131-SUM($E131:Q131)),0)</f>
        <v/>
      </c>
      <c r="S131" s="90">
        <f>IF(AND($C131&gt;0,S$46&gt;=$C$9+1+$C$26,SUM($E131:R131)&lt;$C131),MIN($C131/$C$27,$C131-SUM($E131:R131)),0)</f>
        <v/>
      </c>
      <c r="T131" s="90">
        <f>IF(AND($C131&gt;0,T$46&gt;=$C$9+1+$C$26,SUM($E131:S131)&lt;$C131),MIN($C131/$C$27,$C131-SUM($E131:S131)),0)</f>
        <v/>
      </c>
      <c r="U131" s="90">
        <f>IF(AND($C131&gt;0,U$46&gt;=$C$9+1+$C$26,SUM($E131:T131)&lt;$C131),MIN($C131/$C$27,$C131-SUM($E131:T131)),0)</f>
        <v/>
      </c>
      <c r="V131" s="90">
        <f>IF(AND($C131&gt;0,V$46&gt;=$C$9+1+$C$26,SUM($E131:U131)&lt;$C131),MIN($C131/$C$27,$C131-SUM($E131:U131)),0)</f>
        <v/>
      </c>
      <c r="W131" s="90">
        <f>IF(AND($C131&gt;0,W$46&gt;=$C$9+1+$C$26,SUM($E131:V131)&lt;$C131),MIN($C131/$C$27,$C131-SUM($E131:V131)),0)</f>
        <v/>
      </c>
      <c r="X131" s="90">
        <f>IF(AND($C131&gt;0,X$46&gt;=$C$9+1+$C$26,SUM($E131:W131)&lt;$C131),MIN($C131/$C$27,$C131-SUM($E131:W131)),0)</f>
        <v/>
      </c>
      <c r="Y131" s="90">
        <f>IF(AND($C131&gt;0,Y$46&gt;=$C$9+1+$C$26,SUM($E131:X131)&lt;$C131),MIN($C131/$C$27,$C131-SUM($E131:X131)),0)</f>
        <v/>
      </c>
      <c r="Z131" s="90">
        <f>IF(AND($C131&gt;0,Z$46&gt;=$C$9+1+$C$26,SUM($E131:Y131)&lt;$C131),MIN($C131/$C$27,$C131-SUM($E131:Y131)),0)</f>
        <v/>
      </c>
      <c r="AA131" s="90">
        <f>IF(AND($C131&gt;0,AA$46&gt;=$C$9+1+$C$26,SUM($E131:Z131)&lt;$C131),MIN($C131/$C$27,$C131-SUM($E131:Z131)),0)</f>
        <v/>
      </c>
      <c r="AB131" s="90">
        <f>IF(AND($C131&gt;0,AB$46&gt;=$C$9+1+$C$26,SUM($E131:AA131)&lt;$C131),MIN($C131/$C$27,$C131-SUM($E131:AA131)),0)</f>
        <v/>
      </c>
      <c r="AC131" s="90">
        <f>IF(AND($C131&gt;0,AC$46&gt;=$C$9+1+$C$26,SUM($E131:AB131)&lt;$C131),MIN($C131/$C$27,$C131-SUM($E131:AB131)),0)</f>
        <v/>
      </c>
      <c r="AD131" s="90">
        <f>IF(AND($C131&gt;0,AD$46&gt;=$C$9+1+$C$26,SUM($E131:AC131)&lt;$C131),MIN($C131/$C$27,$C131-SUM($E131:AC131)),0)</f>
        <v/>
      </c>
      <c r="AE131" s="90">
        <f>IF(AND($C131&gt;0,AE$46&gt;=$C$9+1+$C$26,SUM($E131:AD131)&lt;$C131),MIN($C131/$C$27,$C131-SUM($E131:AD131)),0)</f>
        <v/>
      </c>
      <c r="AF131" s="90">
        <f>IF(AND($C131&gt;0,AF$46&gt;=$C$9+1+$C$26,SUM($E131:AE131)&lt;$C131),MIN($C131/$C$27,$C131-SUM($E131:AE131)),0)</f>
        <v/>
      </c>
      <c r="AG131" s="90">
        <f>IF(AND($C131&gt;0,AG$46&gt;=$C$9+1+$C$26,SUM($E131:AF131)&lt;$C131),MIN($C131/$C$27,$C131-SUM($E131:AF131)),0)</f>
        <v/>
      </c>
      <c r="AH131" s="90">
        <f>IF(AND($C131&gt;0,AH$46&gt;=$C$9+1+$C$26,SUM($E131:AG131)&lt;$C131),MIN($C131/$C$27,$C131-SUM($E131:AG131)),0)</f>
        <v/>
      </c>
      <c r="AI131" s="90">
        <f>IF(AND($C131&gt;0,AI$46&gt;=$C$9+1+$C$26,SUM($E131:AH131)&lt;$C131),MIN($C131/$C$27,$C131-SUM($E131:AH131)),0)</f>
        <v/>
      </c>
      <c r="AJ131" s="90">
        <f>IF(AND($C131&gt;0,AJ$46&gt;=$C$9+1+$C$26,SUM($E131:AI131)&lt;$C131),MIN($C131/$C$27,$C131-SUM($E131:AI131)),0)</f>
        <v/>
      </c>
      <c r="AK131" s="90">
        <f>IF(AND($C131&gt;0,AK$46&gt;=$C$9+1+$C$26,SUM($E131:AJ131)&lt;$C131),MIN($C131/$C$27,$C131-SUM($E131:AJ131)),0)</f>
        <v/>
      </c>
      <c r="AL131" s="90">
        <f>IF(AND($C131&gt;0,AL$46&gt;=$C$9+1+$C$26,SUM($E131:AK131)&lt;$C131),MIN($C131/$C$27,$C131-SUM($E131:AK131)),0)</f>
        <v/>
      </c>
      <c r="AM131" s="90">
        <f>IF(AND($C131&gt;0,AM$46&gt;=$C$9+1+$C$26,SUM($E131:AL131)&lt;$C131),MIN($C131/$C$27,$C131-SUM($E131:AL131)),0)</f>
        <v/>
      </c>
      <c r="AN131" s="90">
        <f>IF(AND($C131&gt;0,AN$46&gt;=$C$9+1+$C$26,SUM($E131:AM131)&lt;$C131),MIN($C131/$C$27,$C131-SUM($E131:AM131)),0)</f>
        <v/>
      </c>
      <c r="AO131" s="90">
        <f>IF(AND($C131&gt;0,AO$46&gt;=$C$9+1+$C$26,SUM($E131:AN131)&lt;$C131),MIN($C131/$C$27,$C131-SUM($E131:AN131)),0)</f>
        <v/>
      </c>
      <c r="AP131" s="90">
        <f>IF(AND($C131&gt;0,AP$46&gt;=$C$9+1+$C$26,SUM($E131:AO131)&lt;$C131),MIN($C131/$C$27,$C131-SUM($E131:AO131)),0)</f>
        <v/>
      </c>
      <c r="AQ131" s="90">
        <f>IF(AND($C131&gt;0,AQ$46&gt;=$C$9+1+$C$26,SUM($E131:AP131)&lt;$C131),MIN($C131/$C$27,$C131-SUM($E131:AP131)),0)</f>
        <v/>
      </c>
      <c r="AR131" s="90">
        <f>IF(AND($C131&gt;0,AR$46&gt;=$C$9+1+$C$26,SUM($E131:AQ131)&lt;$C131),MIN($C131/$C$27,$C131-SUM($E131:AQ131)),0)</f>
        <v/>
      </c>
      <c r="AS131" s="90">
        <f>IF(AND($C131&gt;0,AS$46&gt;=$C$9+1+$C$26,SUM($E131:AR131)&lt;$C131),MIN($C131/$C$27,$C131-SUM($E131:AR131)),0)</f>
        <v/>
      </c>
      <c r="AT131" s="90">
        <f>IF(AND($C131&gt;0,AT$46&gt;=$C$9+1+$C$26,SUM($E131:AS131)&lt;$C131),MIN($C131/$C$27,$C131-SUM($E131:AS131)),0)</f>
        <v/>
      </c>
      <c r="AU131" s="90">
        <f>IF(AND($C131&gt;0,AU$46&gt;=$C$9+1+$C$26,SUM($E131:AT131)&lt;$C131),MIN($C131/$C$27,$C131-SUM($E131:AT131)),0)</f>
        <v/>
      </c>
      <c r="AV131" s="90">
        <f>IF(AND($C131&gt;0,AV$46&gt;=$C$9+1+$C$26,SUM($E131:AU131)&lt;$C131),MIN($C131/$C$27,$C131-SUM($E131:AU131)),0)</f>
        <v/>
      </c>
      <c r="AW131" s="90">
        <f>IF(AND($C131&gt;0,AW$46&gt;=$C$9+1+$C$26,SUM($E131:AV131)&lt;$C131),MIN($C131/$C$27,$C131-SUM($E131:AV131)),0)</f>
        <v/>
      </c>
      <c r="AX131" s="90">
        <f>IF(AND($C131&gt;0,AX$46&gt;=$C$9+1+$C$26,SUM($E131:AW131)&lt;$C131),MIN($C131/$C$27,$C131-SUM($E131:AW131)),0)</f>
        <v/>
      </c>
      <c r="AY131" s="90">
        <f>IF(AND($C131&gt;0,AY$46&gt;=$C$9+1+$C$26,SUM($E131:AX131)&lt;$C131),MIN($C131/$C$27,$C131-SUM($E131:AX131)),0)</f>
        <v/>
      </c>
      <c r="AZ131" s="90">
        <f>IF(AND($C131&gt;0,AZ$46&gt;=$C$9+1+$C$26,SUM($E131:AY131)&lt;$C131),MIN($C131/$C$27,$C131-SUM($E131:AY131)),0)</f>
        <v/>
      </c>
      <c r="BA131" s="90">
        <f>IF(AND($C131&gt;0,BA$46&gt;=$C$9+1+$C$26,SUM($E131:AZ131)&lt;$C131),MIN($C131/$C$27,$C131-SUM($E131:AZ131)),0)</f>
        <v/>
      </c>
      <c r="BB131" s="90">
        <f>IF(AND($C131&gt;0,BB$46&gt;=$C$9+1+$C$26,SUM($E131:BA131)&lt;$C131),MIN($C131/$C$27,$C131-SUM($E131:BA131)),0)</f>
        <v/>
      </c>
    </row>
    <row r="132" ht="15" customHeight="1" s="91">
      <c r="B132" s="153" t="inlineStr">
        <is>
          <t>Tranche 3</t>
        </is>
      </c>
      <c r="C132" s="160">
        <f>IF(ABS($D$49)&gt;0,SUMPRODUCT(($E$46:$BB$46=$C$9+2)*IF($E49:$BB49&lt;0,ABS($E49:$BB49),0))*$C$19/ABS($D$49),0)</f>
        <v/>
      </c>
      <c r="D132" s="160">
        <f>SUM(E132:BB132)</f>
        <v/>
      </c>
      <c r="E132" s="90">
        <f>IF(AND($C132&gt;0,E$46&gt;=$C$9+2+$C$26,0&lt;$C132),MIN($C132/$C$27,$C132-0),0)</f>
        <v/>
      </c>
      <c r="F132" s="90">
        <f>IF(AND($C132&gt;0,F$46&gt;=$C$9+2+$C$26,SUM($E132:E132)&lt;$C132),MIN($C132/$C$27,$C132-SUM($E132:E132)),0)</f>
        <v/>
      </c>
      <c r="G132" s="90">
        <f>IF(AND($C132&gt;0,G$46&gt;=$C$9+2+$C$26,SUM($E132:F132)&lt;$C132),MIN($C132/$C$27,$C132-SUM($E132:F132)),0)</f>
        <v/>
      </c>
      <c r="H132" s="90">
        <f>IF(AND($C132&gt;0,H$46&gt;=$C$9+2+$C$26,SUM($E132:G132)&lt;$C132),MIN($C132/$C$27,$C132-SUM($E132:G132)),0)</f>
        <v/>
      </c>
      <c r="I132" s="90">
        <f>IF(AND($C132&gt;0,I$46&gt;=$C$9+2+$C$26,SUM($E132:H132)&lt;$C132),MIN($C132/$C$27,$C132-SUM($E132:H132)),0)</f>
        <v/>
      </c>
      <c r="J132" s="90">
        <f>IF(AND($C132&gt;0,J$46&gt;=$C$9+2+$C$26,SUM($E132:I132)&lt;$C132),MIN($C132/$C$27,$C132-SUM($E132:I132)),0)</f>
        <v/>
      </c>
      <c r="K132" s="90">
        <f>IF(AND($C132&gt;0,K$46&gt;=$C$9+2+$C$26,SUM($E132:J132)&lt;$C132),MIN($C132/$C$27,$C132-SUM($E132:J132)),0)</f>
        <v/>
      </c>
      <c r="L132" s="90">
        <f>IF(AND($C132&gt;0,L$46&gt;=$C$9+2+$C$26,SUM($E132:K132)&lt;$C132),MIN($C132/$C$27,$C132-SUM($E132:K132)),0)</f>
        <v/>
      </c>
      <c r="M132" s="90">
        <f>IF(AND($C132&gt;0,M$46&gt;=$C$9+2+$C$26,SUM($E132:L132)&lt;$C132),MIN($C132/$C$27,$C132-SUM($E132:L132)),0)</f>
        <v/>
      </c>
      <c r="N132" s="90">
        <f>IF(AND($C132&gt;0,N$46&gt;=$C$9+2+$C$26,SUM($E132:M132)&lt;$C132),MIN($C132/$C$27,$C132-SUM($E132:M132)),0)</f>
        <v/>
      </c>
      <c r="O132" s="90">
        <f>IF(AND($C132&gt;0,O$46&gt;=$C$9+2+$C$26,SUM($E132:N132)&lt;$C132),MIN($C132/$C$27,$C132-SUM($E132:N132)),0)</f>
        <v/>
      </c>
      <c r="P132" s="90">
        <f>IF(AND($C132&gt;0,P$46&gt;=$C$9+2+$C$26,SUM($E132:O132)&lt;$C132),MIN($C132/$C$27,$C132-SUM($E132:O132)),0)</f>
        <v/>
      </c>
      <c r="Q132" s="90">
        <f>IF(AND($C132&gt;0,Q$46&gt;=$C$9+2+$C$26,SUM($E132:P132)&lt;$C132),MIN($C132/$C$27,$C132-SUM($E132:P132)),0)</f>
        <v/>
      </c>
      <c r="R132" s="90">
        <f>IF(AND($C132&gt;0,R$46&gt;=$C$9+2+$C$26,SUM($E132:Q132)&lt;$C132),MIN($C132/$C$27,$C132-SUM($E132:Q132)),0)</f>
        <v/>
      </c>
      <c r="S132" s="90">
        <f>IF(AND($C132&gt;0,S$46&gt;=$C$9+2+$C$26,SUM($E132:R132)&lt;$C132),MIN($C132/$C$27,$C132-SUM($E132:R132)),0)</f>
        <v/>
      </c>
      <c r="T132" s="90">
        <f>IF(AND($C132&gt;0,T$46&gt;=$C$9+2+$C$26,SUM($E132:S132)&lt;$C132),MIN($C132/$C$27,$C132-SUM($E132:S132)),0)</f>
        <v/>
      </c>
      <c r="U132" s="90">
        <f>IF(AND($C132&gt;0,U$46&gt;=$C$9+2+$C$26,SUM($E132:T132)&lt;$C132),MIN($C132/$C$27,$C132-SUM($E132:T132)),0)</f>
        <v/>
      </c>
      <c r="V132" s="90">
        <f>IF(AND($C132&gt;0,V$46&gt;=$C$9+2+$C$26,SUM($E132:U132)&lt;$C132),MIN($C132/$C$27,$C132-SUM($E132:U132)),0)</f>
        <v/>
      </c>
      <c r="W132" s="90">
        <f>IF(AND($C132&gt;0,W$46&gt;=$C$9+2+$C$26,SUM($E132:V132)&lt;$C132),MIN($C132/$C$27,$C132-SUM($E132:V132)),0)</f>
        <v/>
      </c>
      <c r="X132" s="90">
        <f>IF(AND($C132&gt;0,X$46&gt;=$C$9+2+$C$26,SUM($E132:W132)&lt;$C132),MIN($C132/$C$27,$C132-SUM($E132:W132)),0)</f>
        <v/>
      </c>
      <c r="Y132" s="90">
        <f>IF(AND($C132&gt;0,Y$46&gt;=$C$9+2+$C$26,SUM($E132:X132)&lt;$C132),MIN($C132/$C$27,$C132-SUM($E132:X132)),0)</f>
        <v/>
      </c>
      <c r="Z132" s="90">
        <f>IF(AND($C132&gt;0,Z$46&gt;=$C$9+2+$C$26,SUM($E132:Y132)&lt;$C132),MIN($C132/$C$27,$C132-SUM($E132:Y132)),0)</f>
        <v/>
      </c>
      <c r="AA132" s="90">
        <f>IF(AND($C132&gt;0,AA$46&gt;=$C$9+2+$C$26,SUM($E132:Z132)&lt;$C132),MIN($C132/$C$27,$C132-SUM($E132:Z132)),0)</f>
        <v/>
      </c>
      <c r="AB132" s="90">
        <f>IF(AND($C132&gt;0,AB$46&gt;=$C$9+2+$C$26,SUM($E132:AA132)&lt;$C132),MIN($C132/$C$27,$C132-SUM($E132:AA132)),0)</f>
        <v/>
      </c>
      <c r="AC132" s="90">
        <f>IF(AND($C132&gt;0,AC$46&gt;=$C$9+2+$C$26,SUM($E132:AB132)&lt;$C132),MIN($C132/$C$27,$C132-SUM($E132:AB132)),0)</f>
        <v/>
      </c>
      <c r="AD132" s="90">
        <f>IF(AND($C132&gt;0,AD$46&gt;=$C$9+2+$C$26,SUM($E132:AC132)&lt;$C132),MIN($C132/$C$27,$C132-SUM($E132:AC132)),0)</f>
        <v/>
      </c>
      <c r="AE132" s="90">
        <f>IF(AND($C132&gt;0,AE$46&gt;=$C$9+2+$C$26,SUM($E132:AD132)&lt;$C132),MIN($C132/$C$27,$C132-SUM($E132:AD132)),0)</f>
        <v/>
      </c>
      <c r="AF132" s="90">
        <f>IF(AND($C132&gt;0,AF$46&gt;=$C$9+2+$C$26,SUM($E132:AE132)&lt;$C132),MIN($C132/$C$27,$C132-SUM($E132:AE132)),0)</f>
        <v/>
      </c>
      <c r="AG132" s="90">
        <f>IF(AND($C132&gt;0,AG$46&gt;=$C$9+2+$C$26,SUM($E132:AF132)&lt;$C132),MIN($C132/$C$27,$C132-SUM($E132:AF132)),0)</f>
        <v/>
      </c>
      <c r="AH132" s="90">
        <f>IF(AND($C132&gt;0,AH$46&gt;=$C$9+2+$C$26,SUM($E132:AG132)&lt;$C132),MIN($C132/$C$27,$C132-SUM($E132:AG132)),0)</f>
        <v/>
      </c>
      <c r="AI132" s="90">
        <f>IF(AND($C132&gt;0,AI$46&gt;=$C$9+2+$C$26,SUM($E132:AH132)&lt;$C132),MIN($C132/$C$27,$C132-SUM($E132:AH132)),0)</f>
        <v/>
      </c>
      <c r="AJ132" s="90">
        <f>IF(AND($C132&gt;0,AJ$46&gt;=$C$9+2+$C$26,SUM($E132:AI132)&lt;$C132),MIN($C132/$C$27,$C132-SUM($E132:AI132)),0)</f>
        <v/>
      </c>
      <c r="AK132" s="90">
        <f>IF(AND($C132&gt;0,AK$46&gt;=$C$9+2+$C$26,SUM($E132:AJ132)&lt;$C132),MIN($C132/$C$27,$C132-SUM($E132:AJ132)),0)</f>
        <v/>
      </c>
      <c r="AL132" s="90">
        <f>IF(AND($C132&gt;0,AL$46&gt;=$C$9+2+$C$26,SUM($E132:AK132)&lt;$C132),MIN($C132/$C$27,$C132-SUM($E132:AK132)),0)</f>
        <v/>
      </c>
      <c r="AM132" s="90">
        <f>IF(AND($C132&gt;0,AM$46&gt;=$C$9+2+$C$26,SUM($E132:AL132)&lt;$C132),MIN($C132/$C$27,$C132-SUM($E132:AL132)),0)</f>
        <v/>
      </c>
      <c r="AN132" s="90">
        <f>IF(AND($C132&gt;0,AN$46&gt;=$C$9+2+$C$26,SUM($E132:AM132)&lt;$C132),MIN($C132/$C$27,$C132-SUM($E132:AM132)),0)</f>
        <v/>
      </c>
      <c r="AO132" s="90">
        <f>IF(AND($C132&gt;0,AO$46&gt;=$C$9+2+$C$26,SUM($E132:AN132)&lt;$C132),MIN($C132/$C$27,$C132-SUM($E132:AN132)),0)</f>
        <v/>
      </c>
      <c r="AP132" s="90">
        <f>IF(AND($C132&gt;0,AP$46&gt;=$C$9+2+$C$26,SUM($E132:AO132)&lt;$C132),MIN($C132/$C$27,$C132-SUM($E132:AO132)),0)</f>
        <v/>
      </c>
      <c r="AQ132" s="90">
        <f>IF(AND($C132&gt;0,AQ$46&gt;=$C$9+2+$C$26,SUM($E132:AP132)&lt;$C132),MIN($C132/$C$27,$C132-SUM($E132:AP132)),0)</f>
        <v/>
      </c>
      <c r="AR132" s="90">
        <f>IF(AND($C132&gt;0,AR$46&gt;=$C$9+2+$C$26,SUM($E132:AQ132)&lt;$C132),MIN($C132/$C$27,$C132-SUM($E132:AQ132)),0)</f>
        <v/>
      </c>
      <c r="AS132" s="90">
        <f>IF(AND($C132&gt;0,AS$46&gt;=$C$9+2+$C$26,SUM($E132:AR132)&lt;$C132),MIN($C132/$C$27,$C132-SUM($E132:AR132)),0)</f>
        <v/>
      </c>
      <c r="AT132" s="90">
        <f>IF(AND($C132&gt;0,AT$46&gt;=$C$9+2+$C$26,SUM($E132:AS132)&lt;$C132),MIN($C132/$C$27,$C132-SUM($E132:AS132)),0)</f>
        <v/>
      </c>
      <c r="AU132" s="90">
        <f>IF(AND($C132&gt;0,AU$46&gt;=$C$9+2+$C$26,SUM($E132:AT132)&lt;$C132),MIN($C132/$C$27,$C132-SUM($E132:AT132)),0)</f>
        <v/>
      </c>
      <c r="AV132" s="90">
        <f>IF(AND($C132&gt;0,AV$46&gt;=$C$9+2+$C$26,SUM($E132:AU132)&lt;$C132),MIN($C132/$C$27,$C132-SUM($E132:AU132)),0)</f>
        <v/>
      </c>
      <c r="AW132" s="90">
        <f>IF(AND($C132&gt;0,AW$46&gt;=$C$9+2+$C$26,SUM($E132:AV132)&lt;$C132),MIN($C132/$C$27,$C132-SUM($E132:AV132)),0)</f>
        <v/>
      </c>
      <c r="AX132" s="90">
        <f>IF(AND($C132&gt;0,AX$46&gt;=$C$9+2+$C$26,SUM($E132:AW132)&lt;$C132),MIN($C132/$C$27,$C132-SUM($E132:AW132)),0)</f>
        <v/>
      </c>
      <c r="AY132" s="90">
        <f>IF(AND($C132&gt;0,AY$46&gt;=$C$9+2+$C$26,SUM($E132:AX132)&lt;$C132),MIN($C132/$C$27,$C132-SUM($E132:AX132)),0)</f>
        <v/>
      </c>
      <c r="AZ132" s="90">
        <f>IF(AND($C132&gt;0,AZ$46&gt;=$C$9+2+$C$26,SUM($E132:AY132)&lt;$C132),MIN($C132/$C$27,$C132-SUM($E132:AY132)),0)</f>
        <v/>
      </c>
      <c r="BA132" s="90">
        <f>IF(AND($C132&gt;0,BA$46&gt;=$C$9+2+$C$26,SUM($E132:AZ132)&lt;$C132),MIN($C132/$C$27,$C132-SUM($E132:AZ132)),0)</f>
        <v/>
      </c>
      <c r="BB132" s="90">
        <f>IF(AND($C132&gt;0,BB$46&gt;=$C$9+2+$C$26,SUM($E132:BA132)&lt;$C132),MIN($C132/$C$27,$C132-SUM($E132:BA132)),0)</f>
        <v/>
      </c>
    </row>
    <row r="133" ht="15" customHeight="1" s="91">
      <c r="B133" s="153" t="inlineStr">
        <is>
          <t>Tranche 4</t>
        </is>
      </c>
      <c r="C133" s="160">
        <f>IF(ABS($D$49)&gt;0,SUMPRODUCT(($E$46:$BB$46=$C$9+3)*IF($E49:$BB49&lt;0,ABS($E49:$BB49),0))*$C$19/ABS($D$49),0)</f>
        <v/>
      </c>
      <c r="D133" s="160">
        <f>SUM(E133:BB133)</f>
        <v/>
      </c>
      <c r="E133" s="90">
        <f>IF(AND($C133&gt;0,E$46&gt;=$C$9+3+$C$26,0&lt;$C133),MIN($C133/$C$27,$C133-0),0)</f>
        <v/>
      </c>
      <c r="F133" s="90">
        <f>IF(AND($C133&gt;0,F$46&gt;=$C$9+3+$C$26,SUM($E133:E133)&lt;$C133),MIN($C133/$C$27,$C133-SUM($E133:E133)),0)</f>
        <v/>
      </c>
      <c r="G133" s="90">
        <f>IF(AND($C133&gt;0,G$46&gt;=$C$9+3+$C$26,SUM($E133:F133)&lt;$C133),MIN($C133/$C$27,$C133-SUM($E133:F133)),0)</f>
        <v/>
      </c>
      <c r="H133" s="90">
        <f>IF(AND($C133&gt;0,H$46&gt;=$C$9+3+$C$26,SUM($E133:G133)&lt;$C133),MIN($C133/$C$27,$C133-SUM($E133:G133)),0)</f>
        <v/>
      </c>
      <c r="I133" s="90">
        <f>IF(AND($C133&gt;0,I$46&gt;=$C$9+3+$C$26,SUM($E133:H133)&lt;$C133),MIN($C133/$C$27,$C133-SUM($E133:H133)),0)</f>
        <v/>
      </c>
      <c r="J133" s="90">
        <f>IF(AND($C133&gt;0,J$46&gt;=$C$9+3+$C$26,SUM($E133:I133)&lt;$C133),MIN($C133/$C$27,$C133-SUM($E133:I133)),0)</f>
        <v/>
      </c>
      <c r="K133" s="90">
        <f>IF(AND($C133&gt;0,K$46&gt;=$C$9+3+$C$26,SUM($E133:J133)&lt;$C133),MIN($C133/$C$27,$C133-SUM($E133:J133)),0)</f>
        <v/>
      </c>
      <c r="L133" s="90">
        <f>IF(AND($C133&gt;0,L$46&gt;=$C$9+3+$C$26,SUM($E133:K133)&lt;$C133),MIN($C133/$C$27,$C133-SUM($E133:K133)),0)</f>
        <v/>
      </c>
      <c r="M133" s="90">
        <f>IF(AND($C133&gt;0,M$46&gt;=$C$9+3+$C$26,SUM($E133:L133)&lt;$C133),MIN($C133/$C$27,$C133-SUM($E133:L133)),0)</f>
        <v/>
      </c>
      <c r="N133" s="90">
        <f>IF(AND($C133&gt;0,N$46&gt;=$C$9+3+$C$26,SUM($E133:M133)&lt;$C133),MIN($C133/$C$27,$C133-SUM($E133:M133)),0)</f>
        <v/>
      </c>
      <c r="O133" s="90">
        <f>IF(AND($C133&gt;0,O$46&gt;=$C$9+3+$C$26,SUM($E133:N133)&lt;$C133),MIN($C133/$C$27,$C133-SUM($E133:N133)),0)</f>
        <v/>
      </c>
      <c r="P133" s="90">
        <f>IF(AND($C133&gt;0,P$46&gt;=$C$9+3+$C$26,SUM($E133:O133)&lt;$C133),MIN($C133/$C$27,$C133-SUM($E133:O133)),0)</f>
        <v/>
      </c>
      <c r="Q133" s="90">
        <f>IF(AND($C133&gt;0,Q$46&gt;=$C$9+3+$C$26,SUM($E133:P133)&lt;$C133),MIN($C133/$C$27,$C133-SUM($E133:P133)),0)</f>
        <v/>
      </c>
      <c r="R133" s="90">
        <f>IF(AND($C133&gt;0,R$46&gt;=$C$9+3+$C$26,SUM($E133:Q133)&lt;$C133),MIN($C133/$C$27,$C133-SUM($E133:Q133)),0)</f>
        <v/>
      </c>
      <c r="S133" s="90">
        <f>IF(AND($C133&gt;0,S$46&gt;=$C$9+3+$C$26,SUM($E133:R133)&lt;$C133),MIN($C133/$C$27,$C133-SUM($E133:R133)),0)</f>
        <v/>
      </c>
      <c r="T133" s="90">
        <f>IF(AND($C133&gt;0,T$46&gt;=$C$9+3+$C$26,SUM($E133:S133)&lt;$C133),MIN($C133/$C$27,$C133-SUM($E133:S133)),0)</f>
        <v/>
      </c>
      <c r="U133" s="90">
        <f>IF(AND($C133&gt;0,U$46&gt;=$C$9+3+$C$26,SUM($E133:T133)&lt;$C133),MIN($C133/$C$27,$C133-SUM($E133:T133)),0)</f>
        <v/>
      </c>
      <c r="V133" s="90">
        <f>IF(AND($C133&gt;0,V$46&gt;=$C$9+3+$C$26,SUM($E133:U133)&lt;$C133),MIN($C133/$C$27,$C133-SUM($E133:U133)),0)</f>
        <v/>
      </c>
      <c r="W133" s="90">
        <f>IF(AND($C133&gt;0,W$46&gt;=$C$9+3+$C$26,SUM($E133:V133)&lt;$C133),MIN($C133/$C$27,$C133-SUM($E133:V133)),0)</f>
        <v/>
      </c>
      <c r="X133" s="90">
        <f>IF(AND($C133&gt;0,X$46&gt;=$C$9+3+$C$26,SUM($E133:W133)&lt;$C133),MIN($C133/$C$27,$C133-SUM($E133:W133)),0)</f>
        <v/>
      </c>
      <c r="Y133" s="90">
        <f>IF(AND($C133&gt;0,Y$46&gt;=$C$9+3+$C$26,SUM($E133:X133)&lt;$C133),MIN($C133/$C$27,$C133-SUM($E133:X133)),0)</f>
        <v/>
      </c>
      <c r="Z133" s="90">
        <f>IF(AND($C133&gt;0,Z$46&gt;=$C$9+3+$C$26,SUM($E133:Y133)&lt;$C133),MIN($C133/$C$27,$C133-SUM($E133:Y133)),0)</f>
        <v/>
      </c>
      <c r="AA133" s="90">
        <f>IF(AND($C133&gt;0,AA$46&gt;=$C$9+3+$C$26,SUM($E133:Z133)&lt;$C133),MIN($C133/$C$27,$C133-SUM($E133:Z133)),0)</f>
        <v/>
      </c>
      <c r="AB133" s="90">
        <f>IF(AND($C133&gt;0,AB$46&gt;=$C$9+3+$C$26,SUM($E133:AA133)&lt;$C133),MIN($C133/$C$27,$C133-SUM($E133:AA133)),0)</f>
        <v/>
      </c>
      <c r="AC133" s="90">
        <f>IF(AND($C133&gt;0,AC$46&gt;=$C$9+3+$C$26,SUM($E133:AB133)&lt;$C133),MIN($C133/$C$27,$C133-SUM($E133:AB133)),0)</f>
        <v/>
      </c>
      <c r="AD133" s="90">
        <f>IF(AND($C133&gt;0,AD$46&gt;=$C$9+3+$C$26,SUM($E133:AC133)&lt;$C133),MIN($C133/$C$27,$C133-SUM($E133:AC133)),0)</f>
        <v/>
      </c>
      <c r="AE133" s="90">
        <f>IF(AND($C133&gt;0,AE$46&gt;=$C$9+3+$C$26,SUM($E133:AD133)&lt;$C133),MIN($C133/$C$27,$C133-SUM($E133:AD133)),0)</f>
        <v/>
      </c>
      <c r="AF133" s="90">
        <f>IF(AND($C133&gt;0,AF$46&gt;=$C$9+3+$C$26,SUM($E133:AE133)&lt;$C133),MIN($C133/$C$27,$C133-SUM($E133:AE133)),0)</f>
        <v/>
      </c>
      <c r="AG133" s="90">
        <f>IF(AND($C133&gt;0,AG$46&gt;=$C$9+3+$C$26,SUM($E133:AF133)&lt;$C133),MIN($C133/$C$27,$C133-SUM($E133:AF133)),0)</f>
        <v/>
      </c>
      <c r="AH133" s="90">
        <f>IF(AND($C133&gt;0,AH$46&gt;=$C$9+3+$C$26,SUM($E133:AG133)&lt;$C133),MIN($C133/$C$27,$C133-SUM($E133:AG133)),0)</f>
        <v/>
      </c>
      <c r="AI133" s="90">
        <f>IF(AND($C133&gt;0,AI$46&gt;=$C$9+3+$C$26,SUM($E133:AH133)&lt;$C133),MIN($C133/$C$27,$C133-SUM($E133:AH133)),0)</f>
        <v/>
      </c>
      <c r="AJ133" s="90">
        <f>IF(AND($C133&gt;0,AJ$46&gt;=$C$9+3+$C$26,SUM($E133:AI133)&lt;$C133),MIN($C133/$C$27,$C133-SUM($E133:AI133)),0)</f>
        <v/>
      </c>
      <c r="AK133" s="90">
        <f>IF(AND($C133&gt;0,AK$46&gt;=$C$9+3+$C$26,SUM($E133:AJ133)&lt;$C133),MIN($C133/$C$27,$C133-SUM($E133:AJ133)),0)</f>
        <v/>
      </c>
      <c r="AL133" s="90">
        <f>IF(AND($C133&gt;0,AL$46&gt;=$C$9+3+$C$26,SUM($E133:AK133)&lt;$C133),MIN($C133/$C$27,$C133-SUM($E133:AK133)),0)</f>
        <v/>
      </c>
      <c r="AM133" s="90">
        <f>IF(AND($C133&gt;0,AM$46&gt;=$C$9+3+$C$26,SUM($E133:AL133)&lt;$C133),MIN($C133/$C$27,$C133-SUM($E133:AL133)),0)</f>
        <v/>
      </c>
      <c r="AN133" s="90">
        <f>IF(AND($C133&gt;0,AN$46&gt;=$C$9+3+$C$26,SUM($E133:AM133)&lt;$C133),MIN($C133/$C$27,$C133-SUM($E133:AM133)),0)</f>
        <v/>
      </c>
      <c r="AO133" s="90">
        <f>IF(AND($C133&gt;0,AO$46&gt;=$C$9+3+$C$26,SUM($E133:AN133)&lt;$C133),MIN($C133/$C$27,$C133-SUM($E133:AN133)),0)</f>
        <v/>
      </c>
      <c r="AP133" s="90">
        <f>IF(AND($C133&gt;0,AP$46&gt;=$C$9+3+$C$26,SUM($E133:AO133)&lt;$C133),MIN($C133/$C$27,$C133-SUM($E133:AO133)),0)</f>
        <v/>
      </c>
      <c r="AQ133" s="90">
        <f>IF(AND($C133&gt;0,AQ$46&gt;=$C$9+3+$C$26,SUM($E133:AP133)&lt;$C133),MIN($C133/$C$27,$C133-SUM($E133:AP133)),0)</f>
        <v/>
      </c>
      <c r="AR133" s="90">
        <f>IF(AND($C133&gt;0,AR$46&gt;=$C$9+3+$C$26,SUM($E133:AQ133)&lt;$C133),MIN($C133/$C$27,$C133-SUM($E133:AQ133)),0)</f>
        <v/>
      </c>
      <c r="AS133" s="90">
        <f>IF(AND($C133&gt;0,AS$46&gt;=$C$9+3+$C$26,SUM($E133:AR133)&lt;$C133),MIN($C133/$C$27,$C133-SUM($E133:AR133)),0)</f>
        <v/>
      </c>
      <c r="AT133" s="90">
        <f>IF(AND($C133&gt;0,AT$46&gt;=$C$9+3+$C$26,SUM($E133:AS133)&lt;$C133),MIN($C133/$C$27,$C133-SUM($E133:AS133)),0)</f>
        <v/>
      </c>
      <c r="AU133" s="90">
        <f>IF(AND($C133&gt;0,AU$46&gt;=$C$9+3+$C$26,SUM($E133:AT133)&lt;$C133),MIN($C133/$C$27,$C133-SUM($E133:AT133)),0)</f>
        <v/>
      </c>
      <c r="AV133" s="90">
        <f>IF(AND($C133&gt;0,AV$46&gt;=$C$9+3+$C$26,SUM($E133:AU133)&lt;$C133),MIN($C133/$C$27,$C133-SUM($E133:AU133)),0)</f>
        <v/>
      </c>
      <c r="AW133" s="90">
        <f>IF(AND($C133&gt;0,AW$46&gt;=$C$9+3+$C$26,SUM($E133:AV133)&lt;$C133),MIN($C133/$C$27,$C133-SUM($E133:AV133)),0)</f>
        <v/>
      </c>
      <c r="AX133" s="90">
        <f>IF(AND($C133&gt;0,AX$46&gt;=$C$9+3+$C$26,SUM($E133:AW133)&lt;$C133),MIN($C133/$C$27,$C133-SUM($E133:AW133)),0)</f>
        <v/>
      </c>
      <c r="AY133" s="90">
        <f>IF(AND($C133&gt;0,AY$46&gt;=$C$9+3+$C$26,SUM($E133:AX133)&lt;$C133),MIN($C133/$C$27,$C133-SUM($E133:AX133)),0)</f>
        <v/>
      </c>
      <c r="AZ133" s="90">
        <f>IF(AND($C133&gt;0,AZ$46&gt;=$C$9+3+$C$26,SUM($E133:AY133)&lt;$C133),MIN($C133/$C$27,$C133-SUM($E133:AY133)),0)</f>
        <v/>
      </c>
      <c r="BA133" s="90">
        <f>IF(AND($C133&gt;0,BA$46&gt;=$C$9+3+$C$26,SUM($E133:AZ133)&lt;$C133),MIN($C133/$C$27,$C133-SUM($E133:AZ133)),0)</f>
        <v/>
      </c>
      <c r="BB133" s="90">
        <f>IF(AND($C133&gt;0,BB$46&gt;=$C$9+3+$C$26,SUM($E133:BA133)&lt;$C133),MIN($C133/$C$27,$C133-SUM($E133:BA133)),0)</f>
        <v/>
      </c>
    </row>
    <row r="134" ht="15" customHeight="1" s="91">
      <c r="B134" s="90" t="inlineStr">
        <is>
          <t>Tranche 5</t>
        </is>
      </c>
      <c r="C134" s="170">
        <f>IF(ABS($D$49)&gt;0,SUMPRODUCT(($E$46:$BB$46=$C$9+4)*IF($E49:$BB49&lt;0,ABS($E49:$BB49),0))*$C$19/ABS($D$49),0)</f>
        <v/>
      </c>
      <c r="D134" s="90">
        <f>SUM(E134:BB134)</f>
        <v/>
      </c>
      <c r="E134" s="90">
        <f>IF(AND($C134&gt;0,E$46&gt;=$C$9+4+$C$26,0&lt;$C134),MIN($C134/$C$27,$C134-0),0)</f>
        <v/>
      </c>
      <c r="F134" s="90">
        <f>IF(AND($C134&gt;0,F$46&gt;=$C$9+4+$C$26,SUM($E134:E134)&lt;$C134),MIN($C134/$C$27,$C134-SUM($E134:E134)),0)</f>
        <v/>
      </c>
      <c r="G134" s="90">
        <f>IF(AND($C134&gt;0,G$46&gt;=$C$9+4+$C$26,SUM($E134:F134)&lt;$C134),MIN($C134/$C$27,$C134-SUM($E134:F134)),0)</f>
        <v/>
      </c>
      <c r="H134" s="90">
        <f>IF(AND($C134&gt;0,H$46&gt;=$C$9+4+$C$26,SUM($E134:G134)&lt;$C134),MIN($C134/$C$27,$C134-SUM($E134:G134)),0)</f>
        <v/>
      </c>
      <c r="I134" s="90">
        <f>IF(AND($C134&gt;0,I$46&gt;=$C$9+4+$C$26,SUM($E134:H134)&lt;$C134),MIN($C134/$C$27,$C134-SUM($E134:H134)),0)</f>
        <v/>
      </c>
      <c r="J134" s="90">
        <f>IF(AND($C134&gt;0,J$46&gt;=$C$9+4+$C$26,SUM($E134:I134)&lt;$C134),MIN($C134/$C$27,$C134-SUM($E134:I134)),0)</f>
        <v/>
      </c>
      <c r="K134" s="90">
        <f>IF(AND($C134&gt;0,K$46&gt;=$C$9+4+$C$26,SUM($E134:J134)&lt;$C134),MIN($C134/$C$27,$C134-SUM($E134:J134)),0)</f>
        <v/>
      </c>
      <c r="L134" s="90">
        <f>IF(AND($C134&gt;0,L$46&gt;=$C$9+4+$C$26,SUM($E134:K134)&lt;$C134),MIN($C134/$C$27,$C134-SUM($E134:K134)),0)</f>
        <v/>
      </c>
      <c r="M134" s="90">
        <f>IF(AND($C134&gt;0,M$46&gt;=$C$9+4+$C$26,SUM($E134:L134)&lt;$C134),MIN($C134/$C$27,$C134-SUM($E134:L134)),0)</f>
        <v/>
      </c>
      <c r="N134" s="90">
        <f>IF(AND($C134&gt;0,N$46&gt;=$C$9+4+$C$26,SUM($E134:M134)&lt;$C134),MIN($C134/$C$27,$C134-SUM($E134:M134)),0)</f>
        <v/>
      </c>
      <c r="O134" s="90">
        <f>IF(AND($C134&gt;0,O$46&gt;=$C$9+4+$C$26,SUM($E134:N134)&lt;$C134),MIN($C134/$C$27,$C134-SUM($E134:N134)),0)</f>
        <v/>
      </c>
      <c r="P134" s="90">
        <f>IF(AND($C134&gt;0,P$46&gt;=$C$9+4+$C$26,SUM($E134:O134)&lt;$C134),MIN($C134/$C$27,$C134-SUM($E134:O134)),0)</f>
        <v/>
      </c>
      <c r="Q134" s="90">
        <f>IF(AND($C134&gt;0,Q$46&gt;=$C$9+4+$C$26,SUM($E134:P134)&lt;$C134),MIN($C134/$C$27,$C134-SUM($E134:P134)),0)</f>
        <v/>
      </c>
      <c r="R134" s="90">
        <f>IF(AND($C134&gt;0,R$46&gt;=$C$9+4+$C$26,SUM($E134:Q134)&lt;$C134),MIN($C134/$C$27,$C134-SUM($E134:Q134)),0)</f>
        <v/>
      </c>
      <c r="S134" s="90">
        <f>IF(AND($C134&gt;0,S$46&gt;=$C$9+4+$C$26,SUM($E134:R134)&lt;$C134),MIN($C134/$C$27,$C134-SUM($E134:R134)),0)</f>
        <v/>
      </c>
      <c r="T134" s="90">
        <f>IF(AND($C134&gt;0,T$46&gt;=$C$9+4+$C$26,SUM($E134:S134)&lt;$C134),MIN($C134/$C$27,$C134-SUM($E134:S134)),0)</f>
        <v/>
      </c>
      <c r="U134" s="90">
        <f>IF(AND($C134&gt;0,U$46&gt;=$C$9+4+$C$26,SUM($E134:T134)&lt;$C134),MIN($C134/$C$27,$C134-SUM($E134:T134)),0)</f>
        <v/>
      </c>
      <c r="V134" s="90">
        <f>IF(AND($C134&gt;0,V$46&gt;=$C$9+4+$C$26,SUM($E134:U134)&lt;$C134),MIN($C134/$C$27,$C134-SUM($E134:U134)),0)</f>
        <v/>
      </c>
      <c r="W134" s="90">
        <f>IF(AND($C134&gt;0,W$46&gt;=$C$9+4+$C$26,SUM($E134:V134)&lt;$C134),MIN($C134/$C$27,$C134-SUM($E134:V134)),0)</f>
        <v/>
      </c>
      <c r="X134" s="90">
        <f>IF(AND($C134&gt;0,X$46&gt;=$C$9+4+$C$26,SUM($E134:W134)&lt;$C134),MIN($C134/$C$27,$C134-SUM($E134:W134)),0)</f>
        <v/>
      </c>
      <c r="Y134" s="90">
        <f>IF(AND($C134&gt;0,Y$46&gt;=$C$9+4+$C$26,SUM($E134:X134)&lt;$C134),MIN($C134/$C$27,$C134-SUM($E134:X134)),0)</f>
        <v/>
      </c>
      <c r="Z134" s="90">
        <f>IF(AND($C134&gt;0,Z$46&gt;=$C$9+4+$C$26,SUM($E134:Y134)&lt;$C134),MIN($C134/$C$27,$C134-SUM($E134:Y134)),0)</f>
        <v/>
      </c>
      <c r="AA134" s="90">
        <f>IF(AND($C134&gt;0,AA$46&gt;=$C$9+4+$C$26,SUM($E134:Z134)&lt;$C134),MIN($C134/$C$27,$C134-SUM($E134:Z134)),0)</f>
        <v/>
      </c>
      <c r="AB134" s="90">
        <f>IF(AND($C134&gt;0,AB$46&gt;=$C$9+4+$C$26,SUM($E134:AA134)&lt;$C134),MIN($C134/$C$27,$C134-SUM($E134:AA134)),0)</f>
        <v/>
      </c>
      <c r="AC134" s="90">
        <f>IF(AND($C134&gt;0,AC$46&gt;=$C$9+4+$C$26,SUM($E134:AB134)&lt;$C134),MIN($C134/$C$27,$C134-SUM($E134:AB134)),0)</f>
        <v/>
      </c>
      <c r="AD134" s="90">
        <f>IF(AND($C134&gt;0,AD$46&gt;=$C$9+4+$C$26,SUM($E134:AC134)&lt;$C134),MIN($C134/$C$27,$C134-SUM($E134:AC134)),0)</f>
        <v/>
      </c>
      <c r="AE134" s="90">
        <f>IF(AND($C134&gt;0,AE$46&gt;=$C$9+4+$C$26,SUM($E134:AD134)&lt;$C134),MIN($C134/$C$27,$C134-SUM($E134:AD134)),0)</f>
        <v/>
      </c>
      <c r="AF134" s="90">
        <f>IF(AND($C134&gt;0,AF$46&gt;=$C$9+4+$C$26,SUM($E134:AE134)&lt;$C134),MIN($C134/$C$27,$C134-SUM($E134:AE134)),0)</f>
        <v/>
      </c>
      <c r="AG134" s="90">
        <f>IF(AND($C134&gt;0,AG$46&gt;=$C$9+4+$C$26,SUM($E134:AF134)&lt;$C134),MIN($C134/$C$27,$C134-SUM($E134:AF134)),0)</f>
        <v/>
      </c>
      <c r="AH134" s="90">
        <f>IF(AND($C134&gt;0,AH$46&gt;=$C$9+4+$C$26,SUM($E134:AG134)&lt;$C134),MIN($C134/$C$27,$C134-SUM($E134:AG134)),0)</f>
        <v/>
      </c>
      <c r="AI134" s="90">
        <f>IF(AND($C134&gt;0,AI$46&gt;=$C$9+4+$C$26,SUM($E134:AH134)&lt;$C134),MIN($C134/$C$27,$C134-SUM($E134:AH134)),0)</f>
        <v/>
      </c>
      <c r="AJ134" s="90">
        <f>IF(AND($C134&gt;0,AJ$46&gt;=$C$9+4+$C$26,SUM($E134:AI134)&lt;$C134),MIN($C134/$C$27,$C134-SUM($E134:AI134)),0)</f>
        <v/>
      </c>
      <c r="AK134" s="90">
        <f>IF(AND($C134&gt;0,AK$46&gt;=$C$9+4+$C$26,SUM($E134:AJ134)&lt;$C134),MIN($C134/$C$27,$C134-SUM($E134:AJ134)),0)</f>
        <v/>
      </c>
      <c r="AL134" s="90">
        <f>IF(AND($C134&gt;0,AL$46&gt;=$C$9+4+$C$26,SUM($E134:AK134)&lt;$C134),MIN($C134/$C$27,$C134-SUM($E134:AK134)),0)</f>
        <v/>
      </c>
      <c r="AM134" s="90">
        <f>IF(AND($C134&gt;0,AM$46&gt;=$C$9+4+$C$26,SUM($E134:AL134)&lt;$C134),MIN($C134/$C$27,$C134-SUM($E134:AL134)),0)</f>
        <v/>
      </c>
      <c r="AN134" s="90">
        <f>IF(AND($C134&gt;0,AN$46&gt;=$C$9+4+$C$26,SUM($E134:AM134)&lt;$C134),MIN($C134/$C$27,$C134-SUM($E134:AM134)),0)</f>
        <v/>
      </c>
      <c r="AO134" s="90">
        <f>IF(AND($C134&gt;0,AO$46&gt;=$C$9+4+$C$26,SUM($E134:AN134)&lt;$C134),MIN($C134/$C$27,$C134-SUM($E134:AN134)),0)</f>
        <v/>
      </c>
      <c r="AP134" s="90">
        <f>IF(AND($C134&gt;0,AP$46&gt;=$C$9+4+$C$26,SUM($E134:AO134)&lt;$C134),MIN($C134/$C$27,$C134-SUM($E134:AO134)),0)</f>
        <v/>
      </c>
      <c r="AQ134" s="90">
        <f>IF(AND($C134&gt;0,AQ$46&gt;=$C$9+4+$C$26,SUM($E134:AP134)&lt;$C134),MIN($C134/$C$27,$C134-SUM($E134:AP134)),0)</f>
        <v/>
      </c>
      <c r="AR134" s="90">
        <f>IF(AND($C134&gt;0,AR$46&gt;=$C$9+4+$C$26,SUM($E134:AQ134)&lt;$C134),MIN($C134/$C$27,$C134-SUM($E134:AQ134)),0)</f>
        <v/>
      </c>
      <c r="AS134" s="90">
        <f>IF(AND($C134&gt;0,AS$46&gt;=$C$9+4+$C$26,SUM($E134:AR134)&lt;$C134),MIN($C134/$C$27,$C134-SUM($E134:AR134)),0)</f>
        <v/>
      </c>
      <c r="AT134" s="90">
        <f>IF(AND($C134&gt;0,AT$46&gt;=$C$9+4+$C$26,SUM($E134:AS134)&lt;$C134),MIN($C134/$C$27,$C134-SUM($E134:AS134)),0)</f>
        <v/>
      </c>
      <c r="AU134" s="90">
        <f>IF(AND($C134&gt;0,AU$46&gt;=$C$9+4+$C$26,SUM($E134:AT134)&lt;$C134),MIN($C134/$C$27,$C134-SUM($E134:AT134)),0)</f>
        <v/>
      </c>
      <c r="AV134" s="90">
        <f>IF(AND($C134&gt;0,AV$46&gt;=$C$9+4+$C$26,SUM($E134:AU134)&lt;$C134),MIN($C134/$C$27,$C134-SUM($E134:AU134)),0)</f>
        <v/>
      </c>
      <c r="AW134" s="90">
        <f>IF(AND($C134&gt;0,AW$46&gt;=$C$9+4+$C$26,SUM($E134:AV134)&lt;$C134),MIN($C134/$C$27,$C134-SUM($E134:AV134)),0)</f>
        <v/>
      </c>
      <c r="AX134" s="90">
        <f>IF(AND($C134&gt;0,AX$46&gt;=$C$9+4+$C$26,SUM($E134:AW134)&lt;$C134),MIN($C134/$C$27,$C134-SUM($E134:AW134)),0)</f>
        <v/>
      </c>
      <c r="AY134" s="90">
        <f>IF(AND($C134&gt;0,AY$46&gt;=$C$9+4+$C$26,SUM($E134:AX134)&lt;$C134),MIN($C134/$C$27,$C134-SUM($E134:AX134)),0)</f>
        <v/>
      </c>
      <c r="AZ134" s="90">
        <f>IF(AND($C134&gt;0,AZ$46&gt;=$C$9+4+$C$26,SUM($E134:AY134)&lt;$C134),MIN($C134/$C$27,$C134-SUM($E134:AY134)),0)</f>
        <v/>
      </c>
      <c r="BA134" s="90">
        <f>IF(AND($C134&gt;0,BA$46&gt;=$C$9+4+$C$26,SUM($E134:AZ134)&lt;$C134),MIN($C134/$C$27,$C134-SUM($E134:AZ134)),0)</f>
        <v/>
      </c>
      <c r="BB134" s="90">
        <f>IF(AND($C134&gt;0,BB$46&gt;=$C$9+4+$C$26,SUM($E134:BA134)&lt;$C134),MIN($C134/$C$27,$C134-SUM($E134:BA134)),0)</f>
        <v/>
      </c>
    </row>
    <row r="135" ht="15" customHeight="1" s="91">
      <c r="B135" s="153" t="inlineStr">
        <is>
          <t>Tranche 6</t>
        </is>
      </c>
      <c r="C135" s="160">
        <f>IF(ABS($D$49)&gt;0,SUMPRODUCT(($E$46:$BB$46=$C$9+5)*IF($E49:$BB49&lt;0,ABS($E49:$BB49),0))*$C$19/ABS($D$49),0)</f>
        <v/>
      </c>
      <c r="D135" s="160">
        <f>SUM(E135:BB135)</f>
        <v/>
      </c>
      <c r="E135" s="90">
        <f>IF(AND($C135&gt;0,E$46&gt;=$C$9+5+$C$26,0&lt;$C135),MIN($C135/$C$27,$C135-0),0)</f>
        <v/>
      </c>
      <c r="F135" s="90">
        <f>IF(AND($C135&gt;0,F$46&gt;=$C$9+5+$C$26,SUM($E135:E135)&lt;$C135),MIN($C135/$C$27,$C135-SUM($E135:E135)),0)</f>
        <v/>
      </c>
      <c r="G135" s="90">
        <f>IF(AND($C135&gt;0,G$46&gt;=$C$9+5+$C$26,SUM($E135:F135)&lt;$C135),MIN($C135/$C$27,$C135-SUM($E135:F135)),0)</f>
        <v/>
      </c>
      <c r="H135" s="90">
        <f>IF(AND($C135&gt;0,H$46&gt;=$C$9+5+$C$26,SUM($E135:G135)&lt;$C135),MIN($C135/$C$27,$C135-SUM($E135:G135)),0)</f>
        <v/>
      </c>
      <c r="I135" s="90">
        <f>IF(AND($C135&gt;0,I$46&gt;=$C$9+5+$C$26,SUM($E135:H135)&lt;$C135),MIN($C135/$C$27,$C135-SUM($E135:H135)),0)</f>
        <v/>
      </c>
      <c r="J135" s="90">
        <f>IF(AND($C135&gt;0,J$46&gt;=$C$9+5+$C$26,SUM($E135:I135)&lt;$C135),MIN($C135/$C$27,$C135-SUM($E135:I135)),0)</f>
        <v/>
      </c>
      <c r="K135" s="90">
        <f>IF(AND($C135&gt;0,K$46&gt;=$C$9+5+$C$26,SUM($E135:J135)&lt;$C135),MIN($C135/$C$27,$C135-SUM($E135:J135)),0)</f>
        <v/>
      </c>
      <c r="L135" s="90">
        <f>IF(AND($C135&gt;0,L$46&gt;=$C$9+5+$C$26,SUM($E135:K135)&lt;$C135),MIN($C135/$C$27,$C135-SUM($E135:K135)),0)</f>
        <v/>
      </c>
      <c r="M135" s="90">
        <f>IF(AND($C135&gt;0,M$46&gt;=$C$9+5+$C$26,SUM($E135:L135)&lt;$C135),MIN($C135/$C$27,$C135-SUM($E135:L135)),0)</f>
        <v/>
      </c>
      <c r="N135" s="90">
        <f>IF(AND($C135&gt;0,N$46&gt;=$C$9+5+$C$26,SUM($E135:M135)&lt;$C135),MIN($C135/$C$27,$C135-SUM($E135:M135)),0)</f>
        <v/>
      </c>
      <c r="O135" s="90">
        <f>IF(AND($C135&gt;0,O$46&gt;=$C$9+5+$C$26,SUM($E135:N135)&lt;$C135),MIN($C135/$C$27,$C135-SUM($E135:N135)),0)</f>
        <v/>
      </c>
      <c r="P135" s="90">
        <f>IF(AND($C135&gt;0,P$46&gt;=$C$9+5+$C$26,SUM($E135:O135)&lt;$C135),MIN($C135/$C$27,$C135-SUM($E135:O135)),0)</f>
        <v/>
      </c>
      <c r="Q135" s="90">
        <f>IF(AND($C135&gt;0,Q$46&gt;=$C$9+5+$C$26,SUM($E135:P135)&lt;$C135),MIN($C135/$C$27,$C135-SUM($E135:P135)),0)</f>
        <v/>
      </c>
      <c r="R135" s="90">
        <f>IF(AND($C135&gt;0,R$46&gt;=$C$9+5+$C$26,SUM($E135:Q135)&lt;$C135),MIN($C135/$C$27,$C135-SUM($E135:Q135)),0)</f>
        <v/>
      </c>
      <c r="S135" s="90">
        <f>IF(AND($C135&gt;0,S$46&gt;=$C$9+5+$C$26,SUM($E135:R135)&lt;$C135),MIN($C135/$C$27,$C135-SUM($E135:R135)),0)</f>
        <v/>
      </c>
      <c r="T135" s="90">
        <f>IF(AND($C135&gt;0,T$46&gt;=$C$9+5+$C$26,SUM($E135:S135)&lt;$C135),MIN($C135/$C$27,$C135-SUM($E135:S135)),0)</f>
        <v/>
      </c>
      <c r="U135" s="90">
        <f>IF(AND($C135&gt;0,U$46&gt;=$C$9+5+$C$26,SUM($E135:T135)&lt;$C135),MIN($C135/$C$27,$C135-SUM($E135:T135)),0)</f>
        <v/>
      </c>
      <c r="V135" s="90">
        <f>IF(AND($C135&gt;0,V$46&gt;=$C$9+5+$C$26,SUM($E135:U135)&lt;$C135),MIN($C135/$C$27,$C135-SUM($E135:U135)),0)</f>
        <v/>
      </c>
      <c r="W135" s="90">
        <f>IF(AND($C135&gt;0,W$46&gt;=$C$9+5+$C$26,SUM($E135:V135)&lt;$C135),MIN($C135/$C$27,$C135-SUM($E135:V135)),0)</f>
        <v/>
      </c>
      <c r="X135" s="90">
        <f>IF(AND($C135&gt;0,X$46&gt;=$C$9+5+$C$26,SUM($E135:W135)&lt;$C135),MIN($C135/$C$27,$C135-SUM($E135:W135)),0)</f>
        <v/>
      </c>
      <c r="Y135" s="90">
        <f>IF(AND($C135&gt;0,Y$46&gt;=$C$9+5+$C$26,SUM($E135:X135)&lt;$C135),MIN($C135/$C$27,$C135-SUM($E135:X135)),0)</f>
        <v/>
      </c>
      <c r="Z135" s="90">
        <f>IF(AND($C135&gt;0,Z$46&gt;=$C$9+5+$C$26,SUM($E135:Y135)&lt;$C135),MIN($C135/$C$27,$C135-SUM($E135:Y135)),0)</f>
        <v/>
      </c>
      <c r="AA135" s="90">
        <f>IF(AND($C135&gt;0,AA$46&gt;=$C$9+5+$C$26,SUM($E135:Z135)&lt;$C135),MIN($C135/$C$27,$C135-SUM($E135:Z135)),0)</f>
        <v/>
      </c>
      <c r="AB135" s="90">
        <f>IF(AND($C135&gt;0,AB$46&gt;=$C$9+5+$C$26,SUM($E135:AA135)&lt;$C135),MIN($C135/$C$27,$C135-SUM($E135:AA135)),0)</f>
        <v/>
      </c>
      <c r="AC135" s="90">
        <f>IF(AND($C135&gt;0,AC$46&gt;=$C$9+5+$C$26,SUM($E135:AB135)&lt;$C135),MIN($C135/$C$27,$C135-SUM($E135:AB135)),0)</f>
        <v/>
      </c>
      <c r="AD135" s="90">
        <f>IF(AND($C135&gt;0,AD$46&gt;=$C$9+5+$C$26,SUM($E135:AC135)&lt;$C135),MIN($C135/$C$27,$C135-SUM($E135:AC135)),0)</f>
        <v/>
      </c>
      <c r="AE135" s="90">
        <f>IF(AND($C135&gt;0,AE$46&gt;=$C$9+5+$C$26,SUM($E135:AD135)&lt;$C135),MIN($C135/$C$27,$C135-SUM($E135:AD135)),0)</f>
        <v/>
      </c>
      <c r="AF135" s="90">
        <f>IF(AND($C135&gt;0,AF$46&gt;=$C$9+5+$C$26,SUM($E135:AE135)&lt;$C135),MIN($C135/$C$27,$C135-SUM($E135:AE135)),0)</f>
        <v/>
      </c>
      <c r="AG135" s="90">
        <f>IF(AND($C135&gt;0,AG$46&gt;=$C$9+5+$C$26,SUM($E135:AF135)&lt;$C135),MIN($C135/$C$27,$C135-SUM($E135:AF135)),0)</f>
        <v/>
      </c>
      <c r="AH135" s="90">
        <f>IF(AND($C135&gt;0,AH$46&gt;=$C$9+5+$C$26,SUM($E135:AG135)&lt;$C135),MIN($C135/$C$27,$C135-SUM($E135:AG135)),0)</f>
        <v/>
      </c>
      <c r="AI135" s="90">
        <f>IF(AND($C135&gt;0,AI$46&gt;=$C$9+5+$C$26,SUM($E135:AH135)&lt;$C135),MIN($C135/$C$27,$C135-SUM($E135:AH135)),0)</f>
        <v/>
      </c>
      <c r="AJ135" s="90">
        <f>IF(AND($C135&gt;0,AJ$46&gt;=$C$9+5+$C$26,SUM($E135:AI135)&lt;$C135),MIN($C135/$C$27,$C135-SUM($E135:AI135)),0)</f>
        <v/>
      </c>
      <c r="AK135" s="90">
        <f>IF(AND($C135&gt;0,AK$46&gt;=$C$9+5+$C$26,SUM($E135:AJ135)&lt;$C135),MIN($C135/$C$27,$C135-SUM($E135:AJ135)),0)</f>
        <v/>
      </c>
      <c r="AL135" s="90">
        <f>IF(AND($C135&gt;0,AL$46&gt;=$C$9+5+$C$26,SUM($E135:AK135)&lt;$C135),MIN($C135/$C$27,$C135-SUM($E135:AK135)),0)</f>
        <v/>
      </c>
      <c r="AM135" s="90">
        <f>IF(AND($C135&gt;0,AM$46&gt;=$C$9+5+$C$26,SUM($E135:AL135)&lt;$C135),MIN($C135/$C$27,$C135-SUM($E135:AL135)),0)</f>
        <v/>
      </c>
      <c r="AN135" s="90">
        <f>IF(AND($C135&gt;0,AN$46&gt;=$C$9+5+$C$26,SUM($E135:AM135)&lt;$C135),MIN($C135/$C$27,$C135-SUM($E135:AM135)),0)</f>
        <v/>
      </c>
      <c r="AO135" s="90">
        <f>IF(AND($C135&gt;0,AO$46&gt;=$C$9+5+$C$26,SUM($E135:AN135)&lt;$C135),MIN($C135/$C$27,$C135-SUM($E135:AN135)),0)</f>
        <v/>
      </c>
      <c r="AP135" s="90">
        <f>IF(AND($C135&gt;0,AP$46&gt;=$C$9+5+$C$26,SUM($E135:AO135)&lt;$C135),MIN($C135/$C$27,$C135-SUM($E135:AO135)),0)</f>
        <v/>
      </c>
      <c r="AQ135" s="90">
        <f>IF(AND($C135&gt;0,AQ$46&gt;=$C$9+5+$C$26,SUM($E135:AP135)&lt;$C135),MIN($C135/$C$27,$C135-SUM($E135:AP135)),0)</f>
        <v/>
      </c>
      <c r="AR135" s="90">
        <f>IF(AND($C135&gt;0,AR$46&gt;=$C$9+5+$C$26,SUM($E135:AQ135)&lt;$C135),MIN($C135/$C$27,$C135-SUM($E135:AQ135)),0)</f>
        <v/>
      </c>
      <c r="AS135" s="90">
        <f>IF(AND($C135&gt;0,AS$46&gt;=$C$9+5+$C$26,SUM($E135:AR135)&lt;$C135),MIN($C135/$C$27,$C135-SUM($E135:AR135)),0)</f>
        <v/>
      </c>
      <c r="AT135" s="90">
        <f>IF(AND($C135&gt;0,AT$46&gt;=$C$9+5+$C$26,SUM($E135:AS135)&lt;$C135),MIN($C135/$C$27,$C135-SUM($E135:AS135)),0)</f>
        <v/>
      </c>
      <c r="AU135" s="90">
        <f>IF(AND($C135&gt;0,AU$46&gt;=$C$9+5+$C$26,SUM($E135:AT135)&lt;$C135),MIN($C135/$C$27,$C135-SUM($E135:AT135)),0)</f>
        <v/>
      </c>
      <c r="AV135" s="90">
        <f>IF(AND($C135&gt;0,AV$46&gt;=$C$9+5+$C$26,SUM($E135:AU135)&lt;$C135),MIN($C135/$C$27,$C135-SUM($E135:AU135)),0)</f>
        <v/>
      </c>
      <c r="AW135" s="90">
        <f>IF(AND($C135&gt;0,AW$46&gt;=$C$9+5+$C$26,SUM($E135:AV135)&lt;$C135),MIN($C135/$C$27,$C135-SUM($E135:AV135)),0)</f>
        <v/>
      </c>
      <c r="AX135" s="90">
        <f>IF(AND($C135&gt;0,AX$46&gt;=$C$9+5+$C$26,SUM($E135:AW135)&lt;$C135),MIN($C135/$C$27,$C135-SUM($E135:AW135)),0)</f>
        <v/>
      </c>
      <c r="AY135" s="90">
        <f>IF(AND($C135&gt;0,AY$46&gt;=$C$9+5+$C$26,SUM($E135:AX135)&lt;$C135),MIN($C135/$C$27,$C135-SUM($E135:AX135)),0)</f>
        <v/>
      </c>
      <c r="AZ135" s="90">
        <f>IF(AND($C135&gt;0,AZ$46&gt;=$C$9+5+$C$26,SUM($E135:AY135)&lt;$C135),MIN($C135/$C$27,$C135-SUM($E135:AY135)),0)</f>
        <v/>
      </c>
      <c r="BA135" s="90">
        <f>IF(AND($C135&gt;0,BA$46&gt;=$C$9+5+$C$26,SUM($E135:AZ135)&lt;$C135),MIN($C135/$C$27,$C135-SUM($E135:AZ135)),0)</f>
        <v/>
      </c>
      <c r="BB135" s="90">
        <f>IF(AND($C135&gt;0,BB$46&gt;=$C$9+5+$C$26,SUM($E135:BA135)&lt;$C135),MIN($C135/$C$27,$C135-SUM($E135:BA135)),0)</f>
        <v/>
      </c>
    </row>
    <row r="136" ht="15" customHeight="1" s="91">
      <c r="B136" s="153" t="inlineStr">
        <is>
          <t>Tranche 7</t>
        </is>
      </c>
      <c r="C136" s="160">
        <f>IF(ABS($D$49)&gt;0,SUMPRODUCT(($E$46:$BB$46=$C$9+6)*IF($E49:$BB49&lt;0,ABS($E49:$BB49),0))*$C$19/ABS($D$49),0)</f>
        <v/>
      </c>
      <c r="D136" s="160">
        <f>SUM(E136:BB136)</f>
        <v/>
      </c>
      <c r="E136" s="90">
        <f>IF(AND($C136&gt;0,E$46&gt;=$C$9+6+$C$26,0&lt;$C136),MIN($C136/$C$27,$C136-0),0)</f>
        <v/>
      </c>
      <c r="F136" s="90">
        <f>IF(AND($C136&gt;0,F$46&gt;=$C$9+6+$C$26,SUM($E136:E136)&lt;$C136),MIN($C136/$C$27,$C136-SUM($E136:E136)),0)</f>
        <v/>
      </c>
      <c r="G136" s="90">
        <f>IF(AND($C136&gt;0,G$46&gt;=$C$9+6+$C$26,SUM($E136:F136)&lt;$C136),MIN($C136/$C$27,$C136-SUM($E136:F136)),0)</f>
        <v/>
      </c>
      <c r="H136" s="90">
        <f>IF(AND($C136&gt;0,H$46&gt;=$C$9+6+$C$26,SUM($E136:G136)&lt;$C136),MIN($C136/$C$27,$C136-SUM($E136:G136)),0)</f>
        <v/>
      </c>
      <c r="I136" s="90">
        <f>IF(AND($C136&gt;0,I$46&gt;=$C$9+6+$C$26,SUM($E136:H136)&lt;$C136),MIN($C136/$C$27,$C136-SUM($E136:H136)),0)</f>
        <v/>
      </c>
      <c r="J136" s="90">
        <f>IF(AND($C136&gt;0,J$46&gt;=$C$9+6+$C$26,SUM($E136:I136)&lt;$C136),MIN($C136/$C$27,$C136-SUM($E136:I136)),0)</f>
        <v/>
      </c>
      <c r="K136" s="90">
        <f>IF(AND($C136&gt;0,K$46&gt;=$C$9+6+$C$26,SUM($E136:J136)&lt;$C136),MIN($C136/$C$27,$C136-SUM($E136:J136)),0)</f>
        <v/>
      </c>
      <c r="L136" s="90">
        <f>IF(AND($C136&gt;0,L$46&gt;=$C$9+6+$C$26,SUM($E136:K136)&lt;$C136),MIN($C136/$C$27,$C136-SUM($E136:K136)),0)</f>
        <v/>
      </c>
      <c r="M136" s="90">
        <f>IF(AND($C136&gt;0,M$46&gt;=$C$9+6+$C$26,SUM($E136:L136)&lt;$C136),MIN($C136/$C$27,$C136-SUM($E136:L136)),0)</f>
        <v/>
      </c>
      <c r="N136" s="90">
        <f>IF(AND($C136&gt;0,N$46&gt;=$C$9+6+$C$26,SUM($E136:M136)&lt;$C136),MIN($C136/$C$27,$C136-SUM($E136:M136)),0)</f>
        <v/>
      </c>
      <c r="O136" s="90">
        <f>IF(AND($C136&gt;0,O$46&gt;=$C$9+6+$C$26,SUM($E136:N136)&lt;$C136),MIN($C136/$C$27,$C136-SUM($E136:N136)),0)</f>
        <v/>
      </c>
      <c r="P136" s="90">
        <f>IF(AND($C136&gt;0,P$46&gt;=$C$9+6+$C$26,SUM($E136:O136)&lt;$C136),MIN($C136/$C$27,$C136-SUM($E136:O136)),0)</f>
        <v/>
      </c>
      <c r="Q136" s="90">
        <f>IF(AND($C136&gt;0,Q$46&gt;=$C$9+6+$C$26,SUM($E136:P136)&lt;$C136),MIN($C136/$C$27,$C136-SUM($E136:P136)),0)</f>
        <v/>
      </c>
      <c r="R136" s="90">
        <f>IF(AND($C136&gt;0,R$46&gt;=$C$9+6+$C$26,SUM($E136:Q136)&lt;$C136),MIN($C136/$C$27,$C136-SUM($E136:Q136)),0)</f>
        <v/>
      </c>
      <c r="S136" s="90">
        <f>IF(AND($C136&gt;0,S$46&gt;=$C$9+6+$C$26,SUM($E136:R136)&lt;$C136),MIN($C136/$C$27,$C136-SUM($E136:R136)),0)</f>
        <v/>
      </c>
      <c r="T136" s="90">
        <f>IF(AND($C136&gt;0,T$46&gt;=$C$9+6+$C$26,SUM($E136:S136)&lt;$C136),MIN($C136/$C$27,$C136-SUM($E136:S136)),0)</f>
        <v/>
      </c>
      <c r="U136" s="90">
        <f>IF(AND($C136&gt;0,U$46&gt;=$C$9+6+$C$26,SUM($E136:T136)&lt;$C136),MIN($C136/$C$27,$C136-SUM($E136:T136)),0)</f>
        <v/>
      </c>
      <c r="V136" s="90">
        <f>IF(AND($C136&gt;0,V$46&gt;=$C$9+6+$C$26,SUM($E136:U136)&lt;$C136),MIN($C136/$C$27,$C136-SUM($E136:U136)),0)</f>
        <v/>
      </c>
      <c r="W136" s="90">
        <f>IF(AND($C136&gt;0,W$46&gt;=$C$9+6+$C$26,SUM($E136:V136)&lt;$C136),MIN($C136/$C$27,$C136-SUM($E136:V136)),0)</f>
        <v/>
      </c>
      <c r="X136" s="90">
        <f>IF(AND($C136&gt;0,X$46&gt;=$C$9+6+$C$26,SUM($E136:W136)&lt;$C136),MIN($C136/$C$27,$C136-SUM($E136:W136)),0)</f>
        <v/>
      </c>
      <c r="Y136" s="90">
        <f>IF(AND($C136&gt;0,Y$46&gt;=$C$9+6+$C$26,SUM($E136:X136)&lt;$C136),MIN($C136/$C$27,$C136-SUM($E136:X136)),0)</f>
        <v/>
      </c>
      <c r="Z136" s="90">
        <f>IF(AND($C136&gt;0,Z$46&gt;=$C$9+6+$C$26,SUM($E136:Y136)&lt;$C136),MIN($C136/$C$27,$C136-SUM($E136:Y136)),0)</f>
        <v/>
      </c>
      <c r="AA136" s="90">
        <f>IF(AND($C136&gt;0,AA$46&gt;=$C$9+6+$C$26,SUM($E136:Z136)&lt;$C136),MIN($C136/$C$27,$C136-SUM($E136:Z136)),0)</f>
        <v/>
      </c>
      <c r="AB136" s="90">
        <f>IF(AND($C136&gt;0,AB$46&gt;=$C$9+6+$C$26,SUM($E136:AA136)&lt;$C136),MIN($C136/$C$27,$C136-SUM($E136:AA136)),0)</f>
        <v/>
      </c>
      <c r="AC136" s="90">
        <f>IF(AND($C136&gt;0,AC$46&gt;=$C$9+6+$C$26,SUM($E136:AB136)&lt;$C136),MIN($C136/$C$27,$C136-SUM($E136:AB136)),0)</f>
        <v/>
      </c>
      <c r="AD136" s="90">
        <f>IF(AND($C136&gt;0,AD$46&gt;=$C$9+6+$C$26,SUM($E136:AC136)&lt;$C136),MIN($C136/$C$27,$C136-SUM($E136:AC136)),0)</f>
        <v/>
      </c>
      <c r="AE136" s="90">
        <f>IF(AND($C136&gt;0,AE$46&gt;=$C$9+6+$C$26,SUM($E136:AD136)&lt;$C136),MIN($C136/$C$27,$C136-SUM($E136:AD136)),0)</f>
        <v/>
      </c>
      <c r="AF136" s="90">
        <f>IF(AND($C136&gt;0,AF$46&gt;=$C$9+6+$C$26,SUM($E136:AE136)&lt;$C136),MIN($C136/$C$27,$C136-SUM($E136:AE136)),0)</f>
        <v/>
      </c>
      <c r="AG136" s="90">
        <f>IF(AND($C136&gt;0,AG$46&gt;=$C$9+6+$C$26,SUM($E136:AF136)&lt;$C136),MIN($C136/$C$27,$C136-SUM($E136:AF136)),0)</f>
        <v/>
      </c>
      <c r="AH136" s="90">
        <f>IF(AND($C136&gt;0,AH$46&gt;=$C$9+6+$C$26,SUM($E136:AG136)&lt;$C136),MIN($C136/$C$27,$C136-SUM($E136:AG136)),0)</f>
        <v/>
      </c>
      <c r="AI136" s="90">
        <f>IF(AND($C136&gt;0,AI$46&gt;=$C$9+6+$C$26,SUM($E136:AH136)&lt;$C136),MIN($C136/$C$27,$C136-SUM($E136:AH136)),0)</f>
        <v/>
      </c>
      <c r="AJ136" s="90">
        <f>IF(AND($C136&gt;0,AJ$46&gt;=$C$9+6+$C$26,SUM($E136:AI136)&lt;$C136),MIN($C136/$C$27,$C136-SUM($E136:AI136)),0)</f>
        <v/>
      </c>
      <c r="AK136" s="90">
        <f>IF(AND($C136&gt;0,AK$46&gt;=$C$9+6+$C$26,SUM($E136:AJ136)&lt;$C136),MIN($C136/$C$27,$C136-SUM($E136:AJ136)),0)</f>
        <v/>
      </c>
      <c r="AL136" s="90">
        <f>IF(AND($C136&gt;0,AL$46&gt;=$C$9+6+$C$26,SUM($E136:AK136)&lt;$C136),MIN($C136/$C$27,$C136-SUM($E136:AK136)),0)</f>
        <v/>
      </c>
      <c r="AM136" s="90">
        <f>IF(AND($C136&gt;0,AM$46&gt;=$C$9+6+$C$26,SUM($E136:AL136)&lt;$C136),MIN($C136/$C$27,$C136-SUM($E136:AL136)),0)</f>
        <v/>
      </c>
      <c r="AN136" s="90">
        <f>IF(AND($C136&gt;0,AN$46&gt;=$C$9+6+$C$26,SUM($E136:AM136)&lt;$C136),MIN($C136/$C$27,$C136-SUM($E136:AM136)),0)</f>
        <v/>
      </c>
      <c r="AO136" s="90">
        <f>IF(AND($C136&gt;0,AO$46&gt;=$C$9+6+$C$26,SUM($E136:AN136)&lt;$C136),MIN($C136/$C$27,$C136-SUM($E136:AN136)),0)</f>
        <v/>
      </c>
      <c r="AP136" s="90">
        <f>IF(AND($C136&gt;0,AP$46&gt;=$C$9+6+$C$26,SUM($E136:AO136)&lt;$C136),MIN($C136/$C$27,$C136-SUM($E136:AO136)),0)</f>
        <v/>
      </c>
      <c r="AQ136" s="90">
        <f>IF(AND($C136&gt;0,AQ$46&gt;=$C$9+6+$C$26,SUM($E136:AP136)&lt;$C136),MIN($C136/$C$27,$C136-SUM($E136:AP136)),0)</f>
        <v/>
      </c>
      <c r="AR136" s="90">
        <f>IF(AND($C136&gt;0,AR$46&gt;=$C$9+6+$C$26,SUM($E136:AQ136)&lt;$C136),MIN($C136/$C$27,$C136-SUM($E136:AQ136)),0)</f>
        <v/>
      </c>
      <c r="AS136" s="90">
        <f>IF(AND($C136&gt;0,AS$46&gt;=$C$9+6+$C$26,SUM($E136:AR136)&lt;$C136),MIN($C136/$C$27,$C136-SUM($E136:AR136)),0)</f>
        <v/>
      </c>
      <c r="AT136" s="90">
        <f>IF(AND($C136&gt;0,AT$46&gt;=$C$9+6+$C$26,SUM($E136:AS136)&lt;$C136),MIN($C136/$C$27,$C136-SUM($E136:AS136)),0)</f>
        <v/>
      </c>
      <c r="AU136" s="90">
        <f>IF(AND($C136&gt;0,AU$46&gt;=$C$9+6+$C$26,SUM($E136:AT136)&lt;$C136),MIN($C136/$C$27,$C136-SUM($E136:AT136)),0)</f>
        <v/>
      </c>
      <c r="AV136" s="90">
        <f>IF(AND($C136&gt;0,AV$46&gt;=$C$9+6+$C$26,SUM($E136:AU136)&lt;$C136),MIN($C136/$C$27,$C136-SUM($E136:AU136)),0)</f>
        <v/>
      </c>
      <c r="AW136" s="90">
        <f>IF(AND($C136&gt;0,AW$46&gt;=$C$9+6+$C$26,SUM($E136:AV136)&lt;$C136),MIN($C136/$C$27,$C136-SUM($E136:AV136)),0)</f>
        <v/>
      </c>
      <c r="AX136" s="90">
        <f>IF(AND($C136&gt;0,AX$46&gt;=$C$9+6+$C$26,SUM($E136:AW136)&lt;$C136),MIN($C136/$C$27,$C136-SUM($E136:AW136)),0)</f>
        <v/>
      </c>
      <c r="AY136" s="90">
        <f>IF(AND($C136&gt;0,AY$46&gt;=$C$9+6+$C$26,SUM($E136:AX136)&lt;$C136),MIN($C136/$C$27,$C136-SUM($E136:AX136)),0)</f>
        <v/>
      </c>
      <c r="AZ136" s="90">
        <f>IF(AND($C136&gt;0,AZ$46&gt;=$C$9+6+$C$26,SUM($E136:AY136)&lt;$C136),MIN($C136/$C$27,$C136-SUM($E136:AY136)),0)</f>
        <v/>
      </c>
      <c r="BA136" s="90">
        <f>IF(AND($C136&gt;0,BA$46&gt;=$C$9+6+$C$26,SUM($E136:AZ136)&lt;$C136),MIN($C136/$C$27,$C136-SUM($E136:AZ136)),0)</f>
        <v/>
      </c>
      <c r="BB136" s="90">
        <f>IF(AND($C136&gt;0,BB$46&gt;=$C$9+6+$C$26,SUM($E136:BA136)&lt;$C136),MIN($C136/$C$27,$C136-SUM($E136:BA136)),0)</f>
        <v/>
      </c>
    </row>
    <row r="137" ht="15" customHeight="1" s="91">
      <c r="B137" s="153" t="inlineStr">
        <is>
          <t>Tranche 8</t>
        </is>
      </c>
      <c r="C137" s="160">
        <f>IF(ABS($D$49)&gt;0,SUMPRODUCT(($E$46:$BB$46=$C$9+7)*IF($E49:$BB49&lt;0,ABS($E49:$BB49),0))*$C$19/ABS($D$49),0)</f>
        <v/>
      </c>
      <c r="D137" s="160">
        <f>SUM(E137:BB137)</f>
        <v/>
      </c>
      <c r="E137" s="90">
        <f>IF(AND($C137&gt;0,E$46&gt;=$C$9+7+$C$26,0&lt;$C137),MIN($C137/$C$27,$C137-0),0)</f>
        <v/>
      </c>
      <c r="F137" s="90">
        <f>IF(AND($C137&gt;0,F$46&gt;=$C$9+7+$C$26,SUM($E137:E137)&lt;$C137),MIN($C137/$C$27,$C137-SUM($E137:E137)),0)</f>
        <v/>
      </c>
      <c r="G137" s="90">
        <f>IF(AND($C137&gt;0,G$46&gt;=$C$9+7+$C$26,SUM($E137:F137)&lt;$C137),MIN($C137/$C$27,$C137-SUM($E137:F137)),0)</f>
        <v/>
      </c>
      <c r="H137" s="90">
        <f>IF(AND($C137&gt;0,H$46&gt;=$C$9+7+$C$26,SUM($E137:G137)&lt;$C137),MIN($C137/$C$27,$C137-SUM($E137:G137)),0)</f>
        <v/>
      </c>
      <c r="I137" s="90">
        <f>IF(AND($C137&gt;0,I$46&gt;=$C$9+7+$C$26,SUM($E137:H137)&lt;$C137),MIN($C137/$C$27,$C137-SUM($E137:H137)),0)</f>
        <v/>
      </c>
      <c r="J137" s="90">
        <f>IF(AND($C137&gt;0,J$46&gt;=$C$9+7+$C$26,SUM($E137:I137)&lt;$C137),MIN($C137/$C$27,$C137-SUM($E137:I137)),0)</f>
        <v/>
      </c>
      <c r="K137" s="90">
        <f>IF(AND($C137&gt;0,K$46&gt;=$C$9+7+$C$26,SUM($E137:J137)&lt;$C137),MIN($C137/$C$27,$C137-SUM($E137:J137)),0)</f>
        <v/>
      </c>
      <c r="L137" s="90">
        <f>IF(AND($C137&gt;0,L$46&gt;=$C$9+7+$C$26,SUM($E137:K137)&lt;$C137),MIN($C137/$C$27,$C137-SUM($E137:K137)),0)</f>
        <v/>
      </c>
      <c r="M137" s="90">
        <f>IF(AND($C137&gt;0,M$46&gt;=$C$9+7+$C$26,SUM($E137:L137)&lt;$C137),MIN($C137/$C$27,$C137-SUM($E137:L137)),0)</f>
        <v/>
      </c>
      <c r="N137" s="90">
        <f>IF(AND($C137&gt;0,N$46&gt;=$C$9+7+$C$26,SUM($E137:M137)&lt;$C137),MIN($C137/$C$27,$C137-SUM($E137:M137)),0)</f>
        <v/>
      </c>
      <c r="O137" s="90">
        <f>IF(AND($C137&gt;0,O$46&gt;=$C$9+7+$C$26,SUM($E137:N137)&lt;$C137),MIN($C137/$C$27,$C137-SUM($E137:N137)),0)</f>
        <v/>
      </c>
      <c r="P137" s="90">
        <f>IF(AND($C137&gt;0,P$46&gt;=$C$9+7+$C$26,SUM($E137:O137)&lt;$C137),MIN($C137/$C$27,$C137-SUM($E137:O137)),0)</f>
        <v/>
      </c>
      <c r="Q137" s="90">
        <f>IF(AND($C137&gt;0,Q$46&gt;=$C$9+7+$C$26,SUM($E137:P137)&lt;$C137),MIN($C137/$C$27,$C137-SUM($E137:P137)),0)</f>
        <v/>
      </c>
      <c r="R137" s="90">
        <f>IF(AND($C137&gt;0,R$46&gt;=$C$9+7+$C$26,SUM($E137:Q137)&lt;$C137),MIN($C137/$C$27,$C137-SUM($E137:Q137)),0)</f>
        <v/>
      </c>
      <c r="S137" s="90">
        <f>IF(AND($C137&gt;0,S$46&gt;=$C$9+7+$C$26,SUM($E137:R137)&lt;$C137),MIN($C137/$C$27,$C137-SUM($E137:R137)),0)</f>
        <v/>
      </c>
      <c r="T137" s="90">
        <f>IF(AND($C137&gt;0,T$46&gt;=$C$9+7+$C$26,SUM($E137:S137)&lt;$C137),MIN($C137/$C$27,$C137-SUM($E137:S137)),0)</f>
        <v/>
      </c>
      <c r="U137" s="90">
        <f>IF(AND($C137&gt;0,U$46&gt;=$C$9+7+$C$26,SUM($E137:T137)&lt;$C137),MIN($C137/$C$27,$C137-SUM($E137:T137)),0)</f>
        <v/>
      </c>
      <c r="V137" s="90">
        <f>IF(AND($C137&gt;0,V$46&gt;=$C$9+7+$C$26,SUM($E137:U137)&lt;$C137),MIN($C137/$C$27,$C137-SUM($E137:U137)),0)</f>
        <v/>
      </c>
      <c r="W137" s="90">
        <f>IF(AND($C137&gt;0,W$46&gt;=$C$9+7+$C$26,SUM($E137:V137)&lt;$C137),MIN($C137/$C$27,$C137-SUM($E137:V137)),0)</f>
        <v/>
      </c>
      <c r="X137" s="90">
        <f>IF(AND($C137&gt;0,X$46&gt;=$C$9+7+$C$26,SUM($E137:W137)&lt;$C137),MIN($C137/$C$27,$C137-SUM($E137:W137)),0)</f>
        <v/>
      </c>
      <c r="Y137" s="90">
        <f>IF(AND($C137&gt;0,Y$46&gt;=$C$9+7+$C$26,SUM($E137:X137)&lt;$C137),MIN($C137/$C$27,$C137-SUM($E137:X137)),0)</f>
        <v/>
      </c>
      <c r="Z137" s="90">
        <f>IF(AND($C137&gt;0,Z$46&gt;=$C$9+7+$C$26,SUM($E137:Y137)&lt;$C137),MIN($C137/$C$27,$C137-SUM($E137:Y137)),0)</f>
        <v/>
      </c>
      <c r="AA137" s="90">
        <f>IF(AND($C137&gt;0,AA$46&gt;=$C$9+7+$C$26,SUM($E137:Z137)&lt;$C137),MIN($C137/$C$27,$C137-SUM($E137:Z137)),0)</f>
        <v/>
      </c>
      <c r="AB137" s="90">
        <f>IF(AND($C137&gt;0,AB$46&gt;=$C$9+7+$C$26,SUM($E137:AA137)&lt;$C137),MIN($C137/$C$27,$C137-SUM($E137:AA137)),0)</f>
        <v/>
      </c>
      <c r="AC137" s="90">
        <f>IF(AND($C137&gt;0,AC$46&gt;=$C$9+7+$C$26,SUM($E137:AB137)&lt;$C137),MIN($C137/$C$27,$C137-SUM($E137:AB137)),0)</f>
        <v/>
      </c>
      <c r="AD137" s="90">
        <f>IF(AND($C137&gt;0,AD$46&gt;=$C$9+7+$C$26,SUM($E137:AC137)&lt;$C137),MIN($C137/$C$27,$C137-SUM($E137:AC137)),0)</f>
        <v/>
      </c>
      <c r="AE137" s="90">
        <f>IF(AND($C137&gt;0,AE$46&gt;=$C$9+7+$C$26,SUM($E137:AD137)&lt;$C137),MIN($C137/$C$27,$C137-SUM($E137:AD137)),0)</f>
        <v/>
      </c>
      <c r="AF137" s="90">
        <f>IF(AND($C137&gt;0,AF$46&gt;=$C$9+7+$C$26,SUM($E137:AE137)&lt;$C137),MIN($C137/$C$27,$C137-SUM($E137:AE137)),0)</f>
        <v/>
      </c>
      <c r="AG137" s="90">
        <f>IF(AND($C137&gt;0,AG$46&gt;=$C$9+7+$C$26,SUM($E137:AF137)&lt;$C137),MIN($C137/$C$27,$C137-SUM($E137:AF137)),0)</f>
        <v/>
      </c>
      <c r="AH137" s="90">
        <f>IF(AND($C137&gt;0,AH$46&gt;=$C$9+7+$C$26,SUM($E137:AG137)&lt;$C137),MIN($C137/$C$27,$C137-SUM($E137:AG137)),0)</f>
        <v/>
      </c>
      <c r="AI137" s="90">
        <f>IF(AND($C137&gt;0,AI$46&gt;=$C$9+7+$C$26,SUM($E137:AH137)&lt;$C137),MIN($C137/$C$27,$C137-SUM($E137:AH137)),0)</f>
        <v/>
      </c>
      <c r="AJ137" s="90">
        <f>IF(AND($C137&gt;0,AJ$46&gt;=$C$9+7+$C$26,SUM($E137:AI137)&lt;$C137),MIN($C137/$C$27,$C137-SUM($E137:AI137)),0)</f>
        <v/>
      </c>
      <c r="AK137" s="90">
        <f>IF(AND($C137&gt;0,AK$46&gt;=$C$9+7+$C$26,SUM($E137:AJ137)&lt;$C137),MIN($C137/$C$27,$C137-SUM($E137:AJ137)),0)</f>
        <v/>
      </c>
      <c r="AL137" s="90">
        <f>IF(AND($C137&gt;0,AL$46&gt;=$C$9+7+$C$26,SUM($E137:AK137)&lt;$C137),MIN($C137/$C$27,$C137-SUM($E137:AK137)),0)</f>
        <v/>
      </c>
      <c r="AM137" s="90">
        <f>IF(AND($C137&gt;0,AM$46&gt;=$C$9+7+$C$26,SUM($E137:AL137)&lt;$C137),MIN($C137/$C$27,$C137-SUM($E137:AL137)),0)</f>
        <v/>
      </c>
      <c r="AN137" s="90">
        <f>IF(AND($C137&gt;0,AN$46&gt;=$C$9+7+$C$26,SUM($E137:AM137)&lt;$C137),MIN($C137/$C$27,$C137-SUM($E137:AM137)),0)</f>
        <v/>
      </c>
      <c r="AO137" s="90">
        <f>IF(AND($C137&gt;0,AO$46&gt;=$C$9+7+$C$26,SUM($E137:AN137)&lt;$C137),MIN($C137/$C$27,$C137-SUM($E137:AN137)),0)</f>
        <v/>
      </c>
      <c r="AP137" s="90">
        <f>IF(AND($C137&gt;0,AP$46&gt;=$C$9+7+$C$26,SUM($E137:AO137)&lt;$C137),MIN($C137/$C$27,$C137-SUM($E137:AO137)),0)</f>
        <v/>
      </c>
      <c r="AQ137" s="90">
        <f>IF(AND($C137&gt;0,AQ$46&gt;=$C$9+7+$C$26,SUM($E137:AP137)&lt;$C137),MIN($C137/$C$27,$C137-SUM($E137:AP137)),0)</f>
        <v/>
      </c>
      <c r="AR137" s="90">
        <f>IF(AND($C137&gt;0,AR$46&gt;=$C$9+7+$C$26,SUM($E137:AQ137)&lt;$C137),MIN($C137/$C$27,$C137-SUM($E137:AQ137)),0)</f>
        <v/>
      </c>
      <c r="AS137" s="90">
        <f>IF(AND($C137&gt;0,AS$46&gt;=$C$9+7+$C$26,SUM($E137:AR137)&lt;$C137),MIN($C137/$C$27,$C137-SUM($E137:AR137)),0)</f>
        <v/>
      </c>
      <c r="AT137" s="90">
        <f>IF(AND($C137&gt;0,AT$46&gt;=$C$9+7+$C$26,SUM($E137:AS137)&lt;$C137),MIN($C137/$C$27,$C137-SUM($E137:AS137)),0)</f>
        <v/>
      </c>
      <c r="AU137" s="90">
        <f>IF(AND($C137&gt;0,AU$46&gt;=$C$9+7+$C$26,SUM($E137:AT137)&lt;$C137),MIN($C137/$C$27,$C137-SUM($E137:AT137)),0)</f>
        <v/>
      </c>
      <c r="AV137" s="90">
        <f>IF(AND($C137&gt;0,AV$46&gt;=$C$9+7+$C$26,SUM($E137:AU137)&lt;$C137),MIN($C137/$C$27,$C137-SUM($E137:AU137)),0)</f>
        <v/>
      </c>
      <c r="AW137" s="90">
        <f>IF(AND($C137&gt;0,AW$46&gt;=$C$9+7+$C$26,SUM($E137:AV137)&lt;$C137),MIN($C137/$C$27,$C137-SUM($E137:AV137)),0)</f>
        <v/>
      </c>
      <c r="AX137" s="90">
        <f>IF(AND($C137&gt;0,AX$46&gt;=$C$9+7+$C$26,SUM($E137:AW137)&lt;$C137),MIN($C137/$C$27,$C137-SUM($E137:AW137)),0)</f>
        <v/>
      </c>
      <c r="AY137" s="90">
        <f>IF(AND($C137&gt;0,AY$46&gt;=$C$9+7+$C$26,SUM($E137:AX137)&lt;$C137),MIN($C137/$C$27,$C137-SUM($E137:AX137)),0)</f>
        <v/>
      </c>
      <c r="AZ137" s="90">
        <f>IF(AND($C137&gt;0,AZ$46&gt;=$C$9+7+$C$26,SUM($E137:AY137)&lt;$C137),MIN($C137/$C$27,$C137-SUM($E137:AY137)),0)</f>
        <v/>
      </c>
      <c r="BA137" s="90">
        <f>IF(AND($C137&gt;0,BA$46&gt;=$C$9+7+$C$26,SUM($E137:AZ137)&lt;$C137),MIN($C137/$C$27,$C137-SUM($E137:AZ137)),0)</f>
        <v/>
      </c>
      <c r="BB137" s="90">
        <f>IF(AND($C137&gt;0,BB$46&gt;=$C$9+7+$C$26,SUM($E137:BA137)&lt;$C137),MIN($C137/$C$27,$C137-SUM($E137:BA137)),0)</f>
        <v/>
      </c>
    </row>
    <row r="138" ht="15" customHeight="1" s="91">
      <c r="B138" s="90" t="inlineStr">
        <is>
          <t>Tranche 9</t>
        </is>
      </c>
      <c r="C138" s="170">
        <f>IF(ABS($D$49)&gt;0,SUMPRODUCT(($E$46:$BB$46=$C$9+8)*IF($E49:$BB49&lt;0,ABS($E49:$BB49),0))*$C$19/ABS($D$49),0)</f>
        <v/>
      </c>
      <c r="D138" s="90">
        <f>SUM(E138:BB138)</f>
        <v/>
      </c>
      <c r="E138" s="90">
        <f>IF(AND($C138&gt;0,E$46&gt;=$C$9+8+$C$26,0&lt;$C138),MIN($C138/$C$27,$C138-0),0)</f>
        <v/>
      </c>
      <c r="F138" s="90">
        <f>IF(AND($C138&gt;0,F$46&gt;=$C$9+8+$C$26,SUM($E138:E138)&lt;$C138),MIN($C138/$C$27,$C138-SUM($E138:E138)),0)</f>
        <v/>
      </c>
      <c r="G138" s="90">
        <f>IF(AND($C138&gt;0,G$46&gt;=$C$9+8+$C$26,SUM($E138:F138)&lt;$C138),MIN($C138/$C$27,$C138-SUM($E138:F138)),0)</f>
        <v/>
      </c>
      <c r="H138" s="90">
        <f>IF(AND($C138&gt;0,H$46&gt;=$C$9+8+$C$26,SUM($E138:G138)&lt;$C138),MIN($C138/$C$27,$C138-SUM($E138:G138)),0)</f>
        <v/>
      </c>
      <c r="I138" s="90">
        <f>IF(AND($C138&gt;0,I$46&gt;=$C$9+8+$C$26,SUM($E138:H138)&lt;$C138),MIN($C138/$C$27,$C138-SUM($E138:H138)),0)</f>
        <v/>
      </c>
      <c r="J138" s="90">
        <f>IF(AND($C138&gt;0,J$46&gt;=$C$9+8+$C$26,SUM($E138:I138)&lt;$C138),MIN($C138/$C$27,$C138-SUM($E138:I138)),0)</f>
        <v/>
      </c>
      <c r="K138" s="90">
        <f>IF(AND($C138&gt;0,K$46&gt;=$C$9+8+$C$26,SUM($E138:J138)&lt;$C138),MIN($C138/$C$27,$C138-SUM($E138:J138)),0)</f>
        <v/>
      </c>
      <c r="L138" s="90">
        <f>IF(AND($C138&gt;0,L$46&gt;=$C$9+8+$C$26,SUM($E138:K138)&lt;$C138),MIN($C138/$C$27,$C138-SUM($E138:K138)),0)</f>
        <v/>
      </c>
      <c r="M138" s="90">
        <f>IF(AND($C138&gt;0,M$46&gt;=$C$9+8+$C$26,SUM($E138:L138)&lt;$C138),MIN($C138/$C$27,$C138-SUM($E138:L138)),0)</f>
        <v/>
      </c>
      <c r="N138" s="90">
        <f>IF(AND($C138&gt;0,N$46&gt;=$C$9+8+$C$26,SUM($E138:M138)&lt;$C138),MIN($C138/$C$27,$C138-SUM($E138:M138)),0)</f>
        <v/>
      </c>
      <c r="O138" s="90">
        <f>IF(AND($C138&gt;0,O$46&gt;=$C$9+8+$C$26,SUM($E138:N138)&lt;$C138),MIN($C138/$C$27,$C138-SUM($E138:N138)),0)</f>
        <v/>
      </c>
      <c r="P138" s="90">
        <f>IF(AND($C138&gt;0,P$46&gt;=$C$9+8+$C$26,SUM($E138:O138)&lt;$C138),MIN($C138/$C$27,$C138-SUM($E138:O138)),0)</f>
        <v/>
      </c>
      <c r="Q138" s="90">
        <f>IF(AND($C138&gt;0,Q$46&gt;=$C$9+8+$C$26,SUM($E138:P138)&lt;$C138),MIN($C138/$C$27,$C138-SUM($E138:P138)),0)</f>
        <v/>
      </c>
      <c r="R138" s="90">
        <f>IF(AND($C138&gt;0,R$46&gt;=$C$9+8+$C$26,SUM($E138:Q138)&lt;$C138),MIN($C138/$C$27,$C138-SUM($E138:Q138)),0)</f>
        <v/>
      </c>
      <c r="S138" s="90">
        <f>IF(AND($C138&gt;0,S$46&gt;=$C$9+8+$C$26,SUM($E138:R138)&lt;$C138),MIN($C138/$C$27,$C138-SUM($E138:R138)),0)</f>
        <v/>
      </c>
      <c r="T138" s="90">
        <f>IF(AND($C138&gt;0,T$46&gt;=$C$9+8+$C$26,SUM($E138:S138)&lt;$C138),MIN($C138/$C$27,$C138-SUM($E138:S138)),0)</f>
        <v/>
      </c>
      <c r="U138" s="90">
        <f>IF(AND($C138&gt;0,U$46&gt;=$C$9+8+$C$26,SUM($E138:T138)&lt;$C138),MIN($C138/$C$27,$C138-SUM($E138:T138)),0)</f>
        <v/>
      </c>
      <c r="V138" s="90">
        <f>IF(AND($C138&gt;0,V$46&gt;=$C$9+8+$C$26,SUM($E138:U138)&lt;$C138),MIN($C138/$C$27,$C138-SUM($E138:U138)),0)</f>
        <v/>
      </c>
      <c r="W138" s="90">
        <f>IF(AND($C138&gt;0,W$46&gt;=$C$9+8+$C$26,SUM($E138:V138)&lt;$C138),MIN($C138/$C$27,$C138-SUM($E138:V138)),0)</f>
        <v/>
      </c>
      <c r="X138" s="90">
        <f>IF(AND($C138&gt;0,X$46&gt;=$C$9+8+$C$26,SUM($E138:W138)&lt;$C138),MIN($C138/$C$27,$C138-SUM($E138:W138)),0)</f>
        <v/>
      </c>
      <c r="Y138" s="90">
        <f>IF(AND($C138&gt;0,Y$46&gt;=$C$9+8+$C$26,SUM($E138:X138)&lt;$C138),MIN($C138/$C$27,$C138-SUM($E138:X138)),0)</f>
        <v/>
      </c>
      <c r="Z138" s="90">
        <f>IF(AND($C138&gt;0,Z$46&gt;=$C$9+8+$C$26,SUM($E138:Y138)&lt;$C138),MIN($C138/$C$27,$C138-SUM($E138:Y138)),0)</f>
        <v/>
      </c>
      <c r="AA138" s="90">
        <f>IF(AND($C138&gt;0,AA$46&gt;=$C$9+8+$C$26,SUM($E138:Z138)&lt;$C138),MIN($C138/$C$27,$C138-SUM($E138:Z138)),0)</f>
        <v/>
      </c>
      <c r="AB138" s="90">
        <f>IF(AND($C138&gt;0,AB$46&gt;=$C$9+8+$C$26,SUM($E138:AA138)&lt;$C138),MIN($C138/$C$27,$C138-SUM($E138:AA138)),0)</f>
        <v/>
      </c>
      <c r="AC138" s="90">
        <f>IF(AND($C138&gt;0,AC$46&gt;=$C$9+8+$C$26,SUM($E138:AB138)&lt;$C138),MIN($C138/$C$27,$C138-SUM($E138:AB138)),0)</f>
        <v/>
      </c>
      <c r="AD138" s="90">
        <f>IF(AND($C138&gt;0,AD$46&gt;=$C$9+8+$C$26,SUM($E138:AC138)&lt;$C138),MIN($C138/$C$27,$C138-SUM($E138:AC138)),0)</f>
        <v/>
      </c>
      <c r="AE138" s="90">
        <f>IF(AND($C138&gt;0,AE$46&gt;=$C$9+8+$C$26,SUM($E138:AD138)&lt;$C138),MIN($C138/$C$27,$C138-SUM($E138:AD138)),0)</f>
        <v/>
      </c>
      <c r="AF138" s="90">
        <f>IF(AND($C138&gt;0,AF$46&gt;=$C$9+8+$C$26,SUM($E138:AE138)&lt;$C138),MIN($C138/$C$27,$C138-SUM($E138:AE138)),0)</f>
        <v/>
      </c>
      <c r="AG138" s="90">
        <f>IF(AND($C138&gt;0,AG$46&gt;=$C$9+8+$C$26,SUM($E138:AF138)&lt;$C138),MIN($C138/$C$27,$C138-SUM($E138:AF138)),0)</f>
        <v/>
      </c>
      <c r="AH138" s="90">
        <f>IF(AND($C138&gt;0,AH$46&gt;=$C$9+8+$C$26,SUM($E138:AG138)&lt;$C138),MIN($C138/$C$27,$C138-SUM($E138:AG138)),0)</f>
        <v/>
      </c>
      <c r="AI138" s="90">
        <f>IF(AND($C138&gt;0,AI$46&gt;=$C$9+8+$C$26,SUM($E138:AH138)&lt;$C138),MIN($C138/$C$27,$C138-SUM($E138:AH138)),0)</f>
        <v/>
      </c>
      <c r="AJ138" s="90">
        <f>IF(AND($C138&gt;0,AJ$46&gt;=$C$9+8+$C$26,SUM($E138:AI138)&lt;$C138),MIN($C138/$C$27,$C138-SUM($E138:AI138)),0)</f>
        <v/>
      </c>
      <c r="AK138" s="90">
        <f>IF(AND($C138&gt;0,AK$46&gt;=$C$9+8+$C$26,SUM($E138:AJ138)&lt;$C138),MIN($C138/$C$27,$C138-SUM($E138:AJ138)),0)</f>
        <v/>
      </c>
      <c r="AL138" s="90">
        <f>IF(AND($C138&gt;0,AL$46&gt;=$C$9+8+$C$26,SUM($E138:AK138)&lt;$C138),MIN($C138/$C$27,$C138-SUM($E138:AK138)),0)</f>
        <v/>
      </c>
      <c r="AM138" s="90">
        <f>IF(AND($C138&gt;0,AM$46&gt;=$C$9+8+$C$26,SUM($E138:AL138)&lt;$C138),MIN($C138/$C$27,$C138-SUM($E138:AL138)),0)</f>
        <v/>
      </c>
      <c r="AN138" s="90">
        <f>IF(AND($C138&gt;0,AN$46&gt;=$C$9+8+$C$26,SUM($E138:AM138)&lt;$C138),MIN($C138/$C$27,$C138-SUM($E138:AM138)),0)</f>
        <v/>
      </c>
      <c r="AO138" s="90">
        <f>IF(AND($C138&gt;0,AO$46&gt;=$C$9+8+$C$26,SUM($E138:AN138)&lt;$C138),MIN($C138/$C$27,$C138-SUM($E138:AN138)),0)</f>
        <v/>
      </c>
      <c r="AP138" s="90">
        <f>IF(AND($C138&gt;0,AP$46&gt;=$C$9+8+$C$26,SUM($E138:AO138)&lt;$C138),MIN($C138/$C$27,$C138-SUM($E138:AO138)),0)</f>
        <v/>
      </c>
      <c r="AQ138" s="90">
        <f>IF(AND($C138&gt;0,AQ$46&gt;=$C$9+8+$C$26,SUM($E138:AP138)&lt;$C138),MIN($C138/$C$27,$C138-SUM($E138:AP138)),0)</f>
        <v/>
      </c>
      <c r="AR138" s="90">
        <f>IF(AND($C138&gt;0,AR$46&gt;=$C$9+8+$C$26,SUM($E138:AQ138)&lt;$C138),MIN($C138/$C$27,$C138-SUM($E138:AQ138)),0)</f>
        <v/>
      </c>
      <c r="AS138" s="90">
        <f>IF(AND($C138&gt;0,AS$46&gt;=$C$9+8+$C$26,SUM($E138:AR138)&lt;$C138),MIN($C138/$C$27,$C138-SUM($E138:AR138)),0)</f>
        <v/>
      </c>
      <c r="AT138" s="90">
        <f>IF(AND($C138&gt;0,AT$46&gt;=$C$9+8+$C$26,SUM($E138:AS138)&lt;$C138),MIN($C138/$C$27,$C138-SUM($E138:AS138)),0)</f>
        <v/>
      </c>
      <c r="AU138" s="90">
        <f>IF(AND($C138&gt;0,AU$46&gt;=$C$9+8+$C$26,SUM($E138:AT138)&lt;$C138),MIN($C138/$C$27,$C138-SUM($E138:AT138)),0)</f>
        <v/>
      </c>
      <c r="AV138" s="90">
        <f>IF(AND($C138&gt;0,AV$46&gt;=$C$9+8+$C$26,SUM($E138:AU138)&lt;$C138),MIN($C138/$C$27,$C138-SUM($E138:AU138)),0)</f>
        <v/>
      </c>
      <c r="AW138" s="90">
        <f>IF(AND($C138&gt;0,AW$46&gt;=$C$9+8+$C$26,SUM($E138:AV138)&lt;$C138),MIN($C138/$C$27,$C138-SUM($E138:AV138)),0)</f>
        <v/>
      </c>
      <c r="AX138" s="90">
        <f>IF(AND($C138&gt;0,AX$46&gt;=$C$9+8+$C$26,SUM($E138:AW138)&lt;$C138),MIN($C138/$C$27,$C138-SUM($E138:AW138)),0)</f>
        <v/>
      </c>
      <c r="AY138" s="90">
        <f>IF(AND($C138&gt;0,AY$46&gt;=$C$9+8+$C$26,SUM($E138:AX138)&lt;$C138),MIN($C138/$C$27,$C138-SUM($E138:AX138)),0)</f>
        <v/>
      </c>
      <c r="AZ138" s="90">
        <f>IF(AND($C138&gt;0,AZ$46&gt;=$C$9+8+$C$26,SUM($E138:AY138)&lt;$C138),MIN($C138/$C$27,$C138-SUM($E138:AY138)),0)</f>
        <v/>
      </c>
      <c r="BA138" s="90">
        <f>IF(AND($C138&gt;0,BA$46&gt;=$C$9+8+$C$26,SUM($E138:AZ138)&lt;$C138),MIN($C138/$C$27,$C138-SUM($E138:AZ138)),0)</f>
        <v/>
      </c>
      <c r="BB138" s="90">
        <f>IF(AND($C138&gt;0,BB$46&gt;=$C$9+8+$C$26,SUM($E138:BA138)&lt;$C138),MIN($C138/$C$27,$C138-SUM($E138:BA138)),0)</f>
        <v/>
      </c>
    </row>
    <row r="139" ht="15" customHeight="1" s="91">
      <c r="B139" s="90" t="inlineStr">
        <is>
          <t>Tranche 10</t>
        </is>
      </c>
      <c r="C139" s="170">
        <f>IF(ABS($D$49)&gt;0,SUMPRODUCT(($E$46:$BB$46=$C$9+9)*IF($E49:$BB49&lt;0,ABS($E49:$BB49),0))*$C$19/ABS($D$49),0)</f>
        <v/>
      </c>
      <c r="D139" s="90">
        <f>SUM(E139:BB139)</f>
        <v/>
      </c>
      <c r="E139" s="90">
        <f>IF(AND($C139&gt;0,E$46&gt;=$C$9+9+$C$26,0&lt;$C139),MIN($C139/$C$27,$C139-0),0)</f>
        <v/>
      </c>
      <c r="F139" s="90">
        <f>IF(AND($C139&gt;0,F$46&gt;=$C$9+9+$C$26,SUM($E139:E139)&lt;$C139),MIN($C139/$C$27,$C139-SUM($E139:E139)),0)</f>
        <v/>
      </c>
      <c r="G139" s="90">
        <f>IF(AND($C139&gt;0,G$46&gt;=$C$9+9+$C$26,SUM($E139:F139)&lt;$C139),MIN($C139/$C$27,$C139-SUM($E139:F139)),0)</f>
        <v/>
      </c>
      <c r="H139" s="90">
        <f>IF(AND($C139&gt;0,H$46&gt;=$C$9+9+$C$26,SUM($E139:G139)&lt;$C139),MIN($C139/$C$27,$C139-SUM($E139:G139)),0)</f>
        <v/>
      </c>
      <c r="I139" s="90">
        <f>IF(AND($C139&gt;0,I$46&gt;=$C$9+9+$C$26,SUM($E139:H139)&lt;$C139),MIN($C139/$C$27,$C139-SUM($E139:H139)),0)</f>
        <v/>
      </c>
      <c r="J139" s="90">
        <f>IF(AND($C139&gt;0,J$46&gt;=$C$9+9+$C$26,SUM($E139:I139)&lt;$C139),MIN($C139/$C$27,$C139-SUM($E139:I139)),0)</f>
        <v/>
      </c>
      <c r="K139" s="90">
        <f>IF(AND($C139&gt;0,K$46&gt;=$C$9+9+$C$26,SUM($E139:J139)&lt;$C139),MIN($C139/$C$27,$C139-SUM($E139:J139)),0)</f>
        <v/>
      </c>
      <c r="L139" s="90">
        <f>IF(AND($C139&gt;0,L$46&gt;=$C$9+9+$C$26,SUM($E139:K139)&lt;$C139),MIN($C139/$C$27,$C139-SUM($E139:K139)),0)</f>
        <v/>
      </c>
      <c r="M139" s="90">
        <f>IF(AND($C139&gt;0,M$46&gt;=$C$9+9+$C$26,SUM($E139:L139)&lt;$C139),MIN($C139/$C$27,$C139-SUM($E139:L139)),0)</f>
        <v/>
      </c>
      <c r="N139" s="90">
        <f>IF(AND($C139&gt;0,N$46&gt;=$C$9+9+$C$26,SUM($E139:M139)&lt;$C139),MIN($C139/$C$27,$C139-SUM($E139:M139)),0)</f>
        <v/>
      </c>
      <c r="O139" s="90">
        <f>IF(AND($C139&gt;0,O$46&gt;=$C$9+9+$C$26,SUM($E139:N139)&lt;$C139),MIN($C139/$C$27,$C139-SUM($E139:N139)),0)</f>
        <v/>
      </c>
      <c r="P139" s="90">
        <f>IF(AND($C139&gt;0,P$46&gt;=$C$9+9+$C$26,SUM($E139:O139)&lt;$C139),MIN($C139/$C$27,$C139-SUM($E139:O139)),0)</f>
        <v/>
      </c>
      <c r="Q139" s="90">
        <f>IF(AND($C139&gt;0,Q$46&gt;=$C$9+9+$C$26,SUM($E139:P139)&lt;$C139),MIN($C139/$C$27,$C139-SUM($E139:P139)),0)</f>
        <v/>
      </c>
      <c r="R139" s="90">
        <f>IF(AND($C139&gt;0,R$46&gt;=$C$9+9+$C$26,SUM($E139:Q139)&lt;$C139),MIN($C139/$C$27,$C139-SUM($E139:Q139)),0)</f>
        <v/>
      </c>
      <c r="S139" s="90">
        <f>IF(AND($C139&gt;0,S$46&gt;=$C$9+9+$C$26,SUM($E139:R139)&lt;$C139),MIN($C139/$C$27,$C139-SUM($E139:R139)),0)</f>
        <v/>
      </c>
      <c r="T139" s="90">
        <f>IF(AND($C139&gt;0,T$46&gt;=$C$9+9+$C$26,SUM($E139:S139)&lt;$C139),MIN($C139/$C$27,$C139-SUM($E139:S139)),0)</f>
        <v/>
      </c>
      <c r="U139" s="90">
        <f>IF(AND($C139&gt;0,U$46&gt;=$C$9+9+$C$26,SUM($E139:T139)&lt;$C139),MIN($C139/$C$27,$C139-SUM($E139:T139)),0)</f>
        <v/>
      </c>
      <c r="V139" s="90">
        <f>IF(AND($C139&gt;0,V$46&gt;=$C$9+9+$C$26,SUM($E139:U139)&lt;$C139),MIN($C139/$C$27,$C139-SUM($E139:U139)),0)</f>
        <v/>
      </c>
      <c r="W139" s="90">
        <f>IF(AND($C139&gt;0,W$46&gt;=$C$9+9+$C$26,SUM($E139:V139)&lt;$C139),MIN($C139/$C$27,$C139-SUM($E139:V139)),0)</f>
        <v/>
      </c>
      <c r="X139" s="90">
        <f>IF(AND($C139&gt;0,X$46&gt;=$C$9+9+$C$26,SUM($E139:W139)&lt;$C139),MIN($C139/$C$27,$C139-SUM($E139:W139)),0)</f>
        <v/>
      </c>
      <c r="Y139" s="90">
        <f>IF(AND($C139&gt;0,Y$46&gt;=$C$9+9+$C$26,SUM($E139:X139)&lt;$C139),MIN($C139/$C$27,$C139-SUM($E139:X139)),0)</f>
        <v/>
      </c>
      <c r="Z139" s="90">
        <f>IF(AND($C139&gt;0,Z$46&gt;=$C$9+9+$C$26,SUM($E139:Y139)&lt;$C139),MIN($C139/$C$27,$C139-SUM($E139:Y139)),0)</f>
        <v/>
      </c>
      <c r="AA139" s="90">
        <f>IF(AND($C139&gt;0,AA$46&gt;=$C$9+9+$C$26,SUM($E139:Z139)&lt;$C139),MIN($C139/$C$27,$C139-SUM($E139:Z139)),0)</f>
        <v/>
      </c>
      <c r="AB139" s="90">
        <f>IF(AND($C139&gt;0,AB$46&gt;=$C$9+9+$C$26,SUM($E139:AA139)&lt;$C139),MIN($C139/$C$27,$C139-SUM($E139:AA139)),0)</f>
        <v/>
      </c>
      <c r="AC139" s="90">
        <f>IF(AND($C139&gt;0,AC$46&gt;=$C$9+9+$C$26,SUM($E139:AB139)&lt;$C139),MIN($C139/$C$27,$C139-SUM($E139:AB139)),0)</f>
        <v/>
      </c>
      <c r="AD139" s="90">
        <f>IF(AND($C139&gt;0,AD$46&gt;=$C$9+9+$C$26,SUM($E139:AC139)&lt;$C139),MIN($C139/$C$27,$C139-SUM($E139:AC139)),0)</f>
        <v/>
      </c>
      <c r="AE139" s="90">
        <f>IF(AND($C139&gt;0,AE$46&gt;=$C$9+9+$C$26,SUM($E139:AD139)&lt;$C139),MIN($C139/$C$27,$C139-SUM($E139:AD139)),0)</f>
        <v/>
      </c>
      <c r="AF139" s="90">
        <f>IF(AND($C139&gt;0,AF$46&gt;=$C$9+9+$C$26,SUM($E139:AE139)&lt;$C139),MIN($C139/$C$27,$C139-SUM($E139:AE139)),0)</f>
        <v/>
      </c>
      <c r="AG139" s="90">
        <f>IF(AND($C139&gt;0,AG$46&gt;=$C$9+9+$C$26,SUM($E139:AF139)&lt;$C139),MIN($C139/$C$27,$C139-SUM($E139:AF139)),0)</f>
        <v/>
      </c>
      <c r="AH139" s="90">
        <f>IF(AND($C139&gt;0,AH$46&gt;=$C$9+9+$C$26,SUM($E139:AG139)&lt;$C139),MIN($C139/$C$27,$C139-SUM($E139:AG139)),0)</f>
        <v/>
      </c>
      <c r="AI139" s="90">
        <f>IF(AND($C139&gt;0,AI$46&gt;=$C$9+9+$C$26,SUM($E139:AH139)&lt;$C139),MIN($C139/$C$27,$C139-SUM($E139:AH139)),0)</f>
        <v/>
      </c>
      <c r="AJ139" s="90">
        <f>IF(AND($C139&gt;0,AJ$46&gt;=$C$9+9+$C$26,SUM($E139:AI139)&lt;$C139),MIN($C139/$C$27,$C139-SUM($E139:AI139)),0)</f>
        <v/>
      </c>
      <c r="AK139" s="90">
        <f>IF(AND($C139&gt;0,AK$46&gt;=$C$9+9+$C$26,SUM($E139:AJ139)&lt;$C139),MIN($C139/$C$27,$C139-SUM($E139:AJ139)),0)</f>
        <v/>
      </c>
      <c r="AL139" s="90">
        <f>IF(AND($C139&gt;0,AL$46&gt;=$C$9+9+$C$26,SUM($E139:AK139)&lt;$C139),MIN($C139/$C$27,$C139-SUM($E139:AK139)),0)</f>
        <v/>
      </c>
      <c r="AM139" s="90">
        <f>IF(AND($C139&gt;0,AM$46&gt;=$C$9+9+$C$26,SUM($E139:AL139)&lt;$C139),MIN($C139/$C$27,$C139-SUM($E139:AL139)),0)</f>
        <v/>
      </c>
      <c r="AN139" s="90">
        <f>IF(AND($C139&gt;0,AN$46&gt;=$C$9+9+$C$26,SUM($E139:AM139)&lt;$C139),MIN($C139/$C$27,$C139-SUM($E139:AM139)),0)</f>
        <v/>
      </c>
      <c r="AO139" s="90">
        <f>IF(AND($C139&gt;0,AO$46&gt;=$C$9+9+$C$26,SUM($E139:AN139)&lt;$C139),MIN($C139/$C$27,$C139-SUM($E139:AN139)),0)</f>
        <v/>
      </c>
      <c r="AP139" s="90">
        <f>IF(AND($C139&gt;0,AP$46&gt;=$C$9+9+$C$26,SUM($E139:AO139)&lt;$C139),MIN($C139/$C$27,$C139-SUM($E139:AO139)),0)</f>
        <v/>
      </c>
      <c r="AQ139" s="90">
        <f>IF(AND($C139&gt;0,AQ$46&gt;=$C$9+9+$C$26,SUM($E139:AP139)&lt;$C139),MIN($C139/$C$27,$C139-SUM($E139:AP139)),0)</f>
        <v/>
      </c>
      <c r="AR139" s="90">
        <f>IF(AND($C139&gt;0,AR$46&gt;=$C$9+9+$C$26,SUM($E139:AQ139)&lt;$C139),MIN($C139/$C$27,$C139-SUM($E139:AQ139)),0)</f>
        <v/>
      </c>
      <c r="AS139" s="90">
        <f>IF(AND($C139&gt;0,AS$46&gt;=$C$9+9+$C$26,SUM($E139:AR139)&lt;$C139),MIN($C139/$C$27,$C139-SUM($E139:AR139)),0)</f>
        <v/>
      </c>
      <c r="AT139" s="90">
        <f>IF(AND($C139&gt;0,AT$46&gt;=$C$9+9+$C$26,SUM($E139:AS139)&lt;$C139),MIN($C139/$C$27,$C139-SUM($E139:AS139)),0)</f>
        <v/>
      </c>
      <c r="AU139" s="90">
        <f>IF(AND($C139&gt;0,AU$46&gt;=$C$9+9+$C$26,SUM($E139:AT139)&lt;$C139),MIN($C139/$C$27,$C139-SUM($E139:AT139)),0)</f>
        <v/>
      </c>
      <c r="AV139" s="90">
        <f>IF(AND($C139&gt;0,AV$46&gt;=$C$9+9+$C$26,SUM($E139:AU139)&lt;$C139),MIN($C139/$C$27,$C139-SUM($E139:AU139)),0)</f>
        <v/>
      </c>
      <c r="AW139" s="90">
        <f>IF(AND($C139&gt;0,AW$46&gt;=$C$9+9+$C$26,SUM($E139:AV139)&lt;$C139),MIN($C139/$C$27,$C139-SUM($E139:AV139)),0)</f>
        <v/>
      </c>
      <c r="AX139" s="90">
        <f>IF(AND($C139&gt;0,AX$46&gt;=$C$9+9+$C$26,SUM($E139:AW139)&lt;$C139),MIN($C139/$C$27,$C139-SUM($E139:AW139)),0)</f>
        <v/>
      </c>
      <c r="AY139" s="90">
        <f>IF(AND($C139&gt;0,AY$46&gt;=$C$9+9+$C$26,SUM($E139:AX139)&lt;$C139),MIN($C139/$C$27,$C139-SUM($E139:AX139)),0)</f>
        <v/>
      </c>
      <c r="AZ139" s="90">
        <f>IF(AND($C139&gt;0,AZ$46&gt;=$C$9+9+$C$26,SUM($E139:AY139)&lt;$C139),MIN($C139/$C$27,$C139-SUM($E139:AY139)),0)</f>
        <v/>
      </c>
      <c r="BA139" s="90">
        <f>IF(AND($C139&gt;0,BA$46&gt;=$C$9+9+$C$26,SUM($E139:AZ139)&lt;$C139),MIN($C139/$C$27,$C139-SUM($E139:AZ139)),0)</f>
        <v/>
      </c>
      <c r="BB139" s="90">
        <f>IF(AND($C139&gt;0,BB$46&gt;=$C$9+9+$C$26,SUM($E139:BA139)&lt;$C139),MIN($C139/$C$27,$C139-SUM($E139:BA139)),0)</f>
        <v/>
      </c>
    </row>
    <row r="140" ht="15" customHeight="1" s="91">
      <c r="A140" s="152" t="inlineStr">
        <is>
          <t>IMPORT  البيانات المستوردة (يمكن طيها ▼)</t>
        </is>
      </c>
      <c r="B140" s="171" t="inlineStr">
        <is>
          <t>Total Tranche Repayment</t>
        </is>
      </c>
      <c r="C140" s="152" t="n"/>
      <c r="D140" s="152">
        <f>SUM(E140:BB140)</f>
        <v/>
      </c>
      <c r="E140" s="90">
        <f>SUM(E130:E139)</f>
        <v/>
      </c>
      <c r="F140" s="90">
        <f>SUM(F130:F139)</f>
        <v/>
      </c>
      <c r="G140" s="90">
        <f>SUM(G130:G139)</f>
        <v/>
      </c>
      <c r="H140" s="90">
        <f>SUM(H130:H139)</f>
        <v/>
      </c>
      <c r="I140" s="90">
        <f>SUM(I130:I139)</f>
        <v/>
      </c>
      <c r="J140" s="90">
        <f>SUM(J130:J139)</f>
        <v/>
      </c>
      <c r="K140" s="90">
        <f>SUM(K130:K139)</f>
        <v/>
      </c>
      <c r="L140" s="90">
        <f>SUM(L130:L139)</f>
        <v/>
      </c>
      <c r="M140" s="90">
        <f>SUM(M130:M139)</f>
        <v/>
      </c>
      <c r="N140" s="90">
        <f>SUM(N130:N139)</f>
        <v/>
      </c>
      <c r="O140" s="90">
        <f>SUM(O130:O139)</f>
        <v/>
      </c>
      <c r="P140" s="90">
        <f>SUM(P130:P139)</f>
        <v/>
      </c>
      <c r="Q140" s="90">
        <f>SUM(Q130:Q139)</f>
        <v/>
      </c>
      <c r="R140" s="90">
        <f>SUM(R130:R139)</f>
        <v/>
      </c>
      <c r="S140" s="90">
        <f>SUM(S130:S139)</f>
        <v/>
      </c>
      <c r="T140" s="90">
        <f>SUM(T130:T139)</f>
        <v/>
      </c>
      <c r="U140" s="90">
        <f>SUM(U130:U139)</f>
        <v/>
      </c>
      <c r="V140" s="90">
        <f>SUM(V130:V139)</f>
        <v/>
      </c>
      <c r="W140" s="90">
        <f>SUM(W130:W139)</f>
        <v/>
      </c>
      <c r="X140" s="90">
        <f>SUM(X130:X139)</f>
        <v/>
      </c>
      <c r="Y140" s="90">
        <f>SUM(Y130:Y139)</f>
        <v/>
      </c>
      <c r="Z140" s="90">
        <f>SUM(Z130:Z139)</f>
        <v/>
      </c>
      <c r="AA140" s="90">
        <f>SUM(AA130:AA139)</f>
        <v/>
      </c>
      <c r="AB140" s="90">
        <f>SUM(AB130:AB139)</f>
        <v/>
      </c>
      <c r="AC140" s="90">
        <f>SUM(AC130:AC139)</f>
        <v/>
      </c>
      <c r="AD140" s="90">
        <f>SUM(AD130:AD139)</f>
        <v/>
      </c>
      <c r="AE140" s="90">
        <f>SUM(AE130:AE139)</f>
        <v/>
      </c>
      <c r="AF140" s="90">
        <f>SUM(AF130:AF139)</f>
        <v/>
      </c>
      <c r="AG140" s="90">
        <f>SUM(AG130:AG139)</f>
        <v/>
      </c>
      <c r="AH140" s="90">
        <f>SUM(AH130:AH139)</f>
        <v/>
      </c>
      <c r="AI140" s="90">
        <f>SUM(AI130:AI139)</f>
        <v/>
      </c>
      <c r="AJ140" s="90">
        <f>SUM(AJ130:AJ139)</f>
        <v/>
      </c>
      <c r="AK140" s="90">
        <f>SUM(AK130:AK139)</f>
        <v/>
      </c>
      <c r="AL140" s="90">
        <f>SUM(AL130:AL139)</f>
        <v/>
      </c>
      <c r="AM140" s="90">
        <f>SUM(AM130:AM139)</f>
        <v/>
      </c>
      <c r="AN140" s="90">
        <f>SUM(AN130:AN139)</f>
        <v/>
      </c>
      <c r="AO140" s="90">
        <f>SUM(AO130:AO139)</f>
        <v/>
      </c>
      <c r="AP140" s="90">
        <f>SUM(AP130:AP139)</f>
        <v/>
      </c>
      <c r="AQ140" s="90">
        <f>SUM(AQ130:AQ139)</f>
        <v/>
      </c>
      <c r="AR140" s="90">
        <f>SUM(AR130:AR139)</f>
        <v/>
      </c>
      <c r="AS140" s="90">
        <f>SUM(AS130:AS139)</f>
        <v/>
      </c>
      <c r="AT140" s="90">
        <f>SUM(AT130:AT139)</f>
        <v/>
      </c>
      <c r="AU140" s="90">
        <f>SUM(AU130:AU139)</f>
        <v/>
      </c>
      <c r="AV140" s="90">
        <f>SUM(AV130:AV139)</f>
        <v/>
      </c>
      <c r="AW140" s="90">
        <f>SUM(AW130:AW139)</f>
        <v/>
      </c>
      <c r="AX140" s="90">
        <f>SUM(AX130:AX139)</f>
        <v/>
      </c>
      <c r="AY140" s="90">
        <f>SUM(AY130:AY139)</f>
        <v/>
      </c>
      <c r="AZ140" s="90">
        <f>SUM(AZ130:AZ139)</f>
        <v/>
      </c>
      <c r="BA140" s="90">
        <f>SUM(BA130:BA139)</f>
        <v/>
      </c>
      <c r="BB140" s="90">
        <f>SUM(BB130:BB139)</f>
        <v/>
      </c>
    </row>
    <row r="141" hidden="1" outlineLevel="1" ht="15" customHeight="1" s="91">
      <c r="B141" s="153" t="inlineStr">
        <is>
          <t>DevCost (excl Land)</t>
        </is>
      </c>
      <c r="C141" s="155">
        <f>C17</f>
        <v/>
      </c>
    </row>
    <row r="142" hidden="1" outlineLevel="1" ht="15" customHeight="1" s="91">
      <c r="B142" s="153" t="inlineStr">
        <is>
          <t>Land Capitalization</t>
        </is>
      </c>
      <c r="C142" s="155">
        <f>C12</f>
        <v/>
      </c>
    </row>
    <row r="143" hidden="1" outlineLevel="1" ht="15" customHeight="1" s="91">
      <c r="B143" s="153" t="inlineStr">
        <is>
          <t>Max Debt</t>
        </is>
      </c>
      <c r="C143" s="155">
        <f>C19</f>
        <v/>
      </c>
    </row>
    <row r="144" hidden="1" outlineLevel="1" ht="15" customHeight="1" s="91">
      <c r="B144" s="153" t="inlineStr">
        <is>
          <t>Total Equity</t>
        </is>
      </c>
      <c r="C144" s="155">
        <f>C14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1">
    <dataValidation sqref="C22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B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42" customWidth="1" style="90" min="2" max="2"/>
    <col width="14" customWidth="1" style="90" min="3" max="3"/>
    <col width="18" customWidth="1" style="90" min="4" max="4"/>
    <col width="14" customWidth="1" style="90" min="5" max="54"/>
  </cols>
  <sheetData>
    <row r="1" ht="15" customHeight="1" s="91">
      <c r="A1" s="152" t="inlineStr">
        <is>
          <t>FUND MODEL - ZAN 4  نموذج الصندوق - ZAN 4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</row>
    <row r="3" ht="15" customHeight="1" s="91">
      <c r="A3" s="152" t="inlineStr">
        <is>
          <t>1  FUND INFORMATION  معلومات الصندوق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2" t="n"/>
      <c r="AS3" s="152" t="n"/>
      <c r="AT3" s="152" t="n"/>
      <c r="AU3" s="152" t="n"/>
      <c r="AV3" s="152" t="n"/>
      <c r="AW3" s="152" t="n"/>
      <c r="AX3" s="152" t="n"/>
      <c r="AY3" s="152" t="n"/>
      <c r="AZ3" s="152" t="n"/>
      <c r="BA3" s="152" t="n"/>
      <c r="BB3" s="152" t="n"/>
    </row>
    <row r="4" ht="15" customHeight="1" s="91">
      <c r="B4" s="153" t="inlineStr">
        <is>
          <t>Fund Name</t>
        </is>
      </c>
      <c r="C4" s="114" t="inlineStr">
        <is>
          <t>ZAN Infrastructure Fund</t>
        </is>
      </c>
      <c r="D4" s="120" t="inlineStr">
        <is>
          <t>اسم الصندوق</t>
        </is>
      </c>
    </row>
    <row r="5" ht="15" customHeight="1" s="91">
      <c r="B5" s="153" t="inlineStr">
        <is>
          <t>ZAN Section</t>
        </is>
      </c>
      <c r="C5" s="153" t="inlineStr">
        <is>
          <t>ZAN 4</t>
        </is>
      </c>
      <c r="D5" s="120" t="inlineStr">
        <is>
          <t>القسم</t>
        </is>
      </c>
    </row>
    <row r="6" ht="15" customHeight="1" s="91">
      <c r="B6" s="153" t="inlineStr">
        <is>
          <t>Vehicle Type</t>
        </is>
      </c>
      <c r="C6" s="114" t="inlineStr">
        <is>
          <t>Fund</t>
        </is>
      </c>
      <c r="D6" s="120" t="inlineStr">
        <is>
          <t>نوع الأداة</t>
        </is>
      </c>
    </row>
    <row r="7" ht="15" customHeight="1" s="91">
      <c r="B7" s="153" t="inlineStr">
        <is>
          <t>Strategy</t>
        </is>
      </c>
      <c r="C7" s="114" t="inlineStr">
        <is>
          <t>Develop &amp; Hold</t>
        </is>
      </c>
      <c r="D7" s="120" t="inlineStr">
        <is>
          <t>الاستراتيجية</t>
        </is>
      </c>
    </row>
    <row r="8" ht="15" customHeight="1" s="91">
      <c r="B8" s="153" t="inlineStr">
        <is>
          <t>Currency</t>
        </is>
      </c>
      <c r="C8" s="112">
        <f>Inputs!C9</f>
        <v/>
      </c>
      <c r="D8" s="120" t="inlineStr">
        <is>
          <t>العملة</t>
        </is>
      </c>
    </row>
    <row r="9" ht="15" customHeight="1" s="91">
      <c r="B9" s="153" t="inlineStr">
        <is>
          <t>Fund Start Year  سنة بداية الصندوق</t>
        </is>
      </c>
      <c r="C9" s="159">
        <f>Inputs!C7+Inputs!C48-1</f>
        <v/>
      </c>
      <c r="D9" s="120" t="inlineStr">
        <is>
          <t>سنة بداية الصندوق</t>
        </is>
      </c>
    </row>
    <row r="11" ht="15" customHeight="1" s="91">
      <c r="A11" s="152" t="inlineStr">
        <is>
          <t>2  CAPITAL STRUCTURE  هيكل رأس المال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</row>
    <row r="12" ht="15" customHeight="1" s="91">
      <c r="B12" s="153" t="inlineStr">
        <is>
          <t>GP Equity (Sponsor/Land)</t>
        </is>
      </c>
      <c r="C12" s="155">
        <f>Inputs!E70</f>
        <v/>
      </c>
      <c r="D12" s="120" t="inlineStr">
        <is>
          <t>حصة المطور (الأرض)</t>
        </is>
      </c>
    </row>
    <row r="13" ht="15" customHeight="1" s="91">
      <c r="B13" s="153" t="inlineStr">
        <is>
          <t>LP Equity (Investors)</t>
        </is>
      </c>
      <c r="C13" s="160">
        <f>C14-C12</f>
        <v/>
      </c>
      <c r="D13" s="120" t="inlineStr">
        <is>
          <t>حصة المستثمرين</t>
        </is>
      </c>
    </row>
    <row r="14" ht="15" customHeight="1" s="91">
      <c r="B14" s="153" t="inlineStr">
        <is>
          <t>Total Equity</t>
        </is>
      </c>
      <c r="C14" s="157">
        <f>C18-C19</f>
        <v/>
      </c>
      <c r="D14" s="120" t="inlineStr">
        <is>
          <t>إجمالي حقوق الملكية</t>
        </is>
      </c>
    </row>
    <row r="15" ht="15" customHeight="1" s="91">
      <c r="B15" s="153" t="inlineStr">
        <is>
          <t>Sponsor %</t>
        </is>
      </c>
      <c r="C15" s="161">
        <f>IF(C14=0,0,C12/C14)</f>
        <v/>
      </c>
    </row>
    <row r="16" ht="15" customHeight="1" s="91">
      <c r="B16" s="153" t="inlineStr">
        <is>
          <t>LP %</t>
        </is>
      </c>
      <c r="C16" s="161">
        <f>IF(C14=0,0,C13/C14)</f>
        <v/>
      </c>
    </row>
    <row r="17" ht="15" customHeight="1" s="91">
      <c r="B17" s="153" t="inlineStr">
        <is>
          <t>Development Cost (excl. Land)</t>
        </is>
      </c>
      <c r="C17" s="155">
        <f>CAPEX!D39</f>
        <v/>
      </c>
    </row>
    <row r="18" ht="15" customHeight="1" s="91">
      <c r="B18" s="153" t="inlineStr">
        <is>
          <t>Development Cost (incl. Land)</t>
        </is>
      </c>
      <c r="C18" s="157">
        <f>C17+C12</f>
        <v/>
      </c>
      <c r="D18" s="120" t="inlineStr">
        <is>
          <t>تكاليف التطوير شاملة الأرض</t>
        </is>
      </c>
    </row>
    <row r="19" ht="15" customHeight="1" s="91">
      <c r="B19" s="153" t="inlineStr">
        <is>
          <t>Max Debt</t>
        </is>
      </c>
      <c r="C19" s="155">
        <f>IF($C$22="Y",C18*Inputs!$C$85,0)</f>
        <v/>
      </c>
      <c r="D19" s="120" t="inlineStr">
        <is>
          <t>الحد الأقصى للدين</t>
        </is>
      </c>
    </row>
    <row r="21" ht="15" customHeight="1" s="91">
      <c r="A21" s="152" t="inlineStr">
        <is>
          <t>3  DEBT  الدين</t>
        </is>
      </c>
      <c r="B21" s="152" t="n"/>
      <c r="C21" s="152" t="n"/>
      <c r="D21" s="152" t="n"/>
      <c r="E21" s="152" t="n"/>
      <c r="F21" s="152" t="n"/>
      <c r="G21" s="152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  <c r="AK21" s="152" t="n"/>
      <c r="AL21" s="152" t="n"/>
      <c r="AM21" s="152" t="n"/>
      <c r="AN21" s="152" t="n"/>
      <c r="AO21" s="152" t="n"/>
      <c r="AP21" s="152" t="n"/>
      <c r="AQ21" s="152" t="n"/>
      <c r="AR21" s="152" t="n"/>
      <c r="AS21" s="152" t="n"/>
      <c r="AT21" s="152" t="n"/>
      <c r="AU21" s="152" t="n"/>
      <c r="AV21" s="152" t="n"/>
      <c r="AW21" s="152" t="n"/>
      <c r="AX21" s="152" t="n"/>
      <c r="AY21" s="152" t="n"/>
      <c r="AZ21" s="152" t="n"/>
      <c r="BA21" s="152" t="n"/>
      <c r="BB21" s="152" t="n"/>
    </row>
    <row r="22" ht="15" customHeight="1" s="91">
      <c r="B22" s="153" t="inlineStr">
        <is>
          <t>Debt Allowed (Y/N)</t>
        </is>
      </c>
      <c r="C22" s="114" t="inlineStr">
        <is>
          <t>Y</t>
        </is>
      </c>
      <c r="D22" s="120" t="inlineStr">
        <is>
          <t>هل الدين مسموح؟</t>
        </is>
      </c>
    </row>
    <row r="23" ht="15" customHeight="1" s="91">
      <c r="B23" s="153" t="inlineStr">
        <is>
          <t>Annual Financing Rate</t>
        </is>
      </c>
      <c r="C23" s="156">
        <f>Inputs!F$126</f>
        <v/>
      </c>
      <c r="D23" s="120" t="inlineStr">
        <is>
          <t>معدل التمويل السنوي</t>
        </is>
      </c>
    </row>
    <row r="24" ht="15" customHeight="1" s="91">
      <c r="B24" s="153" t="inlineStr">
        <is>
          <t>Total Loan Tenor (incl. Grace)</t>
        </is>
      </c>
      <c r="C24" s="159">
        <f>Inputs!F$127</f>
        <v/>
      </c>
      <c r="D24" s="120" t="inlineStr">
        <is>
          <t>مدة القرض شاملة السماح</t>
        </is>
      </c>
    </row>
    <row r="25" ht="15" customHeight="1" s="91">
      <c r="B25" s="153" t="inlineStr">
        <is>
          <t>Upfront Fee %</t>
        </is>
      </c>
      <c r="C25" s="156">
        <f>Inputs!F$129</f>
        <v/>
      </c>
      <c r="D25" s="120" t="inlineStr">
        <is>
          <t>رسوم إصدار القرض</t>
        </is>
      </c>
    </row>
    <row r="26" ht="15" customHeight="1" s="91">
      <c r="B26" s="153" t="inlineStr">
        <is>
          <t>Grace Period (years)</t>
        </is>
      </c>
      <c r="C26" s="159">
        <f>Inputs!F$128</f>
        <v/>
      </c>
      <c r="D26" s="120" t="inlineStr">
        <is>
          <t>فترة السماح</t>
        </is>
      </c>
    </row>
    <row r="27" ht="15" customHeight="1" s="91">
      <c r="B27" s="90" t="inlineStr">
        <is>
          <t>Repay Years  سنوات السداد</t>
        </is>
      </c>
      <c r="C27" s="90">
        <f>C24-C26</f>
        <v/>
      </c>
    </row>
    <row r="28" ht="15" customHeight="1" s="91">
      <c r="A28" s="152" t="inlineStr">
        <is>
          <t>4  FEES  الرسوم</t>
        </is>
      </c>
      <c r="B28" s="152" t="inlineStr">
        <is>
          <t>Debt Tranche Mode  نمط الشرائح</t>
        </is>
      </c>
      <c r="C28" s="152">
        <f>Inputs!F$144</f>
        <v/>
      </c>
      <c r="D28" s="152" t="n"/>
      <c r="E28" s="152" t="n"/>
      <c r="F28" s="152" t="n"/>
      <c r="G28" s="152" t="n"/>
      <c r="H28" s="152" t="n"/>
      <c r="I28" s="152" t="n"/>
      <c r="J28" s="152" t="n"/>
      <c r="K28" s="152" t="n"/>
      <c r="L28" s="152" t="n"/>
      <c r="M28" s="152" t="n"/>
      <c r="N28" s="152" t="n"/>
      <c r="O28" s="152" t="n"/>
      <c r="P28" s="152" t="n"/>
      <c r="Q28" s="152" t="n"/>
      <c r="R28" s="152" t="n"/>
      <c r="S28" s="152" t="n"/>
      <c r="T28" s="152" t="n"/>
      <c r="U28" s="152" t="n"/>
      <c r="V28" s="152" t="n"/>
      <c r="W28" s="152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  <c r="AK28" s="152" t="n"/>
      <c r="AL28" s="152" t="n"/>
      <c r="AM28" s="152" t="n"/>
      <c r="AN28" s="152" t="n"/>
      <c r="AO28" s="152" t="n"/>
      <c r="AP28" s="152" t="n"/>
      <c r="AQ28" s="152" t="n"/>
      <c r="AR28" s="152" t="n"/>
      <c r="AS28" s="152" t="n"/>
      <c r="AT28" s="152" t="n"/>
      <c r="AU28" s="152" t="n"/>
      <c r="AV28" s="152" t="n"/>
      <c r="AW28" s="152" t="n"/>
      <c r="AX28" s="152" t="n"/>
      <c r="AY28" s="152" t="n"/>
      <c r="AZ28" s="152" t="n"/>
      <c r="BA28" s="152" t="n"/>
      <c r="BB28" s="152" t="n"/>
    </row>
    <row r="29" ht="15" customHeight="1" s="91">
      <c r="B29" s="153" t="inlineStr">
        <is>
          <t>Subscription Fee</t>
        </is>
      </c>
      <c r="C29" s="156">
        <f>Inputs!F$130</f>
        <v/>
      </c>
      <c r="D29" s="120" t="inlineStr">
        <is>
          <t>رسوم الاشتراك</t>
        </is>
      </c>
    </row>
    <row r="30" ht="15" customHeight="1" s="91">
      <c r="B30" s="153" t="inlineStr">
        <is>
          <t>Annual Management Fee</t>
        </is>
      </c>
      <c r="C30" s="156">
        <f>Inputs!F$131</f>
        <v/>
      </c>
      <c r="D30" s="120" t="inlineStr">
        <is>
          <t>رسوم الإدارة السنوية</t>
        </is>
      </c>
    </row>
    <row r="31" ht="15" customHeight="1" s="91">
      <c r="B31" s="153" t="inlineStr">
        <is>
          <t>Annual Custody Fee (Fixed SAR)</t>
        </is>
      </c>
      <c r="C31" s="155">
        <f>Inputs!F$132</f>
        <v/>
      </c>
      <c r="D31" s="120" t="inlineStr">
        <is>
          <t>رسوم الحفظ السنوية</t>
        </is>
      </c>
    </row>
    <row r="32" ht="15" customHeight="1" s="91">
      <c r="B32" s="153" t="inlineStr">
        <is>
          <t>Developer Fee % (of CAPEX)</t>
        </is>
      </c>
      <c r="C32" s="156">
        <f>Inputs!F$133</f>
        <v/>
      </c>
      <c r="D32" s="120" t="inlineStr">
        <is>
          <t>رسوم المطور</t>
        </is>
      </c>
    </row>
    <row r="33" ht="15" customHeight="1" s="91">
      <c r="B33" s="153" t="inlineStr">
        <is>
          <t>Structuring Fee</t>
        </is>
      </c>
      <c r="C33" s="156">
        <f>Inputs!F$134</f>
        <v/>
      </c>
      <c r="D33" s="120" t="inlineStr">
        <is>
          <t>رسوم الهيكلة</t>
        </is>
      </c>
    </row>
    <row r="35" ht="15" customHeight="1" s="91">
      <c r="A35" s="152" t="inlineStr">
        <is>
          <t>5  WATERFALL  شلال التوزيعات</t>
        </is>
      </c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2" t="n"/>
      <c r="S35" s="152" t="n"/>
      <c r="T35" s="152" t="n"/>
      <c r="U35" s="152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  <c r="AP35" s="152" t="n"/>
      <c r="AQ35" s="152" t="n"/>
      <c r="AR35" s="152" t="n"/>
      <c r="AS35" s="152" t="n"/>
      <c r="AT35" s="152" t="n"/>
      <c r="AU35" s="152" t="n"/>
      <c r="AV35" s="152" t="n"/>
      <c r="AW35" s="152" t="n"/>
      <c r="AX35" s="152" t="n"/>
      <c r="AY35" s="152" t="n"/>
      <c r="AZ35" s="152" t="n"/>
      <c r="BA35" s="152" t="n"/>
      <c r="BB35" s="152" t="n"/>
    </row>
    <row r="36" ht="15" customHeight="1" s="91">
      <c r="B36" s="153" t="inlineStr">
        <is>
          <t>Preferred Return %</t>
        </is>
      </c>
      <c r="C36" s="156">
        <f>Inputs!F$135</f>
        <v/>
      </c>
      <c r="D36" s="120" t="inlineStr">
        <is>
          <t>العائد التفضيلي</t>
        </is>
      </c>
    </row>
    <row r="37" ht="15" customHeight="1" s="91">
      <c r="B37" s="153" t="inlineStr">
        <is>
          <t>GP Catch-up? (Y/N)</t>
        </is>
      </c>
      <c r="C37" s="112">
        <f>Inputs!F$136</f>
        <v/>
      </c>
      <c r="D37" s="120" t="inlineStr">
        <is>
          <t>تعويض المطور</t>
        </is>
      </c>
    </row>
    <row r="38" ht="15" customHeight="1" s="91">
      <c r="B38" s="153" t="inlineStr">
        <is>
          <t>Carry %</t>
        </is>
      </c>
      <c r="C38" s="156">
        <f>Inputs!F$137</f>
        <v/>
      </c>
      <c r="D38" s="120" t="inlineStr">
        <is>
          <t>نسبة الأداء</t>
        </is>
      </c>
    </row>
    <row r="40" ht="15" customHeight="1" s="91">
      <c r="A40" s="152" t="inlineStr">
        <is>
          <t>6  EXIT  التخارج</t>
        </is>
      </c>
      <c r="B40" s="152" t="n"/>
      <c r="C40" s="152" t="n"/>
      <c r="D40" s="152" t="n"/>
      <c r="E40" s="152" t="n"/>
      <c r="F40" s="152" t="n"/>
      <c r="G40" s="152" t="n"/>
      <c r="H40" s="152" t="n"/>
      <c r="I40" s="152" t="n"/>
      <c r="J40" s="152" t="n"/>
      <c r="K40" s="152" t="n"/>
      <c r="L40" s="152" t="n"/>
      <c r="M40" s="152" t="n"/>
      <c r="N40" s="152" t="n"/>
      <c r="O40" s="152" t="n"/>
      <c r="P40" s="152" t="n"/>
      <c r="Q40" s="152" t="n"/>
      <c r="R40" s="152" t="n"/>
      <c r="S40" s="152" t="n"/>
      <c r="T40" s="152" t="n"/>
      <c r="U40" s="152" t="n"/>
      <c r="V40" s="152" t="n"/>
      <c r="W40" s="152" t="n"/>
      <c r="X40" s="152" t="n"/>
      <c r="Y40" s="152" t="n"/>
      <c r="Z40" s="152" t="n"/>
      <c r="AA40" s="15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  <c r="AK40" s="152" t="n"/>
      <c r="AL40" s="152" t="n"/>
      <c r="AM40" s="152" t="n"/>
      <c r="AN40" s="152" t="n"/>
      <c r="AO40" s="152" t="n"/>
      <c r="AP40" s="152" t="n"/>
      <c r="AQ40" s="152" t="n"/>
      <c r="AR40" s="152" t="n"/>
      <c r="AS40" s="152" t="n"/>
      <c r="AT40" s="152" t="n"/>
      <c r="AU40" s="152" t="n"/>
      <c r="AV40" s="152" t="n"/>
      <c r="AW40" s="152" t="n"/>
      <c r="AX40" s="152" t="n"/>
      <c r="AY40" s="152" t="n"/>
      <c r="AZ40" s="152" t="n"/>
      <c r="BA40" s="152" t="n"/>
      <c r="BB40" s="152" t="n"/>
    </row>
    <row r="41" ht="15" customHeight="1" s="91">
      <c r="B41" s="153" t="inlineStr">
        <is>
          <t>Exit Year</t>
        </is>
      </c>
      <c r="C41" s="159">
        <f>Inputs!F$138</f>
        <v/>
      </c>
      <c r="D41" s="120" t="inlineStr">
        <is>
          <t>سنة التخارج</t>
        </is>
      </c>
    </row>
    <row r="42" ht="15" customHeight="1" s="91">
      <c r="B42" s="153" t="inlineStr">
        <is>
          <t>Exit Multiple (x rent)</t>
        </is>
      </c>
      <c r="C42" s="162">
        <f>Inputs!F$139</f>
        <v/>
      </c>
      <c r="D42" s="120" t="inlineStr">
        <is>
          <t>مضاعف الإيجار</t>
        </is>
      </c>
    </row>
    <row r="43" ht="15" customHeight="1" s="91">
      <c r="B43" s="153" t="inlineStr">
        <is>
          <t>Exit Cost %</t>
        </is>
      </c>
      <c r="C43" s="156">
        <f>Inputs!F$140</f>
        <v/>
      </c>
      <c r="D43" s="120" t="inlineStr">
        <is>
          <t>تكلفة التخارج</t>
        </is>
      </c>
    </row>
    <row r="44" ht="15" customHeight="1" s="91">
      <c r="B44" s="90" t="inlineStr">
        <is>
          <t>Exit Method</t>
        </is>
      </c>
      <c r="C44" s="90">
        <f>Inputs!$C$107</f>
        <v/>
      </c>
      <c r="D44" s="163" t="inlineStr">
        <is>
          <t>طريقة التخارج</t>
        </is>
      </c>
    </row>
    <row r="45" ht="15" customHeight="1" s="91">
      <c r="A45" s="152" t="inlineStr">
        <is>
          <t>7  PROJECT CASH FLOWS (Unlevered)  تدفقات المشروع</t>
        </is>
      </c>
      <c r="B45" s="152" t="inlineStr">
        <is>
          <t>Exit Cap Rate %</t>
        </is>
      </c>
      <c r="C45" s="164">
        <f>Inputs!F$141</f>
        <v/>
      </c>
      <c r="D45" s="152" t="inlineStr">
        <is>
          <t>معدل الرسملة</t>
        </is>
      </c>
      <c r="E45" s="152" t="n"/>
      <c r="F45" s="152" t="n"/>
      <c r="G45" s="152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2" t="n"/>
      <c r="S45" s="152" t="n"/>
      <c r="T45" s="152" t="n"/>
      <c r="U45" s="152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  <c r="AK45" s="152" t="n"/>
      <c r="AL45" s="152" t="n"/>
      <c r="AM45" s="152" t="n"/>
      <c r="AN45" s="152" t="n"/>
      <c r="AO45" s="152" t="n"/>
      <c r="AP45" s="152" t="n"/>
      <c r="AQ45" s="152" t="n"/>
      <c r="AR45" s="152" t="n"/>
      <c r="AS45" s="152" t="n"/>
      <c r="AT45" s="152" t="n"/>
      <c r="AU45" s="152" t="n"/>
      <c r="AV45" s="152" t="n"/>
      <c r="AW45" s="152" t="n"/>
      <c r="AX45" s="152" t="n"/>
      <c r="AY45" s="152" t="n"/>
      <c r="AZ45" s="152" t="n"/>
      <c r="BA45" s="152" t="n"/>
      <c r="BB45" s="152" t="n"/>
    </row>
    <row r="46" ht="15" customHeight="1" s="91">
      <c r="C46" s="165" t="inlineStr">
        <is>
          <t>Unit</t>
        </is>
      </c>
      <c r="D46" s="165" t="inlineStr">
        <is>
          <t>Total</t>
        </is>
      </c>
      <c r="E46" s="166">
        <f>Inputs!$C$7+0</f>
        <v/>
      </c>
      <c r="F46" s="166">
        <f>Inputs!$C$7+1</f>
        <v/>
      </c>
      <c r="G46" s="166">
        <f>Inputs!$C$7+2</f>
        <v/>
      </c>
      <c r="H46" s="166">
        <f>Inputs!$C$7+3</f>
        <v/>
      </c>
      <c r="I46" s="166">
        <f>Inputs!$C$7+4</f>
        <v/>
      </c>
      <c r="J46" s="166">
        <f>Inputs!$C$7+5</f>
        <v/>
      </c>
      <c r="K46" s="166">
        <f>Inputs!$C$7+6</f>
        <v/>
      </c>
      <c r="L46" s="166">
        <f>Inputs!$C$7+7</f>
        <v/>
      </c>
      <c r="M46" s="166">
        <f>Inputs!$C$7+8</f>
        <v/>
      </c>
      <c r="N46" s="166">
        <f>Inputs!$C$7+9</f>
        <v/>
      </c>
      <c r="O46" s="166">
        <f>Inputs!$C$7+10</f>
        <v/>
      </c>
      <c r="P46" s="166">
        <f>Inputs!$C$7+11</f>
        <v/>
      </c>
      <c r="Q46" s="166">
        <f>Inputs!$C$7+12</f>
        <v/>
      </c>
      <c r="R46" s="166">
        <f>Inputs!$C$7+13</f>
        <v/>
      </c>
      <c r="S46" s="166">
        <f>Inputs!$C$7+14</f>
        <v/>
      </c>
      <c r="T46" s="166">
        <f>Inputs!$C$7+15</f>
        <v/>
      </c>
      <c r="U46" s="166">
        <f>Inputs!$C$7+16</f>
        <v/>
      </c>
      <c r="V46" s="166">
        <f>Inputs!$C$7+17</f>
        <v/>
      </c>
      <c r="W46" s="166">
        <f>Inputs!$C$7+18</f>
        <v/>
      </c>
      <c r="X46" s="166">
        <f>Inputs!$C$7+19</f>
        <v/>
      </c>
      <c r="Y46" s="166">
        <f>Inputs!$C$7+20</f>
        <v/>
      </c>
      <c r="Z46" s="166">
        <f>Inputs!$C$7+21</f>
        <v/>
      </c>
      <c r="AA46" s="166">
        <f>Inputs!$C$7+22</f>
        <v/>
      </c>
      <c r="AB46" s="166">
        <f>Inputs!$C$7+23</f>
        <v/>
      </c>
      <c r="AC46" s="166">
        <f>Inputs!$C$7+24</f>
        <v/>
      </c>
      <c r="AD46" s="166">
        <f>Inputs!$C$7+25</f>
        <v/>
      </c>
      <c r="AE46" s="166">
        <f>Inputs!$C$7+26</f>
        <v/>
      </c>
      <c r="AF46" s="166">
        <f>Inputs!$C$7+27</f>
        <v/>
      </c>
      <c r="AG46" s="166">
        <f>Inputs!$C$7+28</f>
        <v/>
      </c>
      <c r="AH46" s="166">
        <f>Inputs!$C$7+29</f>
        <v/>
      </c>
      <c r="AI46" s="166">
        <f>Inputs!$C$7+30</f>
        <v/>
      </c>
      <c r="AJ46" s="166">
        <f>Inputs!$C$7+31</f>
        <v/>
      </c>
      <c r="AK46" s="166">
        <f>Inputs!$C$7+32</f>
        <v/>
      </c>
      <c r="AL46" s="166">
        <f>Inputs!$C$7+33</f>
        <v/>
      </c>
      <c r="AM46" s="166">
        <f>Inputs!$C$7+34</f>
        <v/>
      </c>
      <c r="AN46" s="166">
        <f>Inputs!$C$7+35</f>
        <v/>
      </c>
      <c r="AO46" s="166">
        <f>Inputs!$C$7+36</f>
        <v/>
      </c>
      <c r="AP46" s="166">
        <f>Inputs!$C$7+37</f>
        <v/>
      </c>
      <c r="AQ46" s="166">
        <f>Inputs!$C$7+38</f>
        <v/>
      </c>
      <c r="AR46" s="166">
        <f>Inputs!$C$7+39</f>
        <v/>
      </c>
      <c r="AS46" s="166">
        <f>Inputs!$C$7+40</f>
        <v/>
      </c>
      <c r="AT46" s="166">
        <f>Inputs!$C$7+41</f>
        <v/>
      </c>
      <c r="AU46" s="166">
        <f>Inputs!$C$7+42</f>
        <v/>
      </c>
      <c r="AV46" s="166">
        <f>Inputs!$C$7+43</f>
        <v/>
      </c>
      <c r="AW46" s="166">
        <f>Inputs!$C$7+44</f>
        <v/>
      </c>
      <c r="AX46" s="166">
        <f>Inputs!$C$7+45</f>
        <v/>
      </c>
      <c r="AY46" s="166">
        <f>Inputs!$C$7+46</f>
        <v/>
      </c>
      <c r="AZ46" s="166">
        <f>Inputs!$C$7+47</f>
        <v/>
      </c>
      <c r="BA46" s="166">
        <f>Inputs!$C$7+48</f>
        <v/>
      </c>
      <c r="BB46" s="166">
        <f>Inputs!$C$7+49</f>
        <v/>
      </c>
    </row>
    <row r="47" ht="15" customHeight="1" s="91">
      <c r="B47" s="153" t="inlineStr">
        <is>
          <t>Rental Income  الإيرادات</t>
        </is>
      </c>
      <c r="C47" s="153" t="inlineStr">
        <is>
          <t>SAR</t>
        </is>
      </c>
      <c r="D47" s="157">
        <f>SUM(E47:BB47)</f>
        <v/>
      </c>
      <c r="E47" s="155">
        <f>CashFlow!D26</f>
        <v/>
      </c>
      <c r="F47" s="155">
        <f>CashFlow!E26</f>
        <v/>
      </c>
      <c r="G47" s="155">
        <f>CashFlow!F26</f>
        <v/>
      </c>
      <c r="H47" s="155">
        <f>CashFlow!G26</f>
        <v/>
      </c>
      <c r="I47" s="155">
        <f>CashFlow!H26</f>
        <v/>
      </c>
      <c r="J47" s="155">
        <f>CashFlow!I26</f>
        <v/>
      </c>
      <c r="K47" s="155">
        <f>CashFlow!J26</f>
        <v/>
      </c>
      <c r="L47" s="155">
        <f>CashFlow!K26</f>
        <v/>
      </c>
      <c r="M47" s="155">
        <f>CashFlow!L26</f>
        <v/>
      </c>
      <c r="N47" s="155">
        <f>CashFlow!M26</f>
        <v/>
      </c>
      <c r="O47" s="155">
        <f>CashFlow!N26</f>
        <v/>
      </c>
      <c r="P47" s="155">
        <f>CashFlow!O26</f>
        <v/>
      </c>
      <c r="Q47" s="155">
        <f>CashFlow!P26</f>
        <v/>
      </c>
      <c r="R47" s="155">
        <f>CashFlow!Q26</f>
        <v/>
      </c>
      <c r="S47" s="155">
        <f>CashFlow!R26</f>
        <v/>
      </c>
      <c r="T47" s="155">
        <f>CashFlow!S26</f>
        <v/>
      </c>
      <c r="U47" s="155">
        <f>CashFlow!T26</f>
        <v/>
      </c>
      <c r="V47" s="155">
        <f>CashFlow!U26</f>
        <v/>
      </c>
      <c r="W47" s="155">
        <f>CashFlow!V26</f>
        <v/>
      </c>
      <c r="X47" s="155">
        <f>CashFlow!W26</f>
        <v/>
      </c>
      <c r="Y47" s="155">
        <f>CashFlow!X26</f>
        <v/>
      </c>
      <c r="Z47" s="155">
        <f>CashFlow!Y26</f>
        <v/>
      </c>
      <c r="AA47" s="155">
        <f>CashFlow!Z26</f>
        <v/>
      </c>
      <c r="AB47" s="155">
        <f>CashFlow!AA26</f>
        <v/>
      </c>
      <c r="AC47" s="155">
        <f>CashFlow!AB26</f>
        <v/>
      </c>
      <c r="AD47" s="155">
        <f>CashFlow!AC26</f>
        <v/>
      </c>
      <c r="AE47" s="155">
        <f>CashFlow!AD26</f>
        <v/>
      </c>
      <c r="AF47" s="155">
        <f>CashFlow!AE26</f>
        <v/>
      </c>
      <c r="AG47" s="155">
        <f>CashFlow!AF26</f>
        <v/>
      </c>
      <c r="AH47" s="155">
        <f>CashFlow!AG26</f>
        <v/>
      </c>
      <c r="AI47" s="155">
        <f>CashFlow!AH26</f>
        <v/>
      </c>
      <c r="AJ47" s="155">
        <f>CashFlow!AI26</f>
        <v/>
      </c>
      <c r="AK47" s="155">
        <f>CashFlow!AJ26</f>
        <v/>
      </c>
      <c r="AL47" s="155">
        <f>CashFlow!AK26</f>
        <v/>
      </c>
      <c r="AM47" s="155">
        <f>CashFlow!AL26</f>
        <v/>
      </c>
      <c r="AN47" s="155">
        <f>CashFlow!AM26</f>
        <v/>
      </c>
      <c r="AO47" s="155">
        <f>CashFlow!AN26</f>
        <v/>
      </c>
      <c r="AP47" s="155">
        <f>CashFlow!AO26</f>
        <v/>
      </c>
      <c r="AQ47" s="155">
        <f>CashFlow!AP26</f>
        <v/>
      </c>
      <c r="AR47" s="155">
        <f>CashFlow!AQ26</f>
        <v/>
      </c>
      <c r="AS47" s="155">
        <f>CashFlow!AR26</f>
        <v/>
      </c>
      <c r="AT47" s="155">
        <f>CashFlow!AS26</f>
        <v/>
      </c>
      <c r="AU47" s="155">
        <f>CashFlow!AT26</f>
        <v/>
      </c>
      <c r="AV47" s="155">
        <f>CashFlow!AU26</f>
        <v/>
      </c>
      <c r="AW47" s="155">
        <f>CashFlow!AV26</f>
        <v/>
      </c>
      <c r="AX47" s="155">
        <f>CashFlow!AW26</f>
        <v/>
      </c>
      <c r="AY47" s="155">
        <f>CashFlow!AX26</f>
        <v/>
      </c>
      <c r="AZ47" s="155">
        <f>CashFlow!AY26</f>
        <v/>
      </c>
      <c r="BA47" s="155">
        <f>CashFlow!AZ26</f>
        <v/>
      </c>
      <c r="BB47" s="155">
        <f>CashFlow!BA26</f>
        <v/>
      </c>
    </row>
    <row r="48" ht="15" customHeight="1" s="91">
      <c r="B48" s="153" t="inlineStr">
        <is>
          <t>Land Rent  إيجار الأرض</t>
        </is>
      </c>
      <c r="C48" s="153" t="inlineStr">
        <is>
          <t>SAR</t>
        </is>
      </c>
      <c r="D48" s="157">
        <f>SUM(E48:BB48)</f>
        <v/>
      </c>
      <c r="E48" s="155">
        <f>CashFlow!D27</f>
        <v/>
      </c>
      <c r="F48" s="155">
        <f>CashFlow!E27</f>
        <v/>
      </c>
      <c r="G48" s="155">
        <f>CashFlow!F27</f>
        <v/>
      </c>
      <c r="H48" s="155">
        <f>CashFlow!G27</f>
        <v/>
      </c>
      <c r="I48" s="155">
        <f>CashFlow!H27</f>
        <v/>
      </c>
      <c r="J48" s="155">
        <f>CashFlow!I27</f>
        <v/>
      </c>
      <c r="K48" s="155">
        <f>CashFlow!J27</f>
        <v/>
      </c>
      <c r="L48" s="155">
        <f>CashFlow!K27</f>
        <v/>
      </c>
      <c r="M48" s="155">
        <f>CashFlow!L27</f>
        <v/>
      </c>
      <c r="N48" s="155">
        <f>CashFlow!M27</f>
        <v/>
      </c>
      <c r="O48" s="155">
        <f>CashFlow!N27</f>
        <v/>
      </c>
      <c r="P48" s="155">
        <f>CashFlow!O27</f>
        <v/>
      </c>
      <c r="Q48" s="155">
        <f>CashFlow!P27</f>
        <v/>
      </c>
      <c r="R48" s="155">
        <f>CashFlow!Q27</f>
        <v/>
      </c>
      <c r="S48" s="155">
        <f>CashFlow!R27</f>
        <v/>
      </c>
      <c r="T48" s="155">
        <f>CashFlow!S27</f>
        <v/>
      </c>
      <c r="U48" s="155">
        <f>CashFlow!T27</f>
        <v/>
      </c>
      <c r="V48" s="155">
        <f>CashFlow!U27</f>
        <v/>
      </c>
      <c r="W48" s="155">
        <f>CashFlow!V27</f>
        <v/>
      </c>
      <c r="X48" s="155">
        <f>CashFlow!W27</f>
        <v/>
      </c>
      <c r="Y48" s="155">
        <f>CashFlow!X27</f>
        <v/>
      </c>
      <c r="Z48" s="155">
        <f>CashFlow!Y27</f>
        <v/>
      </c>
      <c r="AA48" s="155">
        <f>CashFlow!Z27</f>
        <v/>
      </c>
      <c r="AB48" s="155">
        <f>CashFlow!AA27</f>
        <v/>
      </c>
      <c r="AC48" s="155">
        <f>CashFlow!AB27</f>
        <v/>
      </c>
      <c r="AD48" s="155">
        <f>CashFlow!AC27</f>
        <v/>
      </c>
      <c r="AE48" s="155">
        <f>CashFlow!AD27</f>
        <v/>
      </c>
      <c r="AF48" s="155">
        <f>CashFlow!AE27</f>
        <v/>
      </c>
      <c r="AG48" s="155">
        <f>CashFlow!AF27</f>
        <v/>
      </c>
      <c r="AH48" s="155">
        <f>CashFlow!AG27</f>
        <v/>
      </c>
      <c r="AI48" s="155">
        <f>CashFlow!AH27</f>
        <v/>
      </c>
      <c r="AJ48" s="155">
        <f>CashFlow!AI27</f>
        <v/>
      </c>
      <c r="AK48" s="155">
        <f>CashFlow!AJ27</f>
        <v/>
      </c>
      <c r="AL48" s="155">
        <f>CashFlow!AK27</f>
        <v/>
      </c>
      <c r="AM48" s="155">
        <f>CashFlow!AL27</f>
        <v/>
      </c>
      <c r="AN48" s="155">
        <f>CashFlow!AM27</f>
        <v/>
      </c>
      <c r="AO48" s="155">
        <f>CashFlow!AN27</f>
        <v/>
      </c>
      <c r="AP48" s="155">
        <f>CashFlow!AO27</f>
        <v/>
      </c>
      <c r="AQ48" s="155">
        <f>CashFlow!AP27</f>
        <v/>
      </c>
      <c r="AR48" s="155">
        <f>CashFlow!AQ27</f>
        <v/>
      </c>
      <c r="AS48" s="155">
        <f>CashFlow!AR27</f>
        <v/>
      </c>
      <c r="AT48" s="155">
        <f>CashFlow!AS27</f>
        <v/>
      </c>
      <c r="AU48" s="155">
        <f>CashFlow!AT27</f>
        <v/>
      </c>
      <c r="AV48" s="155">
        <f>CashFlow!AU27</f>
        <v/>
      </c>
      <c r="AW48" s="155">
        <f>CashFlow!AV27</f>
        <v/>
      </c>
      <c r="AX48" s="155">
        <f>CashFlow!AW27</f>
        <v/>
      </c>
      <c r="AY48" s="155">
        <f>CashFlow!AX27</f>
        <v/>
      </c>
      <c r="AZ48" s="155">
        <f>CashFlow!AY27</f>
        <v/>
      </c>
      <c r="BA48" s="155">
        <f>CashFlow!AZ27</f>
        <v/>
      </c>
      <c r="BB48" s="155">
        <f>CashFlow!BA27</f>
        <v/>
      </c>
    </row>
    <row r="49" ht="15" customHeight="1" s="91">
      <c r="B49" s="153" t="inlineStr">
        <is>
          <t>Development CAPEX  تكاليف التطوير</t>
        </is>
      </c>
      <c r="C49" s="153" t="inlineStr">
        <is>
          <t>SAR</t>
        </is>
      </c>
      <c r="D49" s="157">
        <f>SUM(E49:BB49)</f>
        <v/>
      </c>
      <c r="E49" s="155">
        <f>CashFlow!D28</f>
        <v/>
      </c>
      <c r="F49" s="155">
        <f>CashFlow!E28</f>
        <v/>
      </c>
      <c r="G49" s="155">
        <f>CashFlow!F28</f>
        <v/>
      </c>
      <c r="H49" s="155">
        <f>CashFlow!G28</f>
        <v/>
      </c>
      <c r="I49" s="155">
        <f>CashFlow!H28</f>
        <v/>
      </c>
      <c r="J49" s="155">
        <f>CashFlow!I28</f>
        <v/>
      </c>
      <c r="K49" s="155">
        <f>CashFlow!J28</f>
        <v/>
      </c>
      <c r="L49" s="155">
        <f>CashFlow!K28</f>
        <v/>
      </c>
      <c r="M49" s="155">
        <f>CashFlow!L28</f>
        <v/>
      </c>
      <c r="N49" s="155">
        <f>CashFlow!M28</f>
        <v/>
      </c>
      <c r="O49" s="155">
        <f>CashFlow!N28</f>
        <v/>
      </c>
      <c r="P49" s="155">
        <f>CashFlow!O28</f>
        <v/>
      </c>
      <c r="Q49" s="155">
        <f>CashFlow!P28</f>
        <v/>
      </c>
      <c r="R49" s="155">
        <f>CashFlow!Q28</f>
        <v/>
      </c>
      <c r="S49" s="155">
        <f>CashFlow!R28</f>
        <v/>
      </c>
      <c r="T49" s="155">
        <f>CashFlow!S28</f>
        <v/>
      </c>
      <c r="U49" s="155">
        <f>CashFlow!T28</f>
        <v/>
      </c>
      <c r="V49" s="155">
        <f>CashFlow!U28</f>
        <v/>
      </c>
      <c r="W49" s="155">
        <f>CashFlow!V28</f>
        <v/>
      </c>
      <c r="X49" s="155">
        <f>CashFlow!W28</f>
        <v/>
      </c>
      <c r="Y49" s="155">
        <f>CashFlow!X28</f>
        <v/>
      </c>
      <c r="Z49" s="155">
        <f>CashFlow!Y28</f>
        <v/>
      </c>
      <c r="AA49" s="155">
        <f>CashFlow!Z28</f>
        <v/>
      </c>
      <c r="AB49" s="155">
        <f>CashFlow!AA28</f>
        <v/>
      </c>
      <c r="AC49" s="155">
        <f>CashFlow!AB28</f>
        <v/>
      </c>
      <c r="AD49" s="155">
        <f>CashFlow!AC28</f>
        <v/>
      </c>
      <c r="AE49" s="155">
        <f>CashFlow!AD28</f>
        <v/>
      </c>
      <c r="AF49" s="155">
        <f>CashFlow!AE28</f>
        <v/>
      </c>
      <c r="AG49" s="155">
        <f>CashFlow!AF28</f>
        <v/>
      </c>
      <c r="AH49" s="155">
        <f>CashFlow!AG28</f>
        <v/>
      </c>
      <c r="AI49" s="155">
        <f>CashFlow!AH28</f>
        <v/>
      </c>
      <c r="AJ49" s="155">
        <f>CashFlow!AI28</f>
        <v/>
      </c>
      <c r="AK49" s="155">
        <f>CashFlow!AJ28</f>
        <v/>
      </c>
      <c r="AL49" s="155">
        <f>CashFlow!AK28</f>
        <v/>
      </c>
      <c r="AM49" s="155">
        <f>CashFlow!AL28</f>
        <v/>
      </c>
      <c r="AN49" s="155">
        <f>CashFlow!AM28</f>
        <v/>
      </c>
      <c r="AO49" s="155">
        <f>CashFlow!AN28</f>
        <v/>
      </c>
      <c r="AP49" s="155">
        <f>CashFlow!AO28</f>
        <v/>
      </c>
      <c r="AQ49" s="155">
        <f>CashFlow!AP28</f>
        <v/>
      </c>
      <c r="AR49" s="155">
        <f>CashFlow!AQ28</f>
        <v/>
      </c>
      <c r="AS49" s="155">
        <f>CashFlow!AR28</f>
        <v/>
      </c>
      <c r="AT49" s="155">
        <f>CashFlow!AS28</f>
        <v/>
      </c>
      <c r="AU49" s="155">
        <f>CashFlow!AT28</f>
        <v/>
      </c>
      <c r="AV49" s="155">
        <f>CashFlow!AU28</f>
        <v/>
      </c>
      <c r="AW49" s="155">
        <f>CashFlow!AV28</f>
        <v/>
      </c>
      <c r="AX49" s="155">
        <f>CashFlow!AW28</f>
        <v/>
      </c>
      <c r="AY49" s="155">
        <f>CashFlow!AX28</f>
        <v/>
      </c>
      <c r="AZ49" s="155">
        <f>CashFlow!AY28</f>
        <v/>
      </c>
      <c r="BA49" s="155">
        <f>CashFlow!AZ28</f>
        <v/>
      </c>
      <c r="BB49" s="155">
        <f>CashFlow!BA28</f>
        <v/>
      </c>
    </row>
    <row r="50" ht="15" customHeight="1" s="91">
      <c r="B50" s="110" t="inlineStr">
        <is>
          <t>Net Project CF (Unlevered)</t>
        </is>
      </c>
      <c r="C50" s="153" t="inlineStr">
        <is>
          <t>SAR</t>
        </is>
      </c>
      <c r="D50" s="157">
        <f>SUM(E50:BB50)</f>
        <v/>
      </c>
      <c r="E50" s="157">
        <f>E47+E48+E49</f>
        <v/>
      </c>
      <c r="F50" s="157">
        <f>F47+F48+F49</f>
        <v/>
      </c>
      <c r="G50" s="157">
        <f>G47+G48+G49</f>
        <v/>
      </c>
      <c r="H50" s="157">
        <f>H47+H48+H49</f>
        <v/>
      </c>
      <c r="I50" s="157">
        <f>I47+I48+I49</f>
        <v/>
      </c>
      <c r="J50" s="157">
        <f>J47+J48+J49</f>
        <v/>
      </c>
      <c r="K50" s="157">
        <f>K47+K48+K49</f>
        <v/>
      </c>
      <c r="L50" s="157">
        <f>L47+L48+L49</f>
        <v/>
      </c>
      <c r="M50" s="157">
        <f>M47+M48+M49</f>
        <v/>
      </c>
      <c r="N50" s="157">
        <f>N47+N48+N49</f>
        <v/>
      </c>
      <c r="O50" s="157">
        <f>O47+O48+O49</f>
        <v/>
      </c>
      <c r="P50" s="157">
        <f>P47+P48+P49</f>
        <v/>
      </c>
      <c r="Q50" s="157">
        <f>Q47+Q48+Q49</f>
        <v/>
      </c>
      <c r="R50" s="157">
        <f>R47+R48+R49</f>
        <v/>
      </c>
      <c r="S50" s="157">
        <f>S47+S48+S49</f>
        <v/>
      </c>
      <c r="T50" s="157">
        <f>T47+T48+T49</f>
        <v/>
      </c>
      <c r="U50" s="157">
        <f>U47+U48+U49</f>
        <v/>
      </c>
      <c r="V50" s="157">
        <f>V47+V48+V49</f>
        <v/>
      </c>
      <c r="W50" s="157">
        <f>W47+W48+W49</f>
        <v/>
      </c>
      <c r="X50" s="157">
        <f>X47+X48+X49</f>
        <v/>
      </c>
      <c r="Y50" s="157">
        <f>Y47+Y48+Y49</f>
        <v/>
      </c>
      <c r="Z50" s="157">
        <f>Z47+Z48+Z49</f>
        <v/>
      </c>
      <c r="AA50" s="157">
        <f>AA47+AA48+AA49</f>
        <v/>
      </c>
      <c r="AB50" s="157">
        <f>AB47+AB48+AB49</f>
        <v/>
      </c>
      <c r="AC50" s="157">
        <f>AC47+AC48+AC49</f>
        <v/>
      </c>
      <c r="AD50" s="157">
        <f>AD47+AD48+AD49</f>
        <v/>
      </c>
      <c r="AE50" s="157">
        <f>AE47+AE48+AE49</f>
        <v/>
      </c>
      <c r="AF50" s="157">
        <f>AF47+AF48+AF49</f>
        <v/>
      </c>
      <c r="AG50" s="157">
        <f>AG47+AG48+AG49</f>
        <v/>
      </c>
      <c r="AH50" s="157">
        <f>AH47+AH48+AH49</f>
        <v/>
      </c>
      <c r="AI50" s="157">
        <f>AI47+AI48+AI49</f>
        <v/>
      </c>
      <c r="AJ50" s="157">
        <f>AJ47+AJ48+AJ49</f>
        <v/>
      </c>
      <c r="AK50" s="157">
        <f>AK47+AK48+AK49</f>
        <v/>
      </c>
      <c r="AL50" s="157">
        <f>AL47+AL48+AL49</f>
        <v/>
      </c>
      <c r="AM50" s="157">
        <f>AM47+AM48+AM49</f>
        <v/>
      </c>
      <c r="AN50" s="157">
        <f>AN47+AN48+AN49</f>
        <v/>
      </c>
      <c r="AO50" s="157">
        <f>AO47+AO48+AO49</f>
        <v/>
      </c>
      <c r="AP50" s="157">
        <f>AP47+AP48+AP49</f>
        <v/>
      </c>
      <c r="AQ50" s="157">
        <f>AQ47+AQ48+AQ49</f>
        <v/>
      </c>
      <c r="AR50" s="157">
        <f>AR47+AR48+AR49</f>
        <v/>
      </c>
      <c r="AS50" s="157">
        <f>AS47+AS48+AS49</f>
        <v/>
      </c>
      <c r="AT50" s="157">
        <f>AT47+AT48+AT49</f>
        <v/>
      </c>
      <c r="AU50" s="157">
        <f>AU47+AU48+AU49</f>
        <v/>
      </c>
      <c r="AV50" s="157">
        <f>AV47+AV48+AV49</f>
        <v/>
      </c>
      <c r="AW50" s="157">
        <f>AW47+AW48+AW49</f>
        <v/>
      </c>
      <c r="AX50" s="157">
        <f>AX47+AX48+AX49</f>
        <v/>
      </c>
      <c r="AY50" s="157">
        <f>AY47+AY48+AY49</f>
        <v/>
      </c>
      <c r="AZ50" s="157">
        <f>AZ47+AZ48+AZ49</f>
        <v/>
      </c>
      <c r="BA50" s="157">
        <f>BA47+BA48+BA49</f>
        <v/>
      </c>
      <c r="BB50" s="157">
        <f>BB47+BB48+BB49</f>
        <v/>
      </c>
    </row>
    <row r="51" ht="15" customHeight="1" s="91">
      <c r="B51" s="153" t="inlineStr">
        <is>
          <t>Exit Proceeds  حصيلة التخارج</t>
        </is>
      </c>
      <c r="C51" s="153" t="inlineStr">
        <is>
          <t>SAR</t>
        </is>
      </c>
      <c r="D51" s="157">
        <f>SUM(E51:BB51)</f>
        <v/>
      </c>
      <c r="E51" s="160">
        <f>IF(E$46=$C$41,IF($C$44="Sale",E47*$C$42*(1-$C$43),E47/$C$45*(1-$C$43)),0)</f>
        <v/>
      </c>
      <c r="F51" s="160">
        <f>IF(F$46=$C$41,IF($C$44="Sale",F47*$C$42*(1-$C$43),F47/$C$45*(1-$C$43)),0)</f>
        <v/>
      </c>
      <c r="G51" s="160">
        <f>IF(G$46=$C$41,IF($C$44="Sale",G47*$C$42*(1-$C$43),G47/$C$45*(1-$C$43)),0)</f>
        <v/>
      </c>
      <c r="H51" s="160">
        <f>IF(H$46=$C$41,IF($C$44="Sale",H47*$C$42*(1-$C$43),H47/$C$45*(1-$C$43)),0)</f>
        <v/>
      </c>
      <c r="I51" s="160">
        <f>IF(I$46=$C$41,IF($C$44="Sale",I47*$C$42*(1-$C$43),I47/$C$45*(1-$C$43)),0)</f>
        <v/>
      </c>
      <c r="J51" s="160">
        <f>IF(J$46=$C$41,IF($C$44="Sale",J47*$C$42*(1-$C$43),J47/$C$45*(1-$C$43)),0)</f>
        <v/>
      </c>
      <c r="K51" s="160">
        <f>IF(K$46=$C$41,IF($C$44="Sale",K47*$C$42*(1-$C$43),K47/$C$45*(1-$C$43)),0)</f>
        <v/>
      </c>
      <c r="L51" s="160">
        <f>IF(L$46=$C$41,IF($C$44="Sale",L47*$C$42*(1-$C$43),L47/$C$45*(1-$C$43)),0)</f>
        <v/>
      </c>
      <c r="M51" s="160">
        <f>IF(M$46=$C$41,IF($C$44="Sale",M47*$C$42*(1-$C$43),M47/$C$45*(1-$C$43)),0)</f>
        <v/>
      </c>
      <c r="N51" s="160">
        <f>IF(N$46=$C$41,IF($C$44="Sale",N47*$C$42*(1-$C$43),N47/$C$45*(1-$C$43)),0)</f>
        <v/>
      </c>
      <c r="O51" s="160">
        <f>IF(O$46=$C$41,IF($C$44="Sale",O47*$C$42*(1-$C$43),O47/$C$45*(1-$C$43)),0)</f>
        <v/>
      </c>
      <c r="P51" s="160">
        <f>IF(P$46=$C$41,IF($C$44="Sale",P47*$C$42*(1-$C$43),P47/$C$45*(1-$C$43)),0)</f>
        <v/>
      </c>
      <c r="Q51" s="160">
        <f>IF(Q$46=$C$41,IF($C$44="Sale",Q47*$C$42*(1-$C$43),Q47/$C$45*(1-$C$43)),0)</f>
        <v/>
      </c>
      <c r="R51" s="160">
        <f>IF(R$46=$C$41,IF($C$44="Sale",R47*$C$42*(1-$C$43),R47/$C$45*(1-$C$43)),0)</f>
        <v/>
      </c>
      <c r="S51" s="160">
        <f>IF(S$46=$C$41,IF($C$44="Sale",S47*$C$42*(1-$C$43),S47/$C$45*(1-$C$43)),0)</f>
        <v/>
      </c>
      <c r="T51" s="160">
        <f>IF(T$46=$C$41,IF($C$44="Sale",T47*$C$42*(1-$C$43),T47/$C$45*(1-$C$43)),0)</f>
        <v/>
      </c>
      <c r="U51" s="160">
        <f>IF(U$46=$C$41,IF($C$44="Sale",U47*$C$42*(1-$C$43),U47/$C$45*(1-$C$43)),0)</f>
        <v/>
      </c>
      <c r="V51" s="160">
        <f>IF(V$46=$C$41,IF($C$44="Sale",V47*$C$42*(1-$C$43),V47/$C$45*(1-$C$43)),0)</f>
        <v/>
      </c>
      <c r="W51" s="160">
        <f>IF(W$46=$C$41,IF($C$44="Sale",W47*$C$42*(1-$C$43),W47/$C$45*(1-$C$43)),0)</f>
        <v/>
      </c>
      <c r="X51" s="160">
        <f>IF(X$46=$C$41,IF($C$44="Sale",X47*$C$42*(1-$C$43),X47/$C$45*(1-$C$43)),0)</f>
        <v/>
      </c>
      <c r="Y51" s="160">
        <f>IF(Y$46=$C$41,IF($C$44="Sale",Y47*$C$42*(1-$C$43),Y47/$C$45*(1-$C$43)),0)</f>
        <v/>
      </c>
      <c r="Z51" s="160">
        <f>IF(Z$46=$C$41,IF($C$44="Sale",Z47*$C$42*(1-$C$43),Z47/$C$45*(1-$C$43)),0)</f>
        <v/>
      </c>
      <c r="AA51" s="160">
        <f>IF(AA$46=$C$41,IF($C$44="Sale",AA47*$C$42*(1-$C$43),AA47/$C$45*(1-$C$43)),0)</f>
        <v/>
      </c>
      <c r="AB51" s="160">
        <f>IF(AB$46=$C$41,IF($C$44="Sale",AB47*$C$42*(1-$C$43),AB47/$C$45*(1-$C$43)),0)</f>
        <v/>
      </c>
      <c r="AC51" s="160">
        <f>IF(AC$46=$C$41,IF($C$44="Sale",AC47*$C$42*(1-$C$43),AC47/$C$45*(1-$C$43)),0)</f>
        <v/>
      </c>
      <c r="AD51" s="160">
        <f>IF(AD$46=$C$41,IF($C$44="Sale",AD47*$C$42*(1-$C$43),AD47/$C$45*(1-$C$43)),0)</f>
        <v/>
      </c>
      <c r="AE51" s="160">
        <f>IF(AE$46=$C$41,IF($C$44="Sale",AE47*$C$42*(1-$C$43),AE47/$C$45*(1-$C$43)),0)</f>
        <v/>
      </c>
      <c r="AF51" s="160">
        <f>IF(AF$46=$C$41,IF($C$44="Sale",AF47*$C$42*(1-$C$43),AF47/$C$45*(1-$C$43)),0)</f>
        <v/>
      </c>
      <c r="AG51" s="160">
        <f>IF(AG$46=$C$41,IF($C$44="Sale",AG47*$C$42*(1-$C$43),AG47/$C$45*(1-$C$43)),0)</f>
        <v/>
      </c>
      <c r="AH51" s="160">
        <f>IF(AH$46=$C$41,IF($C$44="Sale",AH47*$C$42*(1-$C$43),AH47/$C$45*(1-$C$43)),0)</f>
        <v/>
      </c>
      <c r="AI51" s="160">
        <f>IF(AI$46=$C$41,IF($C$44="Sale",AI47*$C$42*(1-$C$43),AI47/$C$45*(1-$C$43)),0)</f>
        <v/>
      </c>
      <c r="AJ51" s="160">
        <f>IF(AJ$46=$C$41,IF($C$44="Sale",AJ47*$C$42*(1-$C$43),AJ47/$C$45*(1-$C$43)),0)</f>
        <v/>
      </c>
      <c r="AK51" s="160">
        <f>IF(AK$46=$C$41,IF($C$44="Sale",AK47*$C$42*(1-$C$43),AK47/$C$45*(1-$C$43)),0)</f>
        <v/>
      </c>
      <c r="AL51" s="160">
        <f>IF(AL$46=$C$41,IF($C$44="Sale",AL47*$C$42*(1-$C$43),AL47/$C$45*(1-$C$43)),0)</f>
        <v/>
      </c>
      <c r="AM51" s="160">
        <f>IF(AM$46=$C$41,IF($C$44="Sale",AM47*$C$42*(1-$C$43),AM47/$C$45*(1-$C$43)),0)</f>
        <v/>
      </c>
      <c r="AN51" s="160">
        <f>IF(AN$46=$C$41,IF($C$44="Sale",AN47*$C$42*(1-$C$43),AN47/$C$45*(1-$C$43)),0)</f>
        <v/>
      </c>
      <c r="AO51" s="160">
        <f>IF(AO$46=$C$41,IF($C$44="Sale",AO47*$C$42*(1-$C$43),AO47/$C$45*(1-$C$43)),0)</f>
        <v/>
      </c>
      <c r="AP51" s="160">
        <f>IF(AP$46=$C$41,IF($C$44="Sale",AP47*$C$42*(1-$C$43),AP47/$C$45*(1-$C$43)),0)</f>
        <v/>
      </c>
      <c r="AQ51" s="160">
        <f>IF(AQ$46=$C$41,IF($C$44="Sale",AQ47*$C$42*(1-$C$43),AQ47/$C$45*(1-$C$43)),0)</f>
        <v/>
      </c>
      <c r="AR51" s="160">
        <f>IF(AR$46=$C$41,IF($C$44="Sale",AR47*$C$42*(1-$C$43),AR47/$C$45*(1-$C$43)),0)</f>
        <v/>
      </c>
      <c r="AS51" s="160">
        <f>IF(AS$46=$C$41,IF($C$44="Sale",AS47*$C$42*(1-$C$43),AS47/$C$45*(1-$C$43)),0)</f>
        <v/>
      </c>
      <c r="AT51" s="160">
        <f>IF(AT$46=$C$41,IF($C$44="Sale",AT47*$C$42*(1-$C$43),AT47/$C$45*(1-$C$43)),0)</f>
        <v/>
      </c>
      <c r="AU51" s="160">
        <f>IF(AU$46=$C$41,IF($C$44="Sale",AU47*$C$42*(1-$C$43),AU47/$C$45*(1-$C$43)),0)</f>
        <v/>
      </c>
      <c r="AV51" s="160">
        <f>IF(AV$46=$C$41,IF($C$44="Sale",AV47*$C$42*(1-$C$43),AV47/$C$45*(1-$C$43)),0)</f>
        <v/>
      </c>
      <c r="AW51" s="160">
        <f>IF(AW$46=$C$41,IF($C$44="Sale",AW47*$C$42*(1-$C$43),AW47/$C$45*(1-$C$43)),0)</f>
        <v/>
      </c>
      <c r="AX51" s="160">
        <f>IF(AX$46=$C$41,IF($C$44="Sale",AX47*$C$42*(1-$C$43),AX47/$C$45*(1-$C$43)),0)</f>
        <v/>
      </c>
      <c r="AY51" s="160">
        <f>IF(AY$46=$C$41,IF($C$44="Sale",AY47*$C$42*(1-$C$43),AY47/$C$45*(1-$C$43)),0)</f>
        <v/>
      </c>
      <c r="AZ51" s="160">
        <f>IF(AZ$46=$C$41,IF($C$44="Sale",AZ47*$C$42*(1-$C$43),AZ47/$C$45*(1-$C$43)),0)</f>
        <v/>
      </c>
      <c r="BA51" s="160">
        <f>IF(BA$46=$C$41,IF($C$44="Sale",BA47*$C$42*(1-$C$43),BA47/$C$45*(1-$C$43)),0)</f>
        <v/>
      </c>
      <c r="BB51" s="160">
        <f>IF(BB$46=$C$41,IF($C$44="Sale",BB47*$C$42*(1-$C$43),BB47/$C$45*(1-$C$43)),0)</f>
        <v/>
      </c>
    </row>
    <row r="52" ht="15" customHeight="1" s="91">
      <c r="B52" s="153" t="inlineStr">
        <is>
          <t>Unlevered CF (incl. Exit)  التدفق شامل التخارج</t>
        </is>
      </c>
      <c r="C52" s="153" t="inlineStr">
        <is>
          <t>SAR</t>
        </is>
      </c>
      <c r="D52" s="157">
        <f>SUM(E52:BB52)</f>
        <v/>
      </c>
      <c r="E52" s="160">
        <f>IF(AND(E$46&gt;=$C$9,E$46&lt;=$C$41),E50+E51,0)</f>
        <v/>
      </c>
      <c r="F52" s="160">
        <f>IF(AND(F$46&gt;=$C$9,F$46&lt;=$C$41),F50+F51,0)</f>
        <v/>
      </c>
      <c r="G52" s="160">
        <f>IF(AND(G$46&gt;=$C$9,G$46&lt;=$C$41),G50+G51,0)</f>
        <v/>
      </c>
      <c r="H52" s="160">
        <f>IF(AND(H$46&gt;=$C$9,H$46&lt;=$C$41),H50+H51,0)</f>
        <v/>
      </c>
      <c r="I52" s="160">
        <f>IF(AND(I$46&gt;=$C$9,I$46&lt;=$C$41),I50+I51,0)</f>
        <v/>
      </c>
      <c r="J52" s="160">
        <f>IF(AND(J$46&gt;=$C$9,J$46&lt;=$C$41),J50+J51,0)</f>
        <v/>
      </c>
      <c r="K52" s="160">
        <f>IF(AND(K$46&gt;=$C$9,K$46&lt;=$C$41),K50+K51,0)</f>
        <v/>
      </c>
      <c r="L52" s="160">
        <f>IF(AND(L$46&gt;=$C$9,L$46&lt;=$C$41),L50+L51,0)</f>
        <v/>
      </c>
      <c r="M52" s="160">
        <f>IF(AND(M$46&gt;=$C$9,M$46&lt;=$C$41),M50+M51,0)</f>
        <v/>
      </c>
      <c r="N52" s="160">
        <f>IF(AND(N$46&gt;=$C$9,N$46&lt;=$C$41),N50+N51,0)</f>
        <v/>
      </c>
      <c r="O52" s="160">
        <f>IF(AND(O$46&gt;=$C$9,O$46&lt;=$C$41),O50+O51,0)</f>
        <v/>
      </c>
      <c r="P52" s="160">
        <f>IF(AND(P$46&gt;=$C$9,P$46&lt;=$C$41),P50+P51,0)</f>
        <v/>
      </c>
      <c r="Q52" s="160">
        <f>IF(AND(Q$46&gt;=$C$9,Q$46&lt;=$C$41),Q50+Q51,0)</f>
        <v/>
      </c>
      <c r="R52" s="160">
        <f>IF(AND(R$46&gt;=$C$9,R$46&lt;=$C$41),R50+R51,0)</f>
        <v/>
      </c>
      <c r="S52" s="160">
        <f>IF(AND(S$46&gt;=$C$9,S$46&lt;=$C$41),S50+S51,0)</f>
        <v/>
      </c>
      <c r="T52" s="160">
        <f>IF(AND(T$46&gt;=$C$9,T$46&lt;=$C$41),T50+T51,0)</f>
        <v/>
      </c>
      <c r="U52" s="160">
        <f>IF(AND(U$46&gt;=$C$9,U$46&lt;=$C$41),U50+U51,0)</f>
        <v/>
      </c>
      <c r="V52" s="160">
        <f>IF(AND(V$46&gt;=$C$9,V$46&lt;=$C$41),V50+V51,0)</f>
        <v/>
      </c>
      <c r="W52" s="160">
        <f>IF(AND(W$46&gt;=$C$9,W$46&lt;=$C$41),W50+W51,0)</f>
        <v/>
      </c>
      <c r="X52" s="160">
        <f>IF(AND(X$46&gt;=$C$9,X$46&lt;=$C$41),X50+X51,0)</f>
        <v/>
      </c>
      <c r="Y52" s="160">
        <f>IF(AND(Y$46&gt;=$C$9,Y$46&lt;=$C$41),Y50+Y51,0)</f>
        <v/>
      </c>
      <c r="Z52" s="160">
        <f>IF(AND(Z$46&gt;=$C$9,Z$46&lt;=$C$41),Z50+Z51,0)</f>
        <v/>
      </c>
      <c r="AA52" s="160">
        <f>IF(AND(AA$46&gt;=$C$9,AA$46&lt;=$C$41),AA50+AA51,0)</f>
        <v/>
      </c>
      <c r="AB52" s="160">
        <f>IF(AND(AB$46&gt;=$C$9,AB$46&lt;=$C$41),AB50+AB51,0)</f>
        <v/>
      </c>
      <c r="AC52" s="160">
        <f>IF(AND(AC$46&gt;=$C$9,AC$46&lt;=$C$41),AC50+AC51,0)</f>
        <v/>
      </c>
      <c r="AD52" s="160">
        <f>IF(AND(AD$46&gt;=$C$9,AD$46&lt;=$C$41),AD50+AD51,0)</f>
        <v/>
      </c>
      <c r="AE52" s="160">
        <f>IF(AND(AE$46&gt;=$C$9,AE$46&lt;=$C$41),AE50+AE51,0)</f>
        <v/>
      </c>
      <c r="AF52" s="160">
        <f>IF(AND(AF$46&gt;=$C$9,AF$46&lt;=$C$41),AF50+AF51,0)</f>
        <v/>
      </c>
      <c r="AG52" s="160">
        <f>IF(AND(AG$46&gt;=$C$9,AG$46&lt;=$C$41),AG50+AG51,0)</f>
        <v/>
      </c>
      <c r="AH52" s="160">
        <f>IF(AND(AH$46&gt;=$C$9,AH$46&lt;=$C$41),AH50+AH51,0)</f>
        <v/>
      </c>
      <c r="AI52" s="160">
        <f>IF(AND(AI$46&gt;=$C$9,AI$46&lt;=$C$41),AI50+AI51,0)</f>
        <v/>
      </c>
      <c r="AJ52" s="160">
        <f>IF(AND(AJ$46&gt;=$C$9,AJ$46&lt;=$C$41),AJ50+AJ51,0)</f>
        <v/>
      </c>
      <c r="AK52" s="160">
        <f>IF(AND(AK$46&gt;=$C$9,AK$46&lt;=$C$41),AK50+AK51,0)</f>
        <v/>
      </c>
      <c r="AL52" s="160">
        <f>IF(AND(AL$46&gt;=$C$9,AL$46&lt;=$C$41),AL50+AL51,0)</f>
        <v/>
      </c>
      <c r="AM52" s="160">
        <f>IF(AND(AM$46&gt;=$C$9,AM$46&lt;=$C$41),AM50+AM51,0)</f>
        <v/>
      </c>
      <c r="AN52" s="160">
        <f>IF(AND(AN$46&gt;=$C$9,AN$46&lt;=$C$41),AN50+AN51,0)</f>
        <v/>
      </c>
      <c r="AO52" s="160">
        <f>IF(AND(AO$46&gt;=$C$9,AO$46&lt;=$C$41),AO50+AO51,0)</f>
        <v/>
      </c>
      <c r="AP52" s="160">
        <f>IF(AND(AP$46&gt;=$C$9,AP$46&lt;=$C$41),AP50+AP51,0)</f>
        <v/>
      </c>
      <c r="AQ52" s="160">
        <f>IF(AND(AQ$46&gt;=$C$9,AQ$46&lt;=$C$41),AQ50+AQ51,0)</f>
        <v/>
      </c>
      <c r="AR52" s="160">
        <f>IF(AND(AR$46&gt;=$C$9,AR$46&lt;=$C$41),AR50+AR51,0)</f>
        <v/>
      </c>
      <c r="AS52" s="160">
        <f>IF(AND(AS$46&gt;=$C$9,AS$46&lt;=$C$41),AS50+AS51,0)</f>
        <v/>
      </c>
      <c r="AT52" s="160">
        <f>IF(AND(AT$46&gt;=$C$9,AT$46&lt;=$C$41),AT50+AT51,0)</f>
        <v/>
      </c>
      <c r="AU52" s="160">
        <f>IF(AND(AU$46&gt;=$C$9,AU$46&lt;=$C$41),AU50+AU51,0)</f>
        <v/>
      </c>
      <c r="AV52" s="160">
        <f>IF(AND(AV$46&gt;=$C$9,AV$46&lt;=$C$41),AV50+AV51,0)</f>
        <v/>
      </c>
      <c r="AW52" s="160">
        <f>IF(AND(AW$46&gt;=$C$9,AW$46&lt;=$C$41),AW50+AW51,0)</f>
        <v/>
      </c>
      <c r="AX52" s="160">
        <f>IF(AND(AX$46&gt;=$C$9,AX$46&lt;=$C$41),AX50+AX51,0)</f>
        <v/>
      </c>
      <c r="AY52" s="160">
        <f>IF(AND(AY$46&gt;=$C$9,AY$46&lt;=$C$41),AY50+AY51,0)</f>
        <v/>
      </c>
      <c r="AZ52" s="160">
        <f>IF(AND(AZ$46&gt;=$C$9,AZ$46&lt;=$C$41),AZ50+AZ51,0)</f>
        <v/>
      </c>
      <c r="BA52" s="160">
        <f>IF(AND(BA$46&gt;=$C$9,BA$46&lt;=$C$41),BA50+BA51,0)</f>
        <v/>
      </c>
      <c r="BB52" s="160">
        <f>IF(AND(BB$46&gt;=$C$9,BB$46&lt;=$C$41),BB50+BB51,0)</f>
        <v/>
      </c>
    </row>
    <row r="53">
      <c r="B53" t="inlineStr">
        <is>
          <t>(helper: single repay)</t>
        </is>
      </c>
      <c r="D53">
        <f>SUM(E53:BB53)</f>
        <v/>
      </c>
      <c r="E53">
        <f>IF(AND($C$22="Y",(E$46-$C$9+1)&gt;$C$26,E58&gt;0),-MIN(E58,$C$19/$C$27),0)</f>
        <v/>
      </c>
      <c r="F53">
        <f>IF(AND($C$22="Y",(F$46-$C$9+1)&gt;$C$26,F58&gt;0),-MIN(F58,$C$19/$C$27),0)</f>
        <v/>
      </c>
      <c r="G53">
        <f>IF(AND($C$22="Y",(G$46-$C$9+1)&gt;$C$26,G58&gt;0),-MIN(G58,$C$19/$C$27),0)</f>
        <v/>
      </c>
      <c r="H53">
        <f>IF(AND($C$22="Y",(H$46-$C$9+1)&gt;$C$26,H58&gt;0),-MIN(H58,$C$19/$C$27),0)</f>
        <v/>
      </c>
      <c r="I53">
        <f>IF(AND($C$22="Y",(I$46-$C$9+1)&gt;$C$26,I58&gt;0),-MIN(I58,$C$19/$C$27),0)</f>
        <v/>
      </c>
      <c r="J53">
        <f>IF(AND($C$22="Y",(J$46-$C$9+1)&gt;$C$26,J58&gt;0),-MIN(J58,$C$19/$C$27),0)</f>
        <v/>
      </c>
      <c r="K53">
        <f>IF(AND($C$22="Y",(K$46-$C$9+1)&gt;$C$26,K58&gt;0),-MIN(K58,$C$19/$C$27),0)</f>
        <v/>
      </c>
      <c r="L53">
        <f>IF(AND($C$22="Y",(L$46-$C$9+1)&gt;$C$26,L58&gt;0),-MIN(L58,$C$19/$C$27),0)</f>
        <v/>
      </c>
      <c r="M53">
        <f>IF(AND($C$22="Y",(M$46-$C$9+1)&gt;$C$26,M58&gt;0),-MIN(M58,$C$19/$C$27),0)</f>
        <v/>
      </c>
      <c r="N53">
        <f>IF(AND($C$22="Y",(N$46-$C$9+1)&gt;$C$26,N58&gt;0),-MIN(N58,$C$19/$C$27),0)</f>
        <v/>
      </c>
      <c r="O53">
        <f>IF(AND($C$22="Y",(O$46-$C$9+1)&gt;$C$26,O58&gt;0),-MIN(O58,$C$19/$C$27),0)</f>
        <v/>
      </c>
      <c r="P53">
        <f>IF(AND($C$22="Y",(P$46-$C$9+1)&gt;$C$26,P58&gt;0),-MIN(P58,$C$19/$C$27),0)</f>
        <v/>
      </c>
      <c r="Q53">
        <f>IF(AND($C$22="Y",(Q$46-$C$9+1)&gt;$C$26,Q58&gt;0),-MIN(Q58,$C$19/$C$27),0)</f>
        <v/>
      </c>
      <c r="R53">
        <f>IF(AND($C$22="Y",(R$46-$C$9+1)&gt;$C$26,R58&gt;0),-MIN(R58,$C$19/$C$27),0)</f>
        <v/>
      </c>
      <c r="S53">
        <f>IF(AND($C$22="Y",(S$46-$C$9+1)&gt;$C$26,S58&gt;0),-MIN(S58,$C$19/$C$27),0)</f>
        <v/>
      </c>
      <c r="T53">
        <f>IF(AND($C$22="Y",(T$46-$C$9+1)&gt;$C$26,T58&gt;0),-MIN(T58,$C$19/$C$27),0)</f>
        <v/>
      </c>
      <c r="U53">
        <f>IF(AND($C$22="Y",(U$46-$C$9+1)&gt;$C$26,U58&gt;0),-MIN(U58,$C$19/$C$27),0)</f>
        <v/>
      </c>
      <c r="V53">
        <f>IF(AND($C$22="Y",(V$46-$C$9+1)&gt;$C$26,V58&gt;0),-MIN(V58,$C$19/$C$27),0)</f>
        <v/>
      </c>
      <c r="W53">
        <f>IF(AND($C$22="Y",(W$46-$C$9+1)&gt;$C$26,W58&gt;0),-MIN(W58,$C$19/$C$27),0)</f>
        <v/>
      </c>
      <c r="X53">
        <f>IF(AND($C$22="Y",(X$46-$C$9+1)&gt;$C$26,X58&gt;0),-MIN(X58,$C$19/$C$27),0)</f>
        <v/>
      </c>
      <c r="Y53">
        <f>IF(AND($C$22="Y",(Y$46-$C$9+1)&gt;$C$26,Y58&gt;0),-MIN(Y58,$C$19/$C$27),0)</f>
        <v/>
      </c>
      <c r="Z53">
        <f>IF(AND($C$22="Y",(Z$46-$C$9+1)&gt;$C$26,Z58&gt;0),-MIN(Z58,$C$19/$C$27),0)</f>
        <v/>
      </c>
      <c r="AA53">
        <f>IF(AND($C$22="Y",(AA$46-$C$9+1)&gt;$C$26,AA58&gt;0),-MIN(AA58,$C$19/$C$27),0)</f>
        <v/>
      </c>
      <c r="AB53">
        <f>IF(AND($C$22="Y",(AB$46-$C$9+1)&gt;$C$26,AB58&gt;0),-MIN(AB58,$C$19/$C$27),0)</f>
        <v/>
      </c>
      <c r="AC53">
        <f>IF(AND($C$22="Y",(AC$46-$C$9+1)&gt;$C$26,AC58&gt;0),-MIN(AC58,$C$19/$C$27),0)</f>
        <v/>
      </c>
      <c r="AD53">
        <f>IF(AND($C$22="Y",(AD$46-$C$9+1)&gt;$C$26,AD58&gt;0),-MIN(AD58,$C$19/$C$27),0)</f>
        <v/>
      </c>
      <c r="AE53">
        <f>IF(AND($C$22="Y",(AE$46-$C$9+1)&gt;$C$26,AE58&gt;0),-MIN(AE58,$C$19/$C$27),0)</f>
        <v/>
      </c>
      <c r="AF53">
        <f>IF(AND($C$22="Y",(AF$46-$C$9+1)&gt;$C$26,AF58&gt;0),-MIN(AF58,$C$19/$C$27),0)</f>
        <v/>
      </c>
      <c r="AG53">
        <f>IF(AND($C$22="Y",(AG$46-$C$9+1)&gt;$C$26,AG58&gt;0),-MIN(AG58,$C$19/$C$27),0)</f>
        <v/>
      </c>
      <c r="AH53">
        <f>IF(AND($C$22="Y",(AH$46-$C$9+1)&gt;$C$26,AH58&gt;0),-MIN(AH58,$C$19/$C$27),0)</f>
        <v/>
      </c>
      <c r="AI53">
        <f>IF(AND($C$22="Y",(AI$46-$C$9+1)&gt;$C$26,AI58&gt;0),-MIN(AI58,$C$19/$C$27),0)</f>
        <v/>
      </c>
      <c r="AJ53">
        <f>IF(AND($C$22="Y",(AJ$46-$C$9+1)&gt;$C$26,AJ58&gt;0),-MIN(AJ58,$C$19/$C$27),0)</f>
        <v/>
      </c>
      <c r="AK53">
        <f>IF(AND($C$22="Y",(AK$46-$C$9+1)&gt;$C$26,AK58&gt;0),-MIN(AK58,$C$19/$C$27),0)</f>
        <v/>
      </c>
      <c r="AL53">
        <f>IF(AND($C$22="Y",(AL$46-$C$9+1)&gt;$C$26,AL58&gt;0),-MIN(AL58,$C$19/$C$27),0)</f>
        <v/>
      </c>
      <c r="AM53">
        <f>IF(AND($C$22="Y",(AM$46-$C$9+1)&gt;$C$26,AM58&gt;0),-MIN(AM58,$C$19/$C$27),0)</f>
        <v/>
      </c>
      <c r="AN53">
        <f>IF(AND($C$22="Y",(AN$46-$C$9+1)&gt;$C$26,AN58&gt;0),-MIN(AN58,$C$19/$C$27),0)</f>
        <v/>
      </c>
      <c r="AO53">
        <f>IF(AND($C$22="Y",(AO$46-$C$9+1)&gt;$C$26,AO58&gt;0),-MIN(AO58,$C$19/$C$27),0)</f>
        <v/>
      </c>
      <c r="AP53">
        <f>IF(AND($C$22="Y",(AP$46-$C$9+1)&gt;$C$26,AP58&gt;0),-MIN(AP58,$C$19/$C$27),0)</f>
        <v/>
      </c>
      <c r="AQ53">
        <f>IF(AND($C$22="Y",(AQ$46-$C$9+1)&gt;$C$26,AQ58&gt;0),-MIN(AQ58,$C$19/$C$27),0)</f>
        <v/>
      </c>
      <c r="AR53">
        <f>IF(AND($C$22="Y",(AR$46-$C$9+1)&gt;$C$26,AR58&gt;0),-MIN(AR58,$C$19/$C$27),0)</f>
        <v/>
      </c>
      <c r="AS53">
        <f>IF(AND($C$22="Y",(AS$46-$C$9+1)&gt;$C$26,AS58&gt;0),-MIN(AS58,$C$19/$C$27),0)</f>
        <v/>
      </c>
      <c r="AT53">
        <f>IF(AND($C$22="Y",(AT$46-$C$9+1)&gt;$C$26,AT58&gt;0),-MIN(AT58,$C$19/$C$27),0)</f>
        <v/>
      </c>
      <c r="AU53">
        <f>IF(AND($C$22="Y",(AU$46-$C$9+1)&gt;$C$26,AU58&gt;0),-MIN(AU58,$C$19/$C$27),0)</f>
        <v/>
      </c>
      <c r="AV53">
        <f>IF(AND($C$22="Y",(AV$46-$C$9+1)&gt;$C$26,AV58&gt;0),-MIN(AV58,$C$19/$C$27),0)</f>
        <v/>
      </c>
      <c r="AW53">
        <f>IF(AND($C$22="Y",(AW$46-$C$9+1)&gt;$C$26,AW58&gt;0),-MIN(AW58,$C$19/$C$27),0)</f>
        <v/>
      </c>
      <c r="AX53">
        <f>IF(AND($C$22="Y",(AX$46-$C$9+1)&gt;$C$26,AX58&gt;0),-MIN(AX58,$C$19/$C$27),0)</f>
        <v/>
      </c>
      <c r="AY53">
        <f>IF(AND($C$22="Y",(AY$46-$C$9+1)&gt;$C$26,AY58&gt;0),-MIN(AY58,$C$19/$C$27),0)</f>
        <v/>
      </c>
      <c r="AZ53">
        <f>IF(AND($C$22="Y",(AZ$46-$C$9+1)&gt;$C$26,AZ58&gt;0),-MIN(AZ58,$C$19/$C$27),0)</f>
        <v/>
      </c>
      <c r="BA53">
        <f>IF(AND($C$22="Y",(BA$46-$C$9+1)&gt;$C$26,BA58&gt;0),-MIN(BA58,$C$19/$C$27),0)</f>
        <v/>
      </c>
      <c r="BB53">
        <f>IF(AND($C$22="Y",(BB$46-$C$9+1)&gt;$C$26,BB58&gt;0),-MIN(BB58,$C$19/$C$27),0)</f>
        <v/>
      </c>
    </row>
    <row r="54" ht="15" customHeight="1" s="91">
      <c r="A54" s="152" t="inlineStr">
        <is>
          <t>8  FUND CASH FLOW (Levered)  تدفقات الصندوق الممولة</t>
        </is>
      </c>
      <c r="B54" s="152" t="inlineStr">
        <is>
          <t>(helper: perDraw repay)</t>
        </is>
      </c>
      <c r="C54" s="152" t="n"/>
      <c r="D54" s="152">
        <f>SUM(E54:BB54)</f>
        <v/>
      </c>
      <c r="E54" s="152">
        <f>-E140</f>
        <v/>
      </c>
      <c r="F54" s="152">
        <f>-F140</f>
        <v/>
      </c>
      <c r="G54" s="152">
        <f>-G140</f>
        <v/>
      </c>
      <c r="H54" s="152">
        <f>-H140</f>
        <v/>
      </c>
      <c r="I54" s="152">
        <f>-I140</f>
        <v/>
      </c>
      <c r="J54" s="152">
        <f>-J140</f>
        <v/>
      </c>
      <c r="K54" s="152">
        <f>-K140</f>
        <v/>
      </c>
      <c r="L54" s="152">
        <f>-L140</f>
        <v/>
      </c>
      <c r="M54" s="152">
        <f>-M140</f>
        <v/>
      </c>
      <c r="N54" s="152">
        <f>-N140</f>
        <v/>
      </c>
      <c r="O54" s="152">
        <f>-O140</f>
        <v/>
      </c>
      <c r="P54" s="152">
        <f>-P140</f>
        <v/>
      </c>
      <c r="Q54" s="152">
        <f>-Q140</f>
        <v/>
      </c>
      <c r="R54" s="152">
        <f>-R140</f>
        <v/>
      </c>
      <c r="S54" s="152">
        <f>-S140</f>
        <v/>
      </c>
      <c r="T54" s="152">
        <f>-T140</f>
        <v/>
      </c>
      <c r="U54" s="152">
        <f>-U140</f>
        <v/>
      </c>
      <c r="V54" s="152">
        <f>-V140</f>
        <v/>
      </c>
      <c r="W54" s="152">
        <f>-W140</f>
        <v/>
      </c>
      <c r="X54" s="152">
        <f>-X140</f>
        <v/>
      </c>
      <c r="Y54" s="152">
        <f>-Y140</f>
        <v/>
      </c>
      <c r="Z54" s="152">
        <f>-Z140</f>
        <v/>
      </c>
      <c r="AA54" s="152">
        <f>-AA140</f>
        <v/>
      </c>
      <c r="AB54" s="152">
        <f>-AB140</f>
        <v/>
      </c>
      <c r="AC54" s="152">
        <f>-AC140</f>
        <v/>
      </c>
      <c r="AD54" s="152">
        <f>-AD140</f>
        <v/>
      </c>
      <c r="AE54" s="152">
        <f>-AE140</f>
        <v/>
      </c>
      <c r="AF54" s="152">
        <f>-AF140</f>
        <v/>
      </c>
      <c r="AG54" s="152">
        <f>-AG140</f>
        <v/>
      </c>
      <c r="AH54" s="152">
        <f>-AH140</f>
        <v/>
      </c>
      <c r="AI54" s="152">
        <f>-AI140</f>
        <v/>
      </c>
      <c r="AJ54" s="152">
        <f>-AJ140</f>
        <v/>
      </c>
      <c r="AK54" s="152">
        <f>-AK140</f>
        <v/>
      </c>
      <c r="AL54" s="152">
        <f>-AL140</f>
        <v/>
      </c>
      <c r="AM54" s="152">
        <f>-AM140</f>
        <v/>
      </c>
      <c r="AN54" s="152">
        <f>-AN140</f>
        <v/>
      </c>
      <c r="AO54" s="152">
        <f>-AO140</f>
        <v/>
      </c>
      <c r="AP54" s="152">
        <f>-AP140</f>
        <v/>
      </c>
      <c r="AQ54" s="152">
        <f>-AQ140</f>
        <v/>
      </c>
      <c r="AR54" s="152">
        <f>-AR140</f>
        <v/>
      </c>
      <c r="AS54" s="152">
        <f>-AS140</f>
        <v/>
      </c>
      <c r="AT54" s="152">
        <f>-AT140</f>
        <v/>
      </c>
      <c r="AU54" s="152">
        <f>-AU140</f>
        <v/>
      </c>
      <c r="AV54" s="152">
        <f>-AV140</f>
        <v/>
      </c>
      <c r="AW54" s="152">
        <f>-AW140</f>
        <v/>
      </c>
      <c r="AX54" s="152">
        <f>-AX140</f>
        <v/>
      </c>
      <c r="AY54" s="152">
        <f>-AY140</f>
        <v/>
      </c>
      <c r="AZ54" s="152">
        <f>-AZ140</f>
        <v/>
      </c>
      <c r="BA54" s="152">
        <f>-BA140</f>
        <v/>
      </c>
      <c r="BB54" s="152">
        <f>-BB140</f>
        <v/>
      </c>
    </row>
    <row r="55" ht="15" customHeight="1" s="91">
      <c r="C55" s="165" t="inlineStr">
        <is>
          <t>Unit</t>
        </is>
      </c>
      <c r="D55" s="165" t="inlineStr">
        <is>
          <t>Total</t>
        </is>
      </c>
      <c r="E55" s="166">
        <f>E$46</f>
        <v/>
      </c>
      <c r="F55" s="166">
        <f>F$46</f>
        <v/>
      </c>
      <c r="G55" s="166">
        <f>G$46</f>
        <v/>
      </c>
      <c r="H55" s="166">
        <f>H$46</f>
        <v/>
      </c>
      <c r="I55" s="166">
        <f>I$46</f>
        <v/>
      </c>
      <c r="J55" s="166">
        <f>J$46</f>
        <v/>
      </c>
      <c r="K55" s="166">
        <f>K$46</f>
        <v/>
      </c>
      <c r="L55" s="166">
        <f>L$46</f>
        <v/>
      </c>
      <c r="M55" s="166">
        <f>M$46</f>
        <v/>
      </c>
      <c r="N55" s="166">
        <f>N$46</f>
        <v/>
      </c>
      <c r="O55" s="166">
        <f>O$46</f>
        <v/>
      </c>
      <c r="P55" s="166">
        <f>P$46</f>
        <v/>
      </c>
      <c r="Q55" s="166">
        <f>Q$46</f>
        <v/>
      </c>
      <c r="R55" s="166">
        <f>R$46</f>
        <v/>
      </c>
      <c r="S55" s="166">
        <f>S$46</f>
        <v/>
      </c>
      <c r="T55" s="166">
        <f>T$46</f>
        <v/>
      </c>
      <c r="U55" s="166">
        <f>U$46</f>
        <v/>
      </c>
      <c r="V55" s="166">
        <f>V$46</f>
        <v/>
      </c>
      <c r="W55" s="166">
        <f>W$46</f>
        <v/>
      </c>
      <c r="X55" s="166">
        <f>X$46</f>
        <v/>
      </c>
      <c r="Y55" s="166">
        <f>Y$46</f>
        <v/>
      </c>
      <c r="Z55" s="166">
        <f>Z$46</f>
        <v/>
      </c>
      <c r="AA55" s="166">
        <f>AA$46</f>
        <v/>
      </c>
      <c r="AB55" s="166">
        <f>AB$46</f>
        <v/>
      </c>
      <c r="AC55" s="166">
        <f>AC$46</f>
        <v/>
      </c>
      <c r="AD55" s="166">
        <f>AD$46</f>
        <v/>
      </c>
      <c r="AE55" s="166">
        <f>AE$46</f>
        <v/>
      </c>
      <c r="AF55" s="166">
        <f>AF$46</f>
        <v/>
      </c>
      <c r="AG55" s="166">
        <f>AG$46</f>
        <v/>
      </c>
      <c r="AH55" s="166">
        <f>AH$46</f>
        <v/>
      </c>
      <c r="AI55" s="166">
        <f>AI$46</f>
        <v/>
      </c>
      <c r="AJ55" s="166">
        <f>AJ$46</f>
        <v/>
      </c>
      <c r="AK55" s="166">
        <f>AK$46</f>
        <v/>
      </c>
      <c r="AL55" s="166">
        <f>AL$46</f>
        <v/>
      </c>
      <c r="AM55" s="166">
        <f>AM$46</f>
        <v/>
      </c>
      <c r="AN55" s="166">
        <f>AN$46</f>
        <v/>
      </c>
      <c r="AO55" s="166">
        <f>AO$46</f>
        <v/>
      </c>
      <c r="AP55" s="166">
        <f>AP$46</f>
        <v/>
      </c>
      <c r="AQ55" s="166">
        <f>AQ$46</f>
        <v/>
      </c>
      <c r="AR55" s="166">
        <f>AR$46</f>
        <v/>
      </c>
      <c r="AS55" s="166">
        <f>AS$46</f>
        <v/>
      </c>
      <c r="AT55" s="166">
        <f>AT$46</f>
        <v/>
      </c>
      <c r="AU55" s="166">
        <f>AU$46</f>
        <v/>
      </c>
      <c r="AV55" s="166">
        <f>AV$46</f>
        <v/>
      </c>
      <c r="AW55" s="166">
        <f>AW$46</f>
        <v/>
      </c>
      <c r="AX55" s="166">
        <f>AX$46</f>
        <v/>
      </c>
      <c r="AY55" s="166">
        <f>AY$46</f>
        <v/>
      </c>
      <c r="AZ55" s="166">
        <f>AZ$46</f>
        <v/>
      </c>
      <c r="BA55" s="166">
        <f>BA$46</f>
        <v/>
      </c>
      <c r="BB55" s="166">
        <f>BB$46</f>
        <v/>
      </c>
    </row>
    <row r="56" ht="15" customHeight="1" s="91">
      <c r="B56" s="153" t="inlineStr">
        <is>
          <t>Equity Calls  سحب رأس المال</t>
        </is>
      </c>
      <c r="C56" s="153" t="inlineStr">
        <is>
          <t>SAR</t>
        </is>
      </c>
      <c r="D56" s="157">
        <f>SUM(E56:BB56)</f>
        <v/>
      </c>
      <c r="E56" s="160">
        <f>IF(AND(E49&lt;0,E$46&gt;=$C$9,E$46&lt;=$C$41),ABS(E49/$D$49)*$C$14,0)+E70</f>
        <v/>
      </c>
      <c r="F56" s="160">
        <f>IF(AND(F49&lt;0,F$46&gt;=$C$9,F$46&lt;=$C$41),ABS(F49/$D$49)*$C$14,0)+F70</f>
        <v/>
      </c>
      <c r="G56" s="160">
        <f>IF(AND(G49&lt;0,G$46&gt;=$C$9,G$46&lt;=$C$41),ABS(G49/$D$49)*$C$14,0)+G70</f>
        <v/>
      </c>
      <c r="H56" s="160">
        <f>IF(AND(H49&lt;0,H$46&gt;=$C$9,H$46&lt;=$C$41),ABS(H49/$D$49)*$C$14,0)+H70</f>
        <v/>
      </c>
      <c r="I56" s="160">
        <f>IF(AND(I49&lt;0,I$46&gt;=$C$9,I$46&lt;=$C$41),ABS(I49/$D$49)*$C$14,0)+I70</f>
        <v/>
      </c>
      <c r="J56" s="160">
        <f>IF(AND(J49&lt;0,J$46&gt;=$C$9,J$46&lt;=$C$41),ABS(J49/$D$49)*$C$14,0)+J70</f>
        <v/>
      </c>
      <c r="K56" s="160">
        <f>IF(AND(K49&lt;0,K$46&gt;=$C$9,K$46&lt;=$C$41),ABS(K49/$D$49)*$C$14,0)+K70</f>
        <v/>
      </c>
      <c r="L56" s="160">
        <f>IF(AND(L49&lt;0,L$46&gt;=$C$9,L$46&lt;=$C$41),ABS(L49/$D$49)*$C$14,0)+L70</f>
        <v/>
      </c>
      <c r="M56" s="160">
        <f>IF(AND(M49&lt;0,M$46&gt;=$C$9,M$46&lt;=$C$41),ABS(M49/$D$49)*$C$14,0)+M70</f>
        <v/>
      </c>
      <c r="N56" s="160">
        <f>IF(AND(N49&lt;0,N$46&gt;=$C$9,N$46&lt;=$C$41),ABS(N49/$D$49)*$C$14,0)+N70</f>
        <v/>
      </c>
      <c r="O56" s="160">
        <f>IF(AND(O49&lt;0,O$46&gt;=$C$9,O$46&lt;=$C$41),ABS(O49/$D$49)*$C$14,0)+O70</f>
        <v/>
      </c>
      <c r="P56" s="160">
        <f>IF(AND(P49&lt;0,P$46&gt;=$C$9,P$46&lt;=$C$41),ABS(P49/$D$49)*$C$14,0)+P70</f>
        <v/>
      </c>
      <c r="Q56" s="160">
        <f>IF(AND(Q49&lt;0,Q$46&gt;=$C$9,Q$46&lt;=$C$41),ABS(Q49/$D$49)*$C$14,0)+Q70</f>
        <v/>
      </c>
      <c r="R56" s="160">
        <f>IF(AND(R49&lt;0,R$46&gt;=$C$9,R$46&lt;=$C$41),ABS(R49/$D$49)*$C$14,0)+R70</f>
        <v/>
      </c>
      <c r="S56" s="160">
        <f>IF(AND(S49&lt;0,S$46&gt;=$C$9,S$46&lt;=$C$41),ABS(S49/$D$49)*$C$14,0)+S70</f>
        <v/>
      </c>
      <c r="T56" s="160">
        <f>IF(AND(T49&lt;0,T$46&gt;=$C$9,T$46&lt;=$C$41),ABS(T49/$D$49)*$C$14,0)+T70</f>
        <v/>
      </c>
      <c r="U56" s="160">
        <f>IF(AND(U49&lt;0,U$46&gt;=$C$9,U$46&lt;=$C$41),ABS(U49/$D$49)*$C$14,0)+U70</f>
        <v/>
      </c>
      <c r="V56" s="160">
        <f>IF(AND(V49&lt;0,V$46&gt;=$C$9,V$46&lt;=$C$41),ABS(V49/$D$49)*$C$14,0)+V70</f>
        <v/>
      </c>
      <c r="W56" s="160">
        <f>IF(AND(W49&lt;0,W$46&gt;=$C$9,W$46&lt;=$C$41),ABS(W49/$D$49)*$C$14,0)+W70</f>
        <v/>
      </c>
      <c r="X56" s="160">
        <f>IF(AND(X49&lt;0,X$46&gt;=$C$9,X$46&lt;=$C$41),ABS(X49/$D$49)*$C$14,0)+X70</f>
        <v/>
      </c>
      <c r="Y56" s="160">
        <f>IF(AND(Y49&lt;0,Y$46&gt;=$C$9,Y$46&lt;=$C$41),ABS(Y49/$D$49)*$C$14,0)+Y70</f>
        <v/>
      </c>
      <c r="Z56" s="160">
        <f>IF(AND(Z49&lt;0,Z$46&gt;=$C$9,Z$46&lt;=$C$41),ABS(Z49/$D$49)*$C$14,0)+Z70</f>
        <v/>
      </c>
      <c r="AA56" s="160">
        <f>IF(AND(AA49&lt;0,AA$46&gt;=$C$9,AA$46&lt;=$C$41),ABS(AA49/$D$49)*$C$14,0)+AA70</f>
        <v/>
      </c>
      <c r="AB56" s="160">
        <f>IF(AND(AB49&lt;0,AB$46&gt;=$C$9,AB$46&lt;=$C$41),ABS(AB49/$D$49)*$C$14,0)+AB70</f>
        <v/>
      </c>
      <c r="AC56" s="160">
        <f>IF(AND(AC49&lt;0,AC$46&gt;=$C$9,AC$46&lt;=$C$41),ABS(AC49/$D$49)*$C$14,0)+AC70</f>
        <v/>
      </c>
      <c r="AD56" s="160">
        <f>IF(AND(AD49&lt;0,AD$46&gt;=$C$9,AD$46&lt;=$C$41),ABS(AD49/$D$49)*$C$14,0)+AD70</f>
        <v/>
      </c>
      <c r="AE56" s="160">
        <f>IF(AND(AE49&lt;0,AE$46&gt;=$C$9,AE$46&lt;=$C$41),ABS(AE49/$D$49)*$C$14,0)+AE70</f>
        <v/>
      </c>
      <c r="AF56" s="160">
        <f>IF(AND(AF49&lt;0,AF$46&gt;=$C$9,AF$46&lt;=$C$41),ABS(AF49/$D$49)*$C$14,0)+AF70</f>
        <v/>
      </c>
      <c r="AG56" s="160">
        <f>IF(AND(AG49&lt;0,AG$46&gt;=$C$9,AG$46&lt;=$C$41),ABS(AG49/$D$49)*$C$14,0)+AG70</f>
        <v/>
      </c>
      <c r="AH56" s="160">
        <f>IF(AND(AH49&lt;0,AH$46&gt;=$C$9,AH$46&lt;=$C$41),ABS(AH49/$D$49)*$C$14,0)+AH70</f>
        <v/>
      </c>
      <c r="AI56" s="160">
        <f>IF(AND(AI49&lt;0,AI$46&gt;=$C$9,AI$46&lt;=$C$41),ABS(AI49/$D$49)*$C$14,0)+AI70</f>
        <v/>
      </c>
      <c r="AJ56" s="160">
        <f>IF(AND(AJ49&lt;0,AJ$46&gt;=$C$9,AJ$46&lt;=$C$41),ABS(AJ49/$D$49)*$C$14,0)+AJ70</f>
        <v/>
      </c>
      <c r="AK56" s="160">
        <f>IF(AND(AK49&lt;0,AK$46&gt;=$C$9,AK$46&lt;=$C$41),ABS(AK49/$D$49)*$C$14,0)+AK70</f>
        <v/>
      </c>
      <c r="AL56" s="160">
        <f>IF(AND(AL49&lt;0,AL$46&gt;=$C$9,AL$46&lt;=$C$41),ABS(AL49/$D$49)*$C$14,0)+AL70</f>
        <v/>
      </c>
      <c r="AM56" s="160">
        <f>IF(AND(AM49&lt;0,AM$46&gt;=$C$9,AM$46&lt;=$C$41),ABS(AM49/$D$49)*$C$14,0)+AM70</f>
        <v/>
      </c>
      <c r="AN56" s="160">
        <f>IF(AND(AN49&lt;0,AN$46&gt;=$C$9,AN$46&lt;=$C$41),ABS(AN49/$D$49)*$C$14,0)+AN70</f>
        <v/>
      </c>
      <c r="AO56" s="160">
        <f>IF(AND(AO49&lt;0,AO$46&gt;=$C$9,AO$46&lt;=$C$41),ABS(AO49/$D$49)*$C$14,0)+AO70</f>
        <v/>
      </c>
      <c r="AP56" s="160">
        <f>IF(AND(AP49&lt;0,AP$46&gt;=$C$9,AP$46&lt;=$C$41),ABS(AP49/$D$49)*$C$14,0)+AP70</f>
        <v/>
      </c>
      <c r="AQ56" s="160">
        <f>IF(AND(AQ49&lt;0,AQ$46&gt;=$C$9,AQ$46&lt;=$C$41),ABS(AQ49/$D$49)*$C$14,0)+AQ70</f>
        <v/>
      </c>
      <c r="AR56" s="160">
        <f>IF(AND(AR49&lt;0,AR$46&gt;=$C$9,AR$46&lt;=$C$41),ABS(AR49/$D$49)*$C$14,0)+AR70</f>
        <v/>
      </c>
      <c r="AS56" s="160">
        <f>IF(AND(AS49&lt;0,AS$46&gt;=$C$9,AS$46&lt;=$C$41),ABS(AS49/$D$49)*$C$14,0)+AS70</f>
        <v/>
      </c>
      <c r="AT56" s="160">
        <f>IF(AND(AT49&lt;0,AT$46&gt;=$C$9,AT$46&lt;=$C$41),ABS(AT49/$D$49)*$C$14,0)+AT70</f>
        <v/>
      </c>
      <c r="AU56" s="160">
        <f>IF(AND(AU49&lt;0,AU$46&gt;=$C$9,AU$46&lt;=$C$41),ABS(AU49/$D$49)*$C$14,0)+AU70</f>
        <v/>
      </c>
      <c r="AV56" s="160">
        <f>IF(AND(AV49&lt;0,AV$46&gt;=$C$9,AV$46&lt;=$C$41),ABS(AV49/$D$49)*$C$14,0)+AV70</f>
        <v/>
      </c>
      <c r="AW56" s="160">
        <f>IF(AND(AW49&lt;0,AW$46&gt;=$C$9,AW$46&lt;=$C$41),ABS(AW49/$D$49)*$C$14,0)+AW70</f>
        <v/>
      </c>
      <c r="AX56" s="160">
        <f>IF(AND(AX49&lt;0,AX$46&gt;=$C$9,AX$46&lt;=$C$41),ABS(AX49/$D$49)*$C$14,0)+AX70</f>
        <v/>
      </c>
      <c r="AY56" s="160">
        <f>IF(AND(AY49&lt;0,AY$46&gt;=$C$9,AY$46&lt;=$C$41),ABS(AY49/$D$49)*$C$14,0)+AY70</f>
        <v/>
      </c>
      <c r="AZ56" s="160">
        <f>IF(AND(AZ49&lt;0,AZ$46&gt;=$C$9,AZ$46&lt;=$C$41),ABS(AZ49/$D$49)*$C$14,0)+AZ70</f>
        <v/>
      </c>
      <c r="BA56" s="160">
        <f>IF(AND(BA49&lt;0,BA$46&gt;=$C$9,BA$46&lt;=$C$41),ABS(BA49/$D$49)*$C$14,0)+BA70</f>
        <v/>
      </c>
      <c r="BB56" s="160">
        <f>IF(AND(BB49&lt;0,BB$46&gt;=$C$9,BB$46&lt;=$C$41),ABS(BB49/$D$49)*$C$14,0)+BB70</f>
        <v/>
      </c>
    </row>
    <row r="57" ht="15" customHeight="1" s="91">
      <c r="B57" s="153" t="inlineStr">
        <is>
          <t>Debt Drawdown  سحب القرض</t>
        </is>
      </c>
      <c r="C57" s="153" t="inlineStr">
        <is>
          <t>SAR</t>
        </is>
      </c>
      <c r="D57" s="157">
        <f>SUM(E57:BB57)</f>
        <v/>
      </c>
      <c r="E57" s="160">
        <f>IF(AND($C$22="Y",E49&lt;0,E$46&gt;=$C$9,E$46&lt;=$C$41),MIN(ABS(E49/$D$49)*$C$19,MAX(0,$C$19-0)),0)</f>
        <v/>
      </c>
      <c r="F57" s="160">
        <f>IF(AND($C$22="Y",F49&lt;0,F$46&gt;=$C$9,F$46&lt;=$C$41),MIN(ABS(F49/$D$49)*$C$19,MAX(0,$C$19-E60)),0)</f>
        <v/>
      </c>
      <c r="G57" s="160">
        <f>IF(AND($C$22="Y",G49&lt;0,G$46&gt;=$C$9,G$46&lt;=$C$41),MIN(ABS(G49/$D$49)*$C$19,MAX(0,$C$19-F60)),0)</f>
        <v/>
      </c>
      <c r="H57" s="160">
        <f>IF(AND($C$22="Y",H49&lt;0,H$46&gt;=$C$9,H$46&lt;=$C$41),MIN(ABS(H49/$D$49)*$C$19,MAX(0,$C$19-G60)),0)</f>
        <v/>
      </c>
      <c r="I57" s="160">
        <f>IF(AND($C$22="Y",I49&lt;0,I$46&gt;=$C$9,I$46&lt;=$C$41),MIN(ABS(I49/$D$49)*$C$19,MAX(0,$C$19-H60)),0)</f>
        <v/>
      </c>
      <c r="J57" s="160">
        <f>IF(AND($C$22="Y",J49&lt;0,J$46&gt;=$C$9,J$46&lt;=$C$41),MIN(ABS(J49/$D$49)*$C$19,MAX(0,$C$19-I60)),0)</f>
        <v/>
      </c>
      <c r="K57" s="160">
        <f>IF(AND($C$22="Y",K49&lt;0,K$46&gt;=$C$9,K$46&lt;=$C$41),MIN(ABS(K49/$D$49)*$C$19,MAX(0,$C$19-J60)),0)</f>
        <v/>
      </c>
      <c r="L57" s="160">
        <f>IF(AND($C$22="Y",L49&lt;0,L$46&gt;=$C$9,L$46&lt;=$C$41),MIN(ABS(L49/$D$49)*$C$19,MAX(0,$C$19-K60)),0)</f>
        <v/>
      </c>
      <c r="M57" s="160">
        <f>IF(AND($C$22="Y",M49&lt;0,M$46&gt;=$C$9,M$46&lt;=$C$41),MIN(ABS(M49/$D$49)*$C$19,MAX(0,$C$19-L60)),0)</f>
        <v/>
      </c>
      <c r="N57" s="160">
        <f>IF(AND($C$22="Y",N49&lt;0,N$46&gt;=$C$9,N$46&lt;=$C$41),MIN(ABS(N49/$D$49)*$C$19,MAX(0,$C$19-M60)),0)</f>
        <v/>
      </c>
      <c r="O57" s="160">
        <f>IF(AND($C$22="Y",O49&lt;0,O$46&gt;=$C$9,O$46&lt;=$C$41),MIN(ABS(O49/$D$49)*$C$19,MAX(0,$C$19-N60)),0)</f>
        <v/>
      </c>
      <c r="P57" s="160">
        <f>IF(AND($C$22="Y",P49&lt;0,P$46&gt;=$C$9,P$46&lt;=$C$41),MIN(ABS(P49/$D$49)*$C$19,MAX(0,$C$19-O60)),0)</f>
        <v/>
      </c>
      <c r="Q57" s="160">
        <f>IF(AND($C$22="Y",Q49&lt;0,Q$46&gt;=$C$9,Q$46&lt;=$C$41),MIN(ABS(Q49/$D$49)*$C$19,MAX(0,$C$19-P60)),0)</f>
        <v/>
      </c>
      <c r="R57" s="160">
        <f>IF(AND($C$22="Y",R49&lt;0,R$46&gt;=$C$9,R$46&lt;=$C$41),MIN(ABS(R49/$D$49)*$C$19,MAX(0,$C$19-Q60)),0)</f>
        <v/>
      </c>
      <c r="S57" s="160">
        <f>IF(AND($C$22="Y",S49&lt;0,S$46&gt;=$C$9,S$46&lt;=$C$41),MIN(ABS(S49/$D$49)*$C$19,MAX(0,$C$19-R60)),0)</f>
        <v/>
      </c>
      <c r="T57" s="160">
        <f>IF(AND($C$22="Y",T49&lt;0,T$46&gt;=$C$9,T$46&lt;=$C$41),MIN(ABS(T49/$D$49)*$C$19,MAX(0,$C$19-S60)),0)</f>
        <v/>
      </c>
      <c r="U57" s="160">
        <f>IF(AND($C$22="Y",U49&lt;0,U$46&gt;=$C$9,U$46&lt;=$C$41),MIN(ABS(U49/$D$49)*$C$19,MAX(0,$C$19-T60)),0)</f>
        <v/>
      </c>
      <c r="V57" s="160">
        <f>IF(AND($C$22="Y",V49&lt;0,V$46&gt;=$C$9,V$46&lt;=$C$41),MIN(ABS(V49/$D$49)*$C$19,MAX(0,$C$19-U60)),0)</f>
        <v/>
      </c>
      <c r="W57" s="160">
        <f>IF(AND($C$22="Y",W49&lt;0,W$46&gt;=$C$9,W$46&lt;=$C$41),MIN(ABS(W49/$D$49)*$C$19,MAX(0,$C$19-V60)),0)</f>
        <v/>
      </c>
      <c r="X57" s="160">
        <f>IF(AND($C$22="Y",X49&lt;0,X$46&gt;=$C$9,X$46&lt;=$C$41),MIN(ABS(X49/$D$49)*$C$19,MAX(0,$C$19-W60)),0)</f>
        <v/>
      </c>
      <c r="Y57" s="160">
        <f>IF(AND($C$22="Y",Y49&lt;0,Y$46&gt;=$C$9,Y$46&lt;=$C$41),MIN(ABS(Y49/$D$49)*$C$19,MAX(0,$C$19-X60)),0)</f>
        <v/>
      </c>
      <c r="Z57" s="160">
        <f>IF(AND($C$22="Y",Z49&lt;0,Z$46&gt;=$C$9,Z$46&lt;=$C$41),MIN(ABS(Z49/$D$49)*$C$19,MAX(0,$C$19-Y60)),0)</f>
        <v/>
      </c>
      <c r="AA57" s="160">
        <f>IF(AND($C$22="Y",AA49&lt;0,AA$46&gt;=$C$9,AA$46&lt;=$C$41),MIN(ABS(AA49/$D$49)*$C$19,MAX(0,$C$19-Z60)),0)</f>
        <v/>
      </c>
      <c r="AB57" s="160">
        <f>IF(AND($C$22="Y",AB49&lt;0,AB$46&gt;=$C$9,AB$46&lt;=$C$41),MIN(ABS(AB49/$D$49)*$C$19,MAX(0,$C$19-AA60)),0)</f>
        <v/>
      </c>
      <c r="AC57" s="160">
        <f>IF(AND($C$22="Y",AC49&lt;0,AC$46&gt;=$C$9,AC$46&lt;=$C$41),MIN(ABS(AC49/$D$49)*$C$19,MAX(0,$C$19-AB60)),0)</f>
        <v/>
      </c>
      <c r="AD57" s="160">
        <f>IF(AND($C$22="Y",AD49&lt;0,AD$46&gt;=$C$9,AD$46&lt;=$C$41),MIN(ABS(AD49/$D$49)*$C$19,MAX(0,$C$19-AC60)),0)</f>
        <v/>
      </c>
      <c r="AE57" s="160">
        <f>IF(AND($C$22="Y",AE49&lt;0,AE$46&gt;=$C$9,AE$46&lt;=$C$41),MIN(ABS(AE49/$D$49)*$C$19,MAX(0,$C$19-AD60)),0)</f>
        <v/>
      </c>
      <c r="AF57" s="160">
        <f>IF(AND($C$22="Y",AF49&lt;0,AF$46&gt;=$C$9,AF$46&lt;=$C$41),MIN(ABS(AF49/$D$49)*$C$19,MAX(0,$C$19-AE60)),0)</f>
        <v/>
      </c>
      <c r="AG57" s="160">
        <f>IF(AND($C$22="Y",AG49&lt;0,AG$46&gt;=$C$9,AG$46&lt;=$C$41),MIN(ABS(AG49/$D$49)*$C$19,MAX(0,$C$19-AF60)),0)</f>
        <v/>
      </c>
      <c r="AH57" s="160">
        <f>IF(AND($C$22="Y",AH49&lt;0,AH$46&gt;=$C$9,AH$46&lt;=$C$41),MIN(ABS(AH49/$D$49)*$C$19,MAX(0,$C$19-AG60)),0)</f>
        <v/>
      </c>
      <c r="AI57" s="160">
        <f>IF(AND($C$22="Y",AI49&lt;0,AI$46&gt;=$C$9,AI$46&lt;=$C$41),MIN(ABS(AI49/$D$49)*$C$19,MAX(0,$C$19-AH60)),0)</f>
        <v/>
      </c>
      <c r="AJ57" s="160">
        <f>IF(AND($C$22="Y",AJ49&lt;0,AJ$46&gt;=$C$9,AJ$46&lt;=$C$41),MIN(ABS(AJ49/$D$49)*$C$19,MAX(0,$C$19-AI60)),0)</f>
        <v/>
      </c>
      <c r="AK57" s="160">
        <f>IF(AND($C$22="Y",AK49&lt;0,AK$46&gt;=$C$9,AK$46&lt;=$C$41),MIN(ABS(AK49/$D$49)*$C$19,MAX(0,$C$19-AJ60)),0)</f>
        <v/>
      </c>
      <c r="AL57" s="160">
        <f>IF(AND($C$22="Y",AL49&lt;0,AL$46&gt;=$C$9,AL$46&lt;=$C$41),MIN(ABS(AL49/$D$49)*$C$19,MAX(0,$C$19-AK60)),0)</f>
        <v/>
      </c>
      <c r="AM57" s="160">
        <f>IF(AND($C$22="Y",AM49&lt;0,AM$46&gt;=$C$9,AM$46&lt;=$C$41),MIN(ABS(AM49/$D$49)*$C$19,MAX(0,$C$19-AL60)),0)</f>
        <v/>
      </c>
      <c r="AN57" s="160">
        <f>IF(AND($C$22="Y",AN49&lt;0,AN$46&gt;=$C$9,AN$46&lt;=$C$41),MIN(ABS(AN49/$D$49)*$C$19,MAX(0,$C$19-AM60)),0)</f>
        <v/>
      </c>
      <c r="AO57" s="160">
        <f>IF(AND($C$22="Y",AO49&lt;0,AO$46&gt;=$C$9,AO$46&lt;=$C$41),MIN(ABS(AO49/$D$49)*$C$19,MAX(0,$C$19-AN60)),0)</f>
        <v/>
      </c>
      <c r="AP57" s="160">
        <f>IF(AND($C$22="Y",AP49&lt;0,AP$46&gt;=$C$9,AP$46&lt;=$C$41),MIN(ABS(AP49/$D$49)*$C$19,MAX(0,$C$19-AO60)),0)</f>
        <v/>
      </c>
      <c r="AQ57" s="160">
        <f>IF(AND($C$22="Y",AQ49&lt;0,AQ$46&gt;=$C$9,AQ$46&lt;=$C$41),MIN(ABS(AQ49/$D$49)*$C$19,MAX(0,$C$19-AP60)),0)</f>
        <v/>
      </c>
      <c r="AR57" s="160">
        <f>IF(AND($C$22="Y",AR49&lt;0,AR$46&gt;=$C$9,AR$46&lt;=$C$41),MIN(ABS(AR49/$D$49)*$C$19,MAX(0,$C$19-AQ60)),0)</f>
        <v/>
      </c>
      <c r="AS57" s="160">
        <f>IF(AND($C$22="Y",AS49&lt;0,AS$46&gt;=$C$9,AS$46&lt;=$C$41),MIN(ABS(AS49/$D$49)*$C$19,MAX(0,$C$19-AR60)),0)</f>
        <v/>
      </c>
      <c r="AT57" s="160">
        <f>IF(AND($C$22="Y",AT49&lt;0,AT$46&gt;=$C$9,AT$46&lt;=$C$41),MIN(ABS(AT49/$D$49)*$C$19,MAX(0,$C$19-AS60)),0)</f>
        <v/>
      </c>
      <c r="AU57" s="160">
        <f>IF(AND($C$22="Y",AU49&lt;0,AU$46&gt;=$C$9,AU$46&lt;=$C$41),MIN(ABS(AU49/$D$49)*$C$19,MAX(0,$C$19-AT60)),0)</f>
        <v/>
      </c>
      <c r="AV57" s="160">
        <f>IF(AND($C$22="Y",AV49&lt;0,AV$46&gt;=$C$9,AV$46&lt;=$C$41),MIN(ABS(AV49/$D$49)*$C$19,MAX(0,$C$19-AU60)),0)</f>
        <v/>
      </c>
      <c r="AW57" s="160">
        <f>IF(AND($C$22="Y",AW49&lt;0,AW$46&gt;=$C$9,AW$46&lt;=$C$41),MIN(ABS(AW49/$D$49)*$C$19,MAX(0,$C$19-AV60)),0)</f>
        <v/>
      </c>
      <c r="AX57" s="160">
        <f>IF(AND($C$22="Y",AX49&lt;0,AX$46&gt;=$C$9,AX$46&lt;=$C$41),MIN(ABS(AX49/$D$49)*$C$19,MAX(0,$C$19-AW60)),0)</f>
        <v/>
      </c>
      <c r="AY57" s="160">
        <f>IF(AND($C$22="Y",AY49&lt;0,AY$46&gt;=$C$9,AY$46&lt;=$C$41),MIN(ABS(AY49/$D$49)*$C$19,MAX(0,$C$19-AX60)),0)</f>
        <v/>
      </c>
      <c r="AZ57" s="160">
        <f>IF(AND($C$22="Y",AZ49&lt;0,AZ$46&gt;=$C$9,AZ$46&lt;=$C$41),MIN(ABS(AZ49/$D$49)*$C$19,MAX(0,$C$19-AY60)),0)</f>
        <v/>
      </c>
      <c r="BA57" s="160">
        <f>IF(AND($C$22="Y",BA49&lt;0,BA$46&gt;=$C$9,BA$46&lt;=$C$41),MIN(ABS(BA49/$D$49)*$C$19,MAX(0,$C$19-AZ60)),0)</f>
        <v/>
      </c>
      <c r="BB57" s="160">
        <f>IF(AND($C$22="Y",BB49&lt;0,BB$46&gt;=$C$9,BB$46&lt;=$C$41),MIN(ABS(BB49/$D$49)*$C$19,MAX(0,$C$19-BA60)),0)</f>
        <v/>
      </c>
    </row>
    <row r="58" ht="15" customHeight="1" s="91">
      <c r="B58" s="153" t="inlineStr">
        <is>
          <t>Debt Balance (Open)  رصيد الدين بداية السنة</t>
        </is>
      </c>
      <c r="C58" s="153" t="inlineStr">
        <is>
          <t>SAR</t>
        </is>
      </c>
      <c r="D58" s="160">
        <f>SUM(E58:BB58)</f>
        <v/>
      </c>
      <c r="E58" s="160">
        <f>0</f>
        <v/>
      </c>
      <c r="F58" s="160">
        <f>E60</f>
        <v/>
      </c>
      <c r="G58" s="160">
        <f>F60</f>
        <v/>
      </c>
      <c r="H58" s="160">
        <f>G60</f>
        <v/>
      </c>
      <c r="I58" s="160">
        <f>H60</f>
        <v/>
      </c>
      <c r="J58" s="160">
        <f>I60</f>
        <v/>
      </c>
      <c r="K58" s="160">
        <f>J60</f>
        <v/>
      </c>
      <c r="L58" s="160">
        <f>K60</f>
        <v/>
      </c>
      <c r="M58" s="160">
        <f>L60</f>
        <v/>
      </c>
      <c r="N58" s="160">
        <f>M60</f>
        <v/>
      </c>
      <c r="O58" s="160">
        <f>N60</f>
        <v/>
      </c>
      <c r="P58" s="160">
        <f>O60</f>
        <v/>
      </c>
      <c r="Q58" s="160">
        <f>P60</f>
        <v/>
      </c>
      <c r="R58" s="160">
        <f>Q60</f>
        <v/>
      </c>
      <c r="S58" s="160">
        <f>R60</f>
        <v/>
      </c>
      <c r="T58" s="160">
        <f>S60</f>
        <v/>
      </c>
      <c r="U58" s="160">
        <f>T60</f>
        <v/>
      </c>
      <c r="V58" s="160">
        <f>U60</f>
        <v/>
      </c>
      <c r="W58" s="160">
        <f>V60</f>
        <v/>
      </c>
      <c r="X58" s="160">
        <f>W60</f>
        <v/>
      </c>
      <c r="Y58" s="160">
        <f>X60</f>
        <v/>
      </c>
      <c r="Z58" s="160">
        <f>Y60</f>
        <v/>
      </c>
      <c r="AA58" s="160">
        <f>Z60</f>
        <v/>
      </c>
      <c r="AB58" s="160">
        <f>AA60</f>
        <v/>
      </c>
      <c r="AC58" s="160">
        <f>AB60</f>
        <v/>
      </c>
      <c r="AD58" s="160">
        <f>AC60</f>
        <v/>
      </c>
      <c r="AE58" s="160">
        <f>AD60</f>
        <v/>
      </c>
      <c r="AF58" s="160">
        <f>AE60</f>
        <v/>
      </c>
      <c r="AG58" s="160">
        <f>AF60</f>
        <v/>
      </c>
      <c r="AH58" s="160">
        <f>AG60</f>
        <v/>
      </c>
      <c r="AI58" s="160">
        <f>AH60</f>
        <v/>
      </c>
      <c r="AJ58" s="160">
        <f>AI60</f>
        <v/>
      </c>
      <c r="AK58" s="160">
        <f>AJ60</f>
        <v/>
      </c>
      <c r="AL58" s="160">
        <f>AK60</f>
        <v/>
      </c>
      <c r="AM58" s="160">
        <f>AL60</f>
        <v/>
      </c>
      <c r="AN58" s="160">
        <f>AM60</f>
        <v/>
      </c>
      <c r="AO58" s="160">
        <f>AN60</f>
        <v/>
      </c>
      <c r="AP58" s="160">
        <f>AO60</f>
        <v/>
      </c>
      <c r="AQ58" s="160">
        <f>AP60</f>
        <v/>
      </c>
      <c r="AR58" s="160">
        <f>AQ60</f>
        <v/>
      </c>
      <c r="AS58" s="160">
        <f>AR60</f>
        <v/>
      </c>
      <c r="AT58" s="160">
        <f>AS60</f>
        <v/>
      </c>
      <c r="AU58" s="160">
        <f>AT60</f>
        <v/>
      </c>
      <c r="AV58" s="160">
        <f>AU60</f>
        <v/>
      </c>
      <c r="AW58" s="160">
        <f>AV60</f>
        <v/>
      </c>
      <c r="AX58" s="160">
        <f>AW60</f>
        <v/>
      </c>
      <c r="AY58" s="160">
        <f>AX60</f>
        <v/>
      </c>
      <c r="AZ58" s="160">
        <f>AY60</f>
        <v/>
      </c>
      <c r="BA58" s="160">
        <f>AZ60</f>
        <v/>
      </c>
      <c r="BB58" s="160">
        <f>BA60</f>
        <v/>
      </c>
    </row>
    <row r="59" ht="15" customHeight="1" s="91">
      <c r="B59" s="153" t="inlineStr">
        <is>
          <t>Debt Repayment  سداد أصل الدين</t>
        </is>
      </c>
      <c r="C59" s="153" t="inlineStr">
        <is>
          <t>SAR</t>
        </is>
      </c>
      <c r="D59" s="157">
        <f>SUM(E59:BB59)</f>
        <v/>
      </c>
      <c r="E59" s="160">
        <f>IF($C$28="perDraw",E54,E53)</f>
        <v/>
      </c>
      <c r="F59" s="160">
        <f>IF($C$28="perDraw",F54,F53)</f>
        <v/>
      </c>
      <c r="G59" s="160">
        <f>IF($C$28="perDraw",G54,G53)</f>
        <v/>
      </c>
      <c r="H59" s="160">
        <f>IF($C$28="perDraw",H54,H53)</f>
        <v/>
      </c>
      <c r="I59" s="160">
        <f>IF($C$28="perDraw",I54,I53)</f>
        <v/>
      </c>
      <c r="J59" s="160">
        <f>IF($C$28="perDraw",J54,J53)</f>
        <v/>
      </c>
      <c r="K59" s="160">
        <f>IF($C$28="perDraw",K54,K53)</f>
        <v/>
      </c>
      <c r="L59" s="160">
        <f>IF($C$28="perDraw",L54,L53)</f>
        <v/>
      </c>
      <c r="M59" s="160">
        <f>IF($C$28="perDraw",M54,M53)</f>
        <v/>
      </c>
      <c r="N59" s="160">
        <f>IF($C$28="perDraw",N54,N53)</f>
        <v/>
      </c>
      <c r="O59" s="160">
        <f>IF($C$28="perDraw",O54,O53)</f>
        <v/>
      </c>
      <c r="P59" s="160">
        <f>IF($C$28="perDraw",P54,P53)</f>
        <v/>
      </c>
      <c r="Q59" s="160">
        <f>IF($C$28="perDraw",Q54,Q53)</f>
        <v/>
      </c>
      <c r="R59" s="160">
        <f>IF($C$28="perDraw",R54,R53)</f>
        <v/>
      </c>
      <c r="S59" s="160">
        <f>IF($C$28="perDraw",S54,S53)</f>
        <v/>
      </c>
      <c r="T59" s="160">
        <f>IF($C$28="perDraw",T54,T53)</f>
        <v/>
      </c>
      <c r="U59" s="160">
        <f>IF($C$28="perDraw",U54,U53)</f>
        <v/>
      </c>
      <c r="V59" s="160">
        <f>IF($C$28="perDraw",V54,V53)</f>
        <v/>
      </c>
      <c r="W59" s="160">
        <f>IF($C$28="perDraw",W54,W53)</f>
        <v/>
      </c>
      <c r="X59" s="160">
        <f>IF($C$28="perDraw",X54,X53)</f>
        <v/>
      </c>
      <c r="Y59" s="160">
        <f>IF($C$28="perDraw",Y54,Y53)</f>
        <v/>
      </c>
      <c r="Z59" s="160">
        <f>IF($C$28="perDraw",Z54,Z53)</f>
        <v/>
      </c>
      <c r="AA59" s="160">
        <f>IF($C$28="perDraw",AA54,AA53)</f>
        <v/>
      </c>
      <c r="AB59" s="160">
        <f>IF($C$28="perDraw",AB54,AB53)</f>
        <v/>
      </c>
      <c r="AC59" s="160">
        <f>IF($C$28="perDraw",AC54,AC53)</f>
        <v/>
      </c>
      <c r="AD59" s="160">
        <f>IF($C$28="perDraw",AD54,AD53)</f>
        <v/>
      </c>
      <c r="AE59" s="160">
        <f>IF($C$28="perDraw",AE54,AE53)</f>
        <v/>
      </c>
      <c r="AF59" s="160">
        <f>IF($C$28="perDraw",AF54,AF53)</f>
        <v/>
      </c>
      <c r="AG59" s="160">
        <f>IF($C$28="perDraw",AG54,AG53)</f>
        <v/>
      </c>
      <c r="AH59" s="160">
        <f>IF($C$28="perDraw",AH54,AH53)</f>
        <v/>
      </c>
      <c r="AI59" s="160">
        <f>IF($C$28="perDraw",AI54,AI53)</f>
        <v/>
      </c>
      <c r="AJ59" s="160">
        <f>IF($C$28="perDraw",AJ54,AJ53)</f>
        <v/>
      </c>
      <c r="AK59" s="160">
        <f>IF($C$28="perDraw",AK54,AK53)</f>
        <v/>
      </c>
      <c r="AL59" s="160">
        <f>IF($C$28="perDraw",AL54,AL53)</f>
        <v/>
      </c>
      <c r="AM59" s="160">
        <f>IF($C$28="perDraw",AM54,AM53)</f>
        <v/>
      </c>
      <c r="AN59" s="160">
        <f>IF($C$28="perDraw",AN54,AN53)</f>
        <v/>
      </c>
      <c r="AO59" s="160">
        <f>IF($C$28="perDraw",AO54,AO53)</f>
        <v/>
      </c>
      <c r="AP59" s="160">
        <f>IF($C$28="perDraw",AP54,AP53)</f>
        <v/>
      </c>
      <c r="AQ59" s="160">
        <f>IF($C$28="perDraw",AQ54,AQ53)</f>
        <v/>
      </c>
      <c r="AR59" s="160">
        <f>IF($C$28="perDraw",AR54,AR53)</f>
        <v/>
      </c>
      <c r="AS59" s="160">
        <f>IF($C$28="perDraw",AS54,AS53)</f>
        <v/>
      </c>
      <c r="AT59" s="160">
        <f>IF($C$28="perDraw",AT54,AT53)</f>
        <v/>
      </c>
      <c r="AU59" s="160">
        <f>IF($C$28="perDraw",AU54,AU53)</f>
        <v/>
      </c>
      <c r="AV59" s="160">
        <f>IF($C$28="perDraw",AV54,AV53)</f>
        <v/>
      </c>
      <c r="AW59" s="160">
        <f>IF($C$28="perDraw",AW54,AW53)</f>
        <v/>
      </c>
      <c r="AX59" s="160">
        <f>IF($C$28="perDraw",AX54,AX53)</f>
        <v/>
      </c>
      <c r="AY59" s="160">
        <f>IF($C$28="perDraw",AY54,AY53)</f>
        <v/>
      </c>
      <c r="AZ59" s="160">
        <f>IF($C$28="perDraw",AZ54,AZ53)</f>
        <v/>
      </c>
      <c r="BA59" s="160">
        <f>IF($C$28="perDraw",BA54,BA53)</f>
        <v/>
      </c>
      <c r="BB59" s="160">
        <f>IF($C$28="perDraw",BB54,BB53)</f>
        <v/>
      </c>
    </row>
    <row r="60" ht="15" customHeight="1" s="91">
      <c r="B60" s="153" t="inlineStr">
        <is>
          <t>Debt Balance (Close)  رصيد الدين نهاية السنة</t>
        </is>
      </c>
      <c r="C60" s="153" t="inlineStr">
        <is>
          <t>SAR</t>
        </is>
      </c>
      <c r="D60" s="160">
        <f>SUM(E60:BB60)</f>
        <v/>
      </c>
      <c r="E60" s="160">
        <f>MAX(0,E58+E57+E59)</f>
        <v/>
      </c>
      <c r="F60" s="160">
        <f>MAX(0,F58+F57+F59)</f>
        <v/>
      </c>
      <c r="G60" s="160">
        <f>MAX(0,G58+G57+G59)</f>
        <v/>
      </c>
      <c r="H60" s="160">
        <f>MAX(0,H58+H57+H59)</f>
        <v/>
      </c>
      <c r="I60" s="160">
        <f>MAX(0,I58+I57+I59)</f>
        <v/>
      </c>
      <c r="J60" s="160">
        <f>MAX(0,J58+J57+J59)</f>
        <v/>
      </c>
      <c r="K60" s="160">
        <f>MAX(0,K58+K57+K59)</f>
        <v/>
      </c>
      <c r="L60" s="160">
        <f>MAX(0,L58+L57+L59)</f>
        <v/>
      </c>
      <c r="M60" s="160">
        <f>MAX(0,M58+M57+M59)</f>
        <v/>
      </c>
      <c r="N60" s="160">
        <f>MAX(0,N58+N57+N59)</f>
        <v/>
      </c>
      <c r="O60" s="160">
        <f>MAX(0,O58+O57+O59)</f>
        <v/>
      </c>
      <c r="P60" s="160">
        <f>MAX(0,P58+P57+P59)</f>
        <v/>
      </c>
      <c r="Q60" s="160">
        <f>MAX(0,Q58+Q57+Q59)</f>
        <v/>
      </c>
      <c r="R60" s="160">
        <f>MAX(0,R58+R57+R59)</f>
        <v/>
      </c>
      <c r="S60" s="160">
        <f>MAX(0,S58+S57+S59)</f>
        <v/>
      </c>
      <c r="T60" s="160">
        <f>MAX(0,T58+T57+T59)</f>
        <v/>
      </c>
      <c r="U60" s="160">
        <f>MAX(0,U58+U57+U59)</f>
        <v/>
      </c>
      <c r="V60" s="160">
        <f>MAX(0,V58+V57+V59)</f>
        <v/>
      </c>
      <c r="W60" s="160">
        <f>MAX(0,W58+W57+W59)</f>
        <v/>
      </c>
      <c r="X60" s="160">
        <f>MAX(0,X58+X57+X59)</f>
        <v/>
      </c>
      <c r="Y60" s="160">
        <f>MAX(0,Y58+Y57+Y59)</f>
        <v/>
      </c>
      <c r="Z60" s="160">
        <f>MAX(0,Z58+Z57+Z59)</f>
        <v/>
      </c>
      <c r="AA60" s="160">
        <f>MAX(0,AA58+AA57+AA59)</f>
        <v/>
      </c>
      <c r="AB60" s="160">
        <f>MAX(0,AB58+AB57+AB59)</f>
        <v/>
      </c>
      <c r="AC60" s="160">
        <f>MAX(0,AC58+AC57+AC59)</f>
        <v/>
      </c>
      <c r="AD60" s="160">
        <f>MAX(0,AD58+AD57+AD59)</f>
        <v/>
      </c>
      <c r="AE60" s="160">
        <f>MAX(0,AE58+AE57+AE59)</f>
        <v/>
      </c>
      <c r="AF60" s="160">
        <f>MAX(0,AF58+AF57+AF59)</f>
        <v/>
      </c>
      <c r="AG60" s="160">
        <f>MAX(0,AG58+AG57+AG59)</f>
        <v/>
      </c>
      <c r="AH60" s="160">
        <f>MAX(0,AH58+AH57+AH59)</f>
        <v/>
      </c>
      <c r="AI60" s="160">
        <f>MAX(0,AI58+AI57+AI59)</f>
        <v/>
      </c>
      <c r="AJ60" s="160">
        <f>MAX(0,AJ58+AJ57+AJ59)</f>
        <v/>
      </c>
      <c r="AK60" s="160">
        <f>MAX(0,AK58+AK57+AK59)</f>
        <v/>
      </c>
      <c r="AL60" s="160">
        <f>MAX(0,AL58+AL57+AL59)</f>
        <v/>
      </c>
      <c r="AM60" s="160">
        <f>MAX(0,AM58+AM57+AM59)</f>
        <v/>
      </c>
      <c r="AN60" s="160">
        <f>MAX(0,AN58+AN57+AN59)</f>
        <v/>
      </c>
      <c r="AO60" s="160">
        <f>MAX(0,AO58+AO57+AO59)</f>
        <v/>
      </c>
      <c r="AP60" s="160">
        <f>MAX(0,AP58+AP57+AP59)</f>
        <v/>
      </c>
      <c r="AQ60" s="160">
        <f>MAX(0,AQ58+AQ57+AQ59)</f>
        <v/>
      </c>
      <c r="AR60" s="160">
        <f>MAX(0,AR58+AR57+AR59)</f>
        <v/>
      </c>
      <c r="AS60" s="160">
        <f>MAX(0,AS58+AS57+AS59)</f>
        <v/>
      </c>
      <c r="AT60" s="160">
        <f>MAX(0,AT58+AT57+AT59)</f>
        <v/>
      </c>
      <c r="AU60" s="160">
        <f>MAX(0,AU58+AU57+AU59)</f>
        <v/>
      </c>
      <c r="AV60" s="160">
        <f>MAX(0,AV58+AV57+AV59)</f>
        <v/>
      </c>
      <c r="AW60" s="160">
        <f>MAX(0,AW58+AW57+AW59)</f>
        <v/>
      </c>
      <c r="AX60" s="160">
        <f>MAX(0,AX58+AX57+AX59)</f>
        <v/>
      </c>
      <c r="AY60" s="160">
        <f>MAX(0,AY58+AY57+AY59)</f>
        <v/>
      </c>
      <c r="AZ60" s="160">
        <f>MAX(0,AZ58+AZ57+AZ59)</f>
        <v/>
      </c>
      <c r="BA60" s="160">
        <f>MAX(0,BA58+BA57+BA59)</f>
        <v/>
      </c>
      <c r="BB60" s="160">
        <f>MAX(0,BB58+BB57+BB59)</f>
        <v/>
      </c>
    </row>
    <row r="61" ht="15" customHeight="1" s="91">
      <c r="B61" s="153" t="inlineStr">
        <is>
          <t>Debt Interest  تكلفة التمويل</t>
        </is>
      </c>
      <c r="C61" s="153" t="inlineStr">
        <is>
          <t>SAR</t>
        </is>
      </c>
      <c r="D61" s="157">
        <f>SUM(E61:BB61)</f>
        <v/>
      </c>
      <c r="E61" s="160">
        <f>IF(AND($C$22="Y",E58+E60&gt;0),-(E58+E60)/2*$C$23,0)-ABS(E57)*$C$25</f>
        <v/>
      </c>
      <c r="F61" s="160">
        <f>IF(AND($C$22="Y",F58+F60&gt;0),-(F58+F60)/2*$C$23,0)-ABS(F57)*$C$25</f>
        <v/>
      </c>
      <c r="G61" s="160">
        <f>IF(AND($C$22="Y",G58+G60&gt;0),-(G58+G60)/2*$C$23,0)-ABS(G57)*$C$25</f>
        <v/>
      </c>
      <c r="H61" s="160">
        <f>IF(AND($C$22="Y",H58+H60&gt;0),-(H58+H60)/2*$C$23,0)-ABS(H57)*$C$25</f>
        <v/>
      </c>
      <c r="I61" s="160">
        <f>IF(AND($C$22="Y",I58+I60&gt;0),-(I58+I60)/2*$C$23,0)-ABS(I57)*$C$25</f>
        <v/>
      </c>
      <c r="J61" s="160">
        <f>IF(AND($C$22="Y",J58+J60&gt;0),-(J58+J60)/2*$C$23,0)-ABS(J57)*$C$25</f>
        <v/>
      </c>
      <c r="K61" s="160">
        <f>IF(AND($C$22="Y",K58+K60&gt;0),-(K58+K60)/2*$C$23,0)-ABS(K57)*$C$25</f>
        <v/>
      </c>
      <c r="L61" s="160">
        <f>IF(AND($C$22="Y",L58+L60&gt;0),-(L58+L60)/2*$C$23,0)-ABS(L57)*$C$25</f>
        <v/>
      </c>
      <c r="M61" s="160">
        <f>IF(AND($C$22="Y",M58+M60&gt;0),-(M58+M60)/2*$C$23,0)-ABS(M57)*$C$25</f>
        <v/>
      </c>
      <c r="N61" s="160">
        <f>IF(AND($C$22="Y",N58+N60&gt;0),-(N58+N60)/2*$C$23,0)-ABS(N57)*$C$25</f>
        <v/>
      </c>
      <c r="O61" s="160">
        <f>IF(AND($C$22="Y",O58+O60&gt;0),-(O58+O60)/2*$C$23,0)-ABS(O57)*$C$25</f>
        <v/>
      </c>
      <c r="P61" s="160">
        <f>IF(AND($C$22="Y",P58+P60&gt;0),-(P58+P60)/2*$C$23,0)-ABS(P57)*$C$25</f>
        <v/>
      </c>
      <c r="Q61" s="160">
        <f>IF(AND($C$22="Y",Q58+Q60&gt;0),-(Q58+Q60)/2*$C$23,0)-ABS(Q57)*$C$25</f>
        <v/>
      </c>
      <c r="R61" s="160">
        <f>IF(AND($C$22="Y",R58+R60&gt;0),-(R58+R60)/2*$C$23,0)-ABS(R57)*$C$25</f>
        <v/>
      </c>
      <c r="S61" s="160">
        <f>IF(AND($C$22="Y",S58+S60&gt;0),-(S58+S60)/2*$C$23,0)-ABS(S57)*$C$25</f>
        <v/>
      </c>
      <c r="T61" s="160">
        <f>IF(AND($C$22="Y",T58+T60&gt;0),-(T58+T60)/2*$C$23,0)-ABS(T57)*$C$25</f>
        <v/>
      </c>
      <c r="U61" s="160">
        <f>IF(AND($C$22="Y",U58+U60&gt;0),-(U58+U60)/2*$C$23,0)-ABS(U57)*$C$25</f>
        <v/>
      </c>
      <c r="V61" s="160">
        <f>IF(AND($C$22="Y",V58+V60&gt;0),-(V58+V60)/2*$C$23,0)-ABS(V57)*$C$25</f>
        <v/>
      </c>
      <c r="W61" s="160">
        <f>IF(AND($C$22="Y",W58+W60&gt;0),-(W58+W60)/2*$C$23,0)-ABS(W57)*$C$25</f>
        <v/>
      </c>
      <c r="X61" s="160">
        <f>IF(AND($C$22="Y",X58+X60&gt;0),-(X58+X60)/2*$C$23,0)-ABS(X57)*$C$25</f>
        <v/>
      </c>
      <c r="Y61" s="160">
        <f>IF(AND($C$22="Y",Y58+Y60&gt;0),-(Y58+Y60)/2*$C$23,0)-ABS(Y57)*$C$25</f>
        <v/>
      </c>
      <c r="Z61" s="160">
        <f>IF(AND($C$22="Y",Z58+Z60&gt;0),-(Z58+Z60)/2*$C$23,0)-ABS(Z57)*$C$25</f>
        <v/>
      </c>
      <c r="AA61" s="160">
        <f>IF(AND($C$22="Y",AA58+AA60&gt;0),-(AA58+AA60)/2*$C$23,0)-ABS(AA57)*$C$25</f>
        <v/>
      </c>
      <c r="AB61" s="160">
        <f>IF(AND($C$22="Y",AB58+AB60&gt;0),-(AB58+AB60)/2*$C$23,0)-ABS(AB57)*$C$25</f>
        <v/>
      </c>
      <c r="AC61" s="160">
        <f>IF(AND($C$22="Y",AC58+AC60&gt;0),-(AC58+AC60)/2*$C$23,0)-ABS(AC57)*$C$25</f>
        <v/>
      </c>
      <c r="AD61" s="160">
        <f>IF(AND($C$22="Y",AD58+AD60&gt;0),-(AD58+AD60)/2*$C$23,0)-ABS(AD57)*$C$25</f>
        <v/>
      </c>
      <c r="AE61" s="160">
        <f>IF(AND($C$22="Y",AE58+AE60&gt;0),-(AE58+AE60)/2*$C$23,0)-ABS(AE57)*$C$25</f>
        <v/>
      </c>
      <c r="AF61" s="160">
        <f>IF(AND($C$22="Y",AF58+AF60&gt;0),-(AF58+AF60)/2*$C$23,0)-ABS(AF57)*$C$25</f>
        <v/>
      </c>
      <c r="AG61" s="160">
        <f>IF(AND($C$22="Y",AG58+AG60&gt;0),-(AG58+AG60)/2*$C$23,0)-ABS(AG57)*$C$25</f>
        <v/>
      </c>
      <c r="AH61" s="160">
        <f>IF(AND($C$22="Y",AH58+AH60&gt;0),-(AH58+AH60)/2*$C$23,0)-ABS(AH57)*$C$25</f>
        <v/>
      </c>
      <c r="AI61" s="160">
        <f>IF(AND($C$22="Y",AI58+AI60&gt;0),-(AI58+AI60)/2*$C$23,0)-ABS(AI57)*$C$25</f>
        <v/>
      </c>
      <c r="AJ61" s="160">
        <f>IF(AND($C$22="Y",AJ58+AJ60&gt;0),-(AJ58+AJ60)/2*$C$23,0)-ABS(AJ57)*$C$25</f>
        <v/>
      </c>
      <c r="AK61" s="160">
        <f>IF(AND($C$22="Y",AK58+AK60&gt;0),-(AK58+AK60)/2*$C$23,0)-ABS(AK57)*$C$25</f>
        <v/>
      </c>
      <c r="AL61" s="160">
        <f>IF(AND($C$22="Y",AL58+AL60&gt;0),-(AL58+AL60)/2*$C$23,0)-ABS(AL57)*$C$25</f>
        <v/>
      </c>
      <c r="AM61" s="160">
        <f>IF(AND($C$22="Y",AM58+AM60&gt;0),-(AM58+AM60)/2*$C$23,0)-ABS(AM57)*$C$25</f>
        <v/>
      </c>
      <c r="AN61" s="160">
        <f>IF(AND($C$22="Y",AN58+AN60&gt;0),-(AN58+AN60)/2*$C$23,0)-ABS(AN57)*$C$25</f>
        <v/>
      </c>
      <c r="AO61" s="160">
        <f>IF(AND($C$22="Y",AO58+AO60&gt;0),-(AO58+AO60)/2*$C$23,0)-ABS(AO57)*$C$25</f>
        <v/>
      </c>
      <c r="AP61" s="160">
        <f>IF(AND($C$22="Y",AP58+AP60&gt;0),-(AP58+AP60)/2*$C$23,0)-ABS(AP57)*$C$25</f>
        <v/>
      </c>
      <c r="AQ61" s="160">
        <f>IF(AND($C$22="Y",AQ58+AQ60&gt;0),-(AQ58+AQ60)/2*$C$23,0)-ABS(AQ57)*$C$25</f>
        <v/>
      </c>
      <c r="AR61" s="160">
        <f>IF(AND($C$22="Y",AR58+AR60&gt;0),-(AR58+AR60)/2*$C$23,0)-ABS(AR57)*$C$25</f>
        <v/>
      </c>
      <c r="AS61" s="160">
        <f>IF(AND($C$22="Y",AS58+AS60&gt;0),-(AS58+AS60)/2*$C$23,0)-ABS(AS57)*$C$25</f>
        <v/>
      </c>
      <c r="AT61" s="160">
        <f>IF(AND($C$22="Y",AT58+AT60&gt;0),-(AT58+AT60)/2*$C$23,0)-ABS(AT57)*$C$25</f>
        <v/>
      </c>
      <c r="AU61" s="160">
        <f>IF(AND($C$22="Y",AU58+AU60&gt;0),-(AU58+AU60)/2*$C$23,0)-ABS(AU57)*$C$25</f>
        <v/>
      </c>
      <c r="AV61" s="160">
        <f>IF(AND($C$22="Y",AV58+AV60&gt;0),-(AV58+AV60)/2*$C$23,0)-ABS(AV57)*$C$25</f>
        <v/>
      </c>
      <c r="AW61" s="160">
        <f>IF(AND($C$22="Y",AW58+AW60&gt;0),-(AW58+AW60)/2*$C$23,0)-ABS(AW57)*$C$25</f>
        <v/>
      </c>
      <c r="AX61" s="160">
        <f>IF(AND($C$22="Y",AX58+AX60&gt;0),-(AX58+AX60)/2*$C$23,0)-ABS(AX57)*$C$25</f>
        <v/>
      </c>
      <c r="AY61" s="160">
        <f>IF(AND($C$22="Y",AY58+AY60&gt;0),-(AY58+AY60)/2*$C$23,0)-ABS(AY57)*$C$25</f>
        <v/>
      </c>
      <c r="AZ61" s="160">
        <f>IF(AND($C$22="Y",AZ58+AZ60&gt;0),-(AZ58+AZ60)/2*$C$23,0)-ABS(AZ57)*$C$25</f>
        <v/>
      </c>
      <c r="BA61" s="160">
        <f>IF(AND($C$22="Y",BA58+BA60&gt;0),-(BA58+BA60)/2*$C$23,0)-ABS(BA57)*$C$25</f>
        <v/>
      </c>
      <c r="BB61" s="160">
        <f>IF(AND($C$22="Y",BB58+BB60&gt;0),-(BB58+BB60)/2*$C$23,0)-ABS(BB57)*$C$25</f>
        <v/>
      </c>
    </row>
    <row r="62" ht="15" customHeight="1" s="91">
      <c r="B62" s="110" t="inlineStr">
        <is>
          <t>Total Debt Service  إجمالي خدمة الدين</t>
        </is>
      </c>
      <c r="C62" s="153" t="inlineStr">
        <is>
          <t>SAR</t>
        </is>
      </c>
      <c r="D62" s="157">
        <f>SUM(E62:BB62)</f>
        <v/>
      </c>
      <c r="E62" s="157">
        <f>E59+E61</f>
        <v/>
      </c>
      <c r="F62" s="157">
        <f>F59+F61</f>
        <v/>
      </c>
      <c r="G62" s="157">
        <f>G59+G61</f>
        <v/>
      </c>
      <c r="H62" s="157">
        <f>H59+H61</f>
        <v/>
      </c>
      <c r="I62" s="157">
        <f>I59+I61</f>
        <v/>
      </c>
      <c r="J62" s="157">
        <f>J59+J61</f>
        <v/>
      </c>
      <c r="K62" s="157">
        <f>K59+K61</f>
        <v/>
      </c>
      <c r="L62" s="157">
        <f>L59+L61</f>
        <v/>
      </c>
      <c r="M62" s="157">
        <f>M59+M61</f>
        <v/>
      </c>
      <c r="N62" s="157">
        <f>N59+N61</f>
        <v/>
      </c>
      <c r="O62" s="157">
        <f>O59+O61</f>
        <v/>
      </c>
      <c r="P62" s="157">
        <f>P59+P61</f>
        <v/>
      </c>
      <c r="Q62" s="157">
        <f>Q59+Q61</f>
        <v/>
      </c>
      <c r="R62" s="157">
        <f>R59+R61</f>
        <v/>
      </c>
      <c r="S62" s="157">
        <f>S59+S61</f>
        <v/>
      </c>
      <c r="T62" s="157">
        <f>T59+T61</f>
        <v/>
      </c>
      <c r="U62" s="157">
        <f>U59+U61</f>
        <v/>
      </c>
      <c r="V62" s="157">
        <f>V59+V61</f>
        <v/>
      </c>
      <c r="W62" s="157">
        <f>W59+W61</f>
        <v/>
      </c>
      <c r="X62" s="157">
        <f>X59+X61</f>
        <v/>
      </c>
      <c r="Y62" s="157">
        <f>Y59+Y61</f>
        <v/>
      </c>
      <c r="Z62" s="157">
        <f>Z59+Z61</f>
        <v/>
      </c>
      <c r="AA62" s="157">
        <f>AA59+AA61</f>
        <v/>
      </c>
      <c r="AB62" s="157">
        <f>AB59+AB61</f>
        <v/>
      </c>
      <c r="AC62" s="157">
        <f>AC59+AC61</f>
        <v/>
      </c>
      <c r="AD62" s="157">
        <f>AD59+AD61</f>
        <v/>
      </c>
      <c r="AE62" s="157">
        <f>AE59+AE61</f>
        <v/>
      </c>
      <c r="AF62" s="157">
        <f>AF59+AF61</f>
        <v/>
      </c>
      <c r="AG62" s="157">
        <f>AG59+AG61</f>
        <v/>
      </c>
      <c r="AH62" s="157">
        <f>AH59+AH61</f>
        <v/>
      </c>
      <c r="AI62" s="157">
        <f>AI59+AI61</f>
        <v/>
      </c>
      <c r="AJ62" s="157">
        <f>AJ59+AJ61</f>
        <v/>
      </c>
      <c r="AK62" s="157">
        <f>AK59+AK61</f>
        <v/>
      </c>
      <c r="AL62" s="157">
        <f>AL59+AL61</f>
        <v/>
      </c>
      <c r="AM62" s="157">
        <f>AM59+AM61</f>
        <v/>
      </c>
      <c r="AN62" s="157">
        <f>AN59+AN61</f>
        <v/>
      </c>
      <c r="AO62" s="157">
        <f>AO59+AO61</f>
        <v/>
      </c>
      <c r="AP62" s="157">
        <f>AP59+AP61</f>
        <v/>
      </c>
      <c r="AQ62" s="157">
        <f>AQ59+AQ61</f>
        <v/>
      </c>
      <c r="AR62" s="157">
        <f>AR59+AR61</f>
        <v/>
      </c>
      <c r="AS62" s="157">
        <f>AS59+AS61</f>
        <v/>
      </c>
      <c r="AT62" s="157">
        <f>AT59+AT61</f>
        <v/>
      </c>
      <c r="AU62" s="157">
        <f>AU59+AU61</f>
        <v/>
      </c>
      <c r="AV62" s="157">
        <f>AV59+AV61</f>
        <v/>
      </c>
      <c r="AW62" s="157">
        <f>AW59+AW61</f>
        <v/>
      </c>
      <c r="AX62" s="157">
        <f>AX59+AX61</f>
        <v/>
      </c>
      <c r="AY62" s="157">
        <f>AY59+AY61</f>
        <v/>
      </c>
      <c r="AZ62" s="157">
        <f>AZ59+AZ61</f>
        <v/>
      </c>
      <c r="BA62" s="157">
        <f>BA59+BA61</f>
        <v/>
      </c>
      <c r="BB62" s="157">
        <f>BB59+BB61</f>
        <v/>
      </c>
    </row>
    <row r="63" ht="15" customHeight="1" s="91">
      <c r="B63" s="90" t="inlineStr">
        <is>
          <t>Other Fund Fees  رسوم أخرى</t>
        </is>
      </c>
      <c r="D63" s="90">
        <f>SUM(E63:BB63)</f>
        <v/>
      </c>
      <c r="E63" s="90">
        <f>IF(E$46=$C$9,Inputs!F$145+Inputs!F$146+$C$17*Inputs!F$150,0)+IF(AND(E$46&gt;=$C$9,E$46&lt;=$C$41),Inputs!F$147,0)+IF(AND(E$46&gt;=$C$9,E$46&lt;=$C$41,E47&gt;0),MIN(Inputs!F$149,$C$17*Inputs!F$148),0)</f>
        <v/>
      </c>
      <c r="F63" s="90">
        <f>IF(F$46=$C$9,Inputs!F$145+Inputs!F$146+$C$17*Inputs!F$150,0)+IF(AND(F$46&gt;=$C$9,F$46&lt;=$C$41),Inputs!F$147,0)+IF(AND(F$46&gt;=$C$9,F$46&lt;=$C$41,F47&gt;0),MIN(Inputs!F$149,$C$17*Inputs!F$148),0)</f>
        <v/>
      </c>
      <c r="G63" s="90">
        <f>IF(G$46=$C$9,Inputs!F$145+Inputs!F$146+$C$17*Inputs!F$150,0)+IF(AND(G$46&gt;=$C$9,G$46&lt;=$C$41),Inputs!F$147,0)+IF(AND(G$46&gt;=$C$9,G$46&lt;=$C$41,G47&gt;0),MIN(Inputs!F$149,$C$17*Inputs!F$148),0)</f>
        <v/>
      </c>
      <c r="H63" s="90">
        <f>IF(H$46=$C$9,Inputs!F$145+Inputs!F$146+$C$17*Inputs!F$150,0)+IF(AND(H$46&gt;=$C$9,H$46&lt;=$C$41),Inputs!F$147,0)+IF(AND(H$46&gt;=$C$9,H$46&lt;=$C$41,H47&gt;0),MIN(Inputs!F$149,$C$17*Inputs!F$148),0)</f>
        <v/>
      </c>
      <c r="I63" s="90">
        <f>IF(I$46=$C$9,Inputs!F$145+Inputs!F$146+$C$17*Inputs!F$150,0)+IF(AND(I$46&gt;=$C$9,I$46&lt;=$C$41),Inputs!F$147,0)+IF(AND(I$46&gt;=$C$9,I$46&lt;=$C$41,I47&gt;0),MIN(Inputs!F$149,$C$17*Inputs!F$148),0)</f>
        <v/>
      </c>
      <c r="J63" s="90">
        <f>IF(J$46=$C$9,Inputs!F$145+Inputs!F$146+$C$17*Inputs!F$150,0)+IF(AND(J$46&gt;=$C$9,J$46&lt;=$C$41),Inputs!F$147,0)+IF(AND(J$46&gt;=$C$9,J$46&lt;=$C$41,J47&gt;0),MIN(Inputs!F$149,$C$17*Inputs!F$148),0)</f>
        <v/>
      </c>
      <c r="K63" s="90">
        <f>IF(K$46=$C$9,Inputs!F$145+Inputs!F$146+$C$17*Inputs!F$150,0)+IF(AND(K$46&gt;=$C$9,K$46&lt;=$C$41),Inputs!F$147,0)+IF(AND(K$46&gt;=$C$9,K$46&lt;=$C$41,K47&gt;0),MIN(Inputs!F$149,$C$17*Inputs!F$148),0)</f>
        <v/>
      </c>
      <c r="L63" s="90">
        <f>IF(L$46=$C$9,Inputs!F$145+Inputs!F$146+$C$17*Inputs!F$150,0)+IF(AND(L$46&gt;=$C$9,L$46&lt;=$C$41),Inputs!F$147,0)+IF(AND(L$46&gt;=$C$9,L$46&lt;=$C$41,L47&gt;0),MIN(Inputs!F$149,$C$17*Inputs!F$148),0)</f>
        <v/>
      </c>
      <c r="M63" s="90">
        <f>IF(M$46=$C$9,Inputs!F$145+Inputs!F$146+$C$17*Inputs!F$150,0)+IF(AND(M$46&gt;=$C$9,M$46&lt;=$C$41),Inputs!F$147,0)+IF(AND(M$46&gt;=$C$9,M$46&lt;=$C$41,M47&gt;0),MIN(Inputs!F$149,$C$17*Inputs!F$148),0)</f>
        <v/>
      </c>
      <c r="N63" s="90">
        <f>IF(N$46=$C$9,Inputs!F$145+Inputs!F$146+$C$17*Inputs!F$150,0)+IF(AND(N$46&gt;=$C$9,N$46&lt;=$C$41),Inputs!F$147,0)+IF(AND(N$46&gt;=$C$9,N$46&lt;=$C$41,N47&gt;0),MIN(Inputs!F$149,$C$17*Inputs!F$148),0)</f>
        <v/>
      </c>
      <c r="O63" s="90">
        <f>IF(O$46=$C$9,Inputs!F$145+Inputs!F$146+$C$17*Inputs!F$150,0)+IF(AND(O$46&gt;=$C$9,O$46&lt;=$C$41),Inputs!F$147,0)+IF(AND(O$46&gt;=$C$9,O$46&lt;=$C$41,O47&gt;0),MIN(Inputs!F$149,$C$17*Inputs!F$148),0)</f>
        <v/>
      </c>
      <c r="P63" s="90">
        <f>IF(P$46=$C$9,Inputs!F$145+Inputs!F$146+$C$17*Inputs!F$150,0)+IF(AND(P$46&gt;=$C$9,P$46&lt;=$C$41),Inputs!F$147,0)+IF(AND(P$46&gt;=$C$9,P$46&lt;=$C$41,P47&gt;0),MIN(Inputs!F$149,$C$17*Inputs!F$148),0)</f>
        <v/>
      </c>
      <c r="Q63" s="90">
        <f>IF(Q$46=$C$9,Inputs!F$145+Inputs!F$146+$C$17*Inputs!F$150,0)+IF(AND(Q$46&gt;=$C$9,Q$46&lt;=$C$41),Inputs!F$147,0)+IF(AND(Q$46&gt;=$C$9,Q$46&lt;=$C$41,Q47&gt;0),MIN(Inputs!F$149,$C$17*Inputs!F$148),0)</f>
        <v/>
      </c>
      <c r="R63" s="90">
        <f>IF(R$46=$C$9,Inputs!F$145+Inputs!F$146+$C$17*Inputs!F$150,0)+IF(AND(R$46&gt;=$C$9,R$46&lt;=$C$41),Inputs!F$147,0)+IF(AND(R$46&gt;=$C$9,R$46&lt;=$C$41,R47&gt;0),MIN(Inputs!F$149,$C$17*Inputs!F$148),0)</f>
        <v/>
      </c>
      <c r="S63" s="90">
        <f>IF(S$46=$C$9,Inputs!F$145+Inputs!F$146+$C$17*Inputs!F$150,0)+IF(AND(S$46&gt;=$C$9,S$46&lt;=$C$41),Inputs!F$147,0)+IF(AND(S$46&gt;=$C$9,S$46&lt;=$C$41,S47&gt;0),MIN(Inputs!F$149,$C$17*Inputs!F$148),0)</f>
        <v/>
      </c>
      <c r="T63" s="90">
        <f>IF(T$46=$C$9,Inputs!F$145+Inputs!F$146+$C$17*Inputs!F$150,0)+IF(AND(T$46&gt;=$C$9,T$46&lt;=$C$41),Inputs!F$147,0)+IF(AND(T$46&gt;=$C$9,T$46&lt;=$C$41,T47&gt;0),MIN(Inputs!F$149,$C$17*Inputs!F$148),0)</f>
        <v/>
      </c>
      <c r="U63" s="90">
        <f>IF(U$46=$C$9,Inputs!F$145+Inputs!F$146+$C$17*Inputs!F$150,0)+IF(AND(U$46&gt;=$C$9,U$46&lt;=$C$41),Inputs!F$147,0)+IF(AND(U$46&gt;=$C$9,U$46&lt;=$C$41,U47&gt;0),MIN(Inputs!F$149,$C$17*Inputs!F$148),0)</f>
        <v/>
      </c>
      <c r="V63" s="90">
        <f>IF(V$46=$C$9,Inputs!F$145+Inputs!F$146+$C$17*Inputs!F$150,0)+IF(AND(V$46&gt;=$C$9,V$46&lt;=$C$41),Inputs!F$147,0)+IF(AND(V$46&gt;=$C$9,V$46&lt;=$C$41,V47&gt;0),MIN(Inputs!F$149,$C$17*Inputs!F$148),0)</f>
        <v/>
      </c>
      <c r="W63" s="90">
        <f>IF(W$46=$C$9,Inputs!F$145+Inputs!F$146+$C$17*Inputs!F$150,0)+IF(AND(W$46&gt;=$C$9,W$46&lt;=$C$41),Inputs!F$147,0)+IF(AND(W$46&gt;=$C$9,W$46&lt;=$C$41,W47&gt;0),MIN(Inputs!F$149,$C$17*Inputs!F$148),0)</f>
        <v/>
      </c>
      <c r="X63" s="90">
        <f>IF(X$46=$C$9,Inputs!F$145+Inputs!F$146+$C$17*Inputs!F$150,0)+IF(AND(X$46&gt;=$C$9,X$46&lt;=$C$41),Inputs!F$147,0)+IF(AND(X$46&gt;=$C$9,X$46&lt;=$C$41,X47&gt;0),MIN(Inputs!F$149,$C$17*Inputs!F$148),0)</f>
        <v/>
      </c>
      <c r="Y63" s="90">
        <f>IF(Y$46=$C$9,Inputs!F$145+Inputs!F$146+$C$17*Inputs!F$150,0)+IF(AND(Y$46&gt;=$C$9,Y$46&lt;=$C$41),Inputs!F$147,0)+IF(AND(Y$46&gt;=$C$9,Y$46&lt;=$C$41,Y47&gt;0),MIN(Inputs!F$149,$C$17*Inputs!F$148),0)</f>
        <v/>
      </c>
      <c r="Z63" s="90">
        <f>IF(Z$46=$C$9,Inputs!F$145+Inputs!F$146+$C$17*Inputs!F$150,0)+IF(AND(Z$46&gt;=$C$9,Z$46&lt;=$C$41),Inputs!F$147,0)+IF(AND(Z$46&gt;=$C$9,Z$46&lt;=$C$41,Z47&gt;0),MIN(Inputs!F$149,$C$17*Inputs!F$148),0)</f>
        <v/>
      </c>
      <c r="AA63" s="90">
        <f>IF(AA$46=$C$9,Inputs!F$145+Inputs!F$146+$C$17*Inputs!F$150,0)+IF(AND(AA$46&gt;=$C$9,AA$46&lt;=$C$41),Inputs!F$147,0)+IF(AND(AA$46&gt;=$C$9,AA$46&lt;=$C$41,AA47&gt;0),MIN(Inputs!F$149,$C$17*Inputs!F$148),0)</f>
        <v/>
      </c>
      <c r="AB63" s="90">
        <f>IF(AB$46=$C$9,Inputs!F$145+Inputs!F$146+$C$17*Inputs!F$150,0)+IF(AND(AB$46&gt;=$C$9,AB$46&lt;=$C$41),Inputs!F$147,0)+IF(AND(AB$46&gt;=$C$9,AB$46&lt;=$C$41,AB47&gt;0),MIN(Inputs!F$149,$C$17*Inputs!F$148),0)</f>
        <v/>
      </c>
      <c r="AC63" s="90">
        <f>IF(AC$46=$C$9,Inputs!F$145+Inputs!F$146+$C$17*Inputs!F$150,0)+IF(AND(AC$46&gt;=$C$9,AC$46&lt;=$C$41),Inputs!F$147,0)+IF(AND(AC$46&gt;=$C$9,AC$46&lt;=$C$41,AC47&gt;0),MIN(Inputs!F$149,$C$17*Inputs!F$148),0)</f>
        <v/>
      </c>
      <c r="AD63" s="90">
        <f>IF(AD$46=$C$9,Inputs!F$145+Inputs!F$146+$C$17*Inputs!F$150,0)+IF(AND(AD$46&gt;=$C$9,AD$46&lt;=$C$41),Inputs!F$147,0)+IF(AND(AD$46&gt;=$C$9,AD$46&lt;=$C$41,AD47&gt;0),MIN(Inputs!F$149,$C$17*Inputs!F$148),0)</f>
        <v/>
      </c>
      <c r="AE63" s="90">
        <f>IF(AE$46=$C$9,Inputs!F$145+Inputs!F$146+$C$17*Inputs!F$150,0)+IF(AND(AE$46&gt;=$C$9,AE$46&lt;=$C$41),Inputs!F$147,0)+IF(AND(AE$46&gt;=$C$9,AE$46&lt;=$C$41,AE47&gt;0),MIN(Inputs!F$149,$C$17*Inputs!F$148),0)</f>
        <v/>
      </c>
      <c r="AF63" s="90">
        <f>IF(AF$46=$C$9,Inputs!F$145+Inputs!F$146+$C$17*Inputs!F$150,0)+IF(AND(AF$46&gt;=$C$9,AF$46&lt;=$C$41),Inputs!F$147,0)+IF(AND(AF$46&gt;=$C$9,AF$46&lt;=$C$41,AF47&gt;0),MIN(Inputs!F$149,$C$17*Inputs!F$148),0)</f>
        <v/>
      </c>
      <c r="AG63" s="90">
        <f>IF(AG$46=$C$9,Inputs!F$145+Inputs!F$146+$C$17*Inputs!F$150,0)+IF(AND(AG$46&gt;=$C$9,AG$46&lt;=$C$41),Inputs!F$147,0)+IF(AND(AG$46&gt;=$C$9,AG$46&lt;=$C$41,AG47&gt;0),MIN(Inputs!F$149,$C$17*Inputs!F$148),0)</f>
        <v/>
      </c>
      <c r="AH63" s="90">
        <f>IF(AH$46=$C$9,Inputs!F$145+Inputs!F$146+$C$17*Inputs!F$150,0)+IF(AND(AH$46&gt;=$C$9,AH$46&lt;=$C$41),Inputs!F$147,0)+IF(AND(AH$46&gt;=$C$9,AH$46&lt;=$C$41,AH47&gt;0),MIN(Inputs!F$149,$C$17*Inputs!F$148),0)</f>
        <v/>
      </c>
      <c r="AI63" s="90">
        <f>IF(AI$46=$C$9,Inputs!F$145+Inputs!F$146+$C$17*Inputs!F$150,0)+IF(AND(AI$46&gt;=$C$9,AI$46&lt;=$C$41),Inputs!F$147,0)+IF(AND(AI$46&gt;=$C$9,AI$46&lt;=$C$41,AI47&gt;0),MIN(Inputs!F$149,$C$17*Inputs!F$148),0)</f>
        <v/>
      </c>
      <c r="AJ63" s="90">
        <f>IF(AJ$46=$C$9,Inputs!F$145+Inputs!F$146+$C$17*Inputs!F$150,0)+IF(AND(AJ$46&gt;=$C$9,AJ$46&lt;=$C$41),Inputs!F$147,0)+IF(AND(AJ$46&gt;=$C$9,AJ$46&lt;=$C$41,AJ47&gt;0),MIN(Inputs!F$149,$C$17*Inputs!F$148),0)</f>
        <v/>
      </c>
      <c r="AK63" s="90">
        <f>IF(AK$46=$C$9,Inputs!F$145+Inputs!F$146+$C$17*Inputs!F$150,0)+IF(AND(AK$46&gt;=$C$9,AK$46&lt;=$C$41),Inputs!F$147,0)+IF(AND(AK$46&gt;=$C$9,AK$46&lt;=$C$41,AK47&gt;0),MIN(Inputs!F$149,$C$17*Inputs!F$148),0)</f>
        <v/>
      </c>
      <c r="AL63" s="90">
        <f>IF(AL$46=$C$9,Inputs!F$145+Inputs!F$146+$C$17*Inputs!F$150,0)+IF(AND(AL$46&gt;=$C$9,AL$46&lt;=$C$41),Inputs!F$147,0)+IF(AND(AL$46&gt;=$C$9,AL$46&lt;=$C$41,AL47&gt;0),MIN(Inputs!F$149,$C$17*Inputs!F$148),0)</f>
        <v/>
      </c>
      <c r="AM63" s="90">
        <f>IF(AM$46=$C$9,Inputs!F$145+Inputs!F$146+$C$17*Inputs!F$150,0)+IF(AND(AM$46&gt;=$C$9,AM$46&lt;=$C$41),Inputs!F$147,0)+IF(AND(AM$46&gt;=$C$9,AM$46&lt;=$C$41,AM47&gt;0),MIN(Inputs!F$149,$C$17*Inputs!F$148),0)</f>
        <v/>
      </c>
      <c r="AN63" s="90">
        <f>IF(AN$46=$C$9,Inputs!F$145+Inputs!F$146+$C$17*Inputs!F$150,0)+IF(AND(AN$46&gt;=$C$9,AN$46&lt;=$C$41),Inputs!F$147,0)+IF(AND(AN$46&gt;=$C$9,AN$46&lt;=$C$41,AN47&gt;0),MIN(Inputs!F$149,$C$17*Inputs!F$148),0)</f>
        <v/>
      </c>
      <c r="AO63" s="90">
        <f>IF(AO$46=$C$9,Inputs!F$145+Inputs!F$146+$C$17*Inputs!F$150,0)+IF(AND(AO$46&gt;=$C$9,AO$46&lt;=$C$41),Inputs!F$147,0)+IF(AND(AO$46&gt;=$C$9,AO$46&lt;=$C$41,AO47&gt;0),MIN(Inputs!F$149,$C$17*Inputs!F$148),0)</f>
        <v/>
      </c>
      <c r="AP63" s="90">
        <f>IF(AP$46=$C$9,Inputs!F$145+Inputs!F$146+$C$17*Inputs!F$150,0)+IF(AND(AP$46&gt;=$C$9,AP$46&lt;=$C$41),Inputs!F$147,0)+IF(AND(AP$46&gt;=$C$9,AP$46&lt;=$C$41,AP47&gt;0),MIN(Inputs!F$149,$C$17*Inputs!F$148),0)</f>
        <v/>
      </c>
      <c r="AQ63" s="90">
        <f>IF(AQ$46=$C$9,Inputs!F$145+Inputs!F$146+$C$17*Inputs!F$150,0)+IF(AND(AQ$46&gt;=$C$9,AQ$46&lt;=$C$41),Inputs!F$147,0)+IF(AND(AQ$46&gt;=$C$9,AQ$46&lt;=$C$41,AQ47&gt;0),MIN(Inputs!F$149,$C$17*Inputs!F$148),0)</f>
        <v/>
      </c>
      <c r="AR63" s="90">
        <f>IF(AR$46=$C$9,Inputs!F$145+Inputs!F$146+$C$17*Inputs!F$150,0)+IF(AND(AR$46&gt;=$C$9,AR$46&lt;=$C$41),Inputs!F$147,0)+IF(AND(AR$46&gt;=$C$9,AR$46&lt;=$C$41,AR47&gt;0),MIN(Inputs!F$149,$C$17*Inputs!F$148),0)</f>
        <v/>
      </c>
      <c r="AS63" s="90">
        <f>IF(AS$46=$C$9,Inputs!F$145+Inputs!F$146+$C$17*Inputs!F$150,0)+IF(AND(AS$46&gt;=$C$9,AS$46&lt;=$C$41),Inputs!F$147,0)+IF(AND(AS$46&gt;=$C$9,AS$46&lt;=$C$41,AS47&gt;0),MIN(Inputs!F$149,$C$17*Inputs!F$148),0)</f>
        <v/>
      </c>
      <c r="AT63" s="90">
        <f>IF(AT$46=$C$9,Inputs!F$145+Inputs!F$146+$C$17*Inputs!F$150,0)+IF(AND(AT$46&gt;=$C$9,AT$46&lt;=$C$41),Inputs!F$147,0)+IF(AND(AT$46&gt;=$C$9,AT$46&lt;=$C$41,AT47&gt;0),MIN(Inputs!F$149,$C$17*Inputs!F$148),0)</f>
        <v/>
      </c>
      <c r="AU63" s="90">
        <f>IF(AU$46=$C$9,Inputs!F$145+Inputs!F$146+$C$17*Inputs!F$150,0)+IF(AND(AU$46&gt;=$C$9,AU$46&lt;=$C$41),Inputs!F$147,0)+IF(AND(AU$46&gt;=$C$9,AU$46&lt;=$C$41,AU47&gt;0),MIN(Inputs!F$149,$C$17*Inputs!F$148),0)</f>
        <v/>
      </c>
      <c r="AV63" s="90">
        <f>IF(AV$46=$C$9,Inputs!F$145+Inputs!F$146+$C$17*Inputs!F$150,0)+IF(AND(AV$46&gt;=$C$9,AV$46&lt;=$C$41),Inputs!F$147,0)+IF(AND(AV$46&gt;=$C$9,AV$46&lt;=$C$41,AV47&gt;0),MIN(Inputs!F$149,$C$17*Inputs!F$148),0)</f>
        <v/>
      </c>
      <c r="AW63" s="90">
        <f>IF(AW$46=$C$9,Inputs!F$145+Inputs!F$146+$C$17*Inputs!F$150,0)+IF(AND(AW$46&gt;=$C$9,AW$46&lt;=$C$41),Inputs!F$147,0)+IF(AND(AW$46&gt;=$C$9,AW$46&lt;=$C$41,AW47&gt;0),MIN(Inputs!F$149,$C$17*Inputs!F$148),0)</f>
        <v/>
      </c>
      <c r="AX63" s="90">
        <f>IF(AX$46=$C$9,Inputs!F$145+Inputs!F$146+$C$17*Inputs!F$150,0)+IF(AND(AX$46&gt;=$C$9,AX$46&lt;=$C$41),Inputs!F$147,0)+IF(AND(AX$46&gt;=$C$9,AX$46&lt;=$C$41,AX47&gt;0),MIN(Inputs!F$149,$C$17*Inputs!F$148),0)</f>
        <v/>
      </c>
      <c r="AY63" s="90">
        <f>IF(AY$46=$C$9,Inputs!F$145+Inputs!F$146+$C$17*Inputs!F$150,0)+IF(AND(AY$46&gt;=$C$9,AY$46&lt;=$C$41),Inputs!F$147,0)+IF(AND(AY$46&gt;=$C$9,AY$46&lt;=$C$41,AY47&gt;0),MIN(Inputs!F$149,$C$17*Inputs!F$148),0)</f>
        <v/>
      </c>
      <c r="AZ63" s="90">
        <f>IF(AZ$46=$C$9,Inputs!F$145+Inputs!F$146+$C$17*Inputs!F$150,0)+IF(AND(AZ$46&gt;=$C$9,AZ$46&lt;=$C$41),Inputs!F$147,0)+IF(AND(AZ$46&gt;=$C$9,AZ$46&lt;=$C$41,AZ47&gt;0),MIN(Inputs!F$149,$C$17*Inputs!F$148),0)</f>
        <v/>
      </c>
      <c r="BA63" s="90">
        <f>IF(BA$46=$C$9,Inputs!F$145+Inputs!F$146+$C$17*Inputs!F$150,0)+IF(AND(BA$46&gt;=$C$9,BA$46&lt;=$C$41),Inputs!F$147,0)+IF(AND(BA$46&gt;=$C$9,BA$46&lt;=$C$41,BA47&gt;0),MIN(Inputs!F$149,$C$17*Inputs!F$148),0)</f>
        <v/>
      </c>
      <c r="BB63" s="90">
        <f>IF(BB$46=$C$9,Inputs!F$145+Inputs!F$146+$C$17*Inputs!F$150,0)+IF(AND(BB$46&gt;=$C$9,BB$46&lt;=$C$41),Inputs!F$147,0)+IF(AND(BB$46&gt;=$C$9,BB$46&lt;=$C$41,BB47&gt;0),MIN(Inputs!F$149,$C$17*Inputs!F$148),0)</f>
        <v/>
      </c>
    </row>
    <row r="64" ht="15" customHeight="1" s="91">
      <c r="B64" s="153" t="inlineStr">
        <is>
          <t>Subscription Fee  رسوم الاشتراك</t>
        </is>
      </c>
      <c r="C64" s="153" t="inlineStr">
        <is>
          <t>SAR</t>
        </is>
      </c>
      <c r="D64" s="160">
        <f>SUM(E64:BB64)</f>
        <v/>
      </c>
      <c r="E64" s="160">
        <f>IF(E$46=$C$9,$C$14*$C$29,0)</f>
        <v/>
      </c>
      <c r="F64" s="160">
        <f>IF(F$46=$C$9,$C$14*$C$29,0)</f>
        <v/>
      </c>
      <c r="G64" s="160">
        <f>IF(G$46=$C$9,$C$14*$C$29,0)</f>
        <v/>
      </c>
      <c r="H64" s="160">
        <f>IF(H$46=$C$9,$C$14*$C$29,0)</f>
        <v/>
      </c>
      <c r="I64" s="160">
        <f>IF(I$46=$C$9,$C$14*$C$29,0)</f>
        <v/>
      </c>
      <c r="J64" s="160">
        <f>IF(J$46=$C$9,$C$14*$C$29,0)</f>
        <v/>
      </c>
      <c r="K64" s="160">
        <f>IF(K$46=$C$9,$C$14*$C$29,0)</f>
        <v/>
      </c>
      <c r="L64" s="160">
        <f>IF(L$46=$C$9,$C$14*$C$29,0)</f>
        <v/>
      </c>
      <c r="M64" s="160">
        <f>IF(M$46=$C$9,$C$14*$C$29,0)</f>
        <v/>
      </c>
      <c r="N64" s="160">
        <f>IF(N$46=$C$9,$C$14*$C$29,0)</f>
        <v/>
      </c>
      <c r="O64" s="160">
        <f>IF(O$46=$C$9,$C$14*$C$29,0)</f>
        <v/>
      </c>
      <c r="P64" s="160">
        <f>IF(P$46=$C$9,$C$14*$C$29,0)</f>
        <v/>
      </c>
      <c r="Q64" s="160">
        <f>IF(Q$46=$C$9,$C$14*$C$29,0)</f>
        <v/>
      </c>
      <c r="R64" s="160">
        <f>IF(R$46=$C$9,$C$14*$C$29,0)</f>
        <v/>
      </c>
      <c r="S64" s="160">
        <f>IF(S$46=$C$9,$C$14*$C$29,0)</f>
        <v/>
      </c>
      <c r="T64" s="160">
        <f>IF(T$46=$C$9,$C$14*$C$29,0)</f>
        <v/>
      </c>
      <c r="U64" s="160">
        <f>IF(U$46=$C$9,$C$14*$C$29,0)</f>
        <v/>
      </c>
      <c r="V64" s="160">
        <f>IF(V$46=$C$9,$C$14*$C$29,0)</f>
        <v/>
      </c>
      <c r="W64" s="160">
        <f>IF(W$46=$C$9,$C$14*$C$29,0)</f>
        <v/>
      </c>
      <c r="X64" s="160">
        <f>IF(X$46=$C$9,$C$14*$C$29,0)</f>
        <v/>
      </c>
      <c r="Y64" s="160">
        <f>IF(Y$46=$C$9,$C$14*$C$29,0)</f>
        <v/>
      </c>
      <c r="Z64" s="160">
        <f>IF(Z$46=$C$9,$C$14*$C$29,0)</f>
        <v/>
      </c>
      <c r="AA64" s="160">
        <f>IF(AA$46=$C$9,$C$14*$C$29,0)</f>
        <v/>
      </c>
      <c r="AB64" s="160">
        <f>IF(AB$46=$C$9,$C$14*$C$29,0)</f>
        <v/>
      </c>
      <c r="AC64" s="160">
        <f>IF(AC$46=$C$9,$C$14*$C$29,0)</f>
        <v/>
      </c>
      <c r="AD64" s="160">
        <f>IF(AD$46=$C$9,$C$14*$C$29,0)</f>
        <v/>
      </c>
      <c r="AE64" s="160">
        <f>IF(AE$46=$C$9,$C$14*$C$29,0)</f>
        <v/>
      </c>
      <c r="AF64" s="160">
        <f>IF(AF$46=$C$9,$C$14*$C$29,0)</f>
        <v/>
      </c>
      <c r="AG64" s="160">
        <f>IF(AG$46=$C$9,$C$14*$C$29,0)</f>
        <v/>
      </c>
      <c r="AH64" s="160">
        <f>IF(AH$46=$C$9,$C$14*$C$29,0)</f>
        <v/>
      </c>
      <c r="AI64" s="160">
        <f>IF(AI$46=$C$9,$C$14*$C$29,0)</f>
        <v/>
      </c>
      <c r="AJ64" s="160">
        <f>IF(AJ$46=$C$9,$C$14*$C$29,0)</f>
        <v/>
      </c>
      <c r="AK64" s="160">
        <f>IF(AK$46=$C$9,$C$14*$C$29,0)</f>
        <v/>
      </c>
      <c r="AL64" s="160">
        <f>IF(AL$46=$C$9,$C$14*$C$29,0)</f>
        <v/>
      </c>
      <c r="AM64" s="160">
        <f>IF(AM$46=$C$9,$C$14*$C$29,0)</f>
        <v/>
      </c>
      <c r="AN64" s="160">
        <f>IF(AN$46=$C$9,$C$14*$C$29,0)</f>
        <v/>
      </c>
      <c r="AO64" s="160">
        <f>IF(AO$46=$C$9,$C$14*$C$29,0)</f>
        <v/>
      </c>
      <c r="AP64" s="160">
        <f>IF(AP$46=$C$9,$C$14*$C$29,0)</f>
        <v/>
      </c>
      <c r="AQ64" s="160">
        <f>IF(AQ$46=$C$9,$C$14*$C$29,0)</f>
        <v/>
      </c>
      <c r="AR64" s="160">
        <f>IF(AR$46=$C$9,$C$14*$C$29,0)</f>
        <v/>
      </c>
      <c r="AS64" s="160">
        <f>IF(AS$46=$C$9,$C$14*$C$29,0)</f>
        <v/>
      </c>
      <c r="AT64" s="160">
        <f>IF(AT$46=$C$9,$C$14*$C$29,0)</f>
        <v/>
      </c>
      <c r="AU64" s="160">
        <f>IF(AU$46=$C$9,$C$14*$C$29,0)</f>
        <v/>
      </c>
      <c r="AV64" s="160">
        <f>IF(AV$46=$C$9,$C$14*$C$29,0)</f>
        <v/>
      </c>
      <c r="AW64" s="160">
        <f>IF(AW$46=$C$9,$C$14*$C$29,0)</f>
        <v/>
      </c>
      <c r="AX64" s="160">
        <f>IF(AX$46=$C$9,$C$14*$C$29,0)</f>
        <v/>
      </c>
      <c r="AY64" s="160">
        <f>IF(AY$46=$C$9,$C$14*$C$29,0)</f>
        <v/>
      </c>
      <c r="AZ64" s="160">
        <f>IF(AZ$46=$C$9,$C$14*$C$29,0)</f>
        <v/>
      </c>
      <c r="BA64" s="160">
        <f>IF(BA$46=$C$9,$C$14*$C$29,0)</f>
        <v/>
      </c>
      <c r="BB64" s="160">
        <f>IF(BB$46=$C$9,$C$14*$C$29,0)</f>
        <v/>
      </c>
    </row>
    <row r="65" ht="15" customHeight="1" s="91">
      <c r="B65" s="153" t="inlineStr">
        <is>
          <t>Management Fee  رسوم الإدارة (% of Fund Assets)</t>
        </is>
      </c>
      <c r="C65" s="153" t="inlineStr">
        <is>
          <t>SAR</t>
        </is>
      </c>
      <c r="D65" s="160">
        <f>SUM(E65:BB65)</f>
        <v/>
      </c>
      <c r="E65" s="160">
        <f>MIN(Inputs!F$142,IF(AND(E$46&gt;=$C$9,E$46&lt;=$C$41),$C$18*$C$30,0))</f>
        <v/>
      </c>
      <c r="F65" s="160">
        <f>MIN(Inputs!F$142,IF(AND(F$46&gt;=$C$9,F$46&lt;=$C$41),$C$18*$C$30,0))</f>
        <v/>
      </c>
      <c r="G65" s="160">
        <f>MIN(Inputs!F$142,IF(AND(G$46&gt;=$C$9,G$46&lt;=$C$41),$C$18*$C$30,0))</f>
        <v/>
      </c>
      <c r="H65" s="160">
        <f>MIN(Inputs!F$142,IF(AND(H$46&gt;=$C$9,H$46&lt;=$C$41),$C$18*$C$30,0))</f>
        <v/>
      </c>
      <c r="I65" s="160">
        <f>MIN(Inputs!F$142,IF(AND(I$46&gt;=$C$9,I$46&lt;=$C$41),$C$18*$C$30,0))</f>
        <v/>
      </c>
      <c r="J65" s="160">
        <f>MIN(Inputs!F$142,IF(AND(J$46&gt;=$C$9,J$46&lt;=$C$41),$C$18*$C$30,0))</f>
        <v/>
      </c>
      <c r="K65" s="160">
        <f>MIN(Inputs!F$142,IF(AND(K$46&gt;=$C$9,K$46&lt;=$C$41),$C$18*$C$30,0))</f>
        <v/>
      </c>
      <c r="L65" s="160">
        <f>MIN(Inputs!F$142,IF(AND(L$46&gt;=$C$9,L$46&lt;=$C$41),$C$18*$C$30,0))</f>
        <v/>
      </c>
      <c r="M65" s="160">
        <f>MIN(Inputs!F$142,IF(AND(M$46&gt;=$C$9,M$46&lt;=$C$41),$C$18*$C$30,0))</f>
        <v/>
      </c>
      <c r="N65" s="160">
        <f>MIN(Inputs!F$142,IF(AND(N$46&gt;=$C$9,N$46&lt;=$C$41),$C$18*$C$30,0))</f>
        <v/>
      </c>
      <c r="O65" s="160">
        <f>MIN(Inputs!F$142,IF(AND(O$46&gt;=$C$9,O$46&lt;=$C$41),$C$18*$C$30,0))</f>
        <v/>
      </c>
      <c r="P65" s="160">
        <f>MIN(Inputs!F$142,IF(AND(P$46&gt;=$C$9,P$46&lt;=$C$41),$C$18*$C$30,0))</f>
        <v/>
      </c>
      <c r="Q65" s="160">
        <f>MIN(Inputs!F$142,IF(AND(Q$46&gt;=$C$9,Q$46&lt;=$C$41),$C$18*$C$30,0))</f>
        <v/>
      </c>
      <c r="R65" s="160">
        <f>MIN(Inputs!F$142,IF(AND(R$46&gt;=$C$9,R$46&lt;=$C$41),$C$18*$C$30,0))</f>
        <v/>
      </c>
      <c r="S65" s="160">
        <f>MIN(Inputs!F$142,IF(AND(S$46&gt;=$C$9,S$46&lt;=$C$41),$C$18*$C$30,0))</f>
        <v/>
      </c>
      <c r="T65" s="160">
        <f>MIN(Inputs!F$142,IF(AND(T$46&gt;=$C$9,T$46&lt;=$C$41),$C$18*$C$30,0))</f>
        <v/>
      </c>
      <c r="U65" s="160">
        <f>MIN(Inputs!F$142,IF(AND(U$46&gt;=$C$9,U$46&lt;=$C$41),$C$18*$C$30,0))</f>
        <v/>
      </c>
      <c r="V65" s="160">
        <f>MIN(Inputs!F$142,IF(AND(V$46&gt;=$C$9,V$46&lt;=$C$41),$C$18*$C$30,0))</f>
        <v/>
      </c>
      <c r="W65" s="160">
        <f>MIN(Inputs!F$142,IF(AND(W$46&gt;=$C$9,W$46&lt;=$C$41),$C$18*$C$30,0))</f>
        <v/>
      </c>
      <c r="X65" s="160">
        <f>MIN(Inputs!F$142,IF(AND(X$46&gt;=$C$9,X$46&lt;=$C$41),$C$18*$C$30,0))</f>
        <v/>
      </c>
      <c r="Y65" s="160">
        <f>MIN(Inputs!F$142,IF(AND(Y$46&gt;=$C$9,Y$46&lt;=$C$41),$C$18*$C$30,0))</f>
        <v/>
      </c>
      <c r="Z65" s="160">
        <f>MIN(Inputs!F$142,IF(AND(Z$46&gt;=$C$9,Z$46&lt;=$C$41),$C$18*$C$30,0))</f>
        <v/>
      </c>
      <c r="AA65" s="160">
        <f>MIN(Inputs!F$142,IF(AND(AA$46&gt;=$C$9,AA$46&lt;=$C$41),$C$18*$C$30,0))</f>
        <v/>
      </c>
      <c r="AB65" s="160">
        <f>MIN(Inputs!F$142,IF(AND(AB$46&gt;=$C$9,AB$46&lt;=$C$41),$C$18*$C$30,0))</f>
        <v/>
      </c>
      <c r="AC65" s="160">
        <f>MIN(Inputs!F$142,IF(AND(AC$46&gt;=$C$9,AC$46&lt;=$C$41),$C$18*$C$30,0))</f>
        <v/>
      </c>
      <c r="AD65" s="160">
        <f>MIN(Inputs!F$142,IF(AND(AD$46&gt;=$C$9,AD$46&lt;=$C$41),$C$18*$C$30,0))</f>
        <v/>
      </c>
      <c r="AE65" s="160">
        <f>MIN(Inputs!F$142,IF(AND(AE$46&gt;=$C$9,AE$46&lt;=$C$41),$C$18*$C$30,0))</f>
        <v/>
      </c>
      <c r="AF65" s="160">
        <f>MIN(Inputs!F$142,IF(AND(AF$46&gt;=$C$9,AF$46&lt;=$C$41),$C$18*$C$30,0))</f>
        <v/>
      </c>
      <c r="AG65" s="160">
        <f>MIN(Inputs!F$142,IF(AND(AG$46&gt;=$C$9,AG$46&lt;=$C$41),$C$18*$C$30,0))</f>
        <v/>
      </c>
      <c r="AH65" s="160">
        <f>MIN(Inputs!F$142,IF(AND(AH$46&gt;=$C$9,AH$46&lt;=$C$41),$C$18*$C$30,0))</f>
        <v/>
      </c>
      <c r="AI65" s="160">
        <f>MIN(Inputs!F$142,IF(AND(AI$46&gt;=$C$9,AI$46&lt;=$C$41),$C$18*$C$30,0))</f>
        <v/>
      </c>
      <c r="AJ65" s="160">
        <f>MIN(Inputs!F$142,IF(AND(AJ$46&gt;=$C$9,AJ$46&lt;=$C$41),$C$18*$C$30,0))</f>
        <v/>
      </c>
      <c r="AK65" s="160">
        <f>MIN(Inputs!F$142,IF(AND(AK$46&gt;=$C$9,AK$46&lt;=$C$41),$C$18*$C$30,0))</f>
        <v/>
      </c>
      <c r="AL65" s="160">
        <f>MIN(Inputs!F$142,IF(AND(AL$46&gt;=$C$9,AL$46&lt;=$C$41),$C$18*$C$30,0))</f>
        <v/>
      </c>
      <c r="AM65" s="160">
        <f>MIN(Inputs!F$142,IF(AND(AM$46&gt;=$C$9,AM$46&lt;=$C$41),$C$18*$C$30,0))</f>
        <v/>
      </c>
      <c r="AN65" s="160">
        <f>MIN(Inputs!F$142,IF(AND(AN$46&gt;=$C$9,AN$46&lt;=$C$41),$C$18*$C$30,0))</f>
        <v/>
      </c>
      <c r="AO65" s="160">
        <f>MIN(Inputs!F$142,IF(AND(AO$46&gt;=$C$9,AO$46&lt;=$C$41),$C$18*$C$30,0))</f>
        <v/>
      </c>
      <c r="AP65" s="160">
        <f>MIN(Inputs!F$142,IF(AND(AP$46&gt;=$C$9,AP$46&lt;=$C$41),$C$18*$C$30,0))</f>
        <v/>
      </c>
      <c r="AQ65" s="160">
        <f>MIN(Inputs!F$142,IF(AND(AQ$46&gt;=$C$9,AQ$46&lt;=$C$41),$C$18*$C$30,0))</f>
        <v/>
      </c>
      <c r="AR65" s="160">
        <f>MIN(Inputs!F$142,IF(AND(AR$46&gt;=$C$9,AR$46&lt;=$C$41),$C$18*$C$30,0))</f>
        <v/>
      </c>
      <c r="AS65" s="160">
        <f>MIN(Inputs!F$142,IF(AND(AS$46&gt;=$C$9,AS$46&lt;=$C$41),$C$18*$C$30,0))</f>
        <v/>
      </c>
      <c r="AT65" s="160">
        <f>MIN(Inputs!F$142,IF(AND(AT$46&gt;=$C$9,AT$46&lt;=$C$41),$C$18*$C$30,0))</f>
        <v/>
      </c>
      <c r="AU65" s="160">
        <f>MIN(Inputs!F$142,IF(AND(AU$46&gt;=$C$9,AU$46&lt;=$C$41),$C$18*$C$30,0))</f>
        <v/>
      </c>
      <c r="AV65" s="160">
        <f>MIN(Inputs!F$142,IF(AND(AV$46&gt;=$C$9,AV$46&lt;=$C$41),$C$18*$C$30,0))</f>
        <v/>
      </c>
      <c r="AW65" s="160">
        <f>MIN(Inputs!F$142,IF(AND(AW$46&gt;=$C$9,AW$46&lt;=$C$41),$C$18*$C$30,0))</f>
        <v/>
      </c>
      <c r="AX65" s="160">
        <f>MIN(Inputs!F$142,IF(AND(AX$46&gt;=$C$9,AX$46&lt;=$C$41),$C$18*$C$30,0))</f>
        <v/>
      </c>
      <c r="AY65" s="160">
        <f>MIN(Inputs!F$142,IF(AND(AY$46&gt;=$C$9,AY$46&lt;=$C$41),$C$18*$C$30,0))</f>
        <v/>
      </c>
      <c r="AZ65" s="160">
        <f>MIN(Inputs!F$142,IF(AND(AZ$46&gt;=$C$9,AZ$46&lt;=$C$41),$C$18*$C$30,0))</f>
        <v/>
      </c>
      <c r="BA65" s="160">
        <f>MIN(Inputs!F$142,IF(AND(BA$46&gt;=$C$9,BA$46&lt;=$C$41),$C$18*$C$30,0))</f>
        <v/>
      </c>
      <c r="BB65" s="160">
        <f>MIN(Inputs!F$142,IF(AND(BB$46&gt;=$C$9,BB$46&lt;=$C$41),$C$18*$C$30,0))</f>
        <v/>
      </c>
    </row>
    <row r="66" ht="15" customHeight="1" s="91">
      <c r="B66" s="153" t="inlineStr">
        <is>
          <t>Custody Fee  رسوم الحفظ</t>
        </is>
      </c>
      <c r="C66" s="153" t="inlineStr">
        <is>
          <t>SAR</t>
        </is>
      </c>
      <c r="D66" s="160">
        <f>SUM(E66:BB66)</f>
        <v/>
      </c>
      <c r="E66" s="160">
        <f>IF(AND($C$17&gt;0,E$46&gt;=$C$9,E$46&lt;=$C$41),$C$31,0)</f>
        <v/>
      </c>
      <c r="F66" s="160">
        <f>IF(AND($C$17&gt;0,F$46&gt;=$C$9,F$46&lt;=$C$41),$C$31,0)</f>
        <v/>
      </c>
      <c r="G66" s="160">
        <f>IF(AND($C$17&gt;0,G$46&gt;=$C$9,G$46&lt;=$C$41),$C$31,0)</f>
        <v/>
      </c>
      <c r="H66" s="160">
        <f>IF(AND($C$17&gt;0,H$46&gt;=$C$9,H$46&lt;=$C$41),$C$31,0)</f>
        <v/>
      </c>
      <c r="I66" s="160">
        <f>IF(AND($C$17&gt;0,I$46&gt;=$C$9,I$46&lt;=$C$41),$C$31,0)</f>
        <v/>
      </c>
      <c r="J66" s="160">
        <f>IF(AND($C$17&gt;0,J$46&gt;=$C$9,J$46&lt;=$C$41),$C$31,0)</f>
        <v/>
      </c>
      <c r="K66" s="160">
        <f>IF(AND($C$17&gt;0,K$46&gt;=$C$9,K$46&lt;=$C$41),$C$31,0)</f>
        <v/>
      </c>
      <c r="L66" s="160">
        <f>IF(AND($C$17&gt;0,L$46&gt;=$C$9,L$46&lt;=$C$41),$C$31,0)</f>
        <v/>
      </c>
      <c r="M66" s="160">
        <f>IF(AND($C$17&gt;0,M$46&gt;=$C$9,M$46&lt;=$C$41),$C$31,0)</f>
        <v/>
      </c>
      <c r="N66" s="160">
        <f>IF(AND($C$17&gt;0,N$46&gt;=$C$9,N$46&lt;=$C$41),$C$31,0)</f>
        <v/>
      </c>
      <c r="O66" s="160">
        <f>IF(AND($C$17&gt;0,O$46&gt;=$C$9,O$46&lt;=$C$41),$C$31,0)</f>
        <v/>
      </c>
      <c r="P66" s="160">
        <f>IF(AND($C$17&gt;0,P$46&gt;=$C$9,P$46&lt;=$C$41),$C$31,0)</f>
        <v/>
      </c>
      <c r="Q66" s="160">
        <f>IF(AND($C$17&gt;0,Q$46&gt;=$C$9,Q$46&lt;=$C$41),$C$31,0)</f>
        <v/>
      </c>
      <c r="R66" s="160">
        <f>IF(AND($C$17&gt;0,R$46&gt;=$C$9,R$46&lt;=$C$41),$C$31,0)</f>
        <v/>
      </c>
      <c r="S66" s="160">
        <f>IF(AND($C$17&gt;0,S$46&gt;=$C$9,S$46&lt;=$C$41),$C$31,0)</f>
        <v/>
      </c>
      <c r="T66" s="160">
        <f>IF(AND($C$17&gt;0,T$46&gt;=$C$9,T$46&lt;=$C$41),$C$31,0)</f>
        <v/>
      </c>
      <c r="U66" s="160">
        <f>IF(AND($C$17&gt;0,U$46&gt;=$C$9,U$46&lt;=$C$41),$C$31,0)</f>
        <v/>
      </c>
      <c r="V66" s="160">
        <f>IF(AND($C$17&gt;0,V$46&gt;=$C$9,V$46&lt;=$C$41),$C$31,0)</f>
        <v/>
      </c>
      <c r="W66" s="160">
        <f>IF(AND($C$17&gt;0,W$46&gt;=$C$9,W$46&lt;=$C$41),$C$31,0)</f>
        <v/>
      </c>
      <c r="X66" s="160">
        <f>IF(AND($C$17&gt;0,X$46&gt;=$C$9,X$46&lt;=$C$41),$C$31,0)</f>
        <v/>
      </c>
      <c r="Y66" s="160">
        <f>IF(AND($C$17&gt;0,Y$46&gt;=$C$9,Y$46&lt;=$C$41),$C$31,0)</f>
        <v/>
      </c>
      <c r="Z66" s="160">
        <f>IF(AND($C$17&gt;0,Z$46&gt;=$C$9,Z$46&lt;=$C$41),$C$31,0)</f>
        <v/>
      </c>
      <c r="AA66" s="160">
        <f>IF(AND($C$17&gt;0,AA$46&gt;=$C$9,AA$46&lt;=$C$41),$C$31,0)</f>
        <v/>
      </c>
      <c r="AB66" s="160">
        <f>IF(AND($C$17&gt;0,AB$46&gt;=$C$9,AB$46&lt;=$C$41),$C$31,0)</f>
        <v/>
      </c>
      <c r="AC66" s="160">
        <f>IF(AND($C$17&gt;0,AC$46&gt;=$C$9,AC$46&lt;=$C$41),$C$31,0)</f>
        <v/>
      </c>
      <c r="AD66" s="160">
        <f>IF(AND($C$17&gt;0,AD$46&gt;=$C$9,AD$46&lt;=$C$41),$C$31,0)</f>
        <v/>
      </c>
      <c r="AE66" s="160">
        <f>IF(AND($C$17&gt;0,AE$46&gt;=$C$9,AE$46&lt;=$C$41),$C$31,0)</f>
        <v/>
      </c>
      <c r="AF66" s="160">
        <f>IF(AND($C$17&gt;0,AF$46&gt;=$C$9,AF$46&lt;=$C$41),$C$31,0)</f>
        <v/>
      </c>
      <c r="AG66" s="160">
        <f>IF(AND($C$17&gt;0,AG$46&gt;=$C$9,AG$46&lt;=$C$41),$C$31,0)</f>
        <v/>
      </c>
      <c r="AH66" s="160">
        <f>IF(AND($C$17&gt;0,AH$46&gt;=$C$9,AH$46&lt;=$C$41),$C$31,0)</f>
        <v/>
      </c>
      <c r="AI66" s="160">
        <f>IF(AND($C$17&gt;0,AI$46&gt;=$C$9,AI$46&lt;=$C$41),$C$31,0)</f>
        <v/>
      </c>
      <c r="AJ66" s="160">
        <f>IF(AND($C$17&gt;0,AJ$46&gt;=$C$9,AJ$46&lt;=$C$41),$C$31,0)</f>
        <v/>
      </c>
      <c r="AK66" s="160">
        <f>IF(AND($C$17&gt;0,AK$46&gt;=$C$9,AK$46&lt;=$C$41),$C$31,0)</f>
        <v/>
      </c>
      <c r="AL66" s="160">
        <f>IF(AND($C$17&gt;0,AL$46&gt;=$C$9,AL$46&lt;=$C$41),$C$31,0)</f>
        <v/>
      </c>
      <c r="AM66" s="160">
        <f>IF(AND($C$17&gt;0,AM$46&gt;=$C$9,AM$46&lt;=$C$41),$C$31,0)</f>
        <v/>
      </c>
      <c r="AN66" s="160">
        <f>IF(AND($C$17&gt;0,AN$46&gt;=$C$9,AN$46&lt;=$C$41),$C$31,0)</f>
        <v/>
      </c>
      <c r="AO66" s="160">
        <f>IF(AND($C$17&gt;0,AO$46&gt;=$C$9,AO$46&lt;=$C$41),$C$31,0)</f>
        <v/>
      </c>
      <c r="AP66" s="160">
        <f>IF(AND($C$17&gt;0,AP$46&gt;=$C$9,AP$46&lt;=$C$41),$C$31,0)</f>
        <v/>
      </c>
      <c r="AQ66" s="160">
        <f>IF(AND($C$17&gt;0,AQ$46&gt;=$C$9,AQ$46&lt;=$C$41),$C$31,0)</f>
        <v/>
      </c>
      <c r="AR66" s="160">
        <f>IF(AND($C$17&gt;0,AR$46&gt;=$C$9,AR$46&lt;=$C$41),$C$31,0)</f>
        <v/>
      </c>
      <c r="AS66" s="160">
        <f>IF(AND($C$17&gt;0,AS$46&gt;=$C$9,AS$46&lt;=$C$41),$C$31,0)</f>
        <v/>
      </c>
      <c r="AT66" s="160">
        <f>IF(AND($C$17&gt;0,AT$46&gt;=$C$9,AT$46&lt;=$C$41),$C$31,0)</f>
        <v/>
      </c>
      <c r="AU66" s="160">
        <f>IF(AND($C$17&gt;0,AU$46&gt;=$C$9,AU$46&lt;=$C$41),$C$31,0)</f>
        <v/>
      </c>
      <c r="AV66" s="160">
        <f>IF(AND($C$17&gt;0,AV$46&gt;=$C$9,AV$46&lt;=$C$41),$C$31,0)</f>
        <v/>
      </c>
      <c r="AW66" s="160">
        <f>IF(AND($C$17&gt;0,AW$46&gt;=$C$9,AW$46&lt;=$C$41),$C$31,0)</f>
        <v/>
      </c>
      <c r="AX66" s="160">
        <f>IF(AND($C$17&gt;0,AX$46&gt;=$C$9,AX$46&lt;=$C$41),$C$31,0)</f>
        <v/>
      </c>
      <c r="AY66" s="160">
        <f>IF(AND($C$17&gt;0,AY$46&gt;=$C$9,AY$46&lt;=$C$41),$C$31,0)</f>
        <v/>
      </c>
      <c r="AZ66" s="160">
        <f>IF(AND($C$17&gt;0,AZ$46&gt;=$C$9,AZ$46&lt;=$C$41),$C$31,0)</f>
        <v/>
      </c>
      <c r="BA66" s="160">
        <f>IF(AND($C$17&gt;0,BA$46&gt;=$C$9,BA$46&lt;=$C$41),$C$31,0)</f>
        <v/>
      </c>
      <c r="BB66" s="160">
        <f>IF(AND($C$17&gt;0,BB$46&gt;=$C$9,BB$46&lt;=$C$41),$C$31,0)</f>
        <v/>
      </c>
    </row>
    <row r="67" ht="15" customHeight="1" s="91">
      <c r="B67" s="153" t="inlineStr">
        <is>
          <t>Developer Fee  رسوم المطور</t>
        </is>
      </c>
      <c r="C67" s="153" t="inlineStr">
        <is>
          <t>SAR</t>
        </is>
      </c>
      <c r="D67" s="160">
        <f>SUM(E67:BB67)</f>
        <v/>
      </c>
      <c r="E67" s="160">
        <f>IF(AND(E49&lt;0,E$46&gt;=$C$9,E$46&lt;=$C$41),ABS(E49)*$C$32,0)</f>
        <v/>
      </c>
      <c r="F67" s="160">
        <f>IF(AND(F49&lt;0,F$46&gt;=$C$9,F$46&lt;=$C$41),ABS(F49)*$C$32,0)</f>
        <v/>
      </c>
      <c r="G67" s="160">
        <f>IF(AND(G49&lt;0,G$46&gt;=$C$9,G$46&lt;=$C$41),ABS(G49)*$C$32,0)</f>
        <v/>
      </c>
      <c r="H67" s="160">
        <f>IF(AND(H49&lt;0,H$46&gt;=$C$9,H$46&lt;=$C$41),ABS(H49)*$C$32,0)</f>
        <v/>
      </c>
      <c r="I67" s="160">
        <f>IF(AND(I49&lt;0,I$46&gt;=$C$9,I$46&lt;=$C$41),ABS(I49)*$C$32,0)</f>
        <v/>
      </c>
      <c r="J67" s="160">
        <f>IF(AND(J49&lt;0,J$46&gt;=$C$9,J$46&lt;=$C$41),ABS(J49)*$C$32,0)</f>
        <v/>
      </c>
      <c r="K67" s="160">
        <f>IF(AND(K49&lt;0,K$46&gt;=$C$9,K$46&lt;=$C$41),ABS(K49)*$C$32,0)</f>
        <v/>
      </c>
      <c r="L67" s="160">
        <f>IF(AND(L49&lt;0,L$46&gt;=$C$9,L$46&lt;=$C$41),ABS(L49)*$C$32,0)</f>
        <v/>
      </c>
      <c r="M67" s="160">
        <f>IF(AND(M49&lt;0,M$46&gt;=$C$9,M$46&lt;=$C$41),ABS(M49)*$C$32,0)</f>
        <v/>
      </c>
      <c r="N67" s="160">
        <f>IF(AND(N49&lt;0,N$46&gt;=$C$9,N$46&lt;=$C$41),ABS(N49)*$C$32,0)</f>
        <v/>
      </c>
      <c r="O67" s="160">
        <f>IF(AND(O49&lt;0,O$46&gt;=$C$9,O$46&lt;=$C$41),ABS(O49)*$C$32,0)</f>
        <v/>
      </c>
      <c r="P67" s="160">
        <f>IF(AND(P49&lt;0,P$46&gt;=$C$9,P$46&lt;=$C$41),ABS(P49)*$C$32,0)</f>
        <v/>
      </c>
      <c r="Q67" s="160">
        <f>IF(AND(Q49&lt;0,Q$46&gt;=$C$9,Q$46&lt;=$C$41),ABS(Q49)*$C$32,0)</f>
        <v/>
      </c>
      <c r="R67" s="160">
        <f>IF(AND(R49&lt;0,R$46&gt;=$C$9,R$46&lt;=$C$41),ABS(R49)*$C$32,0)</f>
        <v/>
      </c>
      <c r="S67" s="160">
        <f>IF(AND(S49&lt;0,S$46&gt;=$C$9,S$46&lt;=$C$41),ABS(S49)*$C$32,0)</f>
        <v/>
      </c>
      <c r="T67" s="160">
        <f>IF(AND(T49&lt;0,T$46&gt;=$C$9,T$46&lt;=$C$41),ABS(T49)*$C$32,0)</f>
        <v/>
      </c>
      <c r="U67" s="160">
        <f>IF(AND(U49&lt;0,U$46&gt;=$C$9,U$46&lt;=$C$41),ABS(U49)*$C$32,0)</f>
        <v/>
      </c>
      <c r="V67" s="160">
        <f>IF(AND(V49&lt;0,V$46&gt;=$C$9,V$46&lt;=$C$41),ABS(V49)*$C$32,0)</f>
        <v/>
      </c>
      <c r="W67" s="160">
        <f>IF(AND(W49&lt;0,W$46&gt;=$C$9,W$46&lt;=$C$41),ABS(W49)*$C$32,0)</f>
        <v/>
      </c>
      <c r="X67" s="160">
        <f>IF(AND(X49&lt;0,X$46&gt;=$C$9,X$46&lt;=$C$41),ABS(X49)*$C$32,0)</f>
        <v/>
      </c>
      <c r="Y67" s="160">
        <f>IF(AND(Y49&lt;0,Y$46&gt;=$C$9,Y$46&lt;=$C$41),ABS(Y49)*$C$32,0)</f>
        <v/>
      </c>
      <c r="Z67" s="160">
        <f>IF(AND(Z49&lt;0,Z$46&gt;=$C$9,Z$46&lt;=$C$41),ABS(Z49)*$C$32,0)</f>
        <v/>
      </c>
      <c r="AA67" s="160">
        <f>IF(AND(AA49&lt;0,AA$46&gt;=$C$9,AA$46&lt;=$C$41),ABS(AA49)*$C$32,0)</f>
        <v/>
      </c>
      <c r="AB67" s="160">
        <f>IF(AND(AB49&lt;0,AB$46&gt;=$C$9,AB$46&lt;=$C$41),ABS(AB49)*$C$32,0)</f>
        <v/>
      </c>
      <c r="AC67" s="160">
        <f>IF(AND(AC49&lt;0,AC$46&gt;=$C$9,AC$46&lt;=$C$41),ABS(AC49)*$C$32,0)</f>
        <v/>
      </c>
      <c r="AD67" s="160">
        <f>IF(AND(AD49&lt;0,AD$46&gt;=$C$9,AD$46&lt;=$C$41),ABS(AD49)*$C$32,0)</f>
        <v/>
      </c>
      <c r="AE67" s="160">
        <f>IF(AND(AE49&lt;0,AE$46&gt;=$C$9,AE$46&lt;=$C$41),ABS(AE49)*$C$32,0)</f>
        <v/>
      </c>
      <c r="AF67" s="160">
        <f>IF(AND(AF49&lt;0,AF$46&gt;=$C$9,AF$46&lt;=$C$41),ABS(AF49)*$C$32,0)</f>
        <v/>
      </c>
      <c r="AG67" s="160">
        <f>IF(AND(AG49&lt;0,AG$46&gt;=$C$9,AG$46&lt;=$C$41),ABS(AG49)*$C$32,0)</f>
        <v/>
      </c>
      <c r="AH67" s="160">
        <f>IF(AND(AH49&lt;0,AH$46&gt;=$C$9,AH$46&lt;=$C$41),ABS(AH49)*$C$32,0)</f>
        <v/>
      </c>
      <c r="AI67" s="160">
        <f>IF(AND(AI49&lt;0,AI$46&gt;=$C$9,AI$46&lt;=$C$41),ABS(AI49)*$C$32,0)</f>
        <v/>
      </c>
      <c r="AJ67" s="160">
        <f>IF(AND(AJ49&lt;0,AJ$46&gt;=$C$9,AJ$46&lt;=$C$41),ABS(AJ49)*$C$32,0)</f>
        <v/>
      </c>
      <c r="AK67" s="160">
        <f>IF(AND(AK49&lt;0,AK$46&gt;=$C$9,AK$46&lt;=$C$41),ABS(AK49)*$C$32,0)</f>
        <v/>
      </c>
      <c r="AL67" s="160">
        <f>IF(AND(AL49&lt;0,AL$46&gt;=$C$9,AL$46&lt;=$C$41),ABS(AL49)*$C$32,0)</f>
        <v/>
      </c>
      <c r="AM67" s="160">
        <f>IF(AND(AM49&lt;0,AM$46&gt;=$C$9,AM$46&lt;=$C$41),ABS(AM49)*$C$32,0)</f>
        <v/>
      </c>
      <c r="AN67" s="160">
        <f>IF(AND(AN49&lt;0,AN$46&gt;=$C$9,AN$46&lt;=$C$41),ABS(AN49)*$C$32,0)</f>
        <v/>
      </c>
      <c r="AO67" s="160">
        <f>IF(AND(AO49&lt;0,AO$46&gt;=$C$9,AO$46&lt;=$C$41),ABS(AO49)*$C$32,0)</f>
        <v/>
      </c>
      <c r="AP67" s="160">
        <f>IF(AND(AP49&lt;0,AP$46&gt;=$C$9,AP$46&lt;=$C$41),ABS(AP49)*$C$32,0)</f>
        <v/>
      </c>
      <c r="AQ67" s="160">
        <f>IF(AND(AQ49&lt;0,AQ$46&gt;=$C$9,AQ$46&lt;=$C$41),ABS(AQ49)*$C$32,0)</f>
        <v/>
      </c>
      <c r="AR67" s="160">
        <f>IF(AND(AR49&lt;0,AR$46&gt;=$C$9,AR$46&lt;=$C$41),ABS(AR49)*$C$32,0)</f>
        <v/>
      </c>
      <c r="AS67" s="160">
        <f>IF(AND(AS49&lt;0,AS$46&gt;=$C$9,AS$46&lt;=$C$41),ABS(AS49)*$C$32,0)</f>
        <v/>
      </c>
      <c r="AT67" s="160">
        <f>IF(AND(AT49&lt;0,AT$46&gt;=$C$9,AT$46&lt;=$C$41),ABS(AT49)*$C$32,0)</f>
        <v/>
      </c>
      <c r="AU67" s="160">
        <f>IF(AND(AU49&lt;0,AU$46&gt;=$C$9,AU$46&lt;=$C$41),ABS(AU49)*$C$32,0)</f>
        <v/>
      </c>
      <c r="AV67" s="160">
        <f>IF(AND(AV49&lt;0,AV$46&gt;=$C$9,AV$46&lt;=$C$41),ABS(AV49)*$C$32,0)</f>
        <v/>
      </c>
      <c r="AW67" s="160">
        <f>IF(AND(AW49&lt;0,AW$46&gt;=$C$9,AW$46&lt;=$C$41),ABS(AW49)*$C$32,0)</f>
        <v/>
      </c>
      <c r="AX67" s="160">
        <f>IF(AND(AX49&lt;0,AX$46&gt;=$C$9,AX$46&lt;=$C$41),ABS(AX49)*$C$32,0)</f>
        <v/>
      </c>
      <c r="AY67" s="160">
        <f>IF(AND(AY49&lt;0,AY$46&gt;=$C$9,AY$46&lt;=$C$41),ABS(AY49)*$C$32,0)</f>
        <v/>
      </c>
      <c r="AZ67" s="160">
        <f>IF(AND(AZ49&lt;0,AZ$46&gt;=$C$9,AZ$46&lt;=$C$41),ABS(AZ49)*$C$32,0)</f>
        <v/>
      </c>
      <c r="BA67" s="160">
        <f>IF(AND(BA49&lt;0,BA$46&gt;=$C$9,BA$46&lt;=$C$41),ABS(BA49)*$C$32,0)</f>
        <v/>
      </c>
      <c r="BB67" s="160">
        <f>IF(AND(BB49&lt;0,BB$46&gt;=$C$9,BB$46&lt;=$C$41),ABS(BB49)*$C$32,0)</f>
        <v/>
      </c>
    </row>
    <row r="68" ht="15" customHeight="1" s="91">
      <c r="B68" s="153" t="inlineStr">
        <is>
          <t>Structuring Fee  رسوم الهيكلة</t>
        </is>
      </c>
      <c r="C68" s="153" t="inlineStr">
        <is>
          <t>SAR</t>
        </is>
      </c>
      <c r="D68" s="160">
        <f>SUM(E68:BB68)</f>
        <v/>
      </c>
      <c r="E68" s="160">
        <f>IF(E$46=$C$9,MIN(Inputs!F$143,ABS($D$49)*$C$33),0)</f>
        <v/>
      </c>
      <c r="F68" s="160">
        <f>IF(F$46=$C$9,MIN(Inputs!F$143,ABS($D$49)*$C$33),0)</f>
        <v/>
      </c>
      <c r="G68" s="160">
        <f>IF(G$46=$C$9,MIN(Inputs!F$143,ABS($D$49)*$C$33),0)</f>
        <v/>
      </c>
      <c r="H68" s="160">
        <f>IF(H$46=$C$9,MIN(Inputs!F$143,ABS($D$49)*$C$33),0)</f>
        <v/>
      </c>
      <c r="I68" s="160">
        <f>IF(I$46=$C$9,MIN(Inputs!F$143,ABS($D$49)*$C$33),0)</f>
        <v/>
      </c>
      <c r="J68" s="160">
        <f>IF(J$46=$C$9,MIN(Inputs!F$143,ABS($D$49)*$C$33),0)</f>
        <v/>
      </c>
      <c r="K68" s="160">
        <f>IF(K$46=$C$9,MIN(Inputs!F$143,ABS($D$49)*$C$33),0)</f>
        <v/>
      </c>
      <c r="L68" s="160">
        <f>IF(L$46=$C$9,MIN(Inputs!F$143,ABS($D$49)*$C$33),0)</f>
        <v/>
      </c>
      <c r="M68" s="160">
        <f>IF(M$46=$C$9,MIN(Inputs!F$143,ABS($D$49)*$C$33),0)</f>
        <v/>
      </c>
      <c r="N68" s="160">
        <f>IF(N$46=$C$9,MIN(Inputs!F$143,ABS($D$49)*$C$33),0)</f>
        <v/>
      </c>
      <c r="O68" s="160">
        <f>IF(O$46=$C$9,MIN(Inputs!F$143,ABS($D$49)*$C$33),0)</f>
        <v/>
      </c>
      <c r="P68" s="160">
        <f>IF(P$46=$C$9,MIN(Inputs!F$143,ABS($D$49)*$C$33),0)</f>
        <v/>
      </c>
      <c r="Q68" s="160">
        <f>IF(Q$46=$C$9,MIN(Inputs!F$143,ABS($D$49)*$C$33),0)</f>
        <v/>
      </c>
      <c r="R68" s="160">
        <f>IF(R$46=$C$9,MIN(Inputs!F$143,ABS($D$49)*$C$33),0)</f>
        <v/>
      </c>
      <c r="S68" s="160">
        <f>IF(S$46=$C$9,MIN(Inputs!F$143,ABS($D$49)*$C$33),0)</f>
        <v/>
      </c>
      <c r="T68" s="160">
        <f>IF(T$46=$C$9,MIN(Inputs!F$143,ABS($D$49)*$C$33),0)</f>
        <v/>
      </c>
      <c r="U68" s="160">
        <f>IF(U$46=$C$9,MIN(Inputs!F$143,ABS($D$49)*$C$33),0)</f>
        <v/>
      </c>
      <c r="V68" s="160">
        <f>IF(V$46=$C$9,MIN(Inputs!F$143,ABS($D$49)*$C$33),0)</f>
        <v/>
      </c>
      <c r="W68" s="160">
        <f>IF(W$46=$C$9,MIN(Inputs!F$143,ABS($D$49)*$C$33),0)</f>
        <v/>
      </c>
      <c r="X68" s="160">
        <f>IF(X$46=$C$9,MIN(Inputs!F$143,ABS($D$49)*$C$33),0)</f>
        <v/>
      </c>
      <c r="Y68" s="160">
        <f>IF(Y$46=$C$9,MIN(Inputs!F$143,ABS($D$49)*$C$33),0)</f>
        <v/>
      </c>
      <c r="Z68" s="160">
        <f>IF(Z$46=$C$9,MIN(Inputs!F$143,ABS($D$49)*$C$33),0)</f>
        <v/>
      </c>
      <c r="AA68" s="160">
        <f>IF(AA$46=$C$9,MIN(Inputs!F$143,ABS($D$49)*$C$33),0)</f>
        <v/>
      </c>
      <c r="AB68" s="160">
        <f>IF(AB$46=$C$9,MIN(Inputs!F$143,ABS($D$49)*$C$33),0)</f>
        <v/>
      </c>
      <c r="AC68" s="160">
        <f>IF(AC$46=$C$9,MIN(Inputs!F$143,ABS($D$49)*$C$33),0)</f>
        <v/>
      </c>
      <c r="AD68" s="160">
        <f>IF(AD$46=$C$9,MIN(Inputs!F$143,ABS($D$49)*$C$33),0)</f>
        <v/>
      </c>
      <c r="AE68" s="160">
        <f>IF(AE$46=$C$9,MIN(Inputs!F$143,ABS($D$49)*$C$33),0)</f>
        <v/>
      </c>
      <c r="AF68" s="160">
        <f>IF(AF$46=$C$9,MIN(Inputs!F$143,ABS($D$49)*$C$33),0)</f>
        <v/>
      </c>
      <c r="AG68" s="160">
        <f>IF(AG$46=$C$9,MIN(Inputs!F$143,ABS($D$49)*$C$33),0)</f>
        <v/>
      </c>
      <c r="AH68" s="160">
        <f>IF(AH$46=$C$9,MIN(Inputs!F$143,ABS($D$49)*$C$33),0)</f>
        <v/>
      </c>
      <c r="AI68" s="160">
        <f>IF(AI$46=$C$9,MIN(Inputs!F$143,ABS($D$49)*$C$33),0)</f>
        <v/>
      </c>
      <c r="AJ68" s="160">
        <f>IF(AJ$46=$C$9,MIN(Inputs!F$143,ABS($D$49)*$C$33),0)</f>
        <v/>
      </c>
      <c r="AK68" s="160">
        <f>IF(AK$46=$C$9,MIN(Inputs!F$143,ABS($D$49)*$C$33),0)</f>
        <v/>
      </c>
      <c r="AL68" s="160">
        <f>IF(AL$46=$C$9,MIN(Inputs!F$143,ABS($D$49)*$C$33),0)</f>
        <v/>
      </c>
      <c r="AM68" s="160">
        <f>IF(AM$46=$C$9,MIN(Inputs!F$143,ABS($D$49)*$C$33),0)</f>
        <v/>
      </c>
      <c r="AN68" s="160">
        <f>IF(AN$46=$C$9,MIN(Inputs!F$143,ABS($D$49)*$C$33),0)</f>
        <v/>
      </c>
      <c r="AO68" s="160">
        <f>IF(AO$46=$C$9,MIN(Inputs!F$143,ABS($D$49)*$C$33),0)</f>
        <v/>
      </c>
      <c r="AP68" s="160">
        <f>IF(AP$46=$C$9,MIN(Inputs!F$143,ABS($D$49)*$C$33),0)</f>
        <v/>
      </c>
      <c r="AQ68" s="160">
        <f>IF(AQ$46=$C$9,MIN(Inputs!F$143,ABS($D$49)*$C$33),0)</f>
        <v/>
      </c>
      <c r="AR68" s="160">
        <f>IF(AR$46=$C$9,MIN(Inputs!F$143,ABS($D$49)*$C$33),0)</f>
        <v/>
      </c>
      <c r="AS68" s="160">
        <f>IF(AS$46=$C$9,MIN(Inputs!F$143,ABS($D$49)*$C$33),0)</f>
        <v/>
      </c>
      <c r="AT68" s="160">
        <f>IF(AT$46=$C$9,MIN(Inputs!F$143,ABS($D$49)*$C$33),0)</f>
        <v/>
      </c>
      <c r="AU68" s="160">
        <f>IF(AU$46=$C$9,MIN(Inputs!F$143,ABS($D$49)*$C$33),0)</f>
        <v/>
      </c>
      <c r="AV68" s="160">
        <f>IF(AV$46=$C$9,MIN(Inputs!F$143,ABS($D$49)*$C$33),0)</f>
        <v/>
      </c>
      <c r="AW68" s="160">
        <f>IF(AW$46=$C$9,MIN(Inputs!F$143,ABS($D$49)*$C$33),0)</f>
        <v/>
      </c>
      <c r="AX68" s="160">
        <f>IF(AX$46=$C$9,MIN(Inputs!F$143,ABS($D$49)*$C$33),0)</f>
        <v/>
      </c>
      <c r="AY68" s="160">
        <f>IF(AY$46=$C$9,MIN(Inputs!F$143,ABS($D$49)*$C$33),0)</f>
        <v/>
      </c>
      <c r="AZ68" s="160">
        <f>IF(AZ$46=$C$9,MIN(Inputs!F$143,ABS($D$49)*$C$33),0)</f>
        <v/>
      </c>
      <c r="BA68" s="160">
        <f>IF(BA$46=$C$9,MIN(Inputs!F$143,ABS($D$49)*$C$33),0)</f>
        <v/>
      </c>
      <c r="BB68" s="160">
        <f>IF(BB$46=$C$9,MIN(Inputs!F$143,ABS($D$49)*$C$33),0)</f>
        <v/>
      </c>
    </row>
    <row r="69" ht="15" customHeight="1" s="91">
      <c r="B69" s="110" t="inlineStr">
        <is>
          <t>Total Fees  إجمالي الرسوم</t>
        </is>
      </c>
      <c r="C69" s="153" t="inlineStr">
        <is>
          <t>SAR</t>
        </is>
      </c>
      <c r="D69" s="157">
        <f>SUM(E69:BB69)</f>
        <v/>
      </c>
      <c r="E69" s="157">
        <f>E63+E64+E65+E66+E67+E68</f>
        <v/>
      </c>
      <c r="F69" s="157">
        <f>F63+F64+F65+F66+F67+F68</f>
        <v/>
      </c>
      <c r="G69" s="157">
        <f>G63+G64+G65+G66+G67+G68</f>
        <v/>
      </c>
      <c r="H69" s="157">
        <f>H63+H64+H65+H66+H67+H68</f>
        <v/>
      </c>
      <c r="I69" s="157">
        <f>I63+I64+I65+I66+I67+I68</f>
        <v/>
      </c>
      <c r="J69" s="157">
        <f>J63+J64+J65+J66+J67+J68</f>
        <v/>
      </c>
      <c r="K69" s="157">
        <f>K63+K64+K65+K66+K67+K68</f>
        <v/>
      </c>
      <c r="L69" s="157">
        <f>L63+L64+L65+L66+L67+L68</f>
        <v/>
      </c>
      <c r="M69" s="157">
        <f>M63+M64+M65+M66+M67+M68</f>
        <v/>
      </c>
      <c r="N69" s="157">
        <f>N63+N64+N65+N66+N67+N68</f>
        <v/>
      </c>
      <c r="O69" s="157">
        <f>O63+O64+O65+O66+O67+O68</f>
        <v/>
      </c>
      <c r="P69" s="157">
        <f>P63+P64+P65+P66+P67+P68</f>
        <v/>
      </c>
      <c r="Q69" s="157">
        <f>Q63+Q64+Q65+Q66+Q67+Q68</f>
        <v/>
      </c>
      <c r="R69" s="157">
        <f>R63+R64+R65+R66+R67+R68</f>
        <v/>
      </c>
      <c r="S69" s="157">
        <f>S63+S64+S65+S66+S67+S68</f>
        <v/>
      </c>
      <c r="T69" s="157">
        <f>T63+T64+T65+T66+T67+T68</f>
        <v/>
      </c>
      <c r="U69" s="157">
        <f>U63+U64+U65+U66+U67+U68</f>
        <v/>
      </c>
      <c r="V69" s="157">
        <f>V63+V64+V65+V66+V67+V68</f>
        <v/>
      </c>
      <c r="W69" s="157">
        <f>W63+W64+W65+W66+W67+W68</f>
        <v/>
      </c>
      <c r="X69" s="157">
        <f>X63+X64+X65+X66+X67+X68</f>
        <v/>
      </c>
      <c r="Y69" s="157">
        <f>Y63+Y64+Y65+Y66+Y67+Y68</f>
        <v/>
      </c>
      <c r="Z69" s="157">
        <f>Z63+Z64+Z65+Z66+Z67+Z68</f>
        <v/>
      </c>
      <c r="AA69" s="157">
        <f>AA63+AA64+AA65+AA66+AA67+AA68</f>
        <v/>
      </c>
      <c r="AB69" s="157">
        <f>AB63+AB64+AB65+AB66+AB67+AB68</f>
        <v/>
      </c>
      <c r="AC69" s="157">
        <f>AC63+AC64+AC65+AC66+AC67+AC68</f>
        <v/>
      </c>
      <c r="AD69" s="157">
        <f>AD63+AD64+AD65+AD66+AD67+AD68</f>
        <v/>
      </c>
      <c r="AE69" s="157">
        <f>AE63+AE64+AE65+AE66+AE67+AE68</f>
        <v/>
      </c>
      <c r="AF69" s="157">
        <f>AF63+AF64+AF65+AF66+AF67+AF68</f>
        <v/>
      </c>
      <c r="AG69" s="157">
        <f>AG63+AG64+AG65+AG66+AG67+AG68</f>
        <v/>
      </c>
      <c r="AH69" s="157">
        <f>AH63+AH64+AH65+AH66+AH67+AH68</f>
        <v/>
      </c>
      <c r="AI69" s="157">
        <f>AI63+AI64+AI65+AI66+AI67+AI68</f>
        <v/>
      </c>
      <c r="AJ69" s="157">
        <f>AJ63+AJ64+AJ65+AJ66+AJ67+AJ68</f>
        <v/>
      </c>
      <c r="AK69" s="157">
        <f>AK63+AK64+AK65+AK66+AK67+AK68</f>
        <v/>
      </c>
      <c r="AL69" s="157">
        <f>AL63+AL64+AL65+AL66+AL67+AL68</f>
        <v/>
      </c>
      <c r="AM69" s="157">
        <f>AM63+AM64+AM65+AM66+AM67+AM68</f>
        <v/>
      </c>
      <c r="AN69" s="157">
        <f>AN63+AN64+AN65+AN66+AN67+AN68</f>
        <v/>
      </c>
      <c r="AO69" s="157">
        <f>AO63+AO64+AO65+AO66+AO67+AO68</f>
        <v/>
      </c>
      <c r="AP69" s="157">
        <f>AP63+AP64+AP65+AP66+AP67+AP68</f>
        <v/>
      </c>
      <c r="AQ69" s="157">
        <f>AQ63+AQ64+AQ65+AQ66+AQ67+AQ68</f>
        <v/>
      </c>
      <c r="AR69" s="157">
        <f>AR63+AR64+AR65+AR66+AR67+AR68</f>
        <v/>
      </c>
      <c r="AS69" s="157">
        <f>AS63+AS64+AS65+AS66+AS67+AS68</f>
        <v/>
      </c>
      <c r="AT69" s="157">
        <f>AT63+AT64+AT65+AT66+AT67+AT68</f>
        <v/>
      </c>
      <c r="AU69" s="157">
        <f>AU63+AU64+AU65+AU66+AU67+AU68</f>
        <v/>
      </c>
      <c r="AV69" s="157">
        <f>AV63+AV64+AV65+AV66+AV67+AV68</f>
        <v/>
      </c>
      <c r="AW69" s="157">
        <f>AW63+AW64+AW65+AW66+AW67+AW68</f>
        <v/>
      </c>
      <c r="AX69" s="157">
        <f>AX63+AX64+AX65+AX66+AX67+AX68</f>
        <v/>
      </c>
      <c r="AY69" s="157">
        <f>AY63+AY64+AY65+AY66+AY67+AY68</f>
        <v/>
      </c>
      <c r="AZ69" s="157">
        <f>AZ63+AZ64+AZ65+AZ66+AZ67+AZ68</f>
        <v/>
      </c>
      <c r="BA69" s="157">
        <f>BA63+BA64+BA65+BA66+BA67+BA68</f>
        <v/>
      </c>
      <c r="BB69" s="157">
        <f>BB63+BB64+BB65+BB66+BB67+BB68</f>
        <v/>
      </c>
    </row>
    <row r="70" ht="15" customHeight="1" s="91">
      <c r="B70" s="153" t="inlineStr">
        <is>
          <t>Unfunded Fees (Equity-Funded)  الرسوم الممولة من الإكوتي</t>
        </is>
      </c>
      <c r="C70" s="153" t="inlineStr">
        <is>
          <t>SAR</t>
        </is>
      </c>
      <c r="D70" s="160">
        <f>SUM(E70:BB70)</f>
        <v/>
      </c>
      <c r="E70" s="160">
        <f>MAX(0,E69-MAX(0,IF(E$46&lt;=$C$41,E50,0)+E62+E51))</f>
        <v/>
      </c>
      <c r="F70" s="160">
        <f>MAX(0,F69-MAX(0,IF(F$46&lt;=$C$41,F50,0)+F62+F51))</f>
        <v/>
      </c>
      <c r="G70" s="160">
        <f>MAX(0,G69-MAX(0,IF(G$46&lt;=$C$41,G50,0)+G62+G51))</f>
        <v/>
      </c>
      <c r="H70" s="160">
        <f>MAX(0,H69-MAX(0,IF(H$46&lt;=$C$41,H50,0)+H62+H51))</f>
        <v/>
      </c>
      <c r="I70" s="160">
        <f>MAX(0,I69-MAX(0,IF(I$46&lt;=$C$41,I50,0)+I62+I51))</f>
        <v/>
      </c>
      <c r="J70" s="160">
        <f>MAX(0,J69-MAX(0,IF(J$46&lt;=$C$41,J50,0)+J62+J51))</f>
        <v/>
      </c>
      <c r="K70" s="160">
        <f>MAX(0,K69-MAX(0,IF(K$46&lt;=$C$41,K50,0)+K62+K51))</f>
        <v/>
      </c>
      <c r="L70" s="160">
        <f>MAX(0,L69-MAX(0,IF(L$46&lt;=$C$41,L50,0)+L62+L51))</f>
        <v/>
      </c>
      <c r="M70" s="160">
        <f>MAX(0,M69-MAX(0,IF(M$46&lt;=$C$41,M50,0)+M62+M51))</f>
        <v/>
      </c>
      <c r="N70" s="160">
        <f>MAX(0,N69-MAX(0,IF(N$46&lt;=$C$41,N50,0)+N62+N51))</f>
        <v/>
      </c>
      <c r="O70" s="160">
        <f>MAX(0,O69-MAX(0,IF(O$46&lt;=$C$41,O50,0)+O62+O51))</f>
        <v/>
      </c>
      <c r="P70" s="160">
        <f>MAX(0,P69-MAX(0,IF(P$46&lt;=$C$41,P50,0)+P62+P51))</f>
        <v/>
      </c>
      <c r="Q70" s="160">
        <f>MAX(0,Q69-MAX(0,IF(Q$46&lt;=$C$41,Q50,0)+Q62+Q51))</f>
        <v/>
      </c>
      <c r="R70" s="160">
        <f>MAX(0,R69-MAX(0,IF(R$46&lt;=$C$41,R50,0)+R62+R51))</f>
        <v/>
      </c>
      <c r="S70" s="160">
        <f>MAX(0,S69-MAX(0,IF(S$46&lt;=$C$41,S50,0)+S62+S51))</f>
        <v/>
      </c>
      <c r="T70" s="160">
        <f>MAX(0,T69-MAX(0,IF(T$46&lt;=$C$41,T50,0)+T62+T51))</f>
        <v/>
      </c>
      <c r="U70" s="160">
        <f>MAX(0,U69-MAX(0,IF(U$46&lt;=$C$41,U50,0)+U62+U51))</f>
        <v/>
      </c>
      <c r="V70" s="160">
        <f>MAX(0,V69-MAX(0,IF(V$46&lt;=$C$41,V50,0)+V62+V51))</f>
        <v/>
      </c>
      <c r="W70" s="160">
        <f>MAX(0,W69-MAX(0,IF(W$46&lt;=$C$41,W50,0)+W62+W51))</f>
        <v/>
      </c>
      <c r="X70" s="160">
        <f>MAX(0,X69-MAX(0,IF(X$46&lt;=$C$41,X50,0)+X62+X51))</f>
        <v/>
      </c>
      <c r="Y70" s="160">
        <f>MAX(0,Y69-MAX(0,IF(Y$46&lt;=$C$41,Y50,0)+Y62+Y51))</f>
        <v/>
      </c>
      <c r="Z70" s="160">
        <f>MAX(0,Z69-MAX(0,IF(Z$46&lt;=$C$41,Z50,0)+Z62+Z51))</f>
        <v/>
      </c>
      <c r="AA70" s="160">
        <f>MAX(0,AA69-MAX(0,IF(AA$46&lt;=$C$41,AA50,0)+AA62+AA51))</f>
        <v/>
      </c>
      <c r="AB70" s="160">
        <f>MAX(0,AB69-MAX(0,IF(AB$46&lt;=$C$41,AB50,0)+AB62+AB51))</f>
        <v/>
      </c>
      <c r="AC70" s="160">
        <f>MAX(0,AC69-MAX(0,IF(AC$46&lt;=$C$41,AC50,0)+AC62+AC51))</f>
        <v/>
      </c>
      <c r="AD70" s="160">
        <f>MAX(0,AD69-MAX(0,IF(AD$46&lt;=$C$41,AD50,0)+AD62+AD51))</f>
        <v/>
      </c>
      <c r="AE70" s="160">
        <f>MAX(0,AE69-MAX(0,IF(AE$46&lt;=$C$41,AE50,0)+AE62+AE51))</f>
        <v/>
      </c>
      <c r="AF70" s="160">
        <f>MAX(0,AF69-MAX(0,IF(AF$46&lt;=$C$41,AF50,0)+AF62+AF51))</f>
        <v/>
      </c>
      <c r="AG70" s="160">
        <f>MAX(0,AG69-MAX(0,IF(AG$46&lt;=$C$41,AG50,0)+AG62+AG51))</f>
        <v/>
      </c>
      <c r="AH70" s="160">
        <f>MAX(0,AH69-MAX(0,IF(AH$46&lt;=$C$41,AH50,0)+AH62+AH51))</f>
        <v/>
      </c>
      <c r="AI70" s="160">
        <f>MAX(0,AI69-MAX(0,IF(AI$46&lt;=$C$41,AI50,0)+AI62+AI51))</f>
        <v/>
      </c>
      <c r="AJ70" s="160">
        <f>MAX(0,AJ69-MAX(0,IF(AJ$46&lt;=$C$41,AJ50,0)+AJ62+AJ51))</f>
        <v/>
      </c>
      <c r="AK70" s="160">
        <f>MAX(0,AK69-MAX(0,IF(AK$46&lt;=$C$41,AK50,0)+AK62+AK51))</f>
        <v/>
      </c>
      <c r="AL70" s="160">
        <f>MAX(0,AL69-MAX(0,IF(AL$46&lt;=$C$41,AL50,0)+AL62+AL51))</f>
        <v/>
      </c>
      <c r="AM70" s="160">
        <f>MAX(0,AM69-MAX(0,IF(AM$46&lt;=$C$41,AM50,0)+AM62+AM51))</f>
        <v/>
      </c>
      <c r="AN70" s="160">
        <f>MAX(0,AN69-MAX(0,IF(AN$46&lt;=$C$41,AN50,0)+AN62+AN51))</f>
        <v/>
      </c>
      <c r="AO70" s="160">
        <f>MAX(0,AO69-MAX(0,IF(AO$46&lt;=$C$41,AO50,0)+AO62+AO51))</f>
        <v/>
      </c>
      <c r="AP70" s="160">
        <f>MAX(0,AP69-MAX(0,IF(AP$46&lt;=$C$41,AP50,0)+AP62+AP51))</f>
        <v/>
      </c>
      <c r="AQ70" s="160">
        <f>MAX(0,AQ69-MAX(0,IF(AQ$46&lt;=$C$41,AQ50,0)+AQ62+AQ51))</f>
        <v/>
      </c>
      <c r="AR70" s="160">
        <f>MAX(0,AR69-MAX(0,IF(AR$46&lt;=$C$41,AR50,0)+AR62+AR51))</f>
        <v/>
      </c>
      <c r="AS70" s="160">
        <f>MAX(0,AS69-MAX(0,IF(AS$46&lt;=$C$41,AS50,0)+AS62+AS51))</f>
        <v/>
      </c>
      <c r="AT70" s="160">
        <f>MAX(0,AT69-MAX(0,IF(AT$46&lt;=$C$41,AT50,0)+AT62+AT51))</f>
        <v/>
      </c>
      <c r="AU70" s="160">
        <f>MAX(0,AU69-MAX(0,IF(AU$46&lt;=$C$41,AU50,0)+AU62+AU51))</f>
        <v/>
      </c>
      <c r="AV70" s="160">
        <f>MAX(0,AV69-MAX(0,IF(AV$46&lt;=$C$41,AV50,0)+AV62+AV51))</f>
        <v/>
      </c>
      <c r="AW70" s="160">
        <f>MAX(0,AW69-MAX(0,IF(AW$46&lt;=$C$41,AW50,0)+AW62+AW51))</f>
        <v/>
      </c>
      <c r="AX70" s="160">
        <f>MAX(0,AX69-MAX(0,IF(AX$46&lt;=$C$41,AX50,0)+AX62+AX51))</f>
        <v/>
      </c>
      <c r="AY70" s="160">
        <f>MAX(0,AY69-MAX(0,IF(AY$46&lt;=$C$41,AY50,0)+AY62+AY51))</f>
        <v/>
      </c>
      <c r="AZ70" s="160">
        <f>MAX(0,AZ69-MAX(0,IF(AZ$46&lt;=$C$41,AZ50,0)+AZ62+AZ51))</f>
        <v/>
      </c>
      <c r="BA70" s="160">
        <f>MAX(0,BA69-MAX(0,IF(BA$46&lt;=$C$41,BA50,0)+BA62+BA51))</f>
        <v/>
      </c>
      <c r="BB70" s="160">
        <f>MAX(0,BB69-MAX(0,IF(BB$46&lt;=$C$41,BB50,0)+BB62+BB51))</f>
        <v/>
      </c>
    </row>
    <row r="71" ht="15" customHeight="1" s="91">
      <c r="B71" s="153" t="inlineStr">
        <is>
          <t>Exit Proceeds  حصيلة التخارج</t>
        </is>
      </c>
      <c r="C71" s="153" t="inlineStr">
        <is>
          <t>SAR</t>
        </is>
      </c>
      <c r="D71" s="157">
        <f>SUM(E71:BB71)</f>
        <v/>
      </c>
      <c r="E71" s="160">
        <f>E51</f>
        <v/>
      </c>
      <c r="F71" s="160">
        <f>F51</f>
        <v/>
      </c>
      <c r="G71" s="160">
        <f>G51</f>
        <v/>
      </c>
      <c r="H71" s="160">
        <f>H51</f>
        <v/>
      </c>
      <c r="I71" s="160">
        <f>I51</f>
        <v/>
      </c>
      <c r="J71" s="160">
        <f>J51</f>
        <v/>
      </c>
      <c r="K71" s="160">
        <f>K51</f>
        <v/>
      </c>
      <c r="L71" s="160">
        <f>L51</f>
        <v/>
      </c>
      <c r="M71" s="160">
        <f>M51</f>
        <v/>
      </c>
      <c r="N71" s="160">
        <f>N51</f>
        <v/>
      </c>
      <c r="O71" s="160">
        <f>O51</f>
        <v/>
      </c>
      <c r="P71" s="160">
        <f>P51</f>
        <v/>
      </c>
      <c r="Q71" s="160">
        <f>Q51</f>
        <v/>
      </c>
      <c r="R71" s="160">
        <f>R51</f>
        <v/>
      </c>
      <c r="S71" s="160">
        <f>S51</f>
        <v/>
      </c>
      <c r="T71" s="160">
        <f>T51</f>
        <v/>
      </c>
      <c r="U71" s="160">
        <f>U51</f>
        <v/>
      </c>
      <c r="V71" s="160">
        <f>V51</f>
        <v/>
      </c>
      <c r="W71" s="160">
        <f>W51</f>
        <v/>
      </c>
      <c r="X71" s="160">
        <f>X51</f>
        <v/>
      </c>
      <c r="Y71" s="160">
        <f>Y51</f>
        <v/>
      </c>
      <c r="Z71" s="160">
        <f>Z51</f>
        <v/>
      </c>
      <c r="AA71" s="160">
        <f>AA51</f>
        <v/>
      </c>
      <c r="AB71" s="160">
        <f>AB51</f>
        <v/>
      </c>
      <c r="AC71" s="160">
        <f>AC51</f>
        <v/>
      </c>
      <c r="AD71" s="160">
        <f>AD51</f>
        <v/>
      </c>
      <c r="AE71" s="160">
        <f>AE51</f>
        <v/>
      </c>
      <c r="AF71" s="160">
        <f>AF51</f>
        <v/>
      </c>
      <c r="AG71" s="160">
        <f>AG51</f>
        <v/>
      </c>
      <c r="AH71" s="160">
        <f>AH51</f>
        <v/>
      </c>
      <c r="AI71" s="160">
        <f>AI51</f>
        <v/>
      </c>
      <c r="AJ71" s="160">
        <f>AJ51</f>
        <v/>
      </c>
      <c r="AK71" s="160">
        <f>AK51</f>
        <v/>
      </c>
      <c r="AL71" s="160">
        <f>AL51</f>
        <v/>
      </c>
      <c r="AM71" s="160">
        <f>AM51</f>
        <v/>
      </c>
      <c r="AN71" s="160">
        <f>AN51</f>
        <v/>
      </c>
      <c r="AO71" s="160">
        <f>AO51</f>
        <v/>
      </c>
      <c r="AP71" s="160">
        <f>AP51</f>
        <v/>
      </c>
      <c r="AQ71" s="160">
        <f>AQ51</f>
        <v/>
      </c>
      <c r="AR71" s="160">
        <f>AR51</f>
        <v/>
      </c>
      <c r="AS71" s="160">
        <f>AS51</f>
        <v/>
      </c>
      <c r="AT71" s="160">
        <f>AT51</f>
        <v/>
      </c>
      <c r="AU71" s="160">
        <f>AU51</f>
        <v/>
      </c>
      <c r="AV71" s="160">
        <f>AV51</f>
        <v/>
      </c>
      <c r="AW71" s="160">
        <f>AW51</f>
        <v/>
      </c>
      <c r="AX71" s="160">
        <f>AX51</f>
        <v/>
      </c>
      <c r="AY71" s="160">
        <f>AY51</f>
        <v/>
      </c>
      <c r="AZ71" s="160">
        <f>AZ51</f>
        <v/>
      </c>
      <c r="BA71" s="160">
        <f>BA51</f>
        <v/>
      </c>
      <c r="BB71" s="160">
        <f>BB51</f>
        <v/>
      </c>
    </row>
    <row r="73" ht="15" customHeight="1" s="91">
      <c r="A73" s="152" t="inlineStr">
        <is>
          <t>9  DISTRIBUTIONS &amp; WATERFALL  التوزيعات وشلال الأرباح</t>
        </is>
      </c>
      <c r="B73" s="152" t="n"/>
      <c r="C73" s="152" t="n"/>
      <c r="D73" s="152" t="n"/>
      <c r="E73" s="152" t="n"/>
      <c r="F73" s="152" t="n"/>
      <c r="G73" s="152" t="n"/>
      <c r="H73" s="152" t="n"/>
      <c r="I73" s="152" t="n"/>
      <c r="J73" s="152" t="n"/>
      <c r="K73" s="152" t="n"/>
      <c r="L73" s="152" t="n"/>
      <c r="M73" s="152" t="n"/>
      <c r="N73" s="152" t="n"/>
      <c r="O73" s="152" t="n"/>
      <c r="P73" s="152" t="n"/>
      <c r="Q73" s="152" t="n"/>
      <c r="R73" s="152" t="n"/>
      <c r="S73" s="152" t="n"/>
      <c r="T73" s="152" t="n"/>
      <c r="U73" s="152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  <c r="AD73" s="152" t="n"/>
      <c r="AE73" s="152" t="n"/>
      <c r="AF73" s="152" t="n"/>
      <c r="AG73" s="152" t="n"/>
      <c r="AH73" s="152" t="n"/>
      <c r="AI73" s="152" t="n"/>
      <c r="AJ73" s="152" t="n"/>
      <c r="AK73" s="152" t="n"/>
      <c r="AL73" s="152" t="n"/>
      <c r="AM73" s="152" t="n"/>
      <c r="AN73" s="152" t="n"/>
      <c r="AO73" s="152" t="n"/>
      <c r="AP73" s="152" t="n"/>
      <c r="AQ73" s="152" t="n"/>
      <c r="AR73" s="152" t="n"/>
      <c r="AS73" s="152" t="n"/>
      <c r="AT73" s="152" t="n"/>
      <c r="AU73" s="152" t="n"/>
      <c r="AV73" s="152" t="n"/>
      <c r="AW73" s="152" t="n"/>
      <c r="AX73" s="152" t="n"/>
      <c r="AY73" s="152" t="n"/>
      <c r="AZ73" s="152" t="n"/>
      <c r="BA73" s="152" t="n"/>
      <c r="BB73" s="152" t="n"/>
    </row>
    <row r="74" ht="15" customHeight="1" s="91">
      <c r="C74" s="165" t="inlineStr">
        <is>
          <t>Unit</t>
        </is>
      </c>
      <c r="D74" s="165" t="inlineStr">
        <is>
          <t>Total</t>
        </is>
      </c>
      <c r="E74" s="166">
        <f>E$46</f>
        <v/>
      </c>
      <c r="F74" s="166">
        <f>F$46</f>
        <v/>
      </c>
      <c r="G74" s="166">
        <f>G$46</f>
        <v/>
      </c>
      <c r="H74" s="166">
        <f>H$46</f>
        <v/>
      </c>
      <c r="I74" s="166">
        <f>I$46</f>
        <v/>
      </c>
      <c r="J74" s="166">
        <f>J$46</f>
        <v/>
      </c>
      <c r="K74" s="166">
        <f>K$46</f>
        <v/>
      </c>
      <c r="L74" s="166">
        <f>L$46</f>
        <v/>
      </c>
      <c r="M74" s="166">
        <f>M$46</f>
        <v/>
      </c>
      <c r="N74" s="166">
        <f>N$46</f>
        <v/>
      </c>
      <c r="O74" s="166">
        <f>O$46</f>
        <v/>
      </c>
      <c r="P74" s="166">
        <f>P$46</f>
        <v/>
      </c>
      <c r="Q74" s="166">
        <f>Q$46</f>
        <v/>
      </c>
      <c r="R74" s="166">
        <f>R$46</f>
        <v/>
      </c>
      <c r="S74" s="166">
        <f>S$46</f>
        <v/>
      </c>
      <c r="T74" s="166">
        <f>T$46</f>
        <v/>
      </c>
      <c r="U74" s="166">
        <f>U$46</f>
        <v/>
      </c>
      <c r="V74" s="166">
        <f>V$46</f>
        <v/>
      </c>
      <c r="W74" s="166">
        <f>W$46</f>
        <v/>
      </c>
      <c r="X74" s="166">
        <f>X$46</f>
        <v/>
      </c>
      <c r="Y74" s="166">
        <f>Y$46</f>
        <v/>
      </c>
      <c r="Z74" s="166">
        <f>Z$46</f>
        <v/>
      </c>
      <c r="AA74" s="166">
        <f>AA$46</f>
        <v/>
      </c>
      <c r="AB74" s="166">
        <f>AB$46</f>
        <v/>
      </c>
      <c r="AC74" s="166">
        <f>AC$46</f>
        <v/>
      </c>
      <c r="AD74" s="166">
        <f>AD$46</f>
        <v/>
      </c>
      <c r="AE74" s="166">
        <f>AE$46</f>
        <v/>
      </c>
      <c r="AF74" s="166">
        <f>AF$46</f>
        <v/>
      </c>
      <c r="AG74" s="166">
        <f>AG$46</f>
        <v/>
      </c>
      <c r="AH74" s="166">
        <f>AH$46</f>
        <v/>
      </c>
      <c r="AI74" s="166">
        <f>AI$46</f>
        <v/>
      </c>
      <c r="AJ74" s="166">
        <f>AJ$46</f>
        <v/>
      </c>
      <c r="AK74" s="166">
        <f>AK$46</f>
        <v/>
      </c>
      <c r="AL74" s="166">
        <f>AL$46</f>
        <v/>
      </c>
      <c r="AM74" s="166">
        <f>AM$46</f>
        <v/>
      </c>
      <c r="AN74" s="166">
        <f>AN$46</f>
        <v/>
      </c>
      <c r="AO74" s="166">
        <f>AO$46</f>
        <v/>
      </c>
      <c r="AP74" s="166">
        <f>AP$46</f>
        <v/>
      </c>
      <c r="AQ74" s="166">
        <f>AQ$46</f>
        <v/>
      </c>
      <c r="AR74" s="166">
        <f>AR$46</f>
        <v/>
      </c>
      <c r="AS74" s="166">
        <f>AS$46</f>
        <v/>
      </c>
      <c r="AT74" s="166">
        <f>AT$46</f>
        <v/>
      </c>
      <c r="AU74" s="166">
        <f>AU$46</f>
        <v/>
      </c>
      <c r="AV74" s="166">
        <f>AV$46</f>
        <v/>
      </c>
      <c r="AW74" s="166">
        <f>AW$46</f>
        <v/>
      </c>
      <c r="AX74" s="166">
        <f>AX$46</f>
        <v/>
      </c>
      <c r="AY74" s="166">
        <f>AY$46</f>
        <v/>
      </c>
      <c r="AZ74" s="166">
        <f>AZ$46</f>
        <v/>
      </c>
      <c r="BA74" s="166">
        <f>BA$46</f>
        <v/>
      </c>
      <c r="BB74" s="166">
        <f>BB$46</f>
        <v/>
      </c>
    </row>
    <row r="75" ht="15" customHeight="1" s="91">
      <c r="B75" s="153" t="inlineStr">
        <is>
          <t>Cash Available for Distribution  النقد المتاح</t>
        </is>
      </c>
      <c r="C75" s="153" t="inlineStr">
        <is>
          <t>SAR</t>
        </is>
      </c>
      <c r="D75" s="157">
        <f>SUM(E75:BB75)</f>
        <v/>
      </c>
      <c r="E75" s="160">
        <f>MAX(0,IF(AND(E$46&gt;=$C$9,E$46&lt;=$C$41),E50,0)+E62-E69+E70+E51)</f>
        <v/>
      </c>
      <c r="F75" s="160">
        <f>MAX(0,IF(AND(F$46&gt;=$C$9,F$46&lt;=$C$41),F50,0)+F62-F69+F70+F51)</f>
        <v/>
      </c>
      <c r="G75" s="160">
        <f>MAX(0,IF(AND(G$46&gt;=$C$9,G$46&lt;=$C$41),G50,0)+G62-G69+G70+G51)</f>
        <v/>
      </c>
      <c r="H75" s="160">
        <f>MAX(0,IF(AND(H$46&gt;=$C$9,H$46&lt;=$C$41),H50,0)+H62-H69+H70+H51)</f>
        <v/>
      </c>
      <c r="I75" s="160">
        <f>MAX(0,IF(AND(I$46&gt;=$C$9,I$46&lt;=$C$41),I50,0)+I62-I69+I70+I51)</f>
        <v/>
      </c>
      <c r="J75" s="160">
        <f>MAX(0,IF(AND(J$46&gt;=$C$9,J$46&lt;=$C$41),J50,0)+J62-J69+J70+J51)</f>
        <v/>
      </c>
      <c r="K75" s="160">
        <f>MAX(0,IF(AND(K$46&gt;=$C$9,K$46&lt;=$C$41),K50,0)+K62-K69+K70+K51)</f>
        <v/>
      </c>
      <c r="L75" s="160">
        <f>MAX(0,IF(AND(L$46&gt;=$C$9,L$46&lt;=$C$41),L50,0)+L62-L69+L70+L51)</f>
        <v/>
      </c>
      <c r="M75" s="160">
        <f>MAX(0,IF(AND(M$46&gt;=$C$9,M$46&lt;=$C$41),M50,0)+M62-M69+M70+M51)</f>
        <v/>
      </c>
      <c r="N75" s="160">
        <f>MAX(0,IF(AND(N$46&gt;=$C$9,N$46&lt;=$C$41),N50,0)+N62-N69+N70+N51)</f>
        <v/>
      </c>
      <c r="O75" s="160">
        <f>MAX(0,IF(AND(O$46&gt;=$C$9,O$46&lt;=$C$41),O50,0)+O62-O69+O70+O51)</f>
        <v/>
      </c>
      <c r="P75" s="160">
        <f>MAX(0,IF(AND(P$46&gt;=$C$9,P$46&lt;=$C$41),P50,0)+P62-P69+P70+P51)</f>
        <v/>
      </c>
      <c r="Q75" s="160">
        <f>MAX(0,IF(AND(Q$46&gt;=$C$9,Q$46&lt;=$C$41),Q50,0)+Q62-Q69+Q70+Q51)</f>
        <v/>
      </c>
      <c r="R75" s="160">
        <f>MAX(0,IF(AND(R$46&gt;=$C$9,R$46&lt;=$C$41),R50,0)+R62-R69+R70+R51)</f>
        <v/>
      </c>
      <c r="S75" s="160">
        <f>MAX(0,IF(AND(S$46&gt;=$C$9,S$46&lt;=$C$41),S50,0)+S62-S69+S70+S51)</f>
        <v/>
      </c>
      <c r="T75" s="160">
        <f>MAX(0,IF(AND(T$46&gt;=$C$9,T$46&lt;=$C$41),T50,0)+T62-T69+T70+T51)</f>
        <v/>
      </c>
      <c r="U75" s="160">
        <f>MAX(0,IF(AND(U$46&gt;=$C$9,U$46&lt;=$C$41),U50,0)+U62-U69+U70+U51)</f>
        <v/>
      </c>
      <c r="V75" s="160">
        <f>MAX(0,IF(AND(V$46&gt;=$C$9,V$46&lt;=$C$41),V50,0)+V62-V69+V70+V51)</f>
        <v/>
      </c>
      <c r="W75" s="160">
        <f>MAX(0,IF(AND(W$46&gt;=$C$9,W$46&lt;=$C$41),W50,0)+W62-W69+W70+W51)</f>
        <v/>
      </c>
      <c r="X75" s="160">
        <f>MAX(0,IF(AND(X$46&gt;=$C$9,X$46&lt;=$C$41),X50,0)+X62-X69+X70+X51)</f>
        <v/>
      </c>
      <c r="Y75" s="160">
        <f>MAX(0,IF(AND(Y$46&gt;=$C$9,Y$46&lt;=$C$41),Y50,0)+Y62-Y69+Y70+Y51)</f>
        <v/>
      </c>
      <c r="Z75" s="160">
        <f>MAX(0,IF(AND(Z$46&gt;=$C$9,Z$46&lt;=$C$41),Z50,0)+Z62-Z69+Z70+Z51)</f>
        <v/>
      </c>
      <c r="AA75" s="160">
        <f>MAX(0,IF(AND(AA$46&gt;=$C$9,AA$46&lt;=$C$41),AA50,0)+AA62-AA69+AA70+AA51)</f>
        <v/>
      </c>
      <c r="AB75" s="160">
        <f>MAX(0,IF(AND(AB$46&gt;=$C$9,AB$46&lt;=$C$41),AB50,0)+AB62-AB69+AB70+AB51)</f>
        <v/>
      </c>
      <c r="AC75" s="160">
        <f>MAX(0,IF(AND(AC$46&gt;=$C$9,AC$46&lt;=$C$41),AC50,0)+AC62-AC69+AC70+AC51)</f>
        <v/>
      </c>
      <c r="AD75" s="160">
        <f>MAX(0,IF(AND(AD$46&gt;=$C$9,AD$46&lt;=$C$41),AD50,0)+AD62-AD69+AD70+AD51)</f>
        <v/>
      </c>
      <c r="AE75" s="160">
        <f>MAX(0,IF(AND(AE$46&gt;=$C$9,AE$46&lt;=$C$41),AE50,0)+AE62-AE69+AE70+AE51)</f>
        <v/>
      </c>
      <c r="AF75" s="160">
        <f>MAX(0,IF(AND(AF$46&gt;=$C$9,AF$46&lt;=$C$41),AF50,0)+AF62-AF69+AF70+AF51)</f>
        <v/>
      </c>
      <c r="AG75" s="160">
        <f>MAX(0,IF(AND(AG$46&gt;=$C$9,AG$46&lt;=$C$41),AG50,0)+AG62-AG69+AG70+AG51)</f>
        <v/>
      </c>
      <c r="AH75" s="160">
        <f>MAX(0,IF(AND(AH$46&gt;=$C$9,AH$46&lt;=$C$41),AH50,0)+AH62-AH69+AH70+AH51)</f>
        <v/>
      </c>
      <c r="AI75" s="160">
        <f>MAX(0,IF(AND(AI$46&gt;=$C$9,AI$46&lt;=$C$41),AI50,0)+AI62-AI69+AI70+AI51)</f>
        <v/>
      </c>
      <c r="AJ75" s="160">
        <f>MAX(0,IF(AND(AJ$46&gt;=$C$9,AJ$46&lt;=$C$41),AJ50,0)+AJ62-AJ69+AJ70+AJ51)</f>
        <v/>
      </c>
      <c r="AK75" s="160">
        <f>MAX(0,IF(AND(AK$46&gt;=$C$9,AK$46&lt;=$C$41),AK50,0)+AK62-AK69+AK70+AK51)</f>
        <v/>
      </c>
      <c r="AL75" s="160">
        <f>MAX(0,IF(AND(AL$46&gt;=$C$9,AL$46&lt;=$C$41),AL50,0)+AL62-AL69+AL70+AL51)</f>
        <v/>
      </c>
      <c r="AM75" s="160">
        <f>MAX(0,IF(AND(AM$46&gt;=$C$9,AM$46&lt;=$C$41),AM50,0)+AM62-AM69+AM70+AM51)</f>
        <v/>
      </c>
      <c r="AN75" s="160">
        <f>MAX(0,IF(AND(AN$46&gt;=$C$9,AN$46&lt;=$C$41),AN50,0)+AN62-AN69+AN70+AN51)</f>
        <v/>
      </c>
      <c r="AO75" s="160">
        <f>MAX(0,IF(AND(AO$46&gt;=$C$9,AO$46&lt;=$C$41),AO50,0)+AO62-AO69+AO70+AO51)</f>
        <v/>
      </c>
      <c r="AP75" s="160">
        <f>MAX(0,IF(AND(AP$46&gt;=$C$9,AP$46&lt;=$C$41),AP50,0)+AP62-AP69+AP70+AP51)</f>
        <v/>
      </c>
      <c r="AQ75" s="160">
        <f>MAX(0,IF(AND(AQ$46&gt;=$C$9,AQ$46&lt;=$C$41),AQ50,0)+AQ62-AQ69+AQ70+AQ51)</f>
        <v/>
      </c>
      <c r="AR75" s="160">
        <f>MAX(0,IF(AND(AR$46&gt;=$C$9,AR$46&lt;=$C$41),AR50,0)+AR62-AR69+AR70+AR51)</f>
        <v/>
      </c>
      <c r="AS75" s="160">
        <f>MAX(0,IF(AND(AS$46&gt;=$C$9,AS$46&lt;=$C$41),AS50,0)+AS62-AS69+AS70+AS51)</f>
        <v/>
      </c>
      <c r="AT75" s="160">
        <f>MAX(0,IF(AND(AT$46&gt;=$C$9,AT$46&lt;=$C$41),AT50,0)+AT62-AT69+AT70+AT51)</f>
        <v/>
      </c>
      <c r="AU75" s="160">
        <f>MAX(0,IF(AND(AU$46&gt;=$C$9,AU$46&lt;=$C$41),AU50,0)+AU62-AU69+AU70+AU51)</f>
        <v/>
      </c>
      <c r="AV75" s="160">
        <f>MAX(0,IF(AND(AV$46&gt;=$C$9,AV$46&lt;=$C$41),AV50,0)+AV62-AV69+AV70+AV51)</f>
        <v/>
      </c>
      <c r="AW75" s="160">
        <f>MAX(0,IF(AND(AW$46&gt;=$C$9,AW$46&lt;=$C$41),AW50,0)+AW62-AW69+AW70+AW51)</f>
        <v/>
      </c>
      <c r="AX75" s="160">
        <f>MAX(0,IF(AND(AX$46&gt;=$C$9,AX$46&lt;=$C$41),AX50,0)+AX62-AX69+AX70+AX51)</f>
        <v/>
      </c>
      <c r="AY75" s="160">
        <f>MAX(0,IF(AND(AY$46&gt;=$C$9,AY$46&lt;=$C$41),AY50,0)+AY62-AY69+AY70+AY51)</f>
        <v/>
      </c>
      <c r="AZ75" s="160">
        <f>MAX(0,IF(AND(AZ$46&gt;=$C$9,AZ$46&lt;=$C$41),AZ50,0)+AZ62-AZ69+AZ70+AZ51)</f>
        <v/>
      </c>
      <c r="BA75" s="160">
        <f>MAX(0,IF(AND(BA$46&gt;=$C$9,BA$46&lt;=$C$41),BA50,0)+BA62-BA69+BA70+BA51)</f>
        <v/>
      </c>
      <c r="BB75" s="160">
        <f>MAX(0,IF(AND(BB$46&gt;=$C$9,BB$46&lt;=$C$41),BB50,0)+BB62-BB69+BB70+BB51)</f>
        <v/>
      </c>
    </row>
    <row r="77" ht="15" customHeight="1" s="91">
      <c r="B77" s="153" t="inlineStr">
        <is>
          <t>Unreturned Capital (Open)  رأس المال غير المسترد</t>
        </is>
      </c>
      <c r="C77" s="153" t="inlineStr">
        <is>
          <t>SAR</t>
        </is>
      </c>
      <c r="E77" s="160">
        <f>E56</f>
        <v/>
      </c>
      <c r="F77" s="160">
        <f>E79+F56</f>
        <v/>
      </c>
      <c r="G77" s="160">
        <f>F79+G56</f>
        <v/>
      </c>
      <c r="H77" s="160">
        <f>G79+H56</f>
        <v/>
      </c>
      <c r="I77" s="160">
        <f>H79+I56</f>
        <v/>
      </c>
      <c r="J77" s="160">
        <f>I79+J56</f>
        <v/>
      </c>
      <c r="K77" s="160">
        <f>J79+K56</f>
        <v/>
      </c>
      <c r="L77" s="160">
        <f>K79+L56</f>
        <v/>
      </c>
      <c r="M77" s="160">
        <f>L79+M56</f>
        <v/>
      </c>
      <c r="N77" s="160">
        <f>M79+N56</f>
        <v/>
      </c>
      <c r="O77" s="160">
        <f>N79+O56</f>
        <v/>
      </c>
      <c r="P77" s="160">
        <f>O79+P56</f>
        <v/>
      </c>
      <c r="Q77" s="160">
        <f>P79+Q56</f>
        <v/>
      </c>
      <c r="R77" s="160">
        <f>Q79+R56</f>
        <v/>
      </c>
      <c r="S77" s="160">
        <f>R79+S56</f>
        <v/>
      </c>
      <c r="T77" s="160">
        <f>S79+T56</f>
        <v/>
      </c>
      <c r="U77" s="160">
        <f>T79+U56</f>
        <v/>
      </c>
      <c r="V77" s="160">
        <f>U79+V56</f>
        <v/>
      </c>
      <c r="W77" s="160">
        <f>V79+W56</f>
        <v/>
      </c>
      <c r="X77" s="160">
        <f>W79+X56</f>
        <v/>
      </c>
      <c r="Y77" s="160">
        <f>X79+Y56</f>
        <v/>
      </c>
      <c r="Z77" s="160">
        <f>Y79+Z56</f>
        <v/>
      </c>
      <c r="AA77" s="160">
        <f>Z79+AA56</f>
        <v/>
      </c>
      <c r="AB77" s="160">
        <f>AA79+AB56</f>
        <v/>
      </c>
      <c r="AC77" s="160">
        <f>AB79+AC56</f>
        <v/>
      </c>
      <c r="AD77" s="160">
        <f>AC79+AD56</f>
        <v/>
      </c>
      <c r="AE77" s="160">
        <f>AD79+AE56</f>
        <v/>
      </c>
      <c r="AF77" s="160">
        <f>AE79+AF56</f>
        <v/>
      </c>
      <c r="AG77" s="160">
        <f>AF79+AG56</f>
        <v/>
      </c>
      <c r="AH77" s="160">
        <f>AG79+AH56</f>
        <v/>
      </c>
      <c r="AI77" s="160">
        <f>AH79+AI56</f>
        <v/>
      </c>
      <c r="AJ77" s="160">
        <f>AI79+AJ56</f>
        <v/>
      </c>
      <c r="AK77" s="160">
        <f>AJ79+AK56</f>
        <v/>
      </c>
      <c r="AL77" s="160">
        <f>AK79+AL56</f>
        <v/>
      </c>
      <c r="AM77" s="160">
        <f>AL79+AM56</f>
        <v/>
      </c>
      <c r="AN77" s="160">
        <f>AM79+AN56</f>
        <v/>
      </c>
      <c r="AO77" s="160">
        <f>AN79+AO56</f>
        <v/>
      </c>
      <c r="AP77" s="160">
        <f>AO79+AP56</f>
        <v/>
      </c>
      <c r="AQ77" s="160">
        <f>AP79+AQ56</f>
        <v/>
      </c>
      <c r="AR77" s="160">
        <f>AQ79+AR56</f>
        <v/>
      </c>
      <c r="AS77" s="160">
        <f>AR79+AS56</f>
        <v/>
      </c>
      <c r="AT77" s="160">
        <f>AS79+AT56</f>
        <v/>
      </c>
      <c r="AU77" s="160">
        <f>AT79+AU56</f>
        <v/>
      </c>
      <c r="AV77" s="160">
        <f>AU79+AV56</f>
        <v/>
      </c>
      <c r="AW77" s="160">
        <f>AV79+AW56</f>
        <v/>
      </c>
      <c r="AX77" s="160">
        <f>AW79+AX56</f>
        <v/>
      </c>
      <c r="AY77" s="160">
        <f>AX79+AY56</f>
        <v/>
      </c>
      <c r="AZ77" s="160">
        <f>AY79+AZ56</f>
        <v/>
      </c>
      <c r="BA77" s="160">
        <f>AZ79+BA56</f>
        <v/>
      </c>
      <c r="BB77" s="160">
        <f>BA79+BB56</f>
        <v/>
      </c>
    </row>
    <row r="78" ht="15" customHeight="1" s="91">
      <c r="B78" s="153" t="inlineStr">
        <is>
          <t>Tier 1: Return of Capital  رد رأس المال</t>
        </is>
      </c>
      <c r="C78" s="153" t="inlineStr">
        <is>
          <t>SAR</t>
        </is>
      </c>
      <c r="D78" s="157">
        <f>SUM(E78:BB78)</f>
        <v/>
      </c>
      <c r="E78" s="160">
        <f>MIN(E75,E77)</f>
        <v/>
      </c>
      <c r="F78" s="160">
        <f>MIN(F75,F77)</f>
        <v/>
      </c>
      <c r="G78" s="160">
        <f>MIN(G75,G77)</f>
        <v/>
      </c>
      <c r="H78" s="160">
        <f>MIN(H75,H77)</f>
        <v/>
      </c>
      <c r="I78" s="160">
        <f>MIN(I75,I77)</f>
        <v/>
      </c>
      <c r="J78" s="160">
        <f>MIN(J75,J77)</f>
        <v/>
      </c>
      <c r="K78" s="160">
        <f>MIN(K75,K77)</f>
        <v/>
      </c>
      <c r="L78" s="160">
        <f>MIN(L75,L77)</f>
        <v/>
      </c>
      <c r="M78" s="160">
        <f>MIN(M75,M77)</f>
        <v/>
      </c>
      <c r="N78" s="160">
        <f>MIN(N75,N77)</f>
        <v/>
      </c>
      <c r="O78" s="160">
        <f>MIN(O75,O77)</f>
        <v/>
      </c>
      <c r="P78" s="160">
        <f>MIN(P75,P77)</f>
        <v/>
      </c>
      <c r="Q78" s="160">
        <f>MIN(Q75,Q77)</f>
        <v/>
      </c>
      <c r="R78" s="160">
        <f>MIN(R75,R77)</f>
        <v/>
      </c>
      <c r="S78" s="160">
        <f>MIN(S75,S77)</f>
        <v/>
      </c>
      <c r="T78" s="160">
        <f>MIN(T75,T77)</f>
        <v/>
      </c>
      <c r="U78" s="160">
        <f>MIN(U75,U77)</f>
        <v/>
      </c>
      <c r="V78" s="160">
        <f>MIN(V75,V77)</f>
        <v/>
      </c>
      <c r="W78" s="160">
        <f>MIN(W75,W77)</f>
        <v/>
      </c>
      <c r="X78" s="160">
        <f>MIN(X75,X77)</f>
        <v/>
      </c>
      <c r="Y78" s="160">
        <f>MIN(Y75,Y77)</f>
        <v/>
      </c>
      <c r="Z78" s="160">
        <f>MIN(Z75,Z77)</f>
        <v/>
      </c>
      <c r="AA78" s="160">
        <f>MIN(AA75,AA77)</f>
        <v/>
      </c>
      <c r="AB78" s="160">
        <f>MIN(AB75,AB77)</f>
        <v/>
      </c>
      <c r="AC78" s="160">
        <f>MIN(AC75,AC77)</f>
        <v/>
      </c>
      <c r="AD78" s="160">
        <f>MIN(AD75,AD77)</f>
        <v/>
      </c>
      <c r="AE78" s="160">
        <f>MIN(AE75,AE77)</f>
        <v/>
      </c>
      <c r="AF78" s="160">
        <f>MIN(AF75,AF77)</f>
        <v/>
      </c>
      <c r="AG78" s="160">
        <f>MIN(AG75,AG77)</f>
        <v/>
      </c>
      <c r="AH78" s="160">
        <f>MIN(AH75,AH77)</f>
        <v/>
      </c>
      <c r="AI78" s="160">
        <f>MIN(AI75,AI77)</f>
        <v/>
      </c>
      <c r="AJ78" s="160">
        <f>MIN(AJ75,AJ77)</f>
        <v/>
      </c>
      <c r="AK78" s="160">
        <f>MIN(AK75,AK77)</f>
        <v/>
      </c>
      <c r="AL78" s="160">
        <f>MIN(AL75,AL77)</f>
        <v/>
      </c>
      <c r="AM78" s="160">
        <f>MIN(AM75,AM77)</f>
        <v/>
      </c>
      <c r="AN78" s="160">
        <f>MIN(AN75,AN77)</f>
        <v/>
      </c>
      <c r="AO78" s="160">
        <f>MIN(AO75,AO77)</f>
        <v/>
      </c>
      <c r="AP78" s="160">
        <f>MIN(AP75,AP77)</f>
        <v/>
      </c>
      <c r="AQ78" s="160">
        <f>MIN(AQ75,AQ77)</f>
        <v/>
      </c>
      <c r="AR78" s="160">
        <f>MIN(AR75,AR77)</f>
        <v/>
      </c>
      <c r="AS78" s="160">
        <f>MIN(AS75,AS77)</f>
        <v/>
      </c>
      <c r="AT78" s="160">
        <f>MIN(AT75,AT77)</f>
        <v/>
      </c>
      <c r="AU78" s="160">
        <f>MIN(AU75,AU77)</f>
        <v/>
      </c>
      <c r="AV78" s="160">
        <f>MIN(AV75,AV77)</f>
        <v/>
      </c>
      <c r="AW78" s="160">
        <f>MIN(AW75,AW77)</f>
        <v/>
      </c>
      <c r="AX78" s="160">
        <f>MIN(AX75,AX77)</f>
        <v/>
      </c>
      <c r="AY78" s="160">
        <f>MIN(AY75,AY77)</f>
        <v/>
      </c>
      <c r="AZ78" s="160">
        <f>MIN(AZ75,AZ77)</f>
        <v/>
      </c>
      <c r="BA78" s="160">
        <f>MIN(BA75,BA77)</f>
        <v/>
      </c>
      <c r="BB78" s="160">
        <f>MIN(BB75,BB77)</f>
        <v/>
      </c>
    </row>
    <row r="79" ht="15" customHeight="1" s="91">
      <c r="B79" s="153" t="inlineStr">
        <is>
          <t>Unreturned Capital (Close)  رأس المال غير المسترد (نهاية)</t>
        </is>
      </c>
      <c r="C79" s="153" t="inlineStr">
        <is>
          <t>SAR</t>
        </is>
      </c>
      <c r="E79" s="160">
        <f>E77-E78</f>
        <v/>
      </c>
      <c r="F79" s="160">
        <f>F77-F78</f>
        <v/>
      </c>
      <c r="G79" s="160">
        <f>G77-G78</f>
        <v/>
      </c>
      <c r="H79" s="160">
        <f>H77-H78</f>
        <v/>
      </c>
      <c r="I79" s="160">
        <f>I77-I78</f>
        <v/>
      </c>
      <c r="J79" s="160">
        <f>J77-J78</f>
        <v/>
      </c>
      <c r="K79" s="160">
        <f>K77-K78</f>
        <v/>
      </c>
      <c r="L79" s="160">
        <f>L77-L78</f>
        <v/>
      </c>
      <c r="M79" s="160">
        <f>M77-M78</f>
        <v/>
      </c>
      <c r="N79" s="160">
        <f>N77-N78</f>
        <v/>
      </c>
      <c r="O79" s="160">
        <f>O77-O78</f>
        <v/>
      </c>
      <c r="P79" s="160">
        <f>P77-P78</f>
        <v/>
      </c>
      <c r="Q79" s="160">
        <f>Q77-Q78</f>
        <v/>
      </c>
      <c r="R79" s="160">
        <f>R77-R78</f>
        <v/>
      </c>
      <c r="S79" s="160">
        <f>S77-S78</f>
        <v/>
      </c>
      <c r="T79" s="160">
        <f>T77-T78</f>
        <v/>
      </c>
      <c r="U79" s="160">
        <f>U77-U78</f>
        <v/>
      </c>
      <c r="V79" s="160">
        <f>V77-V78</f>
        <v/>
      </c>
      <c r="W79" s="160">
        <f>W77-W78</f>
        <v/>
      </c>
      <c r="X79" s="160">
        <f>X77-X78</f>
        <v/>
      </c>
      <c r="Y79" s="160">
        <f>Y77-Y78</f>
        <v/>
      </c>
      <c r="Z79" s="160">
        <f>Z77-Z78</f>
        <v/>
      </c>
      <c r="AA79" s="160">
        <f>AA77-AA78</f>
        <v/>
      </c>
      <c r="AB79" s="160">
        <f>AB77-AB78</f>
        <v/>
      </c>
      <c r="AC79" s="160">
        <f>AC77-AC78</f>
        <v/>
      </c>
      <c r="AD79" s="160">
        <f>AD77-AD78</f>
        <v/>
      </c>
      <c r="AE79" s="160">
        <f>AE77-AE78</f>
        <v/>
      </c>
      <c r="AF79" s="160">
        <f>AF77-AF78</f>
        <v/>
      </c>
      <c r="AG79" s="160">
        <f>AG77-AG78</f>
        <v/>
      </c>
      <c r="AH79" s="160">
        <f>AH77-AH78</f>
        <v/>
      </c>
      <c r="AI79" s="160">
        <f>AI77-AI78</f>
        <v/>
      </c>
      <c r="AJ79" s="160">
        <f>AJ77-AJ78</f>
        <v/>
      </c>
      <c r="AK79" s="160">
        <f>AK77-AK78</f>
        <v/>
      </c>
      <c r="AL79" s="160">
        <f>AL77-AL78</f>
        <v/>
      </c>
      <c r="AM79" s="160">
        <f>AM77-AM78</f>
        <v/>
      </c>
      <c r="AN79" s="160">
        <f>AN77-AN78</f>
        <v/>
      </c>
      <c r="AO79" s="160">
        <f>AO77-AO78</f>
        <v/>
      </c>
      <c r="AP79" s="160">
        <f>AP77-AP78</f>
        <v/>
      </c>
      <c r="AQ79" s="160">
        <f>AQ77-AQ78</f>
        <v/>
      </c>
      <c r="AR79" s="160">
        <f>AR77-AR78</f>
        <v/>
      </c>
      <c r="AS79" s="160">
        <f>AS77-AS78</f>
        <v/>
      </c>
      <c r="AT79" s="160">
        <f>AT77-AT78</f>
        <v/>
      </c>
      <c r="AU79" s="160">
        <f>AU77-AU78</f>
        <v/>
      </c>
      <c r="AV79" s="160">
        <f>AV77-AV78</f>
        <v/>
      </c>
      <c r="AW79" s="160">
        <f>AW77-AW78</f>
        <v/>
      </c>
      <c r="AX79" s="160">
        <f>AX77-AX78</f>
        <v/>
      </c>
      <c r="AY79" s="160">
        <f>AY77-AY78</f>
        <v/>
      </c>
      <c r="AZ79" s="160">
        <f>AZ77-AZ78</f>
        <v/>
      </c>
      <c r="BA79" s="160">
        <f>BA77-BA78</f>
        <v/>
      </c>
      <c r="BB79" s="160">
        <f>BB77-BB78</f>
        <v/>
      </c>
    </row>
    <row r="81" ht="15" customHeight="1" s="91">
      <c r="B81" s="153" t="inlineStr">
        <is>
          <t>Pref Accrual (% × Unreturned)  احتساب العائد التفضيلي</t>
        </is>
      </c>
      <c r="C81" s="153" t="inlineStr">
        <is>
          <t>SAR</t>
        </is>
      </c>
      <c r="D81" s="160">
        <f>SUM(E81:BB81)</f>
        <v/>
      </c>
      <c r="E81" s="160">
        <f>E77*$C$36</f>
        <v/>
      </c>
      <c r="F81" s="160">
        <f>F77*$C$36</f>
        <v/>
      </c>
      <c r="G81" s="160">
        <f>G77*$C$36</f>
        <v/>
      </c>
      <c r="H81" s="160">
        <f>H77*$C$36</f>
        <v/>
      </c>
      <c r="I81" s="160">
        <f>I77*$C$36</f>
        <v/>
      </c>
      <c r="J81" s="160">
        <f>J77*$C$36</f>
        <v/>
      </c>
      <c r="K81" s="160">
        <f>K77*$C$36</f>
        <v/>
      </c>
      <c r="L81" s="160">
        <f>L77*$C$36</f>
        <v/>
      </c>
      <c r="M81" s="160">
        <f>M77*$C$36</f>
        <v/>
      </c>
      <c r="N81" s="160">
        <f>N77*$C$36</f>
        <v/>
      </c>
      <c r="O81" s="160">
        <f>O77*$C$36</f>
        <v/>
      </c>
      <c r="P81" s="160">
        <f>P77*$C$36</f>
        <v/>
      </c>
      <c r="Q81" s="160">
        <f>Q77*$C$36</f>
        <v/>
      </c>
      <c r="R81" s="160">
        <f>R77*$C$36</f>
        <v/>
      </c>
      <c r="S81" s="160">
        <f>S77*$C$36</f>
        <v/>
      </c>
      <c r="T81" s="160">
        <f>T77*$C$36</f>
        <v/>
      </c>
      <c r="U81" s="160">
        <f>U77*$C$36</f>
        <v/>
      </c>
      <c r="V81" s="160">
        <f>V77*$C$36</f>
        <v/>
      </c>
      <c r="W81" s="160">
        <f>W77*$C$36</f>
        <v/>
      </c>
      <c r="X81" s="160">
        <f>X77*$C$36</f>
        <v/>
      </c>
      <c r="Y81" s="160">
        <f>Y77*$C$36</f>
        <v/>
      </c>
      <c r="Z81" s="160">
        <f>Z77*$C$36</f>
        <v/>
      </c>
      <c r="AA81" s="160">
        <f>AA77*$C$36</f>
        <v/>
      </c>
      <c r="AB81" s="160">
        <f>AB77*$C$36</f>
        <v/>
      </c>
      <c r="AC81" s="160">
        <f>AC77*$C$36</f>
        <v/>
      </c>
      <c r="AD81" s="160">
        <f>AD77*$C$36</f>
        <v/>
      </c>
      <c r="AE81" s="160">
        <f>AE77*$C$36</f>
        <v/>
      </c>
      <c r="AF81" s="160">
        <f>AF77*$C$36</f>
        <v/>
      </c>
      <c r="AG81" s="160">
        <f>AG77*$C$36</f>
        <v/>
      </c>
      <c r="AH81" s="160">
        <f>AH77*$C$36</f>
        <v/>
      </c>
      <c r="AI81" s="160">
        <f>AI77*$C$36</f>
        <v/>
      </c>
      <c r="AJ81" s="160">
        <f>AJ77*$C$36</f>
        <v/>
      </c>
      <c r="AK81" s="160">
        <f>AK77*$C$36</f>
        <v/>
      </c>
      <c r="AL81" s="160">
        <f>AL77*$C$36</f>
        <v/>
      </c>
      <c r="AM81" s="160">
        <f>AM77*$C$36</f>
        <v/>
      </c>
      <c r="AN81" s="160">
        <f>AN77*$C$36</f>
        <v/>
      </c>
      <c r="AO81" s="160">
        <f>AO77*$C$36</f>
        <v/>
      </c>
      <c r="AP81" s="160">
        <f>AP77*$C$36</f>
        <v/>
      </c>
      <c r="AQ81" s="160">
        <f>AQ77*$C$36</f>
        <v/>
      </c>
      <c r="AR81" s="160">
        <f>AR77*$C$36</f>
        <v/>
      </c>
      <c r="AS81" s="160">
        <f>AS77*$C$36</f>
        <v/>
      </c>
      <c r="AT81" s="160">
        <f>AT77*$C$36</f>
        <v/>
      </c>
      <c r="AU81" s="160">
        <f>AU77*$C$36</f>
        <v/>
      </c>
      <c r="AV81" s="160">
        <f>AV77*$C$36</f>
        <v/>
      </c>
      <c r="AW81" s="160">
        <f>AW77*$C$36</f>
        <v/>
      </c>
      <c r="AX81" s="160">
        <f>AX77*$C$36</f>
        <v/>
      </c>
      <c r="AY81" s="160">
        <f>AY77*$C$36</f>
        <v/>
      </c>
      <c r="AZ81" s="160">
        <f>AZ77*$C$36</f>
        <v/>
      </c>
      <c r="BA81" s="160">
        <f>BA77*$C$36</f>
        <v/>
      </c>
      <c r="BB81" s="160">
        <f>BB77*$C$36</f>
        <v/>
      </c>
    </row>
    <row r="82" ht="15" customHeight="1" s="91">
      <c r="B82" s="153" t="inlineStr">
        <is>
          <t>Unpaid Pref (Opening)  العائد غير المدفوع (بداية)</t>
        </is>
      </c>
      <c r="C82" s="153" t="inlineStr">
        <is>
          <t>SAR</t>
        </is>
      </c>
      <c r="E82" s="160">
        <f>0</f>
        <v/>
      </c>
      <c r="F82" s="160">
        <f>E85</f>
        <v/>
      </c>
      <c r="G82" s="160">
        <f>F85</f>
        <v/>
      </c>
      <c r="H82" s="160">
        <f>G85</f>
        <v/>
      </c>
      <c r="I82" s="160">
        <f>H85</f>
        <v/>
      </c>
      <c r="J82" s="160">
        <f>I85</f>
        <v/>
      </c>
      <c r="K82" s="160">
        <f>J85</f>
        <v/>
      </c>
      <c r="L82" s="160">
        <f>K85</f>
        <v/>
      </c>
      <c r="M82" s="160">
        <f>L85</f>
        <v/>
      </c>
      <c r="N82" s="160">
        <f>M85</f>
        <v/>
      </c>
      <c r="O82" s="160">
        <f>N85</f>
        <v/>
      </c>
      <c r="P82" s="160">
        <f>O85</f>
        <v/>
      </c>
      <c r="Q82" s="160">
        <f>P85</f>
        <v/>
      </c>
      <c r="R82" s="160">
        <f>Q85</f>
        <v/>
      </c>
      <c r="S82" s="160">
        <f>R85</f>
        <v/>
      </c>
      <c r="T82" s="160">
        <f>S85</f>
        <v/>
      </c>
      <c r="U82" s="160">
        <f>T85</f>
        <v/>
      </c>
      <c r="V82" s="160">
        <f>U85</f>
        <v/>
      </c>
      <c r="W82" s="160">
        <f>V85</f>
        <v/>
      </c>
      <c r="X82" s="160">
        <f>W85</f>
        <v/>
      </c>
      <c r="Y82" s="160">
        <f>X85</f>
        <v/>
      </c>
      <c r="Z82" s="160">
        <f>Y85</f>
        <v/>
      </c>
      <c r="AA82" s="160">
        <f>Z85</f>
        <v/>
      </c>
      <c r="AB82" s="160">
        <f>AA85</f>
        <v/>
      </c>
      <c r="AC82" s="160">
        <f>AB85</f>
        <v/>
      </c>
      <c r="AD82" s="160">
        <f>AC85</f>
        <v/>
      </c>
      <c r="AE82" s="160">
        <f>AD85</f>
        <v/>
      </c>
      <c r="AF82" s="160">
        <f>AE85</f>
        <v/>
      </c>
      <c r="AG82" s="160">
        <f>AF85</f>
        <v/>
      </c>
      <c r="AH82" s="160">
        <f>AG85</f>
        <v/>
      </c>
      <c r="AI82" s="160">
        <f>AH85</f>
        <v/>
      </c>
      <c r="AJ82" s="160">
        <f>AI85</f>
        <v/>
      </c>
      <c r="AK82" s="160">
        <f>AJ85</f>
        <v/>
      </c>
      <c r="AL82" s="160">
        <f>AK85</f>
        <v/>
      </c>
      <c r="AM82" s="160">
        <f>AL85</f>
        <v/>
      </c>
      <c r="AN82" s="160">
        <f>AM85</f>
        <v/>
      </c>
      <c r="AO82" s="160">
        <f>AN85</f>
        <v/>
      </c>
      <c r="AP82" s="160">
        <f>AO85</f>
        <v/>
      </c>
      <c r="AQ82" s="160">
        <f>AP85</f>
        <v/>
      </c>
      <c r="AR82" s="160">
        <f>AQ85</f>
        <v/>
      </c>
      <c r="AS82" s="160">
        <f>AR85</f>
        <v/>
      </c>
      <c r="AT82" s="160">
        <f>AS85</f>
        <v/>
      </c>
      <c r="AU82" s="160">
        <f>AT85</f>
        <v/>
      </c>
      <c r="AV82" s="160">
        <f>AU85</f>
        <v/>
      </c>
      <c r="AW82" s="160">
        <f>AV85</f>
        <v/>
      </c>
      <c r="AX82" s="160">
        <f>AW85</f>
        <v/>
      </c>
      <c r="AY82" s="160">
        <f>AX85</f>
        <v/>
      </c>
      <c r="AZ82" s="160">
        <f>AY85</f>
        <v/>
      </c>
      <c r="BA82" s="160">
        <f>AZ85</f>
        <v/>
      </c>
      <c r="BB82" s="160">
        <f>BA85</f>
        <v/>
      </c>
    </row>
    <row r="83" ht="15" customHeight="1" s="91">
      <c r="B83" s="153" t="inlineStr">
        <is>
          <t>Total Pref Owed  إجمالي المستحق</t>
        </is>
      </c>
      <c r="C83" s="153" t="inlineStr">
        <is>
          <t>SAR</t>
        </is>
      </c>
      <c r="E83" s="160">
        <f>E81+E82</f>
        <v/>
      </c>
      <c r="F83" s="160">
        <f>F81+F82</f>
        <v/>
      </c>
      <c r="G83" s="160">
        <f>G81+G82</f>
        <v/>
      </c>
      <c r="H83" s="160">
        <f>H81+H82</f>
        <v/>
      </c>
      <c r="I83" s="160">
        <f>I81+I82</f>
        <v/>
      </c>
      <c r="J83" s="160">
        <f>J81+J82</f>
        <v/>
      </c>
      <c r="K83" s="160">
        <f>K81+K82</f>
        <v/>
      </c>
      <c r="L83" s="160">
        <f>L81+L82</f>
        <v/>
      </c>
      <c r="M83" s="160">
        <f>M81+M82</f>
        <v/>
      </c>
      <c r="N83" s="160">
        <f>N81+N82</f>
        <v/>
      </c>
      <c r="O83" s="160">
        <f>O81+O82</f>
        <v/>
      </c>
      <c r="P83" s="160">
        <f>P81+P82</f>
        <v/>
      </c>
      <c r="Q83" s="160">
        <f>Q81+Q82</f>
        <v/>
      </c>
      <c r="R83" s="160">
        <f>R81+R82</f>
        <v/>
      </c>
      <c r="S83" s="160">
        <f>S81+S82</f>
        <v/>
      </c>
      <c r="T83" s="160">
        <f>T81+T82</f>
        <v/>
      </c>
      <c r="U83" s="160">
        <f>U81+U82</f>
        <v/>
      </c>
      <c r="V83" s="160">
        <f>V81+V82</f>
        <v/>
      </c>
      <c r="W83" s="160">
        <f>W81+W82</f>
        <v/>
      </c>
      <c r="X83" s="160">
        <f>X81+X82</f>
        <v/>
      </c>
      <c r="Y83" s="160">
        <f>Y81+Y82</f>
        <v/>
      </c>
      <c r="Z83" s="160">
        <f>Z81+Z82</f>
        <v/>
      </c>
      <c r="AA83" s="160">
        <f>AA81+AA82</f>
        <v/>
      </c>
      <c r="AB83" s="160">
        <f>AB81+AB82</f>
        <v/>
      </c>
      <c r="AC83" s="160">
        <f>AC81+AC82</f>
        <v/>
      </c>
      <c r="AD83" s="160">
        <f>AD81+AD82</f>
        <v/>
      </c>
      <c r="AE83" s="160">
        <f>AE81+AE82</f>
        <v/>
      </c>
      <c r="AF83" s="160">
        <f>AF81+AF82</f>
        <v/>
      </c>
      <c r="AG83" s="160">
        <f>AG81+AG82</f>
        <v/>
      </c>
      <c r="AH83" s="160">
        <f>AH81+AH82</f>
        <v/>
      </c>
      <c r="AI83" s="160">
        <f>AI81+AI82</f>
        <v/>
      </c>
      <c r="AJ83" s="160">
        <f>AJ81+AJ82</f>
        <v/>
      </c>
      <c r="AK83" s="160">
        <f>AK81+AK82</f>
        <v/>
      </c>
      <c r="AL83" s="160">
        <f>AL81+AL82</f>
        <v/>
      </c>
      <c r="AM83" s="160">
        <f>AM81+AM82</f>
        <v/>
      </c>
      <c r="AN83" s="160">
        <f>AN81+AN82</f>
        <v/>
      </c>
      <c r="AO83" s="160">
        <f>AO81+AO82</f>
        <v/>
      </c>
      <c r="AP83" s="160">
        <f>AP81+AP82</f>
        <v/>
      </c>
      <c r="AQ83" s="160">
        <f>AQ81+AQ82</f>
        <v/>
      </c>
      <c r="AR83" s="160">
        <f>AR81+AR82</f>
        <v/>
      </c>
      <c r="AS83" s="160">
        <f>AS81+AS82</f>
        <v/>
      </c>
      <c r="AT83" s="160">
        <f>AT81+AT82</f>
        <v/>
      </c>
      <c r="AU83" s="160">
        <f>AU81+AU82</f>
        <v/>
      </c>
      <c r="AV83" s="160">
        <f>AV81+AV82</f>
        <v/>
      </c>
      <c r="AW83" s="160">
        <f>AW81+AW82</f>
        <v/>
      </c>
      <c r="AX83" s="160">
        <f>AX81+AX82</f>
        <v/>
      </c>
      <c r="AY83" s="160">
        <f>AY81+AY82</f>
        <v/>
      </c>
      <c r="AZ83" s="160">
        <f>AZ81+AZ82</f>
        <v/>
      </c>
      <c r="BA83" s="160">
        <f>BA81+BA82</f>
        <v/>
      </c>
      <c r="BB83" s="160">
        <f>BB81+BB82</f>
        <v/>
      </c>
    </row>
    <row r="84" ht="15" customHeight="1" s="91">
      <c r="B84" s="153" t="inlineStr">
        <is>
          <t>Tier 2: Preferred Return Paid  سداد العائد التفضيلي</t>
        </is>
      </c>
      <c r="C84" s="153" t="inlineStr">
        <is>
          <t>SAR</t>
        </is>
      </c>
      <c r="D84" s="157">
        <f>SUM(E84:BB84)</f>
        <v/>
      </c>
      <c r="E84" s="160">
        <f>MIN(MAX(0,E75-E78),E83)</f>
        <v/>
      </c>
      <c r="F84" s="160">
        <f>MIN(MAX(0,F75-F78),F83)</f>
        <v/>
      </c>
      <c r="G84" s="160">
        <f>MIN(MAX(0,G75-G78),G83)</f>
        <v/>
      </c>
      <c r="H84" s="160">
        <f>MIN(MAX(0,H75-H78),H83)</f>
        <v/>
      </c>
      <c r="I84" s="160">
        <f>MIN(MAX(0,I75-I78),I83)</f>
        <v/>
      </c>
      <c r="J84" s="160">
        <f>MIN(MAX(0,J75-J78),J83)</f>
        <v/>
      </c>
      <c r="K84" s="160">
        <f>MIN(MAX(0,K75-K78),K83)</f>
        <v/>
      </c>
      <c r="L84" s="160">
        <f>MIN(MAX(0,L75-L78),L83)</f>
        <v/>
      </c>
      <c r="M84" s="160">
        <f>MIN(MAX(0,M75-M78),M83)</f>
        <v/>
      </c>
      <c r="N84" s="160">
        <f>MIN(MAX(0,N75-N78),N83)</f>
        <v/>
      </c>
      <c r="O84" s="160">
        <f>MIN(MAX(0,O75-O78),O83)</f>
        <v/>
      </c>
      <c r="P84" s="160">
        <f>MIN(MAX(0,P75-P78),P83)</f>
        <v/>
      </c>
      <c r="Q84" s="160">
        <f>MIN(MAX(0,Q75-Q78),Q83)</f>
        <v/>
      </c>
      <c r="R84" s="160">
        <f>MIN(MAX(0,R75-R78),R83)</f>
        <v/>
      </c>
      <c r="S84" s="160">
        <f>MIN(MAX(0,S75-S78),S83)</f>
        <v/>
      </c>
      <c r="T84" s="160">
        <f>MIN(MAX(0,T75-T78),T83)</f>
        <v/>
      </c>
      <c r="U84" s="160">
        <f>MIN(MAX(0,U75-U78),U83)</f>
        <v/>
      </c>
      <c r="V84" s="160">
        <f>MIN(MAX(0,V75-V78),V83)</f>
        <v/>
      </c>
      <c r="W84" s="160">
        <f>MIN(MAX(0,W75-W78),W83)</f>
        <v/>
      </c>
      <c r="X84" s="160">
        <f>MIN(MAX(0,X75-X78),X83)</f>
        <v/>
      </c>
      <c r="Y84" s="160">
        <f>MIN(MAX(0,Y75-Y78),Y83)</f>
        <v/>
      </c>
      <c r="Z84" s="160">
        <f>MIN(MAX(0,Z75-Z78),Z83)</f>
        <v/>
      </c>
      <c r="AA84" s="160">
        <f>MIN(MAX(0,AA75-AA78),AA83)</f>
        <v/>
      </c>
      <c r="AB84" s="160">
        <f>MIN(MAX(0,AB75-AB78),AB83)</f>
        <v/>
      </c>
      <c r="AC84" s="160">
        <f>MIN(MAX(0,AC75-AC78),AC83)</f>
        <v/>
      </c>
      <c r="AD84" s="160">
        <f>MIN(MAX(0,AD75-AD78),AD83)</f>
        <v/>
      </c>
      <c r="AE84" s="160">
        <f>MIN(MAX(0,AE75-AE78),AE83)</f>
        <v/>
      </c>
      <c r="AF84" s="160">
        <f>MIN(MAX(0,AF75-AF78),AF83)</f>
        <v/>
      </c>
      <c r="AG84" s="160">
        <f>MIN(MAX(0,AG75-AG78),AG83)</f>
        <v/>
      </c>
      <c r="AH84" s="160">
        <f>MIN(MAX(0,AH75-AH78),AH83)</f>
        <v/>
      </c>
      <c r="AI84" s="160">
        <f>MIN(MAX(0,AI75-AI78),AI83)</f>
        <v/>
      </c>
      <c r="AJ84" s="160">
        <f>MIN(MAX(0,AJ75-AJ78),AJ83)</f>
        <v/>
      </c>
      <c r="AK84" s="160">
        <f>MIN(MAX(0,AK75-AK78),AK83)</f>
        <v/>
      </c>
      <c r="AL84" s="160">
        <f>MIN(MAX(0,AL75-AL78),AL83)</f>
        <v/>
      </c>
      <c r="AM84" s="160">
        <f>MIN(MAX(0,AM75-AM78),AM83)</f>
        <v/>
      </c>
      <c r="AN84" s="160">
        <f>MIN(MAX(0,AN75-AN78),AN83)</f>
        <v/>
      </c>
      <c r="AO84" s="160">
        <f>MIN(MAX(0,AO75-AO78),AO83)</f>
        <v/>
      </c>
      <c r="AP84" s="160">
        <f>MIN(MAX(0,AP75-AP78),AP83)</f>
        <v/>
      </c>
      <c r="AQ84" s="160">
        <f>MIN(MAX(0,AQ75-AQ78),AQ83)</f>
        <v/>
      </c>
      <c r="AR84" s="160">
        <f>MIN(MAX(0,AR75-AR78),AR83)</f>
        <v/>
      </c>
      <c r="AS84" s="160">
        <f>MIN(MAX(0,AS75-AS78),AS83)</f>
        <v/>
      </c>
      <c r="AT84" s="160">
        <f>MIN(MAX(0,AT75-AT78),AT83)</f>
        <v/>
      </c>
      <c r="AU84" s="160">
        <f>MIN(MAX(0,AU75-AU78),AU83)</f>
        <v/>
      </c>
      <c r="AV84" s="160">
        <f>MIN(MAX(0,AV75-AV78),AV83)</f>
        <v/>
      </c>
      <c r="AW84" s="160">
        <f>MIN(MAX(0,AW75-AW78),AW83)</f>
        <v/>
      </c>
      <c r="AX84" s="160">
        <f>MIN(MAX(0,AX75-AX78),AX83)</f>
        <v/>
      </c>
      <c r="AY84" s="160">
        <f>MIN(MAX(0,AY75-AY78),AY83)</f>
        <v/>
      </c>
      <c r="AZ84" s="160">
        <f>MIN(MAX(0,AZ75-AZ78),AZ83)</f>
        <v/>
      </c>
      <c r="BA84" s="160">
        <f>MIN(MAX(0,BA75-BA78),BA83)</f>
        <v/>
      </c>
      <c r="BB84" s="160">
        <f>MIN(MAX(0,BB75-BB78),BB83)</f>
        <v/>
      </c>
    </row>
    <row r="85" ht="15" customHeight="1" s="91">
      <c r="B85" s="153" t="inlineStr">
        <is>
          <t>Unpaid Pref (Closing)  غير المدفوع (نهاية)</t>
        </is>
      </c>
      <c r="C85" s="153" t="inlineStr">
        <is>
          <t>SAR</t>
        </is>
      </c>
      <c r="E85" s="160">
        <f>E83-E84</f>
        <v/>
      </c>
      <c r="F85" s="160">
        <f>F83-F84</f>
        <v/>
      </c>
      <c r="G85" s="160">
        <f>G83-G84</f>
        <v/>
      </c>
      <c r="H85" s="160">
        <f>H83-H84</f>
        <v/>
      </c>
      <c r="I85" s="160">
        <f>I83-I84</f>
        <v/>
      </c>
      <c r="J85" s="160">
        <f>J83-J84</f>
        <v/>
      </c>
      <c r="K85" s="160">
        <f>K83-K84</f>
        <v/>
      </c>
      <c r="L85" s="160">
        <f>L83-L84</f>
        <v/>
      </c>
      <c r="M85" s="160">
        <f>M83-M84</f>
        <v/>
      </c>
      <c r="N85" s="160">
        <f>N83-N84</f>
        <v/>
      </c>
      <c r="O85" s="160">
        <f>O83-O84</f>
        <v/>
      </c>
      <c r="P85" s="160">
        <f>P83-P84</f>
        <v/>
      </c>
      <c r="Q85" s="160">
        <f>Q83-Q84</f>
        <v/>
      </c>
      <c r="R85" s="160">
        <f>R83-R84</f>
        <v/>
      </c>
      <c r="S85" s="160">
        <f>S83-S84</f>
        <v/>
      </c>
      <c r="T85" s="160">
        <f>T83-T84</f>
        <v/>
      </c>
      <c r="U85" s="160">
        <f>U83-U84</f>
        <v/>
      </c>
      <c r="V85" s="160">
        <f>V83-V84</f>
        <v/>
      </c>
      <c r="W85" s="160">
        <f>W83-W84</f>
        <v/>
      </c>
      <c r="X85" s="160">
        <f>X83-X84</f>
        <v/>
      </c>
      <c r="Y85" s="160">
        <f>Y83-Y84</f>
        <v/>
      </c>
      <c r="Z85" s="160">
        <f>Z83-Z84</f>
        <v/>
      </c>
      <c r="AA85" s="160">
        <f>AA83-AA84</f>
        <v/>
      </c>
      <c r="AB85" s="160">
        <f>AB83-AB84</f>
        <v/>
      </c>
      <c r="AC85" s="160">
        <f>AC83-AC84</f>
        <v/>
      </c>
      <c r="AD85" s="160">
        <f>AD83-AD84</f>
        <v/>
      </c>
      <c r="AE85" s="160">
        <f>AE83-AE84</f>
        <v/>
      </c>
      <c r="AF85" s="160">
        <f>AF83-AF84</f>
        <v/>
      </c>
      <c r="AG85" s="160">
        <f>AG83-AG84</f>
        <v/>
      </c>
      <c r="AH85" s="160">
        <f>AH83-AH84</f>
        <v/>
      </c>
      <c r="AI85" s="160">
        <f>AI83-AI84</f>
        <v/>
      </c>
      <c r="AJ85" s="160">
        <f>AJ83-AJ84</f>
        <v/>
      </c>
      <c r="AK85" s="160">
        <f>AK83-AK84</f>
        <v/>
      </c>
      <c r="AL85" s="160">
        <f>AL83-AL84</f>
        <v/>
      </c>
      <c r="AM85" s="160">
        <f>AM83-AM84</f>
        <v/>
      </c>
      <c r="AN85" s="160">
        <f>AN83-AN84</f>
        <v/>
      </c>
      <c r="AO85" s="160">
        <f>AO83-AO84</f>
        <v/>
      </c>
      <c r="AP85" s="160">
        <f>AP83-AP84</f>
        <v/>
      </c>
      <c r="AQ85" s="160">
        <f>AQ83-AQ84</f>
        <v/>
      </c>
      <c r="AR85" s="160">
        <f>AR83-AR84</f>
        <v/>
      </c>
      <c r="AS85" s="160">
        <f>AS83-AS84</f>
        <v/>
      </c>
      <c r="AT85" s="160">
        <f>AT83-AT84</f>
        <v/>
      </c>
      <c r="AU85" s="160">
        <f>AU83-AU84</f>
        <v/>
      </c>
      <c r="AV85" s="160">
        <f>AV83-AV84</f>
        <v/>
      </c>
      <c r="AW85" s="160">
        <f>AW83-AW84</f>
        <v/>
      </c>
      <c r="AX85" s="160">
        <f>AX83-AX84</f>
        <v/>
      </c>
      <c r="AY85" s="160">
        <f>AY83-AY84</f>
        <v/>
      </c>
      <c r="AZ85" s="160">
        <f>AZ83-AZ84</f>
        <v/>
      </c>
      <c r="BA85" s="160">
        <f>BA83-BA84</f>
        <v/>
      </c>
      <c r="BB85" s="160">
        <f>BB83-BB84</f>
        <v/>
      </c>
    </row>
    <row r="87" ht="15" customHeight="1" s="91">
      <c r="B87" s="153" t="inlineStr">
        <is>
          <t>Remaining After ROC + Pref  المتبقي</t>
        </is>
      </c>
      <c r="C87" s="153" t="inlineStr">
        <is>
          <t>SAR</t>
        </is>
      </c>
      <c r="E87" s="160">
        <f>MAX(0,E75-E78-E84)</f>
        <v/>
      </c>
      <c r="F87" s="160">
        <f>MAX(0,F75-F78-F84)</f>
        <v/>
      </c>
      <c r="G87" s="160">
        <f>MAX(0,G75-G78-G84)</f>
        <v/>
      </c>
      <c r="H87" s="160">
        <f>MAX(0,H75-H78-H84)</f>
        <v/>
      </c>
      <c r="I87" s="160">
        <f>MAX(0,I75-I78-I84)</f>
        <v/>
      </c>
      <c r="J87" s="160">
        <f>MAX(0,J75-J78-J84)</f>
        <v/>
      </c>
      <c r="K87" s="160">
        <f>MAX(0,K75-K78-K84)</f>
        <v/>
      </c>
      <c r="L87" s="160">
        <f>MAX(0,L75-L78-L84)</f>
        <v/>
      </c>
      <c r="M87" s="160">
        <f>MAX(0,M75-M78-M84)</f>
        <v/>
      </c>
      <c r="N87" s="160">
        <f>MAX(0,N75-N78-N84)</f>
        <v/>
      </c>
      <c r="O87" s="160">
        <f>MAX(0,O75-O78-O84)</f>
        <v/>
      </c>
      <c r="P87" s="160">
        <f>MAX(0,P75-P78-P84)</f>
        <v/>
      </c>
      <c r="Q87" s="160">
        <f>MAX(0,Q75-Q78-Q84)</f>
        <v/>
      </c>
      <c r="R87" s="160">
        <f>MAX(0,R75-R78-R84)</f>
        <v/>
      </c>
      <c r="S87" s="160">
        <f>MAX(0,S75-S78-S84)</f>
        <v/>
      </c>
      <c r="T87" s="160">
        <f>MAX(0,T75-T78-T84)</f>
        <v/>
      </c>
      <c r="U87" s="160">
        <f>MAX(0,U75-U78-U84)</f>
        <v/>
      </c>
      <c r="V87" s="160">
        <f>MAX(0,V75-V78-V84)</f>
        <v/>
      </c>
      <c r="W87" s="160">
        <f>MAX(0,W75-W78-W84)</f>
        <v/>
      </c>
      <c r="X87" s="160">
        <f>MAX(0,X75-X78-X84)</f>
        <v/>
      </c>
      <c r="Y87" s="160">
        <f>MAX(0,Y75-Y78-Y84)</f>
        <v/>
      </c>
      <c r="Z87" s="160">
        <f>MAX(0,Z75-Z78-Z84)</f>
        <v/>
      </c>
      <c r="AA87" s="160">
        <f>MAX(0,AA75-AA78-AA84)</f>
        <v/>
      </c>
      <c r="AB87" s="160">
        <f>MAX(0,AB75-AB78-AB84)</f>
        <v/>
      </c>
      <c r="AC87" s="160">
        <f>MAX(0,AC75-AC78-AC84)</f>
        <v/>
      </c>
      <c r="AD87" s="160">
        <f>MAX(0,AD75-AD78-AD84)</f>
        <v/>
      </c>
      <c r="AE87" s="160">
        <f>MAX(0,AE75-AE78-AE84)</f>
        <v/>
      </c>
      <c r="AF87" s="160">
        <f>MAX(0,AF75-AF78-AF84)</f>
        <v/>
      </c>
      <c r="AG87" s="160">
        <f>MAX(0,AG75-AG78-AG84)</f>
        <v/>
      </c>
      <c r="AH87" s="160">
        <f>MAX(0,AH75-AH78-AH84)</f>
        <v/>
      </c>
      <c r="AI87" s="160">
        <f>MAX(0,AI75-AI78-AI84)</f>
        <v/>
      </c>
      <c r="AJ87" s="160">
        <f>MAX(0,AJ75-AJ78-AJ84)</f>
        <v/>
      </c>
      <c r="AK87" s="160">
        <f>MAX(0,AK75-AK78-AK84)</f>
        <v/>
      </c>
      <c r="AL87" s="160">
        <f>MAX(0,AL75-AL78-AL84)</f>
        <v/>
      </c>
      <c r="AM87" s="160">
        <f>MAX(0,AM75-AM78-AM84)</f>
        <v/>
      </c>
      <c r="AN87" s="160">
        <f>MAX(0,AN75-AN78-AN84)</f>
        <v/>
      </c>
      <c r="AO87" s="160">
        <f>MAX(0,AO75-AO78-AO84)</f>
        <v/>
      </c>
      <c r="AP87" s="160">
        <f>MAX(0,AP75-AP78-AP84)</f>
        <v/>
      </c>
      <c r="AQ87" s="160">
        <f>MAX(0,AQ75-AQ78-AQ84)</f>
        <v/>
      </c>
      <c r="AR87" s="160">
        <f>MAX(0,AR75-AR78-AR84)</f>
        <v/>
      </c>
      <c r="AS87" s="160">
        <f>MAX(0,AS75-AS78-AS84)</f>
        <v/>
      </c>
      <c r="AT87" s="160">
        <f>MAX(0,AT75-AT78-AT84)</f>
        <v/>
      </c>
      <c r="AU87" s="160">
        <f>MAX(0,AU75-AU78-AU84)</f>
        <v/>
      </c>
      <c r="AV87" s="160">
        <f>MAX(0,AV75-AV78-AV84)</f>
        <v/>
      </c>
      <c r="AW87" s="160">
        <f>MAX(0,AW75-AW78-AW84)</f>
        <v/>
      </c>
      <c r="AX87" s="160">
        <f>MAX(0,AX75-AX78-AX84)</f>
        <v/>
      </c>
      <c r="AY87" s="160">
        <f>MAX(0,AY75-AY78-AY84)</f>
        <v/>
      </c>
      <c r="AZ87" s="160">
        <f>MAX(0,AZ75-AZ78-AZ84)</f>
        <v/>
      </c>
      <c r="BA87" s="160">
        <f>MAX(0,BA75-BA78-BA84)</f>
        <v/>
      </c>
      <c r="BB87" s="160">
        <f>MAX(0,BB75-BB78-BB84)</f>
        <v/>
      </c>
    </row>
    <row r="88" ht="15" customHeight="1" s="91">
      <c r="B88" s="153" t="inlineStr">
        <is>
          <t>Tier 3: GP Catch-up  تعويض المطور</t>
        </is>
      </c>
      <c r="C88" s="153" t="inlineStr">
        <is>
          <t>SAR</t>
        </is>
      </c>
      <c r="D88" s="157">
        <f>SUM(E88:BB88)</f>
        <v/>
      </c>
      <c r="E88" s="160">
        <f>IF($C$37="Y",MIN(E87,E84*$C$38/(1-$C$38)),0)</f>
        <v/>
      </c>
      <c r="F88" s="160">
        <f>IF($C$37="Y",MIN(F87,F84*$C$38/(1-$C$38)),0)</f>
        <v/>
      </c>
      <c r="G88" s="160">
        <f>IF($C$37="Y",MIN(G87,G84*$C$38/(1-$C$38)),0)</f>
        <v/>
      </c>
      <c r="H88" s="160">
        <f>IF($C$37="Y",MIN(H87,H84*$C$38/(1-$C$38)),0)</f>
        <v/>
      </c>
      <c r="I88" s="160">
        <f>IF($C$37="Y",MIN(I87,I84*$C$38/(1-$C$38)),0)</f>
        <v/>
      </c>
      <c r="J88" s="160">
        <f>IF($C$37="Y",MIN(J87,J84*$C$38/(1-$C$38)),0)</f>
        <v/>
      </c>
      <c r="K88" s="160">
        <f>IF($C$37="Y",MIN(K87,K84*$C$38/(1-$C$38)),0)</f>
        <v/>
      </c>
      <c r="L88" s="160">
        <f>IF($C$37="Y",MIN(L87,L84*$C$38/(1-$C$38)),0)</f>
        <v/>
      </c>
      <c r="M88" s="160">
        <f>IF($C$37="Y",MIN(M87,M84*$C$38/(1-$C$38)),0)</f>
        <v/>
      </c>
      <c r="N88" s="160">
        <f>IF($C$37="Y",MIN(N87,N84*$C$38/(1-$C$38)),0)</f>
        <v/>
      </c>
      <c r="O88" s="160">
        <f>IF($C$37="Y",MIN(O87,O84*$C$38/(1-$C$38)),0)</f>
        <v/>
      </c>
      <c r="P88" s="160">
        <f>IF($C$37="Y",MIN(P87,P84*$C$38/(1-$C$38)),0)</f>
        <v/>
      </c>
      <c r="Q88" s="160">
        <f>IF($C$37="Y",MIN(Q87,Q84*$C$38/(1-$C$38)),0)</f>
        <v/>
      </c>
      <c r="R88" s="160">
        <f>IF($C$37="Y",MIN(R87,R84*$C$38/(1-$C$38)),0)</f>
        <v/>
      </c>
      <c r="S88" s="160">
        <f>IF($C$37="Y",MIN(S87,S84*$C$38/(1-$C$38)),0)</f>
        <v/>
      </c>
      <c r="T88" s="160">
        <f>IF($C$37="Y",MIN(T87,T84*$C$38/(1-$C$38)),0)</f>
        <v/>
      </c>
      <c r="U88" s="160">
        <f>IF($C$37="Y",MIN(U87,U84*$C$38/(1-$C$38)),0)</f>
        <v/>
      </c>
      <c r="V88" s="160">
        <f>IF($C$37="Y",MIN(V87,V84*$C$38/(1-$C$38)),0)</f>
        <v/>
      </c>
      <c r="W88" s="160">
        <f>IF($C$37="Y",MIN(W87,W84*$C$38/(1-$C$38)),0)</f>
        <v/>
      </c>
      <c r="X88" s="160">
        <f>IF($C$37="Y",MIN(X87,X84*$C$38/(1-$C$38)),0)</f>
        <v/>
      </c>
      <c r="Y88" s="160">
        <f>IF($C$37="Y",MIN(Y87,Y84*$C$38/(1-$C$38)),0)</f>
        <v/>
      </c>
      <c r="Z88" s="160">
        <f>IF($C$37="Y",MIN(Z87,Z84*$C$38/(1-$C$38)),0)</f>
        <v/>
      </c>
      <c r="AA88" s="160">
        <f>IF($C$37="Y",MIN(AA87,AA84*$C$38/(1-$C$38)),0)</f>
        <v/>
      </c>
      <c r="AB88" s="160">
        <f>IF($C$37="Y",MIN(AB87,AB84*$C$38/(1-$C$38)),0)</f>
        <v/>
      </c>
      <c r="AC88" s="160">
        <f>IF($C$37="Y",MIN(AC87,AC84*$C$38/(1-$C$38)),0)</f>
        <v/>
      </c>
      <c r="AD88" s="160">
        <f>IF($C$37="Y",MIN(AD87,AD84*$C$38/(1-$C$38)),0)</f>
        <v/>
      </c>
      <c r="AE88" s="160">
        <f>IF($C$37="Y",MIN(AE87,AE84*$C$38/(1-$C$38)),0)</f>
        <v/>
      </c>
      <c r="AF88" s="160">
        <f>IF($C$37="Y",MIN(AF87,AF84*$C$38/(1-$C$38)),0)</f>
        <v/>
      </c>
      <c r="AG88" s="160">
        <f>IF($C$37="Y",MIN(AG87,AG84*$C$38/(1-$C$38)),0)</f>
        <v/>
      </c>
      <c r="AH88" s="160">
        <f>IF($C$37="Y",MIN(AH87,AH84*$C$38/(1-$C$38)),0)</f>
        <v/>
      </c>
      <c r="AI88" s="160">
        <f>IF($C$37="Y",MIN(AI87,AI84*$C$38/(1-$C$38)),0)</f>
        <v/>
      </c>
      <c r="AJ88" s="160">
        <f>IF($C$37="Y",MIN(AJ87,AJ84*$C$38/(1-$C$38)),0)</f>
        <v/>
      </c>
      <c r="AK88" s="160">
        <f>IF($C$37="Y",MIN(AK87,AK84*$C$38/(1-$C$38)),0)</f>
        <v/>
      </c>
      <c r="AL88" s="160">
        <f>IF($C$37="Y",MIN(AL87,AL84*$C$38/(1-$C$38)),0)</f>
        <v/>
      </c>
      <c r="AM88" s="160">
        <f>IF($C$37="Y",MIN(AM87,AM84*$C$38/(1-$C$38)),0)</f>
        <v/>
      </c>
      <c r="AN88" s="160">
        <f>IF($C$37="Y",MIN(AN87,AN84*$C$38/(1-$C$38)),0)</f>
        <v/>
      </c>
      <c r="AO88" s="160">
        <f>IF($C$37="Y",MIN(AO87,AO84*$C$38/(1-$C$38)),0)</f>
        <v/>
      </c>
      <c r="AP88" s="160">
        <f>IF($C$37="Y",MIN(AP87,AP84*$C$38/(1-$C$38)),0)</f>
        <v/>
      </c>
      <c r="AQ88" s="160">
        <f>IF($C$37="Y",MIN(AQ87,AQ84*$C$38/(1-$C$38)),0)</f>
        <v/>
      </c>
      <c r="AR88" s="160">
        <f>IF($C$37="Y",MIN(AR87,AR84*$C$38/(1-$C$38)),0)</f>
        <v/>
      </c>
      <c r="AS88" s="160">
        <f>IF($C$37="Y",MIN(AS87,AS84*$C$38/(1-$C$38)),0)</f>
        <v/>
      </c>
      <c r="AT88" s="160">
        <f>IF($C$37="Y",MIN(AT87,AT84*$C$38/(1-$C$38)),0)</f>
        <v/>
      </c>
      <c r="AU88" s="160">
        <f>IF($C$37="Y",MIN(AU87,AU84*$C$38/(1-$C$38)),0)</f>
        <v/>
      </c>
      <c r="AV88" s="160">
        <f>IF($C$37="Y",MIN(AV87,AV84*$C$38/(1-$C$38)),0)</f>
        <v/>
      </c>
      <c r="AW88" s="160">
        <f>IF($C$37="Y",MIN(AW87,AW84*$C$38/(1-$C$38)),0)</f>
        <v/>
      </c>
      <c r="AX88" s="160">
        <f>IF($C$37="Y",MIN(AX87,AX84*$C$38/(1-$C$38)),0)</f>
        <v/>
      </c>
      <c r="AY88" s="160">
        <f>IF($C$37="Y",MIN(AY87,AY84*$C$38/(1-$C$38)),0)</f>
        <v/>
      </c>
      <c r="AZ88" s="160">
        <f>IF($C$37="Y",MIN(AZ87,AZ84*$C$38/(1-$C$38)),0)</f>
        <v/>
      </c>
      <c r="BA88" s="160">
        <f>IF($C$37="Y",MIN(BA87,BA84*$C$38/(1-$C$38)),0)</f>
        <v/>
      </c>
      <c r="BB88" s="160">
        <f>IF($C$37="Y",MIN(BB87,BB84*$C$38/(1-$C$38)),0)</f>
        <v/>
      </c>
    </row>
    <row r="89" ht="15" customHeight="1" s="91">
      <c r="B89" s="153" t="inlineStr">
        <is>
          <t>Tier 4: Profit Split  تقسيم الأرباح</t>
        </is>
      </c>
      <c r="C89" s="153" t="inlineStr">
        <is>
          <t>SAR</t>
        </is>
      </c>
      <c r="D89" s="157">
        <f>SUM(E89:BB89)</f>
        <v/>
      </c>
      <c r="E89" s="160">
        <f>MAX(0,E87-E88)</f>
        <v/>
      </c>
      <c r="F89" s="160">
        <f>MAX(0,F87-F88)</f>
        <v/>
      </c>
      <c r="G89" s="160">
        <f>MAX(0,G87-G88)</f>
        <v/>
      </c>
      <c r="H89" s="160">
        <f>MAX(0,H87-H88)</f>
        <v/>
      </c>
      <c r="I89" s="160">
        <f>MAX(0,I87-I88)</f>
        <v/>
      </c>
      <c r="J89" s="160">
        <f>MAX(0,J87-J88)</f>
        <v/>
      </c>
      <c r="K89" s="160">
        <f>MAX(0,K87-K88)</f>
        <v/>
      </c>
      <c r="L89" s="160">
        <f>MAX(0,L87-L88)</f>
        <v/>
      </c>
      <c r="M89" s="160">
        <f>MAX(0,M87-M88)</f>
        <v/>
      </c>
      <c r="N89" s="160">
        <f>MAX(0,N87-N88)</f>
        <v/>
      </c>
      <c r="O89" s="160">
        <f>MAX(0,O87-O88)</f>
        <v/>
      </c>
      <c r="P89" s="160">
        <f>MAX(0,P87-P88)</f>
        <v/>
      </c>
      <c r="Q89" s="160">
        <f>MAX(0,Q87-Q88)</f>
        <v/>
      </c>
      <c r="R89" s="160">
        <f>MAX(0,R87-R88)</f>
        <v/>
      </c>
      <c r="S89" s="160">
        <f>MAX(0,S87-S88)</f>
        <v/>
      </c>
      <c r="T89" s="160">
        <f>MAX(0,T87-T88)</f>
        <v/>
      </c>
      <c r="U89" s="160">
        <f>MAX(0,U87-U88)</f>
        <v/>
      </c>
      <c r="V89" s="160">
        <f>MAX(0,V87-V88)</f>
        <v/>
      </c>
      <c r="W89" s="160">
        <f>MAX(0,W87-W88)</f>
        <v/>
      </c>
      <c r="X89" s="160">
        <f>MAX(0,X87-X88)</f>
        <v/>
      </c>
      <c r="Y89" s="160">
        <f>MAX(0,Y87-Y88)</f>
        <v/>
      </c>
      <c r="Z89" s="160">
        <f>MAX(0,Z87-Z88)</f>
        <v/>
      </c>
      <c r="AA89" s="160">
        <f>MAX(0,AA87-AA88)</f>
        <v/>
      </c>
      <c r="AB89" s="160">
        <f>MAX(0,AB87-AB88)</f>
        <v/>
      </c>
      <c r="AC89" s="160">
        <f>MAX(0,AC87-AC88)</f>
        <v/>
      </c>
      <c r="AD89" s="160">
        <f>MAX(0,AD87-AD88)</f>
        <v/>
      </c>
      <c r="AE89" s="160">
        <f>MAX(0,AE87-AE88)</f>
        <v/>
      </c>
      <c r="AF89" s="160">
        <f>MAX(0,AF87-AF88)</f>
        <v/>
      </c>
      <c r="AG89" s="160">
        <f>MAX(0,AG87-AG88)</f>
        <v/>
      </c>
      <c r="AH89" s="160">
        <f>MAX(0,AH87-AH88)</f>
        <v/>
      </c>
      <c r="AI89" s="160">
        <f>MAX(0,AI87-AI88)</f>
        <v/>
      </c>
      <c r="AJ89" s="160">
        <f>MAX(0,AJ87-AJ88)</f>
        <v/>
      </c>
      <c r="AK89" s="160">
        <f>MAX(0,AK87-AK88)</f>
        <v/>
      </c>
      <c r="AL89" s="160">
        <f>MAX(0,AL87-AL88)</f>
        <v/>
      </c>
      <c r="AM89" s="160">
        <f>MAX(0,AM87-AM88)</f>
        <v/>
      </c>
      <c r="AN89" s="160">
        <f>MAX(0,AN87-AN88)</f>
        <v/>
      </c>
      <c r="AO89" s="160">
        <f>MAX(0,AO87-AO88)</f>
        <v/>
      </c>
      <c r="AP89" s="160">
        <f>MAX(0,AP87-AP88)</f>
        <v/>
      </c>
      <c r="AQ89" s="160">
        <f>MAX(0,AQ87-AQ88)</f>
        <v/>
      </c>
      <c r="AR89" s="160">
        <f>MAX(0,AR87-AR88)</f>
        <v/>
      </c>
      <c r="AS89" s="160">
        <f>MAX(0,AS87-AS88)</f>
        <v/>
      </c>
      <c r="AT89" s="160">
        <f>MAX(0,AT87-AT88)</f>
        <v/>
      </c>
      <c r="AU89" s="160">
        <f>MAX(0,AU87-AU88)</f>
        <v/>
      </c>
      <c r="AV89" s="160">
        <f>MAX(0,AV87-AV88)</f>
        <v/>
      </c>
      <c r="AW89" s="160">
        <f>MAX(0,AW87-AW88)</f>
        <v/>
      </c>
      <c r="AX89" s="160">
        <f>MAX(0,AX87-AX88)</f>
        <v/>
      </c>
      <c r="AY89" s="160">
        <f>MAX(0,AY87-AY88)</f>
        <v/>
      </c>
      <c r="AZ89" s="160">
        <f>MAX(0,AZ87-AZ88)</f>
        <v/>
      </c>
      <c r="BA89" s="160">
        <f>MAX(0,BA87-BA88)</f>
        <v/>
      </c>
      <c r="BB89" s="160">
        <f>MAX(0,BB87-BB88)</f>
        <v/>
      </c>
    </row>
    <row r="90" ht="15" customHeight="1" s="91">
      <c r="B90" s="153" t="inlineStr">
        <is>
          <t xml:space="preserve">  → LP  حصة المستثمرين</t>
        </is>
      </c>
      <c r="C90" s="153" t="inlineStr">
        <is>
          <t>SAR</t>
        </is>
      </c>
      <c r="D90" s="160">
        <f>SUM(E90:BB90)</f>
        <v/>
      </c>
      <c r="E90" s="160">
        <f>E89*(1-$C$38)</f>
        <v/>
      </c>
      <c r="F90" s="160">
        <f>F89*(1-$C$38)</f>
        <v/>
      </c>
      <c r="G90" s="160">
        <f>G89*(1-$C$38)</f>
        <v/>
      </c>
      <c r="H90" s="160">
        <f>H89*(1-$C$38)</f>
        <v/>
      </c>
      <c r="I90" s="160">
        <f>I89*(1-$C$38)</f>
        <v/>
      </c>
      <c r="J90" s="160">
        <f>J89*(1-$C$38)</f>
        <v/>
      </c>
      <c r="K90" s="160">
        <f>K89*(1-$C$38)</f>
        <v/>
      </c>
      <c r="L90" s="160">
        <f>L89*(1-$C$38)</f>
        <v/>
      </c>
      <c r="M90" s="160">
        <f>M89*(1-$C$38)</f>
        <v/>
      </c>
      <c r="N90" s="160">
        <f>N89*(1-$C$38)</f>
        <v/>
      </c>
      <c r="O90" s="160">
        <f>O89*(1-$C$38)</f>
        <v/>
      </c>
      <c r="P90" s="160">
        <f>P89*(1-$C$38)</f>
        <v/>
      </c>
      <c r="Q90" s="160">
        <f>Q89*(1-$C$38)</f>
        <v/>
      </c>
      <c r="R90" s="160">
        <f>R89*(1-$C$38)</f>
        <v/>
      </c>
      <c r="S90" s="160">
        <f>S89*(1-$C$38)</f>
        <v/>
      </c>
      <c r="T90" s="160">
        <f>T89*(1-$C$38)</f>
        <v/>
      </c>
      <c r="U90" s="160">
        <f>U89*(1-$C$38)</f>
        <v/>
      </c>
      <c r="V90" s="160">
        <f>V89*(1-$C$38)</f>
        <v/>
      </c>
      <c r="W90" s="160">
        <f>W89*(1-$C$38)</f>
        <v/>
      </c>
      <c r="X90" s="160">
        <f>X89*(1-$C$38)</f>
        <v/>
      </c>
      <c r="Y90" s="160">
        <f>Y89*(1-$C$38)</f>
        <v/>
      </c>
      <c r="Z90" s="160">
        <f>Z89*(1-$C$38)</f>
        <v/>
      </c>
      <c r="AA90" s="160">
        <f>AA89*(1-$C$38)</f>
        <v/>
      </c>
      <c r="AB90" s="160">
        <f>AB89*(1-$C$38)</f>
        <v/>
      </c>
      <c r="AC90" s="160">
        <f>AC89*(1-$C$38)</f>
        <v/>
      </c>
      <c r="AD90" s="160">
        <f>AD89*(1-$C$38)</f>
        <v/>
      </c>
      <c r="AE90" s="160">
        <f>AE89*(1-$C$38)</f>
        <v/>
      </c>
      <c r="AF90" s="160">
        <f>AF89*(1-$C$38)</f>
        <v/>
      </c>
      <c r="AG90" s="160">
        <f>AG89*(1-$C$38)</f>
        <v/>
      </c>
      <c r="AH90" s="160">
        <f>AH89*(1-$C$38)</f>
        <v/>
      </c>
      <c r="AI90" s="160">
        <f>AI89*(1-$C$38)</f>
        <v/>
      </c>
      <c r="AJ90" s="160">
        <f>AJ89*(1-$C$38)</f>
        <v/>
      </c>
      <c r="AK90" s="160">
        <f>AK89*(1-$C$38)</f>
        <v/>
      </c>
      <c r="AL90" s="160">
        <f>AL89*(1-$C$38)</f>
        <v/>
      </c>
      <c r="AM90" s="160">
        <f>AM89*(1-$C$38)</f>
        <v/>
      </c>
      <c r="AN90" s="160">
        <f>AN89*(1-$C$38)</f>
        <v/>
      </c>
      <c r="AO90" s="160">
        <f>AO89*(1-$C$38)</f>
        <v/>
      </c>
      <c r="AP90" s="160">
        <f>AP89*(1-$C$38)</f>
        <v/>
      </c>
      <c r="AQ90" s="160">
        <f>AQ89*(1-$C$38)</f>
        <v/>
      </c>
      <c r="AR90" s="160">
        <f>AR89*(1-$C$38)</f>
        <v/>
      </c>
      <c r="AS90" s="160">
        <f>AS89*(1-$C$38)</f>
        <v/>
      </c>
      <c r="AT90" s="160">
        <f>AT89*(1-$C$38)</f>
        <v/>
      </c>
      <c r="AU90" s="160">
        <f>AU89*(1-$C$38)</f>
        <v/>
      </c>
      <c r="AV90" s="160">
        <f>AV89*(1-$C$38)</f>
        <v/>
      </c>
      <c r="AW90" s="160">
        <f>AW89*(1-$C$38)</f>
        <v/>
      </c>
      <c r="AX90" s="160">
        <f>AX89*(1-$C$38)</f>
        <v/>
      </c>
      <c r="AY90" s="160">
        <f>AY89*(1-$C$38)</f>
        <v/>
      </c>
      <c r="AZ90" s="160">
        <f>AZ89*(1-$C$38)</f>
        <v/>
      </c>
      <c r="BA90" s="160">
        <f>BA89*(1-$C$38)</f>
        <v/>
      </c>
      <c r="BB90" s="160">
        <f>BB89*(1-$C$38)</f>
        <v/>
      </c>
    </row>
    <row r="91" ht="15" customHeight="1" s="91">
      <c r="B91" s="153" t="inlineStr">
        <is>
          <t xml:space="preserve">  → GP / Carry  حصة الأداء</t>
        </is>
      </c>
      <c r="C91" s="153" t="inlineStr">
        <is>
          <t>SAR</t>
        </is>
      </c>
      <c r="D91" s="160">
        <f>SUM(E91:BB91)</f>
        <v/>
      </c>
      <c r="E91" s="160">
        <f>E89*$C$38</f>
        <v/>
      </c>
      <c r="F91" s="160">
        <f>F89*$C$38</f>
        <v/>
      </c>
      <c r="G91" s="160">
        <f>G89*$C$38</f>
        <v/>
      </c>
      <c r="H91" s="160">
        <f>H89*$C$38</f>
        <v/>
      </c>
      <c r="I91" s="160">
        <f>I89*$C$38</f>
        <v/>
      </c>
      <c r="J91" s="160">
        <f>J89*$C$38</f>
        <v/>
      </c>
      <c r="K91" s="160">
        <f>K89*$C$38</f>
        <v/>
      </c>
      <c r="L91" s="160">
        <f>L89*$C$38</f>
        <v/>
      </c>
      <c r="M91" s="160">
        <f>M89*$C$38</f>
        <v/>
      </c>
      <c r="N91" s="160">
        <f>N89*$C$38</f>
        <v/>
      </c>
      <c r="O91" s="160">
        <f>O89*$C$38</f>
        <v/>
      </c>
      <c r="P91" s="160">
        <f>P89*$C$38</f>
        <v/>
      </c>
      <c r="Q91" s="160">
        <f>Q89*$C$38</f>
        <v/>
      </c>
      <c r="R91" s="160">
        <f>R89*$C$38</f>
        <v/>
      </c>
      <c r="S91" s="160">
        <f>S89*$C$38</f>
        <v/>
      </c>
      <c r="T91" s="160">
        <f>T89*$C$38</f>
        <v/>
      </c>
      <c r="U91" s="160">
        <f>U89*$C$38</f>
        <v/>
      </c>
      <c r="V91" s="160">
        <f>V89*$C$38</f>
        <v/>
      </c>
      <c r="W91" s="160">
        <f>W89*$C$38</f>
        <v/>
      </c>
      <c r="X91" s="160">
        <f>X89*$C$38</f>
        <v/>
      </c>
      <c r="Y91" s="160">
        <f>Y89*$C$38</f>
        <v/>
      </c>
      <c r="Z91" s="160">
        <f>Z89*$C$38</f>
        <v/>
      </c>
      <c r="AA91" s="160">
        <f>AA89*$C$38</f>
        <v/>
      </c>
      <c r="AB91" s="160">
        <f>AB89*$C$38</f>
        <v/>
      </c>
      <c r="AC91" s="160">
        <f>AC89*$C$38</f>
        <v/>
      </c>
      <c r="AD91" s="160">
        <f>AD89*$C$38</f>
        <v/>
      </c>
      <c r="AE91" s="160">
        <f>AE89*$C$38</f>
        <v/>
      </c>
      <c r="AF91" s="160">
        <f>AF89*$C$38</f>
        <v/>
      </c>
      <c r="AG91" s="160">
        <f>AG89*$C$38</f>
        <v/>
      </c>
      <c r="AH91" s="160">
        <f>AH89*$C$38</f>
        <v/>
      </c>
      <c r="AI91" s="160">
        <f>AI89*$C$38</f>
        <v/>
      </c>
      <c r="AJ91" s="160">
        <f>AJ89*$C$38</f>
        <v/>
      </c>
      <c r="AK91" s="160">
        <f>AK89*$C$38</f>
        <v/>
      </c>
      <c r="AL91" s="160">
        <f>AL89*$C$38</f>
        <v/>
      </c>
      <c r="AM91" s="160">
        <f>AM89*$C$38</f>
        <v/>
      </c>
      <c r="AN91" s="160">
        <f>AN89*$C$38</f>
        <v/>
      </c>
      <c r="AO91" s="160">
        <f>AO89*$C$38</f>
        <v/>
      </c>
      <c r="AP91" s="160">
        <f>AP89*$C$38</f>
        <v/>
      </c>
      <c r="AQ91" s="160">
        <f>AQ89*$C$38</f>
        <v/>
      </c>
      <c r="AR91" s="160">
        <f>AR89*$C$38</f>
        <v/>
      </c>
      <c r="AS91" s="160">
        <f>AS89*$C$38</f>
        <v/>
      </c>
      <c r="AT91" s="160">
        <f>AT89*$C$38</f>
        <v/>
      </c>
      <c r="AU91" s="160">
        <f>AU89*$C$38</f>
        <v/>
      </c>
      <c r="AV91" s="160">
        <f>AV89*$C$38</f>
        <v/>
      </c>
      <c r="AW91" s="160">
        <f>AW89*$C$38</f>
        <v/>
      </c>
      <c r="AX91" s="160">
        <f>AX89*$C$38</f>
        <v/>
      </c>
      <c r="AY91" s="160">
        <f>AY89*$C$38</f>
        <v/>
      </c>
      <c r="AZ91" s="160">
        <f>AZ89*$C$38</f>
        <v/>
      </c>
      <c r="BA91" s="160">
        <f>BA89*$C$38</f>
        <v/>
      </c>
      <c r="BB91" s="160">
        <f>BB89*$C$38</f>
        <v/>
      </c>
    </row>
    <row r="93" ht="15" customHeight="1" s="91">
      <c r="B93" s="110" t="inlineStr">
        <is>
          <t>Total Distribution to LP  إجمالي توزيعات المستثمرين</t>
        </is>
      </c>
      <c r="C93" s="153" t="inlineStr">
        <is>
          <t>SAR</t>
        </is>
      </c>
      <c r="D93" s="157">
        <f>SUM(E93:BB93)</f>
        <v/>
      </c>
      <c r="E93" s="160">
        <f>E78*$C$16+E84*$C$16+E90</f>
        <v/>
      </c>
      <c r="F93" s="160">
        <f>F78*$C$16+F84*$C$16+F90</f>
        <v/>
      </c>
      <c r="G93" s="160">
        <f>G78*$C$16+G84*$C$16+G90</f>
        <v/>
      </c>
      <c r="H93" s="160">
        <f>H78*$C$16+H84*$C$16+H90</f>
        <v/>
      </c>
      <c r="I93" s="160">
        <f>I78*$C$16+I84*$C$16+I90</f>
        <v/>
      </c>
      <c r="J93" s="160">
        <f>J78*$C$16+J84*$C$16+J90</f>
        <v/>
      </c>
      <c r="K93" s="160">
        <f>K78*$C$16+K84*$C$16+K90</f>
        <v/>
      </c>
      <c r="L93" s="160">
        <f>L78*$C$16+L84*$C$16+L90</f>
        <v/>
      </c>
      <c r="M93" s="160">
        <f>M78*$C$16+M84*$C$16+M90</f>
        <v/>
      </c>
      <c r="N93" s="160">
        <f>N78*$C$16+N84*$C$16+N90</f>
        <v/>
      </c>
      <c r="O93" s="160">
        <f>O78*$C$16+O84*$C$16+O90</f>
        <v/>
      </c>
      <c r="P93" s="160">
        <f>P78*$C$16+P84*$C$16+P90</f>
        <v/>
      </c>
      <c r="Q93" s="160">
        <f>Q78*$C$16+Q84*$C$16+Q90</f>
        <v/>
      </c>
      <c r="R93" s="160">
        <f>R78*$C$16+R84*$C$16+R90</f>
        <v/>
      </c>
      <c r="S93" s="160">
        <f>S78*$C$16+S84*$C$16+S90</f>
        <v/>
      </c>
      <c r="T93" s="160">
        <f>T78*$C$16+T84*$C$16+T90</f>
        <v/>
      </c>
      <c r="U93" s="160">
        <f>U78*$C$16+U84*$C$16+U90</f>
        <v/>
      </c>
      <c r="V93" s="160">
        <f>V78*$C$16+V84*$C$16+V90</f>
        <v/>
      </c>
      <c r="W93" s="160">
        <f>W78*$C$16+W84*$C$16+W90</f>
        <v/>
      </c>
      <c r="X93" s="160">
        <f>X78*$C$16+X84*$C$16+X90</f>
        <v/>
      </c>
      <c r="Y93" s="160">
        <f>Y78*$C$16+Y84*$C$16+Y90</f>
        <v/>
      </c>
      <c r="Z93" s="160">
        <f>Z78*$C$16+Z84*$C$16+Z90</f>
        <v/>
      </c>
      <c r="AA93" s="160">
        <f>AA78*$C$16+AA84*$C$16+AA90</f>
        <v/>
      </c>
      <c r="AB93" s="160">
        <f>AB78*$C$16+AB84*$C$16+AB90</f>
        <v/>
      </c>
      <c r="AC93" s="160">
        <f>AC78*$C$16+AC84*$C$16+AC90</f>
        <v/>
      </c>
      <c r="AD93" s="160">
        <f>AD78*$C$16+AD84*$C$16+AD90</f>
        <v/>
      </c>
      <c r="AE93" s="160">
        <f>AE78*$C$16+AE84*$C$16+AE90</f>
        <v/>
      </c>
      <c r="AF93" s="160">
        <f>AF78*$C$16+AF84*$C$16+AF90</f>
        <v/>
      </c>
      <c r="AG93" s="160">
        <f>AG78*$C$16+AG84*$C$16+AG90</f>
        <v/>
      </c>
      <c r="AH93" s="160">
        <f>AH78*$C$16+AH84*$C$16+AH90</f>
        <v/>
      </c>
      <c r="AI93" s="160">
        <f>AI78*$C$16+AI84*$C$16+AI90</f>
        <v/>
      </c>
      <c r="AJ93" s="160">
        <f>AJ78*$C$16+AJ84*$C$16+AJ90</f>
        <v/>
      </c>
      <c r="AK93" s="160">
        <f>AK78*$C$16+AK84*$C$16+AK90</f>
        <v/>
      </c>
      <c r="AL93" s="160">
        <f>AL78*$C$16+AL84*$C$16+AL90</f>
        <v/>
      </c>
      <c r="AM93" s="160">
        <f>AM78*$C$16+AM84*$C$16+AM90</f>
        <v/>
      </c>
      <c r="AN93" s="160">
        <f>AN78*$C$16+AN84*$C$16+AN90</f>
        <v/>
      </c>
      <c r="AO93" s="160">
        <f>AO78*$C$16+AO84*$C$16+AO90</f>
        <v/>
      </c>
      <c r="AP93" s="160">
        <f>AP78*$C$16+AP84*$C$16+AP90</f>
        <v/>
      </c>
      <c r="AQ93" s="160">
        <f>AQ78*$C$16+AQ84*$C$16+AQ90</f>
        <v/>
      </c>
      <c r="AR93" s="160">
        <f>AR78*$C$16+AR84*$C$16+AR90</f>
        <v/>
      </c>
      <c r="AS93" s="160">
        <f>AS78*$C$16+AS84*$C$16+AS90</f>
        <v/>
      </c>
      <c r="AT93" s="160">
        <f>AT78*$C$16+AT84*$C$16+AT90</f>
        <v/>
      </c>
      <c r="AU93" s="160">
        <f>AU78*$C$16+AU84*$C$16+AU90</f>
        <v/>
      </c>
      <c r="AV93" s="160">
        <f>AV78*$C$16+AV84*$C$16+AV90</f>
        <v/>
      </c>
      <c r="AW93" s="160">
        <f>AW78*$C$16+AW84*$C$16+AW90</f>
        <v/>
      </c>
      <c r="AX93" s="160">
        <f>AX78*$C$16+AX84*$C$16+AX90</f>
        <v/>
      </c>
      <c r="AY93" s="160">
        <f>AY78*$C$16+AY84*$C$16+AY90</f>
        <v/>
      </c>
      <c r="AZ93" s="160">
        <f>AZ78*$C$16+AZ84*$C$16+AZ90</f>
        <v/>
      </c>
      <c r="BA93" s="160">
        <f>BA78*$C$16+BA84*$C$16+BA90</f>
        <v/>
      </c>
      <c r="BB93" s="160">
        <f>BB78*$C$16+BB84*$C$16+BB90</f>
        <v/>
      </c>
    </row>
    <row r="94" ht="15" customHeight="1" s="91">
      <c r="B94" s="110" t="inlineStr">
        <is>
          <t>Total Distribution to GP  إجمالي توزيعات المطور</t>
        </is>
      </c>
      <c r="C94" s="153" t="inlineStr">
        <is>
          <t>SAR</t>
        </is>
      </c>
      <c r="D94" s="157">
        <f>SUM(E94:BB94)</f>
        <v/>
      </c>
      <c r="E94" s="160">
        <f>E78*$C$15+E84*$C$15+E88+E91</f>
        <v/>
      </c>
      <c r="F94" s="160">
        <f>F78*$C$15+F84*$C$15+F88+F91</f>
        <v/>
      </c>
      <c r="G94" s="160">
        <f>G78*$C$15+G84*$C$15+G88+G91</f>
        <v/>
      </c>
      <c r="H94" s="160">
        <f>H78*$C$15+H84*$C$15+H88+H91</f>
        <v/>
      </c>
      <c r="I94" s="160">
        <f>I78*$C$15+I84*$C$15+I88+I91</f>
        <v/>
      </c>
      <c r="J94" s="160">
        <f>J78*$C$15+J84*$C$15+J88+J91</f>
        <v/>
      </c>
      <c r="K94" s="160">
        <f>K78*$C$15+K84*$C$15+K88+K91</f>
        <v/>
      </c>
      <c r="L94" s="160">
        <f>L78*$C$15+L84*$C$15+L88+L91</f>
        <v/>
      </c>
      <c r="M94" s="160">
        <f>M78*$C$15+M84*$C$15+M88+M91</f>
        <v/>
      </c>
      <c r="N94" s="160">
        <f>N78*$C$15+N84*$C$15+N88+N91</f>
        <v/>
      </c>
      <c r="O94" s="160">
        <f>O78*$C$15+O84*$C$15+O88+O91</f>
        <v/>
      </c>
      <c r="P94" s="160">
        <f>P78*$C$15+P84*$C$15+P88+P91</f>
        <v/>
      </c>
      <c r="Q94" s="160">
        <f>Q78*$C$15+Q84*$C$15+Q88+Q91</f>
        <v/>
      </c>
      <c r="R94" s="160">
        <f>R78*$C$15+R84*$C$15+R88+R91</f>
        <v/>
      </c>
      <c r="S94" s="160">
        <f>S78*$C$15+S84*$C$15+S88+S91</f>
        <v/>
      </c>
      <c r="T94" s="160">
        <f>T78*$C$15+T84*$C$15+T88+T91</f>
        <v/>
      </c>
      <c r="U94" s="160">
        <f>U78*$C$15+U84*$C$15+U88+U91</f>
        <v/>
      </c>
      <c r="V94" s="160">
        <f>V78*$C$15+V84*$C$15+V88+V91</f>
        <v/>
      </c>
      <c r="W94" s="160">
        <f>W78*$C$15+W84*$C$15+W88+W91</f>
        <v/>
      </c>
      <c r="X94" s="160">
        <f>X78*$C$15+X84*$C$15+X88+X91</f>
        <v/>
      </c>
      <c r="Y94" s="160">
        <f>Y78*$C$15+Y84*$C$15+Y88+Y91</f>
        <v/>
      </c>
      <c r="Z94" s="160">
        <f>Z78*$C$15+Z84*$C$15+Z88+Z91</f>
        <v/>
      </c>
      <c r="AA94" s="160">
        <f>AA78*$C$15+AA84*$C$15+AA88+AA91</f>
        <v/>
      </c>
      <c r="AB94" s="160">
        <f>AB78*$C$15+AB84*$C$15+AB88+AB91</f>
        <v/>
      </c>
      <c r="AC94" s="160">
        <f>AC78*$C$15+AC84*$C$15+AC88+AC91</f>
        <v/>
      </c>
      <c r="AD94" s="160">
        <f>AD78*$C$15+AD84*$C$15+AD88+AD91</f>
        <v/>
      </c>
      <c r="AE94" s="160">
        <f>AE78*$C$15+AE84*$C$15+AE88+AE91</f>
        <v/>
      </c>
      <c r="AF94" s="160">
        <f>AF78*$C$15+AF84*$C$15+AF88+AF91</f>
        <v/>
      </c>
      <c r="AG94" s="160">
        <f>AG78*$C$15+AG84*$C$15+AG88+AG91</f>
        <v/>
      </c>
      <c r="AH94" s="160">
        <f>AH78*$C$15+AH84*$C$15+AH88+AH91</f>
        <v/>
      </c>
      <c r="AI94" s="160">
        <f>AI78*$C$15+AI84*$C$15+AI88+AI91</f>
        <v/>
      </c>
      <c r="AJ94" s="160">
        <f>AJ78*$C$15+AJ84*$C$15+AJ88+AJ91</f>
        <v/>
      </c>
      <c r="AK94" s="160">
        <f>AK78*$C$15+AK84*$C$15+AK88+AK91</f>
        <v/>
      </c>
      <c r="AL94" s="160">
        <f>AL78*$C$15+AL84*$C$15+AL88+AL91</f>
        <v/>
      </c>
      <c r="AM94" s="160">
        <f>AM78*$C$15+AM84*$C$15+AM88+AM91</f>
        <v/>
      </c>
      <c r="AN94" s="160">
        <f>AN78*$C$15+AN84*$C$15+AN88+AN91</f>
        <v/>
      </c>
      <c r="AO94" s="160">
        <f>AO78*$C$15+AO84*$C$15+AO88+AO91</f>
        <v/>
      </c>
      <c r="AP94" s="160">
        <f>AP78*$C$15+AP84*$C$15+AP88+AP91</f>
        <v/>
      </c>
      <c r="AQ94" s="160">
        <f>AQ78*$C$15+AQ84*$C$15+AQ88+AQ91</f>
        <v/>
      </c>
      <c r="AR94" s="160">
        <f>AR78*$C$15+AR84*$C$15+AR88+AR91</f>
        <v/>
      </c>
      <c r="AS94" s="160">
        <f>AS78*$C$15+AS84*$C$15+AS88+AS91</f>
        <v/>
      </c>
      <c r="AT94" s="160">
        <f>AT78*$C$15+AT84*$C$15+AT88+AT91</f>
        <v/>
      </c>
      <c r="AU94" s="160">
        <f>AU78*$C$15+AU84*$C$15+AU88+AU91</f>
        <v/>
      </c>
      <c r="AV94" s="160">
        <f>AV78*$C$15+AV84*$C$15+AV88+AV91</f>
        <v/>
      </c>
      <c r="AW94" s="160">
        <f>AW78*$C$15+AW84*$C$15+AW88+AW91</f>
        <v/>
      </c>
      <c r="AX94" s="160">
        <f>AX78*$C$15+AX84*$C$15+AX88+AX91</f>
        <v/>
      </c>
      <c r="AY94" s="160">
        <f>AY78*$C$15+AY84*$C$15+AY88+AY91</f>
        <v/>
      </c>
      <c r="AZ94" s="160">
        <f>AZ78*$C$15+AZ84*$C$15+AZ88+AZ91</f>
        <v/>
      </c>
      <c r="BA94" s="160">
        <f>BA78*$C$15+BA84*$C$15+BA88+BA91</f>
        <v/>
      </c>
      <c r="BB94" s="160">
        <f>BB78*$C$15+BB84*$C$15+BB88+BB91</f>
        <v/>
      </c>
    </row>
    <row r="95" ht="15" customHeight="1" s="91">
      <c r="B95" s="110" t="inlineStr">
        <is>
          <t>Total Distributions  إجمالي التوزيعات</t>
        </is>
      </c>
      <c r="C95" s="153" t="inlineStr">
        <is>
          <t>SAR</t>
        </is>
      </c>
      <c r="D95" s="157">
        <f>SUM(E95:BB95)</f>
        <v/>
      </c>
      <c r="E95" s="157">
        <f>E93+E94</f>
        <v/>
      </c>
      <c r="F95" s="157">
        <f>F93+F94</f>
        <v/>
      </c>
      <c r="G95" s="157">
        <f>G93+G94</f>
        <v/>
      </c>
      <c r="H95" s="157">
        <f>H93+H94</f>
        <v/>
      </c>
      <c r="I95" s="157">
        <f>I93+I94</f>
        <v/>
      </c>
      <c r="J95" s="157">
        <f>J93+J94</f>
        <v/>
      </c>
      <c r="K95" s="157">
        <f>K93+K94</f>
        <v/>
      </c>
      <c r="L95" s="157">
        <f>L93+L94</f>
        <v/>
      </c>
      <c r="M95" s="157">
        <f>M93+M94</f>
        <v/>
      </c>
      <c r="N95" s="157">
        <f>N93+N94</f>
        <v/>
      </c>
      <c r="O95" s="157">
        <f>O93+O94</f>
        <v/>
      </c>
      <c r="P95" s="157">
        <f>P93+P94</f>
        <v/>
      </c>
      <c r="Q95" s="157">
        <f>Q93+Q94</f>
        <v/>
      </c>
      <c r="R95" s="157">
        <f>R93+R94</f>
        <v/>
      </c>
      <c r="S95" s="157">
        <f>S93+S94</f>
        <v/>
      </c>
      <c r="T95" s="157">
        <f>T93+T94</f>
        <v/>
      </c>
      <c r="U95" s="157">
        <f>U93+U94</f>
        <v/>
      </c>
      <c r="V95" s="157">
        <f>V93+V94</f>
        <v/>
      </c>
      <c r="W95" s="157">
        <f>W93+W94</f>
        <v/>
      </c>
      <c r="X95" s="157">
        <f>X93+X94</f>
        <v/>
      </c>
      <c r="Y95" s="157">
        <f>Y93+Y94</f>
        <v/>
      </c>
      <c r="Z95" s="157">
        <f>Z93+Z94</f>
        <v/>
      </c>
      <c r="AA95" s="157">
        <f>AA93+AA94</f>
        <v/>
      </c>
      <c r="AB95" s="157">
        <f>AB93+AB94</f>
        <v/>
      </c>
      <c r="AC95" s="157">
        <f>AC93+AC94</f>
        <v/>
      </c>
      <c r="AD95" s="157">
        <f>AD93+AD94</f>
        <v/>
      </c>
      <c r="AE95" s="157">
        <f>AE93+AE94</f>
        <v/>
      </c>
      <c r="AF95" s="157">
        <f>AF93+AF94</f>
        <v/>
      </c>
      <c r="AG95" s="157">
        <f>AG93+AG94</f>
        <v/>
      </c>
      <c r="AH95" s="157">
        <f>AH93+AH94</f>
        <v/>
      </c>
      <c r="AI95" s="157">
        <f>AI93+AI94</f>
        <v/>
      </c>
      <c r="AJ95" s="157">
        <f>AJ93+AJ94</f>
        <v/>
      </c>
      <c r="AK95" s="157">
        <f>AK93+AK94</f>
        <v/>
      </c>
      <c r="AL95" s="157">
        <f>AL93+AL94</f>
        <v/>
      </c>
      <c r="AM95" s="157">
        <f>AM93+AM94</f>
        <v/>
      </c>
      <c r="AN95" s="157">
        <f>AN93+AN94</f>
        <v/>
      </c>
      <c r="AO95" s="157">
        <f>AO93+AO94</f>
        <v/>
      </c>
      <c r="AP95" s="157">
        <f>AP93+AP94</f>
        <v/>
      </c>
      <c r="AQ95" s="157">
        <f>AQ93+AQ94</f>
        <v/>
      </c>
      <c r="AR95" s="157">
        <f>AR93+AR94</f>
        <v/>
      </c>
      <c r="AS95" s="157">
        <f>AS93+AS94</f>
        <v/>
      </c>
      <c r="AT95" s="157">
        <f>AT93+AT94</f>
        <v/>
      </c>
      <c r="AU95" s="157">
        <f>AU93+AU94</f>
        <v/>
      </c>
      <c r="AV95" s="157">
        <f>AV93+AV94</f>
        <v/>
      </c>
      <c r="AW95" s="157">
        <f>AW93+AW94</f>
        <v/>
      </c>
      <c r="AX95" s="157">
        <f>AX93+AX94</f>
        <v/>
      </c>
      <c r="AY95" s="157">
        <f>AY93+AY94</f>
        <v/>
      </c>
      <c r="AZ95" s="157">
        <f>AZ93+AZ94</f>
        <v/>
      </c>
      <c r="BA95" s="157">
        <f>BA93+BA94</f>
        <v/>
      </c>
      <c r="BB95" s="157">
        <f>BB93+BB94</f>
        <v/>
      </c>
    </row>
    <row r="97" ht="15" customHeight="1" s="91">
      <c r="A97" s="152" t="inlineStr">
        <is>
          <t>10  INVESTOR RETURNS  عوائد المستثمرين</t>
        </is>
      </c>
      <c r="B97" s="152" t="n"/>
      <c r="C97" s="152" t="n"/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  <c r="S97" s="152" t="n"/>
      <c r="T97" s="152" t="n"/>
      <c r="U97" s="152" t="n"/>
      <c r="V97" s="152" t="n"/>
      <c r="W97" s="152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  <c r="AF97" s="152" t="n"/>
      <c r="AG97" s="152" t="n"/>
      <c r="AH97" s="152" t="n"/>
      <c r="AI97" s="152" t="n"/>
      <c r="AJ97" s="152" t="n"/>
      <c r="AK97" s="152" t="n"/>
      <c r="AL97" s="152" t="n"/>
      <c r="AM97" s="152" t="n"/>
      <c r="AN97" s="152" t="n"/>
      <c r="AO97" s="152" t="n"/>
      <c r="AP97" s="152" t="n"/>
      <c r="AQ97" s="152" t="n"/>
      <c r="AR97" s="152" t="n"/>
      <c r="AS97" s="152" t="n"/>
      <c r="AT97" s="152" t="n"/>
      <c r="AU97" s="152" t="n"/>
      <c r="AV97" s="152" t="n"/>
      <c r="AW97" s="152" t="n"/>
      <c r="AX97" s="152" t="n"/>
      <c r="AY97" s="152" t="n"/>
      <c r="AZ97" s="152" t="n"/>
      <c r="BA97" s="152" t="n"/>
      <c r="BB97" s="152" t="n"/>
    </row>
    <row r="98" ht="15" customHeight="1" s="91">
      <c r="C98" s="165" t="inlineStr">
        <is>
          <t>Unit</t>
        </is>
      </c>
      <c r="D98" s="165" t="inlineStr">
        <is>
          <t>Total</t>
        </is>
      </c>
      <c r="E98" s="166">
        <f>E$46</f>
        <v/>
      </c>
      <c r="F98" s="166">
        <f>F$46</f>
        <v/>
      </c>
      <c r="G98" s="166">
        <f>G$46</f>
        <v/>
      </c>
      <c r="H98" s="166">
        <f>H$46</f>
        <v/>
      </c>
      <c r="I98" s="166">
        <f>I$46</f>
        <v/>
      </c>
      <c r="J98" s="166">
        <f>J$46</f>
        <v/>
      </c>
      <c r="K98" s="166">
        <f>K$46</f>
        <v/>
      </c>
      <c r="L98" s="166">
        <f>L$46</f>
        <v/>
      </c>
      <c r="M98" s="166">
        <f>M$46</f>
        <v/>
      </c>
      <c r="N98" s="166">
        <f>N$46</f>
        <v/>
      </c>
      <c r="O98" s="166">
        <f>O$46</f>
        <v/>
      </c>
      <c r="P98" s="166">
        <f>P$46</f>
        <v/>
      </c>
      <c r="Q98" s="166">
        <f>Q$46</f>
        <v/>
      </c>
      <c r="R98" s="166">
        <f>R$46</f>
        <v/>
      </c>
      <c r="S98" s="166">
        <f>S$46</f>
        <v/>
      </c>
      <c r="T98" s="166">
        <f>T$46</f>
        <v/>
      </c>
      <c r="U98" s="166">
        <f>U$46</f>
        <v/>
      </c>
      <c r="V98" s="166">
        <f>V$46</f>
        <v/>
      </c>
      <c r="W98" s="166">
        <f>W$46</f>
        <v/>
      </c>
      <c r="X98" s="166">
        <f>X$46</f>
        <v/>
      </c>
      <c r="Y98" s="166">
        <f>Y$46</f>
        <v/>
      </c>
      <c r="Z98" s="166">
        <f>Z$46</f>
        <v/>
      </c>
      <c r="AA98" s="166">
        <f>AA$46</f>
        <v/>
      </c>
      <c r="AB98" s="166">
        <f>AB$46</f>
        <v/>
      </c>
      <c r="AC98" s="166">
        <f>AC$46</f>
        <v/>
      </c>
      <c r="AD98" s="166">
        <f>AD$46</f>
        <v/>
      </c>
      <c r="AE98" s="166">
        <f>AE$46</f>
        <v/>
      </c>
      <c r="AF98" s="166">
        <f>AF$46</f>
        <v/>
      </c>
      <c r="AG98" s="166">
        <f>AG$46</f>
        <v/>
      </c>
      <c r="AH98" s="166">
        <f>AH$46</f>
        <v/>
      </c>
      <c r="AI98" s="166">
        <f>AI$46</f>
        <v/>
      </c>
      <c r="AJ98" s="166">
        <f>AJ$46</f>
        <v/>
      </c>
      <c r="AK98" s="166">
        <f>AK$46</f>
        <v/>
      </c>
      <c r="AL98" s="166">
        <f>AL$46</f>
        <v/>
      </c>
      <c r="AM98" s="166">
        <f>AM$46</f>
        <v/>
      </c>
      <c r="AN98" s="166">
        <f>AN$46</f>
        <v/>
      </c>
      <c r="AO98" s="166">
        <f>AO$46</f>
        <v/>
      </c>
      <c r="AP98" s="166">
        <f>AP$46</f>
        <v/>
      </c>
      <c r="AQ98" s="166">
        <f>AQ$46</f>
        <v/>
      </c>
      <c r="AR98" s="166">
        <f>AR$46</f>
        <v/>
      </c>
      <c r="AS98" s="166">
        <f>AS$46</f>
        <v/>
      </c>
      <c r="AT98" s="166">
        <f>AT$46</f>
        <v/>
      </c>
      <c r="AU98" s="166">
        <f>AU$46</f>
        <v/>
      </c>
      <c r="AV98" s="166">
        <f>AV$46</f>
        <v/>
      </c>
      <c r="AW98" s="166">
        <f>AW$46</f>
        <v/>
      </c>
      <c r="AX98" s="166">
        <f>AX$46</f>
        <v/>
      </c>
      <c r="AY98" s="166">
        <f>AY$46</f>
        <v/>
      </c>
      <c r="AZ98" s="166">
        <f>AZ$46</f>
        <v/>
      </c>
      <c r="BA98" s="166">
        <f>BA$46</f>
        <v/>
      </c>
      <c r="BB98" s="166">
        <f>BB$46</f>
        <v/>
      </c>
    </row>
    <row r="99" ht="15" customHeight="1" s="91">
      <c r="B99" s="153" t="inlineStr">
        <is>
          <t>LP Net Cash Flow</t>
        </is>
      </c>
      <c r="C99" s="153" t="inlineStr">
        <is>
          <t>SAR</t>
        </is>
      </c>
      <c r="D99" s="157">
        <f>SUM(E99:BB99)</f>
        <v/>
      </c>
      <c r="E99" s="160">
        <f>-E56*$C$16+E93</f>
        <v/>
      </c>
      <c r="F99" s="160">
        <f>-F56*$C$16+F93</f>
        <v/>
      </c>
      <c r="G99" s="160">
        <f>-G56*$C$16+G93</f>
        <v/>
      </c>
      <c r="H99" s="160">
        <f>-H56*$C$16+H93</f>
        <v/>
      </c>
      <c r="I99" s="160">
        <f>-I56*$C$16+I93</f>
        <v/>
      </c>
      <c r="J99" s="160">
        <f>-J56*$C$16+J93</f>
        <v/>
      </c>
      <c r="K99" s="160">
        <f>-K56*$C$16+K93</f>
        <v/>
      </c>
      <c r="L99" s="160">
        <f>-L56*$C$16+L93</f>
        <v/>
      </c>
      <c r="M99" s="160">
        <f>-M56*$C$16+M93</f>
        <v/>
      </c>
      <c r="N99" s="160">
        <f>-N56*$C$16+N93</f>
        <v/>
      </c>
      <c r="O99" s="160">
        <f>-O56*$C$16+O93</f>
        <v/>
      </c>
      <c r="P99" s="160">
        <f>-P56*$C$16+P93</f>
        <v/>
      </c>
      <c r="Q99" s="160">
        <f>-Q56*$C$16+Q93</f>
        <v/>
      </c>
      <c r="R99" s="160">
        <f>-R56*$C$16+R93</f>
        <v/>
      </c>
      <c r="S99" s="160">
        <f>-S56*$C$16+S93</f>
        <v/>
      </c>
      <c r="T99" s="160">
        <f>-T56*$C$16+T93</f>
        <v/>
      </c>
      <c r="U99" s="160">
        <f>-U56*$C$16+U93</f>
        <v/>
      </c>
      <c r="V99" s="160">
        <f>-V56*$C$16+V93</f>
        <v/>
      </c>
      <c r="W99" s="160">
        <f>-W56*$C$16+W93</f>
        <v/>
      </c>
      <c r="X99" s="160">
        <f>-X56*$C$16+X93</f>
        <v/>
      </c>
      <c r="Y99" s="160">
        <f>-Y56*$C$16+Y93</f>
        <v/>
      </c>
      <c r="Z99" s="160">
        <f>-Z56*$C$16+Z93</f>
        <v/>
      </c>
      <c r="AA99" s="160">
        <f>-AA56*$C$16+AA93</f>
        <v/>
      </c>
      <c r="AB99" s="160">
        <f>-AB56*$C$16+AB93</f>
        <v/>
      </c>
      <c r="AC99" s="160">
        <f>-AC56*$C$16+AC93</f>
        <v/>
      </c>
      <c r="AD99" s="160">
        <f>-AD56*$C$16+AD93</f>
        <v/>
      </c>
      <c r="AE99" s="160">
        <f>-AE56*$C$16+AE93</f>
        <v/>
      </c>
      <c r="AF99" s="160">
        <f>-AF56*$C$16+AF93</f>
        <v/>
      </c>
      <c r="AG99" s="160">
        <f>-AG56*$C$16+AG93</f>
        <v/>
      </c>
      <c r="AH99" s="160">
        <f>-AH56*$C$16+AH93</f>
        <v/>
      </c>
      <c r="AI99" s="160">
        <f>-AI56*$C$16+AI93</f>
        <v/>
      </c>
      <c r="AJ99" s="160">
        <f>-AJ56*$C$16+AJ93</f>
        <v/>
      </c>
      <c r="AK99" s="160">
        <f>-AK56*$C$16+AK93</f>
        <v/>
      </c>
      <c r="AL99" s="160">
        <f>-AL56*$C$16+AL93</f>
        <v/>
      </c>
      <c r="AM99" s="160">
        <f>-AM56*$C$16+AM93</f>
        <v/>
      </c>
      <c r="AN99" s="160">
        <f>-AN56*$C$16+AN93</f>
        <v/>
      </c>
      <c r="AO99" s="160">
        <f>-AO56*$C$16+AO93</f>
        <v/>
      </c>
      <c r="AP99" s="160">
        <f>-AP56*$C$16+AP93</f>
        <v/>
      </c>
      <c r="AQ99" s="160">
        <f>-AQ56*$C$16+AQ93</f>
        <v/>
      </c>
      <c r="AR99" s="160">
        <f>-AR56*$C$16+AR93</f>
        <v/>
      </c>
      <c r="AS99" s="160">
        <f>-AS56*$C$16+AS93</f>
        <v/>
      </c>
      <c r="AT99" s="160">
        <f>-AT56*$C$16+AT93</f>
        <v/>
      </c>
      <c r="AU99" s="160">
        <f>-AU56*$C$16+AU93</f>
        <v/>
      </c>
      <c r="AV99" s="160">
        <f>-AV56*$C$16+AV93</f>
        <v/>
      </c>
      <c r="AW99" s="160">
        <f>-AW56*$C$16+AW93</f>
        <v/>
      </c>
      <c r="AX99" s="160">
        <f>-AX56*$C$16+AX93</f>
        <v/>
      </c>
      <c r="AY99" s="160">
        <f>-AY56*$C$16+AY93</f>
        <v/>
      </c>
      <c r="AZ99" s="160">
        <f>-AZ56*$C$16+AZ93</f>
        <v/>
      </c>
      <c r="BA99" s="160">
        <f>-BA56*$C$16+BA93</f>
        <v/>
      </c>
      <c r="BB99" s="160">
        <f>-BB56*$C$16+BB93</f>
        <v/>
      </c>
    </row>
    <row r="100" ht="15" customHeight="1" s="91">
      <c r="B100" s="153" t="inlineStr">
        <is>
          <t>LP Cumulative Cash Flow</t>
        </is>
      </c>
      <c r="C100" s="153" t="inlineStr">
        <is>
          <t>SAR</t>
        </is>
      </c>
      <c r="E100" s="160">
        <f>E99</f>
        <v/>
      </c>
      <c r="F100" s="160">
        <f>E100+F99</f>
        <v/>
      </c>
      <c r="G100" s="160">
        <f>F100+G99</f>
        <v/>
      </c>
      <c r="H100" s="160">
        <f>G100+H99</f>
        <v/>
      </c>
      <c r="I100" s="160">
        <f>H100+I99</f>
        <v/>
      </c>
      <c r="J100" s="160">
        <f>I100+J99</f>
        <v/>
      </c>
      <c r="K100" s="160">
        <f>J100+K99</f>
        <v/>
      </c>
      <c r="L100" s="160">
        <f>K100+L99</f>
        <v/>
      </c>
      <c r="M100" s="160">
        <f>L100+M99</f>
        <v/>
      </c>
      <c r="N100" s="160">
        <f>M100+N99</f>
        <v/>
      </c>
      <c r="O100" s="160">
        <f>N100+O99</f>
        <v/>
      </c>
      <c r="P100" s="160">
        <f>O100+P99</f>
        <v/>
      </c>
      <c r="Q100" s="160">
        <f>P100+Q99</f>
        <v/>
      </c>
      <c r="R100" s="160">
        <f>Q100+R99</f>
        <v/>
      </c>
      <c r="S100" s="160">
        <f>R100+S99</f>
        <v/>
      </c>
      <c r="T100" s="160">
        <f>S100+T99</f>
        <v/>
      </c>
      <c r="U100" s="160">
        <f>T100+U99</f>
        <v/>
      </c>
      <c r="V100" s="160">
        <f>U100+V99</f>
        <v/>
      </c>
      <c r="W100" s="160">
        <f>V100+W99</f>
        <v/>
      </c>
      <c r="X100" s="160">
        <f>W100+X99</f>
        <v/>
      </c>
      <c r="Y100" s="160">
        <f>X100+Y99</f>
        <v/>
      </c>
      <c r="Z100" s="160">
        <f>Y100+Z99</f>
        <v/>
      </c>
      <c r="AA100" s="160">
        <f>Z100+AA99</f>
        <v/>
      </c>
      <c r="AB100" s="160">
        <f>AA100+AB99</f>
        <v/>
      </c>
      <c r="AC100" s="160">
        <f>AB100+AC99</f>
        <v/>
      </c>
      <c r="AD100" s="160">
        <f>AC100+AD99</f>
        <v/>
      </c>
      <c r="AE100" s="160">
        <f>AD100+AE99</f>
        <v/>
      </c>
      <c r="AF100" s="160">
        <f>AE100+AF99</f>
        <v/>
      </c>
      <c r="AG100" s="160">
        <f>AF100+AG99</f>
        <v/>
      </c>
      <c r="AH100" s="160">
        <f>AG100+AH99</f>
        <v/>
      </c>
      <c r="AI100" s="160">
        <f>AH100+AI99</f>
        <v/>
      </c>
      <c r="AJ100" s="160">
        <f>AI100+AJ99</f>
        <v/>
      </c>
      <c r="AK100" s="160">
        <f>AJ100+AK99</f>
        <v/>
      </c>
      <c r="AL100" s="160">
        <f>AK100+AL99</f>
        <v/>
      </c>
      <c r="AM100" s="160">
        <f>AL100+AM99</f>
        <v/>
      </c>
      <c r="AN100" s="160">
        <f>AM100+AN99</f>
        <v/>
      </c>
      <c r="AO100" s="160">
        <f>AN100+AO99</f>
        <v/>
      </c>
      <c r="AP100" s="160">
        <f>AO100+AP99</f>
        <v/>
      </c>
      <c r="AQ100" s="160">
        <f>AP100+AQ99</f>
        <v/>
      </c>
      <c r="AR100" s="160">
        <f>AQ100+AR99</f>
        <v/>
      </c>
      <c r="AS100" s="160">
        <f>AR100+AS99</f>
        <v/>
      </c>
      <c r="AT100" s="160">
        <f>AS100+AT99</f>
        <v/>
      </c>
      <c r="AU100" s="160">
        <f>AT100+AU99</f>
        <v/>
      </c>
      <c r="AV100" s="160">
        <f>AU100+AV99</f>
        <v/>
      </c>
      <c r="AW100" s="160">
        <f>AV100+AW99</f>
        <v/>
      </c>
      <c r="AX100" s="160">
        <f>AW100+AX99</f>
        <v/>
      </c>
      <c r="AY100" s="160">
        <f>AX100+AY99</f>
        <v/>
      </c>
      <c r="AZ100" s="160">
        <f>AY100+AZ99</f>
        <v/>
      </c>
      <c r="BA100" s="160">
        <f>AZ100+BA99</f>
        <v/>
      </c>
      <c r="BB100" s="160">
        <f>BA100+BB99</f>
        <v/>
      </c>
    </row>
    <row r="101" ht="15" customHeight="1" s="91">
      <c r="B101" s="110" t="inlineStr">
        <is>
          <t>LP Net IRR</t>
        </is>
      </c>
      <c r="C101" s="153" t="inlineStr">
        <is>
          <t>%</t>
        </is>
      </c>
      <c r="E101" s="161">
        <f>IFERROR(IRR(E99:BB99),"-")</f>
        <v/>
      </c>
    </row>
    <row r="103" ht="15" customHeight="1" s="91">
      <c r="B103" s="153" t="inlineStr">
        <is>
          <t>GP Net Cash Flow</t>
        </is>
      </c>
      <c r="C103" s="153" t="inlineStr">
        <is>
          <t>SAR</t>
        </is>
      </c>
      <c r="D103" s="157">
        <f>SUM(E103:BB103)</f>
        <v/>
      </c>
      <c r="E103" s="160">
        <f>-E56*$C$15+E94</f>
        <v/>
      </c>
      <c r="F103" s="160">
        <f>-F56*$C$15+F94</f>
        <v/>
      </c>
      <c r="G103" s="160">
        <f>-G56*$C$15+G94</f>
        <v/>
      </c>
      <c r="H103" s="160">
        <f>-H56*$C$15+H94</f>
        <v/>
      </c>
      <c r="I103" s="160">
        <f>-I56*$C$15+I94</f>
        <v/>
      </c>
      <c r="J103" s="160">
        <f>-J56*$C$15+J94</f>
        <v/>
      </c>
      <c r="K103" s="160">
        <f>-K56*$C$15+K94</f>
        <v/>
      </c>
      <c r="L103" s="160">
        <f>-L56*$C$15+L94</f>
        <v/>
      </c>
      <c r="M103" s="160">
        <f>-M56*$C$15+M94</f>
        <v/>
      </c>
      <c r="N103" s="160">
        <f>-N56*$C$15+N94</f>
        <v/>
      </c>
      <c r="O103" s="160">
        <f>-O56*$C$15+O94</f>
        <v/>
      </c>
      <c r="P103" s="160">
        <f>-P56*$C$15+P94</f>
        <v/>
      </c>
      <c r="Q103" s="160">
        <f>-Q56*$C$15+Q94</f>
        <v/>
      </c>
      <c r="R103" s="160">
        <f>-R56*$C$15+R94</f>
        <v/>
      </c>
      <c r="S103" s="160">
        <f>-S56*$C$15+S94</f>
        <v/>
      </c>
      <c r="T103" s="160">
        <f>-T56*$C$15+T94</f>
        <v/>
      </c>
      <c r="U103" s="160">
        <f>-U56*$C$15+U94</f>
        <v/>
      </c>
      <c r="V103" s="160">
        <f>-V56*$C$15+V94</f>
        <v/>
      </c>
      <c r="W103" s="160">
        <f>-W56*$C$15+W94</f>
        <v/>
      </c>
      <c r="X103" s="160">
        <f>-X56*$C$15+X94</f>
        <v/>
      </c>
      <c r="Y103" s="160">
        <f>-Y56*$C$15+Y94</f>
        <v/>
      </c>
      <c r="Z103" s="160">
        <f>-Z56*$C$15+Z94</f>
        <v/>
      </c>
      <c r="AA103" s="160">
        <f>-AA56*$C$15+AA94</f>
        <v/>
      </c>
      <c r="AB103" s="160">
        <f>-AB56*$C$15+AB94</f>
        <v/>
      </c>
      <c r="AC103" s="160">
        <f>-AC56*$C$15+AC94</f>
        <v/>
      </c>
      <c r="AD103" s="160">
        <f>-AD56*$C$15+AD94</f>
        <v/>
      </c>
      <c r="AE103" s="160">
        <f>-AE56*$C$15+AE94</f>
        <v/>
      </c>
      <c r="AF103" s="160">
        <f>-AF56*$C$15+AF94</f>
        <v/>
      </c>
      <c r="AG103" s="160">
        <f>-AG56*$C$15+AG94</f>
        <v/>
      </c>
      <c r="AH103" s="160">
        <f>-AH56*$C$15+AH94</f>
        <v/>
      </c>
      <c r="AI103" s="160">
        <f>-AI56*$C$15+AI94</f>
        <v/>
      </c>
      <c r="AJ103" s="160">
        <f>-AJ56*$C$15+AJ94</f>
        <v/>
      </c>
      <c r="AK103" s="160">
        <f>-AK56*$C$15+AK94</f>
        <v/>
      </c>
      <c r="AL103" s="160">
        <f>-AL56*$C$15+AL94</f>
        <v/>
      </c>
      <c r="AM103" s="160">
        <f>-AM56*$C$15+AM94</f>
        <v/>
      </c>
      <c r="AN103" s="160">
        <f>-AN56*$C$15+AN94</f>
        <v/>
      </c>
      <c r="AO103" s="160">
        <f>-AO56*$C$15+AO94</f>
        <v/>
      </c>
      <c r="AP103" s="160">
        <f>-AP56*$C$15+AP94</f>
        <v/>
      </c>
      <c r="AQ103" s="160">
        <f>-AQ56*$C$15+AQ94</f>
        <v/>
      </c>
      <c r="AR103" s="160">
        <f>-AR56*$C$15+AR94</f>
        <v/>
      </c>
      <c r="AS103" s="160">
        <f>-AS56*$C$15+AS94</f>
        <v/>
      </c>
      <c r="AT103" s="160">
        <f>-AT56*$C$15+AT94</f>
        <v/>
      </c>
      <c r="AU103" s="160">
        <f>-AU56*$C$15+AU94</f>
        <v/>
      </c>
      <c r="AV103" s="160">
        <f>-AV56*$C$15+AV94</f>
        <v/>
      </c>
      <c r="AW103" s="160">
        <f>-AW56*$C$15+AW94</f>
        <v/>
      </c>
      <c r="AX103" s="160">
        <f>-AX56*$C$15+AX94</f>
        <v/>
      </c>
      <c r="AY103" s="160">
        <f>-AY56*$C$15+AY94</f>
        <v/>
      </c>
      <c r="AZ103" s="160">
        <f>-AZ56*$C$15+AZ94</f>
        <v/>
      </c>
      <c r="BA103" s="160">
        <f>-BA56*$C$15+BA94</f>
        <v/>
      </c>
      <c r="BB103" s="160">
        <f>-BB56*$C$15+BB94</f>
        <v/>
      </c>
    </row>
    <row r="104" ht="15" customHeight="1" s="91">
      <c r="B104" s="110" t="inlineStr">
        <is>
          <t>GP Net IRR</t>
        </is>
      </c>
      <c r="C104" s="153" t="inlineStr">
        <is>
          <t>%</t>
        </is>
      </c>
      <c r="E104" s="161">
        <f>IFERROR(IRR(E103:BB103),"-")</f>
        <v/>
      </c>
    </row>
    <row r="106" ht="15" customHeight="1" s="91">
      <c r="A106" s="152" t="inlineStr">
        <is>
          <t>KPI SUMMARY  ملخص الأداء</t>
        </is>
      </c>
      <c r="B106" s="152" t="n"/>
      <c r="C106" s="152" t="n"/>
      <c r="D106" s="152" t="n"/>
      <c r="E106" s="152" t="n"/>
      <c r="F106" s="152" t="n"/>
      <c r="G106" s="152" t="n"/>
      <c r="H106" s="152" t="n"/>
      <c r="I106" s="152" t="n"/>
      <c r="J106" s="152" t="n"/>
      <c r="K106" s="152" t="n"/>
      <c r="L106" s="152" t="n"/>
      <c r="M106" s="152" t="n"/>
      <c r="N106" s="152" t="n"/>
      <c r="O106" s="152" t="n"/>
      <c r="P106" s="152" t="n"/>
      <c r="Q106" s="152" t="n"/>
      <c r="R106" s="152" t="n"/>
      <c r="S106" s="152" t="n"/>
      <c r="T106" s="152" t="n"/>
      <c r="U106" s="152" t="n"/>
      <c r="V106" s="152" t="n"/>
      <c r="W106" s="152" t="n"/>
      <c r="X106" s="152" t="n"/>
      <c r="Y106" s="152" t="n"/>
      <c r="Z106" s="152" t="n"/>
      <c r="AA106" s="152" t="n"/>
      <c r="AB106" s="152" t="n"/>
      <c r="AC106" s="152" t="n"/>
      <c r="AD106" s="152" t="n"/>
      <c r="AE106" s="152" t="n"/>
      <c r="AF106" s="152" t="n"/>
      <c r="AG106" s="152" t="n"/>
      <c r="AH106" s="152" t="n"/>
      <c r="AI106" s="152" t="n"/>
      <c r="AJ106" s="152" t="n"/>
      <c r="AK106" s="152" t="n"/>
      <c r="AL106" s="152" t="n"/>
      <c r="AM106" s="152" t="n"/>
      <c r="AN106" s="152" t="n"/>
      <c r="AO106" s="152" t="n"/>
      <c r="AP106" s="152" t="n"/>
      <c r="AQ106" s="152" t="n"/>
      <c r="AR106" s="152" t="n"/>
      <c r="AS106" s="152" t="n"/>
      <c r="AT106" s="152" t="n"/>
      <c r="AU106" s="152" t="n"/>
      <c r="AV106" s="152" t="n"/>
      <c r="AW106" s="152" t="n"/>
      <c r="AX106" s="152" t="n"/>
      <c r="AY106" s="152" t="n"/>
      <c r="AZ106" s="152" t="n"/>
      <c r="BA106" s="152" t="n"/>
      <c r="BB106" s="152" t="n"/>
    </row>
    <row r="107" ht="15" customHeight="1" s="91">
      <c r="B107" s="153" t="inlineStr">
        <is>
          <t>Project IRR (Unlevered)</t>
        </is>
      </c>
      <c r="C107" s="167">
        <f>IFERROR(IRR(E52:BB52),"-")</f>
        <v/>
      </c>
    </row>
    <row r="108" ht="15" customHeight="1" s="91">
      <c r="B108" s="153" t="inlineStr">
        <is>
          <t>LP Net IRR</t>
        </is>
      </c>
      <c r="C108" s="167">
        <f>E101</f>
        <v/>
      </c>
    </row>
    <row r="109" ht="15" customHeight="1" s="91">
      <c r="B109" s="153" t="inlineStr">
        <is>
          <t>GP Net IRR</t>
        </is>
      </c>
      <c r="C109" s="167">
        <f>E104</f>
        <v/>
      </c>
    </row>
    <row r="110" ht="15" customHeight="1" s="91">
      <c r="B110" s="153" t="inlineStr">
        <is>
          <t>LP MOIC</t>
        </is>
      </c>
      <c r="C110" s="168">
        <f>IFERROR(D93/(D56*$C$16),"-")</f>
        <v/>
      </c>
    </row>
    <row r="111" ht="15" customHeight="1" s="91">
      <c r="B111" s="153" t="inlineStr">
        <is>
          <t>GP MOIC</t>
        </is>
      </c>
      <c r="C111" s="168">
        <f>IFERROR(D94/(D56*$C$15),"-")</f>
        <v/>
      </c>
    </row>
    <row r="113" ht="15" customHeight="1" s="91">
      <c r="B113" s="153" t="inlineStr">
        <is>
          <t>Total Equity</t>
        </is>
      </c>
      <c r="C113" s="157">
        <f>$C$14</f>
        <v/>
      </c>
    </row>
    <row r="114" ht="15" customHeight="1" s="91">
      <c r="B114" s="153" t="inlineStr">
        <is>
          <t>Total Debt Drawn</t>
        </is>
      </c>
      <c r="C114" s="157">
        <f>D57</f>
        <v/>
      </c>
    </row>
    <row r="115" ht="15" customHeight="1" s="91">
      <c r="B115" s="153" t="inlineStr">
        <is>
          <t>Total Fees</t>
        </is>
      </c>
      <c r="C115" s="157">
        <f>D69</f>
        <v/>
      </c>
    </row>
    <row r="116" ht="15" customHeight="1" s="91">
      <c r="B116" s="153" t="inlineStr">
        <is>
          <t>Exit Proceeds</t>
        </is>
      </c>
      <c r="C116" s="157">
        <f>D51</f>
        <v/>
      </c>
    </row>
    <row r="118" ht="15" customHeight="1" s="91">
      <c r="A118" s="152" t="inlineStr">
        <is>
          <t>MODEL CHECKS  فحوصات النموذج</t>
        </is>
      </c>
      <c r="B118" s="152" t="n"/>
      <c r="C118" s="152" t="n"/>
      <c r="D118" s="152" t="n"/>
      <c r="E118" s="152" t="n"/>
      <c r="F118" s="152" t="n"/>
      <c r="G118" s="152" t="n"/>
      <c r="H118" s="152" t="n"/>
      <c r="I118" s="152" t="n"/>
      <c r="J118" s="152" t="n"/>
      <c r="K118" s="152" t="n"/>
      <c r="L118" s="152" t="n"/>
      <c r="M118" s="152" t="n"/>
      <c r="N118" s="152" t="n"/>
      <c r="O118" s="152" t="n"/>
      <c r="P118" s="152" t="n"/>
      <c r="Q118" s="152" t="n"/>
      <c r="R118" s="152" t="n"/>
      <c r="S118" s="152" t="n"/>
      <c r="T118" s="152" t="n"/>
      <c r="U118" s="152" t="n"/>
      <c r="V118" s="152" t="n"/>
      <c r="W118" s="152" t="n"/>
      <c r="X118" s="152" t="n"/>
      <c r="Y118" s="152" t="n"/>
      <c r="Z118" s="152" t="n"/>
      <c r="AA118" s="152" t="n"/>
      <c r="AB118" s="152" t="n"/>
      <c r="AC118" s="152" t="n"/>
      <c r="AD118" s="152" t="n"/>
      <c r="AE118" s="152" t="n"/>
      <c r="AF118" s="152" t="n"/>
      <c r="AG118" s="152" t="n"/>
      <c r="AH118" s="152" t="n"/>
      <c r="AI118" s="152" t="n"/>
      <c r="AJ118" s="152" t="n"/>
      <c r="AK118" s="152" t="n"/>
      <c r="AL118" s="152" t="n"/>
      <c r="AM118" s="152" t="n"/>
      <c r="AN118" s="152" t="n"/>
      <c r="AO118" s="152" t="n"/>
      <c r="AP118" s="152" t="n"/>
      <c r="AQ118" s="152" t="n"/>
      <c r="AR118" s="152" t="n"/>
      <c r="AS118" s="152" t="n"/>
      <c r="AT118" s="152" t="n"/>
      <c r="AU118" s="152" t="n"/>
      <c r="AV118" s="152" t="n"/>
      <c r="AW118" s="152" t="n"/>
      <c r="AX118" s="152" t="n"/>
      <c r="AY118" s="152" t="n"/>
      <c r="AZ118" s="152" t="n"/>
      <c r="BA118" s="152" t="n"/>
      <c r="BB118" s="152" t="n"/>
    </row>
    <row r="119" ht="15" customHeight="1" s="91">
      <c r="B119" s="153" t="inlineStr">
        <is>
          <t>Net CF = Inc+Land+CAPEX</t>
        </is>
      </c>
      <c r="C119" s="153">
        <f>IF(ABS(D50-(D47+D48+D49))&lt;1,"✓","✗")</f>
        <v/>
      </c>
    </row>
    <row r="120" ht="15" customHeight="1" s="91">
      <c r="B120" s="153" t="inlineStr">
        <is>
          <t>Equity Calls = Equity + Unfunded Fees</t>
        </is>
      </c>
      <c r="C120" s="153">
        <f>IF(ABS(D56-($C$14+D70))&lt;MAX(1,$C$14*0.05),"✓","✗")</f>
        <v/>
      </c>
    </row>
    <row r="121" ht="15" customHeight="1" s="91">
      <c r="B121" s="153" t="inlineStr">
        <is>
          <t>Distributions ≤ Cash Available</t>
        </is>
      </c>
      <c r="C121" s="153">
        <f>IF(D95&lt;=D75+1,"✓","✗")</f>
        <v/>
      </c>
    </row>
    <row r="122" ht="15" customHeight="1" s="91">
      <c r="B122" s="153" t="inlineStr">
        <is>
          <t>Debt Balance ≥ 0</t>
        </is>
      </c>
      <c r="C122" s="153">
        <f>IF(MIN(E60:BB60)&gt;=0,"✓","✗")</f>
        <v/>
      </c>
    </row>
    <row r="123" ht="15" customHeight="1" s="91">
      <c r="B123" s="153" t="inlineStr">
        <is>
          <t>LP+GP = Total Dist</t>
        </is>
      </c>
      <c r="C123" s="153">
        <f>IF(ABS(D95-(D93+D94))&lt;1,"✓","✗")</f>
        <v/>
      </c>
    </row>
    <row r="124" ht="15" customHeight="1" s="91">
      <c r="B124" s="153" t="inlineStr">
        <is>
          <t>Debt fully repaid by tenor end</t>
        </is>
      </c>
      <c r="C124" s="153">
        <f>IF(IFERROR(VLOOKUP($C$9+$C$24,E46:BB60,MATCH($C$9+$C$24,E46:BB46,0),FALSE()),0)&lt;=1,"✓","✗")</f>
        <v/>
      </c>
    </row>
    <row r="125" ht="15" customHeight="1" s="91">
      <c r="A125" s="152" t="inlineStr">
        <is>
          <t>NPV ANALYSIS  تحليل صافي القيمة الحالية</t>
        </is>
      </c>
      <c r="B125" s="152" t="n"/>
      <c r="C125" s="152" t="n"/>
      <c r="D125" s="152" t="n"/>
      <c r="E125" s="152" t="n"/>
      <c r="F125" s="152" t="n"/>
      <c r="G125" s="152" t="n"/>
      <c r="H125" s="152" t="n"/>
      <c r="I125" s="152" t="n"/>
      <c r="J125" s="152" t="n"/>
      <c r="K125" s="152" t="n"/>
      <c r="L125" s="152" t="n"/>
      <c r="M125" s="152" t="n"/>
      <c r="N125" s="152" t="n"/>
      <c r="O125" s="152" t="n"/>
      <c r="P125" s="152" t="n"/>
      <c r="Q125" s="152" t="n"/>
      <c r="R125" s="152" t="n"/>
      <c r="S125" s="152" t="n"/>
      <c r="T125" s="152" t="n"/>
      <c r="U125" s="152" t="n"/>
      <c r="V125" s="152" t="n"/>
      <c r="W125" s="152" t="n"/>
      <c r="X125" s="152" t="n"/>
      <c r="Y125" s="152" t="n"/>
      <c r="Z125" s="152" t="n"/>
      <c r="AA125" s="152" t="n"/>
      <c r="AB125" s="152" t="n"/>
      <c r="AC125" s="152" t="n"/>
      <c r="AD125" s="152" t="n"/>
      <c r="AE125" s="152" t="n"/>
      <c r="AF125" s="152" t="n"/>
      <c r="AG125" s="152" t="n"/>
      <c r="AH125" s="152" t="n"/>
      <c r="AI125" s="152" t="n"/>
      <c r="AJ125" s="152" t="n"/>
      <c r="AK125" s="152" t="n"/>
      <c r="AL125" s="152" t="n"/>
      <c r="AM125" s="152" t="n"/>
      <c r="AN125" s="152" t="n"/>
      <c r="AO125" s="152" t="n"/>
      <c r="AP125" s="152" t="n"/>
      <c r="AQ125" s="152" t="n"/>
      <c r="AR125" s="152" t="n"/>
      <c r="AS125" s="152" t="n"/>
      <c r="AT125" s="152" t="n"/>
      <c r="AU125" s="152" t="n"/>
      <c r="AV125" s="152" t="n"/>
      <c r="AW125" s="152" t="n"/>
      <c r="AX125" s="152" t="n"/>
      <c r="AY125" s="152" t="n"/>
      <c r="AZ125" s="152" t="n"/>
      <c r="BA125" s="152" t="n"/>
      <c r="BB125" s="152" t="n"/>
    </row>
    <row r="127" ht="15" customHeight="1" s="91">
      <c r="B127" s="153" t="inlineStr">
        <is>
          <t>Project (Unlevered)</t>
        </is>
      </c>
      <c r="C127" s="153" t="inlineStr">
        <is>
          <t>@ 10%</t>
        </is>
      </c>
      <c r="D127" s="160">
        <f>IFERROR(E52+NPV(0.1,F52:BB52),"-")</f>
        <v/>
      </c>
    </row>
    <row r="128" ht="15" customHeight="1" s="91">
      <c r="B128" s="169" t="inlineStr">
        <is>
          <t>═══ Debt Tranche Detail (perDraw mode) ═══</t>
        </is>
      </c>
      <c r="C128" s="153" t="inlineStr">
        <is>
          <t>@ 10%</t>
        </is>
      </c>
      <c r="D128" s="160">
        <f>IFERROR(E99+NPV(0.1,F99:BB99),"-")</f>
        <v/>
      </c>
    </row>
    <row r="129" ht="15" customHeight="1" s="91">
      <c r="B129" s="153" t="inlineStr">
        <is>
          <t>Tranche #</t>
        </is>
      </c>
      <c r="C129" s="153" t="inlineStr">
        <is>
          <t>Draw Amount</t>
        </is>
      </c>
      <c r="D129" s="160" t="inlineStr">
        <is>
          <t>Total Repaid</t>
        </is>
      </c>
      <c r="E129" s="90">
        <f>Inputs!$C$7+0</f>
        <v/>
      </c>
      <c r="F129" s="90">
        <f>Inputs!$C$7+1</f>
        <v/>
      </c>
      <c r="G129" s="90">
        <f>Inputs!$C$7+2</f>
        <v/>
      </c>
      <c r="H129" s="90">
        <f>Inputs!$C$7+3</f>
        <v/>
      </c>
      <c r="I129" s="90">
        <f>Inputs!$C$7+4</f>
        <v/>
      </c>
      <c r="J129" s="90">
        <f>Inputs!$C$7+5</f>
        <v/>
      </c>
      <c r="K129" s="90">
        <f>Inputs!$C$7+6</f>
        <v/>
      </c>
      <c r="L129" s="90">
        <f>Inputs!$C$7+7</f>
        <v/>
      </c>
      <c r="M129" s="90">
        <f>Inputs!$C$7+8</f>
        <v/>
      </c>
      <c r="N129" s="90">
        <f>Inputs!$C$7+9</f>
        <v/>
      </c>
      <c r="O129" s="90">
        <f>Inputs!$C$7+10</f>
        <v/>
      </c>
      <c r="P129" s="90">
        <f>Inputs!$C$7+11</f>
        <v/>
      </c>
      <c r="Q129" s="90">
        <f>Inputs!$C$7+12</f>
        <v/>
      </c>
      <c r="R129" s="90">
        <f>Inputs!$C$7+13</f>
        <v/>
      </c>
      <c r="S129" s="90">
        <f>Inputs!$C$7+14</f>
        <v/>
      </c>
      <c r="T129" s="90">
        <f>Inputs!$C$7+15</f>
        <v/>
      </c>
      <c r="U129" s="90">
        <f>Inputs!$C$7+16</f>
        <v/>
      </c>
      <c r="V129" s="90">
        <f>Inputs!$C$7+17</f>
        <v/>
      </c>
      <c r="W129" s="90">
        <f>Inputs!$C$7+18</f>
        <v/>
      </c>
      <c r="X129" s="90">
        <f>Inputs!$C$7+19</f>
        <v/>
      </c>
      <c r="Y129" s="90">
        <f>Inputs!$C$7+20</f>
        <v/>
      </c>
      <c r="Z129" s="90">
        <f>Inputs!$C$7+21</f>
        <v/>
      </c>
      <c r="AA129" s="90">
        <f>Inputs!$C$7+22</f>
        <v/>
      </c>
      <c r="AB129" s="90">
        <f>Inputs!$C$7+23</f>
        <v/>
      </c>
      <c r="AC129" s="90">
        <f>Inputs!$C$7+24</f>
        <v/>
      </c>
      <c r="AD129" s="90">
        <f>Inputs!$C$7+25</f>
        <v/>
      </c>
      <c r="AE129" s="90">
        <f>Inputs!$C$7+26</f>
        <v/>
      </c>
      <c r="AF129" s="90">
        <f>Inputs!$C$7+27</f>
        <v/>
      </c>
      <c r="AG129" s="90">
        <f>Inputs!$C$7+28</f>
        <v/>
      </c>
      <c r="AH129" s="90">
        <f>Inputs!$C$7+29</f>
        <v/>
      </c>
      <c r="AI129" s="90">
        <f>Inputs!$C$7+30</f>
        <v/>
      </c>
      <c r="AJ129" s="90">
        <f>Inputs!$C$7+31</f>
        <v/>
      </c>
      <c r="AK129" s="90">
        <f>Inputs!$C$7+32</f>
        <v/>
      </c>
      <c r="AL129" s="90">
        <f>Inputs!$C$7+33</f>
        <v/>
      </c>
      <c r="AM129" s="90">
        <f>Inputs!$C$7+34</f>
        <v/>
      </c>
      <c r="AN129" s="90">
        <f>Inputs!$C$7+35</f>
        <v/>
      </c>
      <c r="AO129" s="90">
        <f>Inputs!$C$7+36</f>
        <v/>
      </c>
      <c r="AP129" s="90">
        <f>Inputs!$C$7+37</f>
        <v/>
      </c>
      <c r="AQ129" s="90">
        <f>Inputs!$C$7+38</f>
        <v/>
      </c>
      <c r="AR129" s="90">
        <f>Inputs!$C$7+39</f>
        <v/>
      </c>
      <c r="AS129" s="90">
        <f>Inputs!$C$7+40</f>
        <v/>
      </c>
      <c r="AT129" s="90">
        <f>Inputs!$C$7+41</f>
        <v/>
      </c>
      <c r="AU129" s="90">
        <f>Inputs!$C$7+42</f>
        <v/>
      </c>
      <c r="AV129" s="90">
        <f>Inputs!$C$7+43</f>
        <v/>
      </c>
      <c r="AW129" s="90">
        <f>Inputs!$C$7+44</f>
        <v/>
      </c>
      <c r="AX129" s="90">
        <f>Inputs!$C$7+45</f>
        <v/>
      </c>
      <c r="AY129" s="90">
        <f>Inputs!$C$7+46</f>
        <v/>
      </c>
      <c r="AZ129" s="90">
        <f>Inputs!$C$7+47</f>
        <v/>
      </c>
      <c r="BA129" s="90">
        <f>Inputs!$C$7+48</f>
        <v/>
      </c>
      <c r="BB129" s="90">
        <f>Inputs!$C$7+49</f>
        <v/>
      </c>
    </row>
    <row r="130" ht="15" customHeight="1" s="91">
      <c r="B130" s="90" t="inlineStr">
        <is>
          <t>Tranche 1</t>
        </is>
      </c>
      <c r="C130" s="170">
        <f>IF(ABS($D$49)&gt;0,SUMPRODUCT(($E$46:$BB$46=$C$9+0)*IF($E49:$BB49&lt;0,ABS($E49:$BB49),0))*$C$19/ABS($D$49),0)</f>
        <v/>
      </c>
      <c r="D130" s="90">
        <f>SUM(E130:BB130)</f>
        <v/>
      </c>
      <c r="E130" s="90">
        <f>IF(AND($C130&gt;0,E$46&gt;=$C$9+0+$C$26,0&lt;$C130),MIN($C130/$C$27,$C130-0),0)</f>
        <v/>
      </c>
      <c r="F130" s="90">
        <f>IF(AND($C130&gt;0,F$46&gt;=$C$9+0+$C$26,SUM($E130:E130)&lt;$C130),MIN($C130/$C$27,$C130-SUM($E130:E130)),0)</f>
        <v/>
      </c>
      <c r="G130" s="90">
        <f>IF(AND($C130&gt;0,G$46&gt;=$C$9+0+$C$26,SUM($E130:F130)&lt;$C130),MIN($C130/$C$27,$C130-SUM($E130:F130)),0)</f>
        <v/>
      </c>
      <c r="H130" s="90">
        <f>IF(AND($C130&gt;0,H$46&gt;=$C$9+0+$C$26,SUM($E130:G130)&lt;$C130),MIN($C130/$C$27,$C130-SUM($E130:G130)),0)</f>
        <v/>
      </c>
      <c r="I130" s="90">
        <f>IF(AND($C130&gt;0,I$46&gt;=$C$9+0+$C$26,SUM($E130:H130)&lt;$C130),MIN($C130/$C$27,$C130-SUM($E130:H130)),0)</f>
        <v/>
      </c>
      <c r="J130" s="90">
        <f>IF(AND($C130&gt;0,J$46&gt;=$C$9+0+$C$26,SUM($E130:I130)&lt;$C130),MIN($C130/$C$27,$C130-SUM($E130:I130)),0)</f>
        <v/>
      </c>
      <c r="K130" s="90">
        <f>IF(AND($C130&gt;0,K$46&gt;=$C$9+0+$C$26,SUM($E130:J130)&lt;$C130),MIN($C130/$C$27,$C130-SUM($E130:J130)),0)</f>
        <v/>
      </c>
      <c r="L130" s="90">
        <f>IF(AND($C130&gt;0,L$46&gt;=$C$9+0+$C$26,SUM($E130:K130)&lt;$C130),MIN($C130/$C$27,$C130-SUM($E130:K130)),0)</f>
        <v/>
      </c>
      <c r="M130" s="90">
        <f>IF(AND($C130&gt;0,M$46&gt;=$C$9+0+$C$26,SUM($E130:L130)&lt;$C130),MIN($C130/$C$27,$C130-SUM($E130:L130)),0)</f>
        <v/>
      </c>
      <c r="N130" s="90">
        <f>IF(AND($C130&gt;0,N$46&gt;=$C$9+0+$C$26,SUM($E130:M130)&lt;$C130),MIN($C130/$C$27,$C130-SUM($E130:M130)),0)</f>
        <v/>
      </c>
      <c r="O130" s="90">
        <f>IF(AND($C130&gt;0,O$46&gt;=$C$9+0+$C$26,SUM($E130:N130)&lt;$C130),MIN($C130/$C$27,$C130-SUM($E130:N130)),0)</f>
        <v/>
      </c>
      <c r="P130" s="90">
        <f>IF(AND($C130&gt;0,P$46&gt;=$C$9+0+$C$26,SUM($E130:O130)&lt;$C130),MIN($C130/$C$27,$C130-SUM($E130:O130)),0)</f>
        <v/>
      </c>
      <c r="Q130" s="90">
        <f>IF(AND($C130&gt;0,Q$46&gt;=$C$9+0+$C$26,SUM($E130:P130)&lt;$C130),MIN($C130/$C$27,$C130-SUM($E130:P130)),0)</f>
        <v/>
      </c>
      <c r="R130" s="90">
        <f>IF(AND($C130&gt;0,R$46&gt;=$C$9+0+$C$26,SUM($E130:Q130)&lt;$C130),MIN($C130/$C$27,$C130-SUM($E130:Q130)),0)</f>
        <v/>
      </c>
      <c r="S130" s="90">
        <f>IF(AND($C130&gt;0,S$46&gt;=$C$9+0+$C$26,SUM($E130:R130)&lt;$C130),MIN($C130/$C$27,$C130-SUM($E130:R130)),0)</f>
        <v/>
      </c>
      <c r="T130" s="90">
        <f>IF(AND($C130&gt;0,T$46&gt;=$C$9+0+$C$26,SUM($E130:S130)&lt;$C130),MIN($C130/$C$27,$C130-SUM($E130:S130)),0)</f>
        <v/>
      </c>
      <c r="U130" s="90">
        <f>IF(AND($C130&gt;0,U$46&gt;=$C$9+0+$C$26,SUM($E130:T130)&lt;$C130),MIN($C130/$C$27,$C130-SUM($E130:T130)),0)</f>
        <v/>
      </c>
      <c r="V130" s="90">
        <f>IF(AND($C130&gt;0,V$46&gt;=$C$9+0+$C$26,SUM($E130:U130)&lt;$C130),MIN($C130/$C$27,$C130-SUM($E130:U130)),0)</f>
        <v/>
      </c>
      <c r="W130" s="90">
        <f>IF(AND($C130&gt;0,W$46&gt;=$C$9+0+$C$26,SUM($E130:V130)&lt;$C130),MIN($C130/$C$27,$C130-SUM($E130:V130)),0)</f>
        <v/>
      </c>
      <c r="X130" s="90">
        <f>IF(AND($C130&gt;0,X$46&gt;=$C$9+0+$C$26,SUM($E130:W130)&lt;$C130),MIN($C130/$C$27,$C130-SUM($E130:W130)),0)</f>
        <v/>
      </c>
      <c r="Y130" s="90">
        <f>IF(AND($C130&gt;0,Y$46&gt;=$C$9+0+$C$26,SUM($E130:X130)&lt;$C130),MIN($C130/$C$27,$C130-SUM($E130:X130)),0)</f>
        <v/>
      </c>
      <c r="Z130" s="90">
        <f>IF(AND($C130&gt;0,Z$46&gt;=$C$9+0+$C$26,SUM($E130:Y130)&lt;$C130),MIN($C130/$C$27,$C130-SUM($E130:Y130)),0)</f>
        <v/>
      </c>
      <c r="AA130" s="90">
        <f>IF(AND($C130&gt;0,AA$46&gt;=$C$9+0+$C$26,SUM($E130:Z130)&lt;$C130),MIN($C130/$C$27,$C130-SUM($E130:Z130)),0)</f>
        <v/>
      </c>
      <c r="AB130" s="90">
        <f>IF(AND($C130&gt;0,AB$46&gt;=$C$9+0+$C$26,SUM($E130:AA130)&lt;$C130),MIN($C130/$C$27,$C130-SUM($E130:AA130)),0)</f>
        <v/>
      </c>
      <c r="AC130" s="90">
        <f>IF(AND($C130&gt;0,AC$46&gt;=$C$9+0+$C$26,SUM($E130:AB130)&lt;$C130),MIN($C130/$C$27,$C130-SUM($E130:AB130)),0)</f>
        <v/>
      </c>
      <c r="AD130" s="90">
        <f>IF(AND($C130&gt;0,AD$46&gt;=$C$9+0+$C$26,SUM($E130:AC130)&lt;$C130),MIN($C130/$C$27,$C130-SUM($E130:AC130)),0)</f>
        <v/>
      </c>
      <c r="AE130" s="90">
        <f>IF(AND($C130&gt;0,AE$46&gt;=$C$9+0+$C$26,SUM($E130:AD130)&lt;$C130),MIN($C130/$C$27,$C130-SUM($E130:AD130)),0)</f>
        <v/>
      </c>
      <c r="AF130" s="90">
        <f>IF(AND($C130&gt;0,AF$46&gt;=$C$9+0+$C$26,SUM($E130:AE130)&lt;$C130),MIN($C130/$C$27,$C130-SUM($E130:AE130)),0)</f>
        <v/>
      </c>
      <c r="AG130" s="90">
        <f>IF(AND($C130&gt;0,AG$46&gt;=$C$9+0+$C$26,SUM($E130:AF130)&lt;$C130),MIN($C130/$C$27,$C130-SUM($E130:AF130)),0)</f>
        <v/>
      </c>
      <c r="AH130" s="90">
        <f>IF(AND($C130&gt;0,AH$46&gt;=$C$9+0+$C$26,SUM($E130:AG130)&lt;$C130),MIN($C130/$C$27,$C130-SUM($E130:AG130)),0)</f>
        <v/>
      </c>
      <c r="AI130" s="90">
        <f>IF(AND($C130&gt;0,AI$46&gt;=$C$9+0+$C$26,SUM($E130:AH130)&lt;$C130),MIN($C130/$C$27,$C130-SUM($E130:AH130)),0)</f>
        <v/>
      </c>
      <c r="AJ130" s="90">
        <f>IF(AND($C130&gt;0,AJ$46&gt;=$C$9+0+$C$26,SUM($E130:AI130)&lt;$C130),MIN($C130/$C$27,$C130-SUM($E130:AI130)),0)</f>
        <v/>
      </c>
      <c r="AK130" s="90">
        <f>IF(AND($C130&gt;0,AK$46&gt;=$C$9+0+$C$26,SUM($E130:AJ130)&lt;$C130),MIN($C130/$C$27,$C130-SUM($E130:AJ130)),0)</f>
        <v/>
      </c>
      <c r="AL130" s="90">
        <f>IF(AND($C130&gt;0,AL$46&gt;=$C$9+0+$C$26,SUM($E130:AK130)&lt;$C130),MIN($C130/$C$27,$C130-SUM($E130:AK130)),0)</f>
        <v/>
      </c>
      <c r="AM130" s="90">
        <f>IF(AND($C130&gt;0,AM$46&gt;=$C$9+0+$C$26,SUM($E130:AL130)&lt;$C130),MIN($C130/$C$27,$C130-SUM($E130:AL130)),0)</f>
        <v/>
      </c>
      <c r="AN130" s="90">
        <f>IF(AND($C130&gt;0,AN$46&gt;=$C$9+0+$C$26,SUM($E130:AM130)&lt;$C130),MIN($C130/$C$27,$C130-SUM($E130:AM130)),0)</f>
        <v/>
      </c>
      <c r="AO130" s="90">
        <f>IF(AND($C130&gt;0,AO$46&gt;=$C$9+0+$C$26,SUM($E130:AN130)&lt;$C130),MIN($C130/$C$27,$C130-SUM($E130:AN130)),0)</f>
        <v/>
      </c>
      <c r="AP130" s="90">
        <f>IF(AND($C130&gt;0,AP$46&gt;=$C$9+0+$C$26,SUM($E130:AO130)&lt;$C130),MIN($C130/$C$27,$C130-SUM($E130:AO130)),0)</f>
        <v/>
      </c>
      <c r="AQ130" s="90">
        <f>IF(AND($C130&gt;0,AQ$46&gt;=$C$9+0+$C$26,SUM($E130:AP130)&lt;$C130),MIN($C130/$C$27,$C130-SUM($E130:AP130)),0)</f>
        <v/>
      </c>
      <c r="AR130" s="90">
        <f>IF(AND($C130&gt;0,AR$46&gt;=$C$9+0+$C$26,SUM($E130:AQ130)&lt;$C130),MIN($C130/$C$27,$C130-SUM($E130:AQ130)),0)</f>
        <v/>
      </c>
      <c r="AS130" s="90">
        <f>IF(AND($C130&gt;0,AS$46&gt;=$C$9+0+$C$26,SUM($E130:AR130)&lt;$C130),MIN($C130/$C$27,$C130-SUM($E130:AR130)),0)</f>
        <v/>
      </c>
      <c r="AT130" s="90">
        <f>IF(AND($C130&gt;0,AT$46&gt;=$C$9+0+$C$26,SUM($E130:AS130)&lt;$C130),MIN($C130/$C$27,$C130-SUM($E130:AS130)),0)</f>
        <v/>
      </c>
      <c r="AU130" s="90">
        <f>IF(AND($C130&gt;0,AU$46&gt;=$C$9+0+$C$26,SUM($E130:AT130)&lt;$C130),MIN($C130/$C$27,$C130-SUM($E130:AT130)),0)</f>
        <v/>
      </c>
      <c r="AV130" s="90">
        <f>IF(AND($C130&gt;0,AV$46&gt;=$C$9+0+$C$26,SUM($E130:AU130)&lt;$C130),MIN($C130/$C$27,$C130-SUM($E130:AU130)),0)</f>
        <v/>
      </c>
      <c r="AW130" s="90">
        <f>IF(AND($C130&gt;0,AW$46&gt;=$C$9+0+$C$26,SUM($E130:AV130)&lt;$C130),MIN($C130/$C$27,$C130-SUM($E130:AV130)),0)</f>
        <v/>
      </c>
      <c r="AX130" s="90">
        <f>IF(AND($C130&gt;0,AX$46&gt;=$C$9+0+$C$26,SUM($E130:AW130)&lt;$C130),MIN($C130/$C$27,$C130-SUM($E130:AW130)),0)</f>
        <v/>
      </c>
      <c r="AY130" s="90">
        <f>IF(AND($C130&gt;0,AY$46&gt;=$C$9+0+$C$26,SUM($E130:AX130)&lt;$C130),MIN($C130/$C$27,$C130-SUM($E130:AX130)),0)</f>
        <v/>
      </c>
      <c r="AZ130" s="90">
        <f>IF(AND($C130&gt;0,AZ$46&gt;=$C$9+0+$C$26,SUM($E130:AY130)&lt;$C130),MIN($C130/$C$27,$C130-SUM($E130:AY130)),0)</f>
        <v/>
      </c>
      <c r="BA130" s="90">
        <f>IF(AND($C130&gt;0,BA$46&gt;=$C$9+0+$C$26,SUM($E130:AZ130)&lt;$C130),MIN($C130/$C$27,$C130-SUM($E130:AZ130)),0)</f>
        <v/>
      </c>
      <c r="BB130" s="90">
        <f>IF(AND($C130&gt;0,BB$46&gt;=$C$9+0+$C$26,SUM($E130:BA130)&lt;$C130),MIN($C130/$C$27,$C130-SUM($E130:BA130)),0)</f>
        <v/>
      </c>
    </row>
    <row r="131" ht="15" customHeight="1" s="91">
      <c r="B131" s="153" t="inlineStr">
        <is>
          <t>Tranche 2</t>
        </is>
      </c>
      <c r="C131" s="160">
        <f>IF(ABS($D$49)&gt;0,SUMPRODUCT(($E$46:$BB$46=$C$9+1)*IF($E49:$BB49&lt;0,ABS($E49:$BB49),0))*$C$19/ABS($D$49),0)</f>
        <v/>
      </c>
      <c r="D131" s="160">
        <f>SUM(E131:BB131)</f>
        <v/>
      </c>
      <c r="E131" s="90">
        <f>IF(AND($C131&gt;0,E$46&gt;=$C$9+1+$C$26,0&lt;$C131),MIN($C131/$C$27,$C131-0),0)</f>
        <v/>
      </c>
      <c r="F131" s="90">
        <f>IF(AND($C131&gt;0,F$46&gt;=$C$9+1+$C$26,SUM($E131:E131)&lt;$C131),MIN($C131/$C$27,$C131-SUM($E131:E131)),0)</f>
        <v/>
      </c>
      <c r="G131" s="90">
        <f>IF(AND($C131&gt;0,G$46&gt;=$C$9+1+$C$26,SUM($E131:F131)&lt;$C131),MIN($C131/$C$27,$C131-SUM($E131:F131)),0)</f>
        <v/>
      </c>
      <c r="H131" s="90">
        <f>IF(AND($C131&gt;0,H$46&gt;=$C$9+1+$C$26,SUM($E131:G131)&lt;$C131),MIN($C131/$C$27,$C131-SUM($E131:G131)),0)</f>
        <v/>
      </c>
      <c r="I131" s="90">
        <f>IF(AND($C131&gt;0,I$46&gt;=$C$9+1+$C$26,SUM($E131:H131)&lt;$C131),MIN($C131/$C$27,$C131-SUM($E131:H131)),0)</f>
        <v/>
      </c>
      <c r="J131" s="90">
        <f>IF(AND($C131&gt;0,J$46&gt;=$C$9+1+$C$26,SUM($E131:I131)&lt;$C131),MIN($C131/$C$27,$C131-SUM($E131:I131)),0)</f>
        <v/>
      </c>
      <c r="K131" s="90">
        <f>IF(AND($C131&gt;0,K$46&gt;=$C$9+1+$C$26,SUM($E131:J131)&lt;$C131),MIN($C131/$C$27,$C131-SUM($E131:J131)),0)</f>
        <v/>
      </c>
      <c r="L131" s="90">
        <f>IF(AND($C131&gt;0,L$46&gt;=$C$9+1+$C$26,SUM($E131:K131)&lt;$C131),MIN($C131/$C$27,$C131-SUM($E131:K131)),0)</f>
        <v/>
      </c>
      <c r="M131" s="90">
        <f>IF(AND($C131&gt;0,M$46&gt;=$C$9+1+$C$26,SUM($E131:L131)&lt;$C131),MIN($C131/$C$27,$C131-SUM($E131:L131)),0)</f>
        <v/>
      </c>
      <c r="N131" s="90">
        <f>IF(AND($C131&gt;0,N$46&gt;=$C$9+1+$C$26,SUM($E131:M131)&lt;$C131),MIN($C131/$C$27,$C131-SUM($E131:M131)),0)</f>
        <v/>
      </c>
      <c r="O131" s="90">
        <f>IF(AND($C131&gt;0,O$46&gt;=$C$9+1+$C$26,SUM($E131:N131)&lt;$C131),MIN($C131/$C$27,$C131-SUM($E131:N131)),0)</f>
        <v/>
      </c>
      <c r="P131" s="90">
        <f>IF(AND($C131&gt;0,P$46&gt;=$C$9+1+$C$26,SUM($E131:O131)&lt;$C131),MIN($C131/$C$27,$C131-SUM($E131:O131)),0)</f>
        <v/>
      </c>
      <c r="Q131" s="90">
        <f>IF(AND($C131&gt;0,Q$46&gt;=$C$9+1+$C$26,SUM($E131:P131)&lt;$C131),MIN($C131/$C$27,$C131-SUM($E131:P131)),0)</f>
        <v/>
      </c>
      <c r="R131" s="90">
        <f>IF(AND($C131&gt;0,R$46&gt;=$C$9+1+$C$26,SUM($E131:Q131)&lt;$C131),MIN($C131/$C$27,$C131-SUM($E131:Q131)),0)</f>
        <v/>
      </c>
      <c r="S131" s="90">
        <f>IF(AND($C131&gt;0,S$46&gt;=$C$9+1+$C$26,SUM($E131:R131)&lt;$C131),MIN($C131/$C$27,$C131-SUM($E131:R131)),0)</f>
        <v/>
      </c>
      <c r="T131" s="90">
        <f>IF(AND($C131&gt;0,T$46&gt;=$C$9+1+$C$26,SUM($E131:S131)&lt;$C131),MIN($C131/$C$27,$C131-SUM($E131:S131)),0)</f>
        <v/>
      </c>
      <c r="U131" s="90">
        <f>IF(AND($C131&gt;0,U$46&gt;=$C$9+1+$C$26,SUM($E131:T131)&lt;$C131),MIN($C131/$C$27,$C131-SUM($E131:T131)),0)</f>
        <v/>
      </c>
      <c r="V131" s="90">
        <f>IF(AND($C131&gt;0,V$46&gt;=$C$9+1+$C$26,SUM($E131:U131)&lt;$C131),MIN($C131/$C$27,$C131-SUM($E131:U131)),0)</f>
        <v/>
      </c>
      <c r="W131" s="90">
        <f>IF(AND($C131&gt;0,W$46&gt;=$C$9+1+$C$26,SUM($E131:V131)&lt;$C131),MIN($C131/$C$27,$C131-SUM($E131:V131)),0)</f>
        <v/>
      </c>
      <c r="X131" s="90">
        <f>IF(AND($C131&gt;0,X$46&gt;=$C$9+1+$C$26,SUM($E131:W131)&lt;$C131),MIN($C131/$C$27,$C131-SUM($E131:W131)),0)</f>
        <v/>
      </c>
      <c r="Y131" s="90">
        <f>IF(AND($C131&gt;0,Y$46&gt;=$C$9+1+$C$26,SUM($E131:X131)&lt;$C131),MIN($C131/$C$27,$C131-SUM($E131:X131)),0)</f>
        <v/>
      </c>
      <c r="Z131" s="90">
        <f>IF(AND($C131&gt;0,Z$46&gt;=$C$9+1+$C$26,SUM($E131:Y131)&lt;$C131),MIN($C131/$C$27,$C131-SUM($E131:Y131)),0)</f>
        <v/>
      </c>
      <c r="AA131" s="90">
        <f>IF(AND($C131&gt;0,AA$46&gt;=$C$9+1+$C$26,SUM($E131:Z131)&lt;$C131),MIN($C131/$C$27,$C131-SUM($E131:Z131)),0)</f>
        <v/>
      </c>
      <c r="AB131" s="90">
        <f>IF(AND($C131&gt;0,AB$46&gt;=$C$9+1+$C$26,SUM($E131:AA131)&lt;$C131),MIN($C131/$C$27,$C131-SUM($E131:AA131)),0)</f>
        <v/>
      </c>
      <c r="AC131" s="90">
        <f>IF(AND($C131&gt;0,AC$46&gt;=$C$9+1+$C$26,SUM($E131:AB131)&lt;$C131),MIN($C131/$C$27,$C131-SUM($E131:AB131)),0)</f>
        <v/>
      </c>
      <c r="AD131" s="90">
        <f>IF(AND($C131&gt;0,AD$46&gt;=$C$9+1+$C$26,SUM($E131:AC131)&lt;$C131),MIN($C131/$C$27,$C131-SUM($E131:AC131)),0)</f>
        <v/>
      </c>
      <c r="AE131" s="90">
        <f>IF(AND($C131&gt;0,AE$46&gt;=$C$9+1+$C$26,SUM($E131:AD131)&lt;$C131),MIN($C131/$C$27,$C131-SUM($E131:AD131)),0)</f>
        <v/>
      </c>
      <c r="AF131" s="90">
        <f>IF(AND($C131&gt;0,AF$46&gt;=$C$9+1+$C$26,SUM($E131:AE131)&lt;$C131),MIN($C131/$C$27,$C131-SUM($E131:AE131)),0)</f>
        <v/>
      </c>
      <c r="AG131" s="90">
        <f>IF(AND($C131&gt;0,AG$46&gt;=$C$9+1+$C$26,SUM($E131:AF131)&lt;$C131),MIN($C131/$C$27,$C131-SUM($E131:AF131)),0)</f>
        <v/>
      </c>
      <c r="AH131" s="90">
        <f>IF(AND($C131&gt;0,AH$46&gt;=$C$9+1+$C$26,SUM($E131:AG131)&lt;$C131),MIN($C131/$C$27,$C131-SUM($E131:AG131)),0)</f>
        <v/>
      </c>
      <c r="AI131" s="90">
        <f>IF(AND($C131&gt;0,AI$46&gt;=$C$9+1+$C$26,SUM($E131:AH131)&lt;$C131),MIN($C131/$C$27,$C131-SUM($E131:AH131)),0)</f>
        <v/>
      </c>
      <c r="AJ131" s="90">
        <f>IF(AND($C131&gt;0,AJ$46&gt;=$C$9+1+$C$26,SUM($E131:AI131)&lt;$C131),MIN($C131/$C$27,$C131-SUM($E131:AI131)),0)</f>
        <v/>
      </c>
      <c r="AK131" s="90">
        <f>IF(AND($C131&gt;0,AK$46&gt;=$C$9+1+$C$26,SUM($E131:AJ131)&lt;$C131),MIN($C131/$C$27,$C131-SUM($E131:AJ131)),0)</f>
        <v/>
      </c>
      <c r="AL131" s="90">
        <f>IF(AND($C131&gt;0,AL$46&gt;=$C$9+1+$C$26,SUM($E131:AK131)&lt;$C131),MIN($C131/$C$27,$C131-SUM($E131:AK131)),0)</f>
        <v/>
      </c>
      <c r="AM131" s="90">
        <f>IF(AND($C131&gt;0,AM$46&gt;=$C$9+1+$C$26,SUM($E131:AL131)&lt;$C131),MIN($C131/$C$27,$C131-SUM($E131:AL131)),0)</f>
        <v/>
      </c>
      <c r="AN131" s="90">
        <f>IF(AND($C131&gt;0,AN$46&gt;=$C$9+1+$C$26,SUM($E131:AM131)&lt;$C131),MIN($C131/$C$27,$C131-SUM($E131:AM131)),0)</f>
        <v/>
      </c>
      <c r="AO131" s="90">
        <f>IF(AND($C131&gt;0,AO$46&gt;=$C$9+1+$C$26,SUM($E131:AN131)&lt;$C131),MIN($C131/$C$27,$C131-SUM($E131:AN131)),0)</f>
        <v/>
      </c>
      <c r="AP131" s="90">
        <f>IF(AND($C131&gt;0,AP$46&gt;=$C$9+1+$C$26,SUM($E131:AO131)&lt;$C131),MIN($C131/$C$27,$C131-SUM($E131:AO131)),0)</f>
        <v/>
      </c>
      <c r="AQ131" s="90">
        <f>IF(AND($C131&gt;0,AQ$46&gt;=$C$9+1+$C$26,SUM($E131:AP131)&lt;$C131),MIN($C131/$C$27,$C131-SUM($E131:AP131)),0)</f>
        <v/>
      </c>
      <c r="AR131" s="90">
        <f>IF(AND($C131&gt;0,AR$46&gt;=$C$9+1+$C$26,SUM($E131:AQ131)&lt;$C131),MIN($C131/$C$27,$C131-SUM($E131:AQ131)),0)</f>
        <v/>
      </c>
      <c r="AS131" s="90">
        <f>IF(AND($C131&gt;0,AS$46&gt;=$C$9+1+$C$26,SUM($E131:AR131)&lt;$C131),MIN($C131/$C$27,$C131-SUM($E131:AR131)),0)</f>
        <v/>
      </c>
      <c r="AT131" s="90">
        <f>IF(AND($C131&gt;0,AT$46&gt;=$C$9+1+$C$26,SUM($E131:AS131)&lt;$C131),MIN($C131/$C$27,$C131-SUM($E131:AS131)),0)</f>
        <v/>
      </c>
      <c r="AU131" s="90">
        <f>IF(AND($C131&gt;0,AU$46&gt;=$C$9+1+$C$26,SUM($E131:AT131)&lt;$C131),MIN($C131/$C$27,$C131-SUM($E131:AT131)),0)</f>
        <v/>
      </c>
      <c r="AV131" s="90">
        <f>IF(AND($C131&gt;0,AV$46&gt;=$C$9+1+$C$26,SUM($E131:AU131)&lt;$C131),MIN($C131/$C$27,$C131-SUM($E131:AU131)),0)</f>
        <v/>
      </c>
      <c r="AW131" s="90">
        <f>IF(AND($C131&gt;0,AW$46&gt;=$C$9+1+$C$26,SUM($E131:AV131)&lt;$C131),MIN($C131/$C$27,$C131-SUM($E131:AV131)),0)</f>
        <v/>
      </c>
      <c r="AX131" s="90">
        <f>IF(AND($C131&gt;0,AX$46&gt;=$C$9+1+$C$26,SUM($E131:AW131)&lt;$C131),MIN($C131/$C$27,$C131-SUM($E131:AW131)),0)</f>
        <v/>
      </c>
      <c r="AY131" s="90">
        <f>IF(AND($C131&gt;0,AY$46&gt;=$C$9+1+$C$26,SUM($E131:AX131)&lt;$C131),MIN($C131/$C$27,$C131-SUM($E131:AX131)),0)</f>
        <v/>
      </c>
      <c r="AZ131" s="90">
        <f>IF(AND($C131&gt;0,AZ$46&gt;=$C$9+1+$C$26,SUM($E131:AY131)&lt;$C131),MIN($C131/$C$27,$C131-SUM($E131:AY131)),0)</f>
        <v/>
      </c>
      <c r="BA131" s="90">
        <f>IF(AND($C131&gt;0,BA$46&gt;=$C$9+1+$C$26,SUM($E131:AZ131)&lt;$C131),MIN($C131/$C$27,$C131-SUM($E131:AZ131)),0)</f>
        <v/>
      </c>
      <c r="BB131" s="90">
        <f>IF(AND($C131&gt;0,BB$46&gt;=$C$9+1+$C$26,SUM($E131:BA131)&lt;$C131),MIN($C131/$C$27,$C131-SUM($E131:BA131)),0)</f>
        <v/>
      </c>
    </row>
    <row r="132" ht="15" customHeight="1" s="91">
      <c r="B132" s="153" t="inlineStr">
        <is>
          <t>Tranche 3</t>
        </is>
      </c>
      <c r="C132" s="160">
        <f>IF(ABS($D$49)&gt;0,SUMPRODUCT(($E$46:$BB$46=$C$9+2)*IF($E49:$BB49&lt;0,ABS($E49:$BB49),0))*$C$19/ABS($D$49),0)</f>
        <v/>
      </c>
      <c r="D132" s="160">
        <f>SUM(E132:BB132)</f>
        <v/>
      </c>
      <c r="E132" s="90">
        <f>IF(AND($C132&gt;0,E$46&gt;=$C$9+2+$C$26,0&lt;$C132),MIN($C132/$C$27,$C132-0),0)</f>
        <v/>
      </c>
      <c r="F132" s="90">
        <f>IF(AND($C132&gt;0,F$46&gt;=$C$9+2+$C$26,SUM($E132:E132)&lt;$C132),MIN($C132/$C$27,$C132-SUM($E132:E132)),0)</f>
        <v/>
      </c>
      <c r="G132" s="90">
        <f>IF(AND($C132&gt;0,G$46&gt;=$C$9+2+$C$26,SUM($E132:F132)&lt;$C132),MIN($C132/$C$27,$C132-SUM($E132:F132)),0)</f>
        <v/>
      </c>
      <c r="H132" s="90">
        <f>IF(AND($C132&gt;0,H$46&gt;=$C$9+2+$C$26,SUM($E132:G132)&lt;$C132),MIN($C132/$C$27,$C132-SUM($E132:G132)),0)</f>
        <v/>
      </c>
      <c r="I132" s="90">
        <f>IF(AND($C132&gt;0,I$46&gt;=$C$9+2+$C$26,SUM($E132:H132)&lt;$C132),MIN($C132/$C$27,$C132-SUM($E132:H132)),0)</f>
        <v/>
      </c>
      <c r="J132" s="90">
        <f>IF(AND($C132&gt;0,J$46&gt;=$C$9+2+$C$26,SUM($E132:I132)&lt;$C132),MIN($C132/$C$27,$C132-SUM($E132:I132)),0)</f>
        <v/>
      </c>
      <c r="K132" s="90">
        <f>IF(AND($C132&gt;0,K$46&gt;=$C$9+2+$C$26,SUM($E132:J132)&lt;$C132),MIN($C132/$C$27,$C132-SUM($E132:J132)),0)</f>
        <v/>
      </c>
      <c r="L132" s="90">
        <f>IF(AND($C132&gt;0,L$46&gt;=$C$9+2+$C$26,SUM($E132:K132)&lt;$C132),MIN($C132/$C$27,$C132-SUM($E132:K132)),0)</f>
        <v/>
      </c>
      <c r="M132" s="90">
        <f>IF(AND($C132&gt;0,M$46&gt;=$C$9+2+$C$26,SUM($E132:L132)&lt;$C132),MIN($C132/$C$27,$C132-SUM($E132:L132)),0)</f>
        <v/>
      </c>
      <c r="N132" s="90">
        <f>IF(AND($C132&gt;0,N$46&gt;=$C$9+2+$C$26,SUM($E132:M132)&lt;$C132),MIN($C132/$C$27,$C132-SUM($E132:M132)),0)</f>
        <v/>
      </c>
      <c r="O132" s="90">
        <f>IF(AND($C132&gt;0,O$46&gt;=$C$9+2+$C$26,SUM($E132:N132)&lt;$C132),MIN($C132/$C$27,$C132-SUM($E132:N132)),0)</f>
        <v/>
      </c>
      <c r="P132" s="90">
        <f>IF(AND($C132&gt;0,P$46&gt;=$C$9+2+$C$26,SUM($E132:O132)&lt;$C132),MIN($C132/$C$27,$C132-SUM($E132:O132)),0)</f>
        <v/>
      </c>
      <c r="Q132" s="90">
        <f>IF(AND($C132&gt;0,Q$46&gt;=$C$9+2+$C$26,SUM($E132:P132)&lt;$C132),MIN($C132/$C$27,$C132-SUM($E132:P132)),0)</f>
        <v/>
      </c>
      <c r="R132" s="90">
        <f>IF(AND($C132&gt;0,R$46&gt;=$C$9+2+$C$26,SUM($E132:Q132)&lt;$C132),MIN($C132/$C$27,$C132-SUM($E132:Q132)),0)</f>
        <v/>
      </c>
      <c r="S132" s="90">
        <f>IF(AND($C132&gt;0,S$46&gt;=$C$9+2+$C$26,SUM($E132:R132)&lt;$C132),MIN($C132/$C$27,$C132-SUM($E132:R132)),0)</f>
        <v/>
      </c>
      <c r="T132" s="90">
        <f>IF(AND($C132&gt;0,T$46&gt;=$C$9+2+$C$26,SUM($E132:S132)&lt;$C132),MIN($C132/$C$27,$C132-SUM($E132:S132)),0)</f>
        <v/>
      </c>
      <c r="U132" s="90">
        <f>IF(AND($C132&gt;0,U$46&gt;=$C$9+2+$C$26,SUM($E132:T132)&lt;$C132),MIN($C132/$C$27,$C132-SUM($E132:T132)),0)</f>
        <v/>
      </c>
      <c r="V132" s="90">
        <f>IF(AND($C132&gt;0,V$46&gt;=$C$9+2+$C$26,SUM($E132:U132)&lt;$C132),MIN($C132/$C$27,$C132-SUM($E132:U132)),0)</f>
        <v/>
      </c>
      <c r="W132" s="90">
        <f>IF(AND($C132&gt;0,W$46&gt;=$C$9+2+$C$26,SUM($E132:V132)&lt;$C132),MIN($C132/$C$27,$C132-SUM($E132:V132)),0)</f>
        <v/>
      </c>
      <c r="X132" s="90">
        <f>IF(AND($C132&gt;0,X$46&gt;=$C$9+2+$C$26,SUM($E132:W132)&lt;$C132),MIN($C132/$C$27,$C132-SUM($E132:W132)),0)</f>
        <v/>
      </c>
      <c r="Y132" s="90">
        <f>IF(AND($C132&gt;0,Y$46&gt;=$C$9+2+$C$26,SUM($E132:X132)&lt;$C132),MIN($C132/$C$27,$C132-SUM($E132:X132)),0)</f>
        <v/>
      </c>
      <c r="Z132" s="90">
        <f>IF(AND($C132&gt;0,Z$46&gt;=$C$9+2+$C$26,SUM($E132:Y132)&lt;$C132),MIN($C132/$C$27,$C132-SUM($E132:Y132)),0)</f>
        <v/>
      </c>
      <c r="AA132" s="90">
        <f>IF(AND($C132&gt;0,AA$46&gt;=$C$9+2+$C$26,SUM($E132:Z132)&lt;$C132),MIN($C132/$C$27,$C132-SUM($E132:Z132)),0)</f>
        <v/>
      </c>
      <c r="AB132" s="90">
        <f>IF(AND($C132&gt;0,AB$46&gt;=$C$9+2+$C$26,SUM($E132:AA132)&lt;$C132),MIN($C132/$C$27,$C132-SUM($E132:AA132)),0)</f>
        <v/>
      </c>
      <c r="AC132" s="90">
        <f>IF(AND($C132&gt;0,AC$46&gt;=$C$9+2+$C$26,SUM($E132:AB132)&lt;$C132),MIN($C132/$C$27,$C132-SUM($E132:AB132)),0)</f>
        <v/>
      </c>
      <c r="AD132" s="90">
        <f>IF(AND($C132&gt;0,AD$46&gt;=$C$9+2+$C$26,SUM($E132:AC132)&lt;$C132),MIN($C132/$C$27,$C132-SUM($E132:AC132)),0)</f>
        <v/>
      </c>
      <c r="AE132" s="90">
        <f>IF(AND($C132&gt;0,AE$46&gt;=$C$9+2+$C$26,SUM($E132:AD132)&lt;$C132),MIN($C132/$C$27,$C132-SUM($E132:AD132)),0)</f>
        <v/>
      </c>
      <c r="AF132" s="90">
        <f>IF(AND($C132&gt;0,AF$46&gt;=$C$9+2+$C$26,SUM($E132:AE132)&lt;$C132),MIN($C132/$C$27,$C132-SUM($E132:AE132)),0)</f>
        <v/>
      </c>
      <c r="AG132" s="90">
        <f>IF(AND($C132&gt;0,AG$46&gt;=$C$9+2+$C$26,SUM($E132:AF132)&lt;$C132),MIN($C132/$C$27,$C132-SUM($E132:AF132)),0)</f>
        <v/>
      </c>
      <c r="AH132" s="90">
        <f>IF(AND($C132&gt;0,AH$46&gt;=$C$9+2+$C$26,SUM($E132:AG132)&lt;$C132),MIN($C132/$C$27,$C132-SUM($E132:AG132)),0)</f>
        <v/>
      </c>
      <c r="AI132" s="90">
        <f>IF(AND($C132&gt;0,AI$46&gt;=$C$9+2+$C$26,SUM($E132:AH132)&lt;$C132),MIN($C132/$C$27,$C132-SUM($E132:AH132)),0)</f>
        <v/>
      </c>
      <c r="AJ132" s="90">
        <f>IF(AND($C132&gt;0,AJ$46&gt;=$C$9+2+$C$26,SUM($E132:AI132)&lt;$C132),MIN($C132/$C$27,$C132-SUM($E132:AI132)),0)</f>
        <v/>
      </c>
      <c r="AK132" s="90">
        <f>IF(AND($C132&gt;0,AK$46&gt;=$C$9+2+$C$26,SUM($E132:AJ132)&lt;$C132),MIN($C132/$C$27,$C132-SUM($E132:AJ132)),0)</f>
        <v/>
      </c>
      <c r="AL132" s="90">
        <f>IF(AND($C132&gt;0,AL$46&gt;=$C$9+2+$C$26,SUM($E132:AK132)&lt;$C132),MIN($C132/$C$27,$C132-SUM($E132:AK132)),0)</f>
        <v/>
      </c>
      <c r="AM132" s="90">
        <f>IF(AND($C132&gt;0,AM$46&gt;=$C$9+2+$C$26,SUM($E132:AL132)&lt;$C132),MIN($C132/$C$27,$C132-SUM($E132:AL132)),0)</f>
        <v/>
      </c>
      <c r="AN132" s="90">
        <f>IF(AND($C132&gt;0,AN$46&gt;=$C$9+2+$C$26,SUM($E132:AM132)&lt;$C132),MIN($C132/$C$27,$C132-SUM($E132:AM132)),0)</f>
        <v/>
      </c>
      <c r="AO132" s="90">
        <f>IF(AND($C132&gt;0,AO$46&gt;=$C$9+2+$C$26,SUM($E132:AN132)&lt;$C132),MIN($C132/$C$27,$C132-SUM($E132:AN132)),0)</f>
        <v/>
      </c>
      <c r="AP132" s="90">
        <f>IF(AND($C132&gt;0,AP$46&gt;=$C$9+2+$C$26,SUM($E132:AO132)&lt;$C132),MIN($C132/$C$27,$C132-SUM($E132:AO132)),0)</f>
        <v/>
      </c>
      <c r="AQ132" s="90">
        <f>IF(AND($C132&gt;0,AQ$46&gt;=$C$9+2+$C$26,SUM($E132:AP132)&lt;$C132),MIN($C132/$C$27,$C132-SUM($E132:AP132)),0)</f>
        <v/>
      </c>
      <c r="AR132" s="90">
        <f>IF(AND($C132&gt;0,AR$46&gt;=$C$9+2+$C$26,SUM($E132:AQ132)&lt;$C132),MIN($C132/$C$27,$C132-SUM($E132:AQ132)),0)</f>
        <v/>
      </c>
      <c r="AS132" s="90">
        <f>IF(AND($C132&gt;0,AS$46&gt;=$C$9+2+$C$26,SUM($E132:AR132)&lt;$C132),MIN($C132/$C$27,$C132-SUM($E132:AR132)),0)</f>
        <v/>
      </c>
      <c r="AT132" s="90">
        <f>IF(AND($C132&gt;0,AT$46&gt;=$C$9+2+$C$26,SUM($E132:AS132)&lt;$C132),MIN($C132/$C$27,$C132-SUM($E132:AS132)),0)</f>
        <v/>
      </c>
      <c r="AU132" s="90">
        <f>IF(AND($C132&gt;0,AU$46&gt;=$C$9+2+$C$26,SUM($E132:AT132)&lt;$C132),MIN($C132/$C$27,$C132-SUM($E132:AT132)),0)</f>
        <v/>
      </c>
      <c r="AV132" s="90">
        <f>IF(AND($C132&gt;0,AV$46&gt;=$C$9+2+$C$26,SUM($E132:AU132)&lt;$C132),MIN($C132/$C$27,$C132-SUM($E132:AU132)),0)</f>
        <v/>
      </c>
      <c r="AW132" s="90">
        <f>IF(AND($C132&gt;0,AW$46&gt;=$C$9+2+$C$26,SUM($E132:AV132)&lt;$C132),MIN($C132/$C$27,$C132-SUM($E132:AV132)),0)</f>
        <v/>
      </c>
      <c r="AX132" s="90">
        <f>IF(AND($C132&gt;0,AX$46&gt;=$C$9+2+$C$26,SUM($E132:AW132)&lt;$C132),MIN($C132/$C$27,$C132-SUM($E132:AW132)),0)</f>
        <v/>
      </c>
      <c r="AY132" s="90">
        <f>IF(AND($C132&gt;0,AY$46&gt;=$C$9+2+$C$26,SUM($E132:AX132)&lt;$C132),MIN($C132/$C$27,$C132-SUM($E132:AX132)),0)</f>
        <v/>
      </c>
      <c r="AZ132" s="90">
        <f>IF(AND($C132&gt;0,AZ$46&gt;=$C$9+2+$C$26,SUM($E132:AY132)&lt;$C132),MIN($C132/$C$27,$C132-SUM($E132:AY132)),0)</f>
        <v/>
      </c>
      <c r="BA132" s="90">
        <f>IF(AND($C132&gt;0,BA$46&gt;=$C$9+2+$C$26,SUM($E132:AZ132)&lt;$C132),MIN($C132/$C$27,$C132-SUM($E132:AZ132)),0)</f>
        <v/>
      </c>
      <c r="BB132" s="90">
        <f>IF(AND($C132&gt;0,BB$46&gt;=$C$9+2+$C$26,SUM($E132:BA132)&lt;$C132),MIN($C132/$C$27,$C132-SUM($E132:BA132)),0)</f>
        <v/>
      </c>
    </row>
    <row r="133" ht="15" customHeight="1" s="91">
      <c r="B133" s="153" t="inlineStr">
        <is>
          <t>Tranche 4</t>
        </is>
      </c>
      <c r="C133" s="160">
        <f>IF(ABS($D$49)&gt;0,SUMPRODUCT(($E$46:$BB$46=$C$9+3)*IF($E49:$BB49&lt;0,ABS($E49:$BB49),0))*$C$19/ABS($D$49),0)</f>
        <v/>
      </c>
      <c r="D133" s="160">
        <f>SUM(E133:BB133)</f>
        <v/>
      </c>
      <c r="E133" s="90">
        <f>IF(AND($C133&gt;0,E$46&gt;=$C$9+3+$C$26,0&lt;$C133),MIN($C133/$C$27,$C133-0),0)</f>
        <v/>
      </c>
      <c r="F133" s="90">
        <f>IF(AND($C133&gt;0,F$46&gt;=$C$9+3+$C$26,SUM($E133:E133)&lt;$C133),MIN($C133/$C$27,$C133-SUM($E133:E133)),0)</f>
        <v/>
      </c>
      <c r="G133" s="90">
        <f>IF(AND($C133&gt;0,G$46&gt;=$C$9+3+$C$26,SUM($E133:F133)&lt;$C133),MIN($C133/$C$27,$C133-SUM($E133:F133)),0)</f>
        <v/>
      </c>
      <c r="H133" s="90">
        <f>IF(AND($C133&gt;0,H$46&gt;=$C$9+3+$C$26,SUM($E133:G133)&lt;$C133),MIN($C133/$C$27,$C133-SUM($E133:G133)),0)</f>
        <v/>
      </c>
      <c r="I133" s="90">
        <f>IF(AND($C133&gt;0,I$46&gt;=$C$9+3+$C$26,SUM($E133:H133)&lt;$C133),MIN($C133/$C$27,$C133-SUM($E133:H133)),0)</f>
        <v/>
      </c>
      <c r="J133" s="90">
        <f>IF(AND($C133&gt;0,J$46&gt;=$C$9+3+$C$26,SUM($E133:I133)&lt;$C133),MIN($C133/$C$27,$C133-SUM($E133:I133)),0)</f>
        <v/>
      </c>
      <c r="K133" s="90">
        <f>IF(AND($C133&gt;0,K$46&gt;=$C$9+3+$C$26,SUM($E133:J133)&lt;$C133),MIN($C133/$C$27,$C133-SUM($E133:J133)),0)</f>
        <v/>
      </c>
      <c r="L133" s="90">
        <f>IF(AND($C133&gt;0,L$46&gt;=$C$9+3+$C$26,SUM($E133:K133)&lt;$C133),MIN($C133/$C$27,$C133-SUM($E133:K133)),0)</f>
        <v/>
      </c>
      <c r="M133" s="90">
        <f>IF(AND($C133&gt;0,M$46&gt;=$C$9+3+$C$26,SUM($E133:L133)&lt;$C133),MIN($C133/$C$27,$C133-SUM($E133:L133)),0)</f>
        <v/>
      </c>
      <c r="N133" s="90">
        <f>IF(AND($C133&gt;0,N$46&gt;=$C$9+3+$C$26,SUM($E133:M133)&lt;$C133),MIN($C133/$C$27,$C133-SUM($E133:M133)),0)</f>
        <v/>
      </c>
      <c r="O133" s="90">
        <f>IF(AND($C133&gt;0,O$46&gt;=$C$9+3+$C$26,SUM($E133:N133)&lt;$C133),MIN($C133/$C$27,$C133-SUM($E133:N133)),0)</f>
        <v/>
      </c>
      <c r="P133" s="90">
        <f>IF(AND($C133&gt;0,P$46&gt;=$C$9+3+$C$26,SUM($E133:O133)&lt;$C133),MIN($C133/$C$27,$C133-SUM($E133:O133)),0)</f>
        <v/>
      </c>
      <c r="Q133" s="90">
        <f>IF(AND($C133&gt;0,Q$46&gt;=$C$9+3+$C$26,SUM($E133:P133)&lt;$C133),MIN($C133/$C$27,$C133-SUM($E133:P133)),0)</f>
        <v/>
      </c>
      <c r="R133" s="90">
        <f>IF(AND($C133&gt;0,R$46&gt;=$C$9+3+$C$26,SUM($E133:Q133)&lt;$C133),MIN($C133/$C$27,$C133-SUM($E133:Q133)),0)</f>
        <v/>
      </c>
      <c r="S133" s="90">
        <f>IF(AND($C133&gt;0,S$46&gt;=$C$9+3+$C$26,SUM($E133:R133)&lt;$C133),MIN($C133/$C$27,$C133-SUM($E133:R133)),0)</f>
        <v/>
      </c>
      <c r="T133" s="90">
        <f>IF(AND($C133&gt;0,T$46&gt;=$C$9+3+$C$26,SUM($E133:S133)&lt;$C133),MIN($C133/$C$27,$C133-SUM($E133:S133)),0)</f>
        <v/>
      </c>
      <c r="U133" s="90">
        <f>IF(AND($C133&gt;0,U$46&gt;=$C$9+3+$C$26,SUM($E133:T133)&lt;$C133),MIN($C133/$C$27,$C133-SUM($E133:T133)),0)</f>
        <v/>
      </c>
      <c r="V133" s="90">
        <f>IF(AND($C133&gt;0,V$46&gt;=$C$9+3+$C$26,SUM($E133:U133)&lt;$C133),MIN($C133/$C$27,$C133-SUM($E133:U133)),0)</f>
        <v/>
      </c>
      <c r="W133" s="90">
        <f>IF(AND($C133&gt;0,W$46&gt;=$C$9+3+$C$26,SUM($E133:V133)&lt;$C133),MIN($C133/$C$27,$C133-SUM($E133:V133)),0)</f>
        <v/>
      </c>
      <c r="X133" s="90">
        <f>IF(AND($C133&gt;0,X$46&gt;=$C$9+3+$C$26,SUM($E133:W133)&lt;$C133),MIN($C133/$C$27,$C133-SUM($E133:W133)),0)</f>
        <v/>
      </c>
      <c r="Y133" s="90">
        <f>IF(AND($C133&gt;0,Y$46&gt;=$C$9+3+$C$26,SUM($E133:X133)&lt;$C133),MIN($C133/$C$27,$C133-SUM($E133:X133)),0)</f>
        <v/>
      </c>
      <c r="Z133" s="90">
        <f>IF(AND($C133&gt;0,Z$46&gt;=$C$9+3+$C$26,SUM($E133:Y133)&lt;$C133),MIN($C133/$C$27,$C133-SUM($E133:Y133)),0)</f>
        <v/>
      </c>
      <c r="AA133" s="90">
        <f>IF(AND($C133&gt;0,AA$46&gt;=$C$9+3+$C$26,SUM($E133:Z133)&lt;$C133),MIN($C133/$C$27,$C133-SUM($E133:Z133)),0)</f>
        <v/>
      </c>
      <c r="AB133" s="90">
        <f>IF(AND($C133&gt;0,AB$46&gt;=$C$9+3+$C$26,SUM($E133:AA133)&lt;$C133),MIN($C133/$C$27,$C133-SUM($E133:AA133)),0)</f>
        <v/>
      </c>
      <c r="AC133" s="90">
        <f>IF(AND($C133&gt;0,AC$46&gt;=$C$9+3+$C$26,SUM($E133:AB133)&lt;$C133),MIN($C133/$C$27,$C133-SUM($E133:AB133)),0)</f>
        <v/>
      </c>
      <c r="AD133" s="90">
        <f>IF(AND($C133&gt;0,AD$46&gt;=$C$9+3+$C$26,SUM($E133:AC133)&lt;$C133),MIN($C133/$C$27,$C133-SUM($E133:AC133)),0)</f>
        <v/>
      </c>
      <c r="AE133" s="90">
        <f>IF(AND($C133&gt;0,AE$46&gt;=$C$9+3+$C$26,SUM($E133:AD133)&lt;$C133),MIN($C133/$C$27,$C133-SUM($E133:AD133)),0)</f>
        <v/>
      </c>
      <c r="AF133" s="90">
        <f>IF(AND($C133&gt;0,AF$46&gt;=$C$9+3+$C$26,SUM($E133:AE133)&lt;$C133),MIN($C133/$C$27,$C133-SUM($E133:AE133)),0)</f>
        <v/>
      </c>
      <c r="AG133" s="90">
        <f>IF(AND($C133&gt;0,AG$46&gt;=$C$9+3+$C$26,SUM($E133:AF133)&lt;$C133),MIN($C133/$C$27,$C133-SUM($E133:AF133)),0)</f>
        <v/>
      </c>
      <c r="AH133" s="90">
        <f>IF(AND($C133&gt;0,AH$46&gt;=$C$9+3+$C$26,SUM($E133:AG133)&lt;$C133),MIN($C133/$C$27,$C133-SUM($E133:AG133)),0)</f>
        <v/>
      </c>
      <c r="AI133" s="90">
        <f>IF(AND($C133&gt;0,AI$46&gt;=$C$9+3+$C$26,SUM($E133:AH133)&lt;$C133),MIN($C133/$C$27,$C133-SUM($E133:AH133)),0)</f>
        <v/>
      </c>
      <c r="AJ133" s="90">
        <f>IF(AND($C133&gt;0,AJ$46&gt;=$C$9+3+$C$26,SUM($E133:AI133)&lt;$C133),MIN($C133/$C$27,$C133-SUM($E133:AI133)),0)</f>
        <v/>
      </c>
      <c r="AK133" s="90">
        <f>IF(AND($C133&gt;0,AK$46&gt;=$C$9+3+$C$26,SUM($E133:AJ133)&lt;$C133),MIN($C133/$C$27,$C133-SUM($E133:AJ133)),0)</f>
        <v/>
      </c>
      <c r="AL133" s="90">
        <f>IF(AND($C133&gt;0,AL$46&gt;=$C$9+3+$C$26,SUM($E133:AK133)&lt;$C133),MIN($C133/$C$27,$C133-SUM($E133:AK133)),0)</f>
        <v/>
      </c>
      <c r="AM133" s="90">
        <f>IF(AND($C133&gt;0,AM$46&gt;=$C$9+3+$C$26,SUM($E133:AL133)&lt;$C133),MIN($C133/$C$27,$C133-SUM($E133:AL133)),0)</f>
        <v/>
      </c>
      <c r="AN133" s="90">
        <f>IF(AND($C133&gt;0,AN$46&gt;=$C$9+3+$C$26,SUM($E133:AM133)&lt;$C133),MIN($C133/$C$27,$C133-SUM($E133:AM133)),0)</f>
        <v/>
      </c>
      <c r="AO133" s="90">
        <f>IF(AND($C133&gt;0,AO$46&gt;=$C$9+3+$C$26,SUM($E133:AN133)&lt;$C133),MIN($C133/$C$27,$C133-SUM($E133:AN133)),0)</f>
        <v/>
      </c>
      <c r="AP133" s="90">
        <f>IF(AND($C133&gt;0,AP$46&gt;=$C$9+3+$C$26,SUM($E133:AO133)&lt;$C133),MIN($C133/$C$27,$C133-SUM($E133:AO133)),0)</f>
        <v/>
      </c>
      <c r="AQ133" s="90">
        <f>IF(AND($C133&gt;0,AQ$46&gt;=$C$9+3+$C$26,SUM($E133:AP133)&lt;$C133),MIN($C133/$C$27,$C133-SUM($E133:AP133)),0)</f>
        <v/>
      </c>
      <c r="AR133" s="90">
        <f>IF(AND($C133&gt;0,AR$46&gt;=$C$9+3+$C$26,SUM($E133:AQ133)&lt;$C133),MIN($C133/$C$27,$C133-SUM($E133:AQ133)),0)</f>
        <v/>
      </c>
      <c r="AS133" s="90">
        <f>IF(AND($C133&gt;0,AS$46&gt;=$C$9+3+$C$26,SUM($E133:AR133)&lt;$C133),MIN($C133/$C$27,$C133-SUM($E133:AR133)),0)</f>
        <v/>
      </c>
      <c r="AT133" s="90">
        <f>IF(AND($C133&gt;0,AT$46&gt;=$C$9+3+$C$26,SUM($E133:AS133)&lt;$C133),MIN($C133/$C$27,$C133-SUM($E133:AS133)),0)</f>
        <v/>
      </c>
      <c r="AU133" s="90">
        <f>IF(AND($C133&gt;0,AU$46&gt;=$C$9+3+$C$26,SUM($E133:AT133)&lt;$C133),MIN($C133/$C$27,$C133-SUM($E133:AT133)),0)</f>
        <v/>
      </c>
      <c r="AV133" s="90">
        <f>IF(AND($C133&gt;0,AV$46&gt;=$C$9+3+$C$26,SUM($E133:AU133)&lt;$C133),MIN($C133/$C$27,$C133-SUM($E133:AU133)),0)</f>
        <v/>
      </c>
      <c r="AW133" s="90">
        <f>IF(AND($C133&gt;0,AW$46&gt;=$C$9+3+$C$26,SUM($E133:AV133)&lt;$C133),MIN($C133/$C$27,$C133-SUM($E133:AV133)),0)</f>
        <v/>
      </c>
      <c r="AX133" s="90">
        <f>IF(AND($C133&gt;0,AX$46&gt;=$C$9+3+$C$26,SUM($E133:AW133)&lt;$C133),MIN($C133/$C$27,$C133-SUM($E133:AW133)),0)</f>
        <v/>
      </c>
      <c r="AY133" s="90">
        <f>IF(AND($C133&gt;0,AY$46&gt;=$C$9+3+$C$26,SUM($E133:AX133)&lt;$C133),MIN($C133/$C$27,$C133-SUM($E133:AX133)),0)</f>
        <v/>
      </c>
      <c r="AZ133" s="90">
        <f>IF(AND($C133&gt;0,AZ$46&gt;=$C$9+3+$C$26,SUM($E133:AY133)&lt;$C133),MIN($C133/$C$27,$C133-SUM($E133:AY133)),0)</f>
        <v/>
      </c>
      <c r="BA133" s="90">
        <f>IF(AND($C133&gt;0,BA$46&gt;=$C$9+3+$C$26,SUM($E133:AZ133)&lt;$C133),MIN($C133/$C$27,$C133-SUM($E133:AZ133)),0)</f>
        <v/>
      </c>
      <c r="BB133" s="90">
        <f>IF(AND($C133&gt;0,BB$46&gt;=$C$9+3+$C$26,SUM($E133:BA133)&lt;$C133),MIN($C133/$C$27,$C133-SUM($E133:BA133)),0)</f>
        <v/>
      </c>
    </row>
    <row r="134" ht="15" customHeight="1" s="91">
      <c r="B134" s="90" t="inlineStr">
        <is>
          <t>Tranche 5</t>
        </is>
      </c>
      <c r="C134" s="170">
        <f>IF(ABS($D$49)&gt;0,SUMPRODUCT(($E$46:$BB$46=$C$9+4)*IF($E49:$BB49&lt;0,ABS($E49:$BB49),0))*$C$19/ABS($D$49),0)</f>
        <v/>
      </c>
      <c r="D134" s="90">
        <f>SUM(E134:BB134)</f>
        <v/>
      </c>
      <c r="E134" s="90">
        <f>IF(AND($C134&gt;0,E$46&gt;=$C$9+4+$C$26,0&lt;$C134),MIN($C134/$C$27,$C134-0),0)</f>
        <v/>
      </c>
      <c r="F134" s="90">
        <f>IF(AND($C134&gt;0,F$46&gt;=$C$9+4+$C$26,SUM($E134:E134)&lt;$C134),MIN($C134/$C$27,$C134-SUM($E134:E134)),0)</f>
        <v/>
      </c>
      <c r="G134" s="90">
        <f>IF(AND($C134&gt;0,G$46&gt;=$C$9+4+$C$26,SUM($E134:F134)&lt;$C134),MIN($C134/$C$27,$C134-SUM($E134:F134)),0)</f>
        <v/>
      </c>
      <c r="H134" s="90">
        <f>IF(AND($C134&gt;0,H$46&gt;=$C$9+4+$C$26,SUM($E134:G134)&lt;$C134),MIN($C134/$C$27,$C134-SUM($E134:G134)),0)</f>
        <v/>
      </c>
      <c r="I134" s="90">
        <f>IF(AND($C134&gt;0,I$46&gt;=$C$9+4+$C$26,SUM($E134:H134)&lt;$C134),MIN($C134/$C$27,$C134-SUM($E134:H134)),0)</f>
        <v/>
      </c>
      <c r="J134" s="90">
        <f>IF(AND($C134&gt;0,J$46&gt;=$C$9+4+$C$26,SUM($E134:I134)&lt;$C134),MIN($C134/$C$27,$C134-SUM($E134:I134)),0)</f>
        <v/>
      </c>
      <c r="K134" s="90">
        <f>IF(AND($C134&gt;0,K$46&gt;=$C$9+4+$C$26,SUM($E134:J134)&lt;$C134),MIN($C134/$C$27,$C134-SUM($E134:J134)),0)</f>
        <v/>
      </c>
      <c r="L134" s="90">
        <f>IF(AND($C134&gt;0,L$46&gt;=$C$9+4+$C$26,SUM($E134:K134)&lt;$C134),MIN($C134/$C$27,$C134-SUM($E134:K134)),0)</f>
        <v/>
      </c>
      <c r="M134" s="90">
        <f>IF(AND($C134&gt;0,M$46&gt;=$C$9+4+$C$26,SUM($E134:L134)&lt;$C134),MIN($C134/$C$27,$C134-SUM($E134:L134)),0)</f>
        <v/>
      </c>
      <c r="N134" s="90">
        <f>IF(AND($C134&gt;0,N$46&gt;=$C$9+4+$C$26,SUM($E134:M134)&lt;$C134),MIN($C134/$C$27,$C134-SUM($E134:M134)),0)</f>
        <v/>
      </c>
      <c r="O134" s="90">
        <f>IF(AND($C134&gt;0,O$46&gt;=$C$9+4+$C$26,SUM($E134:N134)&lt;$C134),MIN($C134/$C$27,$C134-SUM($E134:N134)),0)</f>
        <v/>
      </c>
      <c r="P134" s="90">
        <f>IF(AND($C134&gt;0,P$46&gt;=$C$9+4+$C$26,SUM($E134:O134)&lt;$C134),MIN($C134/$C$27,$C134-SUM($E134:O134)),0)</f>
        <v/>
      </c>
      <c r="Q134" s="90">
        <f>IF(AND($C134&gt;0,Q$46&gt;=$C$9+4+$C$26,SUM($E134:P134)&lt;$C134),MIN($C134/$C$27,$C134-SUM($E134:P134)),0)</f>
        <v/>
      </c>
      <c r="R134" s="90">
        <f>IF(AND($C134&gt;0,R$46&gt;=$C$9+4+$C$26,SUM($E134:Q134)&lt;$C134),MIN($C134/$C$27,$C134-SUM($E134:Q134)),0)</f>
        <v/>
      </c>
      <c r="S134" s="90">
        <f>IF(AND($C134&gt;0,S$46&gt;=$C$9+4+$C$26,SUM($E134:R134)&lt;$C134),MIN($C134/$C$27,$C134-SUM($E134:R134)),0)</f>
        <v/>
      </c>
      <c r="T134" s="90">
        <f>IF(AND($C134&gt;0,T$46&gt;=$C$9+4+$C$26,SUM($E134:S134)&lt;$C134),MIN($C134/$C$27,$C134-SUM($E134:S134)),0)</f>
        <v/>
      </c>
      <c r="U134" s="90">
        <f>IF(AND($C134&gt;0,U$46&gt;=$C$9+4+$C$26,SUM($E134:T134)&lt;$C134),MIN($C134/$C$27,$C134-SUM($E134:T134)),0)</f>
        <v/>
      </c>
      <c r="V134" s="90">
        <f>IF(AND($C134&gt;0,V$46&gt;=$C$9+4+$C$26,SUM($E134:U134)&lt;$C134),MIN($C134/$C$27,$C134-SUM($E134:U134)),0)</f>
        <v/>
      </c>
      <c r="W134" s="90">
        <f>IF(AND($C134&gt;0,W$46&gt;=$C$9+4+$C$26,SUM($E134:V134)&lt;$C134),MIN($C134/$C$27,$C134-SUM($E134:V134)),0)</f>
        <v/>
      </c>
      <c r="X134" s="90">
        <f>IF(AND($C134&gt;0,X$46&gt;=$C$9+4+$C$26,SUM($E134:W134)&lt;$C134),MIN($C134/$C$27,$C134-SUM($E134:W134)),0)</f>
        <v/>
      </c>
      <c r="Y134" s="90">
        <f>IF(AND($C134&gt;0,Y$46&gt;=$C$9+4+$C$26,SUM($E134:X134)&lt;$C134),MIN($C134/$C$27,$C134-SUM($E134:X134)),0)</f>
        <v/>
      </c>
      <c r="Z134" s="90">
        <f>IF(AND($C134&gt;0,Z$46&gt;=$C$9+4+$C$26,SUM($E134:Y134)&lt;$C134),MIN($C134/$C$27,$C134-SUM($E134:Y134)),0)</f>
        <v/>
      </c>
      <c r="AA134" s="90">
        <f>IF(AND($C134&gt;0,AA$46&gt;=$C$9+4+$C$26,SUM($E134:Z134)&lt;$C134),MIN($C134/$C$27,$C134-SUM($E134:Z134)),0)</f>
        <v/>
      </c>
      <c r="AB134" s="90">
        <f>IF(AND($C134&gt;0,AB$46&gt;=$C$9+4+$C$26,SUM($E134:AA134)&lt;$C134),MIN($C134/$C$27,$C134-SUM($E134:AA134)),0)</f>
        <v/>
      </c>
      <c r="AC134" s="90">
        <f>IF(AND($C134&gt;0,AC$46&gt;=$C$9+4+$C$26,SUM($E134:AB134)&lt;$C134),MIN($C134/$C$27,$C134-SUM($E134:AB134)),0)</f>
        <v/>
      </c>
      <c r="AD134" s="90">
        <f>IF(AND($C134&gt;0,AD$46&gt;=$C$9+4+$C$26,SUM($E134:AC134)&lt;$C134),MIN($C134/$C$27,$C134-SUM($E134:AC134)),0)</f>
        <v/>
      </c>
      <c r="AE134" s="90">
        <f>IF(AND($C134&gt;0,AE$46&gt;=$C$9+4+$C$26,SUM($E134:AD134)&lt;$C134),MIN($C134/$C$27,$C134-SUM($E134:AD134)),0)</f>
        <v/>
      </c>
      <c r="AF134" s="90">
        <f>IF(AND($C134&gt;0,AF$46&gt;=$C$9+4+$C$26,SUM($E134:AE134)&lt;$C134),MIN($C134/$C$27,$C134-SUM($E134:AE134)),0)</f>
        <v/>
      </c>
      <c r="AG134" s="90">
        <f>IF(AND($C134&gt;0,AG$46&gt;=$C$9+4+$C$26,SUM($E134:AF134)&lt;$C134),MIN($C134/$C$27,$C134-SUM($E134:AF134)),0)</f>
        <v/>
      </c>
      <c r="AH134" s="90">
        <f>IF(AND($C134&gt;0,AH$46&gt;=$C$9+4+$C$26,SUM($E134:AG134)&lt;$C134),MIN($C134/$C$27,$C134-SUM($E134:AG134)),0)</f>
        <v/>
      </c>
      <c r="AI134" s="90">
        <f>IF(AND($C134&gt;0,AI$46&gt;=$C$9+4+$C$26,SUM($E134:AH134)&lt;$C134),MIN($C134/$C$27,$C134-SUM($E134:AH134)),0)</f>
        <v/>
      </c>
      <c r="AJ134" s="90">
        <f>IF(AND($C134&gt;0,AJ$46&gt;=$C$9+4+$C$26,SUM($E134:AI134)&lt;$C134),MIN($C134/$C$27,$C134-SUM($E134:AI134)),0)</f>
        <v/>
      </c>
      <c r="AK134" s="90">
        <f>IF(AND($C134&gt;0,AK$46&gt;=$C$9+4+$C$26,SUM($E134:AJ134)&lt;$C134),MIN($C134/$C$27,$C134-SUM($E134:AJ134)),0)</f>
        <v/>
      </c>
      <c r="AL134" s="90">
        <f>IF(AND($C134&gt;0,AL$46&gt;=$C$9+4+$C$26,SUM($E134:AK134)&lt;$C134),MIN($C134/$C$27,$C134-SUM($E134:AK134)),0)</f>
        <v/>
      </c>
      <c r="AM134" s="90">
        <f>IF(AND($C134&gt;0,AM$46&gt;=$C$9+4+$C$26,SUM($E134:AL134)&lt;$C134),MIN($C134/$C$27,$C134-SUM($E134:AL134)),0)</f>
        <v/>
      </c>
      <c r="AN134" s="90">
        <f>IF(AND($C134&gt;0,AN$46&gt;=$C$9+4+$C$26,SUM($E134:AM134)&lt;$C134),MIN($C134/$C$27,$C134-SUM($E134:AM134)),0)</f>
        <v/>
      </c>
      <c r="AO134" s="90">
        <f>IF(AND($C134&gt;0,AO$46&gt;=$C$9+4+$C$26,SUM($E134:AN134)&lt;$C134),MIN($C134/$C$27,$C134-SUM($E134:AN134)),0)</f>
        <v/>
      </c>
      <c r="AP134" s="90">
        <f>IF(AND($C134&gt;0,AP$46&gt;=$C$9+4+$C$26,SUM($E134:AO134)&lt;$C134),MIN($C134/$C$27,$C134-SUM($E134:AO134)),0)</f>
        <v/>
      </c>
      <c r="AQ134" s="90">
        <f>IF(AND($C134&gt;0,AQ$46&gt;=$C$9+4+$C$26,SUM($E134:AP134)&lt;$C134),MIN($C134/$C$27,$C134-SUM($E134:AP134)),0)</f>
        <v/>
      </c>
      <c r="AR134" s="90">
        <f>IF(AND($C134&gt;0,AR$46&gt;=$C$9+4+$C$26,SUM($E134:AQ134)&lt;$C134),MIN($C134/$C$27,$C134-SUM($E134:AQ134)),0)</f>
        <v/>
      </c>
      <c r="AS134" s="90">
        <f>IF(AND($C134&gt;0,AS$46&gt;=$C$9+4+$C$26,SUM($E134:AR134)&lt;$C134),MIN($C134/$C$27,$C134-SUM($E134:AR134)),0)</f>
        <v/>
      </c>
      <c r="AT134" s="90">
        <f>IF(AND($C134&gt;0,AT$46&gt;=$C$9+4+$C$26,SUM($E134:AS134)&lt;$C134),MIN($C134/$C$27,$C134-SUM($E134:AS134)),0)</f>
        <v/>
      </c>
      <c r="AU134" s="90">
        <f>IF(AND($C134&gt;0,AU$46&gt;=$C$9+4+$C$26,SUM($E134:AT134)&lt;$C134),MIN($C134/$C$27,$C134-SUM($E134:AT134)),0)</f>
        <v/>
      </c>
      <c r="AV134" s="90">
        <f>IF(AND($C134&gt;0,AV$46&gt;=$C$9+4+$C$26,SUM($E134:AU134)&lt;$C134),MIN($C134/$C$27,$C134-SUM($E134:AU134)),0)</f>
        <v/>
      </c>
      <c r="AW134" s="90">
        <f>IF(AND($C134&gt;0,AW$46&gt;=$C$9+4+$C$26,SUM($E134:AV134)&lt;$C134),MIN($C134/$C$27,$C134-SUM($E134:AV134)),0)</f>
        <v/>
      </c>
      <c r="AX134" s="90">
        <f>IF(AND($C134&gt;0,AX$46&gt;=$C$9+4+$C$26,SUM($E134:AW134)&lt;$C134),MIN($C134/$C$27,$C134-SUM($E134:AW134)),0)</f>
        <v/>
      </c>
      <c r="AY134" s="90">
        <f>IF(AND($C134&gt;0,AY$46&gt;=$C$9+4+$C$26,SUM($E134:AX134)&lt;$C134),MIN($C134/$C$27,$C134-SUM($E134:AX134)),0)</f>
        <v/>
      </c>
      <c r="AZ134" s="90">
        <f>IF(AND($C134&gt;0,AZ$46&gt;=$C$9+4+$C$26,SUM($E134:AY134)&lt;$C134),MIN($C134/$C$27,$C134-SUM($E134:AY134)),0)</f>
        <v/>
      </c>
      <c r="BA134" s="90">
        <f>IF(AND($C134&gt;0,BA$46&gt;=$C$9+4+$C$26,SUM($E134:AZ134)&lt;$C134),MIN($C134/$C$27,$C134-SUM($E134:AZ134)),0)</f>
        <v/>
      </c>
      <c r="BB134" s="90">
        <f>IF(AND($C134&gt;0,BB$46&gt;=$C$9+4+$C$26,SUM($E134:BA134)&lt;$C134),MIN($C134/$C$27,$C134-SUM($E134:BA134)),0)</f>
        <v/>
      </c>
    </row>
    <row r="135" ht="15" customHeight="1" s="91">
      <c r="B135" s="153" t="inlineStr">
        <is>
          <t>Tranche 6</t>
        </is>
      </c>
      <c r="C135" s="160">
        <f>IF(ABS($D$49)&gt;0,SUMPRODUCT(($E$46:$BB$46=$C$9+5)*IF($E49:$BB49&lt;0,ABS($E49:$BB49),0))*$C$19/ABS($D$49),0)</f>
        <v/>
      </c>
      <c r="D135" s="160">
        <f>SUM(E135:BB135)</f>
        <v/>
      </c>
      <c r="E135" s="90">
        <f>IF(AND($C135&gt;0,E$46&gt;=$C$9+5+$C$26,0&lt;$C135),MIN($C135/$C$27,$C135-0),0)</f>
        <v/>
      </c>
      <c r="F135" s="90">
        <f>IF(AND($C135&gt;0,F$46&gt;=$C$9+5+$C$26,SUM($E135:E135)&lt;$C135),MIN($C135/$C$27,$C135-SUM($E135:E135)),0)</f>
        <v/>
      </c>
      <c r="G135" s="90">
        <f>IF(AND($C135&gt;0,G$46&gt;=$C$9+5+$C$26,SUM($E135:F135)&lt;$C135),MIN($C135/$C$27,$C135-SUM($E135:F135)),0)</f>
        <v/>
      </c>
      <c r="H135" s="90">
        <f>IF(AND($C135&gt;0,H$46&gt;=$C$9+5+$C$26,SUM($E135:G135)&lt;$C135),MIN($C135/$C$27,$C135-SUM($E135:G135)),0)</f>
        <v/>
      </c>
      <c r="I135" s="90">
        <f>IF(AND($C135&gt;0,I$46&gt;=$C$9+5+$C$26,SUM($E135:H135)&lt;$C135),MIN($C135/$C$27,$C135-SUM($E135:H135)),0)</f>
        <v/>
      </c>
      <c r="J135" s="90">
        <f>IF(AND($C135&gt;0,J$46&gt;=$C$9+5+$C$26,SUM($E135:I135)&lt;$C135),MIN($C135/$C$27,$C135-SUM($E135:I135)),0)</f>
        <v/>
      </c>
      <c r="K135" s="90">
        <f>IF(AND($C135&gt;0,K$46&gt;=$C$9+5+$C$26,SUM($E135:J135)&lt;$C135),MIN($C135/$C$27,$C135-SUM($E135:J135)),0)</f>
        <v/>
      </c>
      <c r="L135" s="90">
        <f>IF(AND($C135&gt;0,L$46&gt;=$C$9+5+$C$26,SUM($E135:K135)&lt;$C135),MIN($C135/$C$27,$C135-SUM($E135:K135)),0)</f>
        <v/>
      </c>
      <c r="M135" s="90">
        <f>IF(AND($C135&gt;0,M$46&gt;=$C$9+5+$C$26,SUM($E135:L135)&lt;$C135),MIN($C135/$C$27,$C135-SUM($E135:L135)),0)</f>
        <v/>
      </c>
      <c r="N135" s="90">
        <f>IF(AND($C135&gt;0,N$46&gt;=$C$9+5+$C$26,SUM($E135:M135)&lt;$C135),MIN($C135/$C$27,$C135-SUM($E135:M135)),0)</f>
        <v/>
      </c>
      <c r="O135" s="90">
        <f>IF(AND($C135&gt;0,O$46&gt;=$C$9+5+$C$26,SUM($E135:N135)&lt;$C135),MIN($C135/$C$27,$C135-SUM($E135:N135)),0)</f>
        <v/>
      </c>
      <c r="P135" s="90">
        <f>IF(AND($C135&gt;0,P$46&gt;=$C$9+5+$C$26,SUM($E135:O135)&lt;$C135),MIN($C135/$C$27,$C135-SUM($E135:O135)),0)</f>
        <v/>
      </c>
      <c r="Q135" s="90">
        <f>IF(AND($C135&gt;0,Q$46&gt;=$C$9+5+$C$26,SUM($E135:P135)&lt;$C135),MIN($C135/$C$27,$C135-SUM($E135:P135)),0)</f>
        <v/>
      </c>
      <c r="R135" s="90">
        <f>IF(AND($C135&gt;0,R$46&gt;=$C$9+5+$C$26,SUM($E135:Q135)&lt;$C135),MIN($C135/$C$27,$C135-SUM($E135:Q135)),0)</f>
        <v/>
      </c>
      <c r="S135" s="90">
        <f>IF(AND($C135&gt;0,S$46&gt;=$C$9+5+$C$26,SUM($E135:R135)&lt;$C135),MIN($C135/$C$27,$C135-SUM($E135:R135)),0)</f>
        <v/>
      </c>
      <c r="T135" s="90">
        <f>IF(AND($C135&gt;0,T$46&gt;=$C$9+5+$C$26,SUM($E135:S135)&lt;$C135),MIN($C135/$C$27,$C135-SUM($E135:S135)),0)</f>
        <v/>
      </c>
      <c r="U135" s="90">
        <f>IF(AND($C135&gt;0,U$46&gt;=$C$9+5+$C$26,SUM($E135:T135)&lt;$C135),MIN($C135/$C$27,$C135-SUM($E135:T135)),0)</f>
        <v/>
      </c>
      <c r="V135" s="90">
        <f>IF(AND($C135&gt;0,V$46&gt;=$C$9+5+$C$26,SUM($E135:U135)&lt;$C135),MIN($C135/$C$27,$C135-SUM($E135:U135)),0)</f>
        <v/>
      </c>
      <c r="W135" s="90">
        <f>IF(AND($C135&gt;0,W$46&gt;=$C$9+5+$C$26,SUM($E135:V135)&lt;$C135),MIN($C135/$C$27,$C135-SUM($E135:V135)),0)</f>
        <v/>
      </c>
      <c r="X135" s="90">
        <f>IF(AND($C135&gt;0,X$46&gt;=$C$9+5+$C$26,SUM($E135:W135)&lt;$C135),MIN($C135/$C$27,$C135-SUM($E135:W135)),0)</f>
        <v/>
      </c>
      <c r="Y135" s="90">
        <f>IF(AND($C135&gt;0,Y$46&gt;=$C$9+5+$C$26,SUM($E135:X135)&lt;$C135),MIN($C135/$C$27,$C135-SUM($E135:X135)),0)</f>
        <v/>
      </c>
      <c r="Z135" s="90">
        <f>IF(AND($C135&gt;0,Z$46&gt;=$C$9+5+$C$26,SUM($E135:Y135)&lt;$C135),MIN($C135/$C$27,$C135-SUM($E135:Y135)),0)</f>
        <v/>
      </c>
      <c r="AA135" s="90">
        <f>IF(AND($C135&gt;0,AA$46&gt;=$C$9+5+$C$26,SUM($E135:Z135)&lt;$C135),MIN($C135/$C$27,$C135-SUM($E135:Z135)),0)</f>
        <v/>
      </c>
      <c r="AB135" s="90">
        <f>IF(AND($C135&gt;0,AB$46&gt;=$C$9+5+$C$26,SUM($E135:AA135)&lt;$C135),MIN($C135/$C$27,$C135-SUM($E135:AA135)),0)</f>
        <v/>
      </c>
      <c r="AC135" s="90">
        <f>IF(AND($C135&gt;0,AC$46&gt;=$C$9+5+$C$26,SUM($E135:AB135)&lt;$C135),MIN($C135/$C$27,$C135-SUM($E135:AB135)),0)</f>
        <v/>
      </c>
      <c r="AD135" s="90">
        <f>IF(AND($C135&gt;0,AD$46&gt;=$C$9+5+$C$26,SUM($E135:AC135)&lt;$C135),MIN($C135/$C$27,$C135-SUM($E135:AC135)),0)</f>
        <v/>
      </c>
      <c r="AE135" s="90">
        <f>IF(AND($C135&gt;0,AE$46&gt;=$C$9+5+$C$26,SUM($E135:AD135)&lt;$C135),MIN($C135/$C$27,$C135-SUM($E135:AD135)),0)</f>
        <v/>
      </c>
      <c r="AF135" s="90">
        <f>IF(AND($C135&gt;0,AF$46&gt;=$C$9+5+$C$26,SUM($E135:AE135)&lt;$C135),MIN($C135/$C$27,$C135-SUM($E135:AE135)),0)</f>
        <v/>
      </c>
      <c r="AG135" s="90">
        <f>IF(AND($C135&gt;0,AG$46&gt;=$C$9+5+$C$26,SUM($E135:AF135)&lt;$C135),MIN($C135/$C$27,$C135-SUM($E135:AF135)),0)</f>
        <v/>
      </c>
      <c r="AH135" s="90">
        <f>IF(AND($C135&gt;0,AH$46&gt;=$C$9+5+$C$26,SUM($E135:AG135)&lt;$C135),MIN($C135/$C$27,$C135-SUM($E135:AG135)),0)</f>
        <v/>
      </c>
      <c r="AI135" s="90">
        <f>IF(AND($C135&gt;0,AI$46&gt;=$C$9+5+$C$26,SUM($E135:AH135)&lt;$C135),MIN($C135/$C$27,$C135-SUM($E135:AH135)),0)</f>
        <v/>
      </c>
      <c r="AJ135" s="90">
        <f>IF(AND($C135&gt;0,AJ$46&gt;=$C$9+5+$C$26,SUM($E135:AI135)&lt;$C135),MIN($C135/$C$27,$C135-SUM($E135:AI135)),0)</f>
        <v/>
      </c>
      <c r="AK135" s="90">
        <f>IF(AND($C135&gt;0,AK$46&gt;=$C$9+5+$C$26,SUM($E135:AJ135)&lt;$C135),MIN($C135/$C$27,$C135-SUM($E135:AJ135)),0)</f>
        <v/>
      </c>
      <c r="AL135" s="90">
        <f>IF(AND($C135&gt;0,AL$46&gt;=$C$9+5+$C$26,SUM($E135:AK135)&lt;$C135),MIN($C135/$C$27,$C135-SUM($E135:AK135)),0)</f>
        <v/>
      </c>
      <c r="AM135" s="90">
        <f>IF(AND($C135&gt;0,AM$46&gt;=$C$9+5+$C$26,SUM($E135:AL135)&lt;$C135),MIN($C135/$C$27,$C135-SUM($E135:AL135)),0)</f>
        <v/>
      </c>
      <c r="AN135" s="90">
        <f>IF(AND($C135&gt;0,AN$46&gt;=$C$9+5+$C$26,SUM($E135:AM135)&lt;$C135),MIN($C135/$C$27,$C135-SUM($E135:AM135)),0)</f>
        <v/>
      </c>
      <c r="AO135" s="90">
        <f>IF(AND($C135&gt;0,AO$46&gt;=$C$9+5+$C$26,SUM($E135:AN135)&lt;$C135),MIN($C135/$C$27,$C135-SUM($E135:AN135)),0)</f>
        <v/>
      </c>
      <c r="AP135" s="90">
        <f>IF(AND($C135&gt;0,AP$46&gt;=$C$9+5+$C$26,SUM($E135:AO135)&lt;$C135),MIN($C135/$C$27,$C135-SUM($E135:AO135)),0)</f>
        <v/>
      </c>
      <c r="AQ135" s="90">
        <f>IF(AND($C135&gt;0,AQ$46&gt;=$C$9+5+$C$26,SUM($E135:AP135)&lt;$C135),MIN($C135/$C$27,$C135-SUM($E135:AP135)),0)</f>
        <v/>
      </c>
      <c r="AR135" s="90">
        <f>IF(AND($C135&gt;0,AR$46&gt;=$C$9+5+$C$26,SUM($E135:AQ135)&lt;$C135),MIN($C135/$C$27,$C135-SUM($E135:AQ135)),0)</f>
        <v/>
      </c>
      <c r="AS135" s="90">
        <f>IF(AND($C135&gt;0,AS$46&gt;=$C$9+5+$C$26,SUM($E135:AR135)&lt;$C135),MIN($C135/$C$27,$C135-SUM($E135:AR135)),0)</f>
        <v/>
      </c>
      <c r="AT135" s="90">
        <f>IF(AND($C135&gt;0,AT$46&gt;=$C$9+5+$C$26,SUM($E135:AS135)&lt;$C135),MIN($C135/$C$27,$C135-SUM($E135:AS135)),0)</f>
        <v/>
      </c>
      <c r="AU135" s="90">
        <f>IF(AND($C135&gt;0,AU$46&gt;=$C$9+5+$C$26,SUM($E135:AT135)&lt;$C135),MIN($C135/$C$27,$C135-SUM($E135:AT135)),0)</f>
        <v/>
      </c>
      <c r="AV135" s="90">
        <f>IF(AND($C135&gt;0,AV$46&gt;=$C$9+5+$C$26,SUM($E135:AU135)&lt;$C135),MIN($C135/$C$27,$C135-SUM($E135:AU135)),0)</f>
        <v/>
      </c>
      <c r="AW135" s="90">
        <f>IF(AND($C135&gt;0,AW$46&gt;=$C$9+5+$C$26,SUM($E135:AV135)&lt;$C135),MIN($C135/$C$27,$C135-SUM($E135:AV135)),0)</f>
        <v/>
      </c>
      <c r="AX135" s="90">
        <f>IF(AND($C135&gt;0,AX$46&gt;=$C$9+5+$C$26,SUM($E135:AW135)&lt;$C135),MIN($C135/$C$27,$C135-SUM($E135:AW135)),0)</f>
        <v/>
      </c>
      <c r="AY135" s="90">
        <f>IF(AND($C135&gt;0,AY$46&gt;=$C$9+5+$C$26,SUM($E135:AX135)&lt;$C135),MIN($C135/$C$27,$C135-SUM($E135:AX135)),0)</f>
        <v/>
      </c>
      <c r="AZ135" s="90">
        <f>IF(AND($C135&gt;0,AZ$46&gt;=$C$9+5+$C$26,SUM($E135:AY135)&lt;$C135),MIN($C135/$C$27,$C135-SUM($E135:AY135)),0)</f>
        <v/>
      </c>
      <c r="BA135" s="90">
        <f>IF(AND($C135&gt;0,BA$46&gt;=$C$9+5+$C$26,SUM($E135:AZ135)&lt;$C135),MIN($C135/$C$27,$C135-SUM($E135:AZ135)),0)</f>
        <v/>
      </c>
      <c r="BB135" s="90">
        <f>IF(AND($C135&gt;0,BB$46&gt;=$C$9+5+$C$26,SUM($E135:BA135)&lt;$C135),MIN($C135/$C$27,$C135-SUM($E135:BA135)),0)</f>
        <v/>
      </c>
    </row>
    <row r="136" ht="15" customHeight="1" s="91">
      <c r="B136" s="153" t="inlineStr">
        <is>
          <t>Tranche 7</t>
        </is>
      </c>
      <c r="C136" s="160">
        <f>IF(ABS($D$49)&gt;0,SUMPRODUCT(($E$46:$BB$46=$C$9+6)*IF($E49:$BB49&lt;0,ABS($E49:$BB49),0))*$C$19/ABS($D$49),0)</f>
        <v/>
      </c>
      <c r="D136" s="160">
        <f>SUM(E136:BB136)</f>
        <v/>
      </c>
      <c r="E136" s="90">
        <f>IF(AND($C136&gt;0,E$46&gt;=$C$9+6+$C$26,0&lt;$C136),MIN($C136/$C$27,$C136-0),0)</f>
        <v/>
      </c>
      <c r="F136" s="90">
        <f>IF(AND($C136&gt;0,F$46&gt;=$C$9+6+$C$26,SUM($E136:E136)&lt;$C136),MIN($C136/$C$27,$C136-SUM($E136:E136)),0)</f>
        <v/>
      </c>
      <c r="G136" s="90">
        <f>IF(AND($C136&gt;0,G$46&gt;=$C$9+6+$C$26,SUM($E136:F136)&lt;$C136),MIN($C136/$C$27,$C136-SUM($E136:F136)),0)</f>
        <v/>
      </c>
      <c r="H136" s="90">
        <f>IF(AND($C136&gt;0,H$46&gt;=$C$9+6+$C$26,SUM($E136:G136)&lt;$C136),MIN($C136/$C$27,$C136-SUM($E136:G136)),0)</f>
        <v/>
      </c>
      <c r="I136" s="90">
        <f>IF(AND($C136&gt;0,I$46&gt;=$C$9+6+$C$26,SUM($E136:H136)&lt;$C136),MIN($C136/$C$27,$C136-SUM($E136:H136)),0)</f>
        <v/>
      </c>
      <c r="J136" s="90">
        <f>IF(AND($C136&gt;0,J$46&gt;=$C$9+6+$C$26,SUM($E136:I136)&lt;$C136),MIN($C136/$C$27,$C136-SUM($E136:I136)),0)</f>
        <v/>
      </c>
      <c r="K136" s="90">
        <f>IF(AND($C136&gt;0,K$46&gt;=$C$9+6+$C$26,SUM($E136:J136)&lt;$C136),MIN($C136/$C$27,$C136-SUM($E136:J136)),0)</f>
        <v/>
      </c>
      <c r="L136" s="90">
        <f>IF(AND($C136&gt;0,L$46&gt;=$C$9+6+$C$26,SUM($E136:K136)&lt;$C136),MIN($C136/$C$27,$C136-SUM($E136:K136)),0)</f>
        <v/>
      </c>
      <c r="M136" s="90">
        <f>IF(AND($C136&gt;0,M$46&gt;=$C$9+6+$C$26,SUM($E136:L136)&lt;$C136),MIN($C136/$C$27,$C136-SUM($E136:L136)),0)</f>
        <v/>
      </c>
      <c r="N136" s="90">
        <f>IF(AND($C136&gt;0,N$46&gt;=$C$9+6+$C$26,SUM($E136:M136)&lt;$C136),MIN($C136/$C$27,$C136-SUM($E136:M136)),0)</f>
        <v/>
      </c>
      <c r="O136" s="90">
        <f>IF(AND($C136&gt;0,O$46&gt;=$C$9+6+$C$26,SUM($E136:N136)&lt;$C136),MIN($C136/$C$27,$C136-SUM($E136:N136)),0)</f>
        <v/>
      </c>
      <c r="P136" s="90">
        <f>IF(AND($C136&gt;0,P$46&gt;=$C$9+6+$C$26,SUM($E136:O136)&lt;$C136),MIN($C136/$C$27,$C136-SUM($E136:O136)),0)</f>
        <v/>
      </c>
      <c r="Q136" s="90">
        <f>IF(AND($C136&gt;0,Q$46&gt;=$C$9+6+$C$26,SUM($E136:P136)&lt;$C136),MIN($C136/$C$27,$C136-SUM($E136:P136)),0)</f>
        <v/>
      </c>
      <c r="R136" s="90">
        <f>IF(AND($C136&gt;0,R$46&gt;=$C$9+6+$C$26,SUM($E136:Q136)&lt;$C136),MIN($C136/$C$27,$C136-SUM($E136:Q136)),0)</f>
        <v/>
      </c>
      <c r="S136" s="90">
        <f>IF(AND($C136&gt;0,S$46&gt;=$C$9+6+$C$26,SUM($E136:R136)&lt;$C136),MIN($C136/$C$27,$C136-SUM($E136:R136)),0)</f>
        <v/>
      </c>
      <c r="T136" s="90">
        <f>IF(AND($C136&gt;0,T$46&gt;=$C$9+6+$C$26,SUM($E136:S136)&lt;$C136),MIN($C136/$C$27,$C136-SUM($E136:S136)),0)</f>
        <v/>
      </c>
      <c r="U136" s="90">
        <f>IF(AND($C136&gt;0,U$46&gt;=$C$9+6+$C$26,SUM($E136:T136)&lt;$C136),MIN($C136/$C$27,$C136-SUM($E136:T136)),0)</f>
        <v/>
      </c>
      <c r="V136" s="90">
        <f>IF(AND($C136&gt;0,V$46&gt;=$C$9+6+$C$26,SUM($E136:U136)&lt;$C136),MIN($C136/$C$27,$C136-SUM($E136:U136)),0)</f>
        <v/>
      </c>
      <c r="W136" s="90">
        <f>IF(AND($C136&gt;0,W$46&gt;=$C$9+6+$C$26,SUM($E136:V136)&lt;$C136),MIN($C136/$C$27,$C136-SUM($E136:V136)),0)</f>
        <v/>
      </c>
      <c r="X136" s="90">
        <f>IF(AND($C136&gt;0,X$46&gt;=$C$9+6+$C$26,SUM($E136:W136)&lt;$C136),MIN($C136/$C$27,$C136-SUM($E136:W136)),0)</f>
        <v/>
      </c>
      <c r="Y136" s="90">
        <f>IF(AND($C136&gt;0,Y$46&gt;=$C$9+6+$C$26,SUM($E136:X136)&lt;$C136),MIN($C136/$C$27,$C136-SUM($E136:X136)),0)</f>
        <v/>
      </c>
      <c r="Z136" s="90">
        <f>IF(AND($C136&gt;0,Z$46&gt;=$C$9+6+$C$26,SUM($E136:Y136)&lt;$C136),MIN($C136/$C$27,$C136-SUM($E136:Y136)),0)</f>
        <v/>
      </c>
      <c r="AA136" s="90">
        <f>IF(AND($C136&gt;0,AA$46&gt;=$C$9+6+$C$26,SUM($E136:Z136)&lt;$C136),MIN($C136/$C$27,$C136-SUM($E136:Z136)),0)</f>
        <v/>
      </c>
      <c r="AB136" s="90">
        <f>IF(AND($C136&gt;0,AB$46&gt;=$C$9+6+$C$26,SUM($E136:AA136)&lt;$C136),MIN($C136/$C$27,$C136-SUM($E136:AA136)),0)</f>
        <v/>
      </c>
      <c r="AC136" s="90">
        <f>IF(AND($C136&gt;0,AC$46&gt;=$C$9+6+$C$26,SUM($E136:AB136)&lt;$C136),MIN($C136/$C$27,$C136-SUM($E136:AB136)),0)</f>
        <v/>
      </c>
      <c r="AD136" s="90">
        <f>IF(AND($C136&gt;0,AD$46&gt;=$C$9+6+$C$26,SUM($E136:AC136)&lt;$C136),MIN($C136/$C$27,$C136-SUM($E136:AC136)),0)</f>
        <v/>
      </c>
      <c r="AE136" s="90">
        <f>IF(AND($C136&gt;0,AE$46&gt;=$C$9+6+$C$26,SUM($E136:AD136)&lt;$C136),MIN($C136/$C$27,$C136-SUM($E136:AD136)),0)</f>
        <v/>
      </c>
      <c r="AF136" s="90">
        <f>IF(AND($C136&gt;0,AF$46&gt;=$C$9+6+$C$26,SUM($E136:AE136)&lt;$C136),MIN($C136/$C$27,$C136-SUM($E136:AE136)),0)</f>
        <v/>
      </c>
      <c r="AG136" s="90">
        <f>IF(AND($C136&gt;0,AG$46&gt;=$C$9+6+$C$26,SUM($E136:AF136)&lt;$C136),MIN($C136/$C$27,$C136-SUM($E136:AF136)),0)</f>
        <v/>
      </c>
      <c r="AH136" s="90">
        <f>IF(AND($C136&gt;0,AH$46&gt;=$C$9+6+$C$26,SUM($E136:AG136)&lt;$C136),MIN($C136/$C$27,$C136-SUM($E136:AG136)),0)</f>
        <v/>
      </c>
      <c r="AI136" s="90">
        <f>IF(AND($C136&gt;0,AI$46&gt;=$C$9+6+$C$26,SUM($E136:AH136)&lt;$C136),MIN($C136/$C$27,$C136-SUM($E136:AH136)),0)</f>
        <v/>
      </c>
      <c r="AJ136" s="90">
        <f>IF(AND($C136&gt;0,AJ$46&gt;=$C$9+6+$C$26,SUM($E136:AI136)&lt;$C136),MIN($C136/$C$27,$C136-SUM($E136:AI136)),0)</f>
        <v/>
      </c>
      <c r="AK136" s="90">
        <f>IF(AND($C136&gt;0,AK$46&gt;=$C$9+6+$C$26,SUM($E136:AJ136)&lt;$C136),MIN($C136/$C$27,$C136-SUM($E136:AJ136)),0)</f>
        <v/>
      </c>
      <c r="AL136" s="90">
        <f>IF(AND($C136&gt;0,AL$46&gt;=$C$9+6+$C$26,SUM($E136:AK136)&lt;$C136),MIN($C136/$C$27,$C136-SUM($E136:AK136)),0)</f>
        <v/>
      </c>
      <c r="AM136" s="90">
        <f>IF(AND($C136&gt;0,AM$46&gt;=$C$9+6+$C$26,SUM($E136:AL136)&lt;$C136),MIN($C136/$C$27,$C136-SUM($E136:AL136)),0)</f>
        <v/>
      </c>
      <c r="AN136" s="90">
        <f>IF(AND($C136&gt;0,AN$46&gt;=$C$9+6+$C$26,SUM($E136:AM136)&lt;$C136),MIN($C136/$C$27,$C136-SUM($E136:AM136)),0)</f>
        <v/>
      </c>
      <c r="AO136" s="90">
        <f>IF(AND($C136&gt;0,AO$46&gt;=$C$9+6+$C$26,SUM($E136:AN136)&lt;$C136),MIN($C136/$C$27,$C136-SUM($E136:AN136)),0)</f>
        <v/>
      </c>
      <c r="AP136" s="90">
        <f>IF(AND($C136&gt;0,AP$46&gt;=$C$9+6+$C$26,SUM($E136:AO136)&lt;$C136),MIN($C136/$C$27,$C136-SUM($E136:AO136)),0)</f>
        <v/>
      </c>
      <c r="AQ136" s="90">
        <f>IF(AND($C136&gt;0,AQ$46&gt;=$C$9+6+$C$26,SUM($E136:AP136)&lt;$C136),MIN($C136/$C$27,$C136-SUM($E136:AP136)),0)</f>
        <v/>
      </c>
      <c r="AR136" s="90">
        <f>IF(AND($C136&gt;0,AR$46&gt;=$C$9+6+$C$26,SUM($E136:AQ136)&lt;$C136),MIN($C136/$C$27,$C136-SUM($E136:AQ136)),0)</f>
        <v/>
      </c>
      <c r="AS136" s="90">
        <f>IF(AND($C136&gt;0,AS$46&gt;=$C$9+6+$C$26,SUM($E136:AR136)&lt;$C136),MIN($C136/$C$27,$C136-SUM($E136:AR136)),0)</f>
        <v/>
      </c>
      <c r="AT136" s="90">
        <f>IF(AND($C136&gt;0,AT$46&gt;=$C$9+6+$C$26,SUM($E136:AS136)&lt;$C136),MIN($C136/$C$27,$C136-SUM($E136:AS136)),0)</f>
        <v/>
      </c>
      <c r="AU136" s="90">
        <f>IF(AND($C136&gt;0,AU$46&gt;=$C$9+6+$C$26,SUM($E136:AT136)&lt;$C136),MIN($C136/$C$27,$C136-SUM($E136:AT136)),0)</f>
        <v/>
      </c>
      <c r="AV136" s="90">
        <f>IF(AND($C136&gt;0,AV$46&gt;=$C$9+6+$C$26,SUM($E136:AU136)&lt;$C136),MIN($C136/$C$27,$C136-SUM($E136:AU136)),0)</f>
        <v/>
      </c>
      <c r="AW136" s="90">
        <f>IF(AND($C136&gt;0,AW$46&gt;=$C$9+6+$C$26,SUM($E136:AV136)&lt;$C136),MIN($C136/$C$27,$C136-SUM($E136:AV136)),0)</f>
        <v/>
      </c>
      <c r="AX136" s="90">
        <f>IF(AND($C136&gt;0,AX$46&gt;=$C$9+6+$C$26,SUM($E136:AW136)&lt;$C136),MIN($C136/$C$27,$C136-SUM($E136:AW136)),0)</f>
        <v/>
      </c>
      <c r="AY136" s="90">
        <f>IF(AND($C136&gt;0,AY$46&gt;=$C$9+6+$C$26,SUM($E136:AX136)&lt;$C136),MIN($C136/$C$27,$C136-SUM($E136:AX136)),0)</f>
        <v/>
      </c>
      <c r="AZ136" s="90">
        <f>IF(AND($C136&gt;0,AZ$46&gt;=$C$9+6+$C$26,SUM($E136:AY136)&lt;$C136),MIN($C136/$C$27,$C136-SUM($E136:AY136)),0)</f>
        <v/>
      </c>
      <c r="BA136" s="90">
        <f>IF(AND($C136&gt;0,BA$46&gt;=$C$9+6+$C$26,SUM($E136:AZ136)&lt;$C136),MIN($C136/$C$27,$C136-SUM($E136:AZ136)),0)</f>
        <v/>
      </c>
      <c r="BB136" s="90">
        <f>IF(AND($C136&gt;0,BB$46&gt;=$C$9+6+$C$26,SUM($E136:BA136)&lt;$C136),MIN($C136/$C$27,$C136-SUM($E136:BA136)),0)</f>
        <v/>
      </c>
    </row>
    <row r="137" ht="15" customHeight="1" s="91">
      <c r="B137" s="153" t="inlineStr">
        <is>
          <t>Tranche 8</t>
        </is>
      </c>
      <c r="C137" s="160">
        <f>IF(ABS($D$49)&gt;0,SUMPRODUCT(($E$46:$BB$46=$C$9+7)*IF($E49:$BB49&lt;0,ABS($E49:$BB49),0))*$C$19/ABS($D$49),0)</f>
        <v/>
      </c>
      <c r="D137" s="160">
        <f>SUM(E137:BB137)</f>
        <v/>
      </c>
      <c r="E137" s="90">
        <f>IF(AND($C137&gt;0,E$46&gt;=$C$9+7+$C$26,0&lt;$C137),MIN($C137/$C$27,$C137-0),0)</f>
        <v/>
      </c>
      <c r="F137" s="90">
        <f>IF(AND($C137&gt;0,F$46&gt;=$C$9+7+$C$26,SUM($E137:E137)&lt;$C137),MIN($C137/$C$27,$C137-SUM($E137:E137)),0)</f>
        <v/>
      </c>
      <c r="G137" s="90">
        <f>IF(AND($C137&gt;0,G$46&gt;=$C$9+7+$C$26,SUM($E137:F137)&lt;$C137),MIN($C137/$C$27,$C137-SUM($E137:F137)),0)</f>
        <v/>
      </c>
      <c r="H137" s="90">
        <f>IF(AND($C137&gt;0,H$46&gt;=$C$9+7+$C$26,SUM($E137:G137)&lt;$C137),MIN($C137/$C$27,$C137-SUM($E137:G137)),0)</f>
        <v/>
      </c>
      <c r="I137" s="90">
        <f>IF(AND($C137&gt;0,I$46&gt;=$C$9+7+$C$26,SUM($E137:H137)&lt;$C137),MIN($C137/$C$27,$C137-SUM($E137:H137)),0)</f>
        <v/>
      </c>
      <c r="J137" s="90">
        <f>IF(AND($C137&gt;0,J$46&gt;=$C$9+7+$C$26,SUM($E137:I137)&lt;$C137),MIN($C137/$C$27,$C137-SUM($E137:I137)),0)</f>
        <v/>
      </c>
      <c r="K137" s="90">
        <f>IF(AND($C137&gt;0,K$46&gt;=$C$9+7+$C$26,SUM($E137:J137)&lt;$C137),MIN($C137/$C$27,$C137-SUM($E137:J137)),0)</f>
        <v/>
      </c>
      <c r="L137" s="90">
        <f>IF(AND($C137&gt;0,L$46&gt;=$C$9+7+$C$26,SUM($E137:K137)&lt;$C137),MIN($C137/$C$27,$C137-SUM($E137:K137)),0)</f>
        <v/>
      </c>
      <c r="M137" s="90">
        <f>IF(AND($C137&gt;0,M$46&gt;=$C$9+7+$C$26,SUM($E137:L137)&lt;$C137),MIN($C137/$C$27,$C137-SUM($E137:L137)),0)</f>
        <v/>
      </c>
      <c r="N137" s="90">
        <f>IF(AND($C137&gt;0,N$46&gt;=$C$9+7+$C$26,SUM($E137:M137)&lt;$C137),MIN($C137/$C$27,$C137-SUM($E137:M137)),0)</f>
        <v/>
      </c>
      <c r="O137" s="90">
        <f>IF(AND($C137&gt;0,O$46&gt;=$C$9+7+$C$26,SUM($E137:N137)&lt;$C137),MIN($C137/$C$27,$C137-SUM($E137:N137)),0)</f>
        <v/>
      </c>
      <c r="P137" s="90">
        <f>IF(AND($C137&gt;0,P$46&gt;=$C$9+7+$C$26,SUM($E137:O137)&lt;$C137),MIN($C137/$C$27,$C137-SUM($E137:O137)),0)</f>
        <v/>
      </c>
      <c r="Q137" s="90">
        <f>IF(AND($C137&gt;0,Q$46&gt;=$C$9+7+$C$26,SUM($E137:P137)&lt;$C137),MIN($C137/$C$27,$C137-SUM($E137:P137)),0)</f>
        <v/>
      </c>
      <c r="R137" s="90">
        <f>IF(AND($C137&gt;0,R$46&gt;=$C$9+7+$C$26,SUM($E137:Q137)&lt;$C137),MIN($C137/$C$27,$C137-SUM($E137:Q137)),0)</f>
        <v/>
      </c>
      <c r="S137" s="90">
        <f>IF(AND($C137&gt;0,S$46&gt;=$C$9+7+$C$26,SUM($E137:R137)&lt;$C137),MIN($C137/$C$27,$C137-SUM($E137:R137)),0)</f>
        <v/>
      </c>
      <c r="T137" s="90">
        <f>IF(AND($C137&gt;0,T$46&gt;=$C$9+7+$C$26,SUM($E137:S137)&lt;$C137),MIN($C137/$C$27,$C137-SUM($E137:S137)),0)</f>
        <v/>
      </c>
      <c r="U137" s="90">
        <f>IF(AND($C137&gt;0,U$46&gt;=$C$9+7+$C$26,SUM($E137:T137)&lt;$C137),MIN($C137/$C$27,$C137-SUM($E137:T137)),0)</f>
        <v/>
      </c>
      <c r="V137" s="90">
        <f>IF(AND($C137&gt;0,V$46&gt;=$C$9+7+$C$26,SUM($E137:U137)&lt;$C137),MIN($C137/$C$27,$C137-SUM($E137:U137)),0)</f>
        <v/>
      </c>
      <c r="W137" s="90">
        <f>IF(AND($C137&gt;0,W$46&gt;=$C$9+7+$C$26,SUM($E137:V137)&lt;$C137),MIN($C137/$C$27,$C137-SUM($E137:V137)),0)</f>
        <v/>
      </c>
      <c r="X137" s="90">
        <f>IF(AND($C137&gt;0,X$46&gt;=$C$9+7+$C$26,SUM($E137:W137)&lt;$C137),MIN($C137/$C$27,$C137-SUM($E137:W137)),0)</f>
        <v/>
      </c>
      <c r="Y137" s="90">
        <f>IF(AND($C137&gt;0,Y$46&gt;=$C$9+7+$C$26,SUM($E137:X137)&lt;$C137),MIN($C137/$C$27,$C137-SUM($E137:X137)),0)</f>
        <v/>
      </c>
      <c r="Z137" s="90">
        <f>IF(AND($C137&gt;0,Z$46&gt;=$C$9+7+$C$26,SUM($E137:Y137)&lt;$C137),MIN($C137/$C$27,$C137-SUM($E137:Y137)),0)</f>
        <v/>
      </c>
      <c r="AA137" s="90">
        <f>IF(AND($C137&gt;0,AA$46&gt;=$C$9+7+$C$26,SUM($E137:Z137)&lt;$C137),MIN($C137/$C$27,$C137-SUM($E137:Z137)),0)</f>
        <v/>
      </c>
      <c r="AB137" s="90">
        <f>IF(AND($C137&gt;0,AB$46&gt;=$C$9+7+$C$26,SUM($E137:AA137)&lt;$C137),MIN($C137/$C$27,$C137-SUM($E137:AA137)),0)</f>
        <v/>
      </c>
      <c r="AC137" s="90">
        <f>IF(AND($C137&gt;0,AC$46&gt;=$C$9+7+$C$26,SUM($E137:AB137)&lt;$C137),MIN($C137/$C$27,$C137-SUM($E137:AB137)),0)</f>
        <v/>
      </c>
      <c r="AD137" s="90">
        <f>IF(AND($C137&gt;0,AD$46&gt;=$C$9+7+$C$26,SUM($E137:AC137)&lt;$C137),MIN($C137/$C$27,$C137-SUM($E137:AC137)),0)</f>
        <v/>
      </c>
      <c r="AE137" s="90">
        <f>IF(AND($C137&gt;0,AE$46&gt;=$C$9+7+$C$26,SUM($E137:AD137)&lt;$C137),MIN($C137/$C$27,$C137-SUM($E137:AD137)),0)</f>
        <v/>
      </c>
      <c r="AF137" s="90">
        <f>IF(AND($C137&gt;0,AF$46&gt;=$C$9+7+$C$26,SUM($E137:AE137)&lt;$C137),MIN($C137/$C$27,$C137-SUM($E137:AE137)),0)</f>
        <v/>
      </c>
      <c r="AG137" s="90">
        <f>IF(AND($C137&gt;0,AG$46&gt;=$C$9+7+$C$26,SUM($E137:AF137)&lt;$C137),MIN($C137/$C$27,$C137-SUM($E137:AF137)),0)</f>
        <v/>
      </c>
      <c r="AH137" s="90">
        <f>IF(AND($C137&gt;0,AH$46&gt;=$C$9+7+$C$26,SUM($E137:AG137)&lt;$C137),MIN($C137/$C$27,$C137-SUM($E137:AG137)),0)</f>
        <v/>
      </c>
      <c r="AI137" s="90">
        <f>IF(AND($C137&gt;0,AI$46&gt;=$C$9+7+$C$26,SUM($E137:AH137)&lt;$C137),MIN($C137/$C$27,$C137-SUM($E137:AH137)),0)</f>
        <v/>
      </c>
      <c r="AJ137" s="90">
        <f>IF(AND($C137&gt;0,AJ$46&gt;=$C$9+7+$C$26,SUM($E137:AI137)&lt;$C137),MIN($C137/$C$27,$C137-SUM($E137:AI137)),0)</f>
        <v/>
      </c>
      <c r="AK137" s="90">
        <f>IF(AND($C137&gt;0,AK$46&gt;=$C$9+7+$C$26,SUM($E137:AJ137)&lt;$C137),MIN($C137/$C$27,$C137-SUM($E137:AJ137)),0)</f>
        <v/>
      </c>
      <c r="AL137" s="90">
        <f>IF(AND($C137&gt;0,AL$46&gt;=$C$9+7+$C$26,SUM($E137:AK137)&lt;$C137),MIN($C137/$C$27,$C137-SUM($E137:AK137)),0)</f>
        <v/>
      </c>
      <c r="AM137" s="90">
        <f>IF(AND($C137&gt;0,AM$46&gt;=$C$9+7+$C$26,SUM($E137:AL137)&lt;$C137),MIN($C137/$C$27,$C137-SUM($E137:AL137)),0)</f>
        <v/>
      </c>
      <c r="AN137" s="90">
        <f>IF(AND($C137&gt;0,AN$46&gt;=$C$9+7+$C$26,SUM($E137:AM137)&lt;$C137),MIN($C137/$C$27,$C137-SUM($E137:AM137)),0)</f>
        <v/>
      </c>
      <c r="AO137" s="90">
        <f>IF(AND($C137&gt;0,AO$46&gt;=$C$9+7+$C$26,SUM($E137:AN137)&lt;$C137),MIN($C137/$C$27,$C137-SUM($E137:AN137)),0)</f>
        <v/>
      </c>
      <c r="AP137" s="90">
        <f>IF(AND($C137&gt;0,AP$46&gt;=$C$9+7+$C$26,SUM($E137:AO137)&lt;$C137),MIN($C137/$C$27,$C137-SUM($E137:AO137)),0)</f>
        <v/>
      </c>
      <c r="AQ137" s="90">
        <f>IF(AND($C137&gt;0,AQ$46&gt;=$C$9+7+$C$26,SUM($E137:AP137)&lt;$C137),MIN($C137/$C$27,$C137-SUM($E137:AP137)),0)</f>
        <v/>
      </c>
      <c r="AR137" s="90">
        <f>IF(AND($C137&gt;0,AR$46&gt;=$C$9+7+$C$26,SUM($E137:AQ137)&lt;$C137),MIN($C137/$C$27,$C137-SUM($E137:AQ137)),0)</f>
        <v/>
      </c>
      <c r="AS137" s="90">
        <f>IF(AND($C137&gt;0,AS$46&gt;=$C$9+7+$C$26,SUM($E137:AR137)&lt;$C137),MIN($C137/$C$27,$C137-SUM($E137:AR137)),0)</f>
        <v/>
      </c>
      <c r="AT137" s="90">
        <f>IF(AND($C137&gt;0,AT$46&gt;=$C$9+7+$C$26,SUM($E137:AS137)&lt;$C137),MIN($C137/$C$27,$C137-SUM($E137:AS137)),0)</f>
        <v/>
      </c>
      <c r="AU137" s="90">
        <f>IF(AND($C137&gt;0,AU$46&gt;=$C$9+7+$C$26,SUM($E137:AT137)&lt;$C137),MIN($C137/$C$27,$C137-SUM($E137:AT137)),0)</f>
        <v/>
      </c>
      <c r="AV137" s="90">
        <f>IF(AND($C137&gt;0,AV$46&gt;=$C$9+7+$C$26,SUM($E137:AU137)&lt;$C137),MIN($C137/$C$27,$C137-SUM($E137:AU137)),0)</f>
        <v/>
      </c>
      <c r="AW137" s="90">
        <f>IF(AND($C137&gt;0,AW$46&gt;=$C$9+7+$C$26,SUM($E137:AV137)&lt;$C137),MIN($C137/$C$27,$C137-SUM($E137:AV137)),0)</f>
        <v/>
      </c>
      <c r="AX137" s="90">
        <f>IF(AND($C137&gt;0,AX$46&gt;=$C$9+7+$C$26,SUM($E137:AW137)&lt;$C137),MIN($C137/$C$27,$C137-SUM($E137:AW137)),0)</f>
        <v/>
      </c>
      <c r="AY137" s="90">
        <f>IF(AND($C137&gt;0,AY$46&gt;=$C$9+7+$C$26,SUM($E137:AX137)&lt;$C137),MIN($C137/$C$27,$C137-SUM($E137:AX137)),0)</f>
        <v/>
      </c>
      <c r="AZ137" s="90">
        <f>IF(AND($C137&gt;0,AZ$46&gt;=$C$9+7+$C$26,SUM($E137:AY137)&lt;$C137),MIN($C137/$C$27,$C137-SUM($E137:AY137)),0)</f>
        <v/>
      </c>
      <c r="BA137" s="90">
        <f>IF(AND($C137&gt;0,BA$46&gt;=$C$9+7+$C$26,SUM($E137:AZ137)&lt;$C137),MIN($C137/$C$27,$C137-SUM($E137:AZ137)),0)</f>
        <v/>
      </c>
      <c r="BB137" s="90">
        <f>IF(AND($C137&gt;0,BB$46&gt;=$C$9+7+$C$26,SUM($E137:BA137)&lt;$C137),MIN($C137/$C$27,$C137-SUM($E137:BA137)),0)</f>
        <v/>
      </c>
    </row>
    <row r="138" ht="15" customHeight="1" s="91">
      <c r="B138" s="90" t="inlineStr">
        <is>
          <t>Tranche 9</t>
        </is>
      </c>
      <c r="C138" s="170">
        <f>IF(ABS($D$49)&gt;0,SUMPRODUCT(($E$46:$BB$46=$C$9+8)*IF($E49:$BB49&lt;0,ABS($E49:$BB49),0))*$C$19/ABS($D$49),0)</f>
        <v/>
      </c>
      <c r="D138" s="90">
        <f>SUM(E138:BB138)</f>
        <v/>
      </c>
      <c r="E138" s="90">
        <f>IF(AND($C138&gt;0,E$46&gt;=$C$9+8+$C$26,0&lt;$C138),MIN($C138/$C$27,$C138-0),0)</f>
        <v/>
      </c>
      <c r="F138" s="90">
        <f>IF(AND($C138&gt;0,F$46&gt;=$C$9+8+$C$26,SUM($E138:E138)&lt;$C138),MIN($C138/$C$27,$C138-SUM($E138:E138)),0)</f>
        <v/>
      </c>
      <c r="G138" s="90">
        <f>IF(AND($C138&gt;0,G$46&gt;=$C$9+8+$C$26,SUM($E138:F138)&lt;$C138),MIN($C138/$C$27,$C138-SUM($E138:F138)),0)</f>
        <v/>
      </c>
      <c r="H138" s="90">
        <f>IF(AND($C138&gt;0,H$46&gt;=$C$9+8+$C$26,SUM($E138:G138)&lt;$C138),MIN($C138/$C$27,$C138-SUM($E138:G138)),0)</f>
        <v/>
      </c>
      <c r="I138" s="90">
        <f>IF(AND($C138&gt;0,I$46&gt;=$C$9+8+$C$26,SUM($E138:H138)&lt;$C138),MIN($C138/$C$27,$C138-SUM($E138:H138)),0)</f>
        <v/>
      </c>
      <c r="J138" s="90">
        <f>IF(AND($C138&gt;0,J$46&gt;=$C$9+8+$C$26,SUM($E138:I138)&lt;$C138),MIN($C138/$C$27,$C138-SUM($E138:I138)),0)</f>
        <v/>
      </c>
      <c r="K138" s="90">
        <f>IF(AND($C138&gt;0,K$46&gt;=$C$9+8+$C$26,SUM($E138:J138)&lt;$C138),MIN($C138/$C$27,$C138-SUM($E138:J138)),0)</f>
        <v/>
      </c>
      <c r="L138" s="90">
        <f>IF(AND($C138&gt;0,L$46&gt;=$C$9+8+$C$26,SUM($E138:K138)&lt;$C138),MIN($C138/$C$27,$C138-SUM($E138:K138)),0)</f>
        <v/>
      </c>
      <c r="M138" s="90">
        <f>IF(AND($C138&gt;0,M$46&gt;=$C$9+8+$C$26,SUM($E138:L138)&lt;$C138),MIN($C138/$C$27,$C138-SUM($E138:L138)),0)</f>
        <v/>
      </c>
      <c r="N138" s="90">
        <f>IF(AND($C138&gt;0,N$46&gt;=$C$9+8+$C$26,SUM($E138:M138)&lt;$C138),MIN($C138/$C$27,$C138-SUM($E138:M138)),0)</f>
        <v/>
      </c>
      <c r="O138" s="90">
        <f>IF(AND($C138&gt;0,O$46&gt;=$C$9+8+$C$26,SUM($E138:N138)&lt;$C138),MIN($C138/$C$27,$C138-SUM($E138:N138)),0)</f>
        <v/>
      </c>
      <c r="P138" s="90">
        <f>IF(AND($C138&gt;0,P$46&gt;=$C$9+8+$C$26,SUM($E138:O138)&lt;$C138),MIN($C138/$C$27,$C138-SUM($E138:O138)),0)</f>
        <v/>
      </c>
      <c r="Q138" s="90">
        <f>IF(AND($C138&gt;0,Q$46&gt;=$C$9+8+$C$26,SUM($E138:P138)&lt;$C138),MIN($C138/$C$27,$C138-SUM($E138:P138)),0)</f>
        <v/>
      </c>
      <c r="R138" s="90">
        <f>IF(AND($C138&gt;0,R$46&gt;=$C$9+8+$C$26,SUM($E138:Q138)&lt;$C138),MIN($C138/$C$27,$C138-SUM($E138:Q138)),0)</f>
        <v/>
      </c>
      <c r="S138" s="90">
        <f>IF(AND($C138&gt;0,S$46&gt;=$C$9+8+$C$26,SUM($E138:R138)&lt;$C138),MIN($C138/$C$27,$C138-SUM($E138:R138)),0)</f>
        <v/>
      </c>
      <c r="T138" s="90">
        <f>IF(AND($C138&gt;0,T$46&gt;=$C$9+8+$C$26,SUM($E138:S138)&lt;$C138),MIN($C138/$C$27,$C138-SUM($E138:S138)),0)</f>
        <v/>
      </c>
      <c r="U138" s="90">
        <f>IF(AND($C138&gt;0,U$46&gt;=$C$9+8+$C$26,SUM($E138:T138)&lt;$C138),MIN($C138/$C$27,$C138-SUM($E138:T138)),0)</f>
        <v/>
      </c>
      <c r="V138" s="90">
        <f>IF(AND($C138&gt;0,V$46&gt;=$C$9+8+$C$26,SUM($E138:U138)&lt;$C138),MIN($C138/$C$27,$C138-SUM($E138:U138)),0)</f>
        <v/>
      </c>
      <c r="W138" s="90">
        <f>IF(AND($C138&gt;0,W$46&gt;=$C$9+8+$C$26,SUM($E138:V138)&lt;$C138),MIN($C138/$C$27,$C138-SUM($E138:V138)),0)</f>
        <v/>
      </c>
      <c r="X138" s="90">
        <f>IF(AND($C138&gt;0,X$46&gt;=$C$9+8+$C$26,SUM($E138:W138)&lt;$C138),MIN($C138/$C$27,$C138-SUM($E138:W138)),0)</f>
        <v/>
      </c>
      <c r="Y138" s="90">
        <f>IF(AND($C138&gt;0,Y$46&gt;=$C$9+8+$C$26,SUM($E138:X138)&lt;$C138),MIN($C138/$C$27,$C138-SUM($E138:X138)),0)</f>
        <v/>
      </c>
      <c r="Z138" s="90">
        <f>IF(AND($C138&gt;0,Z$46&gt;=$C$9+8+$C$26,SUM($E138:Y138)&lt;$C138),MIN($C138/$C$27,$C138-SUM($E138:Y138)),0)</f>
        <v/>
      </c>
      <c r="AA138" s="90">
        <f>IF(AND($C138&gt;0,AA$46&gt;=$C$9+8+$C$26,SUM($E138:Z138)&lt;$C138),MIN($C138/$C$27,$C138-SUM($E138:Z138)),0)</f>
        <v/>
      </c>
      <c r="AB138" s="90">
        <f>IF(AND($C138&gt;0,AB$46&gt;=$C$9+8+$C$26,SUM($E138:AA138)&lt;$C138),MIN($C138/$C$27,$C138-SUM($E138:AA138)),0)</f>
        <v/>
      </c>
      <c r="AC138" s="90">
        <f>IF(AND($C138&gt;0,AC$46&gt;=$C$9+8+$C$26,SUM($E138:AB138)&lt;$C138),MIN($C138/$C$27,$C138-SUM($E138:AB138)),0)</f>
        <v/>
      </c>
      <c r="AD138" s="90">
        <f>IF(AND($C138&gt;0,AD$46&gt;=$C$9+8+$C$26,SUM($E138:AC138)&lt;$C138),MIN($C138/$C$27,$C138-SUM($E138:AC138)),0)</f>
        <v/>
      </c>
      <c r="AE138" s="90">
        <f>IF(AND($C138&gt;0,AE$46&gt;=$C$9+8+$C$26,SUM($E138:AD138)&lt;$C138),MIN($C138/$C$27,$C138-SUM($E138:AD138)),0)</f>
        <v/>
      </c>
      <c r="AF138" s="90">
        <f>IF(AND($C138&gt;0,AF$46&gt;=$C$9+8+$C$26,SUM($E138:AE138)&lt;$C138),MIN($C138/$C$27,$C138-SUM($E138:AE138)),0)</f>
        <v/>
      </c>
      <c r="AG138" s="90">
        <f>IF(AND($C138&gt;0,AG$46&gt;=$C$9+8+$C$26,SUM($E138:AF138)&lt;$C138),MIN($C138/$C$27,$C138-SUM($E138:AF138)),0)</f>
        <v/>
      </c>
      <c r="AH138" s="90">
        <f>IF(AND($C138&gt;0,AH$46&gt;=$C$9+8+$C$26,SUM($E138:AG138)&lt;$C138),MIN($C138/$C$27,$C138-SUM($E138:AG138)),0)</f>
        <v/>
      </c>
      <c r="AI138" s="90">
        <f>IF(AND($C138&gt;0,AI$46&gt;=$C$9+8+$C$26,SUM($E138:AH138)&lt;$C138),MIN($C138/$C$27,$C138-SUM($E138:AH138)),0)</f>
        <v/>
      </c>
      <c r="AJ138" s="90">
        <f>IF(AND($C138&gt;0,AJ$46&gt;=$C$9+8+$C$26,SUM($E138:AI138)&lt;$C138),MIN($C138/$C$27,$C138-SUM($E138:AI138)),0)</f>
        <v/>
      </c>
      <c r="AK138" s="90">
        <f>IF(AND($C138&gt;0,AK$46&gt;=$C$9+8+$C$26,SUM($E138:AJ138)&lt;$C138),MIN($C138/$C$27,$C138-SUM($E138:AJ138)),0)</f>
        <v/>
      </c>
      <c r="AL138" s="90">
        <f>IF(AND($C138&gt;0,AL$46&gt;=$C$9+8+$C$26,SUM($E138:AK138)&lt;$C138),MIN($C138/$C$27,$C138-SUM($E138:AK138)),0)</f>
        <v/>
      </c>
      <c r="AM138" s="90">
        <f>IF(AND($C138&gt;0,AM$46&gt;=$C$9+8+$C$26,SUM($E138:AL138)&lt;$C138),MIN($C138/$C$27,$C138-SUM($E138:AL138)),0)</f>
        <v/>
      </c>
      <c r="AN138" s="90">
        <f>IF(AND($C138&gt;0,AN$46&gt;=$C$9+8+$C$26,SUM($E138:AM138)&lt;$C138),MIN($C138/$C$27,$C138-SUM($E138:AM138)),0)</f>
        <v/>
      </c>
      <c r="AO138" s="90">
        <f>IF(AND($C138&gt;0,AO$46&gt;=$C$9+8+$C$26,SUM($E138:AN138)&lt;$C138),MIN($C138/$C$27,$C138-SUM($E138:AN138)),0)</f>
        <v/>
      </c>
      <c r="AP138" s="90">
        <f>IF(AND($C138&gt;0,AP$46&gt;=$C$9+8+$C$26,SUM($E138:AO138)&lt;$C138),MIN($C138/$C$27,$C138-SUM($E138:AO138)),0)</f>
        <v/>
      </c>
      <c r="AQ138" s="90">
        <f>IF(AND($C138&gt;0,AQ$46&gt;=$C$9+8+$C$26,SUM($E138:AP138)&lt;$C138),MIN($C138/$C$27,$C138-SUM($E138:AP138)),0)</f>
        <v/>
      </c>
      <c r="AR138" s="90">
        <f>IF(AND($C138&gt;0,AR$46&gt;=$C$9+8+$C$26,SUM($E138:AQ138)&lt;$C138),MIN($C138/$C$27,$C138-SUM($E138:AQ138)),0)</f>
        <v/>
      </c>
      <c r="AS138" s="90">
        <f>IF(AND($C138&gt;0,AS$46&gt;=$C$9+8+$C$26,SUM($E138:AR138)&lt;$C138),MIN($C138/$C$27,$C138-SUM($E138:AR138)),0)</f>
        <v/>
      </c>
      <c r="AT138" s="90">
        <f>IF(AND($C138&gt;0,AT$46&gt;=$C$9+8+$C$26,SUM($E138:AS138)&lt;$C138),MIN($C138/$C$27,$C138-SUM($E138:AS138)),0)</f>
        <v/>
      </c>
      <c r="AU138" s="90">
        <f>IF(AND($C138&gt;0,AU$46&gt;=$C$9+8+$C$26,SUM($E138:AT138)&lt;$C138),MIN($C138/$C$27,$C138-SUM($E138:AT138)),0)</f>
        <v/>
      </c>
      <c r="AV138" s="90">
        <f>IF(AND($C138&gt;0,AV$46&gt;=$C$9+8+$C$26,SUM($E138:AU138)&lt;$C138),MIN($C138/$C$27,$C138-SUM($E138:AU138)),0)</f>
        <v/>
      </c>
      <c r="AW138" s="90">
        <f>IF(AND($C138&gt;0,AW$46&gt;=$C$9+8+$C$26,SUM($E138:AV138)&lt;$C138),MIN($C138/$C$27,$C138-SUM($E138:AV138)),0)</f>
        <v/>
      </c>
      <c r="AX138" s="90">
        <f>IF(AND($C138&gt;0,AX$46&gt;=$C$9+8+$C$26,SUM($E138:AW138)&lt;$C138),MIN($C138/$C$27,$C138-SUM($E138:AW138)),0)</f>
        <v/>
      </c>
      <c r="AY138" s="90">
        <f>IF(AND($C138&gt;0,AY$46&gt;=$C$9+8+$C$26,SUM($E138:AX138)&lt;$C138),MIN($C138/$C$27,$C138-SUM($E138:AX138)),0)</f>
        <v/>
      </c>
      <c r="AZ138" s="90">
        <f>IF(AND($C138&gt;0,AZ$46&gt;=$C$9+8+$C$26,SUM($E138:AY138)&lt;$C138),MIN($C138/$C$27,$C138-SUM($E138:AY138)),0)</f>
        <v/>
      </c>
      <c r="BA138" s="90">
        <f>IF(AND($C138&gt;0,BA$46&gt;=$C$9+8+$C$26,SUM($E138:AZ138)&lt;$C138),MIN($C138/$C$27,$C138-SUM($E138:AZ138)),0)</f>
        <v/>
      </c>
      <c r="BB138" s="90">
        <f>IF(AND($C138&gt;0,BB$46&gt;=$C$9+8+$C$26,SUM($E138:BA138)&lt;$C138),MIN($C138/$C$27,$C138-SUM($E138:BA138)),0)</f>
        <v/>
      </c>
    </row>
    <row r="139" ht="15" customHeight="1" s="91">
      <c r="B139" s="90" t="inlineStr">
        <is>
          <t>Tranche 10</t>
        </is>
      </c>
      <c r="C139" s="170">
        <f>IF(ABS($D$49)&gt;0,SUMPRODUCT(($E$46:$BB$46=$C$9+9)*IF($E49:$BB49&lt;0,ABS($E49:$BB49),0))*$C$19/ABS($D$49),0)</f>
        <v/>
      </c>
      <c r="D139" s="90">
        <f>SUM(E139:BB139)</f>
        <v/>
      </c>
      <c r="E139" s="90">
        <f>IF(AND($C139&gt;0,E$46&gt;=$C$9+9+$C$26,0&lt;$C139),MIN($C139/$C$27,$C139-0),0)</f>
        <v/>
      </c>
      <c r="F139" s="90">
        <f>IF(AND($C139&gt;0,F$46&gt;=$C$9+9+$C$26,SUM($E139:E139)&lt;$C139),MIN($C139/$C$27,$C139-SUM($E139:E139)),0)</f>
        <v/>
      </c>
      <c r="G139" s="90">
        <f>IF(AND($C139&gt;0,G$46&gt;=$C$9+9+$C$26,SUM($E139:F139)&lt;$C139),MIN($C139/$C$27,$C139-SUM($E139:F139)),0)</f>
        <v/>
      </c>
      <c r="H139" s="90">
        <f>IF(AND($C139&gt;0,H$46&gt;=$C$9+9+$C$26,SUM($E139:G139)&lt;$C139),MIN($C139/$C$27,$C139-SUM($E139:G139)),0)</f>
        <v/>
      </c>
      <c r="I139" s="90">
        <f>IF(AND($C139&gt;0,I$46&gt;=$C$9+9+$C$26,SUM($E139:H139)&lt;$C139),MIN($C139/$C$27,$C139-SUM($E139:H139)),0)</f>
        <v/>
      </c>
      <c r="J139" s="90">
        <f>IF(AND($C139&gt;0,J$46&gt;=$C$9+9+$C$26,SUM($E139:I139)&lt;$C139),MIN($C139/$C$27,$C139-SUM($E139:I139)),0)</f>
        <v/>
      </c>
      <c r="K139" s="90">
        <f>IF(AND($C139&gt;0,K$46&gt;=$C$9+9+$C$26,SUM($E139:J139)&lt;$C139),MIN($C139/$C$27,$C139-SUM($E139:J139)),0)</f>
        <v/>
      </c>
      <c r="L139" s="90">
        <f>IF(AND($C139&gt;0,L$46&gt;=$C$9+9+$C$26,SUM($E139:K139)&lt;$C139),MIN($C139/$C$27,$C139-SUM($E139:K139)),0)</f>
        <v/>
      </c>
      <c r="M139" s="90">
        <f>IF(AND($C139&gt;0,M$46&gt;=$C$9+9+$C$26,SUM($E139:L139)&lt;$C139),MIN($C139/$C$27,$C139-SUM($E139:L139)),0)</f>
        <v/>
      </c>
      <c r="N139" s="90">
        <f>IF(AND($C139&gt;0,N$46&gt;=$C$9+9+$C$26,SUM($E139:M139)&lt;$C139),MIN($C139/$C$27,$C139-SUM($E139:M139)),0)</f>
        <v/>
      </c>
      <c r="O139" s="90">
        <f>IF(AND($C139&gt;0,O$46&gt;=$C$9+9+$C$26,SUM($E139:N139)&lt;$C139),MIN($C139/$C$27,$C139-SUM($E139:N139)),0)</f>
        <v/>
      </c>
      <c r="P139" s="90">
        <f>IF(AND($C139&gt;0,P$46&gt;=$C$9+9+$C$26,SUM($E139:O139)&lt;$C139),MIN($C139/$C$27,$C139-SUM($E139:O139)),0)</f>
        <v/>
      </c>
      <c r="Q139" s="90">
        <f>IF(AND($C139&gt;0,Q$46&gt;=$C$9+9+$C$26,SUM($E139:P139)&lt;$C139),MIN($C139/$C$27,$C139-SUM($E139:P139)),0)</f>
        <v/>
      </c>
      <c r="R139" s="90">
        <f>IF(AND($C139&gt;0,R$46&gt;=$C$9+9+$C$26,SUM($E139:Q139)&lt;$C139),MIN($C139/$C$27,$C139-SUM($E139:Q139)),0)</f>
        <v/>
      </c>
      <c r="S139" s="90">
        <f>IF(AND($C139&gt;0,S$46&gt;=$C$9+9+$C$26,SUM($E139:R139)&lt;$C139),MIN($C139/$C$27,$C139-SUM($E139:R139)),0)</f>
        <v/>
      </c>
      <c r="T139" s="90">
        <f>IF(AND($C139&gt;0,T$46&gt;=$C$9+9+$C$26,SUM($E139:S139)&lt;$C139),MIN($C139/$C$27,$C139-SUM($E139:S139)),0)</f>
        <v/>
      </c>
      <c r="U139" s="90">
        <f>IF(AND($C139&gt;0,U$46&gt;=$C$9+9+$C$26,SUM($E139:T139)&lt;$C139),MIN($C139/$C$27,$C139-SUM($E139:T139)),0)</f>
        <v/>
      </c>
      <c r="V139" s="90">
        <f>IF(AND($C139&gt;0,V$46&gt;=$C$9+9+$C$26,SUM($E139:U139)&lt;$C139),MIN($C139/$C$27,$C139-SUM($E139:U139)),0)</f>
        <v/>
      </c>
      <c r="W139" s="90">
        <f>IF(AND($C139&gt;0,W$46&gt;=$C$9+9+$C$26,SUM($E139:V139)&lt;$C139),MIN($C139/$C$27,$C139-SUM($E139:V139)),0)</f>
        <v/>
      </c>
      <c r="X139" s="90">
        <f>IF(AND($C139&gt;0,X$46&gt;=$C$9+9+$C$26,SUM($E139:W139)&lt;$C139),MIN($C139/$C$27,$C139-SUM($E139:W139)),0)</f>
        <v/>
      </c>
      <c r="Y139" s="90">
        <f>IF(AND($C139&gt;0,Y$46&gt;=$C$9+9+$C$26,SUM($E139:X139)&lt;$C139),MIN($C139/$C$27,$C139-SUM($E139:X139)),0)</f>
        <v/>
      </c>
      <c r="Z139" s="90">
        <f>IF(AND($C139&gt;0,Z$46&gt;=$C$9+9+$C$26,SUM($E139:Y139)&lt;$C139),MIN($C139/$C$27,$C139-SUM($E139:Y139)),0)</f>
        <v/>
      </c>
      <c r="AA139" s="90">
        <f>IF(AND($C139&gt;0,AA$46&gt;=$C$9+9+$C$26,SUM($E139:Z139)&lt;$C139),MIN($C139/$C$27,$C139-SUM($E139:Z139)),0)</f>
        <v/>
      </c>
      <c r="AB139" s="90">
        <f>IF(AND($C139&gt;0,AB$46&gt;=$C$9+9+$C$26,SUM($E139:AA139)&lt;$C139),MIN($C139/$C$27,$C139-SUM($E139:AA139)),0)</f>
        <v/>
      </c>
      <c r="AC139" s="90">
        <f>IF(AND($C139&gt;0,AC$46&gt;=$C$9+9+$C$26,SUM($E139:AB139)&lt;$C139),MIN($C139/$C$27,$C139-SUM($E139:AB139)),0)</f>
        <v/>
      </c>
      <c r="AD139" s="90">
        <f>IF(AND($C139&gt;0,AD$46&gt;=$C$9+9+$C$26,SUM($E139:AC139)&lt;$C139),MIN($C139/$C$27,$C139-SUM($E139:AC139)),0)</f>
        <v/>
      </c>
      <c r="AE139" s="90">
        <f>IF(AND($C139&gt;0,AE$46&gt;=$C$9+9+$C$26,SUM($E139:AD139)&lt;$C139),MIN($C139/$C$27,$C139-SUM($E139:AD139)),0)</f>
        <v/>
      </c>
      <c r="AF139" s="90">
        <f>IF(AND($C139&gt;0,AF$46&gt;=$C$9+9+$C$26,SUM($E139:AE139)&lt;$C139),MIN($C139/$C$27,$C139-SUM($E139:AE139)),0)</f>
        <v/>
      </c>
      <c r="AG139" s="90">
        <f>IF(AND($C139&gt;0,AG$46&gt;=$C$9+9+$C$26,SUM($E139:AF139)&lt;$C139),MIN($C139/$C$27,$C139-SUM($E139:AF139)),0)</f>
        <v/>
      </c>
      <c r="AH139" s="90">
        <f>IF(AND($C139&gt;0,AH$46&gt;=$C$9+9+$C$26,SUM($E139:AG139)&lt;$C139),MIN($C139/$C$27,$C139-SUM($E139:AG139)),0)</f>
        <v/>
      </c>
      <c r="AI139" s="90">
        <f>IF(AND($C139&gt;0,AI$46&gt;=$C$9+9+$C$26,SUM($E139:AH139)&lt;$C139),MIN($C139/$C$27,$C139-SUM($E139:AH139)),0)</f>
        <v/>
      </c>
      <c r="AJ139" s="90">
        <f>IF(AND($C139&gt;0,AJ$46&gt;=$C$9+9+$C$26,SUM($E139:AI139)&lt;$C139),MIN($C139/$C$27,$C139-SUM($E139:AI139)),0)</f>
        <v/>
      </c>
      <c r="AK139" s="90">
        <f>IF(AND($C139&gt;0,AK$46&gt;=$C$9+9+$C$26,SUM($E139:AJ139)&lt;$C139),MIN($C139/$C$27,$C139-SUM($E139:AJ139)),0)</f>
        <v/>
      </c>
      <c r="AL139" s="90">
        <f>IF(AND($C139&gt;0,AL$46&gt;=$C$9+9+$C$26,SUM($E139:AK139)&lt;$C139),MIN($C139/$C$27,$C139-SUM($E139:AK139)),0)</f>
        <v/>
      </c>
      <c r="AM139" s="90">
        <f>IF(AND($C139&gt;0,AM$46&gt;=$C$9+9+$C$26,SUM($E139:AL139)&lt;$C139),MIN($C139/$C$27,$C139-SUM($E139:AL139)),0)</f>
        <v/>
      </c>
      <c r="AN139" s="90">
        <f>IF(AND($C139&gt;0,AN$46&gt;=$C$9+9+$C$26,SUM($E139:AM139)&lt;$C139),MIN($C139/$C$27,$C139-SUM($E139:AM139)),0)</f>
        <v/>
      </c>
      <c r="AO139" s="90">
        <f>IF(AND($C139&gt;0,AO$46&gt;=$C$9+9+$C$26,SUM($E139:AN139)&lt;$C139),MIN($C139/$C$27,$C139-SUM($E139:AN139)),0)</f>
        <v/>
      </c>
      <c r="AP139" s="90">
        <f>IF(AND($C139&gt;0,AP$46&gt;=$C$9+9+$C$26,SUM($E139:AO139)&lt;$C139),MIN($C139/$C$27,$C139-SUM($E139:AO139)),0)</f>
        <v/>
      </c>
      <c r="AQ139" s="90">
        <f>IF(AND($C139&gt;0,AQ$46&gt;=$C$9+9+$C$26,SUM($E139:AP139)&lt;$C139),MIN($C139/$C$27,$C139-SUM($E139:AP139)),0)</f>
        <v/>
      </c>
      <c r="AR139" s="90">
        <f>IF(AND($C139&gt;0,AR$46&gt;=$C$9+9+$C$26,SUM($E139:AQ139)&lt;$C139),MIN($C139/$C$27,$C139-SUM($E139:AQ139)),0)</f>
        <v/>
      </c>
      <c r="AS139" s="90">
        <f>IF(AND($C139&gt;0,AS$46&gt;=$C$9+9+$C$26,SUM($E139:AR139)&lt;$C139),MIN($C139/$C$27,$C139-SUM($E139:AR139)),0)</f>
        <v/>
      </c>
      <c r="AT139" s="90">
        <f>IF(AND($C139&gt;0,AT$46&gt;=$C$9+9+$C$26,SUM($E139:AS139)&lt;$C139),MIN($C139/$C$27,$C139-SUM($E139:AS139)),0)</f>
        <v/>
      </c>
      <c r="AU139" s="90">
        <f>IF(AND($C139&gt;0,AU$46&gt;=$C$9+9+$C$26,SUM($E139:AT139)&lt;$C139),MIN($C139/$C$27,$C139-SUM($E139:AT139)),0)</f>
        <v/>
      </c>
      <c r="AV139" s="90">
        <f>IF(AND($C139&gt;0,AV$46&gt;=$C$9+9+$C$26,SUM($E139:AU139)&lt;$C139),MIN($C139/$C$27,$C139-SUM($E139:AU139)),0)</f>
        <v/>
      </c>
      <c r="AW139" s="90">
        <f>IF(AND($C139&gt;0,AW$46&gt;=$C$9+9+$C$26,SUM($E139:AV139)&lt;$C139),MIN($C139/$C$27,$C139-SUM($E139:AV139)),0)</f>
        <v/>
      </c>
      <c r="AX139" s="90">
        <f>IF(AND($C139&gt;0,AX$46&gt;=$C$9+9+$C$26,SUM($E139:AW139)&lt;$C139),MIN($C139/$C$27,$C139-SUM($E139:AW139)),0)</f>
        <v/>
      </c>
      <c r="AY139" s="90">
        <f>IF(AND($C139&gt;0,AY$46&gt;=$C$9+9+$C$26,SUM($E139:AX139)&lt;$C139),MIN($C139/$C$27,$C139-SUM($E139:AX139)),0)</f>
        <v/>
      </c>
      <c r="AZ139" s="90">
        <f>IF(AND($C139&gt;0,AZ$46&gt;=$C$9+9+$C$26,SUM($E139:AY139)&lt;$C139),MIN($C139/$C$27,$C139-SUM($E139:AY139)),0)</f>
        <v/>
      </c>
      <c r="BA139" s="90">
        <f>IF(AND($C139&gt;0,BA$46&gt;=$C$9+9+$C$26,SUM($E139:AZ139)&lt;$C139),MIN($C139/$C$27,$C139-SUM($E139:AZ139)),0)</f>
        <v/>
      </c>
      <c r="BB139" s="90">
        <f>IF(AND($C139&gt;0,BB$46&gt;=$C$9+9+$C$26,SUM($E139:BA139)&lt;$C139),MIN($C139/$C$27,$C139-SUM($E139:BA139)),0)</f>
        <v/>
      </c>
    </row>
    <row r="140" ht="15" customHeight="1" s="91">
      <c r="A140" s="152" t="inlineStr">
        <is>
          <t>IMPORT  البيانات المستوردة (يمكن طيها ▼)</t>
        </is>
      </c>
      <c r="B140" s="171" t="inlineStr">
        <is>
          <t>Total Tranche Repayment</t>
        </is>
      </c>
      <c r="C140" s="152" t="n"/>
      <c r="D140" s="152">
        <f>SUM(E140:BB140)</f>
        <v/>
      </c>
      <c r="E140" s="90">
        <f>SUM(E130:E139)</f>
        <v/>
      </c>
      <c r="F140" s="90">
        <f>SUM(F130:F139)</f>
        <v/>
      </c>
      <c r="G140" s="90">
        <f>SUM(G130:G139)</f>
        <v/>
      </c>
      <c r="H140" s="90">
        <f>SUM(H130:H139)</f>
        <v/>
      </c>
      <c r="I140" s="90">
        <f>SUM(I130:I139)</f>
        <v/>
      </c>
      <c r="J140" s="90">
        <f>SUM(J130:J139)</f>
        <v/>
      </c>
      <c r="K140" s="90">
        <f>SUM(K130:K139)</f>
        <v/>
      </c>
      <c r="L140" s="90">
        <f>SUM(L130:L139)</f>
        <v/>
      </c>
      <c r="M140" s="90">
        <f>SUM(M130:M139)</f>
        <v/>
      </c>
      <c r="N140" s="90">
        <f>SUM(N130:N139)</f>
        <v/>
      </c>
      <c r="O140" s="90">
        <f>SUM(O130:O139)</f>
        <v/>
      </c>
      <c r="P140" s="90">
        <f>SUM(P130:P139)</f>
        <v/>
      </c>
      <c r="Q140" s="90">
        <f>SUM(Q130:Q139)</f>
        <v/>
      </c>
      <c r="R140" s="90">
        <f>SUM(R130:R139)</f>
        <v/>
      </c>
      <c r="S140" s="90">
        <f>SUM(S130:S139)</f>
        <v/>
      </c>
      <c r="T140" s="90">
        <f>SUM(T130:T139)</f>
        <v/>
      </c>
      <c r="U140" s="90">
        <f>SUM(U130:U139)</f>
        <v/>
      </c>
      <c r="V140" s="90">
        <f>SUM(V130:V139)</f>
        <v/>
      </c>
      <c r="W140" s="90">
        <f>SUM(W130:W139)</f>
        <v/>
      </c>
      <c r="X140" s="90">
        <f>SUM(X130:X139)</f>
        <v/>
      </c>
      <c r="Y140" s="90">
        <f>SUM(Y130:Y139)</f>
        <v/>
      </c>
      <c r="Z140" s="90">
        <f>SUM(Z130:Z139)</f>
        <v/>
      </c>
      <c r="AA140" s="90">
        <f>SUM(AA130:AA139)</f>
        <v/>
      </c>
      <c r="AB140" s="90">
        <f>SUM(AB130:AB139)</f>
        <v/>
      </c>
      <c r="AC140" s="90">
        <f>SUM(AC130:AC139)</f>
        <v/>
      </c>
      <c r="AD140" s="90">
        <f>SUM(AD130:AD139)</f>
        <v/>
      </c>
      <c r="AE140" s="90">
        <f>SUM(AE130:AE139)</f>
        <v/>
      </c>
      <c r="AF140" s="90">
        <f>SUM(AF130:AF139)</f>
        <v/>
      </c>
      <c r="AG140" s="90">
        <f>SUM(AG130:AG139)</f>
        <v/>
      </c>
      <c r="AH140" s="90">
        <f>SUM(AH130:AH139)</f>
        <v/>
      </c>
      <c r="AI140" s="90">
        <f>SUM(AI130:AI139)</f>
        <v/>
      </c>
      <c r="AJ140" s="90">
        <f>SUM(AJ130:AJ139)</f>
        <v/>
      </c>
      <c r="AK140" s="90">
        <f>SUM(AK130:AK139)</f>
        <v/>
      </c>
      <c r="AL140" s="90">
        <f>SUM(AL130:AL139)</f>
        <v/>
      </c>
      <c r="AM140" s="90">
        <f>SUM(AM130:AM139)</f>
        <v/>
      </c>
      <c r="AN140" s="90">
        <f>SUM(AN130:AN139)</f>
        <v/>
      </c>
      <c r="AO140" s="90">
        <f>SUM(AO130:AO139)</f>
        <v/>
      </c>
      <c r="AP140" s="90">
        <f>SUM(AP130:AP139)</f>
        <v/>
      </c>
      <c r="AQ140" s="90">
        <f>SUM(AQ130:AQ139)</f>
        <v/>
      </c>
      <c r="AR140" s="90">
        <f>SUM(AR130:AR139)</f>
        <v/>
      </c>
      <c r="AS140" s="90">
        <f>SUM(AS130:AS139)</f>
        <v/>
      </c>
      <c r="AT140" s="90">
        <f>SUM(AT130:AT139)</f>
        <v/>
      </c>
      <c r="AU140" s="90">
        <f>SUM(AU130:AU139)</f>
        <v/>
      </c>
      <c r="AV140" s="90">
        <f>SUM(AV130:AV139)</f>
        <v/>
      </c>
      <c r="AW140" s="90">
        <f>SUM(AW130:AW139)</f>
        <v/>
      </c>
      <c r="AX140" s="90">
        <f>SUM(AX130:AX139)</f>
        <v/>
      </c>
      <c r="AY140" s="90">
        <f>SUM(AY130:AY139)</f>
        <v/>
      </c>
      <c r="AZ140" s="90">
        <f>SUM(AZ130:AZ139)</f>
        <v/>
      </c>
      <c r="BA140" s="90">
        <f>SUM(BA130:BA139)</f>
        <v/>
      </c>
      <c r="BB140" s="90">
        <f>SUM(BB130:BB139)</f>
        <v/>
      </c>
    </row>
    <row r="141" hidden="1" outlineLevel="1" ht="15" customHeight="1" s="91">
      <c r="B141" s="153" t="inlineStr">
        <is>
          <t>DevCost (excl Land)</t>
        </is>
      </c>
      <c r="C141" s="155">
        <f>C17</f>
        <v/>
      </c>
    </row>
    <row r="142" hidden="1" outlineLevel="1" ht="15" customHeight="1" s="91">
      <c r="B142" s="153" t="inlineStr">
        <is>
          <t>Land Capitalization</t>
        </is>
      </c>
      <c r="C142" s="155">
        <f>C12</f>
        <v/>
      </c>
    </row>
    <row r="143" hidden="1" outlineLevel="1" ht="15" customHeight="1" s="91">
      <c r="B143" s="153" t="inlineStr">
        <is>
          <t>Max Debt</t>
        </is>
      </c>
      <c r="C143" s="155">
        <f>C19</f>
        <v/>
      </c>
    </row>
    <row r="144" hidden="1" outlineLevel="1" ht="15" customHeight="1" s="91">
      <c r="B144" s="153" t="inlineStr">
        <is>
          <t>Total Equity</t>
        </is>
      </c>
      <c r="C144" s="155">
        <f>C14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1">
    <dataValidation sqref="C22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B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42" customWidth="1" style="90" min="2" max="2"/>
    <col width="14" customWidth="1" style="90" min="3" max="3"/>
    <col width="18" customWidth="1" style="90" min="4" max="4"/>
    <col width="14" customWidth="1" style="90" min="5" max="54"/>
  </cols>
  <sheetData>
    <row r="1" ht="15" customHeight="1" s="91">
      <c r="A1" s="152" t="inlineStr">
        <is>
          <t>FUND MODEL - ZAN 5  نموذج الصندوق - ZAN 5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</row>
    <row r="3" ht="15" customHeight="1" s="91">
      <c r="A3" s="152" t="inlineStr">
        <is>
          <t>1  FUND INFORMATION  معلومات الصندوق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2" t="n"/>
      <c r="AS3" s="152" t="n"/>
      <c r="AT3" s="152" t="n"/>
      <c r="AU3" s="152" t="n"/>
      <c r="AV3" s="152" t="n"/>
      <c r="AW3" s="152" t="n"/>
      <c r="AX3" s="152" t="n"/>
      <c r="AY3" s="152" t="n"/>
      <c r="AZ3" s="152" t="n"/>
      <c r="BA3" s="152" t="n"/>
      <c r="BB3" s="152" t="n"/>
    </row>
    <row r="4" ht="15" customHeight="1" s="91">
      <c r="B4" s="153" t="inlineStr">
        <is>
          <t>Fund Name</t>
        </is>
      </c>
      <c r="C4" s="114" t="inlineStr">
        <is>
          <t>ZAN Infrastructure Fund</t>
        </is>
      </c>
      <c r="D4" s="120" t="inlineStr">
        <is>
          <t>اسم الصندوق</t>
        </is>
      </c>
    </row>
    <row r="5" ht="15" customHeight="1" s="91">
      <c r="B5" s="153" t="inlineStr">
        <is>
          <t>ZAN Section</t>
        </is>
      </c>
      <c r="C5" s="153" t="inlineStr">
        <is>
          <t>ZAN 5</t>
        </is>
      </c>
      <c r="D5" s="120" t="inlineStr">
        <is>
          <t>القسم</t>
        </is>
      </c>
    </row>
    <row r="6" ht="15" customHeight="1" s="91">
      <c r="B6" s="153" t="inlineStr">
        <is>
          <t>Vehicle Type</t>
        </is>
      </c>
      <c r="C6" s="114" t="inlineStr">
        <is>
          <t>Fund</t>
        </is>
      </c>
      <c r="D6" s="120" t="inlineStr">
        <is>
          <t>نوع الأداة</t>
        </is>
      </c>
    </row>
    <row r="7" ht="15" customHeight="1" s="91">
      <c r="B7" s="153" t="inlineStr">
        <is>
          <t>Strategy</t>
        </is>
      </c>
      <c r="C7" s="114" t="inlineStr">
        <is>
          <t>Develop &amp; Hold</t>
        </is>
      </c>
      <c r="D7" s="120" t="inlineStr">
        <is>
          <t>الاستراتيجية</t>
        </is>
      </c>
    </row>
    <row r="8" ht="15" customHeight="1" s="91">
      <c r="B8" s="153" t="inlineStr">
        <is>
          <t>Currency</t>
        </is>
      </c>
      <c r="C8" s="112">
        <f>Inputs!C9</f>
        <v/>
      </c>
      <c r="D8" s="120" t="inlineStr">
        <is>
          <t>العملة</t>
        </is>
      </c>
    </row>
    <row r="9" ht="15" customHeight="1" s="91">
      <c r="B9" s="153" t="inlineStr">
        <is>
          <t>Fund Start Year  سنة بداية الصندوق</t>
        </is>
      </c>
      <c r="C9" s="159">
        <f>Inputs!C7+Inputs!C49-1</f>
        <v/>
      </c>
      <c r="D9" s="120" t="inlineStr">
        <is>
          <t>سنة بداية الصندوق</t>
        </is>
      </c>
    </row>
    <row r="11" ht="15" customHeight="1" s="91">
      <c r="A11" s="152" t="inlineStr">
        <is>
          <t>2  CAPITAL STRUCTURE  هيكل رأس المال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</row>
    <row r="12" ht="15" customHeight="1" s="91">
      <c r="B12" s="153" t="inlineStr">
        <is>
          <t>GP Equity (Sponsor/Land)</t>
        </is>
      </c>
      <c r="C12" s="155">
        <f>Inputs!E71</f>
        <v/>
      </c>
      <c r="D12" s="120" t="inlineStr">
        <is>
          <t>حصة المطور (الأرض)</t>
        </is>
      </c>
    </row>
    <row r="13" ht="15" customHeight="1" s="91">
      <c r="B13" s="153" t="inlineStr">
        <is>
          <t>LP Equity (Investors)</t>
        </is>
      </c>
      <c r="C13" s="160">
        <f>C14-C12</f>
        <v/>
      </c>
      <c r="D13" s="120" t="inlineStr">
        <is>
          <t>حصة المستثمرين</t>
        </is>
      </c>
    </row>
    <row r="14" ht="15" customHeight="1" s="91">
      <c r="B14" s="153" t="inlineStr">
        <is>
          <t>Total Equity</t>
        </is>
      </c>
      <c r="C14" s="157">
        <f>C18-C19</f>
        <v/>
      </c>
      <c r="D14" s="120" t="inlineStr">
        <is>
          <t>إجمالي حقوق الملكية</t>
        </is>
      </c>
    </row>
    <row r="15" ht="15" customHeight="1" s="91">
      <c r="B15" s="153" t="inlineStr">
        <is>
          <t>Sponsor %</t>
        </is>
      </c>
      <c r="C15" s="161">
        <f>IF(C14=0,0,C12/C14)</f>
        <v/>
      </c>
    </row>
    <row r="16" ht="15" customHeight="1" s="91">
      <c r="B16" s="153" t="inlineStr">
        <is>
          <t>LP %</t>
        </is>
      </c>
      <c r="C16" s="161">
        <f>IF(C14=0,0,C13/C14)</f>
        <v/>
      </c>
    </row>
    <row r="17" ht="15" customHeight="1" s="91">
      <c r="B17" s="153" t="inlineStr">
        <is>
          <t>Development Cost (excl. Land)</t>
        </is>
      </c>
      <c r="C17" s="155">
        <f>CAPEX!D40</f>
        <v/>
      </c>
    </row>
    <row r="18" ht="15" customHeight="1" s="91">
      <c r="B18" s="153" t="inlineStr">
        <is>
          <t>Development Cost (incl. Land)</t>
        </is>
      </c>
      <c r="C18" s="157">
        <f>C17+C12</f>
        <v/>
      </c>
      <c r="D18" s="120" t="inlineStr">
        <is>
          <t>تكاليف التطوير شاملة الأرض</t>
        </is>
      </c>
    </row>
    <row r="19" ht="15" customHeight="1" s="91">
      <c r="B19" s="153" t="inlineStr">
        <is>
          <t>Max Debt</t>
        </is>
      </c>
      <c r="C19" s="155">
        <f>IF($C$22="Y",C18*Inputs!$C$85,0)</f>
        <v/>
      </c>
      <c r="D19" s="120" t="inlineStr">
        <is>
          <t>الحد الأقصى للدين</t>
        </is>
      </c>
    </row>
    <row r="21" ht="15" customHeight="1" s="91">
      <c r="A21" s="152" t="inlineStr">
        <is>
          <t>3  DEBT  الدين</t>
        </is>
      </c>
      <c r="B21" s="152" t="n"/>
      <c r="C21" s="152" t="n"/>
      <c r="D21" s="152" t="n"/>
      <c r="E21" s="152" t="n"/>
      <c r="F21" s="152" t="n"/>
      <c r="G21" s="152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  <c r="AK21" s="152" t="n"/>
      <c r="AL21" s="152" t="n"/>
      <c r="AM21" s="152" t="n"/>
      <c r="AN21" s="152" t="n"/>
      <c r="AO21" s="152" t="n"/>
      <c r="AP21" s="152" t="n"/>
      <c r="AQ21" s="152" t="n"/>
      <c r="AR21" s="152" t="n"/>
      <c r="AS21" s="152" t="n"/>
      <c r="AT21" s="152" t="n"/>
      <c r="AU21" s="152" t="n"/>
      <c r="AV21" s="152" t="n"/>
      <c r="AW21" s="152" t="n"/>
      <c r="AX21" s="152" t="n"/>
      <c r="AY21" s="152" t="n"/>
      <c r="AZ21" s="152" t="n"/>
      <c r="BA21" s="152" t="n"/>
      <c r="BB21" s="152" t="n"/>
    </row>
    <row r="22" ht="15" customHeight="1" s="91">
      <c r="B22" s="153" t="inlineStr">
        <is>
          <t>Debt Allowed (Y/N)</t>
        </is>
      </c>
      <c r="C22" s="114" t="inlineStr">
        <is>
          <t>Y</t>
        </is>
      </c>
      <c r="D22" s="120" t="inlineStr">
        <is>
          <t>هل الدين مسموح؟</t>
        </is>
      </c>
    </row>
    <row r="23" ht="15" customHeight="1" s="91">
      <c r="B23" s="153" t="inlineStr">
        <is>
          <t>Annual Financing Rate</t>
        </is>
      </c>
      <c r="C23" s="156">
        <f>Inputs!G$126</f>
        <v/>
      </c>
      <c r="D23" s="120" t="inlineStr">
        <is>
          <t>معدل التمويل السنوي</t>
        </is>
      </c>
    </row>
    <row r="24" ht="15" customHeight="1" s="91">
      <c r="B24" s="153" t="inlineStr">
        <is>
          <t>Total Loan Tenor (incl. Grace)</t>
        </is>
      </c>
      <c r="C24" s="159">
        <f>Inputs!G$127</f>
        <v/>
      </c>
      <c r="D24" s="120" t="inlineStr">
        <is>
          <t>مدة القرض شاملة السماح</t>
        </is>
      </c>
    </row>
    <row r="25" ht="15" customHeight="1" s="91">
      <c r="B25" s="153" t="inlineStr">
        <is>
          <t>Upfront Fee %</t>
        </is>
      </c>
      <c r="C25" s="156">
        <f>Inputs!G$129</f>
        <v/>
      </c>
      <c r="D25" s="120" t="inlineStr">
        <is>
          <t>رسوم إصدار القرض</t>
        </is>
      </c>
    </row>
    <row r="26" ht="15" customHeight="1" s="91">
      <c r="B26" s="153" t="inlineStr">
        <is>
          <t>Grace Period (years)</t>
        </is>
      </c>
      <c r="C26" s="159">
        <f>Inputs!G$128</f>
        <v/>
      </c>
      <c r="D26" s="120" t="inlineStr">
        <is>
          <t>فترة السماح</t>
        </is>
      </c>
    </row>
    <row r="27" ht="15" customHeight="1" s="91">
      <c r="B27" s="90" t="inlineStr">
        <is>
          <t>Repay Years  سنوات السداد</t>
        </is>
      </c>
      <c r="C27" s="90">
        <f>C24-C26</f>
        <v/>
      </c>
    </row>
    <row r="28" ht="15" customHeight="1" s="91">
      <c r="A28" s="152" t="inlineStr">
        <is>
          <t>4  FEES  الرسوم</t>
        </is>
      </c>
      <c r="B28" s="152" t="inlineStr">
        <is>
          <t>Debt Tranche Mode  نمط الشرائح</t>
        </is>
      </c>
      <c r="C28" s="152">
        <f>Inputs!G$144</f>
        <v/>
      </c>
      <c r="D28" s="152" t="n"/>
      <c r="E28" s="152" t="n"/>
      <c r="F28" s="152" t="n"/>
      <c r="G28" s="152" t="n"/>
      <c r="H28" s="152" t="n"/>
      <c r="I28" s="152" t="n"/>
      <c r="J28" s="152" t="n"/>
      <c r="K28" s="152" t="n"/>
      <c r="L28" s="152" t="n"/>
      <c r="M28" s="152" t="n"/>
      <c r="N28" s="152" t="n"/>
      <c r="O28" s="152" t="n"/>
      <c r="P28" s="152" t="n"/>
      <c r="Q28" s="152" t="n"/>
      <c r="R28" s="152" t="n"/>
      <c r="S28" s="152" t="n"/>
      <c r="T28" s="152" t="n"/>
      <c r="U28" s="152" t="n"/>
      <c r="V28" s="152" t="n"/>
      <c r="W28" s="152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  <c r="AK28" s="152" t="n"/>
      <c r="AL28" s="152" t="n"/>
      <c r="AM28" s="152" t="n"/>
      <c r="AN28" s="152" t="n"/>
      <c r="AO28" s="152" t="n"/>
      <c r="AP28" s="152" t="n"/>
      <c r="AQ28" s="152" t="n"/>
      <c r="AR28" s="152" t="n"/>
      <c r="AS28" s="152" t="n"/>
      <c r="AT28" s="152" t="n"/>
      <c r="AU28" s="152" t="n"/>
      <c r="AV28" s="152" t="n"/>
      <c r="AW28" s="152" t="n"/>
      <c r="AX28" s="152" t="n"/>
      <c r="AY28" s="152" t="n"/>
      <c r="AZ28" s="152" t="n"/>
      <c r="BA28" s="152" t="n"/>
      <c r="BB28" s="152" t="n"/>
    </row>
    <row r="29" ht="15" customHeight="1" s="91">
      <c r="B29" s="153" t="inlineStr">
        <is>
          <t>Subscription Fee</t>
        </is>
      </c>
      <c r="C29" s="156">
        <f>Inputs!G$130</f>
        <v/>
      </c>
      <c r="D29" s="120" t="inlineStr">
        <is>
          <t>رسوم الاشتراك</t>
        </is>
      </c>
    </row>
    <row r="30" ht="15" customHeight="1" s="91">
      <c r="B30" s="153" t="inlineStr">
        <is>
          <t>Annual Management Fee</t>
        </is>
      </c>
      <c r="C30" s="156">
        <f>Inputs!G$131</f>
        <v/>
      </c>
      <c r="D30" s="120" t="inlineStr">
        <is>
          <t>رسوم الإدارة السنوية</t>
        </is>
      </c>
    </row>
    <row r="31" ht="15" customHeight="1" s="91">
      <c r="B31" s="153" t="inlineStr">
        <is>
          <t>Annual Custody Fee (Fixed SAR)</t>
        </is>
      </c>
      <c r="C31" s="155">
        <f>Inputs!G$132</f>
        <v/>
      </c>
      <c r="D31" s="120" t="inlineStr">
        <is>
          <t>رسوم الحفظ السنوية</t>
        </is>
      </c>
    </row>
    <row r="32" ht="15" customHeight="1" s="91">
      <c r="B32" s="153" t="inlineStr">
        <is>
          <t>Developer Fee % (of CAPEX)</t>
        </is>
      </c>
      <c r="C32" s="156">
        <f>Inputs!G$133</f>
        <v/>
      </c>
      <c r="D32" s="120" t="inlineStr">
        <is>
          <t>رسوم المطور</t>
        </is>
      </c>
    </row>
    <row r="33" ht="15" customHeight="1" s="91">
      <c r="B33" s="153" t="inlineStr">
        <is>
          <t>Structuring Fee</t>
        </is>
      </c>
      <c r="C33" s="156">
        <f>Inputs!G$134</f>
        <v/>
      </c>
      <c r="D33" s="120" t="inlineStr">
        <is>
          <t>رسوم الهيكلة</t>
        </is>
      </c>
    </row>
    <row r="35" ht="15" customHeight="1" s="91">
      <c r="A35" s="152" t="inlineStr">
        <is>
          <t>5  WATERFALL  شلال التوزيعات</t>
        </is>
      </c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2" t="n"/>
      <c r="S35" s="152" t="n"/>
      <c r="T35" s="152" t="n"/>
      <c r="U35" s="152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  <c r="AP35" s="152" t="n"/>
      <c r="AQ35" s="152" t="n"/>
      <c r="AR35" s="152" t="n"/>
      <c r="AS35" s="152" t="n"/>
      <c r="AT35" s="152" t="n"/>
      <c r="AU35" s="152" t="n"/>
      <c r="AV35" s="152" t="n"/>
      <c r="AW35" s="152" t="n"/>
      <c r="AX35" s="152" t="n"/>
      <c r="AY35" s="152" t="n"/>
      <c r="AZ35" s="152" t="n"/>
      <c r="BA35" s="152" t="n"/>
      <c r="BB35" s="152" t="n"/>
    </row>
    <row r="36" ht="15" customHeight="1" s="91">
      <c r="B36" s="153" t="inlineStr">
        <is>
          <t>Preferred Return %</t>
        </is>
      </c>
      <c r="C36" s="156">
        <f>Inputs!G$135</f>
        <v/>
      </c>
      <c r="D36" s="120" t="inlineStr">
        <is>
          <t>العائد التفضيلي</t>
        </is>
      </c>
    </row>
    <row r="37" ht="15" customHeight="1" s="91">
      <c r="B37" s="153" t="inlineStr">
        <is>
          <t>GP Catch-up? (Y/N)</t>
        </is>
      </c>
      <c r="C37" s="112">
        <f>Inputs!G$136</f>
        <v/>
      </c>
      <c r="D37" s="120" t="inlineStr">
        <is>
          <t>تعويض المطور</t>
        </is>
      </c>
    </row>
    <row r="38" ht="15" customHeight="1" s="91">
      <c r="B38" s="153" t="inlineStr">
        <is>
          <t>Carry %</t>
        </is>
      </c>
      <c r="C38" s="156">
        <f>Inputs!G$137</f>
        <v/>
      </c>
      <c r="D38" s="120" t="inlineStr">
        <is>
          <t>نسبة الأداء</t>
        </is>
      </c>
    </row>
    <row r="40" ht="15" customHeight="1" s="91">
      <c r="A40" s="152" t="inlineStr">
        <is>
          <t>6  EXIT  التخارج</t>
        </is>
      </c>
      <c r="B40" s="152" t="n"/>
      <c r="C40" s="152" t="n"/>
      <c r="D40" s="152" t="n"/>
      <c r="E40" s="152" t="n"/>
      <c r="F40" s="152" t="n"/>
      <c r="G40" s="152" t="n"/>
      <c r="H40" s="152" t="n"/>
      <c r="I40" s="152" t="n"/>
      <c r="J40" s="152" t="n"/>
      <c r="K40" s="152" t="n"/>
      <c r="L40" s="152" t="n"/>
      <c r="M40" s="152" t="n"/>
      <c r="N40" s="152" t="n"/>
      <c r="O40" s="152" t="n"/>
      <c r="P40" s="152" t="n"/>
      <c r="Q40" s="152" t="n"/>
      <c r="R40" s="152" t="n"/>
      <c r="S40" s="152" t="n"/>
      <c r="T40" s="152" t="n"/>
      <c r="U40" s="152" t="n"/>
      <c r="V40" s="152" t="n"/>
      <c r="W40" s="152" t="n"/>
      <c r="X40" s="152" t="n"/>
      <c r="Y40" s="152" t="n"/>
      <c r="Z40" s="152" t="n"/>
      <c r="AA40" s="15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  <c r="AK40" s="152" t="n"/>
      <c r="AL40" s="152" t="n"/>
      <c r="AM40" s="152" t="n"/>
      <c r="AN40" s="152" t="n"/>
      <c r="AO40" s="152" t="n"/>
      <c r="AP40" s="152" t="n"/>
      <c r="AQ40" s="152" t="n"/>
      <c r="AR40" s="152" t="n"/>
      <c r="AS40" s="152" t="n"/>
      <c r="AT40" s="152" t="n"/>
      <c r="AU40" s="152" t="n"/>
      <c r="AV40" s="152" t="n"/>
      <c r="AW40" s="152" t="n"/>
      <c r="AX40" s="152" t="n"/>
      <c r="AY40" s="152" t="n"/>
      <c r="AZ40" s="152" t="n"/>
      <c r="BA40" s="152" t="n"/>
      <c r="BB40" s="152" t="n"/>
    </row>
    <row r="41" ht="15" customHeight="1" s="91">
      <c r="B41" s="153" t="inlineStr">
        <is>
          <t>Exit Year</t>
        </is>
      </c>
      <c r="C41" s="159">
        <f>Inputs!G$138</f>
        <v/>
      </c>
      <c r="D41" s="120" t="inlineStr">
        <is>
          <t>سنة التخارج</t>
        </is>
      </c>
    </row>
    <row r="42" ht="15" customHeight="1" s="91">
      <c r="B42" s="153" t="inlineStr">
        <is>
          <t>Exit Multiple (x rent)</t>
        </is>
      </c>
      <c r="C42" s="162">
        <f>Inputs!G$139</f>
        <v/>
      </c>
      <c r="D42" s="120" t="inlineStr">
        <is>
          <t>مضاعف الإيجار</t>
        </is>
      </c>
    </row>
    <row r="43" ht="15" customHeight="1" s="91">
      <c r="B43" s="153" t="inlineStr">
        <is>
          <t>Exit Cost %</t>
        </is>
      </c>
      <c r="C43" s="156">
        <f>Inputs!G$140</f>
        <v/>
      </c>
      <c r="D43" s="120" t="inlineStr">
        <is>
          <t>تكلفة التخارج</t>
        </is>
      </c>
    </row>
    <row r="44" ht="15" customHeight="1" s="91">
      <c r="B44" s="90" t="inlineStr">
        <is>
          <t>Exit Method</t>
        </is>
      </c>
      <c r="C44" s="90">
        <f>Inputs!$C$107</f>
        <v/>
      </c>
      <c r="D44" s="163" t="inlineStr">
        <is>
          <t>طريقة التخارج</t>
        </is>
      </c>
    </row>
    <row r="45" ht="15" customHeight="1" s="91">
      <c r="A45" s="152" t="inlineStr">
        <is>
          <t>7  PROJECT CASH FLOWS (Unlevered)  تدفقات المشروع</t>
        </is>
      </c>
      <c r="B45" s="152" t="inlineStr">
        <is>
          <t>Exit Cap Rate %</t>
        </is>
      </c>
      <c r="C45" s="164">
        <f>Inputs!G$141</f>
        <v/>
      </c>
      <c r="D45" s="152" t="inlineStr">
        <is>
          <t>معدل الرسملة</t>
        </is>
      </c>
      <c r="E45" s="152" t="n"/>
      <c r="F45" s="152" t="n"/>
      <c r="G45" s="152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2" t="n"/>
      <c r="S45" s="152" t="n"/>
      <c r="T45" s="152" t="n"/>
      <c r="U45" s="152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  <c r="AK45" s="152" t="n"/>
      <c r="AL45" s="152" t="n"/>
      <c r="AM45" s="152" t="n"/>
      <c r="AN45" s="152" t="n"/>
      <c r="AO45" s="152" t="n"/>
      <c r="AP45" s="152" t="n"/>
      <c r="AQ45" s="152" t="n"/>
      <c r="AR45" s="152" t="n"/>
      <c r="AS45" s="152" t="n"/>
      <c r="AT45" s="152" t="n"/>
      <c r="AU45" s="152" t="n"/>
      <c r="AV45" s="152" t="n"/>
      <c r="AW45" s="152" t="n"/>
      <c r="AX45" s="152" t="n"/>
      <c r="AY45" s="152" t="n"/>
      <c r="AZ45" s="152" t="n"/>
      <c r="BA45" s="152" t="n"/>
      <c r="BB45" s="152" t="n"/>
    </row>
    <row r="46" ht="15" customHeight="1" s="91">
      <c r="C46" s="165" t="inlineStr">
        <is>
          <t>Unit</t>
        </is>
      </c>
      <c r="D46" s="165" t="inlineStr">
        <is>
          <t>Total</t>
        </is>
      </c>
      <c r="E46" s="166">
        <f>Inputs!$C$7+0</f>
        <v/>
      </c>
      <c r="F46" s="166">
        <f>Inputs!$C$7+1</f>
        <v/>
      </c>
      <c r="G46" s="166">
        <f>Inputs!$C$7+2</f>
        <v/>
      </c>
      <c r="H46" s="166">
        <f>Inputs!$C$7+3</f>
        <v/>
      </c>
      <c r="I46" s="166">
        <f>Inputs!$C$7+4</f>
        <v/>
      </c>
      <c r="J46" s="166">
        <f>Inputs!$C$7+5</f>
        <v/>
      </c>
      <c r="K46" s="166">
        <f>Inputs!$C$7+6</f>
        <v/>
      </c>
      <c r="L46" s="166">
        <f>Inputs!$C$7+7</f>
        <v/>
      </c>
      <c r="M46" s="166">
        <f>Inputs!$C$7+8</f>
        <v/>
      </c>
      <c r="N46" s="166">
        <f>Inputs!$C$7+9</f>
        <v/>
      </c>
      <c r="O46" s="166">
        <f>Inputs!$C$7+10</f>
        <v/>
      </c>
      <c r="P46" s="166">
        <f>Inputs!$C$7+11</f>
        <v/>
      </c>
      <c r="Q46" s="166">
        <f>Inputs!$C$7+12</f>
        <v/>
      </c>
      <c r="R46" s="166">
        <f>Inputs!$C$7+13</f>
        <v/>
      </c>
      <c r="S46" s="166">
        <f>Inputs!$C$7+14</f>
        <v/>
      </c>
      <c r="T46" s="166">
        <f>Inputs!$C$7+15</f>
        <v/>
      </c>
      <c r="U46" s="166">
        <f>Inputs!$C$7+16</f>
        <v/>
      </c>
      <c r="V46" s="166">
        <f>Inputs!$C$7+17</f>
        <v/>
      </c>
      <c r="W46" s="166">
        <f>Inputs!$C$7+18</f>
        <v/>
      </c>
      <c r="X46" s="166">
        <f>Inputs!$C$7+19</f>
        <v/>
      </c>
      <c r="Y46" s="166">
        <f>Inputs!$C$7+20</f>
        <v/>
      </c>
      <c r="Z46" s="166">
        <f>Inputs!$C$7+21</f>
        <v/>
      </c>
      <c r="AA46" s="166">
        <f>Inputs!$C$7+22</f>
        <v/>
      </c>
      <c r="AB46" s="166">
        <f>Inputs!$C$7+23</f>
        <v/>
      </c>
      <c r="AC46" s="166">
        <f>Inputs!$C$7+24</f>
        <v/>
      </c>
      <c r="AD46" s="166">
        <f>Inputs!$C$7+25</f>
        <v/>
      </c>
      <c r="AE46" s="166">
        <f>Inputs!$C$7+26</f>
        <v/>
      </c>
      <c r="AF46" s="166">
        <f>Inputs!$C$7+27</f>
        <v/>
      </c>
      <c r="AG46" s="166">
        <f>Inputs!$C$7+28</f>
        <v/>
      </c>
      <c r="AH46" s="166">
        <f>Inputs!$C$7+29</f>
        <v/>
      </c>
      <c r="AI46" s="166">
        <f>Inputs!$C$7+30</f>
        <v/>
      </c>
      <c r="AJ46" s="166">
        <f>Inputs!$C$7+31</f>
        <v/>
      </c>
      <c r="AK46" s="166">
        <f>Inputs!$C$7+32</f>
        <v/>
      </c>
      <c r="AL46" s="166">
        <f>Inputs!$C$7+33</f>
        <v/>
      </c>
      <c r="AM46" s="166">
        <f>Inputs!$C$7+34</f>
        <v/>
      </c>
      <c r="AN46" s="166">
        <f>Inputs!$C$7+35</f>
        <v/>
      </c>
      <c r="AO46" s="166">
        <f>Inputs!$C$7+36</f>
        <v/>
      </c>
      <c r="AP46" s="166">
        <f>Inputs!$C$7+37</f>
        <v/>
      </c>
      <c r="AQ46" s="166">
        <f>Inputs!$C$7+38</f>
        <v/>
      </c>
      <c r="AR46" s="166">
        <f>Inputs!$C$7+39</f>
        <v/>
      </c>
      <c r="AS46" s="166">
        <f>Inputs!$C$7+40</f>
        <v/>
      </c>
      <c r="AT46" s="166">
        <f>Inputs!$C$7+41</f>
        <v/>
      </c>
      <c r="AU46" s="166">
        <f>Inputs!$C$7+42</f>
        <v/>
      </c>
      <c r="AV46" s="166">
        <f>Inputs!$C$7+43</f>
        <v/>
      </c>
      <c r="AW46" s="166">
        <f>Inputs!$C$7+44</f>
        <v/>
      </c>
      <c r="AX46" s="166">
        <f>Inputs!$C$7+45</f>
        <v/>
      </c>
      <c r="AY46" s="166">
        <f>Inputs!$C$7+46</f>
        <v/>
      </c>
      <c r="AZ46" s="166">
        <f>Inputs!$C$7+47</f>
        <v/>
      </c>
      <c r="BA46" s="166">
        <f>Inputs!$C$7+48</f>
        <v/>
      </c>
      <c r="BB46" s="166">
        <f>Inputs!$C$7+49</f>
        <v/>
      </c>
    </row>
    <row r="47" ht="15" customHeight="1" s="91">
      <c r="B47" s="153" t="inlineStr">
        <is>
          <t>Rental Income  الإيرادات</t>
        </is>
      </c>
      <c r="C47" s="153" t="inlineStr">
        <is>
          <t>SAR</t>
        </is>
      </c>
      <c r="D47" s="157">
        <f>SUM(E47:BB47)</f>
        <v/>
      </c>
      <c r="E47" s="155">
        <f>CashFlow!D33</f>
        <v/>
      </c>
      <c r="F47" s="155">
        <f>CashFlow!E33</f>
        <v/>
      </c>
      <c r="G47" s="155">
        <f>CashFlow!F33</f>
        <v/>
      </c>
      <c r="H47" s="155">
        <f>CashFlow!G33</f>
        <v/>
      </c>
      <c r="I47" s="155">
        <f>CashFlow!H33</f>
        <v/>
      </c>
      <c r="J47" s="155">
        <f>CashFlow!I33</f>
        <v/>
      </c>
      <c r="K47" s="155">
        <f>CashFlow!J33</f>
        <v/>
      </c>
      <c r="L47" s="155">
        <f>CashFlow!K33</f>
        <v/>
      </c>
      <c r="M47" s="155">
        <f>CashFlow!L33</f>
        <v/>
      </c>
      <c r="N47" s="155">
        <f>CashFlow!M33</f>
        <v/>
      </c>
      <c r="O47" s="155">
        <f>CashFlow!N33</f>
        <v/>
      </c>
      <c r="P47" s="155">
        <f>CashFlow!O33</f>
        <v/>
      </c>
      <c r="Q47" s="155">
        <f>CashFlow!P33</f>
        <v/>
      </c>
      <c r="R47" s="155">
        <f>CashFlow!Q33</f>
        <v/>
      </c>
      <c r="S47" s="155">
        <f>CashFlow!R33</f>
        <v/>
      </c>
      <c r="T47" s="155">
        <f>CashFlow!S33</f>
        <v/>
      </c>
      <c r="U47" s="155">
        <f>CashFlow!T33</f>
        <v/>
      </c>
      <c r="V47" s="155">
        <f>CashFlow!U33</f>
        <v/>
      </c>
      <c r="W47" s="155">
        <f>CashFlow!V33</f>
        <v/>
      </c>
      <c r="X47" s="155">
        <f>CashFlow!W33</f>
        <v/>
      </c>
      <c r="Y47" s="155">
        <f>CashFlow!X33</f>
        <v/>
      </c>
      <c r="Z47" s="155">
        <f>CashFlow!Y33</f>
        <v/>
      </c>
      <c r="AA47" s="155">
        <f>CashFlow!Z33</f>
        <v/>
      </c>
      <c r="AB47" s="155">
        <f>CashFlow!AA33</f>
        <v/>
      </c>
      <c r="AC47" s="155">
        <f>CashFlow!AB33</f>
        <v/>
      </c>
      <c r="AD47" s="155">
        <f>CashFlow!AC33</f>
        <v/>
      </c>
      <c r="AE47" s="155">
        <f>CashFlow!AD33</f>
        <v/>
      </c>
      <c r="AF47" s="155">
        <f>CashFlow!AE33</f>
        <v/>
      </c>
      <c r="AG47" s="155">
        <f>CashFlow!AF33</f>
        <v/>
      </c>
      <c r="AH47" s="155">
        <f>CashFlow!AG33</f>
        <v/>
      </c>
      <c r="AI47" s="155">
        <f>CashFlow!AH33</f>
        <v/>
      </c>
      <c r="AJ47" s="155">
        <f>CashFlow!AI33</f>
        <v/>
      </c>
      <c r="AK47" s="155">
        <f>CashFlow!AJ33</f>
        <v/>
      </c>
      <c r="AL47" s="155">
        <f>CashFlow!AK33</f>
        <v/>
      </c>
      <c r="AM47" s="155">
        <f>CashFlow!AL33</f>
        <v/>
      </c>
      <c r="AN47" s="155">
        <f>CashFlow!AM33</f>
        <v/>
      </c>
      <c r="AO47" s="155">
        <f>CashFlow!AN33</f>
        <v/>
      </c>
      <c r="AP47" s="155">
        <f>CashFlow!AO33</f>
        <v/>
      </c>
      <c r="AQ47" s="155">
        <f>CashFlow!AP33</f>
        <v/>
      </c>
      <c r="AR47" s="155">
        <f>CashFlow!AQ33</f>
        <v/>
      </c>
      <c r="AS47" s="155">
        <f>CashFlow!AR33</f>
        <v/>
      </c>
      <c r="AT47" s="155">
        <f>CashFlow!AS33</f>
        <v/>
      </c>
      <c r="AU47" s="155">
        <f>CashFlow!AT33</f>
        <v/>
      </c>
      <c r="AV47" s="155">
        <f>CashFlow!AU33</f>
        <v/>
      </c>
      <c r="AW47" s="155">
        <f>CashFlow!AV33</f>
        <v/>
      </c>
      <c r="AX47" s="155">
        <f>CashFlow!AW33</f>
        <v/>
      </c>
      <c r="AY47" s="155">
        <f>CashFlow!AX33</f>
        <v/>
      </c>
      <c r="AZ47" s="155">
        <f>CashFlow!AY33</f>
        <v/>
      </c>
      <c r="BA47" s="155">
        <f>CashFlow!AZ33</f>
        <v/>
      </c>
      <c r="BB47" s="155">
        <f>CashFlow!BA33</f>
        <v/>
      </c>
    </row>
    <row r="48" ht="15" customHeight="1" s="91">
      <c r="B48" s="153" t="inlineStr">
        <is>
          <t>Land Rent  إيجار الأرض</t>
        </is>
      </c>
      <c r="C48" s="153" t="inlineStr">
        <is>
          <t>SAR</t>
        </is>
      </c>
      <c r="D48" s="157">
        <f>SUM(E48:BB48)</f>
        <v/>
      </c>
      <c r="E48" s="155">
        <f>CashFlow!D34</f>
        <v/>
      </c>
      <c r="F48" s="155">
        <f>CashFlow!E34</f>
        <v/>
      </c>
      <c r="G48" s="155">
        <f>CashFlow!F34</f>
        <v/>
      </c>
      <c r="H48" s="155">
        <f>CashFlow!G34</f>
        <v/>
      </c>
      <c r="I48" s="155">
        <f>CashFlow!H34</f>
        <v/>
      </c>
      <c r="J48" s="155">
        <f>CashFlow!I34</f>
        <v/>
      </c>
      <c r="K48" s="155">
        <f>CashFlow!J34</f>
        <v/>
      </c>
      <c r="L48" s="155">
        <f>CashFlow!K34</f>
        <v/>
      </c>
      <c r="M48" s="155">
        <f>CashFlow!L34</f>
        <v/>
      </c>
      <c r="N48" s="155">
        <f>CashFlow!M34</f>
        <v/>
      </c>
      <c r="O48" s="155">
        <f>CashFlow!N34</f>
        <v/>
      </c>
      <c r="P48" s="155">
        <f>CashFlow!O34</f>
        <v/>
      </c>
      <c r="Q48" s="155">
        <f>CashFlow!P34</f>
        <v/>
      </c>
      <c r="R48" s="155">
        <f>CashFlow!Q34</f>
        <v/>
      </c>
      <c r="S48" s="155">
        <f>CashFlow!R34</f>
        <v/>
      </c>
      <c r="T48" s="155">
        <f>CashFlow!S34</f>
        <v/>
      </c>
      <c r="U48" s="155">
        <f>CashFlow!T34</f>
        <v/>
      </c>
      <c r="V48" s="155">
        <f>CashFlow!U34</f>
        <v/>
      </c>
      <c r="W48" s="155">
        <f>CashFlow!V34</f>
        <v/>
      </c>
      <c r="X48" s="155">
        <f>CashFlow!W34</f>
        <v/>
      </c>
      <c r="Y48" s="155">
        <f>CashFlow!X34</f>
        <v/>
      </c>
      <c r="Z48" s="155">
        <f>CashFlow!Y34</f>
        <v/>
      </c>
      <c r="AA48" s="155">
        <f>CashFlow!Z34</f>
        <v/>
      </c>
      <c r="AB48" s="155">
        <f>CashFlow!AA34</f>
        <v/>
      </c>
      <c r="AC48" s="155">
        <f>CashFlow!AB34</f>
        <v/>
      </c>
      <c r="AD48" s="155">
        <f>CashFlow!AC34</f>
        <v/>
      </c>
      <c r="AE48" s="155">
        <f>CashFlow!AD34</f>
        <v/>
      </c>
      <c r="AF48" s="155">
        <f>CashFlow!AE34</f>
        <v/>
      </c>
      <c r="AG48" s="155">
        <f>CashFlow!AF34</f>
        <v/>
      </c>
      <c r="AH48" s="155">
        <f>CashFlow!AG34</f>
        <v/>
      </c>
      <c r="AI48" s="155">
        <f>CashFlow!AH34</f>
        <v/>
      </c>
      <c r="AJ48" s="155">
        <f>CashFlow!AI34</f>
        <v/>
      </c>
      <c r="AK48" s="155">
        <f>CashFlow!AJ34</f>
        <v/>
      </c>
      <c r="AL48" s="155">
        <f>CashFlow!AK34</f>
        <v/>
      </c>
      <c r="AM48" s="155">
        <f>CashFlow!AL34</f>
        <v/>
      </c>
      <c r="AN48" s="155">
        <f>CashFlow!AM34</f>
        <v/>
      </c>
      <c r="AO48" s="155">
        <f>CashFlow!AN34</f>
        <v/>
      </c>
      <c r="AP48" s="155">
        <f>CashFlow!AO34</f>
        <v/>
      </c>
      <c r="AQ48" s="155">
        <f>CashFlow!AP34</f>
        <v/>
      </c>
      <c r="AR48" s="155">
        <f>CashFlow!AQ34</f>
        <v/>
      </c>
      <c r="AS48" s="155">
        <f>CashFlow!AR34</f>
        <v/>
      </c>
      <c r="AT48" s="155">
        <f>CashFlow!AS34</f>
        <v/>
      </c>
      <c r="AU48" s="155">
        <f>CashFlow!AT34</f>
        <v/>
      </c>
      <c r="AV48" s="155">
        <f>CashFlow!AU34</f>
        <v/>
      </c>
      <c r="AW48" s="155">
        <f>CashFlow!AV34</f>
        <v/>
      </c>
      <c r="AX48" s="155">
        <f>CashFlow!AW34</f>
        <v/>
      </c>
      <c r="AY48" s="155">
        <f>CashFlow!AX34</f>
        <v/>
      </c>
      <c r="AZ48" s="155">
        <f>CashFlow!AY34</f>
        <v/>
      </c>
      <c r="BA48" s="155">
        <f>CashFlow!AZ34</f>
        <v/>
      </c>
      <c r="BB48" s="155">
        <f>CashFlow!BA34</f>
        <v/>
      </c>
    </row>
    <row r="49" ht="15" customHeight="1" s="91">
      <c r="B49" s="153" t="inlineStr">
        <is>
          <t>Development CAPEX  تكاليف التطوير</t>
        </is>
      </c>
      <c r="C49" s="153" t="inlineStr">
        <is>
          <t>SAR</t>
        </is>
      </c>
      <c r="D49" s="157">
        <f>SUM(E49:BB49)</f>
        <v/>
      </c>
      <c r="E49" s="155">
        <f>CashFlow!D35</f>
        <v/>
      </c>
      <c r="F49" s="155">
        <f>CashFlow!E35</f>
        <v/>
      </c>
      <c r="G49" s="155">
        <f>CashFlow!F35</f>
        <v/>
      </c>
      <c r="H49" s="155">
        <f>CashFlow!G35</f>
        <v/>
      </c>
      <c r="I49" s="155">
        <f>CashFlow!H35</f>
        <v/>
      </c>
      <c r="J49" s="155">
        <f>CashFlow!I35</f>
        <v/>
      </c>
      <c r="K49" s="155">
        <f>CashFlow!J35</f>
        <v/>
      </c>
      <c r="L49" s="155">
        <f>CashFlow!K35</f>
        <v/>
      </c>
      <c r="M49" s="155">
        <f>CashFlow!L35</f>
        <v/>
      </c>
      <c r="N49" s="155">
        <f>CashFlow!M35</f>
        <v/>
      </c>
      <c r="O49" s="155">
        <f>CashFlow!N35</f>
        <v/>
      </c>
      <c r="P49" s="155">
        <f>CashFlow!O35</f>
        <v/>
      </c>
      <c r="Q49" s="155">
        <f>CashFlow!P35</f>
        <v/>
      </c>
      <c r="R49" s="155">
        <f>CashFlow!Q35</f>
        <v/>
      </c>
      <c r="S49" s="155">
        <f>CashFlow!R35</f>
        <v/>
      </c>
      <c r="T49" s="155">
        <f>CashFlow!S35</f>
        <v/>
      </c>
      <c r="U49" s="155">
        <f>CashFlow!T35</f>
        <v/>
      </c>
      <c r="V49" s="155">
        <f>CashFlow!U35</f>
        <v/>
      </c>
      <c r="W49" s="155">
        <f>CashFlow!V35</f>
        <v/>
      </c>
      <c r="X49" s="155">
        <f>CashFlow!W35</f>
        <v/>
      </c>
      <c r="Y49" s="155">
        <f>CashFlow!X35</f>
        <v/>
      </c>
      <c r="Z49" s="155">
        <f>CashFlow!Y35</f>
        <v/>
      </c>
      <c r="AA49" s="155">
        <f>CashFlow!Z35</f>
        <v/>
      </c>
      <c r="AB49" s="155">
        <f>CashFlow!AA35</f>
        <v/>
      </c>
      <c r="AC49" s="155">
        <f>CashFlow!AB35</f>
        <v/>
      </c>
      <c r="AD49" s="155">
        <f>CashFlow!AC35</f>
        <v/>
      </c>
      <c r="AE49" s="155">
        <f>CashFlow!AD35</f>
        <v/>
      </c>
      <c r="AF49" s="155">
        <f>CashFlow!AE35</f>
        <v/>
      </c>
      <c r="AG49" s="155">
        <f>CashFlow!AF35</f>
        <v/>
      </c>
      <c r="AH49" s="155">
        <f>CashFlow!AG35</f>
        <v/>
      </c>
      <c r="AI49" s="155">
        <f>CashFlow!AH35</f>
        <v/>
      </c>
      <c r="AJ49" s="155">
        <f>CashFlow!AI35</f>
        <v/>
      </c>
      <c r="AK49" s="155">
        <f>CashFlow!AJ35</f>
        <v/>
      </c>
      <c r="AL49" s="155">
        <f>CashFlow!AK35</f>
        <v/>
      </c>
      <c r="AM49" s="155">
        <f>CashFlow!AL35</f>
        <v/>
      </c>
      <c r="AN49" s="155">
        <f>CashFlow!AM35</f>
        <v/>
      </c>
      <c r="AO49" s="155">
        <f>CashFlow!AN35</f>
        <v/>
      </c>
      <c r="AP49" s="155">
        <f>CashFlow!AO35</f>
        <v/>
      </c>
      <c r="AQ49" s="155">
        <f>CashFlow!AP35</f>
        <v/>
      </c>
      <c r="AR49" s="155">
        <f>CashFlow!AQ35</f>
        <v/>
      </c>
      <c r="AS49" s="155">
        <f>CashFlow!AR35</f>
        <v/>
      </c>
      <c r="AT49" s="155">
        <f>CashFlow!AS35</f>
        <v/>
      </c>
      <c r="AU49" s="155">
        <f>CashFlow!AT35</f>
        <v/>
      </c>
      <c r="AV49" s="155">
        <f>CashFlow!AU35</f>
        <v/>
      </c>
      <c r="AW49" s="155">
        <f>CashFlow!AV35</f>
        <v/>
      </c>
      <c r="AX49" s="155">
        <f>CashFlow!AW35</f>
        <v/>
      </c>
      <c r="AY49" s="155">
        <f>CashFlow!AX35</f>
        <v/>
      </c>
      <c r="AZ49" s="155">
        <f>CashFlow!AY35</f>
        <v/>
      </c>
      <c r="BA49" s="155">
        <f>CashFlow!AZ35</f>
        <v/>
      </c>
      <c r="BB49" s="155">
        <f>CashFlow!BA35</f>
        <v/>
      </c>
    </row>
    <row r="50" ht="15" customHeight="1" s="91">
      <c r="B50" s="110" t="inlineStr">
        <is>
          <t>Net Project CF (Unlevered)</t>
        </is>
      </c>
      <c r="C50" s="153" t="inlineStr">
        <is>
          <t>SAR</t>
        </is>
      </c>
      <c r="D50" s="157">
        <f>SUM(E50:BB50)</f>
        <v/>
      </c>
      <c r="E50" s="157">
        <f>E47+E48+E49</f>
        <v/>
      </c>
      <c r="F50" s="157">
        <f>F47+F48+F49</f>
        <v/>
      </c>
      <c r="G50" s="157">
        <f>G47+G48+G49</f>
        <v/>
      </c>
      <c r="H50" s="157">
        <f>H47+H48+H49</f>
        <v/>
      </c>
      <c r="I50" s="157">
        <f>I47+I48+I49</f>
        <v/>
      </c>
      <c r="J50" s="157">
        <f>J47+J48+J49</f>
        <v/>
      </c>
      <c r="K50" s="157">
        <f>K47+K48+K49</f>
        <v/>
      </c>
      <c r="L50" s="157">
        <f>L47+L48+L49</f>
        <v/>
      </c>
      <c r="M50" s="157">
        <f>M47+M48+M49</f>
        <v/>
      </c>
      <c r="N50" s="157">
        <f>N47+N48+N49</f>
        <v/>
      </c>
      <c r="O50" s="157">
        <f>O47+O48+O49</f>
        <v/>
      </c>
      <c r="P50" s="157">
        <f>P47+P48+P49</f>
        <v/>
      </c>
      <c r="Q50" s="157">
        <f>Q47+Q48+Q49</f>
        <v/>
      </c>
      <c r="R50" s="157">
        <f>R47+R48+R49</f>
        <v/>
      </c>
      <c r="S50" s="157">
        <f>S47+S48+S49</f>
        <v/>
      </c>
      <c r="T50" s="157">
        <f>T47+T48+T49</f>
        <v/>
      </c>
      <c r="U50" s="157">
        <f>U47+U48+U49</f>
        <v/>
      </c>
      <c r="V50" s="157">
        <f>V47+V48+V49</f>
        <v/>
      </c>
      <c r="W50" s="157">
        <f>W47+W48+W49</f>
        <v/>
      </c>
      <c r="X50" s="157">
        <f>X47+X48+X49</f>
        <v/>
      </c>
      <c r="Y50" s="157">
        <f>Y47+Y48+Y49</f>
        <v/>
      </c>
      <c r="Z50" s="157">
        <f>Z47+Z48+Z49</f>
        <v/>
      </c>
      <c r="AA50" s="157">
        <f>AA47+AA48+AA49</f>
        <v/>
      </c>
      <c r="AB50" s="157">
        <f>AB47+AB48+AB49</f>
        <v/>
      </c>
      <c r="AC50" s="157">
        <f>AC47+AC48+AC49</f>
        <v/>
      </c>
      <c r="AD50" s="157">
        <f>AD47+AD48+AD49</f>
        <v/>
      </c>
      <c r="AE50" s="157">
        <f>AE47+AE48+AE49</f>
        <v/>
      </c>
      <c r="AF50" s="157">
        <f>AF47+AF48+AF49</f>
        <v/>
      </c>
      <c r="AG50" s="157">
        <f>AG47+AG48+AG49</f>
        <v/>
      </c>
      <c r="AH50" s="157">
        <f>AH47+AH48+AH49</f>
        <v/>
      </c>
      <c r="AI50" s="157">
        <f>AI47+AI48+AI49</f>
        <v/>
      </c>
      <c r="AJ50" s="157">
        <f>AJ47+AJ48+AJ49</f>
        <v/>
      </c>
      <c r="AK50" s="157">
        <f>AK47+AK48+AK49</f>
        <v/>
      </c>
      <c r="AL50" s="157">
        <f>AL47+AL48+AL49</f>
        <v/>
      </c>
      <c r="AM50" s="157">
        <f>AM47+AM48+AM49</f>
        <v/>
      </c>
      <c r="AN50" s="157">
        <f>AN47+AN48+AN49</f>
        <v/>
      </c>
      <c r="AO50" s="157">
        <f>AO47+AO48+AO49</f>
        <v/>
      </c>
      <c r="AP50" s="157">
        <f>AP47+AP48+AP49</f>
        <v/>
      </c>
      <c r="AQ50" s="157">
        <f>AQ47+AQ48+AQ49</f>
        <v/>
      </c>
      <c r="AR50" s="157">
        <f>AR47+AR48+AR49</f>
        <v/>
      </c>
      <c r="AS50" s="157">
        <f>AS47+AS48+AS49</f>
        <v/>
      </c>
      <c r="AT50" s="157">
        <f>AT47+AT48+AT49</f>
        <v/>
      </c>
      <c r="AU50" s="157">
        <f>AU47+AU48+AU49</f>
        <v/>
      </c>
      <c r="AV50" s="157">
        <f>AV47+AV48+AV49</f>
        <v/>
      </c>
      <c r="AW50" s="157">
        <f>AW47+AW48+AW49</f>
        <v/>
      </c>
      <c r="AX50" s="157">
        <f>AX47+AX48+AX49</f>
        <v/>
      </c>
      <c r="AY50" s="157">
        <f>AY47+AY48+AY49</f>
        <v/>
      </c>
      <c r="AZ50" s="157">
        <f>AZ47+AZ48+AZ49</f>
        <v/>
      </c>
      <c r="BA50" s="157">
        <f>BA47+BA48+BA49</f>
        <v/>
      </c>
      <c r="BB50" s="157">
        <f>BB47+BB48+BB49</f>
        <v/>
      </c>
    </row>
    <row r="51" ht="15" customHeight="1" s="91">
      <c r="B51" s="153" t="inlineStr">
        <is>
          <t>Exit Proceeds  حصيلة التخارج</t>
        </is>
      </c>
      <c r="C51" s="153" t="inlineStr">
        <is>
          <t>SAR</t>
        </is>
      </c>
      <c r="D51" s="157">
        <f>SUM(E51:BB51)</f>
        <v/>
      </c>
      <c r="E51" s="160">
        <f>IF(E$46=$C$41,IF($C$44="Sale",E47*$C$42*(1-$C$43),E47/$C$45*(1-$C$43)),0)</f>
        <v/>
      </c>
      <c r="F51" s="160">
        <f>IF(F$46=$C$41,IF($C$44="Sale",F47*$C$42*(1-$C$43),F47/$C$45*(1-$C$43)),0)</f>
        <v/>
      </c>
      <c r="G51" s="160">
        <f>IF(G$46=$C$41,IF($C$44="Sale",G47*$C$42*(1-$C$43),G47/$C$45*(1-$C$43)),0)</f>
        <v/>
      </c>
      <c r="H51" s="160">
        <f>IF(H$46=$C$41,IF($C$44="Sale",H47*$C$42*(1-$C$43),H47/$C$45*(1-$C$43)),0)</f>
        <v/>
      </c>
      <c r="I51" s="160">
        <f>IF(I$46=$C$41,IF($C$44="Sale",I47*$C$42*(1-$C$43),I47/$C$45*(1-$C$43)),0)</f>
        <v/>
      </c>
      <c r="J51" s="160">
        <f>IF(J$46=$C$41,IF($C$44="Sale",J47*$C$42*(1-$C$43),J47/$C$45*(1-$C$43)),0)</f>
        <v/>
      </c>
      <c r="K51" s="160">
        <f>IF(K$46=$C$41,IF($C$44="Sale",K47*$C$42*(1-$C$43),K47/$C$45*(1-$C$43)),0)</f>
        <v/>
      </c>
      <c r="L51" s="160">
        <f>IF(L$46=$C$41,IF($C$44="Sale",L47*$C$42*(1-$C$43),L47/$C$45*(1-$C$43)),0)</f>
        <v/>
      </c>
      <c r="M51" s="160">
        <f>IF(M$46=$C$41,IF($C$44="Sale",M47*$C$42*(1-$C$43),M47/$C$45*(1-$C$43)),0)</f>
        <v/>
      </c>
      <c r="N51" s="160">
        <f>IF(N$46=$C$41,IF($C$44="Sale",N47*$C$42*(1-$C$43),N47/$C$45*(1-$C$43)),0)</f>
        <v/>
      </c>
      <c r="O51" s="160">
        <f>IF(O$46=$C$41,IF($C$44="Sale",O47*$C$42*(1-$C$43),O47/$C$45*(1-$C$43)),0)</f>
        <v/>
      </c>
      <c r="P51" s="160">
        <f>IF(P$46=$C$41,IF($C$44="Sale",P47*$C$42*(1-$C$43),P47/$C$45*(1-$C$43)),0)</f>
        <v/>
      </c>
      <c r="Q51" s="160">
        <f>IF(Q$46=$C$41,IF($C$44="Sale",Q47*$C$42*(1-$C$43),Q47/$C$45*(1-$C$43)),0)</f>
        <v/>
      </c>
      <c r="R51" s="160">
        <f>IF(R$46=$C$41,IF($C$44="Sale",R47*$C$42*(1-$C$43),R47/$C$45*(1-$C$43)),0)</f>
        <v/>
      </c>
      <c r="S51" s="160">
        <f>IF(S$46=$C$41,IF($C$44="Sale",S47*$C$42*(1-$C$43),S47/$C$45*(1-$C$43)),0)</f>
        <v/>
      </c>
      <c r="T51" s="160">
        <f>IF(T$46=$C$41,IF($C$44="Sale",T47*$C$42*(1-$C$43),T47/$C$45*(1-$C$43)),0)</f>
        <v/>
      </c>
      <c r="U51" s="160">
        <f>IF(U$46=$C$41,IF($C$44="Sale",U47*$C$42*(1-$C$43),U47/$C$45*(1-$C$43)),0)</f>
        <v/>
      </c>
      <c r="V51" s="160">
        <f>IF(V$46=$C$41,IF($C$44="Sale",V47*$C$42*(1-$C$43),V47/$C$45*(1-$C$43)),0)</f>
        <v/>
      </c>
      <c r="W51" s="160">
        <f>IF(W$46=$C$41,IF($C$44="Sale",W47*$C$42*(1-$C$43),W47/$C$45*(1-$C$43)),0)</f>
        <v/>
      </c>
      <c r="X51" s="160">
        <f>IF(X$46=$C$41,IF($C$44="Sale",X47*$C$42*(1-$C$43),X47/$C$45*(1-$C$43)),0)</f>
        <v/>
      </c>
      <c r="Y51" s="160">
        <f>IF(Y$46=$C$41,IF($C$44="Sale",Y47*$C$42*(1-$C$43),Y47/$C$45*(1-$C$43)),0)</f>
        <v/>
      </c>
      <c r="Z51" s="160">
        <f>IF(Z$46=$C$41,IF($C$44="Sale",Z47*$C$42*(1-$C$43),Z47/$C$45*(1-$C$43)),0)</f>
        <v/>
      </c>
      <c r="AA51" s="160">
        <f>IF(AA$46=$C$41,IF($C$44="Sale",AA47*$C$42*(1-$C$43),AA47/$C$45*(1-$C$43)),0)</f>
        <v/>
      </c>
      <c r="AB51" s="160">
        <f>IF(AB$46=$C$41,IF($C$44="Sale",AB47*$C$42*(1-$C$43),AB47/$C$45*(1-$C$43)),0)</f>
        <v/>
      </c>
      <c r="AC51" s="160">
        <f>IF(AC$46=$C$41,IF($C$44="Sale",AC47*$C$42*(1-$C$43),AC47/$C$45*(1-$C$43)),0)</f>
        <v/>
      </c>
      <c r="AD51" s="160">
        <f>IF(AD$46=$C$41,IF($C$44="Sale",AD47*$C$42*(1-$C$43),AD47/$C$45*(1-$C$43)),0)</f>
        <v/>
      </c>
      <c r="AE51" s="160">
        <f>IF(AE$46=$C$41,IF($C$44="Sale",AE47*$C$42*(1-$C$43),AE47/$C$45*(1-$C$43)),0)</f>
        <v/>
      </c>
      <c r="AF51" s="160">
        <f>IF(AF$46=$C$41,IF($C$44="Sale",AF47*$C$42*(1-$C$43),AF47/$C$45*(1-$C$43)),0)</f>
        <v/>
      </c>
      <c r="AG51" s="160">
        <f>IF(AG$46=$C$41,IF($C$44="Sale",AG47*$C$42*(1-$C$43),AG47/$C$45*(1-$C$43)),0)</f>
        <v/>
      </c>
      <c r="AH51" s="160">
        <f>IF(AH$46=$C$41,IF($C$44="Sale",AH47*$C$42*(1-$C$43),AH47/$C$45*(1-$C$43)),0)</f>
        <v/>
      </c>
      <c r="AI51" s="160">
        <f>IF(AI$46=$C$41,IF($C$44="Sale",AI47*$C$42*(1-$C$43),AI47/$C$45*(1-$C$43)),0)</f>
        <v/>
      </c>
      <c r="AJ51" s="160">
        <f>IF(AJ$46=$C$41,IF($C$44="Sale",AJ47*$C$42*(1-$C$43),AJ47/$C$45*(1-$C$43)),0)</f>
        <v/>
      </c>
      <c r="AK51" s="160">
        <f>IF(AK$46=$C$41,IF($C$44="Sale",AK47*$C$42*(1-$C$43),AK47/$C$45*(1-$C$43)),0)</f>
        <v/>
      </c>
      <c r="AL51" s="160">
        <f>IF(AL$46=$C$41,IF($C$44="Sale",AL47*$C$42*(1-$C$43),AL47/$C$45*(1-$C$43)),0)</f>
        <v/>
      </c>
      <c r="AM51" s="160">
        <f>IF(AM$46=$C$41,IF($C$44="Sale",AM47*$C$42*(1-$C$43),AM47/$C$45*(1-$C$43)),0)</f>
        <v/>
      </c>
      <c r="AN51" s="160">
        <f>IF(AN$46=$C$41,IF($C$44="Sale",AN47*$C$42*(1-$C$43),AN47/$C$45*(1-$C$43)),0)</f>
        <v/>
      </c>
      <c r="AO51" s="160">
        <f>IF(AO$46=$C$41,IF($C$44="Sale",AO47*$C$42*(1-$C$43),AO47/$C$45*(1-$C$43)),0)</f>
        <v/>
      </c>
      <c r="AP51" s="160">
        <f>IF(AP$46=$C$41,IF($C$44="Sale",AP47*$C$42*(1-$C$43),AP47/$C$45*(1-$C$43)),0)</f>
        <v/>
      </c>
      <c r="AQ51" s="160">
        <f>IF(AQ$46=$C$41,IF($C$44="Sale",AQ47*$C$42*(1-$C$43),AQ47/$C$45*(1-$C$43)),0)</f>
        <v/>
      </c>
      <c r="AR51" s="160">
        <f>IF(AR$46=$C$41,IF($C$44="Sale",AR47*$C$42*(1-$C$43),AR47/$C$45*(1-$C$43)),0)</f>
        <v/>
      </c>
      <c r="AS51" s="160">
        <f>IF(AS$46=$C$41,IF($C$44="Sale",AS47*$C$42*(1-$C$43),AS47/$C$45*(1-$C$43)),0)</f>
        <v/>
      </c>
      <c r="AT51" s="160">
        <f>IF(AT$46=$C$41,IF($C$44="Sale",AT47*$C$42*(1-$C$43),AT47/$C$45*(1-$C$43)),0)</f>
        <v/>
      </c>
      <c r="AU51" s="160">
        <f>IF(AU$46=$C$41,IF($C$44="Sale",AU47*$C$42*(1-$C$43),AU47/$C$45*(1-$C$43)),0)</f>
        <v/>
      </c>
      <c r="AV51" s="160">
        <f>IF(AV$46=$C$41,IF($C$44="Sale",AV47*$C$42*(1-$C$43),AV47/$C$45*(1-$C$43)),0)</f>
        <v/>
      </c>
      <c r="AW51" s="160">
        <f>IF(AW$46=$C$41,IF($C$44="Sale",AW47*$C$42*(1-$C$43),AW47/$C$45*(1-$C$43)),0)</f>
        <v/>
      </c>
      <c r="AX51" s="160">
        <f>IF(AX$46=$C$41,IF($C$44="Sale",AX47*$C$42*(1-$C$43),AX47/$C$45*(1-$C$43)),0)</f>
        <v/>
      </c>
      <c r="AY51" s="160">
        <f>IF(AY$46=$C$41,IF($C$44="Sale",AY47*$C$42*(1-$C$43),AY47/$C$45*(1-$C$43)),0)</f>
        <v/>
      </c>
      <c r="AZ51" s="160">
        <f>IF(AZ$46=$C$41,IF($C$44="Sale",AZ47*$C$42*(1-$C$43),AZ47/$C$45*(1-$C$43)),0)</f>
        <v/>
      </c>
      <c r="BA51" s="160">
        <f>IF(BA$46=$C$41,IF($C$44="Sale",BA47*$C$42*(1-$C$43),BA47/$C$45*(1-$C$43)),0)</f>
        <v/>
      </c>
      <c r="BB51" s="160">
        <f>IF(BB$46=$C$41,IF($C$44="Sale",BB47*$C$42*(1-$C$43),BB47/$C$45*(1-$C$43)),0)</f>
        <v/>
      </c>
    </row>
    <row r="52" ht="15" customHeight="1" s="91">
      <c r="B52" s="153" t="inlineStr">
        <is>
          <t>Unlevered CF (incl. Exit)  التدفق شامل التخارج</t>
        </is>
      </c>
      <c r="C52" s="153" t="inlineStr">
        <is>
          <t>SAR</t>
        </is>
      </c>
      <c r="D52" s="157">
        <f>SUM(E52:BB52)</f>
        <v/>
      </c>
      <c r="E52" s="160">
        <f>IF(AND(E$46&gt;=$C$9,E$46&lt;=$C$41),E50+E51,0)</f>
        <v/>
      </c>
      <c r="F52" s="160">
        <f>IF(AND(F$46&gt;=$C$9,F$46&lt;=$C$41),F50+F51,0)</f>
        <v/>
      </c>
      <c r="G52" s="160">
        <f>IF(AND(G$46&gt;=$C$9,G$46&lt;=$C$41),G50+G51,0)</f>
        <v/>
      </c>
      <c r="H52" s="160">
        <f>IF(AND(H$46&gt;=$C$9,H$46&lt;=$C$41),H50+H51,0)</f>
        <v/>
      </c>
      <c r="I52" s="160">
        <f>IF(AND(I$46&gt;=$C$9,I$46&lt;=$C$41),I50+I51,0)</f>
        <v/>
      </c>
      <c r="J52" s="160">
        <f>IF(AND(J$46&gt;=$C$9,J$46&lt;=$C$41),J50+J51,0)</f>
        <v/>
      </c>
      <c r="K52" s="160">
        <f>IF(AND(K$46&gt;=$C$9,K$46&lt;=$C$41),K50+K51,0)</f>
        <v/>
      </c>
      <c r="L52" s="160">
        <f>IF(AND(L$46&gt;=$C$9,L$46&lt;=$C$41),L50+L51,0)</f>
        <v/>
      </c>
      <c r="M52" s="160">
        <f>IF(AND(M$46&gt;=$C$9,M$46&lt;=$C$41),M50+M51,0)</f>
        <v/>
      </c>
      <c r="N52" s="160">
        <f>IF(AND(N$46&gt;=$C$9,N$46&lt;=$C$41),N50+N51,0)</f>
        <v/>
      </c>
      <c r="O52" s="160">
        <f>IF(AND(O$46&gt;=$C$9,O$46&lt;=$C$41),O50+O51,0)</f>
        <v/>
      </c>
      <c r="P52" s="160">
        <f>IF(AND(P$46&gt;=$C$9,P$46&lt;=$C$41),P50+P51,0)</f>
        <v/>
      </c>
      <c r="Q52" s="160">
        <f>IF(AND(Q$46&gt;=$C$9,Q$46&lt;=$C$41),Q50+Q51,0)</f>
        <v/>
      </c>
      <c r="R52" s="160">
        <f>IF(AND(R$46&gt;=$C$9,R$46&lt;=$C$41),R50+R51,0)</f>
        <v/>
      </c>
      <c r="S52" s="160">
        <f>IF(AND(S$46&gt;=$C$9,S$46&lt;=$C$41),S50+S51,0)</f>
        <v/>
      </c>
      <c r="T52" s="160">
        <f>IF(AND(T$46&gt;=$C$9,T$46&lt;=$C$41),T50+T51,0)</f>
        <v/>
      </c>
      <c r="U52" s="160">
        <f>IF(AND(U$46&gt;=$C$9,U$46&lt;=$C$41),U50+U51,0)</f>
        <v/>
      </c>
      <c r="V52" s="160">
        <f>IF(AND(V$46&gt;=$C$9,V$46&lt;=$C$41),V50+V51,0)</f>
        <v/>
      </c>
      <c r="W52" s="160">
        <f>IF(AND(W$46&gt;=$C$9,W$46&lt;=$C$41),W50+W51,0)</f>
        <v/>
      </c>
      <c r="X52" s="160">
        <f>IF(AND(X$46&gt;=$C$9,X$46&lt;=$C$41),X50+X51,0)</f>
        <v/>
      </c>
      <c r="Y52" s="160">
        <f>IF(AND(Y$46&gt;=$C$9,Y$46&lt;=$C$41),Y50+Y51,0)</f>
        <v/>
      </c>
      <c r="Z52" s="160">
        <f>IF(AND(Z$46&gt;=$C$9,Z$46&lt;=$C$41),Z50+Z51,0)</f>
        <v/>
      </c>
      <c r="AA52" s="160">
        <f>IF(AND(AA$46&gt;=$C$9,AA$46&lt;=$C$41),AA50+AA51,0)</f>
        <v/>
      </c>
      <c r="AB52" s="160">
        <f>IF(AND(AB$46&gt;=$C$9,AB$46&lt;=$C$41),AB50+AB51,0)</f>
        <v/>
      </c>
      <c r="AC52" s="160">
        <f>IF(AND(AC$46&gt;=$C$9,AC$46&lt;=$C$41),AC50+AC51,0)</f>
        <v/>
      </c>
      <c r="AD52" s="160">
        <f>IF(AND(AD$46&gt;=$C$9,AD$46&lt;=$C$41),AD50+AD51,0)</f>
        <v/>
      </c>
      <c r="AE52" s="160">
        <f>IF(AND(AE$46&gt;=$C$9,AE$46&lt;=$C$41),AE50+AE51,0)</f>
        <v/>
      </c>
      <c r="AF52" s="160">
        <f>IF(AND(AF$46&gt;=$C$9,AF$46&lt;=$C$41),AF50+AF51,0)</f>
        <v/>
      </c>
      <c r="AG52" s="160">
        <f>IF(AND(AG$46&gt;=$C$9,AG$46&lt;=$C$41),AG50+AG51,0)</f>
        <v/>
      </c>
      <c r="AH52" s="160">
        <f>IF(AND(AH$46&gt;=$C$9,AH$46&lt;=$C$41),AH50+AH51,0)</f>
        <v/>
      </c>
      <c r="AI52" s="160">
        <f>IF(AND(AI$46&gt;=$C$9,AI$46&lt;=$C$41),AI50+AI51,0)</f>
        <v/>
      </c>
      <c r="AJ52" s="160">
        <f>IF(AND(AJ$46&gt;=$C$9,AJ$46&lt;=$C$41),AJ50+AJ51,0)</f>
        <v/>
      </c>
      <c r="AK52" s="160">
        <f>IF(AND(AK$46&gt;=$C$9,AK$46&lt;=$C$41),AK50+AK51,0)</f>
        <v/>
      </c>
      <c r="AL52" s="160">
        <f>IF(AND(AL$46&gt;=$C$9,AL$46&lt;=$C$41),AL50+AL51,0)</f>
        <v/>
      </c>
      <c r="AM52" s="160">
        <f>IF(AND(AM$46&gt;=$C$9,AM$46&lt;=$C$41),AM50+AM51,0)</f>
        <v/>
      </c>
      <c r="AN52" s="160">
        <f>IF(AND(AN$46&gt;=$C$9,AN$46&lt;=$C$41),AN50+AN51,0)</f>
        <v/>
      </c>
      <c r="AO52" s="160">
        <f>IF(AND(AO$46&gt;=$C$9,AO$46&lt;=$C$41),AO50+AO51,0)</f>
        <v/>
      </c>
      <c r="AP52" s="160">
        <f>IF(AND(AP$46&gt;=$C$9,AP$46&lt;=$C$41),AP50+AP51,0)</f>
        <v/>
      </c>
      <c r="AQ52" s="160">
        <f>IF(AND(AQ$46&gt;=$C$9,AQ$46&lt;=$C$41),AQ50+AQ51,0)</f>
        <v/>
      </c>
      <c r="AR52" s="160">
        <f>IF(AND(AR$46&gt;=$C$9,AR$46&lt;=$C$41),AR50+AR51,0)</f>
        <v/>
      </c>
      <c r="AS52" s="160">
        <f>IF(AND(AS$46&gt;=$C$9,AS$46&lt;=$C$41),AS50+AS51,0)</f>
        <v/>
      </c>
      <c r="AT52" s="160">
        <f>IF(AND(AT$46&gt;=$C$9,AT$46&lt;=$C$41),AT50+AT51,0)</f>
        <v/>
      </c>
      <c r="AU52" s="160">
        <f>IF(AND(AU$46&gt;=$C$9,AU$46&lt;=$C$41),AU50+AU51,0)</f>
        <v/>
      </c>
      <c r="AV52" s="160">
        <f>IF(AND(AV$46&gt;=$C$9,AV$46&lt;=$C$41),AV50+AV51,0)</f>
        <v/>
      </c>
      <c r="AW52" s="160">
        <f>IF(AND(AW$46&gt;=$C$9,AW$46&lt;=$C$41),AW50+AW51,0)</f>
        <v/>
      </c>
      <c r="AX52" s="160">
        <f>IF(AND(AX$46&gt;=$C$9,AX$46&lt;=$C$41),AX50+AX51,0)</f>
        <v/>
      </c>
      <c r="AY52" s="160">
        <f>IF(AND(AY$46&gt;=$C$9,AY$46&lt;=$C$41),AY50+AY51,0)</f>
        <v/>
      </c>
      <c r="AZ52" s="160">
        <f>IF(AND(AZ$46&gt;=$C$9,AZ$46&lt;=$C$41),AZ50+AZ51,0)</f>
        <v/>
      </c>
      <c r="BA52" s="160">
        <f>IF(AND(BA$46&gt;=$C$9,BA$46&lt;=$C$41),BA50+BA51,0)</f>
        <v/>
      </c>
      <c r="BB52" s="160">
        <f>IF(AND(BB$46&gt;=$C$9,BB$46&lt;=$C$41),BB50+BB51,0)</f>
        <v/>
      </c>
    </row>
    <row r="53">
      <c r="B53" t="inlineStr">
        <is>
          <t>(helper: single repay)</t>
        </is>
      </c>
      <c r="D53">
        <f>SUM(E53:BB53)</f>
        <v/>
      </c>
      <c r="E53">
        <f>IF(AND($C$22="Y",(E$46-$C$9+1)&gt;$C$26,E58&gt;0),-MIN(E58,$C$19/$C$27),0)</f>
        <v/>
      </c>
      <c r="F53">
        <f>IF(AND($C$22="Y",(F$46-$C$9+1)&gt;$C$26,F58&gt;0),-MIN(F58,$C$19/$C$27),0)</f>
        <v/>
      </c>
      <c r="G53">
        <f>IF(AND($C$22="Y",(G$46-$C$9+1)&gt;$C$26,G58&gt;0),-MIN(G58,$C$19/$C$27),0)</f>
        <v/>
      </c>
      <c r="H53">
        <f>IF(AND($C$22="Y",(H$46-$C$9+1)&gt;$C$26,H58&gt;0),-MIN(H58,$C$19/$C$27),0)</f>
        <v/>
      </c>
      <c r="I53">
        <f>IF(AND($C$22="Y",(I$46-$C$9+1)&gt;$C$26,I58&gt;0),-MIN(I58,$C$19/$C$27),0)</f>
        <v/>
      </c>
      <c r="J53">
        <f>IF(AND($C$22="Y",(J$46-$C$9+1)&gt;$C$26,J58&gt;0),-MIN(J58,$C$19/$C$27),0)</f>
        <v/>
      </c>
      <c r="K53">
        <f>IF(AND($C$22="Y",(K$46-$C$9+1)&gt;$C$26,K58&gt;0),-MIN(K58,$C$19/$C$27),0)</f>
        <v/>
      </c>
      <c r="L53">
        <f>IF(AND($C$22="Y",(L$46-$C$9+1)&gt;$C$26,L58&gt;0),-MIN(L58,$C$19/$C$27),0)</f>
        <v/>
      </c>
      <c r="M53">
        <f>IF(AND($C$22="Y",(M$46-$C$9+1)&gt;$C$26,M58&gt;0),-MIN(M58,$C$19/$C$27),0)</f>
        <v/>
      </c>
      <c r="N53">
        <f>IF(AND($C$22="Y",(N$46-$C$9+1)&gt;$C$26,N58&gt;0),-MIN(N58,$C$19/$C$27),0)</f>
        <v/>
      </c>
      <c r="O53">
        <f>IF(AND($C$22="Y",(O$46-$C$9+1)&gt;$C$26,O58&gt;0),-MIN(O58,$C$19/$C$27),0)</f>
        <v/>
      </c>
      <c r="P53">
        <f>IF(AND($C$22="Y",(P$46-$C$9+1)&gt;$C$26,P58&gt;0),-MIN(P58,$C$19/$C$27),0)</f>
        <v/>
      </c>
      <c r="Q53">
        <f>IF(AND($C$22="Y",(Q$46-$C$9+1)&gt;$C$26,Q58&gt;0),-MIN(Q58,$C$19/$C$27),0)</f>
        <v/>
      </c>
      <c r="R53">
        <f>IF(AND($C$22="Y",(R$46-$C$9+1)&gt;$C$26,R58&gt;0),-MIN(R58,$C$19/$C$27),0)</f>
        <v/>
      </c>
      <c r="S53">
        <f>IF(AND($C$22="Y",(S$46-$C$9+1)&gt;$C$26,S58&gt;0),-MIN(S58,$C$19/$C$27),0)</f>
        <v/>
      </c>
      <c r="T53">
        <f>IF(AND($C$22="Y",(T$46-$C$9+1)&gt;$C$26,T58&gt;0),-MIN(T58,$C$19/$C$27),0)</f>
        <v/>
      </c>
      <c r="U53">
        <f>IF(AND($C$22="Y",(U$46-$C$9+1)&gt;$C$26,U58&gt;0),-MIN(U58,$C$19/$C$27),0)</f>
        <v/>
      </c>
      <c r="V53">
        <f>IF(AND($C$22="Y",(V$46-$C$9+1)&gt;$C$26,V58&gt;0),-MIN(V58,$C$19/$C$27),0)</f>
        <v/>
      </c>
      <c r="W53">
        <f>IF(AND($C$22="Y",(W$46-$C$9+1)&gt;$C$26,W58&gt;0),-MIN(W58,$C$19/$C$27),0)</f>
        <v/>
      </c>
      <c r="X53">
        <f>IF(AND($C$22="Y",(X$46-$C$9+1)&gt;$C$26,X58&gt;0),-MIN(X58,$C$19/$C$27),0)</f>
        <v/>
      </c>
      <c r="Y53">
        <f>IF(AND($C$22="Y",(Y$46-$C$9+1)&gt;$C$26,Y58&gt;0),-MIN(Y58,$C$19/$C$27),0)</f>
        <v/>
      </c>
      <c r="Z53">
        <f>IF(AND($C$22="Y",(Z$46-$C$9+1)&gt;$C$26,Z58&gt;0),-MIN(Z58,$C$19/$C$27),0)</f>
        <v/>
      </c>
      <c r="AA53">
        <f>IF(AND($C$22="Y",(AA$46-$C$9+1)&gt;$C$26,AA58&gt;0),-MIN(AA58,$C$19/$C$27),0)</f>
        <v/>
      </c>
      <c r="AB53">
        <f>IF(AND($C$22="Y",(AB$46-$C$9+1)&gt;$C$26,AB58&gt;0),-MIN(AB58,$C$19/$C$27),0)</f>
        <v/>
      </c>
      <c r="AC53">
        <f>IF(AND($C$22="Y",(AC$46-$C$9+1)&gt;$C$26,AC58&gt;0),-MIN(AC58,$C$19/$C$27),0)</f>
        <v/>
      </c>
      <c r="AD53">
        <f>IF(AND($C$22="Y",(AD$46-$C$9+1)&gt;$C$26,AD58&gt;0),-MIN(AD58,$C$19/$C$27),0)</f>
        <v/>
      </c>
      <c r="AE53">
        <f>IF(AND($C$22="Y",(AE$46-$C$9+1)&gt;$C$26,AE58&gt;0),-MIN(AE58,$C$19/$C$27),0)</f>
        <v/>
      </c>
      <c r="AF53">
        <f>IF(AND($C$22="Y",(AF$46-$C$9+1)&gt;$C$26,AF58&gt;0),-MIN(AF58,$C$19/$C$27),0)</f>
        <v/>
      </c>
      <c r="AG53">
        <f>IF(AND($C$22="Y",(AG$46-$C$9+1)&gt;$C$26,AG58&gt;0),-MIN(AG58,$C$19/$C$27),0)</f>
        <v/>
      </c>
      <c r="AH53">
        <f>IF(AND($C$22="Y",(AH$46-$C$9+1)&gt;$C$26,AH58&gt;0),-MIN(AH58,$C$19/$C$27),0)</f>
        <v/>
      </c>
      <c r="AI53">
        <f>IF(AND($C$22="Y",(AI$46-$C$9+1)&gt;$C$26,AI58&gt;0),-MIN(AI58,$C$19/$C$27),0)</f>
        <v/>
      </c>
      <c r="AJ53">
        <f>IF(AND($C$22="Y",(AJ$46-$C$9+1)&gt;$C$26,AJ58&gt;0),-MIN(AJ58,$C$19/$C$27),0)</f>
        <v/>
      </c>
      <c r="AK53">
        <f>IF(AND($C$22="Y",(AK$46-$C$9+1)&gt;$C$26,AK58&gt;0),-MIN(AK58,$C$19/$C$27),0)</f>
        <v/>
      </c>
      <c r="AL53">
        <f>IF(AND($C$22="Y",(AL$46-$C$9+1)&gt;$C$26,AL58&gt;0),-MIN(AL58,$C$19/$C$27),0)</f>
        <v/>
      </c>
      <c r="AM53">
        <f>IF(AND($C$22="Y",(AM$46-$C$9+1)&gt;$C$26,AM58&gt;0),-MIN(AM58,$C$19/$C$27),0)</f>
        <v/>
      </c>
      <c r="AN53">
        <f>IF(AND($C$22="Y",(AN$46-$C$9+1)&gt;$C$26,AN58&gt;0),-MIN(AN58,$C$19/$C$27),0)</f>
        <v/>
      </c>
      <c r="AO53">
        <f>IF(AND($C$22="Y",(AO$46-$C$9+1)&gt;$C$26,AO58&gt;0),-MIN(AO58,$C$19/$C$27),0)</f>
        <v/>
      </c>
      <c r="AP53">
        <f>IF(AND($C$22="Y",(AP$46-$C$9+1)&gt;$C$26,AP58&gt;0),-MIN(AP58,$C$19/$C$27),0)</f>
        <v/>
      </c>
      <c r="AQ53">
        <f>IF(AND($C$22="Y",(AQ$46-$C$9+1)&gt;$C$26,AQ58&gt;0),-MIN(AQ58,$C$19/$C$27),0)</f>
        <v/>
      </c>
      <c r="AR53">
        <f>IF(AND($C$22="Y",(AR$46-$C$9+1)&gt;$C$26,AR58&gt;0),-MIN(AR58,$C$19/$C$27),0)</f>
        <v/>
      </c>
      <c r="AS53">
        <f>IF(AND($C$22="Y",(AS$46-$C$9+1)&gt;$C$26,AS58&gt;0),-MIN(AS58,$C$19/$C$27),0)</f>
        <v/>
      </c>
      <c r="AT53">
        <f>IF(AND($C$22="Y",(AT$46-$C$9+1)&gt;$C$26,AT58&gt;0),-MIN(AT58,$C$19/$C$27),0)</f>
        <v/>
      </c>
      <c r="AU53">
        <f>IF(AND($C$22="Y",(AU$46-$C$9+1)&gt;$C$26,AU58&gt;0),-MIN(AU58,$C$19/$C$27),0)</f>
        <v/>
      </c>
      <c r="AV53">
        <f>IF(AND($C$22="Y",(AV$46-$C$9+1)&gt;$C$26,AV58&gt;0),-MIN(AV58,$C$19/$C$27),0)</f>
        <v/>
      </c>
      <c r="AW53">
        <f>IF(AND($C$22="Y",(AW$46-$C$9+1)&gt;$C$26,AW58&gt;0),-MIN(AW58,$C$19/$C$27),0)</f>
        <v/>
      </c>
      <c r="AX53">
        <f>IF(AND($C$22="Y",(AX$46-$C$9+1)&gt;$C$26,AX58&gt;0),-MIN(AX58,$C$19/$C$27),0)</f>
        <v/>
      </c>
      <c r="AY53">
        <f>IF(AND($C$22="Y",(AY$46-$C$9+1)&gt;$C$26,AY58&gt;0),-MIN(AY58,$C$19/$C$27),0)</f>
        <v/>
      </c>
      <c r="AZ53">
        <f>IF(AND($C$22="Y",(AZ$46-$C$9+1)&gt;$C$26,AZ58&gt;0),-MIN(AZ58,$C$19/$C$27),0)</f>
        <v/>
      </c>
      <c r="BA53">
        <f>IF(AND($C$22="Y",(BA$46-$C$9+1)&gt;$C$26,BA58&gt;0),-MIN(BA58,$C$19/$C$27),0)</f>
        <v/>
      </c>
      <c r="BB53">
        <f>IF(AND($C$22="Y",(BB$46-$C$9+1)&gt;$C$26,BB58&gt;0),-MIN(BB58,$C$19/$C$27),0)</f>
        <v/>
      </c>
    </row>
    <row r="54" ht="15" customHeight="1" s="91">
      <c r="A54" s="152" t="inlineStr">
        <is>
          <t>8  FUND CASH FLOW (Levered)  تدفقات الصندوق الممولة</t>
        </is>
      </c>
      <c r="B54" s="152" t="inlineStr">
        <is>
          <t>(helper: perDraw repay)</t>
        </is>
      </c>
      <c r="C54" s="152" t="n"/>
      <c r="D54" s="152">
        <f>SUM(E54:BB54)</f>
        <v/>
      </c>
      <c r="E54" s="152">
        <f>-E140</f>
        <v/>
      </c>
      <c r="F54" s="152">
        <f>-F140</f>
        <v/>
      </c>
      <c r="G54" s="152">
        <f>-G140</f>
        <v/>
      </c>
      <c r="H54" s="152">
        <f>-H140</f>
        <v/>
      </c>
      <c r="I54" s="152">
        <f>-I140</f>
        <v/>
      </c>
      <c r="J54" s="152">
        <f>-J140</f>
        <v/>
      </c>
      <c r="K54" s="152">
        <f>-K140</f>
        <v/>
      </c>
      <c r="L54" s="152">
        <f>-L140</f>
        <v/>
      </c>
      <c r="M54" s="152">
        <f>-M140</f>
        <v/>
      </c>
      <c r="N54" s="152">
        <f>-N140</f>
        <v/>
      </c>
      <c r="O54" s="152">
        <f>-O140</f>
        <v/>
      </c>
      <c r="P54" s="152">
        <f>-P140</f>
        <v/>
      </c>
      <c r="Q54" s="152">
        <f>-Q140</f>
        <v/>
      </c>
      <c r="R54" s="152">
        <f>-R140</f>
        <v/>
      </c>
      <c r="S54" s="152">
        <f>-S140</f>
        <v/>
      </c>
      <c r="T54" s="152">
        <f>-T140</f>
        <v/>
      </c>
      <c r="U54" s="152">
        <f>-U140</f>
        <v/>
      </c>
      <c r="V54" s="152">
        <f>-V140</f>
        <v/>
      </c>
      <c r="W54" s="152">
        <f>-W140</f>
        <v/>
      </c>
      <c r="X54" s="152">
        <f>-X140</f>
        <v/>
      </c>
      <c r="Y54" s="152">
        <f>-Y140</f>
        <v/>
      </c>
      <c r="Z54" s="152">
        <f>-Z140</f>
        <v/>
      </c>
      <c r="AA54" s="152">
        <f>-AA140</f>
        <v/>
      </c>
      <c r="AB54" s="152">
        <f>-AB140</f>
        <v/>
      </c>
      <c r="AC54" s="152">
        <f>-AC140</f>
        <v/>
      </c>
      <c r="AD54" s="152">
        <f>-AD140</f>
        <v/>
      </c>
      <c r="AE54" s="152">
        <f>-AE140</f>
        <v/>
      </c>
      <c r="AF54" s="152">
        <f>-AF140</f>
        <v/>
      </c>
      <c r="AG54" s="152">
        <f>-AG140</f>
        <v/>
      </c>
      <c r="AH54" s="152">
        <f>-AH140</f>
        <v/>
      </c>
      <c r="AI54" s="152">
        <f>-AI140</f>
        <v/>
      </c>
      <c r="AJ54" s="152">
        <f>-AJ140</f>
        <v/>
      </c>
      <c r="AK54" s="152">
        <f>-AK140</f>
        <v/>
      </c>
      <c r="AL54" s="152">
        <f>-AL140</f>
        <v/>
      </c>
      <c r="AM54" s="152">
        <f>-AM140</f>
        <v/>
      </c>
      <c r="AN54" s="152">
        <f>-AN140</f>
        <v/>
      </c>
      <c r="AO54" s="152">
        <f>-AO140</f>
        <v/>
      </c>
      <c r="AP54" s="152">
        <f>-AP140</f>
        <v/>
      </c>
      <c r="AQ54" s="152">
        <f>-AQ140</f>
        <v/>
      </c>
      <c r="AR54" s="152">
        <f>-AR140</f>
        <v/>
      </c>
      <c r="AS54" s="152">
        <f>-AS140</f>
        <v/>
      </c>
      <c r="AT54" s="152">
        <f>-AT140</f>
        <v/>
      </c>
      <c r="AU54" s="152">
        <f>-AU140</f>
        <v/>
      </c>
      <c r="AV54" s="152">
        <f>-AV140</f>
        <v/>
      </c>
      <c r="AW54" s="152">
        <f>-AW140</f>
        <v/>
      </c>
      <c r="AX54" s="152">
        <f>-AX140</f>
        <v/>
      </c>
      <c r="AY54" s="152">
        <f>-AY140</f>
        <v/>
      </c>
      <c r="AZ54" s="152">
        <f>-AZ140</f>
        <v/>
      </c>
      <c r="BA54" s="152">
        <f>-BA140</f>
        <v/>
      </c>
      <c r="BB54" s="152">
        <f>-BB140</f>
        <v/>
      </c>
    </row>
    <row r="55" ht="15" customHeight="1" s="91">
      <c r="C55" s="165" t="inlineStr">
        <is>
          <t>Unit</t>
        </is>
      </c>
      <c r="D55" s="165" t="inlineStr">
        <is>
          <t>Total</t>
        </is>
      </c>
      <c r="E55" s="166">
        <f>E$46</f>
        <v/>
      </c>
      <c r="F55" s="166">
        <f>F$46</f>
        <v/>
      </c>
      <c r="G55" s="166">
        <f>G$46</f>
        <v/>
      </c>
      <c r="H55" s="166">
        <f>H$46</f>
        <v/>
      </c>
      <c r="I55" s="166">
        <f>I$46</f>
        <v/>
      </c>
      <c r="J55" s="166">
        <f>J$46</f>
        <v/>
      </c>
      <c r="K55" s="166">
        <f>K$46</f>
        <v/>
      </c>
      <c r="L55" s="166">
        <f>L$46</f>
        <v/>
      </c>
      <c r="M55" s="166">
        <f>M$46</f>
        <v/>
      </c>
      <c r="N55" s="166">
        <f>N$46</f>
        <v/>
      </c>
      <c r="O55" s="166">
        <f>O$46</f>
        <v/>
      </c>
      <c r="P55" s="166">
        <f>P$46</f>
        <v/>
      </c>
      <c r="Q55" s="166">
        <f>Q$46</f>
        <v/>
      </c>
      <c r="R55" s="166">
        <f>R$46</f>
        <v/>
      </c>
      <c r="S55" s="166">
        <f>S$46</f>
        <v/>
      </c>
      <c r="T55" s="166">
        <f>T$46</f>
        <v/>
      </c>
      <c r="U55" s="166">
        <f>U$46</f>
        <v/>
      </c>
      <c r="V55" s="166">
        <f>V$46</f>
        <v/>
      </c>
      <c r="W55" s="166">
        <f>W$46</f>
        <v/>
      </c>
      <c r="X55" s="166">
        <f>X$46</f>
        <v/>
      </c>
      <c r="Y55" s="166">
        <f>Y$46</f>
        <v/>
      </c>
      <c r="Z55" s="166">
        <f>Z$46</f>
        <v/>
      </c>
      <c r="AA55" s="166">
        <f>AA$46</f>
        <v/>
      </c>
      <c r="AB55" s="166">
        <f>AB$46</f>
        <v/>
      </c>
      <c r="AC55" s="166">
        <f>AC$46</f>
        <v/>
      </c>
      <c r="AD55" s="166">
        <f>AD$46</f>
        <v/>
      </c>
      <c r="AE55" s="166">
        <f>AE$46</f>
        <v/>
      </c>
      <c r="AF55" s="166">
        <f>AF$46</f>
        <v/>
      </c>
      <c r="AG55" s="166">
        <f>AG$46</f>
        <v/>
      </c>
      <c r="AH55" s="166">
        <f>AH$46</f>
        <v/>
      </c>
      <c r="AI55" s="166">
        <f>AI$46</f>
        <v/>
      </c>
      <c r="AJ55" s="166">
        <f>AJ$46</f>
        <v/>
      </c>
      <c r="AK55" s="166">
        <f>AK$46</f>
        <v/>
      </c>
      <c r="AL55" s="166">
        <f>AL$46</f>
        <v/>
      </c>
      <c r="AM55" s="166">
        <f>AM$46</f>
        <v/>
      </c>
      <c r="AN55" s="166">
        <f>AN$46</f>
        <v/>
      </c>
      <c r="AO55" s="166">
        <f>AO$46</f>
        <v/>
      </c>
      <c r="AP55" s="166">
        <f>AP$46</f>
        <v/>
      </c>
      <c r="AQ55" s="166">
        <f>AQ$46</f>
        <v/>
      </c>
      <c r="AR55" s="166">
        <f>AR$46</f>
        <v/>
      </c>
      <c r="AS55" s="166">
        <f>AS$46</f>
        <v/>
      </c>
      <c r="AT55" s="166">
        <f>AT$46</f>
        <v/>
      </c>
      <c r="AU55" s="166">
        <f>AU$46</f>
        <v/>
      </c>
      <c r="AV55" s="166">
        <f>AV$46</f>
        <v/>
      </c>
      <c r="AW55" s="166">
        <f>AW$46</f>
        <v/>
      </c>
      <c r="AX55" s="166">
        <f>AX$46</f>
        <v/>
      </c>
      <c r="AY55" s="166">
        <f>AY$46</f>
        <v/>
      </c>
      <c r="AZ55" s="166">
        <f>AZ$46</f>
        <v/>
      </c>
      <c r="BA55" s="166">
        <f>BA$46</f>
        <v/>
      </c>
      <c r="BB55" s="166">
        <f>BB$46</f>
        <v/>
      </c>
    </row>
    <row r="56" ht="15" customHeight="1" s="91">
      <c r="B56" s="153" t="inlineStr">
        <is>
          <t>Equity Calls  سحب رأس المال</t>
        </is>
      </c>
      <c r="C56" s="153" t="inlineStr">
        <is>
          <t>SAR</t>
        </is>
      </c>
      <c r="D56" s="157">
        <f>SUM(E56:BB56)</f>
        <v/>
      </c>
      <c r="E56" s="160">
        <f>IF(AND(E49&lt;0,E$46&gt;=$C$9,E$46&lt;=$C$41),ABS(E49/$D$49)*$C$14,0)+E70</f>
        <v/>
      </c>
      <c r="F56" s="160">
        <f>IF(AND(F49&lt;0,F$46&gt;=$C$9,F$46&lt;=$C$41),ABS(F49/$D$49)*$C$14,0)+F70</f>
        <v/>
      </c>
      <c r="G56" s="160">
        <f>IF(AND(G49&lt;0,G$46&gt;=$C$9,G$46&lt;=$C$41),ABS(G49/$D$49)*$C$14,0)+G70</f>
        <v/>
      </c>
      <c r="H56" s="160">
        <f>IF(AND(H49&lt;0,H$46&gt;=$C$9,H$46&lt;=$C$41),ABS(H49/$D$49)*$C$14,0)+H70</f>
        <v/>
      </c>
      <c r="I56" s="160">
        <f>IF(AND(I49&lt;0,I$46&gt;=$C$9,I$46&lt;=$C$41),ABS(I49/$D$49)*$C$14,0)+I70</f>
        <v/>
      </c>
      <c r="J56" s="160">
        <f>IF(AND(J49&lt;0,J$46&gt;=$C$9,J$46&lt;=$C$41),ABS(J49/$D$49)*$C$14,0)+J70</f>
        <v/>
      </c>
      <c r="K56" s="160">
        <f>IF(AND(K49&lt;0,K$46&gt;=$C$9,K$46&lt;=$C$41),ABS(K49/$D$49)*$C$14,0)+K70</f>
        <v/>
      </c>
      <c r="L56" s="160">
        <f>IF(AND(L49&lt;0,L$46&gt;=$C$9,L$46&lt;=$C$41),ABS(L49/$D$49)*$C$14,0)+L70</f>
        <v/>
      </c>
      <c r="M56" s="160">
        <f>IF(AND(M49&lt;0,M$46&gt;=$C$9,M$46&lt;=$C$41),ABS(M49/$D$49)*$C$14,0)+M70</f>
        <v/>
      </c>
      <c r="N56" s="160">
        <f>IF(AND(N49&lt;0,N$46&gt;=$C$9,N$46&lt;=$C$41),ABS(N49/$D$49)*$C$14,0)+N70</f>
        <v/>
      </c>
      <c r="O56" s="160">
        <f>IF(AND(O49&lt;0,O$46&gt;=$C$9,O$46&lt;=$C$41),ABS(O49/$D$49)*$C$14,0)+O70</f>
        <v/>
      </c>
      <c r="P56" s="160">
        <f>IF(AND(P49&lt;0,P$46&gt;=$C$9,P$46&lt;=$C$41),ABS(P49/$D$49)*$C$14,0)+P70</f>
        <v/>
      </c>
      <c r="Q56" s="160">
        <f>IF(AND(Q49&lt;0,Q$46&gt;=$C$9,Q$46&lt;=$C$41),ABS(Q49/$D$49)*$C$14,0)+Q70</f>
        <v/>
      </c>
      <c r="R56" s="160">
        <f>IF(AND(R49&lt;0,R$46&gt;=$C$9,R$46&lt;=$C$41),ABS(R49/$D$49)*$C$14,0)+R70</f>
        <v/>
      </c>
      <c r="S56" s="160">
        <f>IF(AND(S49&lt;0,S$46&gt;=$C$9,S$46&lt;=$C$41),ABS(S49/$D$49)*$C$14,0)+S70</f>
        <v/>
      </c>
      <c r="T56" s="160">
        <f>IF(AND(T49&lt;0,T$46&gt;=$C$9,T$46&lt;=$C$41),ABS(T49/$D$49)*$C$14,0)+T70</f>
        <v/>
      </c>
      <c r="U56" s="160">
        <f>IF(AND(U49&lt;0,U$46&gt;=$C$9,U$46&lt;=$C$41),ABS(U49/$D$49)*$C$14,0)+U70</f>
        <v/>
      </c>
      <c r="V56" s="160">
        <f>IF(AND(V49&lt;0,V$46&gt;=$C$9,V$46&lt;=$C$41),ABS(V49/$D$49)*$C$14,0)+V70</f>
        <v/>
      </c>
      <c r="W56" s="160">
        <f>IF(AND(W49&lt;0,W$46&gt;=$C$9,W$46&lt;=$C$41),ABS(W49/$D$49)*$C$14,0)+W70</f>
        <v/>
      </c>
      <c r="X56" s="160">
        <f>IF(AND(X49&lt;0,X$46&gt;=$C$9,X$46&lt;=$C$41),ABS(X49/$D$49)*$C$14,0)+X70</f>
        <v/>
      </c>
      <c r="Y56" s="160">
        <f>IF(AND(Y49&lt;0,Y$46&gt;=$C$9,Y$46&lt;=$C$41),ABS(Y49/$D$49)*$C$14,0)+Y70</f>
        <v/>
      </c>
      <c r="Z56" s="160">
        <f>IF(AND(Z49&lt;0,Z$46&gt;=$C$9,Z$46&lt;=$C$41),ABS(Z49/$D$49)*$C$14,0)+Z70</f>
        <v/>
      </c>
      <c r="AA56" s="160">
        <f>IF(AND(AA49&lt;0,AA$46&gt;=$C$9,AA$46&lt;=$C$41),ABS(AA49/$D$49)*$C$14,0)+AA70</f>
        <v/>
      </c>
      <c r="AB56" s="160">
        <f>IF(AND(AB49&lt;0,AB$46&gt;=$C$9,AB$46&lt;=$C$41),ABS(AB49/$D$49)*$C$14,0)+AB70</f>
        <v/>
      </c>
      <c r="AC56" s="160">
        <f>IF(AND(AC49&lt;0,AC$46&gt;=$C$9,AC$46&lt;=$C$41),ABS(AC49/$D$49)*$C$14,0)+AC70</f>
        <v/>
      </c>
      <c r="AD56" s="160">
        <f>IF(AND(AD49&lt;0,AD$46&gt;=$C$9,AD$46&lt;=$C$41),ABS(AD49/$D$49)*$C$14,0)+AD70</f>
        <v/>
      </c>
      <c r="AE56" s="160">
        <f>IF(AND(AE49&lt;0,AE$46&gt;=$C$9,AE$46&lt;=$C$41),ABS(AE49/$D$49)*$C$14,0)+AE70</f>
        <v/>
      </c>
      <c r="AF56" s="160">
        <f>IF(AND(AF49&lt;0,AF$46&gt;=$C$9,AF$46&lt;=$C$41),ABS(AF49/$D$49)*$C$14,0)+AF70</f>
        <v/>
      </c>
      <c r="AG56" s="160">
        <f>IF(AND(AG49&lt;0,AG$46&gt;=$C$9,AG$46&lt;=$C$41),ABS(AG49/$D$49)*$C$14,0)+AG70</f>
        <v/>
      </c>
      <c r="AH56" s="160">
        <f>IF(AND(AH49&lt;0,AH$46&gt;=$C$9,AH$46&lt;=$C$41),ABS(AH49/$D$49)*$C$14,0)+AH70</f>
        <v/>
      </c>
      <c r="AI56" s="160">
        <f>IF(AND(AI49&lt;0,AI$46&gt;=$C$9,AI$46&lt;=$C$41),ABS(AI49/$D$49)*$C$14,0)+AI70</f>
        <v/>
      </c>
      <c r="AJ56" s="160">
        <f>IF(AND(AJ49&lt;0,AJ$46&gt;=$C$9,AJ$46&lt;=$C$41),ABS(AJ49/$D$49)*$C$14,0)+AJ70</f>
        <v/>
      </c>
      <c r="AK56" s="160">
        <f>IF(AND(AK49&lt;0,AK$46&gt;=$C$9,AK$46&lt;=$C$41),ABS(AK49/$D$49)*$C$14,0)+AK70</f>
        <v/>
      </c>
      <c r="AL56" s="160">
        <f>IF(AND(AL49&lt;0,AL$46&gt;=$C$9,AL$46&lt;=$C$41),ABS(AL49/$D$49)*$C$14,0)+AL70</f>
        <v/>
      </c>
      <c r="AM56" s="160">
        <f>IF(AND(AM49&lt;0,AM$46&gt;=$C$9,AM$46&lt;=$C$41),ABS(AM49/$D$49)*$C$14,0)+AM70</f>
        <v/>
      </c>
      <c r="AN56" s="160">
        <f>IF(AND(AN49&lt;0,AN$46&gt;=$C$9,AN$46&lt;=$C$41),ABS(AN49/$D$49)*$C$14,0)+AN70</f>
        <v/>
      </c>
      <c r="AO56" s="160">
        <f>IF(AND(AO49&lt;0,AO$46&gt;=$C$9,AO$46&lt;=$C$41),ABS(AO49/$D$49)*$C$14,0)+AO70</f>
        <v/>
      </c>
      <c r="AP56" s="160">
        <f>IF(AND(AP49&lt;0,AP$46&gt;=$C$9,AP$46&lt;=$C$41),ABS(AP49/$D$49)*$C$14,0)+AP70</f>
        <v/>
      </c>
      <c r="AQ56" s="160">
        <f>IF(AND(AQ49&lt;0,AQ$46&gt;=$C$9,AQ$46&lt;=$C$41),ABS(AQ49/$D$49)*$C$14,0)+AQ70</f>
        <v/>
      </c>
      <c r="AR56" s="160">
        <f>IF(AND(AR49&lt;0,AR$46&gt;=$C$9,AR$46&lt;=$C$41),ABS(AR49/$D$49)*$C$14,0)+AR70</f>
        <v/>
      </c>
      <c r="AS56" s="160">
        <f>IF(AND(AS49&lt;0,AS$46&gt;=$C$9,AS$46&lt;=$C$41),ABS(AS49/$D$49)*$C$14,0)+AS70</f>
        <v/>
      </c>
      <c r="AT56" s="160">
        <f>IF(AND(AT49&lt;0,AT$46&gt;=$C$9,AT$46&lt;=$C$41),ABS(AT49/$D$49)*$C$14,0)+AT70</f>
        <v/>
      </c>
      <c r="AU56" s="160">
        <f>IF(AND(AU49&lt;0,AU$46&gt;=$C$9,AU$46&lt;=$C$41),ABS(AU49/$D$49)*$C$14,0)+AU70</f>
        <v/>
      </c>
      <c r="AV56" s="160">
        <f>IF(AND(AV49&lt;0,AV$46&gt;=$C$9,AV$46&lt;=$C$41),ABS(AV49/$D$49)*$C$14,0)+AV70</f>
        <v/>
      </c>
      <c r="AW56" s="160">
        <f>IF(AND(AW49&lt;0,AW$46&gt;=$C$9,AW$46&lt;=$C$41),ABS(AW49/$D$49)*$C$14,0)+AW70</f>
        <v/>
      </c>
      <c r="AX56" s="160">
        <f>IF(AND(AX49&lt;0,AX$46&gt;=$C$9,AX$46&lt;=$C$41),ABS(AX49/$D$49)*$C$14,0)+AX70</f>
        <v/>
      </c>
      <c r="AY56" s="160">
        <f>IF(AND(AY49&lt;0,AY$46&gt;=$C$9,AY$46&lt;=$C$41),ABS(AY49/$D$49)*$C$14,0)+AY70</f>
        <v/>
      </c>
      <c r="AZ56" s="160">
        <f>IF(AND(AZ49&lt;0,AZ$46&gt;=$C$9,AZ$46&lt;=$C$41),ABS(AZ49/$D$49)*$C$14,0)+AZ70</f>
        <v/>
      </c>
      <c r="BA56" s="160">
        <f>IF(AND(BA49&lt;0,BA$46&gt;=$C$9,BA$46&lt;=$C$41),ABS(BA49/$D$49)*$C$14,0)+BA70</f>
        <v/>
      </c>
      <c r="BB56" s="160">
        <f>IF(AND(BB49&lt;0,BB$46&gt;=$C$9,BB$46&lt;=$C$41),ABS(BB49/$D$49)*$C$14,0)+BB70</f>
        <v/>
      </c>
    </row>
    <row r="57" ht="15" customHeight="1" s="91">
      <c r="B57" s="153" t="inlineStr">
        <is>
          <t>Debt Drawdown  سحب القرض</t>
        </is>
      </c>
      <c r="C57" s="153" t="inlineStr">
        <is>
          <t>SAR</t>
        </is>
      </c>
      <c r="D57" s="157">
        <f>SUM(E57:BB57)</f>
        <v/>
      </c>
      <c r="E57" s="160">
        <f>IF(AND($C$22="Y",E49&lt;0,E$46&gt;=$C$9,E$46&lt;=$C$41),MIN(ABS(E49/$D$49)*$C$19,MAX(0,$C$19-0)),0)</f>
        <v/>
      </c>
      <c r="F57" s="160">
        <f>IF(AND($C$22="Y",F49&lt;0,F$46&gt;=$C$9,F$46&lt;=$C$41),MIN(ABS(F49/$D$49)*$C$19,MAX(0,$C$19-E60)),0)</f>
        <v/>
      </c>
      <c r="G57" s="160">
        <f>IF(AND($C$22="Y",G49&lt;0,G$46&gt;=$C$9,G$46&lt;=$C$41),MIN(ABS(G49/$D$49)*$C$19,MAX(0,$C$19-F60)),0)</f>
        <v/>
      </c>
      <c r="H57" s="160">
        <f>IF(AND($C$22="Y",H49&lt;0,H$46&gt;=$C$9,H$46&lt;=$C$41),MIN(ABS(H49/$D$49)*$C$19,MAX(0,$C$19-G60)),0)</f>
        <v/>
      </c>
      <c r="I57" s="160">
        <f>IF(AND($C$22="Y",I49&lt;0,I$46&gt;=$C$9,I$46&lt;=$C$41),MIN(ABS(I49/$D$49)*$C$19,MAX(0,$C$19-H60)),0)</f>
        <v/>
      </c>
      <c r="J57" s="160">
        <f>IF(AND($C$22="Y",J49&lt;0,J$46&gt;=$C$9,J$46&lt;=$C$41),MIN(ABS(J49/$D$49)*$C$19,MAX(0,$C$19-I60)),0)</f>
        <v/>
      </c>
      <c r="K57" s="160">
        <f>IF(AND($C$22="Y",K49&lt;0,K$46&gt;=$C$9,K$46&lt;=$C$41),MIN(ABS(K49/$D$49)*$C$19,MAX(0,$C$19-J60)),0)</f>
        <v/>
      </c>
      <c r="L57" s="160">
        <f>IF(AND($C$22="Y",L49&lt;0,L$46&gt;=$C$9,L$46&lt;=$C$41),MIN(ABS(L49/$D$49)*$C$19,MAX(0,$C$19-K60)),0)</f>
        <v/>
      </c>
      <c r="M57" s="160">
        <f>IF(AND($C$22="Y",M49&lt;0,M$46&gt;=$C$9,M$46&lt;=$C$41),MIN(ABS(M49/$D$49)*$C$19,MAX(0,$C$19-L60)),0)</f>
        <v/>
      </c>
      <c r="N57" s="160">
        <f>IF(AND($C$22="Y",N49&lt;0,N$46&gt;=$C$9,N$46&lt;=$C$41),MIN(ABS(N49/$D$49)*$C$19,MAX(0,$C$19-M60)),0)</f>
        <v/>
      </c>
      <c r="O57" s="160">
        <f>IF(AND($C$22="Y",O49&lt;0,O$46&gt;=$C$9,O$46&lt;=$C$41),MIN(ABS(O49/$D$49)*$C$19,MAX(0,$C$19-N60)),0)</f>
        <v/>
      </c>
      <c r="P57" s="160">
        <f>IF(AND($C$22="Y",P49&lt;0,P$46&gt;=$C$9,P$46&lt;=$C$41),MIN(ABS(P49/$D$49)*$C$19,MAX(0,$C$19-O60)),0)</f>
        <v/>
      </c>
      <c r="Q57" s="160">
        <f>IF(AND($C$22="Y",Q49&lt;0,Q$46&gt;=$C$9,Q$46&lt;=$C$41),MIN(ABS(Q49/$D$49)*$C$19,MAX(0,$C$19-P60)),0)</f>
        <v/>
      </c>
      <c r="R57" s="160">
        <f>IF(AND($C$22="Y",R49&lt;0,R$46&gt;=$C$9,R$46&lt;=$C$41),MIN(ABS(R49/$D$49)*$C$19,MAX(0,$C$19-Q60)),0)</f>
        <v/>
      </c>
      <c r="S57" s="160">
        <f>IF(AND($C$22="Y",S49&lt;0,S$46&gt;=$C$9,S$46&lt;=$C$41),MIN(ABS(S49/$D$49)*$C$19,MAX(0,$C$19-R60)),0)</f>
        <v/>
      </c>
      <c r="T57" s="160">
        <f>IF(AND($C$22="Y",T49&lt;0,T$46&gt;=$C$9,T$46&lt;=$C$41),MIN(ABS(T49/$D$49)*$C$19,MAX(0,$C$19-S60)),0)</f>
        <v/>
      </c>
      <c r="U57" s="160">
        <f>IF(AND($C$22="Y",U49&lt;0,U$46&gt;=$C$9,U$46&lt;=$C$41),MIN(ABS(U49/$D$49)*$C$19,MAX(0,$C$19-T60)),0)</f>
        <v/>
      </c>
      <c r="V57" s="160">
        <f>IF(AND($C$22="Y",V49&lt;0,V$46&gt;=$C$9,V$46&lt;=$C$41),MIN(ABS(V49/$D$49)*$C$19,MAX(0,$C$19-U60)),0)</f>
        <v/>
      </c>
      <c r="W57" s="160">
        <f>IF(AND($C$22="Y",W49&lt;0,W$46&gt;=$C$9,W$46&lt;=$C$41),MIN(ABS(W49/$D$49)*$C$19,MAX(0,$C$19-V60)),0)</f>
        <v/>
      </c>
      <c r="X57" s="160">
        <f>IF(AND($C$22="Y",X49&lt;0,X$46&gt;=$C$9,X$46&lt;=$C$41),MIN(ABS(X49/$D$49)*$C$19,MAX(0,$C$19-W60)),0)</f>
        <v/>
      </c>
      <c r="Y57" s="160">
        <f>IF(AND($C$22="Y",Y49&lt;0,Y$46&gt;=$C$9,Y$46&lt;=$C$41),MIN(ABS(Y49/$D$49)*$C$19,MAX(0,$C$19-X60)),0)</f>
        <v/>
      </c>
      <c r="Z57" s="160">
        <f>IF(AND($C$22="Y",Z49&lt;0,Z$46&gt;=$C$9,Z$46&lt;=$C$41),MIN(ABS(Z49/$D$49)*$C$19,MAX(0,$C$19-Y60)),0)</f>
        <v/>
      </c>
      <c r="AA57" s="160">
        <f>IF(AND($C$22="Y",AA49&lt;0,AA$46&gt;=$C$9,AA$46&lt;=$C$41),MIN(ABS(AA49/$D$49)*$C$19,MAX(0,$C$19-Z60)),0)</f>
        <v/>
      </c>
      <c r="AB57" s="160">
        <f>IF(AND($C$22="Y",AB49&lt;0,AB$46&gt;=$C$9,AB$46&lt;=$C$41),MIN(ABS(AB49/$D$49)*$C$19,MAX(0,$C$19-AA60)),0)</f>
        <v/>
      </c>
      <c r="AC57" s="160">
        <f>IF(AND($C$22="Y",AC49&lt;0,AC$46&gt;=$C$9,AC$46&lt;=$C$41),MIN(ABS(AC49/$D$49)*$C$19,MAX(0,$C$19-AB60)),0)</f>
        <v/>
      </c>
      <c r="AD57" s="160">
        <f>IF(AND($C$22="Y",AD49&lt;0,AD$46&gt;=$C$9,AD$46&lt;=$C$41),MIN(ABS(AD49/$D$49)*$C$19,MAX(0,$C$19-AC60)),0)</f>
        <v/>
      </c>
      <c r="AE57" s="160">
        <f>IF(AND($C$22="Y",AE49&lt;0,AE$46&gt;=$C$9,AE$46&lt;=$C$41),MIN(ABS(AE49/$D$49)*$C$19,MAX(0,$C$19-AD60)),0)</f>
        <v/>
      </c>
      <c r="AF57" s="160">
        <f>IF(AND($C$22="Y",AF49&lt;0,AF$46&gt;=$C$9,AF$46&lt;=$C$41),MIN(ABS(AF49/$D$49)*$C$19,MAX(0,$C$19-AE60)),0)</f>
        <v/>
      </c>
      <c r="AG57" s="160">
        <f>IF(AND($C$22="Y",AG49&lt;0,AG$46&gt;=$C$9,AG$46&lt;=$C$41),MIN(ABS(AG49/$D$49)*$C$19,MAX(0,$C$19-AF60)),0)</f>
        <v/>
      </c>
      <c r="AH57" s="160">
        <f>IF(AND($C$22="Y",AH49&lt;0,AH$46&gt;=$C$9,AH$46&lt;=$C$41),MIN(ABS(AH49/$D$49)*$C$19,MAX(0,$C$19-AG60)),0)</f>
        <v/>
      </c>
      <c r="AI57" s="160">
        <f>IF(AND($C$22="Y",AI49&lt;0,AI$46&gt;=$C$9,AI$46&lt;=$C$41),MIN(ABS(AI49/$D$49)*$C$19,MAX(0,$C$19-AH60)),0)</f>
        <v/>
      </c>
      <c r="AJ57" s="160">
        <f>IF(AND($C$22="Y",AJ49&lt;0,AJ$46&gt;=$C$9,AJ$46&lt;=$C$41),MIN(ABS(AJ49/$D$49)*$C$19,MAX(0,$C$19-AI60)),0)</f>
        <v/>
      </c>
      <c r="AK57" s="160">
        <f>IF(AND($C$22="Y",AK49&lt;0,AK$46&gt;=$C$9,AK$46&lt;=$C$41),MIN(ABS(AK49/$D$49)*$C$19,MAX(0,$C$19-AJ60)),0)</f>
        <v/>
      </c>
      <c r="AL57" s="160">
        <f>IF(AND($C$22="Y",AL49&lt;0,AL$46&gt;=$C$9,AL$46&lt;=$C$41),MIN(ABS(AL49/$D$49)*$C$19,MAX(0,$C$19-AK60)),0)</f>
        <v/>
      </c>
      <c r="AM57" s="160">
        <f>IF(AND($C$22="Y",AM49&lt;0,AM$46&gt;=$C$9,AM$46&lt;=$C$41),MIN(ABS(AM49/$D$49)*$C$19,MAX(0,$C$19-AL60)),0)</f>
        <v/>
      </c>
      <c r="AN57" s="160">
        <f>IF(AND($C$22="Y",AN49&lt;0,AN$46&gt;=$C$9,AN$46&lt;=$C$41),MIN(ABS(AN49/$D$49)*$C$19,MAX(0,$C$19-AM60)),0)</f>
        <v/>
      </c>
      <c r="AO57" s="160">
        <f>IF(AND($C$22="Y",AO49&lt;0,AO$46&gt;=$C$9,AO$46&lt;=$C$41),MIN(ABS(AO49/$D$49)*$C$19,MAX(0,$C$19-AN60)),0)</f>
        <v/>
      </c>
      <c r="AP57" s="160">
        <f>IF(AND($C$22="Y",AP49&lt;0,AP$46&gt;=$C$9,AP$46&lt;=$C$41),MIN(ABS(AP49/$D$49)*$C$19,MAX(0,$C$19-AO60)),0)</f>
        <v/>
      </c>
      <c r="AQ57" s="160">
        <f>IF(AND($C$22="Y",AQ49&lt;0,AQ$46&gt;=$C$9,AQ$46&lt;=$C$41),MIN(ABS(AQ49/$D$49)*$C$19,MAX(0,$C$19-AP60)),0)</f>
        <v/>
      </c>
      <c r="AR57" s="160">
        <f>IF(AND($C$22="Y",AR49&lt;0,AR$46&gt;=$C$9,AR$46&lt;=$C$41),MIN(ABS(AR49/$D$49)*$C$19,MAX(0,$C$19-AQ60)),0)</f>
        <v/>
      </c>
      <c r="AS57" s="160">
        <f>IF(AND($C$22="Y",AS49&lt;0,AS$46&gt;=$C$9,AS$46&lt;=$C$41),MIN(ABS(AS49/$D$49)*$C$19,MAX(0,$C$19-AR60)),0)</f>
        <v/>
      </c>
      <c r="AT57" s="160">
        <f>IF(AND($C$22="Y",AT49&lt;0,AT$46&gt;=$C$9,AT$46&lt;=$C$41),MIN(ABS(AT49/$D$49)*$C$19,MAX(0,$C$19-AS60)),0)</f>
        <v/>
      </c>
      <c r="AU57" s="160">
        <f>IF(AND($C$22="Y",AU49&lt;0,AU$46&gt;=$C$9,AU$46&lt;=$C$41),MIN(ABS(AU49/$D$49)*$C$19,MAX(0,$C$19-AT60)),0)</f>
        <v/>
      </c>
      <c r="AV57" s="160">
        <f>IF(AND($C$22="Y",AV49&lt;0,AV$46&gt;=$C$9,AV$46&lt;=$C$41),MIN(ABS(AV49/$D$49)*$C$19,MAX(0,$C$19-AU60)),0)</f>
        <v/>
      </c>
      <c r="AW57" s="160">
        <f>IF(AND($C$22="Y",AW49&lt;0,AW$46&gt;=$C$9,AW$46&lt;=$C$41),MIN(ABS(AW49/$D$49)*$C$19,MAX(0,$C$19-AV60)),0)</f>
        <v/>
      </c>
      <c r="AX57" s="160">
        <f>IF(AND($C$22="Y",AX49&lt;0,AX$46&gt;=$C$9,AX$46&lt;=$C$41),MIN(ABS(AX49/$D$49)*$C$19,MAX(0,$C$19-AW60)),0)</f>
        <v/>
      </c>
      <c r="AY57" s="160">
        <f>IF(AND($C$22="Y",AY49&lt;0,AY$46&gt;=$C$9,AY$46&lt;=$C$41),MIN(ABS(AY49/$D$49)*$C$19,MAX(0,$C$19-AX60)),0)</f>
        <v/>
      </c>
      <c r="AZ57" s="160">
        <f>IF(AND($C$22="Y",AZ49&lt;0,AZ$46&gt;=$C$9,AZ$46&lt;=$C$41),MIN(ABS(AZ49/$D$49)*$C$19,MAX(0,$C$19-AY60)),0)</f>
        <v/>
      </c>
      <c r="BA57" s="160">
        <f>IF(AND($C$22="Y",BA49&lt;0,BA$46&gt;=$C$9,BA$46&lt;=$C$41),MIN(ABS(BA49/$D$49)*$C$19,MAX(0,$C$19-AZ60)),0)</f>
        <v/>
      </c>
      <c r="BB57" s="160">
        <f>IF(AND($C$22="Y",BB49&lt;0,BB$46&gt;=$C$9,BB$46&lt;=$C$41),MIN(ABS(BB49/$D$49)*$C$19,MAX(0,$C$19-BA60)),0)</f>
        <v/>
      </c>
    </row>
    <row r="58" ht="15" customHeight="1" s="91">
      <c r="B58" s="153" t="inlineStr">
        <is>
          <t>Debt Balance (Open)  رصيد الدين بداية السنة</t>
        </is>
      </c>
      <c r="C58" s="153" t="inlineStr">
        <is>
          <t>SAR</t>
        </is>
      </c>
      <c r="D58" s="160">
        <f>SUM(E58:BB58)</f>
        <v/>
      </c>
      <c r="E58" s="160">
        <f>0</f>
        <v/>
      </c>
      <c r="F58" s="160">
        <f>E60</f>
        <v/>
      </c>
      <c r="G58" s="160">
        <f>F60</f>
        <v/>
      </c>
      <c r="H58" s="160">
        <f>G60</f>
        <v/>
      </c>
      <c r="I58" s="160">
        <f>H60</f>
        <v/>
      </c>
      <c r="J58" s="160">
        <f>I60</f>
        <v/>
      </c>
      <c r="K58" s="160">
        <f>J60</f>
        <v/>
      </c>
      <c r="L58" s="160">
        <f>K60</f>
        <v/>
      </c>
      <c r="M58" s="160">
        <f>L60</f>
        <v/>
      </c>
      <c r="N58" s="160">
        <f>M60</f>
        <v/>
      </c>
      <c r="O58" s="160">
        <f>N60</f>
        <v/>
      </c>
      <c r="P58" s="160">
        <f>O60</f>
        <v/>
      </c>
      <c r="Q58" s="160">
        <f>P60</f>
        <v/>
      </c>
      <c r="R58" s="160">
        <f>Q60</f>
        <v/>
      </c>
      <c r="S58" s="160">
        <f>R60</f>
        <v/>
      </c>
      <c r="T58" s="160">
        <f>S60</f>
        <v/>
      </c>
      <c r="U58" s="160">
        <f>T60</f>
        <v/>
      </c>
      <c r="V58" s="160">
        <f>U60</f>
        <v/>
      </c>
      <c r="W58" s="160">
        <f>V60</f>
        <v/>
      </c>
      <c r="X58" s="160">
        <f>W60</f>
        <v/>
      </c>
      <c r="Y58" s="160">
        <f>X60</f>
        <v/>
      </c>
      <c r="Z58" s="160">
        <f>Y60</f>
        <v/>
      </c>
      <c r="AA58" s="160">
        <f>Z60</f>
        <v/>
      </c>
      <c r="AB58" s="160">
        <f>AA60</f>
        <v/>
      </c>
      <c r="AC58" s="160">
        <f>AB60</f>
        <v/>
      </c>
      <c r="AD58" s="160">
        <f>AC60</f>
        <v/>
      </c>
      <c r="AE58" s="160">
        <f>AD60</f>
        <v/>
      </c>
      <c r="AF58" s="160">
        <f>AE60</f>
        <v/>
      </c>
      <c r="AG58" s="160">
        <f>AF60</f>
        <v/>
      </c>
      <c r="AH58" s="160">
        <f>AG60</f>
        <v/>
      </c>
      <c r="AI58" s="160">
        <f>AH60</f>
        <v/>
      </c>
      <c r="AJ58" s="160">
        <f>AI60</f>
        <v/>
      </c>
      <c r="AK58" s="160">
        <f>AJ60</f>
        <v/>
      </c>
      <c r="AL58" s="160">
        <f>AK60</f>
        <v/>
      </c>
      <c r="AM58" s="160">
        <f>AL60</f>
        <v/>
      </c>
      <c r="AN58" s="160">
        <f>AM60</f>
        <v/>
      </c>
      <c r="AO58" s="160">
        <f>AN60</f>
        <v/>
      </c>
      <c r="AP58" s="160">
        <f>AO60</f>
        <v/>
      </c>
      <c r="AQ58" s="160">
        <f>AP60</f>
        <v/>
      </c>
      <c r="AR58" s="160">
        <f>AQ60</f>
        <v/>
      </c>
      <c r="AS58" s="160">
        <f>AR60</f>
        <v/>
      </c>
      <c r="AT58" s="160">
        <f>AS60</f>
        <v/>
      </c>
      <c r="AU58" s="160">
        <f>AT60</f>
        <v/>
      </c>
      <c r="AV58" s="160">
        <f>AU60</f>
        <v/>
      </c>
      <c r="AW58" s="160">
        <f>AV60</f>
        <v/>
      </c>
      <c r="AX58" s="160">
        <f>AW60</f>
        <v/>
      </c>
      <c r="AY58" s="160">
        <f>AX60</f>
        <v/>
      </c>
      <c r="AZ58" s="160">
        <f>AY60</f>
        <v/>
      </c>
      <c r="BA58" s="160">
        <f>AZ60</f>
        <v/>
      </c>
      <c r="BB58" s="160">
        <f>BA60</f>
        <v/>
      </c>
    </row>
    <row r="59" ht="15" customHeight="1" s="91">
      <c r="B59" s="153" t="inlineStr">
        <is>
          <t>Debt Repayment  سداد أصل الدين</t>
        </is>
      </c>
      <c r="C59" s="153" t="inlineStr">
        <is>
          <t>SAR</t>
        </is>
      </c>
      <c r="D59" s="157">
        <f>SUM(E59:BB59)</f>
        <v/>
      </c>
      <c r="E59" s="160">
        <f>IF($C$28="perDraw",E54,E53)</f>
        <v/>
      </c>
      <c r="F59" s="160">
        <f>IF($C$28="perDraw",F54,F53)</f>
        <v/>
      </c>
      <c r="G59" s="160">
        <f>IF($C$28="perDraw",G54,G53)</f>
        <v/>
      </c>
      <c r="H59" s="160">
        <f>IF($C$28="perDraw",H54,H53)</f>
        <v/>
      </c>
      <c r="I59" s="160">
        <f>IF($C$28="perDraw",I54,I53)</f>
        <v/>
      </c>
      <c r="J59" s="160">
        <f>IF($C$28="perDraw",J54,J53)</f>
        <v/>
      </c>
      <c r="K59" s="160">
        <f>IF($C$28="perDraw",K54,K53)</f>
        <v/>
      </c>
      <c r="L59" s="160">
        <f>IF($C$28="perDraw",L54,L53)</f>
        <v/>
      </c>
      <c r="M59" s="160">
        <f>IF($C$28="perDraw",M54,M53)</f>
        <v/>
      </c>
      <c r="N59" s="160">
        <f>IF($C$28="perDraw",N54,N53)</f>
        <v/>
      </c>
      <c r="O59" s="160">
        <f>IF($C$28="perDraw",O54,O53)</f>
        <v/>
      </c>
      <c r="P59" s="160">
        <f>IF($C$28="perDraw",P54,P53)</f>
        <v/>
      </c>
      <c r="Q59" s="160">
        <f>IF($C$28="perDraw",Q54,Q53)</f>
        <v/>
      </c>
      <c r="R59" s="160">
        <f>IF($C$28="perDraw",R54,R53)</f>
        <v/>
      </c>
      <c r="S59" s="160">
        <f>IF($C$28="perDraw",S54,S53)</f>
        <v/>
      </c>
      <c r="T59" s="160">
        <f>IF($C$28="perDraw",T54,T53)</f>
        <v/>
      </c>
      <c r="U59" s="160">
        <f>IF($C$28="perDraw",U54,U53)</f>
        <v/>
      </c>
      <c r="V59" s="160">
        <f>IF($C$28="perDraw",V54,V53)</f>
        <v/>
      </c>
      <c r="W59" s="160">
        <f>IF($C$28="perDraw",W54,W53)</f>
        <v/>
      </c>
      <c r="X59" s="160">
        <f>IF($C$28="perDraw",X54,X53)</f>
        <v/>
      </c>
      <c r="Y59" s="160">
        <f>IF($C$28="perDraw",Y54,Y53)</f>
        <v/>
      </c>
      <c r="Z59" s="160">
        <f>IF($C$28="perDraw",Z54,Z53)</f>
        <v/>
      </c>
      <c r="AA59" s="160">
        <f>IF($C$28="perDraw",AA54,AA53)</f>
        <v/>
      </c>
      <c r="AB59" s="160">
        <f>IF($C$28="perDraw",AB54,AB53)</f>
        <v/>
      </c>
      <c r="AC59" s="160">
        <f>IF($C$28="perDraw",AC54,AC53)</f>
        <v/>
      </c>
      <c r="AD59" s="160">
        <f>IF($C$28="perDraw",AD54,AD53)</f>
        <v/>
      </c>
      <c r="AE59" s="160">
        <f>IF($C$28="perDraw",AE54,AE53)</f>
        <v/>
      </c>
      <c r="AF59" s="160">
        <f>IF($C$28="perDraw",AF54,AF53)</f>
        <v/>
      </c>
      <c r="AG59" s="160">
        <f>IF($C$28="perDraw",AG54,AG53)</f>
        <v/>
      </c>
      <c r="AH59" s="160">
        <f>IF($C$28="perDraw",AH54,AH53)</f>
        <v/>
      </c>
      <c r="AI59" s="160">
        <f>IF($C$28="perDraw",AI54,AI53)</f>
        <v/>
      </c>
      <c r="AJ59" s="160">
        <f>IF($C$28="perDraw",AJ54,AJ53)</f>
        <v/>
      </c>
      <c r="AK59" s="160">
        <f>IF($C$28="perDraw",AK54,AK53)</f>
        <v/>
      </c>
      <c r="AL59" s="160">
        <f>IF($C$28="perDraw",AL54,AL53)</f>
        <v/>
      </c>
      <c r="AM59" s="160">
        <f>IF($C$28="perDraw",AM54,AM53)</f>
        <v/>
      </c>
      <c r="AN59" s="160">
        <f>IF($C$28="perDraw",AN54,AN53)</f>
        <v/>
      </c>
      <c r="AO59" s="160">
        <f>IF($C$28="perDraw",AO54,AO53)</f>
        <v/>
      </c>
      <c r="AP59" s="160">
        <f>IF($C$28="perDraw",AP54,AP53)</f>
        <v/>
      </c>
      <c r="AQ59" s="160">
        <f>IF($C$28="perDraw",AQ54,AQ53)</f>
        <v/>
      </c>
      <c r="AR59" s="160">
        <f>IF($C$28="perDraw",AR54,AR53)</f>
        <v/>
      </c>
      <c r="AS59" s="160">
        <f>IF($C$28="perDraw",AS54,AS53)</f>
        <v/>
      </c>
      <c r="AT59" s="160">
        <f>IF($C$28="perDraw",AT54,AT53)</f>
        <v/>
      </c>
      <c r="AU59" s="160">
        <f>IF($C$28="perDraw",AU54,AU53)</f>
        <v/>
      </c>
      <c r="AV59" s="160">
        <f>IF($C$28="perDraw",AV54,AV53)</f>
        <v/>
      </c>
      <c r="AW59" s="160">
        <f>IF($C$28="perDraw",AW54,AW53)</f>
        <v/>
      </c>
      <c r="AX59" s="160">
        <f>IF($C$28="perDraw",AX54,AX53)</f>
        <v/>
      </c>
      <c r="AY59" s="160">
        <f>IF($C$28="perDraw",AY54,AY53)</f>
        <v/>
      </c>
      <c r="AZ59" s="160">
        <f>IF($C$28="perDraw",AZ54,AZ53)</f>
        <v/>
      </c>
      <c r="BA59" s="160">
        <f>IF($C$28="perDraw",BA54,BA53)</f>
        <v/>
      </c>
      <c r="BB59" s="160">
        <f>IF($C$28="perDraw",BB54,BB53)</f>
        <v/>
      </c>
    </row>
    <row r="60" ht="15" customHeight="1" s="91">
      <c r="B60" s="153" t="inlineStr">
        <is>
          <t>Debt Balance (Close)  رصيد الدين نهاية السنة</t>
        </is>
      </c>
      <c r="C60" s="153" t="inlineStr">
        <is>
          <t>SAR</t>
        </is>
      </c>
      <c r="D60" s="160">
        <f>SUM(E60:BB60)</f>
        <v/>
      </c>
      <c r="E60" s="160">
        <f>MAX(0,E58+E57+E59)</f>
        <v/>
      </c>
      <c r="F60" s="160">
        <f>MAX(0,F58+F57+F59)</f>
        <v/>
      </c>
      <c r="G60" s="160">
        <f>MAX(0,G58+G57+G59)</f>
        <v/>
      </c>
      <c r="H60" s="160">
        <f>MAX(0,H58+H57+H59)</f>
        <v/>
      </c>
      <c r="I60" s="160">
        <f>MAX(0,I58+I57+I59)</f>
        <v/>
      </c>
      <c r="J60" s="160">
        <f>MAX(0,J58+J57+J59)</f>
        <v/>
      </c>
      <c r="K60" s="160">
        <f>MAX(0,K58+K57+K59)</f>
        <v/>
      </c>
      <c r="L60" s="160">
        <f>MAX(0,L58+L57+L59)</f>
        <v/>
      </c>
      <c r="M60" s="160">
        <f>MAX(0,M58+M57+M59)</f>
        <v/>
      </c>
      <c r="N60" s="160">
        <f>MAX(0,N58+N57+N59)</f>
        <v/>
      </c>
      <c r="O60" s="160">
        <f>MAX(0,O58+O57+O59)</f>
        <v/>
      </c>
      <c r="P60" s="160">
        <f>MAX(0,P58+P57+P59)</f>
        <v/>
      </c>
      <c r="Q60" s="160">
        <f>MAX(0,Q58+Q57+Q59)</f>
        <v/>
      </c>
      <c r="R60" s="160">
        <f>MAX(0,R58+R57+R59)</f>
        <v/>
      </c>
      <c r="S60" s="160">
        <f>MAX(0,S58+S57+S59)</f>
        <v/>
      </c>
      <c r="T60" s="160">
        <f>MAX(0,T58+T57+T59)</f>
        <v/>
      </c>
      <c r="U60" s="160">
        <f>MAX(0,U58+U57+U59)</f>
        <v/>
      </c>
      <c r="V60" s="160">
        <f>MAX(0,V58+V57+V59)</f>
        <v/>
      </c>
      <c r="W60" s="160">
        <f>MAX(0,W58+W57+W59)</f>
        <v/>
      </c>
      <c r="X60" s="160">
        <f>MAX(0,X58+X57+X59)</f>
        <v/>
      </c>
      <c r="Y60" s="160">
        <f>MAX(0,Y58+Y57+Y59)</f>
        <v/>
      </c>
      <c r="Z60" s="160">
        <f>MAX(0,Z58+Z57+Z59)</f>
        <v/>
      </c>
      <c r="AA60" s="160">
        <f>MAX(0,AA58+AA57+AA59)</f>
        <v/>
      </c>
      <c r="AB60" s="160">
        <f>MAX(0,AB58+AB57+AB59)</f>
        <v/>
      </c>
      <c r="AC60" s="160">
        <f>MAX(0,AC58+AC57+AC59)</f>
        <v/>
      </c>
      <c r="AD60" s="160">
        <f>MAX(0,AD58+AD57+AD59)</f>
        <v/>
      </c>
      <c r="AE60" s="160">
        <f>MAX(0,AE58+AE57+AE59)</f>
        <v/>
      </c>
      <c r="AF60" s="160">
        <f>MAX(0,AF58+AF57+AF59)</f>
        <v/>
      </c>
      <c r="AG60" s="160">
        <f>MAX(0,AG58+AG57+AG59)</f>
        <v/>
      </c>
      <c r="AH60" s="160">
        <f>MAX(0,AH58+AH57+AH59)</f>
        <v/>
      </c>
      <c r="AI60" s="160">
        <f>MAX(0,AI58+AI57+AI59)</f>
        <v/>
      </c>
      <c r="AJ60" s="160">
        <f>MAX(0,AJ58+AJ57+AJ59)</f>
        <v/>
      </c>
      <c r="AK60" s="160">
        <f>MAX(0,AK58+AK57+AK59)</f>
        <v/>
      </c>
      <c r="AL60" s="160">
        <f>MAX(0,AL58+AL57+AL59)</f>
        <v/>
      </c>
      <c r="AM60" s="160">
        <f>MAX(0,AM58+AM57+AM59)</f>
        <v/>
      </c>
      <c r="AN60" s="160">
        <f>MAX(0,AN58+AN57+AN59)</f>
        <v/>
      </c>
      <c r="AO60" s="160">
        <f>MAX(0,AO58+AO57+AO59)</f>
        <v/>
      </c>
      <c r="AP60" s="160">
        <f>MAX(0,AP58+AP57+AP59)</f>
        <v/>
      </c>
      <c r="AQ60" s="160">
        <f>MAX(0,AQ58+AQ57+AQ59)</f>
        <v/>
      </c>
      <c r="AR60" s="160">
        <f>MAX(0,AR58+AR57+AR59)</f>
        <v/>
      </c>
      <c r="AS60" s="160">
        <f>MAX(0,AS58+AS57+AS59)</f>
        <v/>
      </c>
      <c r="AT60" s="160">
        <f>MAX(0,AT58+AT57+AT59)</f>
        <v/>
      </c>
      <c r="AU60" s="160">
        <f>MAX(0,AU58+AU57+AU59)</f>
        <v/>
      </c>
      <c r="AV60" s="160">
        <f>MAX(0,AV58+AV57+AV59)</f>
        <v/>
      </c>
      <c r="AW60" s="160">
        <f>MAX(0,AW58+AW57+AW59)</f>
        <v/>
      </c>
      <c r="AX60" s="160">
        <f>MAX(0,AX58+AX57+AX59)</f>
        <v/>
      </c>
      <c r="AY60" s="160">
        <f>MAX(0,AY58+AY57+AY59)</f>
        <v/>
      </c>
      <c r="AZ60" s="160">
        <f>MAX(0,AZ58+AZ57+AZ59)</f>
        <v/>
      </c>
      <c r="BA60" s="160">
        <f>MAX(0,BA58+BA57+BA59)</f>
        <v/>
      </c>
      <c r="BB60" s="160">
        <f>MAX(0,BB58+BB57+BB59)</f>
        <v/>
      </c>
    </row>
    <row r="61" ht="15" customHeight="1" s="91">
      <c r="B61" s="153" t="inlineStr">
        <is>
          <t>Debt Interest  تكلفة التمويل</t>
        </is>
      </c>
      <c r="C61" s="153" t="inlineStr">
        <is>
          <t>SAR</t>
        </is>
      </c>
      <c r="D61" s="157">
        <f>SUM(E61:BB61)</f>
        <v/>
      </c>
      <c r="E61" s="160">
        <f>IF(AND($C$22="Y",E58+E60&gt;0),-(E58+E60)/2*$C$23,0)-ABS(E57)*$C$25</f>
        <v/>
      </c>
      <c r="F61" s="160">
        <f>IF(AND($C$22="Y",F58+F60&gt;0),-(F58+F60)/2*$C$23,0)-ABS(F57)*$C$25</f>
        <v/>
      </c>
      <c r="G61" s="160">
        <f>IF(AND($C$22="Y",G58+G60&gt;0),-(G58+G60)/2*$C$23,0)-ABS(G57)*$C$25</f>
        <v/>
      </c>
      <c r="H61" s="160">
        <f>IF(AND($C$22="Y",H58+H60&gt;0),-(H58+H60)/2*$C$23,0)-ABS(H57)*$C$25</f>
        <v/>
      </c>
      <c r="I61" s="160">
        <f>IF(AND($C$22="Y",I58+I60&gt;0),-(I58+I60)/2*$C$23,0)-ABS(I57)*$C$25</f>
        <v/>
      </c>
      <c r="J61" s="160">
        <f>IF(AND($C$22="Y",J58+J60&gt;0),-(J58+J60)/2*$C$23,0)-ABS(J57)*$C$25</f>
        <v/>
      </c>
      <c r="K61" s="160">
        <f>IF(AND($C$22="Y",K58+K60&gt;0),-(K58+K60)/2*$C$23,0)-ABS(K57)*$C$25</f>
        <v/>
      </c>
      <c r="L61" s="160">
        <f>IF(AND($C$22="Y",L58+L60&gt;0),-(L58+L60)/2*$C$23,0)-ABS(L57)*$C$25</f>
        <v/>
      </c>
      <c r="M61" s="160">
        <f>IF(AND($C$22="Y",M58+M60&gt;0),-(M58+M60)/2*$C$23,0)-ABS(M57)*$C$25</f>
        <v/>
      </c>
      <c r="N61" s="160">
        <f>IF(AND($C$22="Y",N58+N60&gt;0),-(N58+N60)/2*$C$23,0)-ABS(N57)*$C$25</f>
        <v/>
      </c>
      <c r="O61" s="160">
        <f>IF(AND($C$22="Y",O58+O60&gt;0),-(O58+O60)/2*$C$23,0)-ABS(O57)*$C$25</f>
        <v/>
      </c>
      <c r="P61" s="160">
        <f>IF(AND($C$22="Y",P58+P60&gt;0),-(P58+P60)/2*$C$23,0)-ABS(P57)*$C$25</f>
        <v/>
      </c>
      <c r="Q61" s="160">
        <f>IF(AND($C$22="Y",Q58+Q60&gt;0),-(Q58+Q60)/2*$C$23,0)-ABS(Q57)*$C$25</f>
        <v/>
      </c>
      <c r="R61" s="160">
        <f>IF(AND($C$22="Y",R58+R60&gt;0),-(R58+R60)/2*$C$23,0)-ABS(R57)*$C$25</f>
        <v/>
      </c>
      <c r="S61" s="160">
        <f>IF(AND($C$22="Y",S58+S60&gt;0),-(S58+S60)/2*$C$23,0)-ABS(S57)*$C$25</f>
        <v/>
      </c>
      <c r="T61" s="160">
        <f>IF(AND($C$22="Y",T58+T60&gt;0),-(T58+T60)/2*$C$23,0)-ABS(T57)*$C$25</f>
        <v/>
      </c>
      <c r="U61" s="160">
        <f>IF(AND($C$22="Y",U58+U60&gt;0),-(U58+U60)/2*$C$23,0)-ABS(U57)*$C$25</f>
        <v/>
      </c>
      <c r="V61" s="160">
        <f>IF(AND($C$22="Y",V58+V60&gt;0),-(V58+V60)/2*$C$23,0)-ABS(V57)*$C$25</f>
        <v/>
      </c>
      <c r="W61" s="160">
        <f>IF(AND($C$22="Y",W58+W60&gt;0),-(W58+W60)/2*$C$23,0)-ABS(W57)*$C$25</f>
        <v/>
      </c>
      <c r="X61" s="160">
        <f>IF(AND($C$22="Y",X58+X60&gt;0),-(X58+X60)/2*$C$23,0)-ABS(X57)*$C$25</f>
        <v/>
      </c>
      <c r="Y61" s="160">
        <f>IF(AND($C$22="Y",Y58+Y60&gt;0),-(Y58+Y60)/2*$C$23,0)-ABS(Y57)*$C$25</f>
        <v/>
      </c>
      <c r="Z61" s="160">
        <f>IF(AND($C$22="Y",Z58+Z60&gt;0),-(Z58+Z60)/2*$C$23,0)-ABS(Z57)*$C$25</f>
        <v/>
      </c>
      <c r="AA61" s="160">
        <f>IF(AND($C$22="Y",AA58+AA60&gt;0),-(AA58+AA60)/2*$C$23,0)-ABS(AA57)*$C$25</f>
        <v/>
      </c>
      <c r="AB61" s="160">
        <f>IF(AND($C$22="Y",AB58+AB60&gt;0),-(AB58+AB60)/2*$C$23,0)-ABS(AB57)*$C$25</f>
        <v/>
      </c>
      <c r="AC61" s="160">
        <f>IF(AND($C$22="Y",AC58+AC60&gt;0),-(AC58+AC60)/2*$C$23,0)-ABS(AC57)*$C$25</f>
        <v/>
      </c>
      <c r="AD61" s="160">
        <f>IF(AND($C$22="Y",AD58+AD60&gt;0),-(AD58+AD60)/2*$C$23,0)-ABS(AD57)*$C$25</f>
        <v/>
      </c>
      <c r="AE61" s="160">
        <f>IF(AND($C$22="Y",AE58+AE60&gt;0),-(AE58+AE60)/2*$C$23,0)-ABS(AE57)*$C$25</f>
        <v/>
      </c>
      <c r="AF61" s="160">
        <f>IF(AND($C$22="Y",AF58+AF60&gt;0),-(AF58+AF60)/2*$C$23,0)-ABS(AF57)*$C$25</f>
        <v/>
      </c>
      <c r="AG61" s="160">
        <f>IF(AND($C$22="Y",AG58+AG60&gt;0),-(AG58+AG60)/2*$C$23,0)-ABS(AG57)*$C$25</f>
        <v/>
      </c>
      <c r="AH61" s="160">
        <f>IF(AND($C$22="Y",AH58+AH60&gt;0),-(AH58+AH60)/2*$C$23,0)-ABS(AH57)*$C$25</f>
        <v/>
      </c>
      <c r="AI61" s="160">
        <f>IF(AND($C$22="Y",AI58+AI60&gt;0),-(AI58+AI60)/2*$C$23,0)-ABS(AI57)*$C$25</f>
        <v/>
      </c>
      <c r="AJ61" s="160">
        <f>IF(AND($C$22="Y",AJ58+AJ60&gt;0),-(AJ58+AJ60)/2*$C$23,0)-ABS(AJ57)*$C$25</f>
        <v/>
      </c>
      <c r="AK61" s="160">
        <f>IF(AND($C$22="Y",AK58+AK60&gt;0),-(AK58+AK60)/2*$C$23,0)-ABS(AK57)*$C$25</f>
        <v/>
      </c>
      <c r="AL61" s="160">
        <f>IF(AND($C$22="Y",AL58+AL60&gt;0),-(AL58+AL60)/2*$C$23,0)-ABS(AL57)*$C$25</f>
        <v/>
      </c>
      <c r="AM61" s="160">
        <f>IF(AND($C$22="Y",AM58+AM60&gt;0),-(AM58+AM60)/2*$C$23,0)-ABS(AM57)*$C$25</f>
        <v/>
      </c>
      <c r="AN61" s="160">
        <f>IF(AND($C$22="Y",AN58+AN60&gt;0),-(AN58+AN60)/2*$C$23,0)-ABS(AN57)*$C$25</f>
        <v/>
      </c>
      <c r="AO61" s="160">
        <f>IF(AND($C$22="Y",AO58+AO60&gt;0),-(AO58+AO60)/2*$C$23,0)-ABS(AO57)*$C$25</f>
        <v/>
      </c>
      <c r="AP61" s="160">
        <f>IF(AND($C$22="Y",AP58+AP60&gt;0),-(AP58+AP60)/2*$C$23,0)-ABS(AP57)*$C$25</f>
        <v/>
      </c>
      <c r="AQ61" s="160">
        <f>IF(AND($C$22="Y",AQ58+AQ60&gt;0),-(AQ58+AQ60)/2*$C$23,0)-ABS(AQ57)*$C$25</f>
        <v/>
      </c>
      <c r="AR61" s="160">
        <f>IF(AND($C$22="Y",AR58+AR60&gt;0),-(AR58+AR60)/2*$C$23,0)-ABS(AR57)*$C$25</f>
        <v/>
      </c>
      <c r="AS61" s="160">
        <f>IF(AND($C$22="Y",AS58+AS60&gt;0),-(AS58+AS60)/2*$C$23,0)-ABS(AS57)*$C$25</f>
        <v/>
      </c>
      <c r="AT61" s="160">
        <f>IF(AND($C$22="Y",AT58+AT60&gt;0),-(AT58+AT60)/2*$C$23,0)-ABS(AT57)*$C$25</f>
        <v/>
      </c>
      <c r="AU61" s="160">
        <f>IF(AND($C$22="Y",AU58+AU60&gt;0),-(AU58+AU60)/2*$C$23,0)-ABS(AU57)*$C$25</f>
        <v/>
      </c>
      <c r="AV61" s="160">
        <f>IF(AND($C$22="Y",AV58+AV60&gt;0),-(AV58+AV60)/2*$C$23,0)-ABS(AV57)*$C$25</f>
        <v/>
      </c>
      <c r="AW61" s="160">
        <f>IF(AND($C$22="Y",AW58+AW60&gt;0),-(AW58+AW60)/2*$C$23,0)-ABS(AW57)*$C$25</f>
        <v/>
      </c>
      <c r="AX61" s="160">
        <f>IF(AND($C$22="Y",AX58+AX60&gt;0),-(AX58+AX60)/2*$C$23,0)-ABS(AX57)*$C$25</f>
        <v/>
      </c>
      <c r="AY61" s="160">
        <f>IF(AND($C$22="Y",AY58+AY60&gt;0),-(AY58+AY60)/2*$C$23,0)-ABS(AY57)*$C$25</f>
        <v/>
      </c>
      <c r="AZ61" s="160">
        <f>IF(AND($C$22="Y",AZ58+AZ60&gt;0),-(AZ58+AZ60)/2*$C$23,0)-ABS(AZ57)*$C$25</f>
        <v/>
      </c>
      <c r="BA61" s="160">
        <f>IF(AND($C$22="Y",BA58+BA60&gt;0),-(BA58+BA60)/2*$C$23,0)-ABS(BA57)*$C$25</f>
        <v/>
      </c>
      <c r="BB61" s="160">
        <f>IF(AND($C$22="Y",BB58+BB60&gt;0),-(BB58+BB60)/2*$C$23,0)-ABS(BB57)*$C$25</f>
        <v/>
      </c>
    </row>
    <row r="62" ht="15" customHeight="1" s="91">
      <c r="B62" s="110" t="inlineStr">
        <is>
          <t>Total Debt Service  إجمالي خدمة الدين</t>
        </is>
      </c>
      <c r="C62" s="153" t="inlineStr">
        <is>
          <t>SAR</t>
        </is>
      </c>
      <c r="D62" s="157">
        <f>SUM(E62:BB62)</f>
        <v/>
      </c>
      <c r="E62" s="157">
        <f>E59+E61</f>
        <v/>
      </c>
      <c r="F62" s="157">
        <f>F59+F61</f>
        <v/>
      </c>
      <c r="G62" s="157">
        <f>G59+G61</f>
        <v/>
      </c>
      <c r="H62" s="157">
        <f>H59+H61</f>
        <v/>
      </c>
      <c r="I62" s="157">
        <f>I59+I61</f>
        <v/>
      </c>
      <c r="J62" s="157">
        <f>J59+J61</f>
        <v/>
      </c>
      <c r="K62" s="157">
        <f>K59+K61</f>
        <v/>
      </c>
      <c r="L62" s="157">
        <f>L59+L61</f>
        <v/>
      </c>
      <c r="M62" s="157">
        <f>M59+M61</f>
        <v/>
      </c>
      <c r="N62" s="157">
        <f>N59+N61</f>
        <v/>
      </c>
      <c r="O62" s="157">
        <f>O59+O61</f>
        <v/>
      </c>
      <c r="P62" s="157">
        <f>P59+P61</f>
        <v/>
      </c>
      <c r="Q62" s="157">
        <f>Q59+Q61</f>
        <v/>
      </c>
      <c r="R62" s="157">
        <f>R59+R61</f>
        <v/>
      </c>
      <c r="S62" s="157">
        <f>S59+S61</f>
        <v/>
      </c>
      <c r="T62" s="157">
        <f>T59+T61</f>
        <v/>
      </c>
      <c r="U62" s="157">
        <f>U59+U61</f>
        <v/>
      </c>
      <c r="V62" s="157">
        <f>V59+V61</f>
        <v/>
      </c>
      <c r="W62" s="157">
        <f>W59+W61</f>
        <v/>
      </c>
      <c r="X62" s="157">
        <f>X59+X61</f>
        <v/>
      </c>
      <c r="Y62" s="157">
        <f>Y59+Y61</f>
        <v/>
      </c>
      <c r="Z62" s="157">
        <f>Z59+Z61</f>
        <v/>
      </c>
      <c r="AA62" s="157">
        <f>AA59+AA61</f>
        <v/>
      </c>
      <c r="AB62" s="157">
        <f>AB59+AB61</f>
        <v/>
      </c>
      <c r="AC62" s="157">
        <f>AC59+AC61</f>
        <v/>
      </c>
      <c r="AD62" s="157">
        <f>AD59+AD61</f>
        <v/>
      </c>
      <c r="AE62" s="157">
        <f>AE59+AE61</f>
        <v/>
      </c>
      <c r="AF62" s="157">
        <f>AF59+AF61</f>
        <v/>
      </c>
      <c r="AG62" s="157">
        <f>AG59+AG61</f>
        <v/>
      </c>
      <c r="AH62" s="157">
        <f>AH59+AH61</f>
        <v/>
      </c>
      <c r="AI62" s="157">
        <f>AI59+AI61</f>
        <v/>
      </c>
      <c r="AJ62" s="157">
        <f>AJ59+AJ61</f>
        <v/>
      </c>
      <c r="AK62" s="157">
        <f>AK59+AK61</f>
        <v/>
      </c>
      <c r="AL62" s="157">
        <f>AL59+AL61</f>
        <v/>
      </c>
      <c r="AM62" s="157">
        <f>AM59+AM61</f>
        <v/>
      </c>
      <c r="AN62" s="157">
        <f>AN59+AN61</f>
        <v/>
      </c>
      <c r="AO62" s="157">
        <f>AO59+AO61</f>
        <v/>
      </c>
      <c r="AP62" s="157">
        <f>AP59+AP61</f>
        <v/>
      </c>
      <c r="AQ62" s="157">
        <f>AQ59+AQ61</f>
        <v/>
      </c>
      <c r="AR62" s="157">
        <f>AR59+AR61</f>
        <v/>
      </c>
      <c r="AS62" s="157">
        <f>AS59+AS61</f>
        <v/>
      </c>
      <c r="AT62" s="157">
        <f>AT59+AT61</f>
        <v/>
      </c>
      <c r="AU62" s="157">
        <f>AU59+AU61</f>
        <v/>
      </c>
      <c r="AV62" s="157">
        <f>AV59+AV61</f>
        <v/>
      </c>
      <c r="AW62" s="157">
        <f>AW59+AW61</f>
        <v/>
      </c>
      <c r="AX62" s="157">
        <f>AX59+AX61</f>
        <v/>
      </c>
      <c r="AY62" s="157">
        <f>AY59+AY61</f>
        <v/>
      </c>
      <c r="AZ62" s="157">
        <f>AZ59+AZ61</f>
        <v/>
      </c>
      <c r="BA62" s="157">
        <f>BA59+BA61</f>
        <v/>
      </c>
      <c r="BB62" s="157">
        <f>BB59+BB61</f>
        <v/>
      </c>
    </row>
    <row r="63" ht="15" customHeight="1" s="91">
      <c r="B63" s="90" t="inlineStr">
        <is>
          <t>Other Fund Fees  رسوم أخرى</t>
        </is>
      </c>
      <c r="D63" s="90">
        <f>SUM(E63:BB63)</f>
        <v/>
      </c>
      <c r="E63" s="90">
        <f>IF(E$46=$C$9,Inputs!G$145+Inputs!G$146+$C$17*Inputs!G$150,0)+IF(AND(E$46&gt;=$C$9,E$46&lt;=$C$41),Inputs!G$147,0)+IF(AND(E$46&gt;=$C$9,E$46&lt;=$C$41,E47&gt;0),MIN(Inputs!G$149,$C$17*Inputs!G$148),0)</f>
        <v/>
      </c>
      <c r="F63" s="90">
        <f>IF(F$46=$C$9,Inputs!G$145+Inputs!G$146+$C$17*Inputs!G$150,0)+IF(AND(F$46&gt;=$C$9,F$46&lt;=$C$41),Inputs!G$147,0)+IF(AND(F$46&gt;=$C$9,F$46&lt;=$C$41,F47&gt;0),MIN(Inputs!G$149,$C$17*Inputs!G$148),0)</f>
        <v/>
      </c>
      <c r="G63" s="90">
        <f>IF(G$46=$C$9,Inputs!G$145+Inputs!G$146+$C$17*Inputs!G$150,0)+IF(AND(G$46&gt;=$C$9,G$46&lt;=$C$41),Inputs!G$147,0)+IF(AND(G$46&gt;=$C$9,G$46&lt;=$C$41,G47&gt;0),MIN(Inputs!G$149,$C$17*Inputs!G$148),0)</f>
        <v/>
      </c>
      <c r="H63" s="90">
        <f>IF(H$46=$C$9,Inputs!G$145+Inputs!G$146+$C$17*Inputs!G$150,0)+IF(AND(H$46&gt;=$C$9,H$46&lt;=$C$41),Inputs!G$147,0)+IF(AND(H$46&gt;=$C$9,H$46&lt;=$C$41,H47&gt;0),MIN(Inputs!G$149,$C$17*Inputs!G$148),0)</f>
        <v/>
      </c>
      <c r="I63" s="90">
        <f>IF(I$46=$C$9,Inputs!G$145+Inputs!G$146+$C$17*Inputs!G$150,0)+IF(AND(I$46&gt;=$C$9,I$46&lt;=$C$41),Inputs!G$147,0)+IF(AND(I$46&gt;=$C$9,I$46&lt;=$C$41,I47&gt;0),MIN(Inputs!G$149,$C$17*Inputs!G$148),0)</f>
        <v/>
      </c>
      <c r="J63" s="90">
        <f>IF(J$46=$C$9,Inputs!G$145+Inputs!G$146+$C$17*Inputs!G$150,0)+IF(AND(J$46&gt;=$C$9,J$46&lt;=$C$41),Inputs!G$147,0)+IF(AND(J$46&gt;=$C$9,J$46&lt;=$C$41,J47&gt;0),MIN(Inputs!G$149,$C$17*Inputs!G$148),0)</f>
        <v/>
      </c>
      <c r="K63" s="90">
        <f>IF(K$46=$C$9,Inputs!G$145+Inputs!G$146+$C$17*Inputs!G$150,0)+IF(AND(K$46&gt;=$C$9,K$46&lt;=$C$41),Inputs!G$147,0)+IF(AND(K$46&gt;=$C$9,K$46&lt;=$C$41,K47&gt;0),MIN(Inputs!G$149,$C$17*Inputs!G$148),0)</f>
        <v/>
      </c>
      <c r="L63" s="90">
        <f>IF(L$46=$C$9,Inputs!G$145+Inputs!G$146+$C$17*Inputs!G$150,0)+IF(AND(L$46&gt;=$C$9,L$46&lt;=$C$41),Inputs!G$147,0)+IF(AND(L$46&gt;=$C$9,L$46&lt;=$C$41,L47&gt;0),MIN(Inputs!G$149,$C$17*Inputs!G$148),0)</f>
        <v/>
      </c>
      <c r="M63" s="90">
        <f>IF(M$46=$C$9,Inputs!G$145+Inputs!G$146+$C$17*Inputs!G$150,0)+IF(AND(M$46&gt;=$C$9,M$46&lt;=$C$41),Inputs!G$147,0)+IF(AND(M$46&gt;=$C$9,M$46&lt;=$C$41,M47&gt;0),MIN(Inputs!G$149,$C$17*Inputs!G$148),0)</f>
        <v/>
      </c>
      <c r="N63" s="90">
        <f>IF(N$46=$C$9,Inputs!G$145+Inputs!G$146+$C$17*Inputs!G$150,0)+IF(AND(N$46&gt;=$C$9,N$46&lt;=$C$41),Inputs!G$147,0)+IF(AND(N$46&gt;=$C$9,N$46&lt;=$C$41,N47&gt;0),MIN(Inputs!G$149,$C$17*Inputs!G$148),0)</f>
        <v/>
      </c>
      <c r="O63" s="90">
        <f>IF(O$46=$C$9,Inputs!G$145+Inputs!G$146+$C$17*Inputs!G$150,0)+IF(AND(O$46&gt;=$C$9,O$46&lt;=$C$41),Inputs!G$147,0)+IF(AND(O$46&gt;=$C$9,O$46&lt;=$C$41,O47&gt;0),MIN(Inputs!G$149,$C$17*Inputs!G$148),0)</f>
        <v/>
      </c>
      <c r="P63" s="90">
        <f>IF(P$46=$C$9,Inputs!G$145+Inputs!G$146+$C$17*Inputs!G$150,0)+IF(AND(P$46&gt;=$C$9,P$46&lt;=$C$41),Inputs!G$147,0)+IF(AND(P$46&gt;=$C$9,P$46&lt;=$C$41,P47&gt;0),MIN(Inputs!G$149,$C$17*Inputs!G$148),0)</f>
        <v/>
      </c>
      <c r="Q63" s="90">
        <f>IF(Q$46=$C$9,Inputs!G$145+Inputs!G$146+$C$17*Inputs!G$150,0)+IF(AND(Q$46&gt;=$C$9,Q$46&lt;=$C$41),Inputs!G$147,0)+IF(AND(Q$46&gt;=$C$9,Q$46&lt;=$C$41,Q47&gt;0),MIN(Inputs!G$149,$C$17*Inputs!G$148),0)</f>
        <v/>
      </c>
      <c r="R63" s="90">
        <f>IF(R$46=$C$9,Inputs!G$145+Inputs!G$146+$C$17*Inputs!G$150,0)+IF(AND(R$46&gt;=$C$9,R$46&lt;=$C$41),Inputs!G$147,0)+IF(AND(R$46&gt;=$C$9,R$46&lt;=$C$41,R47&gt;0),MIN(Inputs!G$149,$C$17*Inputs!G$148),0)</f>
        <v/>
      </c>
      <c r="S63" s="90">
        <f>IF(S$46=$C$9,Inputs!G$145+Inputs!G$146+$C$17*Inputs!G$150,0)+IF(AND(S$46&gt;=$C$9,S$46&lt;=$C$41),Inputs!G$147,0)+IF(AND(S$46&gt;=$C$9,S$46&lt;=$C$41,S47&gt;0),MIN(Inputs!G$149,$C$17*Inputs!G$148),0)</f>
        <v/>
      </c>
      <c r="T63" s="90">
        <f>IF(T$46=$C$9,Inputs!G$145+Inputs!G$146+$C$17*Inputs!G$150,0)+IF(AND(T$46&gt;=$C$9,T$46&lt;=$C$41),Inputs!G$147,0)+IF(AND(T$46&gt;=$C$9,T$46&lt;=$C$41,T47&gt;0),MIN(Inputs!G$149,$C$17*Inputs!G$148),0)</f>
        <v/>
      </c>
      <c r="U63" s="90">
        <f>IF(U$46=$C$9,Inputs!G$145+Inputs!G$146+$C$17*Inputs!G$150,0)+IF(AND(U$46&gt;=$C$9,U$46&lt;=$C$41),Inputs!G$147,0)+IF(AND(U$46&gt;=$C$9,U$46&lt;=$C$41,U47&gt;0),MIN(Inputs!G$149,$C$17*Inputs!G$148),0)</f>
        <v/>
      </c>
      <c r="V63" s="90">
        <f>IF(V$46=$C$9,Inputs!G$145+Inputs!G$146+$C$17*Inputs!G$150,0)+IF(AND(V$46&gt;=$C$9,V$46&lt;=$C$41),Inputs!G$147,0)+IF(AND(V$46&gt;=$C$9,V$46&lt;=$C$41,V47&gt;0),MIN(Inputs!G$149,$C$17*Inputs!G$148),0)</f>
        <v/>
      </c>
      <c r="W63" s="90">
        <f>IF(W$46=$C$9,Inputs!G$145+Inputs!G$146+$C$17*Inputs!G$150,0)+IF(AND(W$46&gt;=$C$9,W$46&lt;=$C$41),Inputs!G$147,0)+IF(AND(W$46&gt;=$C$9,W$46&lt;=$C$41,W47&gt;0),MIN(Inputs!G$149,$C$17*Inputs!G$148),0)</f>
        <v/>
      </c>
      <c r="X63" s="90">
        <f>IF(X$46=$C$9,Inputs!G$145+Inputs!G$146+$C$17*Inputs!G$150,0)+IF(AND(X$46&gt;=$C$9,X$46&lt;=$C$41),Inputs!G$147,0)+IF(AND(X$46&gt;=$C$9,X$46&lt;=$C$41,X47&gt;0),MIN(Inputs!G$149,$C$17*Inputs!G$148),0)</f>
        <v/>
      </c>
      <c r="Y63" s="90">
        <f>IF(Y$46=$C$9,Inputs!G$145+Inputs!G$146+$C$17*Inputs!G$150,0)+IF(AND(Y$46&gt;=$C$9,Y$46&lt;=$C$41),Inputs!G$147,0)+IF(AND(Y$46&gt;=$C$9,Y$46&lt;=$C$41,Y47&gt;0),MIN(Inputs!G$149,$C$17*Inputs!G$148),0)</f>
        <v/>
      </c>
      <c r="Z63" s="90">
        <f>IF(Z$46=$C$9,Inputs!G$145+Inputs!G$146+$C$17*Inputs!G$150,0)+IF(AND(Z$46&gt;=$C$9,Z$46&lt;=$C$41),Inputs!G$147,0)+IF(AND(Z$46&gt;=$C$9,Z$46&lt;=$C$41,Z47&gt;0),MIN(Inputs!G$149,$C$17*Inputs!G$148),0)</f>
        <v/>
      </c>
      <c r="AA63" s="90">
        <f>IF(AA$46=$C$9,Inputs!G$145+Inputs!G$146+$C$17*Inputs!G$150,0)+IF(AND(AA$46&gt;=$C$9,AA$46&lt;=$C$41),Inputs!G$147,0)+IF(AND(AA$46&gt;=$C$9,AA$46&lt;=$C$41,AA47&gt;0),MIN(Inputs!G$149,$C$17*Inputs!G$148),0)</f>
        <v/>
      </c>
      <c r="AB63" s="90">
        <f>IF(AB$46=$C$9,Inputs!G$145+Inputs!G$146+$C$17*Inputs!G$150,0)+IF(AND(AB$46&gt;=$C$9,AB$46&lt;=$C$41),Inputs!G$147,0)+IF(AND(AB$46&gt;=$C$9,AB$46&lt;=$C$41,AB47&gt;0),MIN(Inputs!G$149,$C$17*Inputs!G$148),0)</f>
        <v/>
      </c>
      <c r="AC63" s="90">
        <f>IF(AC$46=$C$9,Inputs!G$145+Inputs!G$146+$C$17*Inputs!G$150,0)+IF(AND(AC$46&gt;=$C$9,AC$46&lt;=$C$41),Inputs!G$147,0)+IF(AND(AC$46&gt;=$C$9,AC$46&lt;=$C$41,AC47&gt;0),MIN(Inputs!G$149,$C$17*Inputs!G$148),0)</f>
        <v/>
      </c>
      <c r="AD63" s="90">
        <f>IF(AD$46=$C$9,Inputs!G$145+Inputs!G$146+$C$17*Inputs!G$150,0)+IF(AND(AD$46&gt;=$C$9,AD$46&lt;=$C$41),Inputs!G$147,0)+IF(AND(AD$46&gt;=$C$9,AD$46&lt;=$C$41,AD47&gt;0),MIN(Inputs!G$149,$C$17*Inputs!G$148),0)</f>
        <v/>
      </c>
      <c r="AE63" s="90">
        <f>IF(AE$46=$C$9,Inputs!G$145+Inputs!G$146+$C$17*Inputs!G$150,0)+IF(AND(AE$46&gt;=$C$9,AE$46&lt;=$C$41),Inputs!G$147,0)+IF(AND(AE$46&gt;=$C$9,AE$46&lt;=$C$41,AE47&gt;0),MIN(Inputs!G$149,$C$17*Inputs!G$148),0)</f>
        <v/>
      </c>
      <c r="AF63" s="90">
        <f>IF(AF$46=$C$9,Inputs!G$145+Inputs!G$146+$C$17*Inputs!G$150,0)+IF(AND(AF$46&gt;=$C$9,AF$46&lt;=$C$41),Inputs!G$147,0)+IF(AND(AF$46&gt;=$C$9,AF$46&lt;=$C$41,AF47&gt;0),MIN(Inputs!G$149,$C$17*Inputs!G$148),0)</f>
        <v/>
      </c>
      <c r="AG63" s="90">
        <f>IF(AG$46=$C$9,Inputs!G$145+Inputs!G$146+$C$17*Inputs!G$150,0)+IF(AND(AG$46&gt;=$C$9,AG$46&lt;=$C$41),Inputs!G$147,0)+IF(AND(AG$46&gt;=$C$9,AG$46&lt;=$C$41,AG47&gt;0),MIN(Inputs!G$149,$C$17*Inputs!G$148),0)</f>
        <v/>
      </c>
      <c r="AH63" s="90">
        <f>IF(AH$46=$C$9,Inputs!G$145+Inputs!G$146+$C$17*Inputs!G$150,0)+IF(AND(AH$46&gt;=$C$9,AH$46&lt;=$C$41),Inputs!G$147,0)+IF(AND(AH$46&gt;=$C$9,AH$46&lt;=$C$41,AH47&gt;0),MIN(Inputs!G$149,$C$17*Inputs!G$148),0)</f>
        <v/>
      </c>
      <c r="AI63" s="90">
        <f>IF(AI$46=$C$9,Inputs!G$145+Inputs!G$146+$C$17*Inputs!G$150,0)+IF(AND(AI$46&gt;=$C$9,AI$46&lt;=$C$41),Inputs!G$147,0)+IF(AND(AI$46&gt;=$C$9,AI$46&lt;=$C$41,AI47&gt;0),MIN(Inputs!G$149,$C$17*Inputs!G$148),0)</f>
        <v/>
      </c>
      <c r="AJ63" s="90">
        <f>IF(AJ$46=$C$9,Inputs!G$145+Inputs!G$146+$C$17*Inputs!G$150,0)+IF(AND(AJ$46&gt;=$C$9,AJ$46&lt;=$C$41),Inputs!G$147,0)+IF(AND(AJ$46&gt;=$C$9,AJ$46&lt;=$C$41,AJ47&gt;0),MIN(Inputs!G$149,$C$17*Inputs!G$148),0)</f>
        <v/>
      </c>
      <c r="AK63" s="90">
        <f>IF(AK$46=$C$9,Inputs!G$145+Inputs!G$146+$C$17*Inputs!G$150,0)+IF(AND(AK$46&gt;=$C$9,AK$46&lt;=$C$41),Inputs!G$147,0)+IF(AND(AK$46&gt;=$C$9,AK$46&lt;=$C$41,AK47&gt;0),MIN(Inputs!G$149,$C$17*Inputs!G$148),0)</f>
        <v/>
      </c>
      <c r="AL63" s="90">
        <f>IF(AL$46=$C$9,Inputs!G$145+Inputs!G$146+$C$17*Inputs!G$150,0)+IF(AND(AL$46&gt;=$C$9,AL$46&lt;=$C$41),Inputs!G$147,0)+IF(AND(AL$46&gt;=$C$9,AL$46&lt;=$C$41,AL47&gt;0),MIN(Inputs!G$149,$C$17*Inputs!G$148),0)</f>
        <v/>
      </c>
      <c r="AM63" s="90">
        <f>IF(AM$46=$C$9,Inputs!G$145+Inputs!G$146+$C$17*Inputs!G$150,0)+IF(AND(AM$46&gt;=$C$9,AM$46&lt;=$C$41),Inputs!G$147,0)+IF(AND(AM$46&gt;=$C$9,AM$46&lt;=$C$41,AM47&gt;0),MIN(Inputs!G$149,$C$17*Inputs!G$148),0)</f>
        <v/>
      </c>
      <c r="AN63" s="90">
        <f>IF(AN$46=$C$9,Inputs!G$145+Inputs!G$146+$C$17*Inputs!G$150,0)+IF(AND(AN$46&gt;=$C$9,AN$46&lt;=$C$41),Inputs!G$147,0)+IF(AND(AN$46&gt;=$C$9,AN$46&lt;=$C$41,AN47&gt;0),MIN(Inputs!G$149,$C$17*Inputs!G$148),0)</f>
        <v/>
      </c>
      <c r="AO63" s="90">
        <f>IF(AO$46=$C$9,Inputs!G$145+Inputs!G$146+$C$17*Inputs!G$150,0)+IF(AND(AO$46&gt;=$C$9,AO$46&lt;=$C$41),Inputs!G$147,0)+IF(AND(AO$46&gt;=$C$9,AO$46&lt;=$C$41,AO47&gt;0),MIN(Inputs!G$149,$C$17*Inputs!G$148),0)</f>
        <v/>
      </c>
      <c r="AP63" s="90">
        <f>IF(AP$46=$C$9,Inputs!G$145+Inputs!G$146+$C$17*Inputs!G$150,0)+IF(AND(AP$46&gt;=$C$9,AP$46&lt;=$C$41),Inputs!G$147,0)+IF(AND(AP$46&gt;=$C$9,AP$46&lt;=$C$41,AP47&gt;0),MIN(Inputs!G$149,$C$17*Inputs!G$148),0)</f>
        <v/>
      </c>
      <c r="AQ63" s="90">
        <f>IF(AQ$46=$C$9,Inputs!G$145+Inputs!G$146+$C$17*Inputs!G$150,0)+IF(AND(AQ$46&gt;=$C$9,AQ$46&lt;=$C$41),Inputs!G$147,0)+IF(AND(AQ$46&gt;=$C$9,AQ$46&lt;=$C$41,AQ47&gt;0),MIN(Inputs!G$149,$C$17*Inputs!G$148),0)</f>
        <v/>
      </c>
      <c r="AR63" s="90">
        <f>IF(AR$46=$C$9,Inputs!G$145+Inputs!G$146+$C$17*Inputs!G$150,0)+IF(AND(AR$46&gt;=$C$9,AR$46&lt;=$C$41),Inputs!G$147,0)+IF(AND(AR$46&gt;=$C$9,AR$46&lt;=$C$41,AR47&gt;0),MIN(Inputs!G$149,$C$17*Inputs!G$148),0)</f>
        <v/>
      </c>
      <c r="AS63" s="90">
        <f>IF(AS$46=$C$9,Inputs!G$145+Inputs!G$146+$C$17*Inputs!G$150,0)+IF(AND(AS$46&gt;=$C$9,AS$46&lt;=$C$41),Inputs!G$147,0)+IF(AND(AS$46&gt;=$C$9,AS$46&lt;=$C$41,AS47&gt;0),MIN(Inputs!G$149,$C$17*Inputs!G$148),0)</f>
        <v/>
      </c>
      <c r="AT63" s="90">
        <f>IF(AT$46=$C$9,Inputs!G$145+Inputs!G$146+$C$17*Inputs!G$150,0)+IF(AND(AT$46&gt;=$C$9,AT$46&lt;=$C$41),Inputs!G$147,0)+IF(AND(AT$46&gt;=$C$9,AT$46&lt;=$C$41,AT47&gt;0),MIN(Inputs!G$149,$C$17*Inputs!G$148),0)</f>
        <v/>
      </c>
      <c r="AU63" s="90">
        <f>IF(AU$46=$C$9,Inputs!G$145+Inputs!G$146+$C$17*Inputs!G$150,0)+IF(AND(AU$46&gt;=$C$9,AU$46&lt;=$C$41),Inputs!G$147,0)+IF(AND(AU$46&gt;=$C$9,AU$46&lt;=$C$41,AU47&gt;0),MIN(Inputs!G$149,$C$17*Inputs!G$148),0)</f>
        <v/>
      </c>
      <c r="AV63" s="90">
        <f>IF(AV$46=$C$9,Inputs!G$145+Inputs!G$146+$C$17*Inputs!G$150,0)+IF(AND(AV$46&gt;=$C$9,AV$46&lt;=$C$41),Inputs!G$147,0)+IF(AND(AV$46&gt;=$C$9,AV$46&lt;=$C$41,AV47&gt;0),MIN(Inputs!G$149,$C$17*Inputs!G$148),0)</f>
        <v/>
      </c>
      <c r="AW63" s="90">
        <f>IF(AW$46=$C$9,Inputs!G$145+Inputs!G$146+$C$17*Inputs!G$150,0)+IF(AND(AW$46&gt;=$C$9,AW$46&lt;=$C$41),Inputs!G$147,0)+IF(AND(AW$46&gt;=$C$9,AW$46&lt;=$C$41,AW47&gt;0),MIN(Inputs!G$149,$C$17*Inputs!G$148),0)</f>
        <v/>
      </c>
      <c r="AX63" s="90">
        <f>IF(AX$46=$C$9,Inputs!G$145+Inputs!G$146+$C$17*Inputs!G$150,0)+IF(AND(AX$46&gt;=$C$9,AX$46&lt;=$C$41),Inputs!G$147,0)+IF(AND(AX$46&gt;=$C$9,AX$46&lt;=$C$41,AX47&gt;0),MIN(Inputs!G$149,$C$17*Inputs!G$148),0)</f>
        <v/>
      </c>
      <c r="AY63" s="90">
        <f>IF(AY$46=$C$9,Inputs!G$145+Inputs!G$146+$C$17*Inputs!G$150,0)+IF(AND(AY$46&gt;=$C$9,AY$46&lt;=$C$41),Inputs!G$147,0)+IF(AND(AY$46&gt;=$C$9,AY$46&lt;=$C$41,AY47&gt;0),MIN(Inputs!G$149,$C$17*Inputs!G$148),0)</f>
        <v/>
      </c>
      <c r="AZ63" s="90">
        <f>IF(AZ$46=$C$9,Inputs!G$145+Inputs!G$146+$C$17*Inputs!G$150,0)+IF(AND(AZ$46&gt;=$C$9,AZ$46&lt;=$C$41),Inputs!G$147,0)+IF(AND(AZ$46&gt;=$C$9,AZ$46&lt;=$C$41,AZ47&gt;0),MIN(Inputs!G$149,$C$17*Inputs!G$148),0)</f>
        <v/>
      </c>
      <c r="BA63" s="90">
        <f>IF(BA$46=$C$9,Inputs!G$145+Inputs!G$146+$C$17*Inputs!G$150,0)+IF(AND(BA$46&gt;=$C$9,BA$46&lt;=$C$41),Inputs!G$147,0)+IF(AND(BA$46&gt;=$C$9,BA$46&lt;=$C$41,BA47&gt;0),MIN(Inputs!G$149,$C$17*Inputs!G$148),0)</f>
        <v/>
      </c>
      <c r="BB63" s="90">
        <f>IF(BB$46=$C$9,Inputs!G$145+Inputs!G$146+$C$17*Inputs!G$150,0)+IF(AND(BB$46&gt;=$C$9,BB$46&lt;=$C$41),Inputs!G$147,0)+IF(AND(BB$46&gt;=$C$9,BB$46&lt;=$C$41,BB47&gt;0),MIN(Inputs!G$149,$C$17*Inputs!G$148),0)</f>
        <v/>
      </c>
    </row>
    <row r="64" ht="15" customHeight="1" s="91">
      <c r="B64" s="153" t="inlineStr">
        <is>
          <t>Subscription Fee  رسوم الاشتراك</t>
        </is>
      </c>
      <c r="C64" s="153" t="inlineStr">
        <is>
          <t>SAR</t>
        </is>
      </c>
      <c r="D64" s="160">
        <f>SUM(E64:BB64)</f>
        <v/>
      </c>
      <c r="E64" s="160">
        <f>IF(E$46=$C$9,$C$14*$C$29,0)</f>
        <v/>
      </c>
      <c r="F64" s="160">
        <f>IF(F$46=$C$9,$C$14*$C$29,0)</f>
        <v/>
      </c>
      <c r="G64" s="160">
        <f>IF(G$46=$C$9,$C$14*$C$29,0)</f>
        <v/>
      </c>
      <c r="H64" s="160">
        <f>IF(H$46=$C$9,$C$14*$C$29,0)</f>
        <v/>
      </c>
      <c r="I64" s="160">
        <f>IF(I$46=$C$9,$C$14*$C$29,0)</f>
        <v/>
      </c>
      <c r="J64" s="160">
        <f>IF(J$46=$C$9,$C$14*$C$29,0)</f>
        <v/>
      </c>
      <c r="K64" s="160">
        <f>IF(K$46=$C$9,$C$14*$C$29,0)</f>
        <v/>
      </c>
      <c r="L64" s="160">
        <f>IF(L$46=$C$9,$C$14*$C$29,0)</f>
        <v/>
      </c>
      <c r="M64" s="160">
        <f>IF(M$46=$C$9,$C$14*$C$29,0)</f>
        <v/>
      </c>
      <c r="N64" s="160">
        <f>IF(N$46=$C$9,$C$14*$C$29,0)</f>
        <v/>
      </c>
      <c r="O64" s="160">
        <f>IF(O$46=$C$9,$C$14*$C$29,0)</f>
        <v/>
      </c>
      <c r="P64" s="160">
        <f>IF(P$46=$C$9,$C$14*$C$29,0)</f>
        <v/>
      </c>
      <c r="Q64" s="160">
        <f>IF(Q$46=$C$9,$C$14*$C$29,0)</f>
        <v/>
      </c>
      <c r="R64" s="160">
        <f>IF(R$46=$C$9,$C$14*$C$29,0)</f>
        <v/>
      </c>
      <c r="S64" s="160">
        <f>IF(S$46=$C$9,$C$14*$C$29,0)</f>
        <v/>
      </c>
      <c r="T64" s="160">
        <f>IF(T$46=$C$9,$C$14*$C$29,0)</f>
        <v/>
      </c>
      <c r="U64" s="160">
        <f>IF(U$46=$C$9,$C$14*$C$29,0)</f>
        <v/>
      </c>
      <c r="V64" s="160">
        <f>IF(V$46=$C$9,$C$14*$C$29,0)</f>
        <v/>
      </c>
      <c r="W64" s="160">
        <f>IF(W$46=$C$9,$C$14*$C$29,0)</f>
        <v/>
      </c>
      <c r="X64" s="160">
        <f>IF(X$46=$C$9,$C$14*$C$29,0)</f>
        <v/>
      </c>
      <c r="Y64" s="160">
        <f>IF(Y$46=$C$9,$C$14*$C$29,0)</f>
        <v/>
      </c>
      <c r="Z64" s="160">
        <f>IF(Z$46=$C$9,$C$14*$C$29,0)</f>
        <v/>
      </c>
      <c r="AA64" s="160">
        <f>IF(AA$46=$C$9,$C$14*$C$29,0)</f>
        <v/>
      </c>
      <c r="AB64" s="160">
        <f>IF(AB$46=$C$9,$C$14*$C$29,0)</f>
        <v/>
      </c>
      <c r="AC64" s="160">
        <f>IF(AC$46=$C$9,$C$14*$C$29,0)</f>
        <v/>
      </c>
      <c r="AD64" s="160">
        <f>IF(AD$46=$C$9,$C$14*$C$29,0)</f>
        <v/>
      </c>
      <c r="AE64" s="160">
        <f>IF(AE$46=$C$9,$C$14*$C$29,0)</f>
        <v/>
      </c>
      <c r="AF64" s="160">
        <f>IF(AF$46=$C$9,$C$14*$C$29,0)</f>
        <v/>
      </c>
      <c r="AG64" s="160">
        <f>IF(AG$46=$C$9,$C$14*$C$29,0)</f>
        <v/>
      </c>
      <c r="AH64" s="160">
        <f>IF(AH$46=$C$9,$C$14*$C$29,0)</f>
        <v/>
      </c>
      <c r="AI64" s="160">
        <f>IF(AI$46=$C$9,$C$14*$C$29,0)</f>
        <v/>
      </c>
      <c r="AJ64" s="160">
        <f>IF(AJ$46=$C$9,$C$14*$C$29,0)</f>
        <v/>
      </c>
      <c r="AK64" s="160">
        <f>IF(AK$46=$C$9,$C$14*$C$29,0)</f>
        <v/>
      </c>
      <c r="AL64" s="160">
        <f>IF(AL$46=$C$9,$C$14*$C$29,0)</f>
        <v/>
      </c>
      <c r="AM64" s="160">
        <f>IF(AM$46=$C$9,$C$14*$C$29,0)</f>
        <v/>
      </c>
      <c r="AN64" s="160">
        <f>IF(AN$46=$C$9,$C$14*$C$29,0)</f>
        <v/>
      </c>
      <c r="AO64" s="160">
        <f>IF(AO$46=$C$9,$C$14*$C$29,0)</f>
        <v/>
      </c>
      <c r="AP64" s="160">
        <f>IF(AP$46=$C$9,$C$14*$C$29,0)</f>
        <v/>
      </c>
      <c r="AQ64" s="160">
        <f>IF(AQ$46=$C$9,$C$14*$C$29,0)</f>
        <v/>
      </c>
      <c r="AR64" s="160">
        <f>IF(AR$46=$C$9,$C$14*$C$29,0)</f>
        <v/>
      </c>
      <c r="AS64" s="160">
        <f>IF(AS$46=$C$9,$C$14*$C$29,0)</f>
        <v/>
      </c>
      <c r="AT64" s="160">
        <f>IF(AT$46=$C$9,$C$14*$C$29,0)</f>
        <v/>
      </c>
      <c r="AU64" s="160">
        <f>IF(AU$46=$C$9,$C$14*$C$29,0)</f>
        <v/>
      </c>
      <c r="AV64" s="160">
        <f>IF(AV$46=$C$9,$C$14*$C$29,0)</f>
        <v/>
      </c>
      <c r="AW64" s="160">
        <f>IF(AW$46=$C$9,$C$14*$C$29,0)</f>
        <v/>
      </c>
      <c r="AX64" s="160">
        <f>IF(AX$46=$C$9,$C$14*$C$29,0)</f>
        <v/>
      </c>
      <c r="AY64" s="160">
        <f>IF(AY$46=$C$9,$C$14*$C$29,0)</f>
        <v/>
      </c>
      <c r="AZ64" s="160">
        <f>IF(AZ$46=$C$9,$C$14*$C$29,0)</f>
        <v/>
      </c>
      <c r="BA64" s="160">
        <f>IF(BA$46=$C$9,$C$14*$C$29,0)</f>
        <v/>
      </c>
      <c r="BB64" s="160">
        <f>IF(BB$46=$C$9,$C$14*$C$29,0)</f>
        <v/>
      </c>
    </row>
    <row r="65" ht="15" customHeight="1" s="91">
      <c r="B65" s="153" t="inlineStr">
        <is>
          <t>Management Fee  رسوم الإدارة (% of Fund Assets)</t>
        </is>
      </c>
      <c r="C65" s="153" t="inlineStr">
        <is>
          <t>SAR</t>
        </is>
      </c>
      <c r="D65" s="160">
        <f>SUM(E65:BB65)</f>
        <v/>
      </c>
      <c r="E65" s="160">
        <f>MIN(Inputs!G$142,IF(AND(E$46&gt;=$C$9,E$46&lt;=$C$41),$C$18*$C$30,0))</f>
        <v/>
      </c>
      <c r="F65" s="160">
        <f>MIN(Inputs!G$142,IF(AND(F$46&gt;=$C$9,F$46&lt;=$C$41),$C$18*$C$30,0))</f>
        <v/>
      </c>
      <c r="G65" s="160">
        <f>MIN(Inputs!G$142,IF(AND(G$46&gt;=$C$9,G$46&lt;=$C$41),$C$18*$C$30,0))</f>
        <v/>
      </c>
      <c r="H65" s="160">
        <f>MIN(Inputs!G$142,IF(AND(H$46&gt;=$C$9,H$46&lt;=$C$41),$C$18*$C$30,0))</f>
        <v/>
      </c>
      <c r="I65" s="160">
        <f>MIN(Inputs!G$142,IF(AND(I$46&gt;=$C$9,I$46&lt;=$C$41),$C$18*$C$30,0))</f>
        <v/>
      </c>
      <c r="J65" s="160">
        <f>MIN(Inputs!G$142,IF(AND(J$46&gt;=$C$9,J$46&lt;=$C$41),$C$18*$C$30,0))</f>
        <v/>
      </c>
      <c r="K65" s="160">
        <f>MIN(Inputs!G$142,IF(AND(K$46&gt;=$C$9,K$46&lt;=$C$41),$C$18*$C$30,0))</f>
        <v/>
      </c>
      <c r="L65" s="160">
        <f>MIN(Inputs!G$142,IF(AND(L$46&gt;=$C$9,L$46&lt;=$C$41),$C$18*$C$30,0))</f>
        <v/>
      </c>
      <c r="M65" s="160">
        <f>MIN(Inputs!G$142,IF(AND(M$46&gt;=$C$9,M$46&lt;=$C$41),$C$18*$C$30,0))</f>
        <v/>
      </c>
      <c r="N65" s="160">
        <f>MIN(Inputs!G$142,IF(AND(N$46&gt;=$C$9,N$46&lt;=$C$41),$C$18*$C$30,0))</f>
        <v/>
      </c>
      <c r="O65" s="160">
        <f>MIN(Inputs!G$142,IF(AND(O$46&gt;=$C$9,O$46&lt;=$C$41),$C$18*$C$30,0))</f>
        <v/>
      </c>
      <c r="P65" s="160">
        <f>MIN(Inputs!G$142,IF(AND(P$46&gt;=$C$9,P$46&lt;=$C$41),$C$18*$C$30,0))</f>
        <v/>
      </c>
      <c r="Q65" s="160">
        <f>MIN(Inputs!G$142,IF(AND(Q$46&gt;=$C$9,Q$46&lt;=$C$41),$C$18*$C$30,0))</f>
        <v/>
      </c>
      <c r="R65" s="160">
        <f>MIN(Inputs!G$142,IF(AND(R$46&gt;=$C$9,R$46&lt;=$C$41),$C$18*$C$30,0))</f>
        <v/>
      </c>
      <c r="S65" s="160">
        <f>MIN(Inputs!G$142,IF(AND(S$46&gt;=$C$9,S$46&lt;=$C$41),$C$18*$C$30,0))</f>
        <v/>
      </c>
      <c r="T65" s="160">
        <f>MIN(Inputs!G$142,IF(AND(T$46&gt;=$C$9,T$46&lt;=$C$41),$C$18*$C$30,0))</f>
        <v/>
      </c>
      <c r="U65" s="160">
        <f>MIN(Inputs!G$142,IF(AND(U$46&gt;=$C$9,U$46&lt;=$C$41),$C$18*$C$30,0))</f>
        <v/>
      </c>
      <c r="V65" s="160">
        <f>MIN(Inputs!G$142,IF(AND(V$46&gt;=$C$9,V$46&lt;=$C$41),$C$18*$C$30,0))</f>
        <v/>
      </c>
      <c r="W65" s="160">
        <f>MIN(Inputs!G$142,IF(AND(W$46&gt;=$C$9,W$46&lt;=$C$41),$C$18*$C$30,0))</f>
        <v/>
      </c>
      <c r="X65" s="160">
        <f>MIN(Inputs!G$142,IF(AND(X$46&gt;=$C$9,X$46&lt;=$C$41),$C$18*$C$30,0))</f>
        <v/>
      </c>
      <c r="Y65" s="160">
        <f>MIN(Inputs!G$142,IF(AND(Y$46&gt;=$C$9,Y$46&lt;=$C$41),$C$18*$C$30,0))</f>
        <v/>
      </c>
      <c r="Z65" s="160">
        <f>MIN(Inputs!G$142,IF(AND(Z$46&gt;=$C$9,Z$46&lt;=$C$41),$C$18*$C$30,0))</f>
        <v/>
      </c>
      <c r="AA65" s="160">
        <f>MIN(Inputs!G$142,IF(AND(AA$46&gt;=$C$9,AA$46&lt;=$C$41),$C$18*$C$30,0))</f>
        <v/>
      </c>
      <c r="AB65" s="160">
        <f>MIN(Inputs!G$142,IF(AND(AB$46&gt;=$C$9,AB$46&lt;=$C$41),$C$18*$C$30,0))</f>
        <v/>
      </c>
      <c r="AC65" s="160">
        <f>MIN(Inputs!G$142,IF(AND(AC$46&gt;=$C$9,AC$46&lt;=$C$41),$C$18*$C$30,0))</f>
        <v/>
      </c>
      <c r="AD65" s="160">
        <f>MIN(Inputs!G$142,IF(AND(AD$46&gt;=$C$9,AD$46&lt;=$C$41),$C$18*$C$30,0))</f>
        <v/>
      </c>
      <c r="AE65" s="160">
        <f>MIN(Inputs!G$142,IF(AND(AE$46&gt;=$C$9,AE$46&lt;=$C$41),$C$18*$C$30,0))</f>
        <v/>
      </c>
      <c r="AF65" s="160">
        <f>MIN(Inputs!G$142,IF(AND(AF$46&gt;=$C$9,AF$46&lt;=$C$41),$C$18*$C$30,0))</f>
        <v/>
      </c>
      <c r="AG65" s="160">
        <f>MIN(Inputs!G$142,IF(AND(AG$46&gt;=$C$9,AG$46&lt;=$C$41),$C$18*$C$30,0))</f>
        <v/>
      </c>
      <c r="AH65" s="160">
        <f>MIN(Inputs!G$142,IF(AND(AH$46&gt;=$C$9,AH$46&lt;=$C$41),$C$18*$C$30,0))</f>
        <v/>
      </c>
      <c r="AI65" s="160">
        <f>MIN(Inputs!G$142,IF(AND(AI$46&gt;=$C$9,AI$46&lt;=$C$41),$C$18*$C$30,0))</f>
        <v/>
      </c>
      <c r="AJ65" s="160">
        <f>MIN(Inputs!G$142,IF(AND(AJ$46&gt;=$C$9,AJ$46&lt;=$C$41),$C$18*$C$30,0))</f>
        <v/>
      </c>
      <c r="AK65" s="160">
        <f>MIN(Inputs!G$142,IF(AND(AK$46&gt;=$C$9,AK$46&lt;=$C$41),$C$18*$C$30,0))</f>
        <v/>
      </c>
      <c r="AL65" s="160">
        <f>MIN(Inputs!G$142,IF(AND(AL$46&gt;=$C$9,AL$46&lt;=$C$41),$C$18*$C$30,0))</f>
        <v/>
      </c>
      <c r="AM65" s="160">
        <f>MIN(Inputs!G$142,IF(AND(AM$46&gt;=$C$9,AM$46&lt;=$C$41),$C$18*$C$30,0))</f>
        <v/>
      </c>
      <c r="AN65" s="160">
        <f>MIN(Inputs!G$142,IF(AND(AN$46&gt;=$C$9,AN$46&lt;=$C$41),$C$18*$C$30,0))</f>
        <v/>
      </c>
      <c r="AO65" s="160">
        <f>MIN(Inputs!G$142,IF(AND(AO$46&gt;=$C$9,AO$46&lt;=$C$41),$C$18*$C$30,0))</f>
        <v/>
      </c>
      <c r="AP65" s="160">
        <f>MIN(Inputs!G$142,IF(AND(AP$46&gt;=$C$9,AP$46&lt;=$C$41),$C$18*$C$30,0))</f>
        <v/>
      </c>
      <c r="AQ65" s="160">
        <f>MIN(Inputs!G$142,IF(AND(AQ$46&gt;=$C$9,AQ$46&lt;=$C$41),$C$18*$C$30,0))</f>
        <v/>
      </c>
      <c r="AR65" s="160">
        <f>MIN(Inputs!G$142,IF(AND(AR$46&gt;=$C$9,AR$46&lt;=$C$41),$C$18*$C$30,0))</f>
        <v/>
      </c>
      <c r="AS65" s="160">
        <f>MIN(Inputs!G$142,IF(AND(AS$46&gt;=$C$9,AS$46&lt;=$C$41),$C$18*$C$30,0))</f>
        <v/>
      </c>
      <c r="AT65" s="160">
        <f>MIN(Inputs!G$142,IF(AND(AT$46&gt;=$C$9,AT$46&lt;=$C$41),$C$18*$C$30,0))</f>
        <v/>
      </c>
      <c r="AU65" s="160">
        <f>MIN(Inputs!G$142,IF(AND(AU$46&gt;=$C$9,AU$46&lt;=$C$41),$C$18*$C$30,0))</f>
        <v/>
      </c>
      <c r="AV65" s="160">
        <f>MIN(Inputs!G$142,IF(AND(AV$46&gt;=$C$9,AV$46&lt;=$C$41),$C$18*$C$30,0))</f>
        <v/>
      </c>
      <c r="AW65" s="160">
        <f>MIN(Inputs!G$142,IF(AND(AW$46&gt;=$C$9,AW$46&lt;=$C$41),$C$18*$C$30,0))</f>
        <v/>
      </c>
      <c r="AX65" s="160">
        <f>MIN(Inputs!G$142,IF(AND(AX$46&gt;=$C$9,AX$46&lt;=$C$41),$C$18*$C$30,0))</f>
        <v/>
      </c>
      <c r="AY65" s="160">
        <f>MIN(Inputs!G$142,IF(AND(AY$46&gt;=$C$9,AY$46&lt;=$C$41),$C$18*$C$30,0))</f>
        <v/>
      </c>
      <c r="AZ65" s="160">
        <f>MIN(Inputs!G$142,IF(AND(AZ$46&gt;=$C$9,AZ$46&lt;=$C$41),$C$18*$C$30,0))</f>
        <v/>
      </c>
      <c r="BA65" s="160">
        <f>MIN(Inputs!G$142,IF(AND(BA$46&gt;=$C$9,BA$46&lt;=$C$41),$C$18*$C$30,0))</f>
        <v/>
      </c>
      <c r="BB65" s="160">
        <f>MIN(Inputs!G$142,IF(AND(BB$46&gt;=$C$9,BB$46&lt;=$C$41),$C$18*$C$30,0))</f>
        <v/>
      </c>
    </row>
    <row r="66" ht="15" customHeight="1" s="91">
      <c r="B66" s="153" t="inlineStr">
        <is>
          <t>Custody Fee  رسوم الحفظ</t>
        </is>
      </c>
      <c r="C66" s="153" t="inlineStr">
        <is>
          <t>SAR</t>
        </is>
      </c>
      <c r="D66" s="160">
        <f>SUM(E66:BB66)</f>
        <v/>
      </c>
      <c r="E66" s="160">
        <f>IF(AND($C$17&gt;0,E$46&gt;=$C$9,E$46&lt;=$C$41),$C$31,0)</f>
        <v/>
      </c>
      <c r="F66" s="160">
        <f>IF(AND($C$17&gt;0,F$46&gt;=$C$9,F$46&lt;=$C$41),$C$31,0)</f>
        <v/>
      </c>
      <c r="G66" s="160">
        <f>IF(AND($C$17&gt;0,G$46&gt;=$C$9,G$46&lt;=$C$41),$C$31,0)</f>
        <v/>
      </c>
      <c r="H66" s="160">
        <f>IF(AND($C$17&gt;0,H$46&gt;=$C$9,H$46&lt;=$C$41),$C$31,0)</f>
        <v/>
      </c>
      <c r="I66" s="160">
        <f>IF(AND($C$17&gt;0,I$46&gt;=$C$9,I$46&lt;=$C$41),$C$31,0)</f>
        <v/>
      </c>
      <c r="J66" s="160">
        <f>IF(AND($C$17&gt;0,J$46&gt;=$C$9,J$46&lt;=$C$41),$C$31,0)</f>
        <v/>
      </c>
      <c r="K66" s="160">
        <f>IF(AND($C$17&gt;0,K$46&gt;=$C$9,K$46&lt;=$C$41),$C$31,0)</f>
        <v/>
      </c>
      <c r="L66" s="160">
        <f>IF(AND($C$17&gt;0,L$46&gt;=$C$9,L$46&lt;=$C$41),$C$31,0)</f>
        <v/>
      </c>
      <c r="M66" s="160">
        <f>IF(AND($C$17&gt;0,M$46&gt;=$C$9,M$46&lt;=$C$41),$C$31,0)</f>
        <v/>
      </c>
      <c r="N66" s="160">
        <f>IF(AND($C$17&gt;0,N$46&gt;=$C$9,N$46&lt;=$C$41),$C$31,0)</f>
        <v/>
      </c>
      <c r="O66" s="160">
        <f>IF(AND($C$17&gt;0,O$46&gt;=$C$9,O$46&lt;=$C$41),$C$31,0)</f>
        <v/>
      </c>
      <c r="P66" s="160">
        <f>IF(AND($C$17&gt;0,P$46&gt;=$C$9,P$46&lt;=$C$41),$C$31,0)</f>
        <v/>
      </c>
      <c r="Q66" s="160">
        <f>IF(AND($C$17&gt;0,Q$46&gt;=$C$9,Q$46&lt;=$C$41),$C$31,0)</f>
        <v/>
      </c>
      <c r="R66" s="160">
        <f>IF(AND($C$17&gt;0,R$46&gt;=$C$9,R$46&lt;=$C$41),$C$31,0)</f>
        <v/>
      </c>
      <c r="S66" s="160">
        <f>IF(AND($C$17&gt;0,S$46&gt;=$C$9,S$46&lt;=$C$41),$C$31,0)</f>
        <v/>
      </c>
      <c r="T66" s="160">
        <f>IF(AND($C$17&gt;0,T$46&gt;=$C$9,T$46&lt;=$C$41),$C$31,0)</f>
        <v/>
      </c>
      <c r="U66" s="160">
        <f>IF(AND($C$17&gt;0,U$46&gt;=$C$9,U$46&lt;=$C$41),$C$31,0)</f>
        <v/>
      </c>
      <c r="V66" s="160">
        <f>IF(AND($C$17&gt;0,V$46&gt;=$C$9,V$46&lt;=$C$41),$C$31,0)</f>
        <v/>
      </c>
      <c r="W66" s="160">
        <f>IF(AND($C$17&gt;0,W$46&gt;=$C$9,W$46&lt;=$C$41),$C$31,0)</f>
        <v/>
      </c>
      <c r="X66" s="160">
        <f>IF(AND($C$17&gt;0,X$46&gt;=$C$9,X$46&lt;=$C$41),$C$31,0)</f>
        <v/>
      </c>
      <c r="Y66" s="160">
        <f>IF(AND($C$17&gt;0,Y$46&gt;=$C$9,Y$46&lt;=$C$41),$C$31,0)</f>
        <v/>
      </c>
      <c r="Z66" s="160">
        <f>IF(AND($C$17&gt;0,Z$46&gt;=$C$9,Z$46&lt;=$C$41),$C$31,0)</f>
        <v/>
      </c>
      <c r="AA66" s="160">
        <f>IF(AND($C$17&gt;0,AA$46&gt;=$C$9,AA$46&lt;=$C$41),$C$31,0)</f>
        <v/>
      </c>
      <c r="AB66" s="160">
        <f>IF(AND($C$17&gt;0,AB$46&gt;=$C$9,AB$46&lt;=$C$41),$C$31,0)</f>
        <v/>
      </c>
      <c r="AC66" s="160">
        <f>IF(AND($C$17&gt;0,AC$46&gt;=$C$9,AC$46&lt;=$C$41),$C$31,0)</f>
        <v/>
      </c>
      <c r="AD66" s="160">
        <f>IF(AND($C$17&gt;0,AD$46&gt;=$C$9,AD$46&lt;=$C$41),$C$31,0)</f>
        <v/>
      </c>
      <c r="AE66" s="160">
        <f>IF(AND($C$17&gt;0,AE$46&gt;=$C$9,AE$46&lt;=$C$41),$C$31,0)</f>
        <v/>
      </c>
      <c r="AF66" s="160">
        <f>IF(AND($C$17&gt;0,AF$46&gt;=$C$9,AF$46&lt;=$C$41),$C$31,0)</f>
        <v/>
      </c>
      <c r="AG66" s="160">
        <f>IF(AND($C$17&gt;0,AG$46&gt;=$C$9,AG$46&lt;=$C$41),$C$31,0)</f>
        <v/>
      </c>
      <c r="AH66" s="160">
        <f>IF(AND($C$17&gt;0,AH$46&gt;=$C$9,AH$46&lt;=$C$41),$C$31,0)</f>
        <v/>
      </c>
      <c r="AI66" s="160">
        <f>IF(AND($C$17&gt;0,AI$46&gt;=$C$9,AI$46&lt;=$C$41),$C$31,0)</f>
        <v/>
      </c>
      <c r="AJ66" s="160">
        <f>IF(AND($C$17&gt;0,AJ$46&gt;=$C$9,AJ$46&lt;=$C$41),$C$31,0)</f>
        <v/>
      </c>
      <c r="AK66" s="160">
        <f>IF(AND($C$17&gt;0,AK$46&gt;=$C$9,AK$46&lt;=$C$41),$C$31,0)</f>
        <v/>
      </c>
      <c r="AL66" s="160">
        <f>IF(AND($C$17&gt;0,AL$46&gt;=$C$9,AL$46&lt;=$C$41),$C$31,0)</f>
        <v/>
      </c>
      <c r="AM66" s="160">
        <f>IF(AND($C$17&gt;0,AM$46&gt;=$C$9,AM$46&lt;=$C$41),$C$31,0)</f>
        <v/>
      </c>
      <c r="AN66" s="160">
        <f>IF(AND($C$17&gt;0,AN$46&gt;=$C$9,AN$46&lt;=$C$41),$C$31,0)</f>
        <v/>
      </c>
      <c r="AO66" s="160">
        <f>IF(AND($C$17&gt;0,AO$46&gt;=$C$9,AO$46&lt;=$C$41),$C$31,0)</f>
        <v/>
      </c>
      <c r="AP66" s="160">
        <f>IF(AND($C$17&gt;0,AP$46&gt;=$C$9,AP$46&lt;=$C$41),$C$31,0)</f>
        <v/>
      </c>
      <c r="AQ66" s="160">
        <f>IF(AND($C$17&gt;0,AQ$46&gt;=$C$9,AQ$46&lt;=$C$41),$C$31,0)</f>
        <v/>
      </c>
      <c r="AR66" s="160">
        <f>IF(AND($C$17&gt;0,AR$46&gt;=$C$9,AR$46&lt;=$C$41),$C$31,0)</f>
        <v/>
      </c>
      <c r="AS66" s="160">
        <f>IF(AND($C$17&gt;0,AS$46&gt;=$C$9,AS$46&lt;=$C$41),$C$31,0)</f>
        <v/>
      </c>
      <c r="AT66" s="160">
        <f>IF(AND($C$17&gt;0,AT$46&gt;=$C$9,AT$46&lt;=$C$41),$C$31,0)</f>
        <v/>
      </c>
      <c r="AU66" s="160">
        <f>IF(AND($C$17&gt;0,AU$46&gt;=$C$9,AU$46&lt;=$C$41),$C$31,0)</f>
        <v/>
      </c>
      <c r="AV66" s="160">
        <f>IF(AND($C$17&gt;0,AV$46&gt;=$C$9,AV$46&lt;=$C$41),$C$31,0)</f>
        <v/>
      </c>
      <c r="AW66" s="160">
        <f>IF(AND($C$17&gt;0,AW$46&gt;=$C$9,AW$46&lt;=$C$41),$C$31,0)</f>
        <v/>
      </c>
      <c r="AX66" s="160">
        <f>IF(AND($C$17&gt;0,AX$46&gt;=$C$9,AX$46&lt;=$C$41),$C$31,0)</f>
        <v/>
      </c>
      <c r="AY66" s="160">
        <f>IF(AND($C$17&gt;0,AY$46&gt;=$C$9,AY$46&lt;=$C$41),$C$31,0)</f>
        <v/>
      </c>
      <c r="AZ66" s="160">
        <f>IF(AND($C$17&gt;0,AZ$46&gt;=$C$9,AZ$46&lt;=$C$41),$C$31,0)</f>
        <v/>
      </c>
      <c r="BA66" s="160">
        <f>IF(AND($C$17&gt;0,BA$46&gt;=$C$9,BA$46&lt;=$C$41),$C$31,0)</f>
        <v/>
      </c>
      <c r="BB66" s="160">
        <f>IF(AND($C$17&gt;0,BB$46&gt;=$C$9,BB$46&lt;=$C$41),$C$31,0)</f>
        <v/>
      </c>
    </row>
    <row r="67" ht="15" customHeight="1" s="91">
      <c r="B67" s="153" t="inlineStr">
        <is>
          <t>Developer Fee  رسوم المطور</t>
        </is>
      </c>
      <c r="C67" s="153" t="inlineStr">
        <is>
          <t>SAR</t>
        </is>
      </c>
      <c r="D67" s="160">
        <f>SUM(E67:BB67)</f>
        <v/>
      </c>
      <c r="E67" s="160">
        <f>IF(AND(E49&lt;0,E$46&gt;=$C$9,E$46&lt;=$C$41),ABS(E49)*$C$32,0)</f>
        <v/>
      </c>
      <c r="F67" s="160">
        <f>IF(AND(F49&lt;0,F$46&gt;=$C$9,F$46&lt;=$C$41),ABS(F49)*$C$32,0)</f>
        <v/>
      </c>
      <c r="G67" s="160">
        <f>IF(AND(G49&lt;0,G$46&gt;=$C$9,G$46&lt;=$C$41),ABS(G49)*$C$32,0)</f>
        <v/>
      </c>
      <c r="H67" s="160">
        <f>IF(AND(H49&lt;0,H$46&gt;=$C$9,H$46&lt;=$C$41),ABS(H49)*$C$32,0)</f>
        <v/>
      </c>
      <c r="I67" s="160">
        <f>IF(AND(I49&lt;0,I$46&gt;=$C$9,I$46&lt;=$C$41),ABS(I49)*$C$32,0)</f>
        <v/>
      </c>
      <c r="J67" s="160">
        <f>IF(AND(J49&lt;0,J$46&gt;=$C$9,J$46&lt;=$C$41),ABS(J49)*$C$32,0)</f>
        <v/>
      </c>
      <c r="K67" s="160">
        <f>IF(AND(K49&lt;0,K$46&gt;=$C$9,K$46&lt;=$C$41),ABS(K49)*$C$32,0)</f>
        <v/>
      </c>
      <c r="L67" s="160">
        <f>IF(AND(L49&lt;0,L$46&gt;=$C$9,L$46&lt;=$C$41),ABS(L49)*$C$32,0)</f>
        <v/>
      </c>
      <c r="M67" s="160">
        <f>IF(AND(M49&lt;0,M$46&gt;=$C$9,M$46&lt;=$C$41),ABS(M49)*$C$32,0)</f>
        <v/>
      </c>
      <c r="N67" s="160">
        <f>IF(AND(N49&lt;0,N$46&gt;=$C$9,N$46&lt;=$C$41),ABS(N49)*$C$32,0)</f>
        <v/>
      </c>
      <c r="O67" s="160">
        <f>IF(AND(O49&lt;0,O$46&gt;=$C$9,O$46&lt;=$C$41),ABS(O49)*$C$32,0)</f>
        <v/>
      </c>
      <c r="P67" s="160">
        <f>IF(AND(P49&lt;0,P$46&gt;=$C$9,P$46&lt;=$C$41),ABS(P49)*$C$32,0)</f>
        <v/>
      </c>
      <c r="Q67" s="160">
        <f>IF(AND(Q49&lt;0,Q$46&gt;=$C$9,Q$46&lt;=$C$41),ABS(Q49)*$C$32,0)</f>
        <v/>
      </c>
      <c r="R67" s="160">
        <f>IF(AND(R49&lt;0,R$46&gt;=$C$9,R$46&lt;=$C$41),ABS(R49)*$C$32,0)</f>
        <v/>
      </c>
      <c r="S67" s="160">
        <f>IF(AND(S49&lt;0,S$46&gt;=$C$9,S$46&lt;=$C$41),ABS(S49)*$C$32,0)</f>
        <v/>
      </c>
      <c r="T67" s="160">
        <f>IF(AND(T49&lt;0,T$46&gt;=$C$9,T$46&lt;=$C$41),ABS(T49)*$C$32,0)</f>
        <v/>
      </c>
      <c r="U67" s="160">
        <f>IF(AND(U49&lt;0,U$46&gt;=$C$9,U$46&lt;=$C$41),ABS(U49)*$C$32,0)</f>
        <v/>
      </c>
      <c r="V67" s="160">
        <f>IF(AND(V49&lt;0,V$46&gt;=$C$9,V$46&lt;=$C$41),ABS(V49)*$C$32,0)</f>
        <v/>
      </c>
      <c r="W67" s="160">
        <f>IF(AND(W49&lt;0,W$46&gt;=$C$9,W$46&lt;=$C$41),ABS(W49)*$C$32,0)</f>
        <v/>
      </c>
      <c r="X67" s="160">
        <f>IF(AND(X49&lt;0,X$46&gt;=$C$9,X$46&lt;=$C$41),ABS(X49)*$C$32,0)</f>
        <v/>
      </c>
      <c r="Y67" s="160">
        <f>IF(AND(Y49&lt;0,Y$46&gt;=$C$9,Y$46&lt;=$C$41),ABS(Y49)*$C$32,0)</f>
        <v/>
      </c>
      <c r="Z67" s="160">
        <f>IF(AND(Z49&lt;0,Z$46&gt;=$C$9,Z$46&lt;=$C$41),ABS(Z49)*$C$32,0)</f>
        <v/>
      </c>
      <c r="AA67" s="160">
        <f>IF(AND(AA49&lt;0,AA$46&gt;=$C$9,AA$46&lt;=$C$41),ABS(AA49)*$C$32,0)</f>
        <v/>
      </c>
      <c r="AB67" s="160">
        <f>IF(AND(AB49&lt;0,AB$46&gt;=$C$9,AB$46&lt;=$C$41),ABS(AB49)*$C$32,0)</f>
        <v/>
      </c>
      <c r="AC67" s="160">
        <f>IF(AND(AC49&lt;0,AC$46&gt;=$C$9,AC$46&lt;=$C$41),ABS(AC49)*$C$32,0)</f>
        <v/>
      </c>
      <c r="AD67" s="160">
        <f>IF(AND(AD49&lt;0,AD$46&gt;=$C$9,AD$46&lt;=$C$41),ABS(AD49)*$C$32,0)</f>
        <v/>
      </c>
      <c r="AE67" s="160">
        <f>IF(AND(AE49&lt;0,AE$46&gt;=$C$9,AE$46&lt;=$C$41),ABS(AE49)*$C$32,0)</f>
        <v/>
      </c>
      <c r="AF67" s="160">
        <f>IF(AND(AF49&lt;0,AF$46&gt;=$C$9,AF$46&lt;=$C$41),ABS(AF49)*$C$32,0)</f>
        <v/>
      </c>
      <c r="AG67" s="160">
        <f>IF(AND(AG49&lt;0,AG$46&gt;=$C$9,AG$46&lt;=$C$41),ABS(AG49)*$C$32,0)</f>
        <v/>
      </c>
      <c r="AH67" s="160">
        <f>IF(AND(AH49&lt;0,AH$46&gt;=$C$9,AH$46&lt;=$C$41),ABS(AH49)*$C$32,0)</f>
        <v/>
      </c>
      <c r="AI67" s="160">
        <f>IF(AND(AI49&lt;0,AI$46&gt;=$C$9,AI$46&lt;=$C$41),ABS(AI49)*$C$32,0)</f>
        <v/>
      </c>
      <c r="AJ67" s="160">
        <f>IF(AND(AJ49&lt;0,AJ$46&gt;=$C$9,AJ$46&lt;=$C$41),ABS(AJ49)*$C$32,0)</f>
        <v/>
      </c>
      <c r="AK67" s="160">
        <f>IF(AND(AK49&lt;0,AK$46&gt;=$C$9,AK$46&lt;=$C$41),ABS(AK49)*$C$32,0)</f>
        <v/>
      </c>
      <c r="AL67" s="160">
        <f>IF(AND(AL49&lt;0,AL$46&gt;=$C$9,AL$46&lt;=$C$41),ABS(AL49)*$C$32,0)</f>
        <v/>
      </c>
      <c r="AM67" s="160">
        <f>IF(AND(AM49&lt;0,AM$46&gt;=$C$9,AM$46&lt;=$C$41),ABS(AM49)*$C$32,0)</f>
        <v/>
      </c>
      <c r="AN67" s="160">
        <f>IF(AND(AN49&lt;0,AN$46&gt;=$C$9,AN$46&lt;=$C$41),ABS(AN49)*$C$32,0)</f>
        <v/>
      </c>
      <c r="AO67" s="160">
        <f>IF(AND(AO49&lt;0,AO$46&gt;=$C$9,AO$46&lt;=$C$41),ABS(AO49)*$C$32,0)</f>
        <v/>
      </c>
      <c r="AP67" s="160">
        <f>IF(AND(AP49&lt;0,AP$46&gt;=$C$9,AP$46&lt;=$C$41),ABS(AP49)*$C$32,0)</f>
        <v/>
      </c>
      <c r="AQ67" s="160">
        <f>IF(AND(AQ49&lt;0,AQ$46&gt;=$C$9,AQ$46&lt;=$C$41),ABS(AQ49)*$C$32,0)</f>
        <v/>
      </c>
      <c r="AR67" s="160">
        <f>IF(AND(AR49&lt;0,AR$46&gt;=$C$9,AR$46&lt;=$C$41),ABS(AR49)*$C$32,0)</f>
        <v/>
      </c>
      <c r="AS67" s="160">
        <f>IF(AND(AS49&lt;0,AS$46&gt;=$C$9,AS$46&lt;=$C$41),ABS(AS49)*$C$32,0)</f>
        <v/>
      </c>
      <c r="AT67" s="160">
        <f>IF(AND(AT49&lt;0,AT$46&gt;=$C$9,AT$46&lt;=$C$41),ABS(AT49)*$C$32,0)</f>
        <v/>
      </c>
      <c r="AU67" s="160">
        <f>IF(AND(AU49&lt;0,AU$46&gt;=$C$9,AU$46&lt;=$C$41),ABS(AU49)*$C$32,0)</f>
        <v/>
      </c>
      <c r="AV67" s="160">
        <f>IF(AND(AV49&lt;0,AV$46&gt;=$C$9,AV$46&lt;=$C$41),ABS(AV49)*$C$32,0)</f>
        <v/>
      </c>
      <c r="AW67" s="160">
        <f>IF(AND(AW49&lt;0,AW$46&gt;=$C$9,AW$46&lt;=$C$41),ABS(AW49)*$C$32,0)</f>
        <v/>
      </c>
      <c r="AX67" s="160">
        <f>IF(AND(AX49&lt;0,AX$46&gt;=$C$9,AX$46&lt;=$C$41),ABS(AX49)*$C$32,0)</f>
        <v/>
      </c>
      <c r="AY67" s="160">
        <f>IF(AND(AY49&lt;0,AY$46&gt;=$C$9,AY$46&lt;=$C$41),ABS(AY49)*$C$32,0)</f>
        <v/>
      </c>
      <c r="AZ67" s="160">
        <f>IF(AND(AZ49&lt;0,AZ$46&gt;=$C$9,AZ$46&lt;=$C$41),ABS(AZ49)*$C$32,0)</f>
        <v/>
      </c>
      <c r="BA67" s="160">
        <f>IF(AND(BA49&lt;0,BA$46&gt;=$C$9,BA$46&lt;=$C$41),ABS(BA49)*$C$32,0)</f>
        <v/>
      </c>
      <c r="BB67" s="160">
        <f>IF(AND(BB49&lt;0,BB$46&gt;=$C$9,BB$46&lt;=$C$41),ABS(BB49)*$C$32,0)</f>
        <v/>
      </c>
    </row>
    <row r="68" ht="15" customHeight="1" s="91">
      <c r="B68" s="153" t="inlineStr">
        <is>
          <t>Structuring Fee  رسوم الهيكلة</t>
        </is>
      </c>
      <c r="C68" s="153" t="inlineStr">
        <is>
          <t>SAR</t>
        </is>
      </c>
      <c r="D68" s="160">
        <f>SUM(E68:BB68)</f>
        <v/>
      </c>
      <c r="E68" s="160">
        <f>IF(E$46=$C$9,MIN(Inputs!G$143,ABS($D$49)*$C$33),0)</f>
        <v/>
      </c>
      <c r="F68" s="160">
        <f>IF(F$46=$C$9,MIN(Inputs!G$143,ABS($D$49)*$C$33),0)</f>
        <v/>
      </c>
      <c r="G68" s="160">
        <f>IF(G$46=$C$9,MIN(Inputs!G$143,ABS($D$49)*$C$33),0)</f>
        <v/>
      </c>
      <c r="H68" s="160">
        <f>IF(H$46=$C$9,MIN(Inputs!G$143,ABS($D$49)*$C$33),0)</f>
        <v/>
      </c>
      <c r="I68" s="160">
        <f>IF(I$46=$C$9,MIN(Inputs!G$143,ABS($D$49)*$C$33),0)</f>
        <v/>
      </c>
      <c r="J68" s="160">
        <f>IF(J$46=$C$9,MIN(Inputs!G$143,ABS($D$49)*$C$33),0)</f>
        <v/>
      </c>
      <c r="K68" s="160">
        <f>IF(K$46=$C$9,MIN(Inputs!G$143,ABS($D$49)*$C$33),0)</f>
        <v/>
      </c>
      <c r="L68" s="160">
        <f>IF(L$46=$C$9,MIN(Inputs!G$143,ABS($D$49)*$C$33),0)</f>
        <v/>
      </c>
      <c r="M68" s="160">
        <f>IF(M$46=$C$9,MIN(Inputs!G$143,ABS($D$49)*$C$33),0)</f>
        <v/>
      </c>
      <c r="N68" s="160">
        <f>IF(N$46=$C$9,MIN(Inputs!G$143,ABS($D$49)*$C$33),0)</f>
        <v/>
      </c>
      <c r="O68" s="160">
        <f>IF(O$46=$C$9,MIN(Inputs!G$143,ABS($D$49)*$C$33),0)</f>
        <v/>
      </c>
      <c r="P68" s="160">
        <f>IF(P$46=$C$9,MIN(Inputs!G$143,ABS($D$49)*$C$33),0)</f>
        <v/>
      </c>
      <c r="Q68" s="160">
        <f>IF(Q$46=$C$9,MIN(Inputs!G$143,ABS($D$49)*$C$33),0)</f>
        <v/>
      </c>
      <c r="R68" s="160">
        <f>IF(R$46=$C$9,MIN(Inputs!G$143,ABS($D$49)*$C$33),0)</f>
        <v/>
      </c>
      <c r="S68" s="160">
        <f>IF(S$46=$C$9,MIN(Inputs!G$143,ABS($D$49)*$C$33),0)</f>
        <v/>
      </c>
      <c r="T68" s="160">
        <f>IF(T$46=$C$9,MIN(Inputs!G$143,ABS($D$49)*$C$33),0)</f>
        <v/>
      </c>
      <c r="U68" s="160">
        <f>IF(U$46=$C$9,MIN(Inputs!G$143,ABS($D$49)*$C$33),0)</f>
        <v/>
      </c>
      <c r="V68" s="160">
        <f>IF(V$46=$C$9,MIN(Inputs!G$143,ABS($D$49)*$C$33),0)</f>
        <v/>
      </c>
      <c r="W68" s="160">
        <f>IF(W$46=$C$9,MIN(Inputs!G$143,ABS($D$49)*$C$33),0)</f>
        <v/>
      </c>
      <c r="X68" s="160">
        <f>IF(X$46=$C$9,MIN(Inputs!G$143,ABS($D$49)*$C$33),0)</f>
        <v/>
      </c>
      <c r="Y68" s="160">
        <f>IF(Y$46=$C$9,MIN(Inputs!G$143,ABS($D$49)*$C$33),0)</f>
        <v/>
      </c>
      <c r="Z68" s="160">
        <f>IF(Z$46=$C$9,MIN(Inputs!G$143,ABS($D$49)*$C$33),0)</f>
        <v/>
      </c>
      <c r="AA68" s="160">
        <f>IF(AA$46=$C$9,MIN(Inputs!G$143,ABS($D$49)*$C$33),0)</f>
        <v/>
      </c>
      <c r="AB68" s="160">
        <f>IF(AB$46=$C$9,MIN(Inputs!G$143,ABS($D$49)*$C$33),0)</f>
        <v/>
      </c>
      <c r="AC68" s="160">
        <f>IF(AC$46=$C$9,MIN(Inputs!G$143,ABS($D$49)*$C$33),0)</f>
        <v/>
      </c>
      <c r="AD68" s="160">
        <f>IF(AD$46=$C$9,MIN(Inputs!G$143,ABS($D$49)*$C$33),0)</f>
        <v/>
      </c>
      <c r="AE68" s="160">
        <f>IF(AE$46=$C$9,MIN(Inputs!G$143,ABS($D$49)*$C$33),0)</f>
        <v/>
      </c>
      <c r="AF68" s="160">
        <f>IF(AF$46=$C$9,MIN(Inputs!G$143,ABS($D$49)*$C$33),0)</f>
        <v/>
      </c>
      <c r="AG68" s="160">
        <f>IF(AG$46=$C$9,MIN(Inputs!G$143,ABS($D$49)*$C$33),0)</f>
        <v/>
      </c>
      <c r="AH68" s="160">
        <f>IF(AH$46=$C$9,MIN(Inputs!G$143,ABS($D$49)*$C$33),0)</f>
        <v/>
      </c>
      <c r="AI68" s="160">
        <f>IF(AI$46=$C$9,MIN(Inputs!G$143,ABS($D$49)*$C$33),0)</f>
        <v/>
      </c>
      <c r="AJ68" s="160">
        <f>IF(AJ$46=$C$9,MIN(Inputs!G$143,ABS($D$49)*$C$33),0)</f>
        <v/>
      </c>
      <c r="AK68" s="160">
        <f>IF(AK$46=$C$9,MIN(Inputs!G$143,ABS($D$49)*$C$33),0)</f>
        <v/>
      </c>
      <c r="AL68" s="160">
        <f>IF(AL$46=$C$9,MIN(Inputs!G$143,ABS($D$49)*$C$33),0)</f>
        <v/>
      </c>
      <c r="AM68" s="160">
        <f>IF(AM$46=$C$9,MIN(Inputs!G$143,ABS($D$49)*$C$33),0)</f>
        <v/>
      </c>
      <c r="AN68" s="160">
        <f>IF(AN$46=$C$9,MIN(Inputs!G$143,ABS($D$49)*$C$33),0)</f>
        <v/>
      </c>
      <c r="AO68" s="160">
        <f>IF(AO$46=$C$9,MIN(Inputs!G$143,ABS($D$49)*$C$33),0)</f>
        <v/>
      </c>
      <c r="AP68" s="160">
        <f>IF(AP$46=$C$9,MIN(Inputs!G$143,ABS($D$49)*$C$33),0)</f>
        <v/>
      </c>
      <c r="AQ68" s="160">
        <f>IF(AQ$46=$C$9,MIN(Inputs!G$143,ABS($D$49)*$C$33),0)</f>
        <v/>
      </c>
      <c r="AR68" s="160">
        <f>IF(AR$46=$C$9,MIN(Inputs!G$143,ABS($D$49)*$C$33),0)</f>
        <v/>
      </c>
      <c r="AS68" s="160">
        <f>IF(AS$46=$C$9,MIN(Inputs!G$143,ABS($D$49)*$C$33),0)</f>
        <v/>
      </c>
      <c r="AT68" s="160">
        <f>IF(AT$46=$C$9,MIN(Inputs!G$143,ABS($D$49)*$C$33),0)</f>
        <v/>
      </c>
      <c r="AU68" s="160">
        <f>IF(AU$46=$C$9,MIN(Inputs!G$143,ABS($D$49)*$C$33),0)</f>
        <v/>
      </c>
      <c r="AV68" s="160">
        <f>IF(AV$46=$C$9,MIN(Inputs!G$143,ABS($D$49)*$C$33),0)</f>
        <v/>
      </c>
      <c r="AW68" s="160">
        <f>IF(AW$46=$C$9,MIN(Inputs!G$143,ABS($D$49)*$C$33),0)</f>
        <v/>
      </c>
      <c r="AX68" s="160">
        <f>IF(AX$46=$C$9,MIN(Inputs!G$143,ABS($D$49)*$C$33),0)</f>
        <v/>
      </c>
      <c r="AY68" s="160">
        <f>IF(AY$46=$C$9,MIN(Inputs!G$143,ABS($D$49)*$C$33),0)</f>
        <v/>
      </c>
      <c r="AZ68" s="160">
        <f>IF(AZ$46=$C$9,MIN(Inputs!G$143,ABS($D$49)*$C$33),0)</f>
        <v/>
      </c>
      <c r="BA68" s="160">
        <f>IF(BA$46=$C$9,MIN(Inputs!G$143,ABS($D$49)*$C$33),0)</f>
        <v/>
      </c>
      <c r="BB68" s="160">
        <f>IF(BB$46=$C$9,MIN(Inputs!G$143,ABS($D$49)*$C$33),0)</f>
        <v/>
      </c>
    </row>
    <row r="69" ht="15" customHeight="1" s="91">
      <c r="B69" s="110" t="inlineStr">
        <is>
          <t>Total Fees  إجمالي الرسوم</t>
        </is>
      </c>
      <c r="C69" s="153" t="inlineStr">
        <is>
          <t>SAR</t>
        </is>
      </c>
      <c r="D69" s="157">
        <f>SUM(E69:BB69)</f>
        <v/>
      </c>
      <c r="E69" s="157">
        <f>E63+E64+E65+E66+E67+E68</f>
        <v/>
      </c>
      <c r="F69" s="157">
        <f>F63+F64+F65+F66+F67+F68</f>
        <v/>
      </c>
      <c r="G69" s="157">
        <f>G63+G64+G65+G66+G67+G68</f>
        <v/>
      </c>
      <c r="H69" s="157">
        <f>H63+H64+H65+H66+H67+H68</f>
        <v/>
      </c>
      <c r="I69" s="157">
        <f>I63+I64+I65+I66+I67+I68</f>
        <v/>
      </c>
      <c r="J69" s="157">
        <f>J63+J64+J65+J66+J67+J68</f>
        <v/>
      </c>
      <c r="K69" s="157">
        <f>K63+K64+K65+K66+K67+K68</f>
        <v/>
      </c>
      <c r="L69" s="157">
        <f>L63+L64+L65+L66+L67+L68</f>
        <v/>
      </c>
      <c r="M69" s="157">
        <f>M63+M64+M65+M66+M67+M68</f>
        <v/>
      </c>
      <c r="N69" s="157">
        <f>N63+N64+N65+N66+N67+N68</f>
        <v/>
      </c>
      <c r="O69" s="157">
        <f>O63+O64+O65+O66+O67+O68</f>
        <v/>
      </c>
      <c r="P69" s="157">
        <f>P63+P64+P65+P66+P67+P68</f>
        <v/>
      </c>
      <c r="Q69" s="157">
        <f>Q63+Q64+Q65+Q66+Q67+Q68</f>
        <v/>
      </c>
      <c r="R69" s="157">
        <f>R63+R64+R65+R66+R67+R68</f>
        <v/>
      </c>
      <c r="S69" s="157">
        <f>S63+S64+S65+S66+S67+S68</f>
        <v/>
      </c>
      <c r="T69" s="157">
        <f>T63+T64+T65+T66+T67+T68</f>
        <v/>
      </c>
      <c r="U69" s="157">
        <f>U63+U64+U65+U66+U67+U68</f>
        <v/>
      </c>
      <c r="V69" s="157">
        <f>V63+V64+V65+V66+V67+V68</f>
        <v/>
      </c>
      <c r="W69" s="157">
        <f>W63+W64+W65+W66+W67+W68</f>
        <v/>
      </c>
      <c r="X69" s="157">
        <f>X63+X64+X65+X66+X67+X68</f>
        <v/>
      </c>
      <c r="Y69" s="157">
        <f>Y63+Y64+Y65+Y66+Y67+Y68</f>
        <v/>
      </c>
      <c r="Z69" s="157">
        <f>Z63+Z64+Z65+Z66+Z67+Z68</f>
        <v/>
      </c>
      <c r="AA69" s="157">
        <f>AA63+AA64+AA65+AA66+AA67+AA68</f>
        <v/>
      </c>
      <c r="AB69" s="157">
        <f>AB63+AB64+AB65+AB66+AB67+AB68</f>
        <v/>
      </c>
      <c r="AC69" s="157">
        <f>AC63+AC64+AC65+AC66+AC67+AC68</f>
        <v/>
      </c>
      <c r="AD69" s="157">
        <f>AD63+AD64+AD65+AD66+AD67+AD68</f>
        <v/>
      </c>
      <c r="AE69" s="157">
        <f>AE63+AE64+AE65+AE66+AE67+AE68</f>
        <v/>
      </c>
      <c r="AF69" s="157">
        <f>AF63+AF64+AF65+AF66+AF67+AF68</f>
        <v/>
      </c>
      <c r="AG69" s="157">
        <f>AG63+AG64+AG65+AG66+AG67+AG68</f>
        <v/>
      </c>
      <c r="AH69" s="157">
        <f>AH63+AH64+AH65+AH66+AH67+AH68</f>
        <v/>
      </c>
      <c r="AI69" s="157">
        <f>AI63+AI64+AI65+AI66+AI67+AI68</f>
        <v/>
      </c>
      <c r="AJ69" s="157">
        <f>AJ63+AJ64+AJ65+AJ66+AJ67+AJ68</f>
        <v/>
      </c>
      <c r="AK69" s="157">
        <f>AK63+AK64+AK65+AK66+AK67+AK68</f>
        <v/>
      </c>
      <c r="AL69" s="157">
        <f>AL63+AL64+AL65+AL66+AL67+AL68</f>
        <v/>
      </c>
      <c r="AM69" s="157">
        <f>AM63+AM64+AM65+AM66+AM67+AM68</f>
        <v/>
      </c>
      <c r="AN69" s="157">
        <f>AN63+AN64+AN65+AN66+AN67+AN68</f>
        <v/>
      </c>
      <c r="AO69" s="157">
        <f>AO63+AO64+AO65+AO66+AO67+AO68</f>
        <v/>
      </c>
      <c r="AP69" s="157">
        <f>AP63+AP64+AP65+AP66+AP67+AP68</f>
        <v/>
      </c>
      <c r="AQ69" s="157">
        <f>AQ63+AQ64+AQ65+AQ66+AQ67+AQ68</f>
        <v/>
      </c>
      <c r="AR69" s="157">
        <f>AR63+AR64+AR65+AR66+AR67+AR68</f>
        <v/>
      </c>
      <c r="AS69" s="157">
        <f>AS63+AS64+AS65+AS66+AS67+AS68</f>
        <v/>
      </c>
      <c r="AT69" s="157">
        <f>AT63+AT64+AT65+AT66+AT67+AT68</f>
        <v/>
      </c>
      <c r="AU69" s="157">
        <f>AU63+AU64+AU65+AU66+AU67+AU68</f>
        <v/>
      </c>
      <c r="AV69" s="157">
        <f>AV63+AV64+AV65+AV66+AV67+AV68</f>
        <v/>
      </c>
      <c r="AW69" s="157">
        <f>AW63+AW64+AW65+AW66+AW67+AW68</f>
        <v/>
      </c>
      <c r="AX69" s="157">
        <f>AX63+AX64+AX65+AX66+AX67+AX68</f>
        <v/>
      </c>
      <c r="AY69" s="157">
        <f>AY63+AY64+AY65+AY66+AY67+AY68</f>
        <v/>
      </c>
      <c r="AZ69" s="157">
        <f>AZ63+AZ64+AZ65+AZ66+AZ67+AZ68</f>
        <v/>
      </c>
      <c r="BA69" s="157">
        <f>BA63+BA64+BA65+BA66+BA67+BA68</f>
        <v/>
      </c>
      <c r="BB69" s="157">
        <f>BB63+BB64+BB65+BB66+BB67+BB68</f>
        <v/>
      </c>
    </row>
    <row r="70" ht="15" customHeight="1" s="91">
      <c r="B70" s="153" t="inlineStr">
        <is>
          <t>Unfunded Fees (Equity-Funded)  الرسوم الممولة من الإكوتي</t>
        </is>
      </c>
      <c r="C70" s="153" t="inlineStr">
        <is>
          <t>SAR</t>
        </is>
      </c>
      <c r="D70" s="160">
        <f>SUM(E70:BB70)</f>
        <v/>
      </c>
      <c r="E70" s="160">
        <f>MAX(0,E69-MAX(0,IF(E$46&lt;=$C$41,E50,0)+E62+E51))</f>
        <v/>
      </c>
      <c r="F70" s="160">
        <f>MAX(0,F69-MAX(0,IF(F$46&lt;=$C$41,F50,0)+F62+F51))</f>
        <v/>
      </c>
      <c r="G70" s="160">
        <f>MAX(0,G69-MAX(0,IF(G$46&lt;=$C$41,G50,0)+G62+G51))</f>
        <v/>
      </c>
      <c r="H70" s="160">
        <f>MAX(0,H69-MAX(0,IF(H$46&lt;=$C$41,H50,0)+H62+H51))</f>
        <v/>
      </c>
      <c r="I70" s="160">
        <f>MAX(0,I69-MAX(0,IF(I$46&lt;=$C$41,I50,0)+I62+I51))</f>
        <v/>
      </c>
      <c r="J70" s="160">
        <f>MAX(0,J69-MAX(0,IF(J$46&lt;=$C$41,J50,0)+J62+J51))</f>
        <v/>
      </c>
      <c r="K70" s="160">
        <f>MAX(0,K69-MAX(0,IF(K$46&lt;=$C$41,K50,0)+K62+K51))</f>
        <v/>
      </c>
      <c r="L70" s="160">
        <f>MAX(0,L69-MAX(0,IF(L$46&lt;=$C$41,L50,0)+L62+L51))</f>
        <v/>
      </c>
      <c r="M70" s="160">
        <f>MAX(0,M69-MAX(0,IF(M$46&lt;=$C$41,M50,0)+M62+M51))</f>
        <v/>
      </c>
      <c r="N70" s="160">
        <f>MAX(0,N69-MAX(0,IF(N$46&lt;=$C$41,N50,0)+N62+N51))</f>
        <v/>
      </c>
      <c r="O70" s="160">
        <f>MAX(0,O69-MAX(0,IF(O$46&lt;=$C$41,O50,0)+O62+O51))</f>
        <v/>
      </c>
      <c r="P70" s="160">
        <f>MAX(0,P69-MAX(0,IF(P$46&lt;=$C$41,P50,0)+P62+P51))</f>
        <v/>
      </c>
      <c r="Q70" s="160">
        <f>MAX(0,Q69-MAX(0,IF(Q$46&lt;=$C$41,Q50,0)+Q62+Q51))</f>
        <v/>
      </c>
      <c r="R70" s="160">
        <f>MAX(0,R69-MAX(0,IF(R$46&lt;=$C$41,R50,0)+R62+R51))</f>
        <v/>
      </c>
      <c r="S70" s="160">
        <f>MAX(0,S69-MAX(0,IF(S$46&lt;=$C$41,S50,0)+S62+S51))</f>
        <v/>
      </c>
      <c r="T70" s="160">
        <f>MAX(0,T69-MAX(0,IF(T$46&lt;=$C$41,T50,0)+T62+T51))</f>
        <v/>
      </c>
      <c r="U70" s="160">
        <f>MAX(0,U69-MAX(0,IF(U$46&lt;=$C$41,U50,0)+U62+U51))</f>
        <v/>
      </c>
      <c r="V70" s="160">
        <f>MAX(0,V69-MAX(0,IF(V$46&lt;=$C$41,V50,0)+V62+V51))</f>
        <v/>
      </c>
      <c r="W70" s="160">
        <f>MAX(0,W69-MAX(0,IF(W$46&lt;=$C$41,W50,0)+W62+W51))</f>
        <v/>
      </c>
      <c r="X70" s="160">
        <f>MAX(0,X69-MAX(0,IF(X$46&lt;=$C$41,X50,0)+X62+X51))</f>
        <v/>
      </c>
      <c r="Y70" s="160">
        <f>MAX(0,Y69-MAX(0,IF(Y$46&lt;=$C$41,Y50,0)+Y62+Y51))</f>
        <v/>
      </c>
      <c r="Z70" s="160">
        <f>MAX(0,Z69-MAX(0,IF(Z$46&lt;=$C$41,Z50,0)+Z62+Z51))</f>
        <v/>
      </c>
      <c r="AA70" s="160">
        <f>MAX(0,AA69-MAX(0,IF(AA$46&lt;=$C$41,AA50,0)+AA62+AA51))</f>
        <v/>
      </c>
      <c r="AB70" s="160">
        <f>MAX(0,AB69-MAX(0,IF(AB$46&lt;=$C$41,AB50,0)+AB62+AB51))</f>
        <v/>
      </c>
      <c r="AC70" s="160">
        <f>MAX(0,AC69-MAX(0,IF(AC$46&lt;=$C$41,AC50,0)+AC62+AC51))</f>
        <v/>
      </c>
      <c r="AD70" s="160">
        <f>MAX(0,AD69-MAX(0,IF(AD$46&lt;=$C$41,AD50,0)+AD62+AD51))</f>
        <v/>
      </c>
      <c r="AE70" s="160">
        <f>MAX(0,AE69-MAX(0,IF(AE$46&lt;=$C$41,AE50,0)+AE62+AE51))</f>
        <v/>
      </c>
      <c r="AF70" s="160">
        <f>MAX(0,AF69-MAX(0,IF(AF$46&lt;=$C$41,AF50,0)+AF62+AF51))</f>
        <v/>
      </c>
      <c r="AG70" s="160">
        <f>MAX(0,AG69-MAX(0,IF(AG$46&lt;=$C$41,AG50,0)+AG62+AG51))</f>
        <v/>
      </c>
      <c r="AH70" s="160">
        <f>MAX(0,AH69-MAX(0,IF(AH$46&lt;=$C$41,AH50,0)+AH62+AH51))</f>
        <v/>
      </c>
      <c r="AI70" s="160">
        <f>MAX(0,AI69-MAX(0,IF(AI$46&lt;=$C$41,AI50,0)+AI62+AI51))</f>
        <v/>
      </c>
      <c r="AJ70" s="160">
        <f>MAX(0,AJ69-MAX(0,IF(AJ$46&lt;=$C$41,AJ50,0)+AJ62+AJ51))</f>
        <v/>
      </c>
      <c r="AK70" s="160">
        <f>MAX(0,AK69-MAX(0,IF(AK$46&lt;=$C$41,AK50,0)+AK62+AK51))</f>
        <v/>
      </c>
      <c r="AL70" s="160">
        <f>MAX(0,AL69-MAX(0,IF(AL$46&lt;=$C$41,AL50,0)+AL62+AL51))</f>
        <v/>
      </c>
      <c r="AM70" s="160">
        <f>MAX(0,AM69-MAX(0,IF(AM$46&lt;=$C$41,AM50,0)+AM62+AM51))</f>
        <v/>
      </c>
      <c r="AN70" s="160">
        <f>MAX(0,AN69-MAX(0,IF(AN$46&lt;=$C$41,AN50,0)+AN62+AN51))</f>
        <v/>
      </c>
      <c r="AO70" s="160">
        <f>MAX(0,AO69-MAX(0,IF(AO$46&lt;=$C$41,AO50,0)+AO62+AO51))</f>
        <v/>
      </c>
      <c r="AP70" s="160">
        <f>MAX(0,AP69-MAX(0,IF(AP$46&lt;=$C$41,AP50,0)+AP62+AP51))</f>
        <v/>
      </c>
      <c r="AQ70" s="160">
        <f>MAX(0,AQ69-MAX(0,IF(AQ$46&lt;=$C$41,AQ50,0)+AQ62+AQ51))</f>
        <v/>
      </c>
      <c r="AR70" s="160">
        <f>MAX(0,AR69-MAX(0,IF(AR$46&lt;=$C$41,AR50,0)+AR62+AR51))</f>
        <v/>
      </c>
      <c r="AS70" s="160">
        <f>MAX(0,AS69-MAX(0,IF(AS$46&lt;=$C$41,AS50,0)+AS62+AS51))</f>
        <v/>
      </c>
      <c r="AT70" s="160">
        <f>MAX(0,AT69-MAX(0,IF(AT$46&lt;=$C$41,AT50,0)+AT62+AT51))</f>
        <v/>
      </c>
      <c r="AU70" s="160">
        <f>MAX(0,AU69-MAX(0,IF(AU$46&lt;=$C$41,AU50,0)+AU62+AU51))</f>
        <v/>
      </c>
      <c r="AV70" s="160">
        <f>MAX(0,AV69-MAX(0,IF(AV$46&lt;=$C$41,AV50,0)+AV62+AV51))</f>
        <v/>
      </c>
      <c r="AW70" s="160">
        <f>MAX(0,AW69-MAX(0,IF(AW$46&lt;=$C$41,AW50,0)+AW62+AW51))</f>
        <v/>
      </c>
      <c r="AX70" s="160">
        <f>MAX(0,AX69-MAX(0,IF(AX$46&lt;=$C$41,AX50,0)+AX62+AX51))</f>
        <v/>
      </c>
      <c r="AY70" s="160">
        <f>MAX(0,AY69-MAX(0,IF(AY$46&lt;=$C$41,AY50,0)+AY62+AY51))</f>
        <v/>
      </c>
      <c r="AZ70" s="160">
        <f>MAX(0,AZ69-MAX(0,IF(AZ$46&lt;=$C$41,AZ50,0)+AZ62+AZ51))</f>
        <v/>
      </c>
      <c r="BA70" s="160">
        <f>MAX(0,BA69-MAX(0,IF(BA$46&lt;=$C$41,BA50,0)+BA62+BA51))</f>
        <v/>
      </c>
      <c r="BB70" s="160">
        <f>MAX(0,BB69-MAX(0,IF(BB$46&lt;=$C$41,BB50,0)+BB62+BB51))</f>
        <v/>
      </c>
    </row>
    <row r="71" ht="15" customHeight="1" s="91">
      <c r="B71" s="153" t="inlineStr">
        <is>
          <t>Exit Proceeds  حصيلة التخارج</t>
        </is>
      </c>
      <c r="C71" s="153" t="inlineStr">
        <is>
          <t>SAR</t>
        </is>
      </c>
      <c r="D71" s="157">
        <f>SUM(E71:BB71)</f>
        <v/>
      </c>
      <c r="E71" s="160">
        <f>E51</f>
        <v/>
      </c>
      <c r="F71" s="160">
        <f>F51</f>
        <v/>
      </c>
      <c r="G71" s="160">
        <f>G51</f>
        <v/>
      </c>
      <c r="H71" s="160">
        <f>H51</f>
        <v/>
      </c>
      <c r="I71" s="160">
        <f>I51</f>
        <v/>
      </c>
      <c r="J71" s="160">
        <f>J51</f>
        <v/>
      </c>
      <c r="K71" s="160">
        <f>K51</f>
        <v/>
      </c>
      <c r="L71" s="160">
        <f>L51</f>
        <v/>
      </c>
      <c r="M71" s="160">
        <f>M51</f>
        <v/>
      </c>
      <c r="N71" s="160">
        <f>N51</f>
        <v/>
      </c>
      <c r="O71" s="160">
        <f>O51</f>
        <v/>
      </c>
      <c r="P71" s="160">
        <f>P51</f>
        <v/>
      </c>
      <c r="Q71" s="160">
        <f>Q51</f>
        <v/>
      </c>
      <c r="R71" s="160">
        <f>R51</f>
        <v/>
      </c>
      <c r="S71" s="160">
        <f>S51</f>
        <v/>
      </c>
      <c r="T71" s="160">
        <f>T51</f>
        <v/>
      </c>
      <c r="U71" s="160">
        <f>U51</f>
        <v/>
      </c>
      <c r="V71" s="160">
        <f>V51</f>
        <v/>
      </c>
      <c r="W71" s="160">
        <f>W51</f>
        <v/>
      </c>
      <c r="X71" s="160">
        <f>X51</f>
        <v/>
      </c>
      <c r="Y71" s="160">
        <f>Y51</f>
        <v/>
      </c>
      <c r="Z71" s="160">
        <f>Z51</f>
        <v/>
      </c>
      <c r="AA71" s="160">
        <f>AA51</f>
        <v/>
      </c>
      <c r="AB71" s="160">
        <f>AB51</f>
        <v/>
      </c>
      <c r="AC71" s="160">
        <f>AC51</f>
        <v/>
      </c>
      <c r="AD71" s="160">
        <f>AD51</f>
        <v/>
      </c>
      <c r="AE71" s="160">
        <f>AE51</f>
        <v/>
      </c>
      <c r="AF71" s="160">
        <f>AF51</f>
        <v/>
      </c>
      <c r="AG71" s="160">
        <f>AG51</f>
        <v/>
      </c>
      <c r="AH71" s="160">
        <f>AH51</f>
        <v/>
      </c>
      <c r="AI71" s="160">
        <f>AI51</f>
        <v/>
      </c>
      <c r="AJ71" s="160">
        <f>AJ51</f>
        <v/>
      </c>
      <c r="AK71" s="160">
        <f>AK51</f>
        <v/>
      </c>
      <c r="AL71" s="160">
        <f>AL51</f>
        <v/>
      </c>
      <c r="AM71" s="160">
        <f>AM51</f>
        <v/>
      </c>
      <c r="AN71" s="160">
        <f>AN51</f>
        <v/>
      </c>
      <c r="AO71" s="160">
        <f>AO51</f>
        <v/>
      </c>
      <c r="AP71" s="160">
        <f>AP51</f>
        <v/>
      </c>
      <c r="AQ71" s="160">
        <f>AQ51</f>
        <v/>
      </c>
      <c r="AR71" s="160">
        <f>AR51</f>
        <v/>
      </c>
      <c r="AS71" s="160">
        <f>AS51</f>
        <v/>
      </c>
      <c r="AT71" s="160">
        <f>AT51</f>
        <v/>
      </c>
      <c r="AU71" s="160">
        <f>AU51</f>
        <v/>
      </c>
      <c r="AV71" s="160">
        <f>AV51</f>
        <v/>
      </c>
      <c r="AW71" s="160">
        <f>AW51</f>
        <v/>
      </c>
      <c r="AX71" s="160">
        <f>AX51</f>
        <v/>
      </c>
      <c r="AY71" s="160">
        <f>AY51</f>
        <v/>
      </c>
      <c r="AZ71" s="160">
        <f>AZ51</f>
        <v/>
      </c>
      <c r="BA71" s="160">
        <f>BA51</f>
        <v/>
      </c>
      <c r="BB71" s="160">
        <f>BB51</f>
        <v/>
      </c>
    </row>
    <row r="73" ht="15" customHeight="1" s="91">
      <c r="A73" s="152" t="inlineStr">
        <is>
          <t>9  DISTRIBUTIONS &amp; WATERFALL  التوزيعات وشلال الأرباح</t>
        </is>
      </c>
      <c r="B73" s="152" t="n"/>
      <c r="C73" s="152" t="n"/>
      <c r="D73" s="152" t="n"/>
      <c r="E73" s="152" t="n"/>
      <c r="F73" s="152" t="n"/>
      <c r="G73" s="152" t="n"/>
      <c r="H73" s="152" t="n"/>
      <c r="I73" s="152" t="n"/>
      <c r="J73" s="152" t="n"/>
      <c r="K73" s="152" t="n"/>
      <c r="L73" s="152" t="n"/>
      <c r="M73" s="152" t="n"/>
      <c r="N73" s="152" t="n"/>
      <c r="O73" s="152" t="n"/>
      <c r="P73" s="152" t="n"/>
      <c r="Q73" s="152" t="n"/>
      <c r="R73" s="152" t="n"/>
      <c r="S73" s="152" t="n"/>
      <c r="T73" s="152" t="n"/>
      <c r="U73" s="152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  <c r="AD73" s="152" t="n"/>
      <c r="AE73" s="152" t="n"/>
      <c r="AF73" s="152" t="n"/>
      <c r="AG73" s="152" t="n"/>
      <c r="AH73" s="152" t="n"/>
      <c r="AI73" s="152" t="n"/>
      <c r="AJ73" s="152" t="n"/>
      <c r="AK73" s="152" t="n"/>
      <c r="AL73" s="152" t="n"/>
      <c r="AM73" s="152" t="n"/>
      <c r="AN73" s="152" t="n"/>
      <c r="AO73" s="152" t="n"/>
      <c r="AP73" s="152" t="n"/>
      <c r="AQ73" s="152" t="n"/>
      <c r="AR73" s="152" t="n"/>
      <c r="AS73" s="152" t="n"/>
      <c r="AT73" s="152" t="n"/>
      <c r="AU73" s="152" t="n"/>
      <c r="AV73" s="152" t="n"/>
      <c r="AW73" s="152" t="n"/>
      <c r="AX73" s="152" t="n"/>
      <c r="AY73" s="152" t="n"/>
      <c r="AZ73" s="152" t="n"/>
      <c r="BA73" s="152" t="n"/>
      <c r="BB73" s="152" t="n"/>
    </row>
    <row r="74" ht="15" customHeight="1" s="91">
      <c r="C74" s="165" t="inlineStr">
        <is>
          <t>Unit</t>
        </is>
      </c>
      <c r="D74" s="165" t="inlineStr">
        <is>
          <t>Total</t>
        </is>
      </c>
      <c r="E74" s="166">
        <f>E$46</f>
        <v/>
      </c>
      <c r="F74" s="166">
        <f>F$46</f>
        <v/>
      </c>
      <c r="G74" s="166">
        <f>G$46</f>
        <v/>
      </c>
      <c r="H74" s="166">
        <f>H$46</f>
        <v/>
      </c>
      <c r="I74" s="166">
        <f>I$46</f>
        <v/>
      </c>
      <c r="J74" s="166">
        <f>J$46</f>
        <v/>
      </c>
      <c r="K74" s="166">
        <f>K$46</f>
        <v/>
      </c>
      <c r="L74" s="166">
        <f>L$46</f>
        <v/>
      </c>
      <c r="M74" s="166">
        <f>M$46</f>
        <v/>
      </c>
      <c r="N74" s="166">
        <f>N$46</f>
        <v/>
      </c>
      <c r="O74" s="166">
        <f>O$46</f>
        <v/>
      </c>
      <c r="P74" s="166">
        <f>P$46</f>
        <v/>
      </c>
      <c r="Q74" s="166">
        <f>Q$46</f>
        <v/>
      </c>
      <c r="R74" s="166">
        <f>R$46</f>
        <v/>
      </c>
      <c r="S74" s="166">
        <f>S$46</f>
        <v/>
      </c>
      <c r="T74" s="166">
        <f>T$46</f>
        <v/>
      </c>
      <c r="U74" s="166">
        <f>U$46</f>
        <v/>
      </c>
      <c r="V74" s="166">
        <f>V$46</f>
        <v/>
      </c>
      <c r="W74" s="166">
        <f>W$46</f>
        <v/>
      </c>
      <c r="X74" s="166">
        <f>X$46</f>
        <v/>
      </c>
      <c r="Y74" s="166">
        <f>Y$46</f>
        <v/>
      </c>
      <c r="Z74" s="166">
        <f>Z$46</f>
        <v/>
      </c>
      <c r="AA74" s="166">
        <f>AA$46</f>
        <v/>
      </c>
      <c r="AB74" s="166">
        <f>AB$46</f>
        <v/>
      </c>
      <c r="AC74" s="166">
        <f>AC$46</f>
        <v/>
      </c>
      <c r="AD74" s="166">
        <f>AD$46</f>
        <v/>
      </c>
      <c r="AE74" s="166">
        <f>AE$46</f>
        <v/>
      </c>
      <c r="AF74" s="166">
        <f>AF$46</f>
        <v/>
      </c>
      <c r="AG74" s="166">
        <f>AG$46</f>
        <v/>
      </c>
      <c r="AH74" s="166">
        <f>AH$46</f>
        <v/>
      </c>
      <c r="AI74" s="166">
        <f>AI$46</f>
        <v/>
      </c>
      <c r="AJ74" s="166">
        <f>AJ$46</f>
        <v/>
      </c>
      <c r="AK74" s="166">
        <f>AK$46</f>
        <v/>
      </c>
      <c r="AL74" s="166">
        <f>AL$46</f>
        <v/>
      </c>
      <c r="AM74" s="166">
        <f>AM$46</f>
        <v/>
      </c>
      <c r="AN74" s="166">
        <f>AN$46</f>
        <v/>
      </c>
      <c r="AO74" s="166">
        <f>AO$46</f>
        <v/>
      </c>
      <c r="AP74" s="166">
        <f>AP$46</f>
        <v/>
      </c>
      <c r="AQ74" s="166">
        <f>AQ$46</f>
        <v/>
      </c>
      <c r="AR74" s="166">
        <f>AR$46</f>
        <v/>
      </c>
      <c r="AS74" s="166">
        <f>AS$46</f>
        <v/>
      </c>
      <c r="AT74" s="166">
        <f>AT$46</f>
        <v/>
      </c>
      <c r="AU74" s="166">
        <f>AU$46</f>
        <v/>
      </c>
      <c r="AV74" s="166">
        <f>AV$46</f>
        <v/>
      </c>
      <c r="AW74" s="166">
        <f>AW$46</f>
        <v/>
      </c>
      <c r="AX74" s="166">
        <f>AX$46</f>
        <v/>
      </c>
      <c r="AY74" s="166">
        <f>AY$46</f>
        <v/>
      </c>
      <c r="AZ74" s="166">
        <f>AZ$46</f>
        <v/>
      </c>
      <c r="BA74" s="166">
        <f>BA$46</f>
        <v/>
      </c>
      <c r="BB74" s="166">
        <f>BB$46</f>
        <v/>
      </c>
    </row>
    <row r="75" ht="15" customHeight="1" s="91">
      <c r="B75" s="153" t="inlineStr">
        <is>
          <t>Cash Available for Distribution  النقد المتاح</t>
        </is>
      </c>
      <c r="C75" s="153" t="inlineStr">
        <is>
          <t>SAR</t>
        </is>
      </c>
      <c r="D75" s="157">
        <f>SUM(E75:BB75)</f>
        <v/>
      </c>
      <c r="E75" s="160">
        <f>MAX(0,IF(AND(E$46&gt;=$C$9,E$46&lt;=$C$41),E50,0)+E62-E69+E70+E51)</f>
        <v/>
      </c>
      <c r="F75" s="160">
        <f>MAX(0,IF(AND(F$46&gt;=$C$9,F$46&lt;=$C$41),F50,0)+F62-F69+F70+F51)</f>
        <v/>
      </c>
      <c r="G75" s="160">
        <f>MAX(0,IF(AND(G$46&gt;=$C$9,G$46&lt;=$C$41),G50,0)+G62-G69+G70+G51)</f>
        <v/>
      </c>
      <c r="H75" s="160">
        <f>MAX(0,IF(AND(H$46&gt;=$C$9,H$46&lt;=$C$41),H50,0)+H62-H69+H70+H51)</f>
        <v/>
      </c>
      <c r="I75" s="160">
        <f>MAX(0,IF(AND(I$46&gt;=$C$9,I$46&lt;=$C$41),I50,0)+I62-I69+I70+I51)</f>
        <v/>
      </c>
      <c r="J75" s="160">
        <f>MAX(0,IF(AND(J$46&gt;=$C$9,J$46&lt;=$C$41),J50,0)+J62-J69+J70+J51)</f>
        <v/>
      </c>
      <c r="K75" s="160">
        <f>MAX(0,IF(AND(K$46&gt;=$C$9,K$46&lt;=$C$41),K50,0)+K62-K69+K70+K51)</f>
        <v/>
      </c>
      <c r="L75" s="160">
        <f>MAX(0,IF(AND(L$46&gt;=$C$9,L$46&lt;=$C$41),L50,0)+L62-L69+L70+L51)</f>
        <v/>
      </c>
      <c r="M75" s="160">
        <f>MAX(0,IF(AND(M$46&gt;=$C$9,M$46&lt;=$C$41),M50,0)+M62-M69+M70+M51)</f>
        <v/>
      </c>
      <c r="N75" s="160">
        <f>MAX(0,IF(AND(N$46&gt;=$C$9,N$46&lt;=$C$41),N50,0)+N62-N69+N70+N51)</f>
        <v/>
      </c>
      <c r="O75" s="160">
        <f>MAX(0,IF(AND(O$46&gt;=$C$9,O$46&lt;=$C$41),O50,0)+O62-O69+O70+O51)</f>
        <v/>
      </c>
      <c r="P75" s="160">
        <f>MAX(0,IF(AND(P$46&gt;=$C$9,P$46&lt;=$C$41),P50,0)+P62-P69+P70+P51)</f>
        <v/>
      </c>
      <c r="Q75" s="160">
        <f>MAX(0,IF(AND(Q$46&gt;=$C$9,Q$46&lt;=$C$41),Q50,0)+Q62-Q69+Q70+Q51)</f>
        <v/>
      </c>
      <c r="R75" s="160">
        <f>MAX(0,IF(AND(R$46&gt;=$C$9,R$46&lt;=$C$41),R50,0)+R62-R69+R70+R51)</f>
        <v/>
      </c>
      <c r="S75" s="160">
        <f>MAX(0,IF(AND(S$46&gt;=$C$9,S$46&lt;=$C$41),S50,0)+S62-S69+S70+S51)</f>
        <v/>
      </c>
      <c r="T75" s="160">
        <f>MAX(0,IF(AND(T$46&gt;=$C$9,T$46&lt;=$C$41),T50,0)+T62-T69+T70+T51)</f>
        <v/>
      </c>
      <c r="U75" s="160">
        <f>MAX(0,IF(AND(U$46&gt;=$C$9,U$46&lt;=$C$41),U50,0)+U62-U69+U70+U51)</f>
        <v/>
      </c>
      <c r="V75" s="160">
        <f>MAX(0,IF(AND(V$46&gt;=$C$9,V$46&lt;=$C$41),V50,0)+V62-V69+V70+V51)</f>
        <v/>
      </c>
      <c r="W75" s="160">
        <f>MAX(0,IF(AND(W$46&gt;=$C$9,W$46&lt;=$C$41),W50,0)+W62-W69+W70+W51)</f>
        <v/>
      </c>
      <c r="X75" s="160">
        <f>MAX(0,IF(AND(X$46&gt;=$C$9,X$46&lt;=$C$41),X50,0)+X62-X69+X70+X51)</f>
        <v/>
      </c>
      <c r="Y75" s="160">
        <f>MAX(0,IF(AND(Y$46&gt;=$C$9,Y$46&lt;=$C$41),Y50,0)+Y62-Y69+Y70+Y51)</f>
        <v/>
      </c>
      <c r="Z75" s="160">
        <f>MAX(0,IF(AND(Z$46&gt;=$C$9,Z$46&lt;=$C$41),Z50,0)+Z62-Z69+Z70+Z51)</f>
        <v/>
      </c>
      <c r="AA75" s="160">
        <f>MAX(0,IF(AND(AA$46&gt;=$C$9,AA$46&lt;=$C$41),AA50,0)+AA62-AA69+AA70+AA51)</f>
        <v/>
      </c>
      <c r="AB75" s="160">
        <f>MAX(0,IF(AND(AB$46&gt;=$C$9,AB$46&lt;=$C$41),AB50,0)+AB62-AB69+AB70+AB51)</f>
        <v/>
      </c>
      <c r="AC75" s="160">
        <f>MAX(0,IF(AND(AC$46&gt;=$C$9,AC$46&lt;=$C$41),AC50,0)+AC62-AC69+AC70+AC51)</f>
        <v/>
      </c>
      <c r="AD75" s="160">
        <f>MAX(0,IF(AND(AD$46&gt;=$C$9,AD$46&lt;=$C$41),AD50,0)+AD62-AD69+AD70+AD51)</f>
        <v/>
      </c>
      <c r="AE75" s="160">
        <f>MAX(0,IF(AND(AE$46&gt;=$C$9,AE$46&lt;=$C$41),AE50,0)+AE62-AE69+AE70+AE51)</f>
        <v/>
      </c>
      <c r="AF75" s="160">
        <f>MAX(0,IF(AND(AF$46&gt;=$C$9,AF$46&lt;=$C$41),AF50,0)+AF62-AF69+AF70+AF51)</f>
        <v/>
      </c>
      <c r="AG75" s="160">
        <f>MAX(0,IF(AND(AG$46&gt;=$C$9,AG$46&lt;=$C$41),AG50,0)+AG62-AG69+AG70+AG51)</f>
        <v/>
      </c>
      <c r="AH75" s="160">
        <f>MAX(0,IF(AND(AH$46&gt;=$C$9,AH$46&lt;=$C$41),AH50,0)+AH62-AH69+AH70+AH51)</f>
        <v/>
      </c>
      <c r="AI75" s="160">
        <f>MAX(0,IF(AND(AI$46&gt;=$C$9,AI$46&lt;=$C$41),AI50,0)+AI62-AI69+AI70+AI51)</f>
        <v/>
      </c>
      <c r="AJ75" s="160">
        <f>MAX(0,IF(AND(AJ$46&gt;=$C$9,AJ$46&lt;=$C$41),AJ50,0)+AJ62-AJ69+AJ70+AJ51)</f>
        <v/>
      </c>
      <c r="AK75" s="160">
        <f>MAX(0,IF(AND(AK$46&gt;=$C$9,AK$46&lt;=$C$41),AK50,0)+AK62-AK69+AK70+AK51)</f>
        <v/>
      </c>
      <c r="AL75" s="160">
        <f>MAX(0,IF(AND(AL$46&gt;=$C$9,AL$46&lt;=$C$41),AL50,0)+AL62-AL69+AL70+AL51)</f>
        <v/>
      </c>
      <c r="AM75" s="160">
        <f>MAX(0,IF(AND(AM$46&gt;=$C$9,AM$46&lt;=$C$41),AM50,0)+AM62-AM69+AM70+AM51)</f>
        <v/>
      </c>
      <c r="AN75" s="160">
        <f>MAX(0,IF(AND(AN$46&gt;=$C$9,AN$46&lt;=$C$41),AN50,0)+AN62-AN69+AN70+AN51)</f>
        <v/>
      </c>
      <c r="AO75" s="160">
        <f>MAX(0,IF(AND(AO$46&gt;=$C$9,AO$46&lt;=$C$41),AO50,0)+AO62-AO69+AO70+AO51)</f>
        <v/>
      </c>
      <c r="AP75" s="160">
        <f>MAX(0,IF(AND(AP$46&gt;=$C$9,AP$46&lt;=$C$41),AP50,0)+AP62-AP69+AP70+AP51)</f>
        <v/>
      </c>
      <c r="AQ75" s="160">
        <f>MAX(0,IF(AND(AQ$46&gt;=$C$9,AQ$46&lt;=$C$41),AQ50,0)+AQ62-AQ69+AQ70+AQ51)</f>
        <v/>
      </c>
      <c r="AR75" s="160">
        <f>MAX(0,IF(AND(AR$46&gt;=$C$9,AR$46&lt;=$C$41),AR50,0)+AR62-AR69+AR70+AR51)</f>
        <v/>
      </c>
      <c r="AS75" s="160">
        <f>MAX(0,IF(AND(AS$46&gt;=$C$9,AS$46&lt;=$C$41),AS50,0)+AS62-AS69+AS70+AS51)</f>
        <v/>
      </c>
      <c r="AT75" s="160">
        <f>MAX(0,IF(AND(AT$46&gt;=$C$9,AT$46&lt;=$C$41),AT50,0)+AT62-AT69+AT70+AT51)</f>
        <v/>
      </c>
      <c r="AU75" s="160">
        <f>MAX(0,IF(AND(AU$46&gt;=$C$9,AU$46&lt;=$C$41),AU50,0)+AU62-AU69+AU70+AU51)</f>
        <v/>
      </c>
      <c r="AV75" s="160">
        <f>MAX(0,IF(AND(AV$46&gt;=$C$9,AV$46&lt;=$C$41),AV50,0)+AV62-AV69+AV70+AV51)</f>
        <v/>
      </c>
      <c r="AW75" s="160">
        <f>MAX(0,IF(AND(AW$46&gt;=$C$9,AW$46&lt;=$C$41),AW50,0)+AW62-AW69+AW70+AW51)</f>
        <v/>
      </c>
      <c r="AX75" s="160">
        <f>MAX(0,IF(AND(AX$46&gt;=$C$9,AX$46&lt;=$C$41),AX50,0)+AX62-AX69+AX70+AX51)</f>
        <v/>
      </c>
      <c r="AY75" s="160">
        <f>MAX(0,IF(AND(AY$46&gt;=$C$9,AY$46&lt;=$C$41),AY50,0)+AY62-AY69+AY70+AY51)</f>
        <v/>
      </c>
      <c r="AZ75" s="160">
        <f>MAX(0,IF(AND(AZ$46&gt;=$C$9,AZ$46&lt;=$C$41),AZ50,0)+AZ62-AZ69+AZ70+AZ51)</f>
        <v/>
      </c>
      <c r="BA75" s="160">
        <f>MAX(0,IF(AND(BA$46&gt;=$C$9,BA$46&lt;=$C$41),BA50,0)+BA62-BA69+BA70+BA51)</f>
        <v/>
      </c>
      <c r="BB75" s="160">
        <f>MAX(0,IF(AND(BB$46&gt;=$C$9,BB$46&lt;=$C$41),BB50,0)+BB62-BB69+BB70+BB51)</f>
        <v/>
      </c>
    </row>
    <row r="77" ht="15" customHeight="1" s="91">
      <c r="B77" s="153" t="inlineStr">
        <is>
          <t>Unreturned Capital (Open)  رأس المال غير المسترد</t>
        </is>
      </c>
      <c r="C77" s="153" t="inlineStr">
        <is>
          <t>SAR</t>
        </is>
      </c>
      <c r="E77" s="160">
        <f>E56</f>
        <v/>
      </c>
      <c r="F77" s="160">
        <f>E79+F56</f>
        <v/>
      </c>
      <c r="G77" s="160">
        <f>F79+G56</f>
        <v/>
      </c>
      <c r="H77" s="160">
        <f>G79+H56</f>
        <v/>
      </c>
      <c r="I77" s="160">
        <f>H79+I56</f>
        <v/>
      </c>
      <c r="J77" s="160">
        <f>I79+J56</f>
        <v/>
      </c>
      <c r="K77" s="160">
        <f>J79+K56</f>
        <v/>
      </c>
      <c r="L77" s="160">
        <f>K79+L56</f>
        <v/>
      </c>
      <c r="M77" s="160">
        <f>L79+M56</f>
        <v/>
      </c>
      <c r="N77" s="160">
        <f>M79+N56</f>
        <v/>
      </c>
      <c r="O77" s="160">
        <f>N79+O56</f>
        <v/>
      </c>
      <c r="P77" s="160">
        <f>O79+P56</f>
        <v/>
      </c>
      <c r="Q77" s="160">
        <f>P79+Q56</f>
        <v/>
      </c>
      <c r="R77" s="160">
        <f>Q79+R56</f>
        <v/>
      </c>
      <c r="S77" s="160">
        <f>R79+S56</f>
        <v/>
      </c>
      <c r="T77" s="160">
        <f>S79+T56</f>
        <v/>
      </c>
      <c r="U77" s="160">
        <f>T79+U56</f>
        <v/>
      </c>
      <c r="V77" s="160">
        <f>U79+V56</f>
        <v/>
      </c>
      <c r="W77" s="160">
        <f>V79+W56</f>
        <v/>
      </c>
      <c r="X77" s="160">
        <f>W79+X56</f>
        <v/>
      </c>
      <c r="Y77" s="160">
        <f>X79+Y56</f>
        <v/>
      </c>
      <c r="Z77" s="160">
        <f>Y79+Z56</f>
        <v/>
      </c>
      <c r="AA77" s="160">
        <f>Z79+AA56</f>
        <v/>
      </c>
      <c r="AB77" s="160">
        <f>AA79+AB56</f>
        <v/>
      </c>
      <c r="AC77" s="160">
        <f>AB79+AC56</f>
        <v/>
      </c>
      <c r="AD77" s="160">
        <f>AC79+AD56</f>
        <v/>
      </c>
      <c r="AE77" s="160">
        <f>AD79+AE56</f>
        <v/>
      </c>
      <c r="AF77" s="160">
        <f>AE79+AF56</f>
        <v/>
      </c>
      <c r="AG77" s="160">
        <f>AF79+AG56</f>
        <v/>
      </c>
      <c r="AH77" s="160">
        <f>AG79+AH56</f>
        <v/>
      </c>
      <c r="AI77" s="160">
        <f>AH79+AI56</f>
        <v/>
      </c>
      <c r="AJ77" s="160">
        <f>AI79+AJ56</f>
        <v/>
      </c>
      <c r="AK77" s="160">
        <f>AJ79+AK56</f>
        <v/>
      </c>
      <c r="AL77" s="160">
        <f>AK79+AL56</f>
        <v/>
      </c>
      <c r="AM77" s="160">
        <f>AL79+AM56</f>
        <v/>
      </c>
      <c r="AN77" s="160">
        <f>AM79+AN56</f>
        <v/>
      </c>
      <c r="AO77" s="160">
        <f>AN79+AO56</f>
        <v/>
      </c>
      <c r="AP77" s="160">
        <f>AO79+AP56</f>
        <v/>
      </c>
      <c r="AQ77" s="160">
        <f>AP79+AQ56</f>
        <v/>
      </c>
      <c r="AR77" s="160">
        <f>AQ79+AR56</f>
        <v/>
      </c>
      <c r="AS77" s="160">
        <f>AR79+AS56</f>
        <v/>
      </c>
      <c r="AT77" s="160">
        <f>AS79+AT56</f>
        <v/>
      </c>
      <c r="AU77" s="160">
        <f>AT79+AU56</f>
        <v/>
      </c>
      <c r="AV77" s="160">
        <f>AU79+AV56</f>
        <v/>
      </c>
      <c r="AW77" s="160">
        <f>AV79+AW56</f>
        <v/>
      </c>
      <c r="AX77" s="160">
        <f>AW79+AX56</f>
        <v/>
      </c>
      <c r="AY77" s="160">
        <f>AX79+AY56</f>
        <v/>
      </c>
      <c r="AZ77" s="160">
        <f>AY79+AZ56</f>
        <v/>
      </c>
      <c r="BA77" s="160">
        <f>AZ79+BA56</f>
        <v/>
      </c>
      <c r="BB77" s="160">
        <f>BA79+BB56</f>
        <v/>
      </c>
    </row>
    <row r="78" ht="15" customHeight="1" s="91">
      <c r="B78" s="153" t="inlineStr">
        <is>
          <t>Tier 1: Return of Capital  رد رأس المال</t>
        </is>
      </c>
      <c r="C78" s="153" t="inlineStr">
        <is>
          <t>SAR</t>
        </is>
      </c>
      <c r="D78" s="157">
        <f>SUM(E78:BB78)</f>
        <v/>
      </c>
      <c r="E78" s="160">
        <f>MIN(E75,E77)</f>
        <v/>
      </c>
      <c r="F78" s="160">
        <f>MIN(F75,F77)</f>
        <v/>
      </c>
      <c r="G78" s="160">
        <f>MIN(G75,G77)</f>
        <v/>
      </c>
      <c r="H78" s="160">
        <f>MIN(H75,H77)</f>
        <v/>
      </c>
      <c r="I78" s="160">
        <f>MIN(I75,I77)</f>
        <v/>
      </c>
      <c r="J78" s="160">
        <f>MIN(J75,J77)</f>
        <v/>
      </c>
      <c r="K78" s="160">
        <f>MIN(K75,K77)</f>
        <v/>
      </c>
      <c r="L78" s="160">
        <f>MIN(L75,L77)</f>
        <v/>
      </c>
      <c r="M78" s="160">
        <f>MIN(M75,M77)</f>
        <v/>
      </c>
      <c r="N78" s="160">
        <f>MIN(N75,N77)</f>
        <v/>
      </c>
      <c r="O78" s="160">
        <f>MIN(O75,O77)</f>
        <v/>
      </c>
      <c r="P78" s="160">
        <f>MIN(P75,P77)</f>
        <v/>
      </c>
      <c r="Q78" s="160">
        <f>MIN(Q75,Q77)</f>
        <v/>
      </c>
      <c r="R78" s="160">
        <f>MIN(R75,R77)</f>
        <v/>
      </c>
      <c r="S78" s="160">
        <f>MIN(S75,S77)</f>
        <v/>
      </c>
      <c r="T78" s="160">
        <f>MIN(T75,T77)</f>
        <v/>
      </c>
      <c r="U78" s="160">
        <f>MIN(U75,U77)</f>
        <v/>
      </c>
      <c r="V78" s="160">
        <f>MIN(V75,V77)</f>
        <v/>
      </c>
      <c r="W78" s="160">
        <f>MIN(W75,W77)</f>
        <v/>
      </c>
      <c r="X78" s="160">
        <f>MIN(X75,X77)</f>
        <v/>
      </c>
      <c r="Y78" s="160">
        <f>MIN(Y75,Y77)</f>
        <v/>
      </c>
      <c r="Z78" s="160">
        <f>MIN(Z75,Z77)</f>
        <v/>
      </c>
      <c r="AA78" s="160">
        <f>MIN(AA75,AA77)</f>
        <v/>
      </c>
      <c r="AB78" s="160">
        <f>MIN(AB75,AB77)</f>
        <v/>
      </c>
      <c r="AC78" s="160">
        <f>MIN(AC75,AC77)</f>
        <v/>
      </c>
      <c r="AD78" s="160">
        <f>MIN(AD75,AD77)</f>
        <v/>
      </c>
      <c r="AE78" s="160">
        <f>MIN(AE75,AE77)</f>
        <v/>
      </c>
      <c r="AF78" s="160">
        <f>MIN(AF75,AF77)</f>
        <v/>
      </c>
      <c r="AG78" s="160">
        <f>MIN(AG75,AG77)</f>
        <v/>
      </c>
      <c r="AH78" s="160">
        <f>MIN(AH75,AH77)</f>
        <v/>
      </c>
      <c r="AI78" s="160">
        <f>MIN(AI75,AI77)</f>
        <v/>
      </c>
      <c r="AJ78" s="160">
        <f>MIN(AJ75,AJ77)</f>
        <v/>
      </c>
      <c r="AK78" s="160">
        <f>MIN(AK75,AK77)</f>
        <v/>
      </c>
      <c r="AL78" s="160">
        <f>MIN(AL75,AL77)</f>
        <v/>
      </c>
      <c r="AM78" s="160">
        <f>MIN(AM75,AM77)</f>
        <v/>
      </c>
      <c r="AN78" s="160">
        <f>MIN(AN75,AN77)</f>
        <v/>
      </c>
      <c r="AO78" s="160">
        <f>MIN(AO75,AO77)</f>
        <v/>
      </c>
      <c r="AP78" s="160">
        <f>MIN(AP75,AP77)</f>
        <v/>
      </c>
      <c r="AQ78" s="160">
        <f>MIN(AQ75,AQ77)</f>
        <v/>
      </c>
      <c r="AR78" s="160">
        <f>MIN(AR75,AR77)</f>
        <v/>
      </c>
      <c r="AS78" s="160">
        <f>MIN(AS75,AS77)</f>
        <v/>
      </c>
      <c r="AT78" s="160">
        <f>MIN(AT75,AT77)</f>
        <v/>
      </c>
      <c r="AU78" s="160">
        <f>MIN(AU75,AU77)</f>
        <v/>
      </c>
      <c r="AV78" s="160">
        <f>MIN(AV75,AV77)</f>
        <v/>
      </c>
      <c r="AW78" s="160">
        <f>MIN(AW75,AW77)</f>
        <v/>
      </c>
      <c r="AX78" s="160">
        <f>MIN(AX75,AX77)</f>
        <v/>
      </c>
      <c r="AY78" s="160">
        <f>MIN(AY75,AY77)</f>
        <v/>
      </c>
      <c r="AZ78" s="160">
        <f>MIN(AZ75,AZ77)</f>
        <v/>
      </c>
      <c r="BA78" s="160">
        <f>MIN(BA75,BA77)</f>
        <v/>
      </c>
      <c r="BB78" s="160">
        <f>MIN(BB75,BB77)</f>
        <v/>
      </c>
    </row>
    <row r="79" ht="15" customHeight="1" s="91">
      <c r="B79" s="153" t="inlineStr">
        <is>
          <t>Unreturned Capital (Close)  رأس المال غير المسترد (نهاية)</t>
        </is>
      </c>
      <c r="C79" s="153" t="inlineStr">
        <is>
          <t>SAR</t>
        </is>
      </c>
      <c r="E79" s="160">
        <f>E77-E78</f>
        <v/>
      </c>
      <c r="F79" s="160">
        <f>F77-F78</f>
        <v/>
      </c>
      <c r="G79" s="160">
        <f>G77-G78</f>
        <v/>
      </c>
      <c r="H79" s="160">
        <f>H77-H78</f>
        <v/>
      </c>
      <c r="I79" s="160">
        <f>I77-I78</f>
        <v/>
      </c>
      <c r="J79" s="160">
        <f>J77-J78</f>
        <v/>
      </c>
      <c r="K79" s="160">
        <f>K77-K78</f>
        <v/>
      </c>
      <c r="L79" s="160">
        <f>L77-L78</f>
        <v/>
      </c>
      <c r="M79" s="160">
        <f>M77-M78</f>
        <v/>
      </c>
      <c r="N79" s="160">
        <f>N77-N78</f>
        <v/>
      </c>
      <c r="O79" s="160">
        <f>O77-O78</f>
        <v/>
      </c>
      <c r="P79" s="160">
        <f>P77-P78</f>
        <v/>
      </c>
      <c r="Q79" s="160">
        <f>Q77-Q78</f>
        <v/>
      </c>
      <c r="R79" s="160">
        <f>R77-R78</f>
        <v/>
      </c>
      <c r="S79" s="160">
        <f>S77-S78</f>
        <v/>
      </c>
      <c r="T79" s="160">
        <f>T77-T78</f>
        <v/>
      </c>
      <c r="U79" s="160">
        <f>U77-U78</f>
        <v/>
      </c>
      <c r="V79" s="160">
        <f>V77-V78</f>
        <v/>
      </c>
      <c r="W79" s="160">
        <f>W77-W78</f>
        <v/>
      </c>
      <c r="X79" s="160">
        <f>X77-X78</f>
        <v/>
      </c>
      <c r="Y79" s="160">
        <f>Y77-Y78</f>
        <v/>
      </c>
      <c r="Z79" s="160">
        <f>Z77-Z78</f>
        <v/>
      </c>
      <c r="AA79" s="160">
        <f>AA77-AA78</f>
        <v/>
      </c>
      <c r="AB79" s="160">
        <f>AB77-AB78</f>
        <v/>
      </c>
      <c r="AC79" s="160">
        <f>AC77-AC78</f>
        <v/>
      </c>
      <c r="AD79" s="160">
        <f>AD77-AD78</f>
        <v/>
      </c>
      <c r="AE79" s="160">
        <f>AE77-AE78</f>
        <v/>
      </c>
      <c r="AF79" s="160">
        <f>AF77-AF78</f>
        <v/>
      </c>
      <c r="AG79" s="160">
        <f>AG77-AG78</f>
        <v/>
      </c>
      <c r="AH79" s="160">
        <f>AH77-AH78</f>
        <v/>
      </c>
      <c r="AI79" s="160">
        <f>AI77-AI78</f>
        <v/>
      </c>
      <c r="AJ79" s="160">
        <f>AJ77-AJ78</f>
        <v/>
      </c>
      <c r="AK79" s="160">
        <f>AK77-AK78</f>
        <v/>
      </c>
      <c r="AL79" s="160">
        <f>AL77-AL78</f>
        <v/>
      </c>
      <c r="AM79" s="160">
        <f>AM77-AM78</f>
        <v/>
      </c>
      <c r="AN79" s="160">
        <f>AN77-AN78</f>
        <v/>
      </c>
      <c r="AO79" s="160">
        <f>AO77-AO78</f>
        <v/>
      </c>
      <c r="AP79" s="160">
        <f>AP77-AP78</f>
        <v/>
      </c>
      <c r="AQ79" s="160">
        <f>AQ77-AQ78</f>
        <v/>
      </c>
      <c r="AR79" s="160">
        <f>AR77-AR78</f>
        <v/>
      </c>
      <c r="AS79" s="160">
        <f>AS77-AS78</f>
        <v/>
      </c>
      <c r="AT79" s="160">
        <f>AT77-AT78</f>
        <v/>
      </c>
      <c r="AU79" s="160">
        <f>AU77-AU78</f>
        <v/>
      </c>
      <c r="AV79" s="160">
        <f>AV77-AV78</f>
        <v/>
      </c>
      <c r="AW79" s="160">
        <f>AW77-AW78</f>
        <v/>
      </c>
      <c r="AX79" s="160">
        <f>AX77-AX78</f>
        <v/>
      </c>
      <c r="AY79" s="160">
        <f>AY77-AY78</f>
        <v/>
      </c>
      <c r="AZ79" s="160">
        <f>AZ77-AZ78</f>
        <v/>
      </c>
      <c r="BA79" s="160">
        <f>BA77-BA78</f>
        <v/>
      </c>
      <c r="BB79" s="160">
        <f>BB77-BB78</f>
        <v/>
      </c>
    </row>
    <row r="81" ht="15" customHeight="1" s="91">
      <c r="B81" s="153" t="inlineStr">
        <is>
          <t>Pref Accrual (% × Unreturned)  احتساب العائد التفضيلي</t>
        </is>
      </c>
      <c r="C81" s="153" t="inlineStr">
        <is>
          <t>SAR</t>
        </is>
      </c>
      <c r="D81" s="160">
        <f>SUM(E81:BB81)</f>
        <v/>
      </c>
      <c r="E81" s="160">
        <f>E77*$C$36</f>
        <v/>
      </c>
      <c r="F81" s="160">
        <f>F77*$C$36</f>
        <v/>
      </c>
      <c r="G81" s="160">
        <f>G77*$C$36</f>
        <v/>
      </c>
      <c r="H81" s="160">
        <f>H77*$C$36</f>
        <v/>
      </c>
      <c r="I81" s="160">
        <f>I77*$C$36</f>
        <v/>
      </c>
      <c r="J81" s="160">
        <f>J77*$C$36</f>
        <v/>
      </c>
      <c r="K81" s="160">
        <f>K77*$C$36</f>
        <v/>
      </c>
      <c r="L81" s="160">
        <f>L77*$C$36</f>
        <v/>
      </c>
      <c r="M81" s="160">
        <f>M77*$C$36</f>
        <v/>
      </c>
      <c r="N81" s="160">
        <f>N77*$C$36</f>
        <v/>
      </c>
      <c r="O81" s="160">
        <f>O77*$C$36</f>
        <v/>
      </c>
      <c r="P81" s="160">
        <f>P77*$C$36</f>
        <v/>
      </c>
      <c r="Q81" s="160">
        <f>Q77*$C$36</f>
        <v/>
      </c>
      <c r="R81" s="160">
        <f>R77*$C$36</f>
        <v/>
      </c>
      <c r="S81" s="160">
        <f>S77*$C$36</f>
        <v/>
      </c>
      <c r="T81" s="160">
        <f>T77*$C$36</f>
        <v/>
      </c>
      <c r="U81" s="160">
        <f>U77*$C$36</f>
        <v/>
      </c>
      <c r="V81" s="160">
        <f>V77*$C$36</f>
        <v/>
      </c>
      <c r="W81" s="160">
        <f>W77*$C$36</f>
        <v/>
      </c>
      <c r="X81" s="160">
        <f>X77*$C$36</f>
        <v/>
      </c>
      <c r="Y81" s="160">
        <f>Y77*$C$36</f>
        <v/>
      </c>
      <c r="Z81" s="160">
        <f>Z77*$C$36</f>
        <v/>
      </c>
      <c r="AA81" s="160">
        <f>AA77*$C$36</f>
        <v/>
      </c>
      <c r="AB81" s="160">
        <f>AB77*$C$36</f>
        <v/>
      </c>
      <c r="AC81" s="160">
        <f>AC77*$C$36</f>
        <v/>
      </c>
      <c r="AD81" s="160">
        <f>AD77*$C$36</f>
        <v/>
      </c>
      <c r="AE81" s="160">
        <f>AE77*$C$36</f>
        <v/>
      </c>
      <c r="AF81" s="160">
        <f>AF77*$C$36</f>
        <v/>
      </c>
      <c r="AG81" s="160">
        <f>AG77*$C$36</f>
        <v/>
      </c>
      <c r="AH81" s="160">
        <f>AH77*$C$36</f>
        <v/>
      </c>
      <c r="AI81" s="160">
        <f>AI77*$C$36</f>
        <v/>
      </c>
      <c r="AJ81" s="160">
        <f>AJ77*$C$36</f>
        <v/>
      </c>
      <c r="AK81" s="160">
        <f>AK77*$C$36</f>
        <v/>
      </c>
      <c r="AL81" s="160">
        <f>AL77*$C$36</f>
        <v/>
      </c>
      <c r="AM81" s="160">
        <f>AM77*$C$36</f>
        <v/>
      </c>
      <c r="AN81" s="160">
        <f>AN77*$C$36</f>
        <v/>
      </c>
      <c r="AO81" s="160">
        <f>AO77*$C$36</f>
        <v/>
      </c>
      <c r="AP81" s="160">
        <f>AP77*$C$36</f>
        <v/>
      </c>
      <c r="AQ81" s="160">
        <f>AQ77*$C$36</f>
        <v/>
      </c>
      <c r="AR81" s="160">
        <f>AR77*$C$36</f>
        <v/>
      </c>
      <c r="AS81" s="160">
        <f>AS77*$C$36</f>
        <v/>
      </c>
      <c r="AT81" s="160">
        <f>AT77*$C$36</f>
        <v/>
      </c>
      <c r="AU81" s="160">
        <f>AU77*$C$36</f>
        <v/>
      </c>
      <c r="AV81" s="160">
        <f>AV77*$C$36</f>
        <v/>
      </c>
      <c r="AW81" s="160">
        <f>AW77*$C$36</f>
        <v/>
      </c>
      <c r="AX81" s="160">
        <f>AX77*$C$36</f>
        <v/>
      </c>
      <c r="AY81" s="160">
        <f>AY77*$C$36</f>
        <v/>
      </c>
      <c r="AZ81" s="160">
        <f>AZ77*$C$36</f>
        <v/>
      </c>
      <c r="BA81" s="160">
        <f>BA77*$C$36</f>
        <v/>
      </c>
      <c r="BB81" s="160">
        <f>BB77*$C$36</f>
        <v/>
      </c>
    </row>
    <row r="82" ht="15" customHeight="1" s="91">
      <c r="B82" s="153" t="inlineStr">
        <is>
          <t>Unpaid Pref (Opening)  العائد غير المدفوع (بداية)</t>
        </is>
      </c>
      <c r="C82" s="153" t="inlineStr">
        <is>
          <t>SAR</t>
        </is>
      </c>
      <c r="E82" s="160">
        <f>0</f>
        <v/>
      </c>
      <c r="F82" s="160">
        <f>E85</f>
        <v/>
      </c>
      <c r="G82" s="160">
        <f>F85</f>
        <v/>
      </c>
      <c r="H82" s="160">
        <f>G85</f>
        <v/>
      </c>
      <c r="I82" s="160">
        <f>H85</f>
        <v/>
      </c>
      <c r="J82" s="160">
        <f>I85</f>
        <v/>
      </c>
      <c r="K82" s="160">
        <f>J85</f>
        <v/>
      </c>
      <c r="L82" s="160">
        <f>K85</f>
        <v/>
      </c>
      <c r="M82" s="160">
        <f>L85</f>
        <v/>
      </c>
      <c r="N82" s="160">
        <f>M85</f>
        <v/>
      </c>
      <c r="O82" s="160">
        <f>N85</f>
        <v/>
      </c>
      <c r="P82" s="160">
        <f>O85</f>
        <v/>
      </c>
      <c r="Q82" s="160">
        <f>P85</f>
        <v/>
      </c>
      <c r="R82" s="160">
        <f>Q85</f>
        <v/>
      </c>
      <c r="S82" s="160">
        <f>R85</f>
        <v/>
      </c>
      <c r="T82" s="160">
        <f>S85</f>
        <v/>
      </c>
      <c r="U82" s="160">
        <f>T85</f>
        <v/>
      </c>
      <c r="V82" s="160">
        <f>U85</f>
        <v/>
      </c>
      <c r="W82" s="160">
        <f>V85</f>
        <v/>
      </c>
      <c r="X82" s="160">
        <f>W85</f>
        <v/>
      </c>
      <c r="Y82" s="160">
        <f>X85</f>
        <v/>
      </c>
      <c r="Z82" s="160">
        <f>Y85</f>
        <v/>
      </c>
      <c r="AA82" s="160">
        <f>Z85</f>
        <v/>
      </c>
      <c r="AB82" s="160">
        <f>AA85</f>
        <v/>
      </c>
      <c r="AC82" s="160">
        <f>AB85</f>
        <v/>
      </c>
      <c r="AD82" s="160">
        <f>AC85</f>
        <v/>
      </c>
      <c r="AE82" s="160">
        <f>AD85</f>
        <v/>
      </c>
      <c r="AF82" s="160">
        <f>AE85</f>
        <v/>
      </c>
      <c r="AG82" s="160">
        <f>AF85</f>
        <v/>
      </c>
      <c r="AH82" s="160">
        <f>AG85</f>
        <v/>
      </c>
      <c r="AI82" s="160">
        <f>AH85</f>
        <v/>
      </c>
      <c r="AJ82" s="160">
        <f>AI85</f>
        <v/>
      </c>
      <c r="AK82" s="160">
        <f>AJ85</f>
        <v/>
      </c>
      <c r="AL82" s="160">
        <f>AK85</f>
        <v/>
      </c>
      <c r="AM82" s="160">
        <f>AL85</f>
        <v/>
      </c>
      <c r="AN82" s="160">
        <f>AM85</f>
        <v/>
      </c>
      <c r="AO82" s="160">
        <f>AN85</f>
        <v/>
      </c>
      <c r="AP82" s="160">
        <f>AO85</f>
        <v/>
      </c>
      <c r="AQ82" s="160">
        <f>AP85</f>
        <v/>
      </c>
      <c r="AR82" s="160">
        <f>AQ85</f>
        <v/>
      </c>
      <c r="AS82" s="160">
        <f>AR85</f>
        <v/>
      </c>
      <c r="AT82" s="160">
        <f>AS85</f>
        <v/>
      </c>
      <c r="AU82" s="160">
        <f>AT85</f>
        <v/>
      </c>
      <c r="AV82" s="160">
        <f>AU85</f>
        <v/>
      </c>
      <c r="AW82" s="160">
        <f>AV85</f>
        <v/>
      </c>
      <c r="AX82" s="160">
        <f>AW85</f>
        <v/>
      </c>
      <c r="AY82" s="160">
        <f>AX85</f>
        <v/>
      </c>
      <c r="AZ82" s="160">
        <f>AY85</f>
        <v/>
      </c>
      <c r="BA82" s="160">
        <f>AZ85</f>
        <v/>
      </c>
      <c r="BB82" s="160">
        <f>BA85</f>
        <v/>
      </c>
    </row>
    <row r="83" ht="15" customHeight="1" s="91">
      <c r="B83" s="153" t="inlineStr">
        <is>
          <t>Total Pref Owed  إجمالي المستحق</t>
        </is>
      </c>
      <c r="C83" s="153" t="inlineStr">
        <is>
          <t>SAR</t>
        </is>
      </c>
      <c r="E83" s="160">
        <f>E81+E82</f>
        <v/>
      </c>
      <c r="F83" s="160">
        <f>F81+F82</f>
        <v/>
      </c>
      <c r="G83" s="160">
        <f>G81+G82</f>
        <v/>
      </c>
      <c r="H83" s="160">
        <f>H81+H82</f>
        <v/>
      </c>
      <c r="I83" s="160">
        <f>I81+I82</f>
        <v/>
      </c>
      <c r="J83" s="160">
        <f>J81+J82</f>
        <v/>
      </c>
      <c r="K83" s="160">
        <f>K81+K82</f>
        <v/>
      </c>
      <c r="L83" s="160">
        <f>L81+L82</f>
        <v/>
      </c>
      <c r="M83" s="160">
        <f>M81+M82</f>
        <v/>
      </c>
      <c r="N83" s="160">
        <f>N81+N82</f>
        <v/>
      </c>
      <c r="O83" s="160">
        <f>O81+O82</f>
        <v/>
      </c>
      <c r="P83" s="160">
        <f>P81+P82</f>
        <v/>
      </c>
      <c r="Q83" s="160">
        <f>Q81+Q82</f>
        <v/>
      </c>
      <c r="R83" s="160">
        <f>R81+R82</f>
        <v/>
      </c>
      <c r="S83" s="160">
        <f>S81+S82</f>
        <v/>
      </c>
      <c r="T83" s="160">
        <f>T81+T82</f>
        <v/>
      </c>
      <c r="U83" s="160">
        <f>U81+U82</f>
        <v/>
      </c>
      <c r="V83" s="160">
        <f>V81+V82</f>
        <v/>
      </c>
      <c r="W83" s="160">
        <f>W81+W82</f>
        <v/>
      </c>
      <c r="X83" s="160">
        <f>X81+X82</f>
        <v/>
      </c>
      <c r="Y83" s="160">
        <f>Y81+Y82</f>
        <v/>
      </c>
      <c r="Z83" s="160">
        <f>Z81+Z82</f>
        <v/>
      </c>
      <c r="AA83" s="160">
        <f>AA81+AA82</f>
        <v/>
      </c>
      <c r="AB83" s="160">
        <f>AB81+AB82</f>
        <v/>
      </c>
      <c r="AC83" s="160">
        <f>AC81+AC82</f>
        <v/>
      </c>
      <c r="AD83" s="160">
        <f>AD81+AD82</f>
        <v/>
      </c>
      <c r="AE83" s="160">
        <f>AE81+AE82</f>
        <v/>
      </c>
      <c r="AF83" s="160">
        <f>AF81+AF82</f>
        <v/>
      </c>
      <c r="AG83" s="160">
        <f>AG81+AG82</f>
        <v/>
      </c>
      <c r="AH83" s="160">
        <f>AH81+AH82</f>
        <v/>
      </c>
      <c r="AI83" s="160">
        <f>AI81+AI82</f>
        <v/>
      </c>
      <c r="AJ83" s="160">
        <f>AJ81+AJ82</f>
        <v/>
      </c>
      <c r="AK83" s="160">
        <f>AK81+AK82</f>
        <v/>
      </c>
      <c r="AL83" s="160">
        <f>AL81+AL82</f>
        <v/>
      </c>
      <c r="AM83" s="160">
        <f>AM81+AM82</f>
        <v/>
      </c>
      <c r="AN83" s="160">
        <f>AN81+AN82</f>
        <v/>
      </c>
      <c r="AO83" s="160">
        <f>AO81+AO82</f>
        <v/>
      </c>
      <c r="AP83" s="160">
        <f>AP81+AP82</f>
        <v/>
      </c>
      <c r="AQ83" s="160">
        <f>AQ81+AQ82</f>
        <v/>
      </c>
      <c r="AR83" s="160">
        <f>AR81+AR82</f>
        <v/>
      </c>
      <c r="AS83" s="160">
        <f>AS81+AS82</f>
        <v/>
      </c>
      <c r="AT83" s="160">
        <f>AT81+AT82</f>
        <v/>
      </c>
      <c r="AU83" s="160">
        <f>AU81+AU82</f>
        <v/>
      </c>
      <c r="AV83" s="160">
        <f>AV81+AV82</f>
        <v/>
      </c>
      <c r="AW83" s="160">
        <f>AW81+AW82</f>
        <v/>
      </c>
      <c r="AX83" s="160">
        <f>AX81+AX82</f>
        <v/>
      </c>
      <c r="AY83" s="160">
        <f>AY81+AY82</f>
        <v/>
      </c>
      <c r="AZ83" s="160">
        <f>AZ81+AZ82</f>
        <v/>
      </c>
      <c r="BA83" s="160">
        <f>BA81+BA82</f>
        <v/>
      </c>
      <c r="BB83" s="160">
        <f>BB81+BB82</f>
        <v/>
      </c>
    </row>
    <row r="84" ht="15" customHeight="1" s="91">
      <c r="B84" s="153" t="inlineStr">
        <is>
          <t>Tier 2: Preferred Return Paid  سداد العائد التفضيلي</t>
        </is>
      </c>
      <c r="C84" s="153" t="inlineStr">
        <is>
          <t>SAR</t>
        </is>
      </c>
      <c r="D84" s="157">
        <f>SUM(E84:BB84)</f>
        <v/>
      </c>
      <c r="E84" s="160">
        <f>MIN(MAX(0,E75-E78),E83)</f>
        <v/>
      </c>
      <c r="F84" s="160">
        <f>MIN(MAX(0,F75-F78),F83)</f>
        <v/>
      </c>
      <c r="G84" s="160">
        <f>MIN(MAX(0,G75-G78),G83)</f>
        <v/>
      </c>
      <c r="H84" s="160">
        <f>MIN(MAX(0,H75-H78),H83)</f>
        <v/>
      </c>
      <c r="I84" s="160">
        <f>MIN(MAX(0,I75-I78),I83)</f>
        <v/>
      </c>
      <c r="J84" s="160">
        <f>MIN(MAX(0,J75-J78),J83)</f>
        <v/>
      </c>
      <c r="K84" s="160">
        <f>MIN(MAX(0,K75-K78),K83)</f>
        <v/>
      </c>
      <c r="L84" s="160">
        <f>MIN(MAX(0,L75-L78),L83)</f>
        <v/>
      </c>
      <c r="M84" s="160">
        <f>MIN(MAX(0,M75-M78),M83)</f>
        <v/>
      </c>
      <c r="N84" s="160">
        <f>MIN(MAX(0,N75-N78),N83)</f>
        <v/>
      </c>
      <c r="O84" s="160">
        <f>MIN(MAX(0,O75-O78),O83)</f>
        <v/>
      </c>
      <c r="P84" s="160">
        <f>MIN(MAX(0,P75-P78),P83)</f>
        <v/>
      </c>
      <c r="Q84" s="160">
        <f>MIN(MAX(0,Q75-Q78),Q83)</f>
        <v/>
      </c>
      <c r="R84" s="160">
        <f>MIN(MAX(0,R75-R78),R83)</f>
        <v/>
      </c>
      <c r="S84" s="160">
        <f>MIN(MAX(0,S75-S78),S83)</f>
        <v/>
      </c>
      <c r="T84" s="160">
        <f>MIN(MAX(0,T75-T78),T83)</f>
        <v/>
      </c>
      <c r="U84" s="160">
        <f>MIN(MAX(0,U75-U78),U83)</f>
        <v/>
      </c>
      <c r="V84" s="160">
        <f>MIN(MAX(0,V75-V78),V83)</f>
        <v/>
      </c>
      <c r="W84" s="160">
        <f>MIN(MAX(0,W75-W78),W83)</f>
        <v/>
      </c>
      <c r="X84" s="160">
        <f>MIN(MAX(0,X75-X78),X83)</f>
        <v/>
      </c>
      <c r="Y84" s="160">
        <f>MIN(MAX(0,Y75-Y78),Y83)</f>
        <v/>
      </c>
      <c r="Z84" s="160">
        <f>MIN(MAX(0,Z75-Z78),Z83)</f>
        <v/>
      </c>
      <c r="AA84" s="160">
        <f>MIN(MAX(0,AA75-AA78),AA83)</f>
        <v/>
      </c>
      <c r="AB84" s="160">
        <f>MIN(MAX(0,AB75-AB78),AB83)</f>
        <v/>
      </c>
      <c r="AC84" s="160">
        <f>MIN(MAX(0,AC75-AC78),AC83)</f>
        <v/>
      </c>
      <c r="AD84" s="160">
        <f>MIN(MAX(0,AD75-AD78),AD83)</f>
        <v/>
      </c>
      <c r="AE84" s="160">
        <f>MIN(MAX(0,AE75-AE78),AE83)</f>
        <v/>
      </c>
      <c r="AF84" s="160">
        <f>MIN(MAX(0,AF75-AF78),AF83)</f>
        <v/>
      </c>
      <c r="AG84" s="160">
        <f>MIN(MAX(0,AG75-AG78),AG83)</f>
        <v/>
      </c>
      <c r="AH84" s="160">
        <f>MIN(MAX(0,AH75-AH78),AH83)</f>
        <v/>
      </c>
      <c r="AI84" s="160">
        <f>MIN(MAX(0,AI75-AI78),AI83)</f>
        <v/>
      </c>
      <c r="AJ84" s="160">
        <f>MIN(MAX(0,AJ75-AJ78),AJ83)</f>
        <v/>
      </c>
      <c r="AK84" s="160">
        <f>MIN(MAX(0,AK75-AK78),AK83)</f>
        <v/>
      </c>
      <c r="AL84" s="160">
        <f>MIN(MAX(0,AL75-AL78),AL83)</f>
        <v/>
      </c>
      <c r="AM84" s="160">
        <f>MIN(MAX(0,AM75-AM78),AM83)</f>
        <v/>
      </c>
      <c r="AN84" s="160">
        <f>MIN(MAX(0,AN75-AN78),AN83)</f>
        <v/>
      </c>
      <c r="AO84" s="160">
        <f>MIN(MAX(0,AO75-AO78),AO83)</f>
        <v/>
      </c>
      <c r="AP84" s="160">
        <f>MIN(MAX(0,AP75-AP78),AP83)</f>
        <v/>
      </c>
      <c r="AQ84" s="160">
        <f>MIN(MAX(0,AQ75-AQ78),AQ83)</f>
        <v/>
      </c>
      <c r="AR84" s="160">
        <f>MIN(MAX(0,AR75-AR78),AR83)</f>
        <v/>
      </c>
      <c r="AS84" s="160">
        <f>MIN(MAX(0,AS75-AS78),AS83)</f>
        <v/>
      </c>
      <c r="AT84" s="160">
        <f>MIN(MAX(0,AT75-AT78),AT83)</f>
        <v/>
      </c>
      <c r="AU84" s="160">
        <f>MIN(MAX(0,AU75-AU78),AU83)</f>
        <v/>
      </c>
      <c r="AV84" s="160">
        <f>MIN(MAX(0,AV75-AV78),AV83)</f>
        <v/>
      </c>
      <c r="AW84" s="160">
        <f>MIN(MAX(0,AW75-AW78),AW83)</f>
        <v/>
      </c>
      <c r="AX84" s="160">
        <f>MIN(MAX(0,AX75-AX78),AX83)</f>
        <v/>
      </c>
      <c r="AY84" s="160">
        <f>MIN(MAX(0,AY75-AY78),AY83)</f>
        <v/>
      </c>
      <c r="AZ84" s="160">
        <f>MIN(MAX(0,AZ75-AZ78),AZ83)</f>
        <v/>
      </c>
      <c r="BA84" s="160">
        <f>MIN(MAX(0,BA75-BA78),BA83)</f>
        <v/>
      </c>
      <c r="BB84" s="160">
        <f>MIN(MAX(0,BB75-BB78),BB83)</f>
        <v/>
      </c>
    </row>
    <row r="85" ht="15" customHeight="1" s="91">
      <c r="B85" s="153" t="inlineStr">
        <is>
          <t>Unpaid Pref (Closing)  غير المدفوع (نهاية)</t>
        </is>
      </c>
      <c r="C85" s="153" t="inlineStr">
        <is>
          <t>SAR</t>
        </is>
      </c>
      <c r="E85" s="160">
        <f>E83-E84</f>
        <v/>
      </c>
      <c r="F85" s="160">
        <f>F83-F84</f>
        <v/>
      </c>
      <c r="G85" s="160">
        <f>G83-G84</f>
        <v/>
      </c>
      <c r="H85" s="160">
        <f>H83-H84</f>
        <v/>
      </c>
      <c r="I85" s="160">
        <f>I83-I84</f>
        <v/>
      </c>
      <c r="J85" s="160">
        <f>J83-J84</f>
        <v/>
      </c>
      <c r="K85" s="160">
        <f>K83-K84</f>
        <v/>
      </c>
      <c r="L85" s="160">
        <f>L83-L84</f>
        <v/>
      </c>
      <c r="M85" s="160">
        <f>M83-M84</f>
        <v/>
      </c>
      <c r="N85" s="160">
        <f>N83-N84</f>
        <v/>
      </c>
      <c r="O85" s="160">
        <f>O83-O84</f>
        <v/>
      </c>
      <c r="P85" s="160">
        <f>P83-P84</f>
        <v/>
      </c>
      <c r="Q85" s="160">
        <f>Q83-Q84</f>
        <v/>
      </c>
      <c r="R85" s="160">
        <f>R83-R84</f>
        <v/>
      </c>
      <c r="S85" s="160">
        <f>S83-S84</f>
        <v/>
      </c>
      <c r="T85" s="160">
        <f>T83-T84</f>
        <v/>
      </c>
      <c r="U85" s="160">
        <f>U83-U84</f>
        <v/>
      </c>
      <c r="V85" s="160">
        <f>V83-V84</f>
        <v/>
      </c>
      <c r="W85" s="160">
        <f>W83-W84</f>
        <v/>
      </c>
      <c r="X85" s="160">
        <f>X83-X84</f>
        <v/>
      </c>
      <c r="Y85" s="160">
        <f>Y83-Y84</f>
        <v/>
      </c>
      <c r="Z85" s="160">
        <f>Z83-Z84</f>
        <v/>
      </c>
      <c r="AA85" s="160">
        <f>AA83-AA84</f>
        <v/>
      </c>
      <c r="AB85" s="160">
        <f>AB83-AB84</f>
        <v/>
      </c>
      <c r="AC85" s="160">
        <f>AC83-AC84</f>
        <v/>
      </c>
      <c r="AD85" s="160">
        <f>AD83-AD84</f>
        <v/>
      </c>
      <c r="AE85" s="160">
        <f>AE83-AE84</f>
        <v/>
      </c>
      <c r="AF85" s="160">
        <f>AF83-AF84</f>
        <v/>
      </c>
      <c r="AG85" s="160">
        <f>AG83-AG84</f>
        <v/>
      </c>
      <c r="AH85" s="160">
        <f>AH83-AH84</f>
        <v/>
      </c>
      <c r="AI85" s="160">
        <f>AI83-AI84</f>
        <v/>
      </c>
      <c r="AJ85" s="160">
        <f>AJ83-AJ84</f>
        <v/>
      </c>
      <c r="AK85" s="160">
        <f>AK83-AK84</f>
        <v/>
      </c>
      <c r="AL85" s="160">
        <f>AL83-AL84</f>
        <v/>
      </c>
      <c r="AM85" s="160">
        <f>AM83-AM84</f>
        <v/>
      </c>
      <c r="AN85" s="160">
        <f>AN83-AN84</f>
        <v/>
      </c>
      <c r="AO85" s="160">
        <f>AO83-AO84</f>
        <v/>
      </c>
      <c r="AP85" s="160">
        <f>AP83-AP84</f>
        <v/>
      </c>
      <c r="AQ85" s="160">
        <f>AQ83-AQ84</f>
        <v/>
      </c>
      <c r="AR85" s="160">
        <f>AR83-AR84</f>
        <v/>
      </c>
      <c r="AS85" s="160">
        <f>AS83-AS84</f>
        <v/>
      </c>
      <c r="AT85" s="160">
        <f>AT83-AT84</f>
        <v/>
      </c>
      <c r="AU85" s="160">
        <f>AU83-AU84</f>
        <v/>
      </c>
      <c r="AV85" s="160">
        <f>AV83-AV84</f>
        <v/>
      </c>
      <c r="AW85" s="160">
        <f>AW83-AW84</f>
        <v/>
      </c>
      <c r="AX85" s="160">
        <f>AX83-AX84</f>
        <v/>
      </c>
      <c r="AY85" s="160">
        <f>AY83-AY84</f>
        <v/>
      </c>
      <c r="AZ85" s="160">
        <f>AZ83-AZ84</f>
        <v/>
      </c>
      <c r="BA85" s="160">
        <f>BA83-BA84</f>
        <v/>
      </c>
      <c r="BB85" s="160">
        <f>BB83-BB84</f>
        <v/>
      </c>
    </row>
    <row r="87" ht="15" customHeight="1" s="91">
      <c r="B87" s="153" t="inlineStr">
        <is>
          <t>Remaining After ROC + Pref  المتبقي</t>
        </is>
      </c>
      <c r="C87" s="153" t="inlineStr">
        <is>
          <t>SAR</t>
        </is>
      </c>
      <c r="E87" s="160">
        <f>MAX(0,E75-E78-E84)</f>
        <v/>
      </c>
      <c r="F87" s="160">
        <f>MAX(0,F75-F78-F84)</f>
        <v/>
      </c>
      <c r="G87" s="160">
        <f>MAX(0,G75-G78-G84)</f>
        <v/>
      </c>
      <c r="H87" s="160">
        <f>MAX(0,H75-H78-H84)</f>
        <v/>
      </c>
      <c r="I87" s="160">
        <f>MAX(0,I75-I78-I84)</f>
        <v/>
      </c>
      <c r="J87" s="160">
        <f>MAX(0,J75-J78-J84)</f>
        <v/>
      </c>
      <c r="K87" s="160">
        <f>MAX(0,K75-K78-K84)</f>
        <v/>
      </c>
      <c r="L87" s="160">
        <f>MAX(0,L75-L78-L84)</f>
        <v/>
      </c>
      <c r="M87" s="160">
        <f>MAX(0,M75-M78-M84)</f>
        <v/>
      </c>
      <c r="N87" s="160">
        <f>MAX(0,N75-N78-N84)</f>
        <v/>
      </c>
      <c r="O87" s="160">
        <f>MAX(0,O75-O78-O84)</f>
        <v/>
      </c>
      <c r="P87" s="160">
        <f>MAX(0,P75-P78-P84)</f>
        <v/>
      </c>
      <c r="Q87" s="160">
        <f>MAX(0,Q75-Q78-Q84)</f>
        <v/>
      </c>
      <c r="R87" s="160">
        <f>MAX(0,R75-R78-R84)</f>
        <v/>
      </c>
      <c r="S87" s="160">
        <f>MAX(0,S75-S78-S84)</f>
        <v/>
      </c>
      <c r="T87" s="160">
        <f>MAX(0,T75-T78-T84)</f>
        <v/>
      </c>
      <c r="U87" s="160">
        <f>MAX(0,U75-U78-U84)</f>
        <v/>
      </c>
      <c r="V87" s="160">
        <f>MAX(0,V75-V78-V84)</f>
        <v/>
      </c>
      <c r="W87" s="160">
        <f>MAX(0,W75-W78-W84)</f>
        <v/>
      </c>
      <c r="X87" s="160">
        <f>MAX(0,X75-X78-X84)</f>
        <v/>
      </c>
      <c r="Y87" s="160">
        <f>MAX(0,Y75-Y78-Y84)</f>
        <v/>
      </c>
      <c r="Z87" s="160">
        <f>MAX(0,Z75-Z78-Z84)</f>
        <v/>
      </c>
      <c r="AA87" s="160">
        <f>MAX(0,AA75-AA78-AA84)</f>
        <v/>
      </c>
      <c r="AB87" s="160">
        <f>MAX(0,AB75-AB78-AB84)</f>
        <v/>
      </c>
      <c r="AC87" s="160">
        <f>MAX(0,AC75-AC78-AC84)</f>
        <v/>
      </c>
      <c r="AD87" s="160">
        <f>MAX(0,AD75-AD78-AD84)</f>
        <v/>
      </c>
      <c r="AE87" s="160">
        <f>MAX(0,AE75-AE78-AE84)</f>
        <v/>
      </c>
      <c r="AF87" s="160">
        <f>MAX(0,AF75-AF78-AF84)</f>
        <v/>
      </c>
      <c r="AG87" s="160">
        <f>MAX(0,AG75-AG78-AG84)</f>
        <v/>
      </c>
      <c r="AH87" s="160">
        <f>MAX(0,AH75-AH78-AH84)</f>
        <v/>
      </c>
      <c r="AI87" s="160">
        <f>MAX(0,AI75-AI78-AI84)</f>
        <v/>
      </c>
      <c r="AJ87" s="160">
        <f>MAX(0,AJ75-AJ78-AJ84)</f>
        <v/>
      </c>
      <c r="AK87" s="160">
        <f>MAX(0,AK75-AK78-AK84)</f>
        <v/>
      </c>
      <c r="AL87" s="160">
        <f>MAX(0,AL75-AL78-AL84)</f>
        <v/>
      </c>
      <c r="AM87" s="160">
        <f>MAX(0,AM75-AM78-AM84)</f>
        <v/>
      </c>
      <c r="AN87" s="160">
        <f>MAX(0,AN75-AN78-AN84)</f>
        <v/>
      </c>
      <c r="AO87" s="160">
        <f>MAX(0,AO75-AO78-AO84)</f>
        <v/>
      </c>
      <c r="AP87" s="160">
        <f>MAX(0,AP75-AP78-AP84)</f>
        <v/>
      </c>
      <c r="AQ87" s="160">
        <f>MAX(0,AQ75-AQ78-AQ84)</f>
        <v/>
      </c>
      <c r="AR87" s="160">
        <f>MAX(0,AR75-AR78-AR84)</f>
        <v/>
      </c>
      <c r="AS87" s="160">
        <f>MAX(0,AS75-AS78-AS84)</f>
        <v/>
      </c>
      <c r="AT87" s="160">
        <f>MAX(0,AT75-AT78-AT84)</f>
        <v/>
      </c>
      <c r="AU87" s="160">
        <f>MAX(0,AU75-AU78-AU84)</f>
        <v/>
      </c>
      <c r="AV87" s="160">
        <f>MAX(0,AV75-AV78-AV84)</f>
        <v/>
      </c>
      <c r="AW87" s="160">
        <f>MAX(0,AW75-AW78-AW84)</f>
        <v/>
      </c>
      <c r="AX87" s="160">
        <f>MAX(0,AX75-AX78-AX84)</f>
        <v/>
      </c>
      <c r="AY87" s="160">
        <f>MAX(0,AY75-AY78-AY84)</f>
        <v/>
      </c>
      <c r="AZ87" s="160">
        <f>MAX(0,AZ75-AZ78-AZ84)</f>
        <v/>
      </c>
      <c r="BA87" s="160">
        <f>MAX(0,BA75-BA78-BA84)</f>
        <v/>
      </c>
      <c r="BB87" s="160">
        <f>MAX(0,BB75-BB78-BB84)</f>
        <v/>
      </c>
    </row>
    <row r="88" ht="15" customHeight="1" s="91">
      <c r="B88" s="153" t="inlineStr">
        <is>
          <t>Tier 3: GP Catch-up  تعويض المطور</t>
        </is>
      </c>
      <c r="C88" s="153" t="inlineStr">
        <is>
          <t>SAR</t>
        </is>
      </c>
      <c r="D88" s="157">
        <f>SUM(E88:BB88)</f>
        <v/>
      </c>
      <c r="E88" s="160">
        <f>IF($C$37="Y",MIN(E87,E84*$C$38/(1-$C$38)),0)</f>
        <v/>
      </c>
      <c r="F88" s="160">
        <f>IF($C$37="Y",MIN(F87,F84*$C$38/(1-$C$38)),0)</f>
        <v/>
      </c>
      <c r="G88" s="160">
        <f>IF($C$37="Y",MIN(G87,G84*$C$38/(1-$C$38)),0)</f>
        <v/>
      </c>
      <c r="H88" s="160">
        <f>IF($C$37="Y",MIN(H87,H84*$C$38/(1-$C$38)),0)</f>
        <v/>
      </c>
      <c r="I88" s="160">
        <f>IF($C$37="Y",MIN(I87,I84*$C$38/(1-$C$38)),0)</f>
        <v/>
      </c>
      <c r="J88" s="160">
        <f>IF($C$37="Y",MIN(J87,J84*$C$38/(1-$C$38)),0)</f>
        <v/>
      </c>
      <c r="K88" s="160">
        <f>IF($C$37="Y",MIN(K87,K84*$C$38/(1-$C$38)),0)</f>
        <v/>
      </c>
      <c r="L88" s="160">
        <f>IF($C$37="Y",MIN(L87,L84*$C$38/(1-$C$38)),0)</f>
        <v/>
      </c>
      <c r="M88" s="160">
        <f>IF($C$37="Y",MIN(M87,M84*$C$38/(1-$C$38)),0)</f>
        <v/>
      </c>
      <c r="N88" s="160">
        <f>IF($C$37="Y",MIN(N87,N84*$C$38/(1-$C$38)),0)</f>
        <v/>
      </c>
      <c r="O88" s="160">
        <f>IF($C$37="Y",MIN(O87,O84*$C$38/(1-$C$38)),0)</f>
        <v/>
      </c>
      <c r="P88" s="160">
        <f>IF($C$37="Y",MIN(P87,P84*$C$38/(1-$C$38)),0)</f>
        <v/>
      </c>
      <c r="Q88" s="160">
        <f>IF($C$37="Y",MIN(Q87,Q84*$C$38/(1-$C$38)),0)</f>
        <v/>
      </c>
      <c r="R88" s="160">
        <f>IF($C$37="Y",MIN(R87,R84*$C$38/(1-$C$38)),0)</f>
        <v/>
      </c>
      <c r="S88" s="160">
        <f>IF($C$37="Y",MIN(S87,S84*$C$38/(1-$C$38)),0)</f>
        <v/>
      </c>
      <c r="T88" s="160">
        <f>IF($C$37="Y",MIN(T87,T84*$C$38/(1-$C$38)),0)</f>
        <v/>
      </c>
      <c r="U88" s="160">
        <f>IF($C$37="Y",MIN(U87,U84*$C$38/(1-$C$38)),0)</f>
        <v/>
      </c>
      <c r="V88" s="160">
        <f>IF($C$37="Y",MIN(V87,V84*$C$38/(1-$C$38)),0)</f>
        <v/>
      </c>
      <c r="W88" s="160">
        <f>IF($C$37="Y",MIN(W87,W84*$C$38/(1-$C$38)),0)</f>
        <v/>
      </c>
      <c r="X88" s="160">
        <f>IF($C$37="Y",MIN(X87,X84*$C$38/(1-$C$38)),0)</f>
        <v/>
      </c>
      <c r="Y88" s="160">
        <f>IF($C$37="Y",MIN(Y87,Y84*$C$38/(1-$C$38)),0)</f>
        <v/>
      </c>
      <c r="Z88" s="160">
        <f>IF($C$37="Y",MIN(Z87,Z84*$C$38/(1-$C$38)),0)</f>
        <v/>
      </c>
      <c r="AA88" s="160">
        <f>IF($C$37="Y",MIN(AA87,AA84*$C$38/(1-$C$38)),0)</f>
        <v/>
      </c>
      <c r="AB88" s="160">
        <f>IF($C$37="Y",MIN(AB87,AB84*$C$38/(1-$C$38)),0)</f>
        <v/>
      </c>
      <c r="AC88" s="160">
        <f>IF($C$37="Y",MIN(AC87,AC84*$C$38/(1-$C$38)),0)</f>
        <v/>
      </c>
      <c r="AD88" s="160">
        <f>IF($C$37="Y",MIN(AD87,AD84*$C$38/(1-$C$38)),0)</f>
        <v/>
      </c>
      <c r="AE88" s="160">
        <f>IF($C$37="Y",MIN(AE87,AE84*$C$38/(1-$C$38)),0)</f>
        <v/>
      </c>
      <c r="AF88" s="160">
        <f>IF($C$37="Y",MIN(AF87,AF84*$C$38/(1-$C$38)),0)</f>
        <v/>
      </c>
      <c r="AG88" s="160">
        <f>IF($C$37="Y",MIN(AG87,AG84*$C$38/(1-$C$38)),0)</f>
        <v/>
      </c>
      <c r="AH88" s="160">
        <f>IF($C$37="Y",MIN(AH87,AH84*$C$38/(1-$C$38)),0)</f>
        <v/>
      </c>
      <c r="AI88" s="160">
        <f>IF($C$37="Y",MIN(AI87,AI84*$C$38/(1-$C$38)),0)</f>
        <v/>
      </c>
      <c r="AJ88" s="160">
        <f>IF($C$37="Y",MIN(AJ87,AJ84*$C$38/(1-$C$38)),0)</f>
        <v/>
      </c>
      <c r="AK88" s="160">
        <f>IF($C$37="Y",MIN(AK87,AK84*$C$38/(1-$C$38)),0)</f>
        <v/>
      </c>
      <c r="AL88" s="160">
        <f>IF($C$37="Y",MIN(AL87,AL84*$C$38/(1-$C$38)),0)</f>
        <v/>
      </c>
      <c r="AM88" s="160">
        <f>IF($C$37="Y",MIN(AM87,AM84*$C$38/(1-$C$38)),0)</f>
        <v/>
      </c>
      <c r="AN88" s="160">
        <f>IF($C$37="Y",MIN(AN87,AN84*$C$38/(1-$C$38)),0)</f>
        <v/>
      </c>
      <c r="AO88" s="160">
        <f>IF($C$37="Y",MIN(AO87,AO84*$C$38/(1-$C$38)),0)</f>
        <v/>
      </c>
      <c r="AP88" s="160">
        <f>IF($C$37="Y",MIN(AP87,AP84*$C$38/(1-$C$38)),0)</f>
        <v/>
      </c>
      <c r="AQ88" s="160">
        <f>IF($C$37="Y",MIN(AQ87,AQ84*$C$38/(1-$C$38)),0)</f>
        <v/>
      </c>
      <c r="AR88" s="160">
        <f>IF($C$37="Y",MIN(AR87,AR84*$C$38/(1-$C$38)),0)</f>
        <v/>
      </c>
      <c r="AS88" s="160">
        <f>IF($C$37="Y",MIN(AS87,AS84*$C$38/(1-$C$38)),0)</f>
        <v/>
      </c>
      <c r="AT88" s="160">
        <f>IF($C$37="Y",MIN(AT87,AT84*$C$38/(1-$C$38)),0)</f>
        <v/>
      </c>
      <c r="AU88" s="160">
        <f>IF($C$37="Y",MIN(AU87,AU84*$C$38/(1-$C$38)),0)</f>
        <v/>
      </c>
      <c r="AV88" s="160">
        <f>IF($C$37="Y",MIN(AV87,AV84*$C$38/(1-$C$38)),0)</f>
        <v/>
      </c>
      <c r="AW88" s="160">
        <f>IF($C$37="Y",MIN(AW87,AW84*$C$38/(1-$C$38)),0)</f>
        <v/>
      </c>
      <c r="AX88" s="160">
        <f>IF($C$37="Y",MIN(AX87,AX84*$C$38/(1-$C$38)),0)</f>
        <v/>
      </c>
      <c r="AY88" s="160">
        <f>IF($C$37="Y",MIN(AY87,AY84*$C$38/(1-$C$38)),0)</f>
        <v/>
      </c>
      <c r="AZ88" s="160">
        <f>IF($C$37="Y",MIN(AZ87,AZ84*$C$38/(1-$C$38)),0)</f>
        <v/>
      </c>
      <c r="BA88" s="160">
        <f>IF($C$37="Y",MIN(BA87,BA84*$C$38/(1-$C$38)),0)</f>
        <v/>
      </c>
      <c r="BB88" s="160">
        <f>IF($C$37="Y",MIN(BB87,BB84*$C$38/(1-$C$38)),0)</f>
        <v/>
      </c>
    </row>
    <row r="89" ht="15" customHeight="1" s="91">
      <c r="B89" s="153" t="inlineStr">
        <is>
          <t>Tier 4: Profit Split  تقسيم الأرباح</t>
        </is>
      </c>
      <c r="C89" s="153" t="inlineStr">
        <is>
          <t>SAR</t>
        </is>
      </c>
      <c r="D89" s="157">
        <f>SUM(E89:BB89)</f>
        <v/>
      </c>
      <c r="E89" s="160">
        <f>MAX(0,E87-E88)</f>
        <v/>
      </c>
      <c r="F89" s="160">
        <f>MAX(0,F87-F88)</f>
        <v/>
      </c>
      <c r="G89" s="160">
        <f>MAX(0,G87-G88)</f>
        <v/>
      </c>
      <c r="H89" s="160">
        <f>MAX(0,H87-H88)</f>
        <v/>
      </c>
      <c r="I89" s="160">
        <f>MAX(0,I87-I88)</f>
        <v/>
      </c>
      <c r="J89" s="160">
        <f>MAX(0,J87-J88)</f>
        <v/>
      </c>
      <c r="K89" s="160">
        <f>MAX(0,K87-K88)</f>
        <v/>
      </c>
      <c r="L89" s="160">
        <f>MAX(0,L87-L88)</f>
        <v/>
      </c>
      <c r="M89" s="160">
        <f>MAX(0,M87-M88)</f>
        <v/>
      </c>
      <c r="N89" s="160">
        <f>MAX(0,N87-N88)</f>
        <v/>
      </c>
      <c r="O89" s="160">
        <f>MAX(0,O87-O88)</f>
        <v/>
      </c>
      <c r="P89" s="160">
        <f>MAX(0,P87-P88)</f>
        <v/>
      </c>
      <c r="Q89" s="160">
        <f>MAX(0,Q87-Q88)</f>
        <v/>
      </c>
      <c r="R89" s="160">
        <f>MAX(0,R87-R88)</f>
        <v/>
      </c>
      <c r="S89" s="160">
        <f>MAX(0,S87-S88)</f>
        <v/>
      </c>
      <c r="T89" s="160">
        <f>MAX(0,T87-T88)</f>
        <v/>
      </c>
      <c r="U89" s="160">
        <f>MAX(0,U87-U88)</f>
        <v/>
      </c>
      <c r="V89" s="160">
        <f>MAX(0,V87-V88)</f>
        <v/>
      </c>
      <c r="W89" s="160">
        <f>MAX(0,W87-W88)</f>
        <v/>
      </c>
      <c r="X89" s="160">
        <f>MAX(0,X87-X88)</f>
        <v/>
      </c>
      <c r="Y89" s="160">
        <f>MAX(0,Y87-Y88)</f>
        <v/>
      </c>
      <c r="Z89" s="160">
        <f>MAX(0,Z87-Z88)</f>
        <v/>
      </c>
      <c r="AA89" s="160">
        <f>MAX(0,AA87-AA88)</f>
        <v/>
      </c>
      <c r="AB89" s="160">
        <f>MAX(0,AB87-AB88)</f>
        <v/>
      </c>
      <c r="AC89" s="160">
        <f>MAX(0,AC87-AC88)</f>
        <v/>
      </c>
      <c r="AD89" s="160">
        <f>MAX(0,AD87-AD88)</f>
        <v/>
      </c>
      <c r="AE89" s="160">
        <f>MAX(0,AE87-AE88)</f>
        <v/>
      </c>
      <c r="AF89" s="160">
        <f>MAX(0,AF87-AF88)</f>
        <v/>
      </c>
      <c r="AG89" s="160">
        <f>MAX(0,AG87-AG88)</f>
        <v/>
      </c>
      <c r="AH89" s="160">
        <f>MAX(0,AH87-AH88)</f>
        <v/>
      </c>
      <c r="AI89" s="160">
        <f>MAX(0,AI87-AI88)</f>
        <v/>
      </c>
      <c r="AJ89" s="160">
        <f>MAX(0,AJ87-AJ88)</f>
        <v/>
      </c>
      <c r="AK89" s="160">
        <f>MAX(0,AK87-AK88)</f>
        <v/>
      </c>
      <c r="AL89" s="160">
        <f>MAX(0,AL87-AL88)</f>
        <v/>
      </c>
      <c r="AM89" s="160">
        <f>MAX(0,AM87-AM88)</f>
        <v/>
      </c>
      <c r="AN89" s="160">
        <f>MAX(0,AN87-AN88)</f>
        <v/>
      </c>
      <c r="AO89" s="160">
        <f>MAX(0,AO87-AO88)</f>
        <v/>
      </c>
      <c r="AP89" s="160">
        <f>MAX(0,AP87-AP88)</f>
        <v/>
      </c>
      <c r="AQ89" s="160">
        <f>MAX(0,AQ87-AQ88)</f>
        <v/>
      </c>
      <c r="AR89" s="160">
        <f>MAX(0,AR87-AR88)</f>
        <v/>
      </c>
      <c r="AS89" s="160">
        <f>MAX(0,AS87-AS88)</f>
        <v/>
      </c>
      <c r="AT89" s="160">
        <f>MAX(0,AT87-AT88)</f>
        <v/>
      </c>
      <c r="AU89" s="160">
        <f>MAX(0,AU87-AU88)</f>
        <v/>
      </c>
      <c r="AV89" s="160">
        <f>MAX(0,AV87-AV88)</f>
        <v/>
      </c>
      <c r="AW89" s="160">
        <f>MAX(0,AW87-AW88)</f>
        <v/>
      </c>
      <c r="AX89" s="160">
        <f>MAX(0,AX87-AX88)</f>
        <v/>
      </c>
      <c r="AY89" s="160">
        <f>MAX(0,AY87-AY88)</f>
        <v/>
      </c>
      <c r="AZ89" s="160">
        <f>MAX(0,AZ87-AZ88)</f>
        <v/>
      </c>
      <c r="BA89" s="160">
        <f>MAX(0,BA87-BA88)</f>
        <v/>
      </c>
      <c r="BB89" s="160">
        <f>MAX(0,BB87-BB88)</f>
        <v/>
      </c>
    </row>
    <row r="90" ht="15" customHeight="1" s="91">
      <c r="B90" s="153" t="inlineStr">
        <is>
          <t xml:space="preserve">  → LP  حصة المستثمرين</t>
        </is>
      </c>
      <c r="C90" s="153" t="inlineStr">
        <is>
          <t>SAR</t>
        </is>
      </c>
      <c r="D90" s="160">
        <f>SUM(E90:BB90)</f>
        <v/>
      </c>
      <c r="E90" s="160">
        <f>E89*(1-$C$38)</f>
        <v/>
      </c>
      <c r="F90" s="160">
        <f>F89*(1-$C$38)</f>
        <v/>
      </c>
      <c r="G90" s="160">
        <f>G89*(1-$C$38)</f>
        <v/>
      </c>
      <c r="H90" s="160">
        <f>H89*(1-$C$38)</f>
        <v/>
      </c>
      <c r="I90" s="160">
        <f>I89*(1-$C$38)</f>
        <v/>
      </c>
      <c r="J90" s="160">
        <f>J89*(1-$C$38)</f>
        <v/>
      </c>
      <c r="K90" s="160">
        <f>K89*(1-$C$38)</f>
        <v/>
      </c>
      <c r="L90" s="160">
        <f>L89*(1-$C$38)</f>
        <v/>
      </c>
      <c r="M90" s="160">
        <f>M89*(1-$C$38)</f>
        <v/>
      </c>
      <c r="N90" s="160">
        <f>N89*(1-$C$38)</f>
        <v/>
      </c>
      <c r="O90" s="160">
        <f>O89*(1-$C$38)</f>
        <v/>
      </c>
      <c r="P90" s="160">
        <f>P89*(1-$C$38)</f>
        <v/>
      </c>
      <c r="Q90" s="160">
        <f>Q89*(1-$C$38)</f>
        <v/>
      </c>
      <c r="R90" s="160">
        <f>R89*(1-$C$38)</f>
        <v/>
      </c>
      <c r="S90" s="160">
        <f>S89*(1-$C$38)</f>
        <v/>
      </c>
      <c r="T90" s="160">
        <f>T89*(1-$C$38)</f>
        <v/>
      </c>
      <c r="U90" s="160">
        <f>U89*(1-$C$38)</f>
        <v/>
      </c>
      <c r="V90" s="160">
        <f>V89*(1-$C$38)</f>
        <v/>
      </c>
      <c r="W90" s="160">
        <f>W89*(1-$C$38)</f>
        <v/>
      </c>
      <c r="X90" s="160">
        <f>X89*(1-$C$38)</f>
        <v/>
      </c>
      <c r="Y90" s="160">
        <f>Y89*(1-$C$38)</f>
        <v/>
      </c>
      <c r="Z90" s="160">
        <f>Z89*(1-$C$38)</f>
        <v/>
      </c>
      <c r="AA90" s="160">
        <f>AA89*(1-$C$38)</f>
        <v/>
      </c>
      <c r="AB90" s="160">
        <f>AB89*(1-$C$38)</f>
        <v/>
      </c>
      <c r="AC90" s="160">
        <f>AC89*(1-$C$38)</f>
        <v/>
      </c>
      <c r="AD90" s="160">
        <f>AD89*(1-$C$38)</f>
        <v/>
      </c>
      <c r="AE90" s="160">
        <f>AE89*(1-$C$38)</f>
        <v/>
      </c>
      <c r="AF90" s="160">
        <f>AF89*(1-$C$38)</f>
        <v/>
      </c>
      <c r="AG90" s="160">
        <f>AG89*(1-$C$38)</f>
        <v/>
      </c>
      <c r="AH90" s="160">
        <f>AH89*(1-$C$38)</f>
        <v/>
      </c>
      <c r="AI90" s="160">
        <f>AI89*(1-$C$38)</f>
        <v/>
      </c>
      <c r="AJ90" s="160">
        <f>AJ89*(1-$C$38)</f>
        <v/>
      </c>
      <c r="AK90" s="160">
        <f>AK89*(1-$C$38)</f>
        <v/>
      </c>
      <c r="AL90" s="160">
        <f>AL89*(1-$C$38)</f>
        <v/>
      </c>
      <c r="AM90" s="160">
        <f>AM89*(1-$C$38)</f>
        <v/>
      </c>
      <c r="AN90" s="160">
        <f>AN89*(1-$C$38)</f>
        <v/>
      </c>
      <c r="AO90" s="160">
        <f>AO89*(1-$C$38)</f>
        <v/>
      </c>
      <c r="AP90" s="160">
        <f>AP89*(1-$C$38)</f>
        <v/>
      </c>
      <c r="AQ90" s="160">
        <f>AQ89*(1-$C$38)</f>
        <v/>
      </c>
      <c r="AR90" s="160">
        <f>AR89*(1-$C$38)</f>
        <v/>
      </c>
      <c r="AS90" s="160">
        <f>AS89*(1-$C$38)</f>
        <v/>
      </c>
      <c r="AT90" s="160">
        <f>AT89*(1-$C$38)</f>
        <v/>
      </c>
      <c r="AU90" s="160">
        <f>AU89*(1-$C$38)</f>
        <v/>
      </c>
      <c r="AV90" s="160">
        <f>AV89*(1-$C$38)</f>
        <v/>
      </c>
      <c r="AW90" s="160">
        <f>AW89*(1-$C$38)</f>
        <v/>
      </c>
      <c r="AX90" s="160">
        <f>AX89*(1-$C$38)</f>
        <v/>
      </c>
      <c r="AY90" s="160">
        <f>AY89*(1-$C$38)</f>
        <v/>
      </c>
      <c r="AZ90" s="160">
        <f>AZ89*(1-$C$38)</f>
        <v/>
      </c>
      <c r="BA90" s="160">
        <f>BA89*(1-$C$38)</f>
        <v/>
      </c>
      <c r="BB90" s="160">
        <f>BB89*(1-$C$38)</f>
        <v/>
      </c>
    </row>
    <row r="91" ht="15" customHeight="1" s="91">
      <c r="B91" s="153" t="inlineStr">
        <is>
          <t xml:space="preserve">  → GP / Carry  حصة الأداء</t>
        </is>
      </c>
      <c r="C91" s="153" t="inlineStr">
        <is>
          <t>SAR</t>
        </is>
      </c>
      <c r="D91" s="160">
        <f>SUM(E91:BB91)</f>
        <v/>
      </c>
      <c r="E91" s="160">
        <f>E89*$C$38</f>
        <v/>
      </c>
      <c r="F91" s="160">
        <f>F89*$C$38</f>
        <v/>
      </c>
      <c r="G91" s="160">
        <f>G89*$C$38</f>
        <v/>
      </c>
      <c r="H91" s="160">
        <f>H89*$C$38</f>
        <v/>
      </c>
      <c r="I91" s="160">
        <f>I89*$C$38</f>
        <v/>
      </c>
      <c r="J91" s="160">
        <f>J89*$C$38</f>
        <v/>
      </c>
      <c r="K91" s="160">
        <f>K89*$C$38</f>
        <v/>
      </c>
      <c r="L91" s="160">
        <f>L89*$C$38</f>
        <v/>
      </c>
      <c r="M91" s="160">
        <f>M89*$C$38</f>
        <v/>
      </c>
      <c r="N91" s="160">
        <f>N89*$C$38</f>
        <v/>
      </c>
      <c r="O91" s="160">
        <f>O89*$C$38</f>
        <v/>
      </c>
      <c r="P91" s="160">
        <f>P89*$C$38</f>
        <v/>
      </c>
      <c r="Q91" s="160">
        <f>Q89*$C$38</f>
        <v/>
      </c>
      <c r="R91" s="160">
        <f>R89*$C$38</f>
        <v/>
      </c>
      <c r="S91" s="160">
        <f>S89*$C$38</f>
        <v/>
      </c>
      <c r="T91" s="160">
        <f>T89*$C$38</f>
        <v/>
      </c>
      <c r="U91" s="160">
        <f>U89*$C$38</f>
        <v/>
      </c>
      <c r="V91" s="160">
        <f>V89*$C$38</f>
        <v/>
      </c>
      <c r="W91" s="160">
        <f>W89*$C$38</f>
        <v/>
      </c>
      <c r="X91" s="160">
        <f>X89*$C$38</f>
        <v/>
      </c>
      <c r="Y91" s="160">
        <f>Y89*$C$38</f>
        <v/>
      </c>
      <c r="Z91" s="160">
        <f>Z89*$C$38</f>
        <v/>
      </c>
      <c r="AA91" s="160">
        <f>AA89*$C$38</f>
        <v/>
      </c>
      <c r="AB91" s="160">
        <f>AB89*$C$38</f>
        <v/>
      </c>
      <c r="AC91" s="160">
        <f>AC89*$C$38</f>
        <v/>
      </c>
      <c r="AD91" s="160">
        <f>AD89*$C$38</f>
        <v/>
      </c>
      <c r="AE91" s="160">
        <f>AE89*$C$38</f>
        <v/>
      </c>
      <c r="AF91" s="160">
        <f>AF89*$C$38</f>
        <v/>
      </c>
      <c r="AG91" s="160">
        <f>AG89*$C$38</f>
        <v/>
      </c>
      <c r="AH91" s="160">
        <f>AH89*$C$38</f>
        <v/>
      </c>
      <c r="AI91" s="160">
        <f>AI89*$C$38</f>
        <v/>
      </c>
      <c r="AJ91" s="160">
        <f>AJ89*$C$38</f>
        <v/>
      </c>
      <c r="AK91" s="160">
        <f>AK89*$C$38</f>
        <v/>
      </c>
      <c r="AL91" s="160">
        <f>AL89*$C$38</f>
        <v/>
      </c>
      <c r="AM91" s="160">
        <f>AM89*$C$38</f>
        <v/>
      </c>
      <c r="AN91" s="160">
        <f>AN89*$C$38</f>
        <v/>
      </c>
      <c r="AO91" s="160">
        <f>AO89*$C$38</f>
        <v/>
      </c>
      <c r="AP91" s="160">
        <f>AP89*$C$38</f>
        <v/>
      </c>
      <c r="AQ91" s="160">
        <f>AQ89*$C$38</f>
        <v/>
      </c>
      <c r="AR91" s="160">
        <f>AR89*$C$38</f>
        <v/>
      </c>
      <c r="AS91" s="160">
        <f>AS89*$C$38</f>
        <v/>
      </c>
      <c r="AT91" s="160">
        <f>AT89*$C$38</f>
        <v/>
      </c>
      <c r="AU91" s="160">
        <f>AU89*$C$38</f>
        <v/>
      </c>
      <c r="AV91" s="160">
        <f>AV89*$C$38</f>
        <v/>
      </c>
      <c r="AW91" s="160">
        <f>AW89*$C$38</f>
        <v/>
      </c>
      <c r="AX91" s="160">
        <f>AX89*$C$38</f>
        <v/>
      </c>
      <c r="AY91" s="160">
        <f>AY89*$C$38</f>
        <v/>
      </c>
      <c r="AZ91" s="160">
        <f>AZ89*$C$38</f>
        <v/>
      </c>
      <c r="BA91" s="160">
        <f>BA89*$C$38</f>
        <v/>
      </c>
      <c r="BB91" s="160">
        <f>BB89*$C$38</f>
        <v/>
      </c>
    </row>
    <row r="93" ht="15" customHeight="1" s="91">
      <c r="B93" s="110" t="inlineStr">
        <is>
          <t>Total Distribution to LP  إجمالي توزيعات المستثمرين</t>
        </is>
      </c>
      <c r="C93" s="153" t="inlineStr">
        <is>
          <t>SAR</t>
        </is>
      </c>
      <c r="D93" s="157">
        <f>SUM(E93:BB93)</f>
        <v/>
      </c>
      <c r="E93" s="160">
        <f>E78*$C$16+E84*$C$16+E90</f>
        <v/>
      </c>
      <c r="F93" s="160">
        <f>F78*$C$16+F84*$C$16+F90</f>
        <v/>
      </c>
      <c r="G93" s="160">
        <f>G78*$C$16+G84*$C$16+G90</f>
        <v/>
      </c>
      <c r="H93" s="160">
        <f>H78*$C$16+H84*$C$16+H90</f>
        <v/>
      </c>
      <c r="I93" s="160">
        <f>I78*$C$16+I84*$C$16+I90</f>
        <v/>
      </c>
      <c r="J93" s="160">
        <f>J78*$C$16+J84*$C$16+J90</f>
        <v/>
      </c>
      <c r="K93" s="160">
        <f>K78*$C$16+K84*$C$16+K90</f>
        <v/>
      </c>
      <c r="L93" s="160">
        <f>L78*$C$16+L84*$C$16+L90</f>
        <v/>
      </c>
      <c r="M93" s="160">
        <f>M78*$C$16+M84*$C$16+M90</f>
        <v/>
      </c>
      <c r="N93" s="160">
        <f>N78*$C$16+N84*$C$16+N90</f>
        <v/>
      </c>
      <c r="O93" s="160">
        <f>O78*$C$16+O84*$C$16+O90</f>
        <v/>
      </c>
      <c r="P93" s="160">
        <f>P78*$C$16+P84*$C$16+P90</f>
        <v/>
      </c>
      <c r="Q93" s="160">
        <f>Q78*$C$16+Q84*$C$16+Q90</f>
        <v/>
      </c>
      <c r="R93" s="160">
        <f>R78*$C$16+R84*$C$16+R90</f>
        <v/>
      </c>
      <c r="S93" s="160">
        <f>S78*$C$16+S84*$C$16+S90</f>
        <v/>
      </c>
      <c r="T93" s="160">
        <f>T78*$C$16+T84*$C$16+T90</f>
        <v/>
      </c>
      <c r="U93" s="160">
        <f>U78*$C$16+U84*$C$16+U90</f>
        <v/>
      </c>
      <c r="V93" s="160">
        <f>V78*$C$16+V84*$C$16+V90</f>
        <v/>
      </c>
      <c r="W93" s="160">
        <f>W78*$C$16+W84*$C$16+W90</f>
        <v/>
      </c>
      <c r="X93" s="160">
        <f>X78*$C$16+X84*$C$16+X90</f>
        <v/>
      </c>
      <c r="Y93" s="160">
        <f>Y78*$C$16+Y84*$C$16+Y90</f>
        <v/>
      </c>
      <c r="Z93" s="160">
        <f>Z78*$C$16+Z84*$C$16+Z90</f>
        <v/>
      </c>
      <c r="AA93" s="160">
        <f>AA78*$C$16+AA84*$C$16+AA90</f>
        <v/>
      </c>
      <c r="AB93" s="160">
        <f>AB78*$C$16+AB84*$C$16+AB90</f>
        <v/>
      </c>
      <c r="AC93" s="160">
        <f>AC78*$C$16+AC84*$C$16+AC90</f>
        <v/>
      </c>
      <c r="AD93" s="160">
        <f>AD78*$C$16+AD84*$C$16+AD90</f>
        <v/>
      </c>
      <c r="AE93" s="160">
        <f>AE78*$C$16+AE84*$C$16+AE90</f>
        <v/>
      </c>
      <c r="AF93" s="160">
        <f>AF78*$C$16+AF84*$C$16+AF90</f>
        <v/>
      </c>
      <c r="AG93" s="160">
        <f>AG78*$C$16+AG84*$C$16+AG90</f>
        <v/>
      </c>
      <c r="AH93" s="160">
        <f>AH78*$C$16+AH84*$C$16+AH90</f>
        <v/>
      </c>
      <c r="AI93" s="160">
        <f>AI78*$C$16+AI84*$C$16+AI90</f>
        <v/>
      </c>
      <c r="AJ93" s="160">
        <f>AJ78*$C$16+AJ84*$C$16+AJ90</f>
        <v/>
      </c>
      <c r="AK93" s="160">
        <f>AK78*$C$16+AK84*$C$16+AK90</f>
        <v/>
      </c>
      <c r="AL93" s="160">
        <f>AL78*$C$16+AL84*$C$16+AL90</f>
        <v/>
      </c>
      <c r="AM93" s="160">
        <f>AM78*$C$16+AM84*$C$16+AM90</f>
        <v/>
      </c>
      <c r="AN93" s="160">
        <f>AN78*$C$16+AN84*$C$16+AN90</f>
        <v/>
      </c>
      <c r="AO93" s="160">
        <f>AO78*$C$16+AO84*$C$16+AO90</f>
        <v/>
      </c>
      <c r="AP93" s="160">
        <f>AP78*$C$16+AP84*$C$16+AP90</f>
        <v/>
      </c>
      <c r="AQ93" s="160">
        <f>AQ78*$C$16+AQ84*$C$16+AQ90</f>
        <v/>
      </c>
      <c r="AR93" s="160">
        <f>AR78*$C$16+AR84*$C$16+AR90</f>
        <v/>
      </c>
      <c r="AS93" s="160">
        <f>AS78*$C$16+AS84*$C$16+AS90</f>
        <v/>
      </c>
      <c r="AT93" s="160">
        <f>AT78*$C$16+AT84*$C$16+AT90</f>
        <v/>
      </c>
      <c r="AU93" s="160">
        <f>AU78*$C$16+AU84*$C$16+AU90</f>
        <v/>
      </c>
      <c r="AV93" s="160">
        <f>AV78*$C$16+AV84*$C$16+AV90</f>
        <v/>
      </c>
      <c r="AW93" s="160">
        <f>AW78*$C$16+AW84*$C$16+AW90</f>
        <v/>
      </c>
      <c r="AX93" s="160">
        <f>AX78*$C$16+AX84*$C$16+AX90</f>
        <v/>
      </c>
      <c r="AY93" s="160">
        <f>AY78*$C$16+AY84*$C$16+AY90</f>
        <v/>
      </c>
      <c r="AZ93" s="160">
        <f>AZ78*$C$16+AZ84*$C$16+AZ90</f>
        <v/>
      </c>
      <c r="BA93" s="160">
        <f>BA78*$C$16+BA84*$C$16+BA90</f>
        <v/>
      </c>
      <c r="BB93" s="160">
        <f>BB78*$C$16+BB84*$C$16+BB90</f>
        <v/>
      </c>
    </row>
    <row r="94" ht="15" customHeight="1" s="91">
      <c r="B94" s="110" t="inlineStr">
        <is>
          <t>Total Distribution to GP  إجمالي توزيعات المطور</t>
        </is>
      </c>
      <c r="C94" s="153" t="inlineStr">
        <is>
          <t>SAR</t>
        </is>
      </c>
      <c r="D94" s="157">
        <f>SUM(E94:BB94)</f>
        <v/>
      </c>
      <c r="E94" s="160">
        <f>E78*$C$15+E84*$C$15+E88+E91</f>
        <v/>
      </c>
      <c r="F94" s="160">
        <f>F78*$C$15+F84*$C$15+F88+F91</f>
        <v/>
      </c>
      <c r="G94" s="160">
        <f>G78*$C$15+G84*$C$15+G88+G91</f>
        <v/>
      </c>
      <c r="H94" s="160">
        <f>H78*$C$15+H84*$C$15+H88+H91</f>
        <v/>
      </c>
      <c r="I94" s="160">
        <f>I78*$C$15+I84*$C$15+I88+I91</f>
        <v/>
      </c>
      <c r="J94" s="160">
        <f>J78*$C$15+J84*$C$15+J88+J91</f>
        <v/>
      </c>
      <c r="K94" s="160">
        <f>K78*$C$15+K84*$C$15+K88+K91</f>
        <v/>
      </c>
      <c r="L94" s="160">
        <f>L78*$C$15+L84*$C$15+L88+L91</f>
        <v/>
      </c>
      <c r="M94" s="160">
        <f>M78*$C$15+M84*$C$15+M88+M91</f>
        <v/>
      </c>
      <c r="N94" s="160">
        <f>N78*$C$15+N84*$C$15+N88+N91</f>
        <v/>
      </c>
      <c r="O94" s="160">
        <f>O78*$C$15+O84*$C$15+O88+O91</f>
        <v/>
      </c>
      <c r="P94" s="160">
        <f>P78*$C$15+P84*$C$15+P88+P91</f>
        <v/>
      </c>
      <c r="Q94" s="160">
        <f>Q78*$C$15+Q84*$C$15+Q88+Q91</f>
        <v/>
      </c>
      <c r="R94" s="160">
        <f>R78*$C$15+R84*$C$15+R88+R91</f>
        <v/>
      </c>
      <c r="S94" s="160">
        <f>S78*$C$15+S84*$C$15+S88+S91</f>
        <v/>
      </c>
      <c r="T94" s="160">
        <f>T78*$C$15+T84*$C$15+T88+T91</f>
        <v/>
      </c>
      <c r="U94" s="160">
        <f>U78*$C$15+U84*$C$15+U88+U91</f>
        <v/>
      </c>
      <c r="V94" s="160">
        <f>V78*$C$15+V84*$C$15+V88+V91</f>
        <v/>
      </c>
      <c r="W94" s="160">
        <f>W78*$C$15+W84*$C$15+W88+W91</f>
        <v/>
      </c>
      <c r="X94" s="160">
        <f>X78*$C$15+X84*$C$15+X88+X91</f>
        <v/>
      </c>
      <c r="Y94" s="160">
        <f>Y78*$C$15+Y84*$C$15+Y88+Y91</f>
        <v/>
      </c>
      <c r="Z94" s="160">
        <f>Z78*$C$15+Z84*$C$15+Z88+Z91</f>
        <v/>
      </c>
      <c r="AA94" s="160">
        <f>AA78*$C$15+AA84*$C$15+AA88+AA91</f>
        <v/>
      </c>
      <c r="AB94" s="160">
        <f>AB78*$C$15+AB84*$C$15+AB88+AB91</f>
        <v/>
      </c>
      <c r="AC94" s="160">
        <f>AC78*$C$15+AC84*$C$15+AC88+AC91</f>
        <v/>
      </c>
      <c r="AD94" s="160">
        <f>AD78*$C$15+AD84*$C$15+AD88+AD91</f>
        <v/>
      </c>
      <c r="AE94" s="160">
        <f>AE78*$C$15+AE84*$C$15+AE88+AE91</f>
        <v/>
      </c>
      <c r="AF94" s="160">
        <f>AF78*$C$15+AF84*$C$15+AF88+AF91</f>
        <v/>
      </c>
      <c r="AG94" s="160">
        <f>AG78*$C$15+AG84*$C$15+AG88+AG91</f>
        <v/>
      </c>
      <c r="AH94" s="160">
        <f>AH78*$C$15+AH84*$C$15+AH88+AH91</f>
        <v/>
      </c>
      <c r="AI94" s="160">
        <f>AI78*$C$15+AI84*$C$15+AI88+AI91</f>
        <v/>
      </c>
      <c r="AJ94" s="160">
        <f>AJ78*$C$15+AJ84*$C$15+AJ88+AJ91</f>
        <v/>
      </c>
      <c r="AK94" s="160">
        <f>AK78*$C$15+AK84*$C$15+AK88+AK91</f>
        <v/>
      </c>
      <c r="AL94" s="160">
        <f>AL78*$C$15+AL84*$C$15+AL88+AL91</f>
        <v/>
      </c>
      <c r="AM94" s="160">
        <f>AM78*$C$15+AM84*$C$15+AM88+AM91</f>
        <v/>
      </c>
      <c r="AN94" s="160">
        <f>AN78*$C$15+AN84*$C$15+AN88+AN91</f>
        <v/>
      </c>
      <c r="AO94" s="160">
        <f>AO78*$C$15+AO84*$C$15+AO88+AO91</f>
        <v/>
      </c>
      <c r="AP94" s="160">
        <f>AP78*$C$15+AP84*$C$15+AP88+AP91</f>
        <v/>
      </c>
      <c r="AQ94" s="160">
        <f>AQ78*$C$15+AQ84*$C$15+AQ88+AQ91</f>
        <v/>
      </c>
      <c r="AR94" s="160">
        <f>AR78*$C$15+AR84*$C$15+AR88+AR91</f>
        <v/>
      </c>
      <c r="AS94" s="160">
        <f>AS78*$C$15+AS84*$C$15+AS88+AS91</f>
        <v/>
      </c>
      <c r="AT94" s="160">
        <f>AT78*$C$15+AT84*$C$15+AT88+AT91</f>
        <v/>
      </c>
      <c r="AU94" s="160">
        <f>AU78*$C$15+AU84*$C$15+AU88+AU91</f>
        <v/>
      </c>
      <c r="AV94" s="160">
        <f>AV78*$C$15+AV84*$C$15+AV88+AV91</f>
        <v/>
      </c>
      <c r="AW94" s="160">
        <f>AW78*$C$15+AW84*$C$15+AW88+AW91</f>
        <v/>
      </c>
      <c r="AX94" s="160">
        <f>AX78*$C$15+AX84*$C$15+AX88+AX91</f>
        <v/>
      </c>
      <c r="AY94" s="160">
        <f>AY78*$C$15+AY84*$C$15+AY88+AY91</f>
        <v/>
      </c>
      <c r="AZ94" s="160">
        <f>AZ78*$C$15+AZ84*$C$15+AZ88+AZ91</f>
        <v/>
      </c>
      <c r="BA94" s="160">
        <f>BA78*$C$15+BA84*$C$15+BA88+BA91</f>
        <v/>
      </c>
      <c r="BB94" s="160">
        <f>BB78*$C$15+BB84*$C$15+BB88+BB91</f>
        <v/>
      </c>
    </row>
    <row r="95" ht="15" customHeight="1" s="91">
      <c r="B95" s="110" t="inlineStr">
        <is>
          <t>Total Distributions  إجمالي التوزيعات</t>
        </is>
      </c>
      <c r="C95" s="153" t="inlineStr">
        <is>
          <t>SAR</t>
        </is>
      </c>
      <c r="D95" s="157">
        <f>SUM(E95:BB95)</f>
        <v/>
      </c>
      <c r="E95" s="157">
        <f>E93+E94</f>
        <v/>
      </c>
      <c r="F95" s="157">
        <f>F93+F94</f>
        <v/>
      </c>
      <c r="G95" s="157">
        <f>G93+G94</f>
        <v/>
      </c>
      <c r="H95" s="157">
        <f>H93+H94</f>
        <v/>
      </c>
      <c r="I95" s="157">
        <f>I93+I94</f>
        <v/>
      </c>
      <c r="J95" s="157">
        <f>J93+J94</f>
        <v/>
      </c>
      <c r="K95" s="157">
        <f>K93+K94</f>
        <v/>
      </c>
      <c r="L95" s="157">
        <f>L93+L94</f>
        <v/>
      </c>
      <c r="M95" s="157">
        <f>M93+M94</f>
        <v/>
      </c>
      <c r="N95" s="157">
        <f>N93+N94</f>
        <v/>
      </c>
      <c r="O95" s="157">
        <f>O93+O94</f>
        <v/>
      </c>
      <c r="P95" s="157">
        <f>P93+P94</f>
        <v/>
      </c>
      <c r="Q95" s="157">
        <f>Q93+Q94</f>
        <v/>
      </c>
      <c r="R95" s="157">
        <f>R93+R94</f>
        <v/>
      </c>
      <c r="S95" s="157">
        <f>S93+S94</f>
        <v/>
      </c>
      <c r="T95" s="157">
        <f>T93+T94</f>
        <v/>
      </c>
      <c r="U95" s="157">
        <f>U93+U94</f>
        <v/>
      </c>
      <c r="V95" s="157">
        <f>V93+V94</f>
        <v/>
      </c>
      <c r="W95" s="157">
        <f>W93+W94</f>
        <v/>
      </c>
      <c r="X95" s="157">
        <f>X93+X94</f>
        <v/>
      </c>
      <c r="Y95" s="157">
        <f>Y93+Y94</f>
        <v/>
      </c>
      <c r="Z95" s="157">
        <f>Z93+Z94</f>
        <v/>
      </c>
      <c r="AA95" s="157">
        <f>AA93+AA94</f>
        <v/>
      </c>
      <c r="AB95" s="157">
        <f>AB93+AB94</f>
        <v/>
      </c>
      <c r="AC95" s="157">
        <f>AC93+AC94</f>
        <v/>
      </c>
      <c r="AD95" s="157">
        <f>AD93+AD94</f>
        <v/>
      </c>
      <c r="AE95" s="157">
        <f>AE93+AE94</f>
        <v/>
      </c>
      <c r="AF95" s="157">
        <f>AF93+AF94</f>
        <v/>
      </c>
      <c r="AG95" s="157">
        <f>AG93+AG94</f>
        <v/>
      </c>
      <c r="AH95" s="157">
        <f>AH93+AH94</f>
        <v/>
      </c>
      <c r="AI95" s="157">
        <f>AI93+AI94</f>
        <v/>
      </c>
      <c r="AJ95" s="157">
        <f>AJ93+AJ94</f>
        <v/>
      </c>
      <c r="AK95" s="157">
        <f>AK93+AK94</f>
        <v/>
      </c>
      <c r="AL95" s="157">
        <f>AL93+AL94</f>
        <v/>
      </c>
      <c r="AM95" s="157">
        <f>AM93+AM94</f>
        <v/>
      </c>
      <c r="AN95" s="157">
        <f>AN93+AN94</f>
        <v/>
      </c>
      <c r="AO95" s="157">
        <f>AO93+AO94</f>
        <v/>
      </c>
      <c r="AP95" s="157">
        <f>AP93+AP94</f>
        <v/>
      </c>
      <c r="AQ95" s="157">
        <f>AQ93+AQ94</f>
        <v/>
      </c>
      <c r="AR95" s="157">
        <f>AR93+AR94</f>
        <v/>
      </c>
      <c r="AS95" s="157">
        <f>AS93+AS94</f>
        <v/>
      </c>
      <c r="AT95" s="157">
        <f>AT93+AT94</f>
        <v/>
      </c>
      <c r="AU95" s="157">
        <f>AU93+AU94</f>
        <v/>
      </c>
      <c r="AV95" s="157">
        <f>AV93+AV94</f>
        <v/>
      </c>
      <c r="AW95" s="157">
        <f>AW93+AW94</f>
        <v/>
      </c>
      <c r="AX95" s="157">
        <f>AX93+AX94</f>
        <v/>
      </c>
      <c r="AY95" s="157">
        <f>AY93+AY94</f>
        <v/>
      </c>
      <c r="AZ95" s="157">
        <f>AZ93+AZ94</f>
        <v/>
      </c>
      <c r="BA95" s="157">
        <f>BA93+BA94</f>
        <v/>
      </c>
      <c r="BB95" s="157">
        <f>BB93+BB94</f>
        <v/>
      </c>
    </row>
    <row r="97" ht="15" customHeight="1" s="91">
      <c r="A97" s="152" t="inlineStr">
        <is>
          <t>10  INVESTOR RETURNS  عوائد المستثمرين</t>
        </is>
      </c>
      <c r="B97" s="152" t="n"/>
      <c r="C97" s="152" t="n"/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  <c r="S97" s="152" t="n"/>
      <c r="T97" s="152" t="n"/>
      <c r="U97" s="152" t="n"/>
      <c r="V97" s="152" t="n"/>
      <c r="W97" s="152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  <c r="AF97" s="152" t="n"/>
      <c r="AG97" s="152" t="n"/>
      <c r="AH97" s="152" t="n"/>
      <c r="AI97" s="152" t="n"/>
      <c r="AJ97" s="152" t="n"/>
      <c r="AK97" s="152" t="n"/>
      <c r="AL97" s="152" t="n"/>
      <c r="AM97" s="152" t="n"/>
      <c r="AN97" s="152" t="n"/>
      <c r="AO97" s="152" t="n"/>
      <c r="AP97" s="152" t="n"/>
      <c r="AQ97" s="152" t="n"/>
      <c r="AR97" s="152" t="n"/>
      <c r="AS97" s="152" t="n"/>
      <c r="AT97" s="152" t="n"/>
      <c r="AU97" s="152" t="n"/>
      <c r="AV97" s="152" t="n"/>
      <c r="AW97" s="152" t="n"/>
      <c r="AX97" s="152" t="n"/>
      <c r="AY97" s="152" t="n"/>
      <c r="AZ97" s="152" t="n"/>
      <c r="BA97" s="152" t="n"/>
      <c r="BB97" s="152" t="n"/>
    </row>
    <row r="98" ht="15" customHeight="1" s="91">
      <c r="C98" s="165" t="inlineStr">
        <is>
          <t>Unit</t>
        </is>
      </c>
      <c r="D98" s="165" t="inlineStr">
        <is>
          <t>Total</t>
        </is>
      </c>
      <c r="E98" s="166">
        <f>E$46</f>
        <v/>
      </c>
      <c r="F98" s="166">
        <f>F$46</f>
        <v/>
      </c>
      <c r="G98" s="166">
        <f>G$46</f>
        <v/>
      </c>
      <c r="H98" s="166">
        <f>H$46</f>
        <v/>
      </c>
      <c r="I98" s="166">
        <f>I$46</f>
        <v/>
      </c>
      <c r="J98" s="166">
        <f>J$46</f>
        <v/>
      </c>
      <c r="K98" s="166">
        <f>K$46</f>
        <v/>
      </c>
      <c r="L98" s="166">
        <f>L$46</f>
        <v/>
      </c>
      <c r="M98" s="166">
        <f>M$46</f>
        <v/>
      </c>
      <c r="N98" s="166">
        <f>N$46</f>
        <v/>
      </c>
      <c r="O98" s="166">
        <f>O$46</f>
        <v/>
      </c>
      <c r="P98" s="166">
        <f>P$46</f>
        <v/>
      </c>
      <c r="Q98" s="166">
        <f>Q$46</f>
        <v/>
      </c>
      <c r="R98" s="166">
        <f>R$46</f>
        <v/>
      </c>
      <c r="S98" s="166">
        <f>S$46</f>
        <v/>
      </c>
      <c r="T98" s="166">
        <f>T$46</f>
        <v/>
      </c>
      <c r="U98" s="166">
        <f>U$46</f>
        <v/>
      </c>
      <c r="V98" s="166">
        <f>V$46</f>
        <v/>
      </c>
      <c r="W98" s="166">
        <f>W$46</f>
        <v/>
      </c>
      <c r="X98" s="166">
        <f>X$46</f>
        <v/>
      </c>
      <c r="Y98" s="166">
        <f>Y$46</f>
        <v/>
      </c>
      <c r="Z98" s="166">
        <f>Z$46</f>
        <v/>
      </c>
      <c r="AA98" s="166">
        <f>AA$46</f>
        <v/>
      </c>
      <c r="AB98" s="166">
        <f>AB$46</f>
        <v/>
      </c>
      <c r="AC98" s="166">
        <f>AC$46</f>
        <v/>
      </c>
      <c r="AD98" s="166">
        <f>AD$46</f>
        <v/>
      </c>
      <c r="AE98" s="166">
        <f>AE$46</f>
        <v/>
      </c>
      <c r="AF98" s="166">
        <f>AF$46</f>
        <v/>
      </c>
      <c r="AG98" s="166">
        <f>AG$46</f>
        <v/>
      </c>
      <c r="AH98" s="166">
        <f>AH$46</f>
        <v/>
      </c>
      <c r="AI98" s="166">
        <f>AI$46</f>
        <v/>
      </c>
      <c r="AJ98" s="166">
        <f>AJ$46</f>
        <v/>
      </c>
      <c r="AK98" s="166">
        <f>AK$46</f>
        <v/>
      </c>
      <c r="AL98" s="166">
        <f>AL$46</f>
        <v/>
      </c>
      <c r="AM98" s="166">
        <f>AM$46</f>
        <v/>
      </c>
      <c r="AN98" s="166">
        <f>AN$46</f>
        <v/>
      </c>
      <c r="AO98" s="166">
        <f>AO$46</f>
        <v/>
      </c>
      <c r="AP98" s="166">
        <f>AP$46</f>
        <v/>
      </c>
      <c r="AQ98" s="166">
        <f>AQ$46</f>
        <v/>
      </c>
      <c r="AR98" s="166">
        <f>AR$46</f>
        <v/>
      </c>
      <c r="AS98" s="166">
        <f>AS$46</f>
        <v/>
      </c>
      <c r="AT98" s="166">
        <f>AT$46</f>
        <v/>
      </c>
      <c r="AU98" s="166">
        <f>AU$46</f>
        <v/>
      </c>
      <c r="AV98" s="166">
        <f>AV$46</f>
        <v/>
      </c>
      <c r="AW98" s="166">
        <f>AW$46</f>
        <v/>
      </c>
      <c r="AX98" s="166">
        <f>AX$46</f>
        <v/>
      </c>
      <c r="AY98" s="166">
        <f>AY$46</f>
        <v/>
      </c>
      <c r="AZ98" s="166">
        <f>AZ$46</f>
        <v/>
      </c>
      <c r="BA98" s="166">
        <f>BA$46</f>
        <v/>
      </c>
      <c r="BB98" s="166">
        <f>BB$46</f>
        <v/>
      </c>
    </row>
    <row r="99" ht="15" customHeight="1" s="91">
      <c r="B99" s="153" t="inlineStr">
        <is>
          <t>LP Net Cash Flow</t>
        </is>
      </c>
      <c r="C99" s="153" t="inlineStr">
        <is>
          <t>SAR</t>
        </is>
      </c>
      <c r="D99" s="157">
        <f>SUM(E99:BB99)</f>
        <v/>
      </c>
      <c r="E99" s="160">
        <f>-E56*$C$16+E93</f>
        <v/>
      </c>
      <c r="F99" s="160">
        <f>-F56*$C$16+F93</f>
        <v/>
      </c>
      <c r="G99" s="160">
        <f>-G56*$C$16+G93</f>
        <v/>
      </c>
      <c r="H99" s="160">
        <f>-H56*$C$16+H93</f>
        <v/>
      </c>
      <c r="I99" s="160">
        <f>-I56*$C$16+I93</f>
        <v/>
      </c>
      <c r="J99" s="160">
        <f>-J56*$C$16+J93</f>
        <v/>
      </c>
      <c r="K99" s="160">
        <f>-K56*$C$16+K93</f>
        <v/>
      </c>
      <c r="L99" s="160">
        <f>-L56*$C$16+L93</f>
        <v/>
      </c>
      <c r="M99" s="160">
        <f>-M56*$C$16+M93</f>
        <v/>
      </c>
      <c r="N99" s="160">
        <f>-N56*$C$16+N93</f>
        <v/>
      </c>
      <c r="O99" s="160">
        <f>-O56*$C$16+O93</f>
        <v/>
      </c>
      <c r="P99" s="160">
        <f>-P56*$C$16+P93</f>
        <v/>
      </c>
      <c r="Q99" s="160">
        <f>-Q56*$C$16+Q93</f>
        <v/>
      </c>
      <c r="R99" s="160">
        <f>-R56*$C$16+R93</f>
        <v/>
      </c>
      <c r="S99" s="160">
        <f>-S56*$C$16+S93</f>
        <v/>
      </c>
      <c r="T99" s="160">
        <f>-T56*$C$16+T93</f>
        <v/>
      </c>
      <c r="U99" s="160">
        <f>-U56*$C$16+U93</f>
        <v/>
      </c>
      <c r="V99" s="160">
        <f>-V56*$C$16+V93</f>
        <v/>
      </c>
      <c r="W99" s="160">
        <f>-W56*$C$16+W93</f>
        <v/>
      </c>
      <c r="X99" s="160">
        <f>-X56*$C$16+X93</f>
        <v/>
      </c>
      <c r="Y99" s="160">
        <f>-Y56*$C$16+Y93</f>
        <v/>
      </c>
      <c r="Z99" s="160">
        <f>-Z56*$C$16+Z93</f>
        <v/>
      </c>
      <c r="AA99" s="160">
        <f>-AA56*$C$16+AA93</f>
        <v/>
      </c>
      <c r="AB99" s="160">
        <f>-AB56*$C$16+AB93</f>
        <v/>
      </c>
      <c r="AC99" s="160">
        <f>-AC56*$C$16+AC93</f>
        <v/>
      </c>
      <c r="AD99" s="160">
        <f>-AD56*$C$16+AD93</f>
        <v/>
      </c>
      <c r="AE99" s="160">
        <f>-AE56*$C$16+AE93</f>
        <v/>
      </c>
      <c r="AF99" s="160">
        <f>-AF56*$C$16+AF93</f>
        <v/>
      </c>
      <c r="AG99" s="160">
        <f>-AG56*$C$16+AG93</f>
        <v/>
      </c>
      <c r="AH99" s="160">
        <f>-AH56*$C$16+AH93</f>
        <v/>
      </c>
      <c r="AI99" s="160">
        <f>-AI56*$C$16+AI93</f>
        <v/>
      </c>
      <c r="AJ99" s="160">
        <f>-AJ56*$C$16+AJ93</f>
        <v/>
      </c>
      <c r="AK99" s="160">
        <f>-AK56*$C$16+AK93</f>
        <v/>
      </c>
      <c r="AL99" s="160">
        <f>-AL56*$C$16+AL93</f>
        <v/>
      </c>
      <c r="AM99" s="160">
        <f>-AM56*$C$16+AM93</f>
        <v/>
      </c>
      <c r="AN99" s="160">
        <f>-AN56*$C$16+AN93</f>
        <v/>
      </c>
      <c r="AO99" s="160">
        <f>-AO56*$C$16+AO93</f>
        <v/>
      </c>
      <c r="AP99" s="160">
        <f>-AP56*$C$16+AP93</f>
        <v/>
      </c>
      <c r="AQ99" s="160">
        <f>-AQ56*$C$16+AQ93</f>
        <v/>
      </c>
      <c r="AR99" s="160">
        <f>-AR56*$C$16+AR93</f>
        <v/>
      </c>
      <c r="AS99" s="160">
        <f>-AS56*$C$16+AS93</f>
        <v/>
      </c>
      <c r="AT99" s="160">
        <f>-AT56*$C$16+AT93</f>
        <v/>
      </c>
      <c r="AU99" s="160">
        <f>-AU56*$C$16+AU93</f>
        <v/>
      </c>
      <c r="AV99" s="160">
        <f>-AV56*$C$16+AV93</f>
        <v/>
      </c>
      <c r="AW99" s="160">
        <f>-AW56*$C$16+AW93</f>
        <v/>
      </c>
      <c r="AX99" s="160">
        <f>-AX56*$C$16+AX93</f>
        <v/>
      </c>
      <c r="AY99" s="160">
        <f>-AY56*$C$16+AY93</f>
        <v/>
      </c>
      <c r="AZ99" s="160">
        <f>-AZ56*$C$16+AZ93</f>
        <v/>
      </c>
      <c r="BA99" s="160">
        <f>-BA56*$C$16+BA93</f>
        <v/>
      </c>
      <c r="BB99" s="160">
        <f>-BB56*$C$16+BB93</f>
        <v/>
      </c>
    </row>
    <row r="100" ht="15" customHeight="1" s="91">
      <c r="B100" s="153" t="inlineStr">
        <is>
          <t>LP Cumulative Cash Flow</t>
        </is>
      </c>
      <c r="C100" s="153" t="inlineStr">
        <is>
          <t>SAR</t>
        </is>
      </c>
      <c r="E100" s="160">
        <f>E99</f>
        <v/>
      </c>
      <c r="F100" s="160">
        <f>E100+F99</f>
        <v/>
      </c>
      <c r="G100" s="160">
        <f>F100+G99</f>
        <v/>
      </c>
      <c r="H100" s="160">
        <f>G100+H99</f>
        <v/>
      </c>
      <c r="I100" s="160">
        <f>H100+I99</f>
        <v/>
      </c>
      <c r="J100" s="160">
        <f>I100+J99</f>
        <v/>
      </c>
      <c r="K100" s="160">
        <f>J100+K99</f>
        <v/>
      </c>
      <c r="L100" s="160">
        <f>K100+L99</f>
        <v/>
      </c>
      <c r="M100" s="160">
        <f>L100+M99</f>
        <v/>
      </c>
      <c r="N100" s="160">
        <f>M100+N99</f>
        <v/>
      </c>
      <c r="O100" s="160">
        <f>N100+O99</f>
        <v/>
      </c>
      <c r="P100" s="160">
        <f>O100+P99</f>
        <v/>
      </c>
      <c r="Q100" s="160">
        <f>P100+Q99</f>
        <v/>
      </c>
      <c r="R100" s="160">
        <f>Q100+R99</f>
        <v/>
      </c>
      <c r="S100" s="160">
        <f>R100+S99</f>
        <v/>
      </c>
      <c r="T100" s="160">
        <f>S100+T99</f>
        <v/>
      </c>
      <c r="U100" s="160">
        <f>T100+U99</f>
        <v/>
      </c>
      <c r="V100" s="160">
        <f>U100+V99</f>
        <v/>
      </c>
      <c r="W100" s="160">
        <f>V100+W99</f>
        <v/>
      </c>
      <c r="X100" s="160">
        <f>W100+X99</f>
        <v/>
      </c>
      <c r="Y100" s="160">
        <f>X100+Y99</f>
        <v/>
      </c>
      <c r="Z100" s="160">
        <f>Y100+Z99</f>
        <v/>
      </c>
      <c r="AA100" s="160">
        <f>Z100+AA99</f>
        <v/>
      </c>
      <c r="AB100" s="160">
        <f>AA100+AB99</f>
        <v/>
      </c>
      <c r="AC100" s="160">
        <f>AB100+AC99</f>
        <v/>
      </c>
      <c r="AD100" s="160">
        <f>AC100+AD99</f>
        <v/>
      </c>
      <c r="AE100" s="160">
        <f>AD100+AE99</f>
        <v/>
      </c>
      <c r="AF100" s="160">
        <f>AE100+AF99</f>
        <v/>
      </c>
      <c r="AG100" s="160">
        <f>AF100+AG99</f>
        <v/>
      </c>
      <c r="AH100" s="160">
        <f>AG100+AH99</f>
        <v/>
      </c>
      <c r="AI100" s="160">
        <f>AH100+AI99</f>
        <v/>
      </c>
      <c r="AJ100" s="160">
        <f>AI100+AJ99</f>
        <v/>
      </c>
      <c r="AK100" s="160">
        <f>AJ100+AK99</f>
        <v/>
      </c>
      <c r="AL100" s="160">
        <f>AK100+AL99</f>
        <v/>
      </c>
      <c r="AM100" s="160">
        <f>AL100+AM99</f>
        <v/>
      </c>
      <c r="AN100" s="160">
        <f>AM100+AN99</f>
        <v/>
      </c>
      <c r="AO100" s="160">
        <f>AN100+AO99</f>
        <v/>
      </c>
      <c r="AP100" s="160">
        <f>AO100+AP99</f>
        <v/>
      </c>
      <c r="AQ100" s="160">
        <f>AP100+AQ99</f>
        <v/>
      </c>
      <c r="AR100" s="160">
        <f>AQ100+AR99</f>
        <v/>
      </c>
      <c r="AS100" s="160">
        <f>AR100+AS99</f>
        <v/>
      </c>
      <c r="AT100" s="160">
        <f>AS100+AT99</f>
        <v/>
      </c>
      <c r="AU100" s="160">
        <f>AT100+AU99</f>
        <v/>
      </c>
      <c r="AV100" s="160">
        <f>AU100+AV99</f>
        <v/>
      </c>
      <c r="AW100" s="160">
        <f>AV100+AW99</f>
        <v/>
      </c>
      <c r="AX100" s="160">
        <f>AW100+AX99</f>
        <v/>
      </c>
      <c r="AY100" s="160">
        <f>AX100+AY99</f>
        <v/>
      </c>
      <c r="AZ100" s="160">
        <f>AY100+AZ99</f>
        <v/>
      </c>
      <c r="BA100" s="160">
        <f>AZ100+BA99</f>
        <v/>
      </c>
      <c r="BB100" s="160">
        <f>BA100+BB99</f>
        <v/>
      </c>
    </row>
    <row r="101" ht="15" customHeight="1" s="91">
      <c r="B101" s="110" t="inlineStr">
        <is>
          <t>LP Net IRR</t>
        </is>
      </c>
      <c r="C101" s="153" t="inlineStr">
        <is>
          <t>%</t>
        </is>
      </c>
      <c r="E101" s="161">
        <f>IFERROR(IRR(E99:BB99),"-")</f>
        <v/>
      </c>
    </row>
    <row r="103" ht="15" customHeight="1" s="91">
      <c r="B103" s="153" t="inlineStr">
        <is>
          <t>GP Net Cash Flow</t>
        </is>
      </c>
      <c r="C103" s="153" t="inlineStr">
        <is>
          <t>SAR</t>
        </is>
      </c>
      <c r="D103" s="157">
        <f>SUM(E103:BB103)</f>
        <v/>
      </c>
      <c r="E103" s="160">
        <f>-E56*$C$15+E94</f>
        <v/>
      </c>
      <c r="F103" s="160">
        <f>-F56*$C$15+F94</f>
        <v/>
      </c>
      <c r="G103" s="160">
        <f>-G56*$C$15+G94</f>
        <v/>
      </c>
      <c r="H103" s="160">
        <f>-H56*$C$15+H94</f>
        <v/>
      </c>
      <c r="I103" s="160">
        <f>-I56*$C$15+I94</f>
        <v/>
      </c>
      <c r="J103" s="160">
        <f>-J56*$C$15+J94</f>
        <v/>
      </c>
      <c r="K103" s="160">
        <f>-K56*$C$15+K94</f>
        <v/>
      </c>
      <c r="L103" s="160">
        <f>-L56*$C$15+L94</f>
        <v/>
      </c>
      <c r="M103" s="160">
        <f>-M56*$C$15+M94</f>
        <v/>
      </c>
      <c r="N103" s="160">
        <f>-N56*$C$15+N94</f>
        <v/>
      </c>
      <c r="O103" s="160">
        <f>-O56*$C$15+O94</f>
        <v/>
      </c>
      <c r="P103" s="160">
        <f>-P56*$C$15+P94</f>
        <v/>
      </c>
      <c r="Q103" s="160">
        <f>-Q56*$C$15+Q94</f>
        <v/>
      </c>
      <c r="R103" s="160">
        <f>-R56*$C$15+R94</f>
        <v/>
      </c>
      <c r="S103" s="160">
        <f>-S56*$C$15+S94</f>
        <v/>
      </c>
      <c r="T103" s="160">
        <f>-T56*$C$15+T94</f>
        <v/>
      </c>
      <c r="U103" s="160">
        <f>-U56*$C$15+U94</f>
        <v/>
      </c>
      <c r="V103" s="160">
        <f>-V56*$C$15+V94</f>
        <v/>
      </c>
      <c r="W103" s="160">
        <f>-W56*$C$15+W94</f>
        <v/>
      </c>
      <c r="X103" s="160">
        <f>-X56*$C$15+X94</f>
        <v/>
      </c>
      <c r="Y103" s="160">
        <f>-Y56*$C$15+Y94</f>
        <v/>
      </c>
      <c r="Z103" s="160">
        <f>-Z56*$C$15+Z94</f>
        <v/>
      </c>
      <c r="AA103" s="160">
        <f>-AA56*$C$15+AA94</f>
        <v/>
      </c>
      <c r="AB103" s="160">
        <f>-AB56*$C$15+AB94</f>
        <v/>
      </c>
      <c r="AC103" s="160">
        <f>-AC56*$C$15+AC94</f>
        <v/>
      </c>
      <c r="AD103" s="160">
        <f>-AD56*$C$15+AD94</f>
        <v/>
      </c>
      <c r="AE103" s="160">
        <f>-AE56*$C$15+AE94</f>
        <v/>
      </c>
      <c r="AF103" s="160">
        <f>-AF56*$C$15+AF94</f>
        <v/>
      </c>
      <c r="AG103" s="160">
        <f>-AG56*$C$15+AG94</f>
        <v/>
      </c>
      <c r="AH103" s="160">
        <f>-AH56*$C$15+AH94</f>
        <v/>
      </c>
      <c r="AI103" s="160">
        <f>-AI56*$C$15+AI94</f>
        <v/>
      </c>
      <c r="AJ103" s="160">
        <f>-AJ56*$C$15+AJ94</f>
        <v/>
      </c>
      <c r="AK103" s="160">
        <f>-AK56*$C$15+AK94</f>
        <v/>
      </c>
      <c r="AL103" s="160">
        <f>-AL56*$C$15+AL94</f>
        <v/>
      </c>
      <c r="AM103" s="160">
        <f>-AM56*$C$15+AM94</f>
        <v/>
      </c>
      <c r="AN103" s="160">
        <f>-AN56*$C$15+AN94</f>
        <v/>
      </c>
      <c r="AO103" s="160">
        <f>-AO56*$C$15+AO94</f>
        <v/>
      </c>
      <c r="AP103" s="160">
        <f>-AP56*$C$15+AP94</f>
        <v/>
      </c>
      <c r="AQ103" s="160">
        <f>-AQ56*$C$15+AQ94</f>
        <v/>
      </c>
      <c r="AR103" s="160">
        <f>-AR56*$C$15+AR94</f>
        <v/>
      </c>
      <c r="AS103" s="160">
        <f>-AS56*$C$15+AS94</f>
        <v/>
      </c>
      <c r="AT103" s="160">
        <f>-AT56*$C$15+AT94</f>
        <v/>
      </c>
      <c r="AU103" s="160">
        <f>-AU56*$C$15+AU94</f>
        <v/>
      </c>
      <c r="AV103" s="160">
        <f>-AV56*$C$15+AV94</f>
        <v/>
      </c>
      <c r="AW103" s="160">
        <f>-AW56*$C$15+AW94</f>
        <v/>
      </c>
      <c r="AX103" s="160">
        <f>-AX56*$C$15+AX94</f>
        <v/>
      </c>
      <c r="AY103" s="160">
        <f>-AY56*$C$15+AY94</f>
        <v/>
      </c>
      <c r="AZ103" s="160">
        <f>-AZ56*$C$15+AZ94</f>
        <v/>
      </c>
      <c r="BA103" s="160">
        <f>-BA56*$C$15+BA94</f>
        <v/>
      </c>
      <c r="BB103" s="160">
        <f>-BB56*$C$15+BB94</f>
        <v/>
      </c>
    </row>
    <row r="104" ht="15" customHeight="1" s="91">
      <c r="B104" s="110" t="inlineStr">
        <is>
          <t>GP Net IRR</t>
        </is>
      </c>
      <c r="C104" s="153" t="inlineStr">
        <is>
          <t>%</t>
        </is>
      </c>
      <c r="E104" s="161">
        <f>IFERROR(IRR(E103:BB103),"-")</f>
        <v/>
      </c>
    </row>
    <row r="106" ht="15" customHeight="1" s="91">
      <c r="A106" s="152" t="inlineStr">
        <is>
          <t>KPI SUMMARY  ملخص الأداء</t>
        </is>
      </c>
      <c r="B106" s="152" t="n"/>
      <c r="C106" s="152" t="n"/>
      <c r="D106" s="152" t="n"/>
      <c r="E106" s="152" t="n"/>
      <c r="F106" s="152" t="n"/>
      <c r="G106" s="152" t="n"/>
      <c r="H106" s="152" t="n"/>
      <c r="I106" s="152" t="n"/>
      <c r="J106" s="152" t="n"/>
      <c r="K106" s="152" t="n"/>
      <c r="L106" s="152" t="n"/>
      <c r="M106" s="152" t="n"/>
      <c r="N106" s="152" t="n"/>
      <c r="O106" s="152" t="n"/>
      <c r="P106" s="152" t="n"/>
      <c r="Q106" s="152" t="n"/>
      <c r="R106" s="152" t="n"/>
      <c r="S106" s="152" t="n"/>
      <c r="T106" s="152" t="n"/>
      <c r="U106" s="152" t="n"/>
      <c r="V106" s="152" t="n"/>
      <c r="W106" s="152" t="n"/>
      <c r="X106" s="152" t="n"/>
      <c r="Y106" s="152" t="n"/>
      <c r="Z106" s="152" t="n"/>
      <c r="AA106" s="152" t="n"/>
      <c r="AB106" s="152" t="n"/>
      <c r="AC106" s="152" t="n"/>
      <c r="AD106" s="152" t="n"/>
      <c r="AE106" s="152" t="n"/>
      <c r="AF106" s="152" t="n"/>
      <c r="AG106" s="152" t="n"/>
      <c r="AH106" s="152" t="n"/>
      <c r="AI106" s="152" t="n"/>
      <c r="AJ106" s="152" t="n"/>
      <c r="AK106" s="152" t="n"/>
      <c r="AL106" s="152" t="n"/>
      <c r="AM106" s="152" t="n"/>
      <c r="AN106" s="152" t="n"/>
      <c r="AO106" s="152" t="n"/>
      <c r="AP106" s="152" t="n"/>
      <c r="AQ106" s="152" t="n"/>
      <c r="AR106" s="152" t="n"/>
      <c r="AS106" s="152" t="n"/>
      <c r="AT106" s="152" t="n"/>
      <c r="AU106" s="152" t="n"/>
      <c r="AV106" s="152" t="n"/>
      <c r="AW106" s="152" t="n"/>
      <c r="AX106" s="152" t="n"/>
      <c r="AY106" s="152" t="n"/>
      <c r="AZ106" s="152" t="n"/>
      <c r="BA106" s="152" t="n"/>
      <c r="BB106" s="152" t="n"/>
    </row>
    <row r="107" ht="15" customHeight="1" s="91">
      <c r="B107" s="153" t="inlineStr">
        <is>
          <t>Project IRR (Unlevered)</t>
        </is>
      </c>
      <c r="C107" s="167">
        <f>IFERROR(IRR(E52:BB52),"-")</f>
        <v/>
      </c>
    </row>
    <row r="108" ht="15" customHeight="1" s="91">
      <c r="B108" s="153" t="inlineStr">
        <is>
          <t>LP Net IRR</t>
        </is>
      </c>
      <c r="C108" s="167">
        <f>E101</f>
        <v/>
      </c>
    </row>
    <row r="109" ht="15" customHeight="1" s="91">
      <c r="B109" s="153" t="inlineStr">
        <is>
          <t>GP Net IRR</t>
        </is>
      </c>
      <c r="C109" s="167">
        <f>E104</f>
        <v/>
      </c>
    </row>
    <row r="110" ht="15" customHeight="1" s="91">
      <c r="B110" s="153" t="inlineStr">
        <is>
          <t>LP MOIC</t>
        </is>
      </c>
      <c r="C110" s="168">
        <f>IFERROR(D93/(D56*$C$16),"-")</f>
        <v/>
      </c>
    </row>
    <row r="111" ht="15" customHeight="1" s="91">
      <c r="B111" s="153" t="inlineStr">
        <is>
          <t>GP MOIC</t>
        </is>
      </c>
      <c r="C111" s="168">
        <f>IFERROR(D94/(D56*$C$15),"-")</f>
        <v/>
      </c>
    </row>
    <row r="113" ht="15" customHeight="1" s="91">
      <c r="B113" s="153" t="inlineStr">
        <is>
          <t>Total Equity</t>
        </is>
      </c>
      <c r="C113" s="157">
        <f>$C$14</f>
        <v/>
      </c>
    </row>
    <row r="114" ht="15" customHeight="1" s="91">
      <c r="B114" s="153" t="inlineStr">
        <is>
          <t>Total Debt Drawn</t>
        </is>
      </c>
      <c r="C114" s="157">
        <f>D57</f>
        <v/>
      </c>
    </row>
    <row r="115" ht="15" customHeight="1" s="91">
      <c r="B115" s="153" t="inlineStr">
        <is>
          <t>Total Fees</t>
        </is>
      </c>
      <c r="C115" s="157">
        <f>D69</f>
        <v/>
      </c>
    </row>
    <row r="116" ht="15" customHeight="1" s="91">
      <c r="B116" s="153" t="inlineStr">
        <is>
          <t>Exit Proceeds</t>
        </is>
      </c>
      <c r="C116" s="157">
        <f>D51</f>
        <v/>
      </c>
    </row>
    <row r="118" ht="15" customHeight="1" s="91">
      <c r="A118" s="152" t="inlineStr">
        <is>
          <t>MODEL CHECKS  فحوصات النموذج</t>
        </is>
      </c>
      <c r="B118" s="152" t="n"/>
      <c r="C118" s="152" t="n"/>
      <c r="D118" s="152" t="n"/>
      <c r="E118" s="152" t="n"/>
      <c r="F118" s="152" t="n"/>
      <c r="G118" s="152" t="n"/>
      <c r="H118" s="152" t="n"/>
      <c r="I118" s="152" t="n"/>
      <c r="J118" s="152" t="n"/>
      <c r="K118" s="152" t="n"/>
      <c r="L118" s="152" t="n"/>
      <c r="M118" s="152" t="n"/>
      <c r="N118" s="152" t="n"/>
      <c r="O118" s="152" t="n"/>
      <c r="P118" s="152" t="n"/>
      <c r="Q118" s="152" t="n"/>
      <c r="R118" s="152" t="n"/>
      <c r="S118" s="152" t="n"/>
      <c r="T118" s="152" t="n"/>
      <c r="U118" s="152" t="n"/>
      <c r="V118" s="152" t="n"/>
      <c r="W118" s="152" t="n"/>
      <c r="X118" s="152" t="n"/>
      <c r="Y118" s="152" t="n"/>
      <c r="Z118" s="152" t="n"/>
      <c r="AA118" s="152" t="n"/>
      <c r="AB118" s="152" t="n"/>
      <c r="AC118" s="152" t="n"/>
      <c r="AD118" s="152" t="n"/>
      <c r="AE118" s="152" t="n"/>
      <c r="AF118" s="152" t="n"/>
      <c r="AG118" s="152" t="n"/>
      <c r="AH118" s="152" t="n"/>
      <c r="AI118" s="152" t="n"/>
      <c r="AJ118" s="152" t="n"/>
      <c r="AK118" s="152" t="n"/>
      <c r="AL118" s="152" t="n"/>
      <c r="AM118" s="152" t="n"/>
      <c r="AN118" s="152" t="n"/>
      <c r="AO118" s="152" t="n"/>
      <c r="AP118" s="152" t="n"/>
      <c r="AQ118" s="152" t="n"/>
      <c r="AR118" s="152" t="n"/>
      <c r="AS118" s="152" t="n"/>
      <c r="AT118" s="152" t="n"/>
      <c r="AU118" s="152" t="n"/>
      <c r="AV118" s="152" t="n"/>
      <c r="AW118" s="152" t="n"/>
      <c r="AX118" s="152" t="n"/>
      <c r="AY118" s="152" t="n"/>
      <c r="AZ118" s="152" t="n"/>
      <c r="BA118" s="152" t="n"/>
      <c r="BB118" s="152" t="n"/>
    </row>
    <row r="119" ht="15" customHeight="1" s="91">
      <c r="B119" s="153" t="inlineStr">
        <is>
          <t>Net CF = Inc+Land+CAPEX</t>
        </is>
      </c>
      <c r="C119" s="153">
        <f>IF(ABS(D50-(D47+D48+D49))&lt;1,"✓","✗")</f>
        <v/>
      </c>
    </row>
    <row r="120" ht="15" customHeight="1" s="91">
      <c r="B120" s="153" t="inlineStr">
        <is>
          <t>Equity Calls = Equity + Unfunded Fees</t>
        </is>
      </c>
      <c r="C120" s="153">
        <f>IF(ABS(D56-($C$14+D70))&lt;MAX(1,$C$14*0.05),"✓","✗")</f>
        <v/>
      </c>
    </row>
    <row r="121" ht="15" customHeight="1" s="91">
      <c r="B121" s="153" t="inlineStr">
        <is>
          <t>Distributions ≤ Cash Available</t>
        </is>
      </c>
      <c r="C121" s="153">
        <f>IF(D95&lt;=D75+1,"✓","✗")</f>
        <v/>
      </c>
    </row>
    <row r="122" ht="15" customHeight="1" s="91">
      <c r="B122" s="153" t="inlineStr">
        <is>
          <t>Debt Balance ≥ 0</t>
        </is>
      </c>
      <c r="C122" s="153">
        <f>IF(MIN(E60:BB60)&gt;=0,"✓","✗")</f>
        <v/>
      </c>
    </row>
    <row r="123" ht="15" customHeight="1" s="91">
      <c r="B123" s="153" t="inlineStr">
        <is>
          <t>LP+GP = Total Dist</t>
        </is>
      </c>
      <c r="C123" s="153">
        <f>IF(ABS(D95-(D93+D94))&lt;1,"✓","✗")</f>
        <v/>
      </c>
    </row>
    <row r="124" ht="15" customHeight="1" s="91">
      <c r="B124" s="153" t="inlineStr">
        <is>
          <t>Debt fully repaid by tenor end</t>
        </is>
      </c>
      <c r="C124" s="153">
        <f>IF(IFERROR(VLOOKUP($C$9+$C$24,E46:BB60,MATCH($C$9+$C$24,E46:BB46,0),FALSE()),0)&lt;=1,"✓","✗")</f>
        <v/>
      </c>
    </row>
    <row r="125" ht="15" customHeight="1" s="91">
      <c r="A125" s="152" t="inlineStr">
        <is>
          <t>NPV ANALYSIS  تحليل صافي القيمة الحالية</t>
        </is>
      </c>
      <c r="B125" s="152" t="n"/>
      <c r="C125" s="152" t="n"/>
      <c r="D125" s="152" t="n"/>
      <c r="E125" s="152" t="n"/>
      <c r="F125" s="152" t="n"/>
      <c r="G125" s="152" t="n"/>
      <c r="H125" s="152" t="n"/>
      <c r="I125" s="152" t="n"/>
      <c r="J125" s="152" t="n"/>
      <c r="K125" s="152" t="n"/>
      <c r="L125" s="152" t="n"/>
      <c r="M125" s="152" t="n"/>
      <c r="N125" s="152" t="n"/>
      <c r="O125" s="152" t="n"/>
      <c r="P125" s="152" t="n"/>
      <c r="Q125" s="152" t="n"/>
      <c r="R125" s="152" t="n"/>
      <c r="S125" s="152" t="n"/>
      <c r="T125" s="152" t="n"/>
      <c r="U125" s="152" t="n"/>
      <c r="V125" s="152" t="n"/>
      <c r="W125" s="152" t="n"/>
      <c r="X125" s="152" t="n"/>
      <c r="Y125" s="152" t="n"/>
      <c r="Z125" s="152" t="n"/>
      <c r="AA125" s="152" t="n"/>
      <c r="AB125" s="152" t="n"/>
      <c r="AC125" s="152" t="n"/>
      <c r="AD125" s="152" t="n"/>
      <c r="AE125" s="152" t="n"/>
      <c r="AF125" s="152" t="n"/>
      <c r="AG125" s="152" t="n"/>
      <c r="AH125" s="152" t="n"/>
      <c r="AI125" s="152" t="n"/>
      <c r="AJ125" s="152" t="n"/>
      <c r="AK125" s="152" t="n"/>
      <c r="AL125" s="152" t="n"/>
      <c r="AM125" s="152" t="n"/>
      <c r="AN125" s="152" t="n"/>
      <c r="AO125" s="152" t="n"/>
      <c r="AP125" s="152" t="n"/>
      <c r="AQ125" s="152" t="n"/>
      <c r="AR125" s="152" t="n"/>
      <c r="AS125" s="152" t="n"/>
      <c r="AT125" s="152" t="n"/>
      <c r="AU125" s="152" t="n"/>
      <c r="AV125" s="152" t="n"/>
      <c r="AW125" s="152" t="n"/>
      <c r="AX125" s="152" t="n"/>
      <c r="AY125" s="152" t="n"/>
      <c r="AZ125" s="152" t="n"/>
      <c r="BA125" s="152" t="n"/>
      <c r="BB125" s="152" t="n"/>
    </row>
    <row r="127" ht="15" customHeight="1" s="91">
      <c r="B127" s="153" t="inlineStr">
        <is>
          <t>Project (Unlevered)</t>
        </is>
      </c>
      <c r="C127" s="153" t="inlineStr">
        <is>
          <t>@ 10%</t>
        </is>
      </c>
      <c r="D127" s="160">
        <f>IFERROR(E52+NPV(0.1,F52:BB52),"-")</f>
        <v/>
      </c>
    </row>
    <row r="128" ht="15" customHeight="1" s="91">
      <c r="B128" s="169" t="inlineStr">
        <is>
          <t>═══ Debt Tranche Detail (perDraw mode) ═══</t>
        </is>
      </c>
      <c r="C128" s="153" t="inlineStr">
        <is>
          <t>@ 10%</t>
        </is>
      </c>
      <c r="D128" s="160">
        <f>IFERROR(E99+NPV(0.1,F99:BB99),"-")</f>
        <v/>
      </c>
    </row>
    <row r="129" ht="15" customHeight="1" s="91">
      <c r="B129" s="153" t="inlineStr">
        <is>
          <t>Tranche #</t>
        </is>
      </c>
      <c r="C129" s="153" t="inlineStr">
        <is>
          <t>Draw Amount</t>
        </is>
      </c>
      <c r="D129" s="160" t="inlineStr">
        <is>
          <t>Total Repaid</t>
        </is>
      </c>
      <c r="E129" s="90">
        <f>Inputs!$C$7+0</f>
        <v/>
      </c>
      <c r="F129" s="90">
        <f>Inputs!$C$7+1</f>
        <v/>
      </c>
      <c r="G129" s="90">
        <f>Inputs!$C$7+2</f>
        <v/>
      </c>
      <c r="H129" s="90">
        <f>Inputs!$C$7+3</f>
        <v/>
      </c>
      <c r="I129" s="90">
        <f>Inputs!$C$7+4</f>
        <v/>
      </c>
      <c r="J129" s="90">
        <f>Inputs!$C$7+5</f>
        <v/>
      </c>
      <c r="K129" s="90">
        <f>Inputs!$C$7+6</f>
        <v/>
      </c>
      <c r="L129" s="90">
        <f>Inputs!$C$7+7</f>
        <v/>
      </c>
      <c r="M129" s="90">
        <f>Inputs!$C$7+8</f>
        <v/>
      </c>
      <c r="N129" s="90">
        <f>Inputs!$C$7+9</f>
        <v/>
      </c>
      <c r="O129" s="90">
        <f>Inputs!$C$7+10</f>
        <v/>
      </c>
      <c r="P129" s="90">
        <f>Inputs!$C$7+11</f>
        <v/>
      </c>
      <c r="Q129" s="90">
        <f>Inputs!$C$7+12</f>
        <v/>
      </c>
      <c r="R129" s="90">
        <f>Inputs!$C$7+13</f>
        <v/>
      </c>
      <c r="S129" s="90">
        <f>Inputs!$C$7+14</f>
        <v/>
      </c>
      <c r="T129" s="90">
        <f>Inputs!$C$7+15</f>
        <v/>
      </c>
      <c r="U129" s="90">
        <f>Inputs!$C$7+16</f>
        <v/>
      </c>
      <c r="V129" s="90">
        <f>Inputs!$C$7+17</f>
        <v/>
      </c>
      <c r="W129" s="90">
        <f>Inputs!$C$7+18</f>
        <v/>
      </c>
      <c r="X129" s="90">
        <f>Inputs!$C$7+19</f>
        <v/>
      </c>
      <c r="Y129" s="90">
        <f>Inputs!$C$7+20</f>
        <v/>
      </c>
      <c r="Z129" s="90">
        <f>Inputs!$C$7+21</f>
        <v/>
      </c>
      <c r="AA129" s="90">
        <f>Inputs!$C$7+22</f>
        <v/>
      </c>
      <c r="AB129" s="90">
        <f>Inputs!$C$7+23</f>
        <v/>
      </c>
      <c r="AC129" s="90">
        <f>Inputs!$C$7+24</f>
        <v/>
      </c>
      <c r="AD129" s="90">
        <f>Inputs!$C$7+25</f>
        <v/>
      </c>
      <c r="AE129" s="90">
        <f>Inputs!$C$7+26</f>
        <v/>
      </c>
      <c r="AF129" s="90">
        <f>Inputs!$C$7+27</f>
        <v/>
      </c>
      <c r="AG129" s="90">
        <f>Inputs!$C$7+28</f>
        <v/>
      </c>
      <c r="AH129" s="90">
        <f>Inputs!$C$7+29</f>
        <v/>
      </c>
      <c r="AI129" s="90">
        <f>Inputs!$C$7+30</f>
        <v/>
      </c>
      <c r="AJ129" s="90">
        <f>Inputs!$C$7+31</f>
        <v/>
      </c>
      <c r="AK129" s="90">
        <f>Inputs!$C$7+32</f>
        <v/>
      </c>
      <c r="AL129" s="90">
        <f>Inputs!$C$7+33</f>
        <v/>
      </c>
      <c r="AM129" s="90">
        <f>Inputs!$C$7+34</f>
        <v/>
      </c>
      <c r="AN129" s="90">
        <f>Inputs!$C$7+35</f>
        <v/>
      </c>
      <c r="AO129" s="90">
        <f>Inputs!$C$7+36</f>
        <v/>
      </c>
      <c r="AP129" s="90">
        <f>Inputs!$C$7+37</f>
        <v/>
      </c>
      <c r="AQ129" s="90">
        <f>Inputs!$C$7+38</f>
        <v/>
      </c>
      <c r="AR129" s="90">
        <f>Inputs!$C$7+39</f>
        <v/>
      </c>
      <c r="AS129" s="90">
        <f>Inputs!$C$7+40</f>
        <v/>
      </c>
      <c r="AT129" s="90">
        <f>Inputs!$C$7+41</f>
        <v/>
      </c>
      <c r="AU129" s="90">
        <f>Inputs!$C$7+42</f>
        <v/>
      </c>
      <c r="AV129" s="90">
        <f>Inputs!$C$7+43</f>
        <v/>
      </c>
      <c r="AW129" s="90">
        <f>Inputs!$C$7+44</f>
        <v/>
      </c>
      <c r="AX129" s="90">
        <f>Inputs!$C$7+45</f>
        <v/>
      </c>
      <c r="AY129" s="90">
        <f>Inputs!$C$7+46</f>
        <v/>
      </c>
      <c r="AZ129" s="90">
        <f>Inputs!$C$7+47</f>
        <v/>
      </c>
      <c r="BA129" s="90">
        <f>Inputs!$C$7+48</f>
        <v/>
      </c>
      <c r="BB129" s="90">
        <f>Inputs!$C$7+49</f>
        <v/>
      </c>
    </row>
    <row r="130" ht="15" customHeight="1" s="91">
      <c r="B130" s="90" t="inlineStr">
        <is>
          <t>Tranche 1</t>
        </is>
      </c>
      <c r="C130" s="170">
        <f>IF(ABS($D$49)&gt;0,SUMPRODUCT(($E$46:$BB$46=$C$9+0)*IF($E49:$BB49&lt;0,ABS($E49:$BB49),0))*$C$19/ABS($D$49),0)</f>
        <v/>
      </c>
      <c r="D130" s="90">
        <f>SUM(E130:BB130)</f>
        <v/>
      </c>
      <c r="E130" s="90">
        <f>IF(AND($C130&gt;0,E$46&gt;=$C$9+0+$C$26,0&lt;$C130),MIN($C130/$C$27,$C130-0),0)</f>
        <v/>
      </c>
      <c r="F130" s="90">
        <f>IF(AND($C130&gt;0,F$46&gt;=$C$9+0+$C$26,SUM($E130:E130)&lt;$C130),MIN($C130/$C$27,$C130-SUM($E130:E130)),0)</f>
        <v/>
      </c>
      <c r="G130" s="90">
        <f>IF(AND($C130&gt;0,G$46&gt;=$C$9+0+$C$26,SUM($E130:F130)&lt;$C130),MIN($C130/$C$27,$C130-SUM($E130:F130)),0)</f>
        <v/>
      </c>
      <c r="H130" s="90">
        <f>IF(AND($C130&gt;0,H$46&gt;=$C$9+0+$C$26,SUM($E130:G130)&lt;$C130),MIN($C130/$C$27,$C130-SUM($E130:G130)),0)</f>
        <v/>
      </c>
      <c r="I130" s="90">
        <f>IF(AND($C130&gt;0,I$46&gt;=$C$9+0+$C$26,SUM($E130:H130)&lt;$C130),MIN($C130/$C$27,$C130-SUM($E130:H130)),0)</f>
        <v/>
      </c>
      <c r="J130" s="90">
        <f>IF(AND($C130&gt;0,J$46&gt;=$C$9+0+$C$26,SUM($E130:I130)&lt;$C130),MIN($C130/$C$27,$C130-SUM($E130:I130)),0)</f>
        <v/>
      </c>
      <c r="K130" s="90">
        <f>IF(AND($C130&gt;0,K$46&gt;=$C$9+0+$C$26,SUM($E130:J130)&lt;$C130),MIN($C130/$C$27,$C130-SUM($E130:J130)),0)</f>
        <v/>
      </c>
      <c r="L130" s="90">
        <f>IF(AND($C130&gt;0,L$46&gt;=$C$9+0+$C$26,SUM($E130:K130)&lt;$C130),MIN($C130/$C$27,$C130-SUM($E130:K130)),0)</f>
        <v/>
      </c>
      <c r="M130" s="90">
        <f>IF(AND($C130&gt;0,M$46&gt;=$C$9+0+$C$26,SUM($E130:L130)&lt;$C130),MIN($C130/$C$27,$C130-SUM($E130:L130)),0)</f>
        <v/>
      </c>
      <c r="N130" s="90">
        <f>IF(AND($C130&gt;0,N$46&gt;=$C$9+0+$C$26,SUM($E130:M130)&lt;$C130),MIN($C130/$C$27,$C130-SUM($E130:M130)),0)</f>
        <v/>
      </c>
      <c r="O130" s="90">
        <f>IF(AND($C130&gt;0,O$46&gt;=$C$9+0+$C$26,SUM($E130:N130)&lt;$C130),MIN($C130/$C$27,$C130-SUM($E130:N130)),0)</f>
        <v/>
      </c>
      <c r="P130" s="90">
        <f>IF(AND($C130&gt;0,P$46&gt;=$C$9+0+$C$26,SUM($E130:O130)&lt;$C130),MIN($C130/$C$27,$C130-SUM($E130:O130)),0)</f>
        <v/>
      </c>
      <c r="Q130" s="90">
        <f>IF(AND($C130&gt;0,Q$46&gt;=$C$9+0+$C$26,SUM($E130:P130)&lt;$C130),MIN($C130/$C$27,$C130-SUM($E130:P130)),0)</f>
        <v/>
      </c>
      <c r="R130" s="90">
        <f>IF(AND($C130&gt;0,R$46&gt;=$C$9+0+$C$26,SUM($E130:Q130)&lt;$C130),MIN($C130/$C$27,$C130-SUM($E130:Q130)),0)</f>
        <v/>
      </c>
      <c r="S130" s="90">
        <f>IF(AND($C130&gt;0,S$46&gt;=$C$9+0+$C$26,SUM($E130:R130)&lt;$C130),MIN($C130/$C$27,$C130-SUM($E130:R130)),0)</f>
        <v/>
      </c>
      <c r="T130" s="90">
        <f>IF(AND($C130&gt;0,T$46&gt;=$C$9+0+$C$26,SUM($E130:S130)&lt;$C130),MIN($C130/$C$27,$C130-SUM($E130:S130)),0)</f>
        <v/>
      </c>
      <c r="U130" s="90">
        <f>IF(AND($C130&gt;0,U$46&gt;=$C$9+0+$C$26,SUM($E130:T130)&lt;$C130),MIN($C130/$C$27,$C130-SUM($E130:T130)),0)</f>
        <v/>
      </c>
      <c r="V130" s="90">
        <f>IF(AND($C130&gt;0,V$46&gt;=$C$9+0+$C$26,SUM($E130:U130)&lt;$C130),MIN($C130/$C$27,$C130-SUM($E130:U130)),0)</f>
        <v/>
      </c>
      <c r="W130" s="90">
        <f>IF(AND($C130&gt;0,W$46&gt;=$C$9+0+$C$26,SUM($E130:V130)&lt;$C130),MIN($C130/$C$27,$C130-SUM($E130:V130)),0)</f>
        <v/>
      </c>
      <c r="X130" s="90">
        <f>IF(AND($C130&gt;0,X$46&gt;=$C$9+0+$C$26,SUM($E130:W130)&lt;$C130),MIN($C130/$C$27,$C130-SUM($E130:W130)),0)</f>
        <v/>
      </c>
      <c r="Y130" s="90">
        <f>IF(AND($C130&gt;0,Y$46&gt;=$C$9+0+$C$26,SUM($E130:X130)&lt;$C130),MIN($C130/$C$27,$C130-SUM($E130:X130)),0)</f>
        <v/>
      </c>
      <c r="Z130" s="90">
        <f>IF(AND($C130&gt;0,Z$46&gt;=$C$9+0+$C$26,SUM($E130:Y130)&lt;$C130),MIN($C130/$C$27,$C130-SUM($E130:Y130)),0)</f>
        <v/>
      </c>
      <c r="AA130" s="90">
        <f>IF(AND($C130&gt;0,AA$46&gt;=$C$9+0+$C$26,SUM($E130:Z130)&lt;$C130),MIN($C130/$C$27,$C130-SUM($E130:Z130)),0)</f>
        <v/>
      </c>
      <c r="AB130" s="90">
        <f>IF(AND($C130&gt;0,AB$46&gt;=$C$9+0+$C$26,SUM($E130:AA130)&lt;$C130),MIN($C130/$C$27,$C130-SUM($E130:AA130)),0)</f>
        <v/>
      </c>
      <c r="AC130" s="90">
        <f>IF(AND($C130&gt;0,AC$46&gt;=$C$9+0+$C$26,SUM($E130:AB130)&lt;$C130),MIN($C130/$C$27,$C130-SUM($E130:AB130)),0)</f>
        <v/>
      </c>
      <c r="AD130" s="90">
        <f>IF(AND($C130&gt;0,AD$46&gt;=$C$9+0+$C$26,SUM($E130:AC130)&lt;$C130),MIN($C130/$C$27,$C130-SUM($E130:AC130)),0)</f>
        <v/>
      </c>
      <c r="AE130" s="90">
        <f>IF(AND($C130&gt;0,AE$46&gt;=$C$9+0+$C$26,SUM($E130:AD130)&lt;$C130),MIN($C130/$C$27,$C130-SUM($E130:AD130)),0)</f>
        <v/>
      </c>
      <c r="AF130" s="90">
        <f>IF(AND($C130&gt;0,AF$46&gt;=$C$9+0+$C$26,SUM($E130:AE130)&lt;$C130),MIN($C130/$C$27,$C130-SUM($E130:AE130)),0)</f>
        <v/>
      </c>
      <c r="AG130" s="90">
        <f>IF(AND($C130&gt;0,AG$46&gt;=$C$9+0+$C$26,SUM($E130:AF130)&lt;$C130),MIN($C130/$C$27,$C130-SUM($E130:AF130)),0)</f>
        <v/>
      </c>
      <c r="AH130" s="90">
        <f>IF(AND($C130&gt;0,AH$46&gt;=$C$9+0+$C$26,SUM($E130:AG130)&lt;$C130),MIN($C130/$C$27,$C130-SUM($E130:AG130)),0)</f>
        <v/>
      </c>
      <c r="AI130" s="90">
        <f>IF(AND($C130&gt;0,AI$46&gt;=$C$9+0+$C$26,SUM($E130:AH130)&lt;$C130),MIN($C130/$C$27,$C130-SUM($E130:AH130)),0)</f>
        <v/>
      </c>
      <c r="AJ130" s="90">
        <f>IF(AND($C130&gt;0,AJ$46&gt;=$C$9+0+$C$26,SUM($E130:AI130)&lt;$C130),MIN($C130/$C$27,$C130-SUM($E130:AI130)),0)</f>
        <v/>
      </c>
      <c r="AK130" s="90">
        <f>IF(AND($C130&gt;0,AK$46&gt;=$C$9+0+$C$26,SUM($E130:AJ130)&lt;$C130),MIN($C130/$C$27,$C130-SUM($E130:AJ130)),0)</f>
        <v/>
      </c>
      <c r="AL130" s="90">
        <f>IF(AND($C130&gt;0,AL$46&gt;=$C$9+0+$C$26,SUM($E130:AK130)&lt;$C130),MIN($C130/$C$27,$C130-SUM($E130:AK130)),0)</f>
        <v/>
      </c>
      <c r="AM130" s="90">
        <f>IF(AND($C130&gt;0,AM$46&gt;=$C$9+0+$C$26,SUM($E130:AL130)&lt;$C130),MIN($C130/$C$27,$C130-SUM($E130:AL130)),0)</f>
        <v/>
      </c>
      <c r="AN130" s="90">
        <f>IF(AND($C130&gt;0,AN$46&gt;=$C$9+0+$C$26,SUM($E130:AM130)&lt;$C130),MIN($C130/$C$27,$C130-SUM($E130:AM130)),0)</f>
        <v/>
      </c>
      <c r="AO130" s="90">
        <f>IF(AND($C130&gt;0,AO$46&gt;=$C$9+0+$C$26,SUM($E130:AN130)&lt;$C130),MIN($C130/$C$27,$C130-SUM($E130:AN130)),0)</f>
        <v/>
      </c>
      <c r="AP130" s="90">
        <f>IF(AND($C130&gt;0,AP$46&gt;=$C$9+0+$C$26,SUM($E130:AO130)&lt;$C130),MIN($C130/$C$27,$C130-SUM($E130:AO130)),0)</f>
        <v/>
      </c>
      <c r="AQ130" s="90">
        <f>IF(AND($C130&gt;0,AQ$46&gt;=$C$9+0+$C$26,SUM($E130:AP130)&lt;$C130),MIN($C130/$C$27,$C130-SUM($E130:AP130)),0)</f>
        <v/>
      </c>
      <c r="AR130" s="90">
        <f>IF(AND($C130&gt;0,AR$46&gt;=$C$9+0+$C$26,SUM($E130:AQ130)&lt;$C130),MIN($C130/$C$27,$C130-SUM($E130:AQ130)),0)</f>
        <v/>
      </c>
      <c r="AS130" s="90">
        <f>IF(AND($C130&gt;0,AS$46&gt;=$C$9+0+$C$26,SUM($E130:AR130)&lt;$C130),MIN($C130/$C$27,$C130-SUM($E130:AR130)),0)</f>
        <v/>
      </c>
      <c r="AT130" s="90">
        <f>IF(AND($C130&gt;0,AT$46&gt;=$C$9+0+$C$26,SUM($E130:AS130)&lt;$C130),MIN($C130/$C$27,$C130-SUM($E130:AS130)),0)</f>
        <v/>
      </c>
      <c r="AU130" s="90">
        <f>IF(AND($C130&gt;0,AU$46&gt;=$C$9+0+$C$26,SUM($E130:AT130)&lt;$C130),MIN($C130/$C$27,$C130-SUM($E130:AT130)),0)</f>
        <v/>
      </c>
      <c r="AV130" s="90">
        <f>IF(AND($C130&gt;0,AV$46&gt;=$C$9+0+$C$26,SUM($E130:AU130)&lt;$C130),MIN($C130/$C$27,$C130-SUM($E130:AU130)),0)</f>
        <v/>
      </c>
      <c r="AW130" s="90">
        <f>IF(AND($C130&gt;0,AW$46&gt;=$C$9+0+$C$26,SUM($E130:AV130)&lt;$C130),MIN($C130/$C$27,$C130-SUM($E130:AV130)),0)</f>
        <v/>
      </c>
      <c r="AX130" s="90">
        <f>IF(AND($C130&gt;0,AX$46&gt;=$C$9+0+$C$26,SUM($E130:AW130)&lt;$C130),MIN($C130/$C$27,$C130-SUM($E130:AW130)),0)</f>
        <v/>
      </c>
      <c r="AY130" s="90">
        <f>IF(AND($C130&gt;0,AY$46&gt;=$C$9+0+$C$26,SUM($E130:AX130)&lt;$C130),MIN($C130/$C$27,$C130-SUM($E130:AX130)),0)</f>
        <v/>
      </c>
      <c r="AZ130" s="90">
        <f>IF(AND($C130&gt;0,AZ$46&gt;=$C$9+0+$C$26,SUM($E130:AY130)&lt;$C130),MIN($C130/$C$27,$C130-SUM($E130:AY130)),0)</f>
        <v/>
      </c>
      <c r="BA130" s="90">
        <f>IF(AND($C130&gt;0,BA$46&gt;=$C$9+0+$C$26,SUM($E130:AZ130)&lt;$C130),MIN($C130/$C$27,$C130-SUM($E130:AZ130)),0)</f>
        <v/>
      </c>
      <c r="BB130" s="90">
        <f>IF(AND($C130&gt;0,BB$46&gt;=$C$9+0+$C$26,SUM($E130:BA130)&lt;$C130),MIN($C130/$C$27,$C130-SUM($E130:BA130)),0)</f>
        <v/>
      </c>
    </row>
    <row r="131" ht="15" customHeight="1" s="91">
      <c r="B131" s="153" t="inlineStr">
        <is>
          <t>Tranche 2</t>
        </is>
      </c>
      <c r="C131" s="160">
        <f>IF(ABS($D$49)&gt;0,SUMPRODUCT(($E$46:$BB$46=$C$9+1)*IF($E49:$BB49&lt;0,ABS($E49:$BB49),0))*$C$19/ABS($D$49),0)</f>
        <v/>
      </c>
      <c r="D131" s="160">
        <f>SUM(E131:BB131)</f>
        <v/>
      </c>
      <c r="E131" s="90">
        <f>IF(AND($C131&gt;0,E$46&gt;=$C$9+1+$C$26,0&lt;$C131),MIN($C131/$C$27,$C131-0),0)</f>
        <v/>
      </c>
      <c r="F131" s="90">
        <f>IF(AND($C131&gt;0,F$46&gt;=$C$9+1+$C$26,SUM($E131:E131)&lt;$C131),MIN($C131/$C$27,$C131-SUM($E131:E131)),0)</f>
        <v/>
      </c>
      <c r="G131" s="90">
        <f>IF(AND($C131&gt;0,G$46&gt;=$C$9+1+$C$26,SUM($E131:F131)&lt;$C131),MIN($C131/$C$27,$C131-SUM($E131:F131)),0)</f>
        <v/>
      </c>
      <c r="H131" s="90">
        <f>IF(AND($C131&gt;0,H$46&gt;=$C$9+1+$C$26,SUM($E131:G131)&lt;$C131),MIN($C131/$C$27,$C131-SUM($E131:G131)),0)</f>
        <v/>
      </c>
      <c r="I131" s="90">
        <f>IF(AND($C131&gt;0,I$46&gt;=$C$9+1+$C$26,SUM($E131:H131)&lt;$C131),MIN($C131/$C$27,$C131-SUM($E131:H131)),0)</f>
        <v/>
      </c>
      <c r="J131" s="90">
        <f>IF(AND($C131&gt;0,J$46&gt;=$C$9+1+$C$26,SUM($E131:I131)&lt;$C131),MIN($C131/$C$27,$C131-SUM($E131:I131)),0)</f>
        <v/>
      </c>
      <c r="K131" s="90">
        <f>IF(AND($C131&gt;0,K$46&gt;=$C$9+1+$C$26,SUM($E131:J131)&lt;$C131),MIN($C131/$C$27,$C131-SUM($E131:J131)),0)</f>
        <v/>
      </c>
      <c r="L131" s="90">
        <f>IF(AND($C131&gt;0,L$46&gt;=$C$9+1+$C$26,SUM($E131:K131)&lt;$C131),MIN($C131/$C$27,$C131-SUM($E131:K131)),0)</f>
        <v/>
      </c>
      <c r="M131" s="90">
        <f>IF(AND($C131&gt;0,M$46&gt;=$C$9+1+$C$26,SUM($E131:L131)&lt;$C131),MIN($C131/$C$27,$C131-SUM($E131:L131)),0)</f>
        <v/>
      </c>
      <c r="N131" s="90">
        <f>IF(AND($C131&gt;0,N$46&gt;=$C$9+1+$C$26,SUM($E131:M131)&lt;$C131),MIN($C131/$C$27,$C131-SUM($E131:M131)),0)</f>
        <v/>
      </c>
      <c r="O131" s="90">
        <f>IF(AND($C131&gt;0,O$46&gt;=$C$9+1+$C$26,SUM($E131:N131)&lt;$C131),MIN($C131/$C$27,$C131-SUM($E131:N131)),0)</f>
        <v/>
      </c>
      <c r="P131" s="90">
        <f>IF(AND($C131&gt;0,P$46&gt;=$C$9+1+$C$26,SUM($E131:O131)&lt;$C131),MIN($C131/$C$27,$C131-SUM($E131:O131)),0)</f>
        <v/>
      </c>
      <c r="Q131" s="90">
        <f>IF(AND($C131&gt;0,Q$46&gt;=$C$9+1+$C$26,SUM($E131:P131)&lt;$C131),MIN($C131/$C$27,$C131-SUM($E131:P131)),0)</f>
        <v/>
      </c>
      <c r="R131" s="90">
        <f>IF(AND($C131&gt;0,R$46&gt;=$C$9+1+$C$26,SUM($E131:Q131)&lt;$C131),MIN($C131/$C$27,$C131-SUM($E131:Q131)),0)</f>
        <v/>
      </c>
      <c r="S131" s="90">
        <f>IF(AND($C131&gt;0,S$46&gt;=$C$9+1+$C$26,SUM($E131:R131)&lt;$C131),MIN($C131/$C$27,$C131-SUM($E131:R131)),0)</f>
        <v/>
      </c>
      <c r="T131" s="90">
        <f>IF(AND($C131&gt;0,T$46&gt;=$C$9+1+$C$26,SUM($E131:S131)&lt;$C131),MIN($C131/$C$27,$C131-SUM($E131:S131)),0)</f>
        <v/>
      </c>
      <c r="U131" s="90">
        <f>IF(AND($C131&gt;0,U$46&gt;=$C$9+1+$C$26,SUM($E131:T131)&lt;$C131),MIN($C131/$C$27,$C131-SUM($E131:T131)),0)</f>
        <v/>
      </c>
      <c r="V131" s="90">
        <f>IF(AND($C131&gt;0,V$46&gt;=$C$9+1+$C$26,SUM($E131:U131)&lt;$C131),MIN($C131/$C$27,$C131-SUM($E131:U131)),0)</f>
        <v/>
      </c>
      <c r="W131" s="90">
        <f>IF(AND($C131&gt;0,W$46&gt;=$C$9+1+$C$26,SUM($E131:V131)&lt;$C131),MIN($C131/$C$27,$C131-SUM($E131:V131)),0)</f>
        <v/>
      </c>
      <c r="X131" s="90">
        <f>IF(AND($C131&gt;0,X$46&gt;=$C$9+1+$C$26,SUM($E131:W131)&lt;$C131),MIN($C131/$C$27,$C131-SUM($E131:W131)),0)</f>
        <v/>
      </c>
      <c r="Y131" s="90">
        <f>IF(AND($C131&gt;0,Y$46&gt;=$C$9+1+$C$26,SUM($E131:X131)&lt;$C131),MIN($C131/$C$27,$C131-SUM($E131:X131)),0)</f>
        <v/>
      </c>
      <c r="Z131" s="90">
        <f>IF(AND($C131&gt;0,Z$46&gt;=$C$9+1+$C$26,SUM($E131:Y131)&lt;$C131),MIN($C131/$C$27,$C131-SUM($E131:Y131)),0)</f>
        <v/>
      </c>
      <c r="AA131" s="90">
        <f>IF(AND($C131&gt;0,AA$46&gt;=$C$9+1+$C$26,SUM($E131:Z131)&lt;$C131),MIN($C131/$C$27,$C131-SUM($E131:Z131)),0)</f>
        <v/>
      </c>
      <c r="AB131" s="90">
        <f>IF(AND($C131&gt;0,AB$46&gt;=$C$9+1+$C$26,SUM($E131:AA131)&lt;$C131),MIN($C131/$C$27,$C131-SUM($E131:AA131)),0)</f>
        <v/>
      </c>
      <c r="AC131" s="90">
        <f>IF(AND($C131&gt;0,AC$46&gt;=$C$9+1+$C$26,SUM($E131:AB131)&lt;$C131),MIN($C131/$C$27,$C131-SUM($E131:AB131)),0)</f>
        <v/>
      </c>
      <c r="AD131" s="90">
        <f>IF(AND($C131&gt;0,AD$46&gt;=$C$9+1+$C$26,SUM($E131:AC131)&lt;$C131),MIN($C131/$C$27,$C131-SUM($E131:AC131)),0)</f>
        <v/>
      </c>
      <c r="AE131" s="90">
        <f>IF(AND($C131&gt;0,AE$46&gt;=$C$9+1+$C$26,SUM($E131:AD131)&lt;$C131),MIN($C131/$C$27,$C131-SUM($E131:AD131)),0)</f>
        <v/>
      </c>
      <c r="AF131" s="90">
        <f>IF(AND($C131&gt;0,AF$46&gt;=$C$9+1+$C$26,SUM($E131:AE131)&lt;$C131),MIN($C131/$C$27,$C131-SUM($E131:AE131)),0)</f>
        <v/>
      </c>
      <c r="AG131" s="90">
        <f>IF(AND($C131&gt;0,AG$46&gt;=$C$9+1+$C$26,SUM($E131:AF131)&lt;$C131),MIN($C131/$C$27,$C131-SUM($E131:AF131)),0)</f>
        <v/>
      </c>
      <c r="AH131" s="90">
        <f>IF(AND($C131&gt;0,AH$46&gt;=$C$9+1+$C$26,SUM($E131:AG131)&lt;$C131),MIN($C131/$C$27,$C131-SUM($E131:AG131)),0)</f>
        <v/>
      </c>
      <c r="AI131" s="90">
        <f>IF(AND($C131&gt;0,AI$46&gt;=$C$9+1+$C$26,SUM($E131:AH131)&lt;$C131),MIN($C131/$C$27,$C131-SUM($E131:AH131)),0)</f>
        <v/>
      </c>
      <c r="AJ131" s="90">
        <f>IF(AND($C131&gt;0,AJ$46&gt;=$C$9+1+$C$26,SUM($E131:AI131)&lt;$C131),MIN($C131/$C$27,$C131-SUM($E131:AI131)),0)</f>
        <v/>
      </c>
      <c r="AK131" s="90">
        <f>IF(AND($C131&gt;0,AK$46&gt;=$C$9+1+$C$26,SUM($E131:AJ131)&lt;$C131),MIN($C131/$C$27,$C131-SUM($E131:AJ131)),0)</f>
        <v/>
      </c>
      <c r="AL131" s="90">
        <f>IF(AND($C131&gt;0,AL$46&gt;=$C$9+1+$C$26,SUM($E131:AK131)&lt;$C131),MIN($C131/$C$27,$C131-SUM($E131:AK131)),0)</f>
        <v/>
      </c>
      <c r="AM131" s="90">
        <f>IF(AND($C131&gt;0,AM$46&gt;=$C$9+1+$C$26,SUM($E131:AL131)&lt;$C131),MIN($C131/$C$27,$C131-SUM($E131:AL131)),0)</f>
        <v/>
      </c>
      <c r="AN131" s="90">
        <f>IF(AND($C131&gt;0,AN$46&gt;=$C$9+1+$C$26,SUM($E131:AM131)&lt;$C131),MIN($C131/$C$27,$C131-SUM($E131:AM131)),0)</f>
        <v/>
      </c>
      <c r="AO131" s="90">
        <f>IF(AND($C131&gt;0,AO$46&gt;=$C$9+1+$C$26,SUM($E131:AN131)&lt;$C131),MIN($C131/$C$27,$C131-SUM($E131:AN131)),0)</f>
        <v/>
      </c>
      <c r="AP131" s="90">
        <f>IF(AND($C131&gt;0,AP$46&gt;=$C$9+1+$C$26,SUM($E131:AO131)&lt;$C131),MIN($C131/$C$27,$C131-SUM($E131:AO131)),0)</f>
        <v/>
      </c>
      <c r="AQ131" s="90">
        <f>IF(AND($C131&gt;0,AQ$46&gt;=$C$9+1+$C$26,SUM($E131:AP131)&lt;$C131),MIN($C131/$C$27,$C131-SUM($E131:AP131)),0)</f>
        <v/>
      </c>
      <c r="AR131" s="90">
        <f>IF(AND($C131&gt;0,AR$46&gt;=$C$9+1+$C$26,SUM($E131:AQ131)&lt;$C131),MIN($C131/$C$27,$C131-SUM($E131:AQ131)),0)</f>
        <v/>
      </c>
      <c r="AS131" s="90">
        <f>IF(AND($C131&gt;0,AS$46&gt;=$C$9+1+$C$26,SUM($E131:AR131)&lt;$C131),MIN($C131/$C$27,$C131-SUM($E131:AR131)),0)</f>
        <v/>
      </c>
      <c r="AT131" s="90">
        <f>IF(AND($C131&gt;0,AT$46&gt;=$C$9+1+$C$26,SUM($E131:AS131)&lt;$C131),MIN($C131/$C$27,$C131-SUM($E131:AS131)),0)</f>
        <v/>
      </c>
      <c r="AU131" s="90">
        <f>IF(AND($C131&gt;0,AU$46&gt;=$C$9+1+$C$26,SUM($E131:AT131)&lt;$C131),MIN($C131/$C$27,$C131-SUM($E131:AT131)),0)</f>
        <v/>
      </c>
      <c r="AV131" s="90">
        <f>IF(AND($C131&gt;0,AV$46&gt;=$C$9+1+$C$26,SUM($E131:AU131)&lt;$C131),MIN($C131/$C$27,$C131-SUM($E131:AU131)),0)</f>
        <v/>
      </c>
      <c r="AW131" s="90">
        <f>IF(AND($C131&gt;0,AW$46&gt;=$C$9+1+$C$26,SUM($E131:AV131)&lt;$C131),MIN($C131/$C$27,$C131-SUM($E131:AV131)),0)</f>
        <v/>
      </c>
      <c r="AX131" s="90">
        <f>IF(AND($C131&gt;0,AX$46&gt;=$C$9+1+$C$26,SUM($E131:AW131)&lt;$C131),MIN($C131/$C$27,$C131-SUM($E131:AW131)),0)</f>
        <v/>
      </c>
      <c r="AY131" s="90">
        <f>IF(AND($C131&gt;0,AY$46&gt;=$C$9+1+$C$26,SUM($E131:AX131)&lt;$C131),MIN($C131/$C$27,$C131-SUM($E131:AX131)),0)</f>
        <v/>
      </c>
      <c r="AZ131" s="90">
        <f>IF(AND($C131&gt;0,AZ$46&gt;=$C$9+1+$C$26,SUM($E131:AY131)&lt;$C131),MIN($C131/$C$27,$C131-SUM($E131:AY131)),0)</f>
        <v/>
      </c>
      <c r="BA131" s="90">
        <f>IF(AND($C131&gt;0,BA$46&gt;=$C$9+1+$C$26,SUM($E131:AZ131)&lt;$C131),MIN($C131/$C$27,$C131-SUM($E131:AZ131)),0)</f>
        <v/>
      </c>
      <c r="BB131" s="90">
        <f>IF(AND($C131&gt;0,BB$46&gt;=$C$9+1+$C$26,SUM($E131:BA131)&lt;$C131),MIN($C131/$C$27,$C131-SUM($E131:BA131)),0)</f>
        <v/>
      </c>
    </row>
    <row r="132" ht="15" customHeight="1" s="91">
      <c r="B132" s="153" t="inlineStr">
        <is>
          <t>Tranche 3</t>
        </is>
      </c>
      <c r="C132" s="160">
        <f>IF(ABS($D$49)&gt;0,SUMPRODUCT(($E$46:$BB$46=$C$9+2)*IF($E49:$BB49&lt;0,ABS($E49:$BB49),0))*$C$19/ABS($D$49),0)</f>
        <v/>
      </c>
      <c r="D132" s="160">
        <f>SUM(E132:BB132)</f>
        <v/>
      </c>
      <c r="E132" s="90">
        <f>IF(AND($C132&gt;0,E$46&gt;=$C$9+2+$C$26,0&lt;$C132),MIN($C132/$C$27,$C132-0),0)</f>
        <v/>
      </c>
      <c r="F132" s="90">
        <f>IF(AND($C132&gt;0,F$46&gt;=$C$9+2+$C$26,SUM($E132:E132)&lt;$C132),MIN($C132/$C$27,$C132-SUM($E132:E132)),0)</f>
        <v/>
      </c>
      <c r="G132" s="90">
        <f>IF(AND($C132&gt;0,G$46&gt;=$C$9+2+$C$26,SUM($E132:F132)&lt;$C132),MIN($C132/$C$27,$C132-SUM($E132:F132)),0)</f>
        <v/>
      </c>
      <c r="H132" s="90">
        <f>IF(AND($C132&gt;0,H$46&gt;=$C$9+2+$C$26,SUM($E132:G132)&lt;$C132),MIN($C132/$C$27,$C132-SUM($E132:G132)),0)</f>
        <v/>
      </c>
      <c r="I132" s="90">
        <f>IF(AND($C132&gt;0,I$46&gt;=$C$9+2+$C$26,SUM($E132:H132)&lt;$C132),MIN($C132/$C$27,$C132-SUM($E132:H132)),0)</f>
        <v/>
      </c>
      <c r="J132" s="90">
        <f>IF(AND($C132&gt;0,J$46&gt;=$C$9+2+$C$26,SUM($E132:I132)&lt;$C132),MIN($C132/$C$27,$C132-SUM($E132:I132)),0)</f>
        <v/>
      </c>
      <c r="K132" s="90">
        <f>IF(AND($C132&gt;0,K$46&gt;=$C$9+2+$C$26,SUM($E132:J132)&lt;$C132),MIN($C132/$C$27,$C132-SUM($E132:J132)),0)</f>
        <v/>
      </c>
      <c r="L132" s="90">
        <f>IF(AND($C132&gt;0,L$46&gt;=$C$9+2+$C$26,SUM($E132:K132)&lt;$C132),MIN($C132/$C$27,$C132-SUM($E132:K132)),0)</f>
        <v/>
      </c>
      <c r="M132" s="90">
        <f>IF(AND($C132&gt;0,M$46&gt;=$C$9+2+$C$26,SUM($E132:L132)&lt;$C132),MIN($C132/$C$27,$C132-SUM($E132:L132)),0)</f>
        <v/>
      </c>
      <c r="N132" s="90">
        <f>IF(AND($C132&gt;0,N$46&gt;=$C$9+2+$C$26,SUM($E132:M132)&lt;$C132),MIN($C132/$C$27,$C132-SUM($E132:M132)),0)</f>
        <v/>
      </c>
      <c r="O132" s="90">
        <f>IF(AND($C132&gt;0,O$46&gt;=$C$9+2+$C$26,SUM($E132:N132)&lt;$C132),MIN($C132/$C$27,$C132-SUM($E132:N132)),0)</f>
        <v/>
      </c>
      <c r="P132" s="90">
        <f>IF(AND($C132&gt;0,P$46&gt;=$C$9+2+$C$26,SUM($E132:O132)&lt;$C132),MIN($C132/$C$27,$C132-SUM($E132:O132)),0)</f>
        <v/>
      </c>
      <c r="Q132" s="90">
        <f>IF(AND($C132&gt;0,Q$46&gt;=$C$9+2+$C$26,SUM($E132:P132)&lt;$C132),MIN($C132/$C$27,$C132-SUM($E132:P132)),0)</f>
        <v/>
      </c>
      <c r="R132" s="90">
        <f>IF(AND($C132&gt;0,R$46&gt;=$C$9+2+$C$26,SUM($E132:Q132)&lt;$C132),MIN($C132/$C$27,$C132-SUM($E132:Q132)),0)</f>
        <v/>
      </c>
      <c r="S132" s="90">
        <f>IF(AND($C132&gt;0,S$46&gt;=$C$9+2+$C$26,SUM($E132:R132)&lt;$C132),MIN($C132/$C$27,$C132-SUM($E132:R132)),0)</f>
        <v/>
      </c>
      <c r="T132" s="90">
        <f>IF(AND($C132&gt;0,T$46&gt;=$C$9+2+$C$26,SUM($E132:S132)&lt;$C132),MIN($C132/$C$27,$C132-SUM($E132:S132)),0)</f>
        <v/>
      </c>
      <c r="U132" s="90">
        <f>IF(AND($C132&gt;0,U$46&gt;=$C$9+2+$C$26,SUM($E132:T132)&lt;$C132),MIN($C132/$C$27,$C132-SUM($E132:T132)),0)</f>
        <v/>
      </c>
      <c r="V132" s="90">
        <f>IF(AND($C132&gt;0,V$46&gt;=$C$9+2+$C$26,SUM($E132:U132)&lt;$C132),MIN($C132/$C$27,$C132-SUM($E132:U132)),0)</f>
        <v/>
      </c>
      <c r="W132" s="90">
        <f>IF(AND($C132&gt;0,W$46&gt;=$C$9+2+$C$26,SUM($E132:V132)&lt;$C132),MIN($C132/$C$27,$C132-SUM($E132:V132)),0)</f>
        <v/>
      </c>
      <c r="X132" s="90">
        <f>IF(AND($C132&gt;0,X$46&gt;=$C$9+2+$C$26,SUM($E132:W132)&lt;$C132),MIN($C132/$C$27,$C132-SUM($E132:W132)),0)</f>
        <v/>
      </c>
      <c r="Y132" s="90">
        <f>IF(AND($C132&gt;0,Y$46&gt;=$C$9+2+$C$26,SUM($E132:X132)&lt;$C132),MIN($C132/$C$27,$C132-SUM($E132:X132)),0)</f>
        <v/>
      </c>
      <c r="Z132" s="90">
        <f>IF(AND($C132&gt;0,Z$46&gt;=$C$9+2+$C$26,SUM($E132:Y132)&lt;$C132),MIN($C132/$C$27,$C132-SUM($E132:Y132)),0)</f>
        <v/>
      </c>
      <c r="AA132" s="90">
        <f>IF(AND($C132&gt;0,AA$46&gt;=$C$9+2+$C$26,SUM($E132:Z132)&lt;$C132),MIN($C132/$C$27,$C132-SUM($E132:Z132)),0)</f>
        <v/>
      </c>
      <c r="AB132" s="90">
        <f>IF(AND($C132&gt;0,AB$46&gt;=$C$9+2+$C$26,SUM($E132:AA132)&lt;$C132),MIN($C132/$C$27,$C132-SUM($E132:AA132)),0)</f>
        <v/>
      </c>
      <c r="AC132" s="90">
        <f>IF(AND($C132&gt;0,AC$46&gt;=$C$9+2+$C$26,SUM($E132:AB132)&lt;$C132),MIN($C132/$C$27,$C132-SUM($E132:AB132)),0)</f>
        <v/>
      </c>
      <c r="AD132" s="90">
        <f>IF(AND($C132&gt;0,AD$46&gt;=$C$9+2+$C$26,SUM($E132:AC132)&lt;$C132),MIN($C132/$C$27,$C132-SUM($E132:AC132)),0)</f>
        <v/>
      </c>
      <c r="AE132" s="90">
        <f>IF(AND($C132&gt;0,AE$46&gt;=$C$9+2+$C$26,SUM($E132:AD132)&lt;$C132),MIN($C132/$C$27,$C132-SUM($E132:AD132)),0)</f>
        <v/>
      </c>
      <c r="AF132" s="90">
        <f>IF(AND($C132&gt;0,AF$46&gt;=$C$9+2+$C$26,SUM($E132:AE132)&lt;$C132),MIN($C132/$C$27,$C132-SUM($E132:AE132)),0)</f>
        <v/>
      </c>
      <c r="AG132" s="90">
        <f>IF(AND($C132&gt;0,AG$46&gt;=$C$9+2+$C$26,SUM($E132:AF132)&lt;$C132),MIN($C132/$C$27,$C132-SUM($E132:AF132)),0)</f>
        <v/>
      </c>
      <c r="AH132" s="90">
        <f>IF(AND($C132&gt;0,AH$46&gt;=$C$9+2+$C$26,SUM($E132:AG132)&lt;$C132),MIN($C132/$C$27,$C132-SUM($E132:AG132)),0)</f>
        <v/>
      </c>
      <c r="AI132" s="90">
        <f>IF(AND($C132&gt;0,AI$46&gt;=$C$9+2+$C$26,SUM($E132:AH132)&lt;$C132),MIN($C132/$C$27,$C132-SUM($E132:AH132)),0)</f>
        <v/>
      </c>
      <c r="AJ132" s="90">
        <f>IF(AND($C132&gt;0,AJ$46&gt;=$C$9+2+$C$26,SUM($E132:AI132)&lt;$C132),MIN($C132/$C$27,$C132-SUM($E132:AI132)),0)</f>
        <v/>
      </c>
      <c r="AK132" s="90">
        <f>IF(AND($C132&gt;0,AK$46&gt;=$C$9+2+$C$26,SUM($E132:AJ132)&lt;$C132),MIN($C132/$C$27,$C132-SUM($E132:AJ132)),0)</f>
        <v/>
      </c>
      <c r="AL132" s="90">
        <f>IF(AND($C132&gt;0,AL$46&gt;=$C$9+2+$C$26,SUM($E132:AK132)&lt;$C132),MIN($C132/$C$27,$C132-SUM($E132:AK132)),0)</f>
        <v/>
      </c>
      <c r="AM132" s="90">
        <f>IF(AND($C132&gt;0,AM$46&gt;=$C$9+2+$C$26,SUM($E132:AL132)&lt;$C132),MIN($C132/$C$27,$C132-SUM($E132:AL132)),0)</f>
        <v/>
      </c>
      <c r="AN132" s="90">
        <f>IF(AND($C132&gt;0,AN$46&gt;=$C$9+2+$C$26,SUM($E132:AM132)&lt;$C132),MIN($C132/$C$27,$C132-SUM($E132:AM132)),0)</f>
        <v/>
      </c>
      <c r="AO132" s="90">
        <f>IF(AND($C132&gt;0,AO$46&gt;=$C$9+2+$C$26,SUM($E132:AN132)&lt;$C132),MIN($C132/$C$27,$C132-SUM($E132:AN132)),0)</f>
        <v/>
      </c>
      <c r="AP132" s="90">
        <f>IF(AND($C132&gt;0,AP$46&gt;=$C$9+2+$C$26,SUM($E132:AO132)&lt;$C132),MIN($C132/$C$27,$C132-SUM($E132:AO132)),0)</f>
        <v/>
      </c>
      <c r="AQ132" s="90">
        <f>IF(AND($C132&gt;0,AQ$46&gt;=$C$9+2+$C$26,SUM($E132:AP132)&lt;$C132),MIN($C132/$C$27,$C132-SUM($E132:AP132)),0)</f>
        <v/>
      </c>
      <c r="AR132" s="90">
        <f>IF(AND($C132&gt;0,AR$46&gt;=$C$9+2+$C$26,SUM($E132:AQ132)&lt;$C132),MIN($C132/$C$27,$C132-SUM($E132:AQ132)),0)</f>
        <v/>
      </c>
      <c r="AS132" s="90">
        <f>IF(AND($C132&gt;0,AS$46&gt;=$C$9+2+$C$26,SUM($E132:AR132)&lt;$C132),MIN($C132/$C$27,$C132-SUM($E132:AR132)),0)</f>
        <v/>
      </c>
      <c r="AT132" s="90">
        <f>IF(AND($C132&gt;0,AT$46&gt;=$C$9+2+$C$26,SUM($E132:AS132)&lt;$C132),MIN($C132/$C$27,$C132-SUM($E132:AS132)),0)</f>
        <v/>
      </c>
      <c r="AU132" s="90">
        <f>IF(AND($C132&gt;0,AU$46&gt;=$C$9+2+$C$26,SUM($E132:AT132)&lt;$C132),MIN($C132/$C$27,$C132-SUM($E132:AT132)),0)</f>
        <v/>
      </c>
      <c r="AV132" s="90">
        <f>IF(AND($C132&gt;0,AV$46&gt;=$C$9+2+$C$26,SUM($E132:AU132)&lt;$C132),MIN($C132/$C$27,$C132-SUM($E132:AU132)),0)</f>
        <v/>
      </c>
      <c r="AW132" s="90">
        <f>IF(AND($C132&gt;0,AW$46&gt;=$C$9+2+$C$26,SUM($E132:AV132)&lt;$C132),MIN($C132/$C$27,$C132-SUM($E132:AV132)),0)</f>
        <v/>
      </c>
      <c r="AX132" s="90">
        <f>IF(AND($C132&gt;0,AX$46&gt;=$C$9+2+$C$26,SUM($E132:AW132)&lt;$C132),MIN($C132/$C$27,$C132-SUM($E132:AW132)),0)</f>
        <v/>
      </c>
      <c r="AY132" s="90">
        <f>IF(AND($C132&gt;0,AY$46&gt;=$C$9+2+$C$26,SUM($E132:AX132)&lt;$C132),MIN($C132/$C$27,$C132-SUM($E132:AX132)),0)</f>
        <v/>
      </c>
      <c r="AZ132" s="90">
        <f>IF(AND($C132&gt;0,AZ$46&gt;=$C$9+2+$C$26,SUM($E132:AY132)&lt;$C132),MIN($C132/$C$27,$C132-SUM($E132:AY132)),0)</f>
        <v/>
      </c>
      <c r="BA132" s="90">
        <f>IF(AND($C132&gt;0,BA$46&gt;=$C$9+2+$C$26,SUM($E132:AZ132)&lt;$C132),MIN($C132/$C$27,$C132-SUM($E132:AZ132)),0)</f>
        <v/>
      </c>
      <c r="BB132" s="90">
        <f>IF(AND($C132&gt;0,BB$46&gt;=$C$9+2+$C$26,SUM($E132:BA132)&lt;$C132),MIN($C132/$C$27,$C132-SUM($E132:BA132)),0)</f>
        <v/>
      </c>
    </row>
    <row r="133" ht="15" customHeight="1" s="91">
      <c r="B133" s="153" t="inlineStr">
        <is>
          <t>Tranche 4</t>
        </is>
      </c>
      <c r="C133" s="160">
        <f>IF(ABS($D$49)&gt;0,SUMPRODUCT(($E$46:$BB$46=$C$9+3)*IF($E49:$BB49&lt;0,ABS($E49:$BB49),0))*$C$19/ABS($D$49),0)</f>
        <v/>
      </c>
      <c r="D133" s="160">
        <f>SUM(E133:BB133)</f>
        <v/>
      </c>
      <c r="E133" s="90">
        <f>IF(AND($C133&gt;0,E$46&gt;=$C$9+3+$C$26,0&lt;$C133),MIN($C133/$C$27,$C133-0),0)</f>
        <v/>
      </c>
      <c r="F133" s="90">
        <f>IF(AND($C133&gt;0,F$46&gt;=$C$9+3+$C$26,SUM($E133:E133)&lt;$C133),MIN($C133/$C$27,$C133-SUM($E133:E133)),0)</f>
        <v/>
      </c>
      <c r="G133" s="90">
        <f>IF(AND($C133&gt;0,G$46&gt;=$C$9+3+$C$26,SUM($E133:F133)&lt;$C133),MIN($C133/$C$27,$C133-SUM($E133:F133)),0)</f>
        <v/>
      </c>
      <c r="H133" s="90">
        <f>IF(AND($C133&gt;0,H$46&gt;=$C$9+3+$C$26,SUM($E133:G133)&lt;$C133),MIN($C133/$C$27,$C133-SUM($E133:G133)),0)</f>
        <v/>
      </c>
      <c r="I133" s="90">
        <f>IF(AND($C133&gt;0,I$46&gt;=$C$9+3+$C$26,SUM($E133:H133)&lt;$C133),MIN($C133/$C$27,$C133-SUM($E133:H133)),0)</f>
        <v/>
      </c>
      <c r="J133" s="90">
        <f>IF(AND($C133&gt;0,J$46&gt;=$C$9+3+$C$26,SUM($E133:I133)&lt;$C133),MIN($C133/$C$27,$C133-SUM($E133:I133)),0)</f>
        <v/>
      </c>
      <c r="K133" s="90">
        <f>IF(AND($C133&gt;0,K$46&gt;=$C$9+3+$C$26,SUM($E133:J133)&lt;$C133),MIN($C133/$C$27,$C133-SUM($E133:J133)),0)</f>
        <v/>
      </c>
      <c r="L133" s="90">
        <f>IF(AND($C133&gt;0,L$46&gt;=$C$9+3+$C$26,SUM($E133:K133)&lt;$C133),MIN($C133/$C$27,$C133-SUM($E133:K133)),0)</f>
        <v/>
      </c>
      <c r="M133" s="90">
        <f>IF(AND($C133&gt;0,M$46&gt;=$C$9+3+$C$26,SUM($E133:L133)&lt;$C133),MIN($C133/$C$27,$C133-SUM($E133:L133)),0)</f>
        <v/>
      </c>
      <c r="N133" s="90">
        <f>IF(AND($C133&gt;0,N$46&gt;=$C$9+3+$C$26,SUM($E133:M133)&lt;$C133),MIN($C133/$C$27,$C133-SUM($E133:M133)),0)</f>
        <v/>
      </c>
      <c r="O133" s="90">
        <f>IF(AND($C133&gt;0,O$46&gt;=$C$9+3+$C$26,SUM($E133:N133)&lt;$C133),MIN($C133/$C$27,$C133-SUM($E133:N133)),0)</f>
        <v/>
      </c>
      <c r="P133" s="90">
        <f>IF(AND($C133&gt;0,P$46&gt;=$C$9+3+$C$26,SUM($E133:O133)&lt;$C133),MIN($C133/$C$27,$C133-SUM($E133:O133)),0)</f>
        <v/>
      </c>
      <c r="Q133" s="90">
        <f>IF(AND($C133&gt;0,Q$46&gt;=$C$9+3+$C$26,SUM($E133:P133)&lt;$C133),MIN($C133/$C$27,$C133-SUM($E133:P133)),0)</f>
        <v/>
      </c>
      <c r="R133" s="90">
        <f>IF(AND($C133&gt;0,R$46&gt;=$C$9+3+$C$26,SUM($E133:Q133)&lt;$C133),MIN($C133/$C$27,$C133-SUM($E133:Q133)),0)</f>
        <v/>
      </c>
      <c r="S133" s="90">
        <f>IF(AND($C133&gt;0,S$46&gt;=$C$9+3+$C$26,SUM($E133:R133)&lt;$C133),MIN($C133/$C$27,$C133-SUM($E133:R133)),0)</f>
        <v/>
      </c>
      <c r="T133" s="90">
        <f>IF(AND($C133&gt;0,T$46&gt;=$C$9+3+$C$26,SUM($E133:S133)&lt;$C133),MIN($C133/$C$27,$C133-SUM($E133:S133)),0)</f>
        <v/>
      </c>
      <c r="U133" s="90">
        <f>IF(AND($C133&gt;0,U$46&gt;=$C$9+3+$C$26,SUM($E133:T133)&lt;$C133),MIN($C133/$C$27,$C133-SUM($E133:T133)),0)</f>
        <v/>
      </c>
      <c r="V133" s="90">
        <f>IF(AND($C133&gt;0,V$46&gt;=$C$9+3+$C$26,SUM($E133:U133)&lt;$C133),MIN($C133/$C$27,$C133-SUM($E133:U133)),0)</f>
        <v/>
      </c>
      <c r="W133" s="90">
        <f>IF(AND($C133&gt;0,W$46&gt;=$C$9+3+$C$26,SUM($E133:V133)&lt;$C133),MIN($C133/$C$27,$C133-SUM($E133:V133)),0)</f>
        <v/>
      </c>
      <c r="X133" s="90">
        <f>IF(AND($C133&gt;0,X$46&gt;=$C$9+3+$C$26,SUM($E133:W133)&lt;$C133),MIN($C133/$C$27,$C133-SUM($E133:W133)),0)</f>
        <v/>
      </c>
      <c r="Y133" s="90">
        <f>IF(AND($C133&gt;0,Y$46&gt;=$C$9+3+$C$26,SUM($E133:X133)&lt;$C133),MIN($C133/$C$27,$C133-SUM($E133:X133)),0)</f>
        <v/>
      </c>
      <c r="Z133" s="90">
        <f>IF(AND($C133&gt;0,Z$46&gt;=$C$9+3+$C$26,SUM($E133:Y133)&lt;$C133),MIN($C133/$C$27,$C133-SUM($E133:Y133)),0)</f>
        <v/>
      </c>
      <c r="AA133" s="90">
        <f>IF(AND($C133&gt;0,AA$46&gt;=$C$9+3+$C$26,SUM($E133:Z133)&lt;$C133),MIN($C133/$C$27,$C133-SUM($E133:Z133)),0)</f>
        <v/>
      </c>
      <c r="AB133" s="90">
        <f>IF(AND($C133&gt;0,AB$46&gt;=$C$9+3+$C$26,SUM($E133:AA133)&lt;$C133),MIN($C133/$C$27,$C133-SUM($E133:AA133)),0)</f>
        <v/>
      </c>
      <c r="AC133" s="90">
        <f>IF(AND($C133&gt;0,AC$46&gt;=$C$9+3+$C$26,SUM($E133:AB133)&lt;$C133),MIN($C133/$C$27,$C133-SUM($E133:AB133)),0)</f>
        <v/>
      </c>
      <c r="AD133" s="90">
        <f>IF(AND($C133&gt;0,AD$46&gt;=$C$9+3+$C$26,SUM($E133:AC133)&lt;$C133),MIN($C133/$C$27,$C133-SUM($E133:AC133)),0)</f>
        <v/>
      </c>
      <c r="AE133" s="90">
        <f>IF(AND($C133&gt;0,AE$46&gt;=$C$9+3+$C$26,SUM($E133:AD133)&lt;$C133),MIN($C133/$C$27,$C133-SUM($E133:AD133)),0)</f>
        <v/>
      </c>
      <c r="AF133" s="90">
        <f>IF(AND($C133&gt;0,AF$46&gt;=$C$9+3+$C$26,SUM($E133:AE133)&lt;$C133),MIN($C133/$C$27,$C133-SUM($E133:AE133)),0)</f>
        <v/>
      </c>
      <c r="AG133" s="90">
        <f>IF(AND($C133&gt;0,AG$46&gt;=$C$9+3+$C$26,SUM($E133:AF133)&lt;$C133),MIN($C133/$C$27,$C133-SUM($E133:AF133)),0)</f>
        <v/>
      </c>
      <c r="AH133" s="90">
        <f>IF(AND($C133&gt;0,AH$46&gt;=$C$9+3+$C$26,SUM($E133:AG133)&lt;$C133),MIN($C133/$C$27,$C133-SUM($E133:AG133)),0)</f>
        <v/>
      </c>
      <c r="AI133" s="90">
        <f>IF(AND($C133&gt;0,AI$46&gt;=$C$9+3+$C$26,SUM($E133:AH133)&lt;$C133),MIN($C133/$C$27,$C133-SUM($E133:AH133)),0)</f>
        <v/>
      </c>
      <c r="AJ133" s="90">
        <f>IF(AND($C133&gt;0,AJ$46&gt;=$C$9+3+$C$26,SUM($E133:AI133)&lt;$C133),MIN($C133/$C$27,$C133-SUM($E133:AI133)),0)</f>
        <v/>
      </c>
      <c r="AK133" s="90">
        <f>IF(AND($C133&gt;0,AK$46&gt;=$C$9+3+$C$26,SUM($E133:AJ133)&lt;$C133),MIN($C133/$C$27,$C133-SUM($E133:AJ133)),0)</f>
        <v/>
      </c>
      <c r="AL133" s="90">
        <f>IF(AND($C133&gt;0,AL$46&gt;=$C$9+3+$C$26,SUM($E133:AK133)&lt;$C133),MIN($C133/$C$27,$C133-SUM($E133:AK133)),0)</f>
        <v/>
      </c>
      <c r="AM133" s="90">
        <f>IF(AND($C133&gt;0,AM$46&gt;=$C$9+3+$C$26,SUM($E133:AL133)&lt;$C133),MIN($C133/$C$27,$C133-SUM($E133:AL133)),0)</f>
        <v/>
      </c>
      <c r="AN133" s="90">
        <f>IF(AND($C133&gt;0,AN$46&gt;=$C$9+3+$C$26,SUM($E133:AM133)&lt;$C133),MIN($C133/$C$27,$C133-SUM($E133:AM133)),0)</f>
        <v/>
      </c>
      <c r="AO133" s="90">
        <f>IF(AND($C133&gt;0,AO$46&gt;=$C$9+3+$C$26,SUM($E133:AN133)&lt;$C133),MIN($C133/$C$27,$C133-SUM($E133:AN133)),0)</f>
        <v/>
      </c>
      <c r="AP133" s="90">
        <f>IF(AND($C133&gt;0,AP$46&gt;=$C$9+3+$C$26,SUM($E133:AO133)&lt;$C133),MIN($C133/$C$27,$C133-SUM($E133:AO133)),0)</f>
        <v/>
      </c>
      <c r="AQ133" s="90">
        <f>IF(AND($C133&gt;0,AQ$46&gt;=$C$9+3+$C$26,SUM($E133:AP133)&lt;$C133),MIN($C133/$C$27,$C133-SUM($E133:AP133)),0)</f>
        <v/>
      </c>
      <c r="AR133" s="90">
        <f>IF(AND($C133&gt;0,AR$46&gt;=$C$9+3+$C$26,SUM($E133:AQ133)&lt;$C133),MIN($C133/$C$27,$C133-SUM($E133:AQ133)),0)</f>
        <v/>
      </c>
      <c r="AS133" s="90">
        <f>IF(AND($C133&gt;0,AS$46&gt;=$C$9+3+$C$26,SUM($E133:AR133)&lt;$C133),MIN($C133/$C$27,$C133-SUM($E133:AR133)),0)</f>
        <v/>
      </c>
      <c r="AT133" s="90">
        <f>IF(AND($C133&gt;0,AT$46&gt;=$C$9+3+$C$26,SUM($E133:AS133)&lt;$C133),MIN($C133/$C$27,$C133-SUM($E133:AS133)),0)</f>
        <v/>
      </c>
      <c r="AU133" s="90">
        <f>IF(AND($C133&gt;0,AU$46&gt;=$C$9+3+$C$26,SUM($E133:AT133)&lt;$C133),MIN($C133/$C$27,$C133-SUM($E133:AT133)),0)</f>
        <v/>
      </c>
      <c r="AV133" s="90">
        <f>IF(AND($C133&gt;0,AV$46&gt;=$C$9+3+$C$26,SUM($E133:AU133)&lt;$C133),MIN($C133/$C$27,$C133-SUM($E133:AU133)),0)</f>
        <v/>
      </c>
      <c r="AW133" s="90">
        <f>IF(AND($C133&gt;0,AW$46&gt;=$C$9+3+$C$26,SUM($E133:AV133)&lt;$C133),MIN($C133/$C$27,$C133-SUM($E133:AV133)),0)</f>
        <v/>
      </c>
      <c r="AX133" s="90">
        <f>IF(AND($C133&gt;0,AX$46&gt;=$C$9+3+$C$26,SUM($E133:AW133)&lt;$C133),MIN($C133/$C$27,$C133-SUM($E133:AW133)),0)</f>
        <v/>
      </c>
      <c r="AY133" s="90">
        <f>IF(AND($C133&gt;0,AY$46&gt;=$C$9+3+$C$26,SUM($E133:AX133)&lt;$C133),MIN($C133/$C$27,$C133-SUM($E133:AX133)),0)</f>
        <v/>
      </c>
      <c r="AZ133" s="90">
        <f>IF(AND($C133&gt;0,AZ$46&gt;=$C$9+3+$C$26,SUM($E133:AY133)&lt;$C133),MIN($C133/$C$27,$C133-SUM($E133:AY133)),0)</f>
        <v/>
      </c>
      <c r="BA133" s="90">
        <f>IF(AND($C133&gt;0,BA$46&gt;=$C$9+3+$C$26,SUM($E133:AZ133)&lt;$C133),MIN($C133/$C$27,$C133-SUM($E133:AZ133)),0)</f>
        <v/>
      </c>
      <c r="BB133" s="90">
        <f>IF(AND($C133&gt;0,BB$46&gt;=$C$9+3+$C$26,SUM($E133:BA133)&lt;$C133),MIN($C133/$C$27,$C133-SUM($E133:BA133)),0)</f>
        <v/>
      </c>
    </row>
    <row r="134" ht="15" customHeight="1" s="91">
      <c r="B134" s="90" t="inlineStr">
        <is>
          <t>Tranche 5</t>
        </is>
      </c>
      <c r="C134" s="170">
        <f>IF(ABS($D$49)&gt;0,SUMPRODUCT(($E$46:$BB$46=$C$9+4)*IF($E49:$BB49&lt;0,ABS($E49:$BB49),0))*$C$19/ABS($D$49),0)</f>
        <v/>
      </c>
      <c r="D134" s="90">
        <f>SUM(E134:BB134)</f>
        <v/>
      </c>
      <c r="E134" s="90">
        <f>IF(AND($C134&gt;0,E$46&gt;=$C$9+4+$C$26,0&lt;$C134),MIN($C134/$C$27,$C134-0),0)</f>
        <v/>
      </c>
      <c r="F134" s="90">
        <f>IF(AND($C134&gt;0,F$46&gt;=$C$9+4+$C$26,SUM($E134:E134)&lt;$C134),MIN($C134/$C$27,$C134-SUM($E134:E134)),0)</f>
        <v/>
      </c>
      <c r="G134" s="90">
        <f>IF(AND($C134&gt;0,G$46&gt;=$C$9+4+$C$26,SUM($E134:F134)&lt;$C134),MIN($C134/$C$27,$C134-SUM($E134:F134)),0)</f>
        <v/>
      </c>
      <c r="H134" s="90">
        <f>IF(AND($C134&gt;0,H$46&gt;=$C$9+4+$C$26,SUM($E134:G134)&lt;$C134),MIN($C134/$C$27,$C134-SUM($E134:G134)),0)</f>
        <v/>
      </c>
      <c r="I134" s="90">
        <f>IF(AND($C134&gt;0,I$46&gt;=$C$9+4+$C$26,SUM($E134:H134)&lt;$C134),MIN($C134/$C$27,$C134-SUM($E134:H134)),0)</f>
        <v/>
      </c>
      <c r="J134" s="90">
        <f>IF(AND($C134&gt;0,J$46&gt;=$C$9+4+$C$26,SUM($E134:I134)&lt;$C134),MIN($C134/$C$27,$C134-SUM($E134:I134)),0)</f>
        <v/>
      </c>
      <c r="K134" s="90">
        <f>IF(AND($C134&gt;0,K$46&gt;=$C$9+4+$C$26,SUM($E134:J134)&lt;$C134),MIN($C134/$C$27,$C134-SUM($E134:J134)),0)</f>
        <v/>
      </c>
      <c r="L134" s="90">
        <f>IF(AND($C134&gt;0,L$46&gt;=$C$9+4+$C$26,SUM($E134:K134)&lt;$C134),MIN($C134/$C$27,$C134-SUM($E134:K134)),0)</f>
        <v/>
      </c>
      <c r="M134" s="90">
        <f>IF(AND($C134&gt;0,M$46&gt;=$C$9+4+$C$26,SUM($E134:L134)&lt;$C134),MIN($C134/$C$27,$C134-SUM($E134:L134)),0)</f>
        <v/>
      </c>
      <c r="N134" s="90">
        <f>IF(AND($C134&gt;0,N$46&gt;=$C$9+4+$C$26,SUM($E134:M134)&lt;$C134),MIN($C134/$C$27,$C134-SUM($E134:M134)),0)</f>
        <v/>
      </c>
      <c r="O134" s="90">
        <f>IF(AND($C134&gt;0,O$46&gt;=$C$9+4+$C$26,SUM($E134:N134)&lt;$C134),MIN($C134/$C$27,$C134-SUM($E134:N134)),0)</f>
        <v/>
      </c>
      <c r="P134" s="90">
        <f>IF(AND($C134&gt;0,P$46&gt;=$C$9+4+$C$26,SUM($E134:O134)&lt;$C134),MIN($C134/$C$27,$C134-SUM($E134:O134)),0)</f>
        <v/>
      </c>
      <c r="Q134" s="90">
        <f>IF(AND($C134&gt;0,Q$46&gt;=$C$9+4+$C$26,SUM($E134:P134)&lt;$C134),MIN($C134/$C$27,$C134-SUM($E134:P134)),0)</f>
        <v/>
      </c>
      <c r="R134" s="90">
        <f>IF(AND($C134&gt;0,R$46&gt;=$C$9+4+$C$26,SUM($E134:Q134)&lt;$C134),MIN($C134/$C$27,$C134-SUM($E134:Q134)),0)</f>
        <v/>
      </c>
      <c r="S134" s="90">
        <f>IF(AND($C134&gt;0,S$46&gt;=$C$9+4+$C$26,SUM($E134:R134)&lt;$C134),MIN($C134/$C$27,$C134-SUM($E134:R134)),0)</f>
        <v/>
      </c>
      <c r="T134" s="90">
        <f>IF(AND($C134&gt;0,T$46&gt;=$C$9+4+$C$26,SUM($E134:S134)&lt;$C134),MIN($C134/$C$27,$C134-SUM($E134:S134)),0)</f>
        <v/>
      </c>
      <c r="U134" s="90">
        <f>IF(AND($C134&gt;0,U$46&gt;=$C$9+4+$C$26,SUM($E134:T134)&lt;$C134),MIN($C134/$C$27,$C134-SUM($E134:T134)),0)</f>
        <v/>
      </c>
      <c r="V134" s="90">
        <f>IF(AND($C134&gt;0,V$46&gt;=$C$9+4+$C$26,SUM($E134:U134)&lt;$C134),MIN($C134/$C$27,$C134-SUM($E134:U134)),0)</f>
        <v/>
      </c>
      <c r="W134" s="90">
        <f>IF(AND($C134&gt;0,W$46&gt;=$C$9+4+$C$26,SUM($E134:V134)&lt;$C134),MIN($C134/$C$27,$C134-SUM($E134:V134)),0)</f>
        <v/>
      </c>
      <c r="X134" s="90">
        <f>IF(AND($C134&gt;0,X$46&gt;=$C$9+4+$C$26,SUM($E134:W134)&lt;$C134),MIN($C134/$C$27,$C134-SUM($E134:W134)),0)</f>
        <v/>
      </c>
      <c r="Y134" s="90">
        <f>IF(AND($C134&gt;0,Y$46&gt;=$C$9+4+$C$26,SUM($E134:X134)&lt;$C134),MIN($C134/$C$27,$C134-SUM($E134:X134)),0)</f>
        <v/>
      </c>
      <c r="Z134" s="90">
        <f>IF(AND($C134&gt;0,Z$46&gt;=$C$9+4+$C$26,SUM($E134:Y134)&lt;$C134),MIN($C134/$C$27,$C134-SUM($E134:Y134)),0)</f>
        <v/>
      </c>
      <c r="AA134" s="90">
        <f>IF(AND($C134&gt;0,AA$46&gt;=$C$9+4+$C$26,SUM($E134:Z134)&lt;$C134),MIN($C134/$C$27,$C134-SUM($E134:Z134)),0)</f>
        <v/>
      </c>
      <c r="AB134" s="90">
        <f>IF(AND($C134&gt;0,AB$46&gt;=$C$9+4+$C$26,SUM($E134:AA134)&lt;$C134),MIN($C134/$C$27,$C134-SUM($E134:AA134)),0)</f>
        <v/>
      </c>
      <c r="AC134" s="90">
        <f>IF(AND($C134&gt;0,AC$46&gt;=$C$9+4+$C$26,SUM($E134:AB134)&lt;$C134),MIN($C134/$C$27,$C134-SUM($E134:AB134)),0)</f>
        <v/>
      </c>
      <c r="AD134" s="90">
        <f>IF(AND($C134&gt;0,AD$46&gt;=$C$9+4+$C$26,SUM($E134:AC134)&lt;$C134),MIN($C134/$C$27,$C134-SUM($E134:AC134)),0)</f>
        <v/>
      </c>
      <c r="AE134" s="90">
        <f>IF(AND($C134&gt;0,AE$46&gt;=$C$9+4+$C$26,SUM($E134:AD134)&lt;$C134),MIN($C134/$C$27,$C134-SUM($E134:AD134)),0)</f>
        <v/>
      </c>
      <c r="AF134" s="90">
        <f>IF(AND($C134&gt;0,AF$46&gt;=$C$9+4+$C$26,SUM($E134:AE134)&lt;$C134),MIN($C134/$C$27,$C134-SUM($E134:AE134)),0)</f>
        <v/>
      </c>
      <c r="AG134" s="90">
        <f>IF(AND($C134&gt;0,AG$46&gt;=$C$9+4+$C$26,SUM($E134:AF134)&lt;$C134),MIN($C134/$C$27,$C134-SUM($E134:AF134)),0)</f>
        <v/>
      </c>
      <c r="AH134" s="90">
        <f>IF(AND($C134&gt;0,AH$46&gt;=$C$9+4+$C$26,SUM($E134:AG134)&lt;$C134),MIN($C134/$C$27,$C134-SUM($E134:AG134)),0)</f>
        <v/>
      </c>
      <c r="AI134" s="90">
        <f>IF(AND($C134&gt;0,AI$46&gt;=$C$9+4+$C$26,SUM($E134:AH134)&lt;$C134),MIN($C134/$C$27,$C134-SUM($E134:AH134)),0)</f>
        <v/>
      </c>
      <c r="AJ134" s="90">
        <f>IF(AND($C134&gt;0,AJ$46&gt;=$C$9+4+$C$26,SUM($E134:AI134)&lt;$C134),MIN($C134/$C$27,$C134-SUM($E134:AI134)),0)</f>
        <v/>
      </c>
      <c r="AK134" s="90">
        <f>IF(AND($C134&gt;0,AK$46&gt;=$C$9+4+$C$26,SUM($E134:AJ134)&lt;$C134),MIN($C134/$C$27,$C134-SUM($E134:AJ134)),0)</f>
        <v/>
      </c>
      <c r="AL134" s="90">
        <f>IF(AND($C134&gt;0,AL$46&gt;=$C$9+4+$C$26,SUM($E134:AK134)&lt;$C134),MIN($C134/$C$27,$C134-SUM($E134:AK134)),0)</f>
        <v/>
      </c>
      <c r="AM134" s="90">
        <f>IF(AND($C134&gt;0,AM$46&gt;=$C$9+4+$C$26,SUM($E134:AL134)&lt;$C134),MIN($C134/$C$27,$C134-SUM($E134:AL134)),0)</f>
        <v/>
      </c>
      <c r="AN134" s="90">
        <f>IF(AND($C134&gt;0,AN$46&gt;=$C$9+4+$C$26,SUM($E134:AM134)&lt;$C134),MIN($C134/$C$27,$C134-SUM($E134:AM134)),0)</f>
        <v/>
      </c>
      <c r="AO134" s="90">
        <f>IF(AND($C134&gt;0,AO$46&gt;=$C$9+4+$C$26,SUM($E134:AN134)&lt;$C134),MIN($C134/$C$27,$C134-SUM($E134:AN134)),0)</f>
        <v/>
      </c>
      <c r="AP134" s="90">
        <f>IF(AND($C134&gt;0,AP$46&gt;=$C$9+4+$C$26,SUM($E134:AO134)&lt;$C134),MIN($C134/$C$27,$C134-SUM($E134:AO134)),0)</f>
        <v/>
      </c>
      <c r="AQ134" s="90">
        <f>IF(AND($C134&gt;0,AQ$46&gt;=$C$9+4+$C$26,SUM($E134:AP134)&lt;$C134),MIN($C134/$C$27,$C134-SUM($E134:AP134)),0)</f>
        <v/>
      </c>
      <c r="AR134" s="90">
        <f>IF(AND($C134&gt;0,AR$46&gt;=$C$9+4+$C$26,SUM($E134:AQ134)&lt;$C134),MIN($C134/$C$27,$C134-SUM($E134:AQ134)),0)</f>
        <v/>
      </c>
      <c r="AS134" s="90">
        <f>IF(AND($C134&gt;0,AS$46&gt;=$C$9+4+$C$26,SUM($E134:AR134)&lt;$C134),MIN($C134/$C$27,$C134-SUM($E134:AR134)),0)</f>
        <v/>
      </c>
      <c r="AT134" s="90">
        <f>IF(AND($C134&gt;0,AT$46&gt;=$C$9+4+$C$26,SUM($E134:AS134)&lt;$C134),MIN($C134/$C$27,$C134-SUM($E134:AS134)),0)</f>
        <v/>
      </c>
      <c r="AU134" s="90">
        <f>IF(AND($C134&gt;0,AU$46&gt;=$C$9+4+$C$26,SUM($E134:AT134)&lt;$C134),MIN($C134/$C$27,$C134-SUM($E134:AT134)),0)</f>
        <v/>
      </c>
      <c r="AV134" s="90">
        <f>IF(AND($C134&gt;0,AV$46&gt;=$C$9+4+$C$26,SUM($E134:AU134)&lt;$C134),MIN($C134/$C$27,$C134-SUM($E134:AU134)),0)</f>
        <v/>
      </c>
      <c r="AW134" s="90">
        <f>IF(AND($C134&gt;0,AW$46&gt;=$C$9+4+$C$26,SUM($E134:AV134)&lt;$C134),MIN($C134/$C$27,$C134-SUM($E134:AV134)),0)</f>
        <v/>
      </c>
      <c r="AX134" s="90">
        <f>IF(AND($C134&gt;0,AX$46&gt;=$C$9+4+$C$26,SUM($E134:AW134)&lt;$C134),MIN($C134/$C$27,$C134-SUM($E134:AW134)),0)</f>
        <v/>
      </c>
      <c r="AY134" s="90">
        <f>IF(AND($C134&gt;0,AY$46&gt;=$C$9+4+$C$26,SUM($E134:AX134)&lt;$C134),MIN($C134/$C$27,$C134-SUM($E134:AX134)),0)</f>
        <v/>
      </c>
      <c r="AZ134" s="90">
        <f>IF(AND($C134&gt;0,AZ$46&gt;=$C$9+4+$C$26,SUM($E134:AY134)&lt;$C134),MIN($C134/$C$27,$C134-SUM($E134:AY134)),0)</f>
        <v/>
      </c>
      <c r="BA134" s="90">
        <f>IF(AND($C134&gt;0,BA$46&gt;=$C$9+4+$C$26,SUM($E134:AZ134)&lt;$C134),MIN($C134/$C$27,$C134-SUM($E134:AZ134)),0)</f>
        <v/>
      </c>
      <c r="BB134" s="90">
        <f>IF(AND($C134&gt;0,BB$46&gt;=$C$9+4+$C$26,SUM($E134:BA134)&lt;$C134),MIN($C134/$C$27,$C134-SUM($E134:BA134)),0)</f>
        <v/>
      </c>
    </row>
    <row r="135" ht="15" customHeight="1" s="91">
      <c r="B135" s="153" t="inlineStr">
        <is>
          <t>Tranche 6</t>
        </is>
      </c>
      <c r="C135" s="160">
        <f>IF(ABS($D$49)&gt;0,SUMPRODUCT(($E$46:$BB$46=$C$9+5)*IF($E49:$BB49&lt;0,ABS($E49:$BB49),0))*$C$19/ABS($D$49),0)</f>
        <v/>
      </c>
      <c r="D135" s="160">
        <f>SUM(E135:BB135)</f>
        <v/>
      </c>
      <c r="E135" s="90">
        <f>IF(AND($C135&gt;0,E$46&gt;=$C$9+5+$C$26,0&lt;$C135),MIN($C135/$C$27,$C135-0),0)</f>
        <v/>
      </c>
      <c r="F135" s="90">
        <f>IF(AND($C135&gt;0,F$46&gt;=$C$9+5+$C$26,SUM($E135:E135)&lt;$C135),MIN($C135/$C$27,$C135-SUM($E135:E135)),0)</f>
        <v/>
      </c>
      <c r="G135" s="90">
        <f>IF(AND($C135&gt;0,G$46&gt;=$C$9+5+$C$26,SUM($E135:F135)&lt;$C135),MIN($C135/$C$27,$C135-SUM($E135:F135)),0)</f>
        <v/>
      </c>
      <c r="H135" s="90">
        <f>IF(AND($C135&gt;0,H$46&gt;=$C$9+5+$C$26,SUM($E135:G135)&lt;$C135),MIN($C135/$C$27,$C135-SUM($E135:G135)),0)</f>
        <v/>
      </c>
      <c r="I135" s="90">
        <f>IF(AND($C135&gt;0,I$46&gt;=$C$9+5+$C$26,SUM($E135:H135)&lt;$C135),MIN($C135/$C$27,$C135-SUM($E135:H135)),0)</f>
        <v/>
      </c>
      <c r="J135" s="90">
        <f>IF(AND($C135&gt;0,J$46&gt;=$C$9+5+$C$26,SUM($E135:I135)&lt;$C135),MIN($C135/$C$27,$C135-SUM($E135:I135)),0)</f>
        <v/>
      </c>
      <c r="K135" s="90">
        <f>IF(AND($C135&gt;0,K$46&gt;=$C$9+5+$C$26,SUM($E135:J135)&lt;$C135),MIN($C135/$C$27,$C135-SUM($E135:J135)),0)</f>
        <v/>
      </c>
      <c r="L135" s="90">
        <f>IF(AND($C135&gt;0,L$46&gt;=$C$9+5+$C$26,SUM($E135:K135)&lt;$C135),MIN($C135/$C$27,$C135-SUM($E135:K135)),0)</f>
        <v/>
      </c>
      <c r="M135" s="90">
        <f>IF(AND($C135&gt;0,M$46&gt;=$C$9+5+$C$26,SUM($E135:L135)&lt;$C135),MIN($C135/$C$27,$C135-SUM($E135:L135)),0)</f>
        <v/>
      </c>
      <c r="N135" s="90">
        <f>IF(AND($C135&gt;0,N$46&gt;=$C$9+5+$C$26,SUM($E135:M135)&lt;$C135),MIN($C135/$C$27,$C135-SUM($E135:M135)),0)</f>
        <v/>
      </c>
      <c r="O135" s="90">
        <f>IF(AND($C135&gt;0,O$46&gt;=$C$9+5+$C$26,SUM($E135:N135)&lt;$C135),MIN($C135/$C$27,$C135-SUM($E135:N135)),0)</f>
        <v/>
      </c>
      <c r="P135" s="90">
        <f>IF(AND($C135&gt;0,P$46&gt;=$C$9+5+$C$26,SUM($E135:O135)&lt;$C135),MIN($C135/$C$27,$C135-SUM($E135:O135)),0)</f>
        <v/>
      </c>
      <c r="Q135" s="90">
        <f>IF(AND($C135&gt;0,Q$46&gt;=$C$9+5+$C$26,SUM($E135:P135)&lt;$C135),MIN($C135/$C$27,$C135-SUM($E135:P135)),0)</f>
        <v/>
      </c>
      <c r="R135" s="90">
        <f>IF(AND($C135&gt;0,R$46&gt;=$C$9+5+$C$26,SUM($E135:Q135)&lt;$C135),MIN($C135/$C$27,$C135-SUM($E135:Q135)),0)</f>
        <v/>
      </c>
      <c r="S135" s="90">
        <f>IF(AND($C135&gt;0,S$46&gt;=$C$9+5+$C$26,SUM($E135:R135)&lt;$C135),MIN($C135/$C$27,$C135-SUM($E135:R135)),0)</f>
        <v/>
      </c>
      <c r="T135" s="90">
        <f>IF(AND($C135&gt;0,T$46&gt;=$C$9+5+$C$26,SUM($E135:S135)&lt;$C135),MIN($C135/$C$27,$C135-SUM($E135:S135)),0)</f>
        <v/>
      </c>
      <c r="U135" s="90">
        <f>IF(AND($C135&gt;0,U$46&gt;=$C$9+5+$C$26,SUM($E135:T135)&lt;$C135),MIN($C135/$C$27,$C135-SUM($E135:T135)),0)</f>
        <v/>
      </c>
      <c r="V135" s="90">
        <f>IF(AND($C135&gt;0,V$46&gt;=$C$9+5+$C$26,SUM($E135:U135)&lt;$C135),MIN($C135/$C$27,$C135-SUM($E135:U135)),0)</f>
        <v/>
      </c>
      <c r="W135" s="90">
        <f>IF(AND($C135&gt;0,W$46&gt;=$C$9+5+$C$26,SUM($E135:V135)&lt;$C135),MIN($C135/$C$27,$C135-SUM($E135:V135)),0)</f>
        <v/>
      </c>
      <c r="X135" s="90">
        <f>IF(AND($C135&gt;0,X$46&gt;=$C$9+5+$C$26,SUM($E135:W135)&lt;$C135),MIN($C135/$C$27,$C135-SUM($E135:W135)),0)</f>
        <v/>
      </c>
      <c r="Y135" s="90">
        <f>IF(AND($C135&gt;0,Y$46&gt;=$C$9+5+$C$26,SUM($E135:X135)&lt;$C135),MIN($C135/$C$27,$C135-SUM($E135:X135)),0)</f>
        <v/>
      </c>
      <c r="Z135" s="90">
        <f>IF(AND($C135&gt;0,Z$46&gt;=$C$9+5+$C$26,SUM($E135:Y135)&lt;$C135),MIN($C135/$C$27,$C135-SUM($E135:Y135)),0)</f>
        <v/>
      </c>
      <c r="AA135" s="90">
        <f>IF(AND($C135&gt;0,AA$46&gt;=$C$9+5+$C$26,SUM($E135:Z135)&lt;$C135),MIN($C135/$C$27,$C135-SUM($E135:Z135)),0)</f>
        <v/>
      </c>
      <c r="AB135" s="90">
        <f>IF(AND($C135&gt;0,AB$46&gt;=$C$9+5+$C$26,SUM($E135:AA135)&lt;$C135),MIN($C135/$C$27,$C135-SUM($E135:AA135)),0)</f>
        <v/>
      </c>
      <c r="AC135" s="90">
        <f>IF(AND($C135&gt;0,AC$46&gt;=$C$9+5+$C$26,SUM($E135:AB135)&lt;$C135),MIN($C135/$C$27,$C135-SUM($E135:AB135)),0)</f>
        <v/>
      </c>
      <c r="AD135" s="90">
        <f>IF(AND($C135&gt;0,AD$46&gt;=$C$9+5+$C$26,SUM($E135:AC135)&lt;$C135),MIN($C135/$C$27,$C135-SUM($E135:AC135)),0)</f>
        <v/>
      </c>
      <c r="AE135" s="90">
        <f>IF(AND($C135&gt;0,AE$46&gt;=$C$9+5+$C$26,SUM($E135:AD135)&lt;$C135),MIN($C135/$C$27,$C135-SUM($E135:AD135)),0)</f>
        <v/>
      </c>
      <c r="AF135" s="90">
        <f>IF(AND($C135&gt;0,AF$46&gt;=$C$9+5+$C$26,SUM($E135:AE135)&lt;$C135),MIN($C135/$C$27,$C135-SUM($E135:AE135)),0)</f>
        <v/>
      </c>
      <c r="AG135" s="90">
        <f>IF(AND($C135&gt;0,AG$46&gt;=$C$9+5+$C$26,SUM($E135:AF135)&lt;$C135),MIN($C135/$C$27,$C135-SUM($E135:AF135)),0)</f>
        <v/>
      </c>
      <c r="AH135" s="90">
        <f>IF(AND($C135&gt;0,AH$46&gt;=$C$9+5+$C$26,SUM($E135:AG135)&lt;$C135),MIN($C135/$C$27,$C135-SUM($E135:AG135)),0)</f>
        <v/>
      </c>
      <c r="AI135" s="90">
        <f>IF(AND($C135&gt;0,AI$46&gt;=$C$9+5+$C$26,SUM($E135:AH135)&lt;$C135),MIN($C135/$C$27,$C135-SUM($E135:AH135)),0)</f>
        <v/>
      </c>
      <c r="AJ135" s="90">
        <f>IF(AND($C135&gt;0,AJ$46&gt;=$C$9+5+$C$26,SUM($E135:AI135)&lt;$C135),MIN($C135/$C$27,$C135-SUM($E135:AI135)),0)</f>
        <v/>
      </c>
      <c r="AK135" s="90">
        <f>IF(AND($C135&gt;0,AK$46&gt;=$C$9+5+$C$26,SUM($E135:AJ135)&lt;$C135),MIN($C135/$C$27,$C135-SUM($E135:AJ135)),0)</f>
        <v/>
      </c>
      <c r="AL135" s="90">
        <f>IF(AND($C135&gt;0,AL$46&gt;=$C$9+5+$C$26,SUM($E135:AK135)&lt;$C135),MIN($C135/$C$27,$C135-SUM($E135:AK135)),0)</f>
        <v/>
      </c>
      <c r="AM135" s="90">
        <f>IF(AND($C135&gt;0,AM$46&gt;=$C$9+5+$C$26,SUM($E135:AL135)&lt;$C135),MIN($C135/$C$27,$C135-SUM($E135:AL135)),0)</f>
        <v/>
      </c>
      <c r="AN135" s="90">
        <f>IF(AND($C135&gt;0,AN$46&gt;=$C$9+5+$C$26,SUM($E135:AM135)&lt;$C135),MIN($C135/$C$27,$C135-SUM($E135:AM135)),0)</f>
        <v/>
      </c>
      <c r="AO135" s="90">
        <f>IF(AND($C135&gt;0,AO$46&gt;=$C$9+5+$C$26,SUM($E135:AN135)&lt;$C135),MIN($C135/$C$27,$C135-SUM($E135:AN135)),0)</f>
        <v/>
      </c>
      <c r="AP135" s="90">
        <f>IF(AND($C135&gt;0,AP$46&gt;=$C$9+5+$C$26,SUM($E135:AO135)&lt;$C135),MIN($C135/$C$27,$C135-SUM($E135:AO135)),0)</f>
        <v/>
      </c>
      <c r="AQ135" s="90">
        <f>IF(AND($C135&gt;0,AQ$46&gt;=$C$9+5+$C$26,SUM($E135:AP135)&lt;$C135),MIN($C135/$C$27,$C135-SUM($E135:AP135)),0)</f>
        <v/>
      </c>
      <c r="AR135" s="90">
        <f>IF(AND($C135&gt;0,AR$46&gt;=$C$9+5+$C$26,SUM($E135:AQ135)&lt;$C135),MIN($C135/$C$27,$C135-SUM($E135:AQ135)),0)</f>
        <v/>
      </c>
      <c r="AS135" s="90">
        <f>IF(AND($C135&gt;0,AS$46&gt;=$C$9+5+$C$26,SUM($E135:AR135)&lt;$C135),MIN($C135/$C$27,$C135-SUM($E135:AR135)),0)</f>
        <v/>
      </c>
      <c r="AT135" s="90">
        <f>IF(AND($C135&gt;0,AT$46&gt;=$C$9+5+$C$26,SUM($E135:AS135)&lt;$C135),MIN($C135/$C$27,$C135-SUM($E135:AS135)),0)</f>
        <v/>
      </c>
      <c r="AU135" s="90">
        <f>IF(AND($C135&gt;0,AU$46&gt;=$C$9+5+$C$26,SUM($E135:AT135)&lt;$C135),MIN($C135/$C$27,$C135-SUM($E135:AT135)),0)</f>
        <v/>
      </c>
      <c r="AV135" s="90">
        <f>IF(AND($C135&gt;0,AV$46&gt;=$C$9+5+$C$26,SUM($E135:AU135)&lt;$C135),MIN($C135/$C$27,$C135-SUM($E135:AU135)),0)</f>
        <v/>
      </c>
      <c r="AW135" s="90">
        <f>IF(AND($C135&gt;0,AW$46&gt;=$C$9+5+$C$26,SUM($E135:AV135)&lt;$C135),MIN($C135/$C$27,$C135-SUM($E135:AV135)),0)</f>
        <v/>
      </c>
      <c r="AX135" s="90">
        <f>IF(AND($C135&gt;0,AX$46&gt;=$C$9+5+$C$26,SUM($E135:AW135)&lt;$C135),MIN($C135/$C$27,$C135-SUM($E135:AW135)),0)</f>
        <v/>
      </c>
      <c r="AY135" s="90">
        <f>IF(AND($C135&gt;0,AY$46&gt;=$C$9+5+$C$26,SUM($E135:AX135)&lt;$C135),MIN($C135/$C$27,$C135-SUM($E135:AX135)),0)</f>
        <v/>
      </c>
      <c r="AZ135" s="90">
        <f>IF(AND($C135&gt;0,AZ$46&gt;=$C$9+5+$C$26,SUM($E135:AY135)&lt;$C135),MIN($C135/$C$27,$C135-SUM($E135:AY135)),0)</f>
        <v/>
      </c>
      <c r="BA135" s="90">
        <f>IF(AND($C135&gt;0,BA$46&gt;=$C$9+5+$C$26,SUM($E135:AZ135)&lt;$C135),MIN($C135/$C$27,$C135-SUM($E135:AZ135)),0)</f>
        <v/>
      </c>
      <c r="BB135" s="90">
        <f>IF(AND($C135&gt;0,BB$46&gt;=$C$9+5+$C$26,SUM($E135:BA135)&lt;$C135),MIN($C135/$C$27,$C135-SUM($E135:BA135)),0)</f>
        <v/>
      </c>
    </row>
    <row r="136" ht="15" customHeight="1" s="91">
      <c r="B136" s="153" t="inlineStr">
        <is>
          <t>Tranche 7</t>
        </is>
      </c>
      <c r="C136" s="160">
        <f>IF(ABS($D$49)&gt;0,SUMPRODUCT(($E$46:$BB$46=$C$9+6)*IF($E49:$BB49&lt;0,ABS($E49:$BB49),0))*$C$19/ABS($D$49),0)</f>
        <v/>
      </c>
      <c r="D136" s="160">
        <f>SUM(E136:BB136)</f>
        <v/>
      </c>
      <c r="E136" s="90">
        <f>IF(AND($C136&gt;0,E$46&gt;=$C$9+6+$C$26,0&lt;$C136),MIN($C136/$C$27,$C136-0),0)</f>
        <v/>
      </c>
      <c r="F136" s="90">
        <f>IF(AND($C136&gt;0,F$46&gt;=$C$9+6+$C$26,SUM($E136:E136)&lt;$C136),MIN($C136/$C$27,$C136-SUM($E136:E136)),0)</f>
        <v/>
      </c>
      <c r="G136" s="90">
        <f>IF(AND($C136&gt;0,G$46&gt;=$C$9+6+$C$26,SUM($E136:F136)&lt;$C136),MIN($C136/$C$27,$C136-SUM($E136:F136)),0)</f>
        <v/>
      </c>
      <c r="H136" s="90">
        <f>IF(AND($C136&gt;0,H$46&gt;=$C$9+6+$C$26,SUM($E136:G136)&lt;$C136),MIN($C136/$C$27,$C136-SUM($E136:G136)),0)</f>
        <v/>
      </c>
      <c r="I136" s="90">
        <f>IF(AND($C136&gt;0,I$46&gt;=$C$9+6+$C$26,SUM($E136:H136)&lt;$C136),MIN($C136/$C$27,$C136-SUM($E136:H136)),0)</f>
        <v/>
      </c>
      <c r="J136" s="90">
        <f>IF(AND($C136&gt;0,J$46&gt;=$C$9+6+$C$26,SUM($E136:I136)&lt;$C136),MIN($C136/$C$27,$C136-SUM($E136:I136)),0)</f>
        <v/>
      </c>
      <c r="K136" s="90">
        <f>IF(AND($C136&gt;0,K$46&gt;=$C$9+6+$C$26,SUM($E136:J136)&lt;$C136),MIN($C136/$C$27,$C136-SUM($E136:J136)),0)</f>
        <v/>
      </c>
      <c r="L136" s="90">
        <f>IF(AND($C136&gt;0,L$46&gt;=$C$9+6+$C$26,SUM($E136:K136)&lt;$C136),MIN($C136/$C$27,$C136-SUM($E136:K136)),0)</f>
        <v/>
      </c>
      <c r="M136" s="90">
        <f>IF(AND($C136&gt;0,M$46&gt;=$C$9+6+$C$26,SUM($E136:L136)&lt;$C136),MIN($C136/$C$27,$C136-SUM($E136:L136)),0)</f>
        <v/>
      </c>
      <c r="N136" s="90">
        <f>IF(AND($C136&gt;0,N$46&gt;=$C$9+6+$C$26,SUM($E136:M136)&lt;$C136),MIN($C136/$C$27,$C136-SUM($E136:M136)),0)</f>
        <v/>
      </c>
      <c r="O136" s="90">
        <f>IF(AND($C136&gt;0,O$46&gt;=$C$9+6+$C$26,SUM($E136:N136)&lt;$C136),MIN($C136/$C$27,$C136-SUM($E136:N136)),0)</f>
        <v/>
      </c>
      <c r="P136" s="90">
        <f>IF(AND($C136&gt;0,P$46&gt;=$C$9+6+$C$26,SUM($E136:O136)&lt;$C136),MIN($C136/$C$27,$C136-SUM($E136:O136)),0)</f>
        <v/>
      </c>
      <c r="Q136" s="90">
        <f>IF(AND($C136&gt;0,Q$46&gt;=$C$9+6+$C$26,SUM($E136:P136)&lt;$C136),MIN($C136/$C$27,$C136-SUM($E136:P136)),0)</f>
        <v/>
      </c>
      <c r="R136" s="90">
        <f>IF(AND($C136&gt;0,R$46&gt;=$C$9+6+$C$26,SUM($E136:Q136)&lt;$C136),MIN($C136/$C$27,$C136-SUM($E136:Q136)),0)</f>
        <v/>
      </c>
      <c r="S136" s="90">
        <f>IF(AND($C136&gt;0,S$46&gt;=$C$9+6+$C$26,SUM($E136:R136)&lt;$C136),MIN($C136/$C$27,$C136-SUM($E136:R136)),0)</f>
        <v/>
      </c>
      <c r="T136" s="90">
        <f>IF(AND($C136&gt;0,T$46&gt;=$C$9+6+$C$26,SUM($E136:S136)&lt;$C136),MIN($C136/$C$27,$C136-SUM($E136:S136)),0)</f>
        <v/>
      </c>
      <c r="U136" s="90">
        <f>IF(AND($C136&gt;0,U$46&gt;=$C$9+6+$C$26,SUM($E136:T136)&lt;$C136),MIN($C136/$C$27,$C136-SUM($E136:T136)),0)</f>
        <v/>
      </c>
      <c r="V136" s="90">
        <f>IF(AND($C136&gt;0,V$46&gt;=$C$9+6+$C$26,SUM($E136:U136)&lt;$C136),MIN($C136/$C$27,$C136-SUM($E136:U136)),0)</f>
        <v/>
      </c>
      <c r="W136" s="90">
        <f>IF(AND($C136&gt;0,W$46&gt;=$C$9+6+$C$26,SUM($E136:V136)&lt;$C136),MIN($C136/$C$27,$C136-SUM($E136:V136)),0)</f>
        <v/>
      </c>
      <c r="X136" s="90">
        <f>IF(AND($C136&gt;0,X$46&gt;=$C$9+6+$C$26,SUM($E136:W136)&lt;$C136),MIN($C136/$C$27,$C136-SUM($E136:W136)),0)</f>
        <v/>
      </c>
      <c r="Y136" s="90">
        <f>IF(AND($C136&gt;0,Y$46&gt;=$C$9+6+$C$26,SUM($E136:X136)&lt;$C136),MIN($C136/$C$27,$C136-SUM($E136:X136)),0)</f>
        <v/>
      </c>
      <c r="Z136" s="90">
        <f>IF(AND($C136&gt;0,Z$46&gt;=$C$9+6+$C$26,SUM($E136:Y136)&lt;$C136),MIN($C136/$C$27,$C136-SUM($E136:Y136)),0)</f>
        <v/>
      </c>
      <c r="AA136" s="90">
        <f>IF(AND($C136&gt;0,AA$46&gt;=$C$9+6+$C$26,SUM($E136:Z136)&lt;$C136),MIN($C136/$C$27,$C136-SUM($E136:Z136)),0)</f>
        <v/>
      </c>
      <c r="AB136" s="90">
        <f>IF(AND($C136&gt;0,AB$46&gt;=$C$9+6+$C$26,SUM($E136:AA136)&lt;$C136),MIN($C136/$C$27,$C136-SUM($E136:AA136)),0)</f>
        <v/>
      </c>
      <c r="AC136" s="90">
        <f>IF(AND($C136&gt;0,AC$46&gt;=$C$9+6+$C$26,SUM($E136:AB136)&lt;$C136),MIN($C136/$C$27,$C136-SUM($E136:AB136)),0)</f>
        <v/>
      </c>
      <c r="AD136" s="90">
        <f>IF(AND($C136&gt;0,AD$46&gt;=$C$9+6+$C$26,SUM($E136:AC136)&lt;$C136),MIN($C136/$C$27,$C136-SUM($E136:AC136)),0)</f>
        <v/>
      </c>
      <c r="AE136" s="90">
        <f>IF(AND($C136&gt;0,AE$46&gt;=$C$9+6+$C$26,SUM($E136:AD136)&lt;$C136),MIN($C136/$C$27,$C136-SUM($E136:AD136)),0)</f>
        <v/>
      </c>
      <c r="AF136" s="90">
        <f>IF(AND($C136&gt;0,AF$46&gt;=$C$9+6+$C$26,SUM($E136:AE136)&lt;$C136),MIN($C136/$C$27,$C136-SUM($E136:AE136)),0)</f>
        <v/>
      </c>
      <c r="AG136" s="90">
        <f>IF(AND($C136&gt;0,AG$46&gt;=$C$9+6+$C$26,SUM($E136:AF136)&lt;$C136),MIN($C136/$C$27,$C136-SUM($E136:AF136)),0)</f>
        <v/>
      </c>
      <c r="AH136" s="90">
        <f>IF(AND($C136&gt;0,AH$46&gt;=$C$9+6+$C$26,SUM($E136:AG136)&lt;$C136),MIN($C136/$C$27,$C136-SUM($E136:AG136)),0)</f>
        <v/>
      </c>
      <c r="AI136" s="90">
        <f>IF(AND($C136&gt;0,AI$46&gt;=$C$9+6+$C$26,SUM($E136:AH136)&lt;$C136),MIN($C136/$C$27,$C136-SUM($E136:AH136)),0)</f>
        <v/>
      </c>
      <c r="AJ136" s="90">
        <f>IF(AND($C136&gt;0,AJ$46&gt;=$C$9+6+$C$26,SUM($E136:AI136)&lt;$C136),MIN($C136/$C$27,$C136-SUM($E136:AI136)),0)</f>
        <v/>
      </c>
      <c r="AK136" s="90">
        <f>IF(AND($C136&gt;0,AK$46&gt;=$C$9+6+$C$26,SUM($E136:AJ136)&lt;$C136),MIN($C136/$C$27,$C136-SUM($E136:AJ136)),0)</f>
        <v/>
      </c>
      <c r="AL136" s="90">
        <f>IF(AND($C136&gt;0,AL$46&gt;=$C$9+6+$C$26,SUM($E136:AK136)&lt;$C136),MIN($C136/$C$27,$C136-SUM($E136:AK136)),0)</f>
        <v/>
      </c>
      <c r="AM136" s="90">
        <f>IF(AND($C136&gt;0,AM$46&gt;=$C$9+6+$C$26,SUM($E136:AL136)&lt;$C136),MIN($C136/$C$27,$C136-SUM($E136:AL136)),0)</f>
        <v/>
      </c>
      <c r="AN136" s="90">
        <f>IF(AND($C136&gt;0,AN$46&gt;=$C$9+6+$C$26,SUM($E136:AM136)&lt;$C136),MIN($C136/$C$27,$C136-SUM($E136:AM136)),0)</f>
        <v/>
      </c>
      <c r="AO136" s="90">
        <f>IF(AND($C136&gt;0,AO$46&gt;=$C$9+6+$C$26,SUM($E136:AN136)&lt;$C136),MIN($C136/$C$27,$C136-SUM($E136:AN136)),0)</f>
        <v/>
      </c>
      <c r="AP136" s="90">
        <f>IF(AND($C136&gt;0,AP$46&gt;=$C$9+6+$C$26,SUM($E136:AO136)&lt;$C136),MIN($C136/$C$27,$C136-SUM($E136:AO136)),0)</f>
        <v/>
      </c>
      <c r="AQ136" s="90">
        <f>IF(AND($C136&gt;0,AQ$46&gt;=$C$9+6+$C$26,SUM($E136:AP136)&lt;$C136),MIN($C136/$C$27,$C136-SUM($E136:AP136)),0)</f>
        <v/>
      </c>
      <c r="AR136" s="90">
        <f>IF(AND($C136&gt;0,AR$46&gt;=$C$9+6+$C$26,SUM($E136:AQ136)&lt;$C136),MIN($C136/$C$27,$C136-SUM($E136:AQ136)),0)</f>
        <v/>
      </c>
      <c r="AS136" s="90">
        <f>IF(AND($C136&gt;0,AS$46&gt;=$C$9+6+$C$26,SUM($E136:AR136)&lt;$C136),MIN($C136/$C$27,$C136-SUM($E136:AR136)),0)</f>
        <v/>
      </c>
      <c r="AT136" s="90">
        <f>IF(AND($C136&gt;0,AT$46&gt;=$C$9+6+$C$26,SUM($E136:AS136)&lt;$C136),MIN($C136/$C$27,$C136-SUM($E136:AS136)),0)</f>
        <v/>
      </c>
      <c r="AU136" s="90">
        <f>IF(AND($C136&gt;0,AU$46&gt;=$C$9+6+$C$26,SUM($E136:AT136)&lt;$C136),MIN($C136/$C$27,$C136-SUM($E136:AT136)),0)</f>
        <v/>
      </c>
      <c r="AV136" s="90">
        <f>IF(AND($C136&gt;0,AV$46&gt;=$C$9+6+$C$26,SUM($E136:AU136)&lt;$C136),MIN($C136/$C$27,$C136-SUM($E136:AU136)),0)</f>
        <v/>
      </c>
      <c r="AW136" s="90">
        <f>IF(AND($C136&gt;0,AW$46&gt;=$C$9+6+$C$26,SUM($E136:AV136)&lt;$C136),MIN($C136/$C$27,$C136-SUM($E136:AV136)),0)</f>
        <v/>
      </c>
      <c r="AX136" s="90">
        <f>IF(AND($C136&gt;0,AX$46&gt;=$C$9+6+$C$26,SUM($E136:AW136)&lt;$C136),MIN($C136/$C$27,$C136-SUM($E136:AW136)),0)</f>
        <v/>
      </c>
      <c r="AY136" s="90">
        <f>IF(AND($C136&gt;0,AY$46&gt;=$C$9+6+$C$26,SUM($E136:AX136)&lt;$C136),MIN($C136/$C$27,$C136-SUM($E136:AX136)),0)</f>
        <v/>
      </c>
      <c r="AZ136" s="90">
        <f>IF(AND($C136&gt;0,AZ$46&gt;=$C$9+6+$C$26,SUM($E136:AY136)&lt;$C136),MIN($C136/$C$27,$C136-SUM($E136:AY136)),0)</f>
        <v/>
      </c>
      <c r="BA136" s="90">
        <f>IF(AND($C136&gt;0,BA$46&gt;=$C$9+6+$C$26,SUM($E136:AZ136)&lt;$C136),MIN($C136/$C$27,$C136-SUM($E136:AZ136)),0)</f>
        <v/>
      </c>
      <c r="BB136" s="90">
        <f>IF(AND($C136&gt;0,BB$46&gt;=$C$9+6+$C$26,SUM($E136:BA136)&lt;$C136),MIN($C136/$C$27,$C136-SUM($E136:BA136)),0)</f>
        <v/>
      </c>
    </row>
    <row r="137" ht="15" customHeight="1" s="91">
      <c r="B137" s="153" t="inlineStr">
        <is>
          <t>Tranche 8</t>
        </is>
      </c>
      <c r="C137" s="160">
        <f>IF(ABS($D$49)&gt;0,SUMPRODUCT(($E$46:$BB$46=$C$9+7)*IF($E49:$BB49&lt;0,ABS($E49:$BB49),0))*$C$19/ABS($D$49),0)</f>
        <v/>
      </c>
      <c r="D137" s="160">
        <f>SUM(E137:BB137)</f>
        <v/>
      </c>
      <c r="E137" s="90">
        <f>IF(AND($C137&gt;0,E$46&gt;=$C$9+7+$C$26,0&lt;$C137),MIN($C137/$C$27,$C137-0),0)</f>
        <v/>
      </c>
      <c r="F137" s="90">
        <f>IF(AND($C137&gt;0,F$46&gt;=$C$9+7+$C$26,SUM($E137:E137)&lt;$C137),MIN($C137/$C$27,$C137-SUM($E137:E137)),0)</f>
        <v/>
      </c>
      <c r="G137" s="90">
        <f>IF(AND($C137&gt;0,G$46&gt;=$C$9+7+$C$26,SUM($E137:F137)&lt;$C137),MIN($C137/$C$27,$C137-SUM($E137:F137)),0)</f>
        <v/>
      </c>
      <c r="H137" s="90">
        <f>IF(AND($C137&gt;0,H$46&gt;=$C$9+7+$C$26,SUM($E137:G137)&lt;$C137),MIN($C137/$C$27,$C137-SUM($E137:G137)),0)</f>
        <v/>
      </c>
      <c r="I137" s="90">
        <f>IF(AND($C137&gt;0,I$46&gt;=$C$9+7+$C$26,SUM($E137:H137)&lt;$C137),MIN($C137/$C$27,$C137-SUM($E137:H137)),0)</f>
        <v/>
      </c>
      <c r="J137" s="90">
        <f>IF(AND($C137&gt;0,J$46&gt;=$C$9+7+$C$26,SUM($E137:I137)&lt;$C137),MIN($C137/$C$27,$C137-SUM($E137:I137)),0)</f>
        <v/>
      </c>
      <c r="K137" s="90">
        <f>IF(AND($C137&gt;0,K$46&gt;=$C$9+7+$C$26,SUM($E137:J137)&lt;$C137),MIN($C137/$C$27,$C137-SUM($E137:J137)),0)</f>
        <v/>
      </c>
      <c r="L137" s="90">
        <f>IF(AND($C137&gt;0,L$46&gt;=$C$9+7+$C$26,SUM($E137:K137)&lt;$C137),MIN($C137/$C$27,$C137-SUM($E137:K137)),0)</f>
        <v/>
      </c>
      <c r="M137" s="90">
        <f>IF(AND($C137&gt;0,M$46&gt;=$C$9+7+$C$26,SUM($E137:L137)&lt;$C137),MIN($C137/$C$27,$C137-SUM($E137:L137)),0)</f>
        <v/>
      </c>
      <c r="N137" s="90">
        <f>IF(AND($C137&gt;0,N$46&gt;=$C$9+7+$C$26,SUM($E137:M137)&lt;$C137),MIN($C137/$C$27,$C137-SUM($E137:M137)),0)</f>
        <v/>
      </c>
      <c r="O137" s="90">
        <f>IF(AND($C137&gt;0,O$46&gt;=$C$9+7+$C$26,SUM($E137:N137)&lt;$C137),MIN($C137/$C$27,$C137-SUM($E137:N137)),0)</f>
        <v/>
      </c>
      <c r="P137" s="90">
        <f>IF(AND($C137&gt;0,P$46&gt;=$C$9+7+$C$26,SUM($E137:O137)&lt;$C137),MIN($C137/$C$27,$C137-SUM($E137:O137)),0)</f>
        <v/>
      </c>
      <c r="Q137" s="90">
        <f>IF(AND($C137&gt;0,Q$46&gt;=$C$9+7+$C$26,SUM($E137:P137)&lt;$C137),MIN($C137/$C$27,$C137-SUM($E137:P137)),0)</f>
        <v/>
      </c>
      <c r="R137" s="90">
        <f>IF(AND($C137&gt;0,R$46&gt;=$C$9+7+$C$26,SUM($E137:Q137)&lt;$C137),MIN($C137/$C$27,$C137-SUM($E137:Q137)),0)</f>
        <v/>
      </c>
      <c r="S137" s="90">
        <f>IF(AND($C137&gt;0,S$46&gt;=$C$9+7+$C$26,SUM($E137:R137)&lt;$C137),MIN($C137/$C$27,$C137-SUM($E137:R137)),0)</f>
        <v/>
      </c>
      <c r="T137" s="90">
        <f>IF(AND($C137&gt;0,T$46&gt;=$C$9+7+$C$26,SUM($E137:S137)&lt;$C137),MIN($C137/$C$27,$C137-SUM($E137:S137)),0)</f>
        <v/>
      </c>
      <c r="U137" s="90">
        <f>IF(AND($C137&gt;0,U$46&gt;=$C$9+7+$C$26,SUM($E137:T137)&lt;$C137),MIN($C137/$C$27,$C137-SUM($E137:T137)),0)</f>
        <v/>
      </c>
      <c r="V137" s="90">
        <f>IF(AND($C137&gt;0,V$46&gt;=$C$9+7+$C$26,SUM($E137:U137)&lt;$C137),MIN($C137/$C$27,$C137-SUM($E137:U137)),0)</f>
        <v/>
      </c>
      <c r="W137" s="90">
        <f>IF(AND($C137&gt;0,W$46&gt;=$C$9+7+$C$26,SUM($E137:V137)&lt;$C137),MIN($C137/$C$27,$C137-SUM($E137:V137)),0)</f>
        <v/>
      </c>
      <c r="X137" s="90">
        <f>IF(AND($C137&gt;0,X$46&gt;=$C$9+7+$C$26,SUM($E137:W137)&lt;$C137),MIN($C137/$C$27,$C137-SUM($E137:W137)),0)</f>
        <v/>
      </c>
      <c r="Y137" s="90">
        <f>IF(AND($C137&gt;0,Y$46&gt;=$C$9+7+$C$26,SUM($E137:X137)&lt;$C137),MIN($C137/$C$27,$C137-SUM($E137:X137)),0)</f>
        <v/>
      </c>
      <c r="Z137" s="90">
        <f>IF(AND($C137&gt;0,Z$46&gt;=$C$9+7+$C$26,SUM($E137:Y137)&lt;$C137),MIN($C137/$C$27,$C137-SUM($E137:Y137)),0)</f>
        <v/>
      </c>
      <c r="AA137" s="90">
        <f>IF(AND($C137&gt;0,AA$46&gt;=$C$9+7+$C$26,SUM($E137:Z137)&lt;$C137),MIN($C137/$C$27,$C137-SUM($E137:Z137)),0)</f>
        <v/>
      </c>
      <c r="AB137" s="90">
        <f>IF(AND($C137&gt;0,AB$46&gt;=$C$9+7+$C$26,SUM($E137:AA137)&lt;$C137),MIN($C137/$C$27,$C137-SUM($E137:AA137)),0)</f>
        <v/>
      </c>
      <c r="AC137" s="90">
        <f>IF(AND($C137&gt;0,AC$46&gt;=$C$9+7+$C$26,SUM($E137:AB137)&lt;$C137),MIN($C137/$C$27,$C137-SUM($E137:AB137)),0)</f>
        <v/>
      </c>
      <c r="AD137" s="90">
        <f>IF(AND($C137&gt;0,AD$46&gt;=$C$9+7+$C$26,SUM($E137:AC137)&lt;$C137),MIN($C137/$C$27,$C137-SUM($E137:AC137)),0)</f>
        <v/>
      </c>
      <c r="AE137" s="90">
        <f>IF(AND($C137&gt;0,AE$46&gt;=$C$9+7+$C$26,SUM($E137:AD137)&lt;$C137),MIN($C137/$C$27,$C137-SUM($E137:AD137)),0)</f>
        <v/>
      </c>
      <c r="AF137" s="90">
        <f>IF(AND($C137&gt;0,AF$46&gt;=$C$9+7+$C$26,SUM($E137:AE137)&lt;$C137),MIN($C137/$C$27,$C137-SUM($E137:AE137)),0)</f>
        <v/>
      </c>
      <c r="AG137" s="90">
        <f>IF(AND($C137&gt;0,AG$46&gt;=$C$9+7+$C$26,SUM($E137:AF137)&lt;$C137),MIN($C137/$C$27,$C137-SUM($E137:AF137)),0)</f>
        <v/>
      </c>
      <c r="AH137" s="90">
        <f>IF(AND($C137&gt;0,AH$46&gt;=$C$9+7+$C$26,SUM($E137:AG137)&lt;$C137),MIN($C137/$C$27,$C137-SUM($E137:AG137)),0)</f>
        <v/>
      </c>
      <c r="AI137" s="90">
        <f>IF(AND($C137&gt;0,AI$46&gt;=$C$9+7+$C$26,SUM($E137:AH137)&lt;$C137),MIN($C137/$C$27,$C137-SUM($E137:AH137)),0)</f>
        <v/>
      </c>
      <c r="AJ137" s="90">
        <f>IF(AND($C137&gt;0,AJ$46&gt;=$C$9+7+$C$26,SUM($E137:AI137)&lt;$C137),MIN($C137/$C$27,$C137-SUM($E137:AI137)),0)</f>
        <v/>
      </c>
      <c r="AK137" s="90">
        <f>IF(AND($C137&gt;0,AK$46&gt;=$C$9+7+$C$26,SUM($E137:AJ137)&lt;$C137),MIN($C137/$C$27,$C137-SUM($E137:AJ137)),0)</f>
        <v/>
      </c>
      <c r="AL137" s="90">
        <f>IF(AND($C137&gt;0,AL$46&gt;=$C$9+7+$C$26,SUM($E137:AK137)&lt;$C137),MIN($C137/$C$27,$C137-SUM($E137:AK137)),0)</f>
        <v/>
      </c>
      <c r="AM137" s="90">
        <f>IF(AND($C137&gt;0,AM$46&gt;=$C$9+7+$C$26,SUM($E137:AL137)&lt;$C137),MIN($C137/$C$27,$C137-SUM($E137:AL137)),0)</f>
        <v/>
      </c>
      <c r="AN137" s="90">
        <f>IF(AND($C137&gt;0,AN$46&gt;=$C$9+7+$C$26,SUM($E137:AM137)&lt;$C137),MIN($C137/$C$27,$C137-SUM($E137:AM137)),0)</f>
        <v/>
      </c>
      <c r="AO137" s="90">
        <f>IF(AND($C137&gt;0,AO$46&gt;=$C$9+7+$C$26,SUM($E137:AN137)&lt;$C137),MIN($C137/$C$27,$C137-SUM($E137:AN137)),0)</f>
        <v/>
      </c>
      <c r="AP137" s="90">
        <f>IF(AND($C137&gt;0,AP$46&gt;=$C$9+7+$C$26,SUM($E137:AO137)&lt;$C137),MIN($C137/$C$27,$C137-SUM($E137:AO137)),0)</f>
        <v/>
      </c>
      <c r="AQ137" s="90">
        <f>IF(AND($C137&gt;0,AQ$46&gt;=$C$9+7+$C$26,SUM($E137:AP137)&lt;$C137),MIN($C137/$C$27,$C137-SUM($E137:AP137)),0)</f>
        <v/>
      </c>
      <c r="AR137" s="90">
        <f>IF(AND($C137&gt;0,AR$46&gt;=$C$9+7+$C$26,SUM($E137:AQ137)&lt;$C137),MIN($C137/$C$27,$C137-SUM($E137:AQ137)),0)</f>
        <v/>
      </c>
      <c r="AS137" s="90">
        <f>IF(AND($C137&gt;0,AS$46&gt;=$C$9+7+$C$26,SUM($E137:AR137)&lt;$C137),MIN($C137/$C$27,$C137-SUM($E137:AR137)),0)</f>
        <v/>
      </c>
      <c r="AT137" s="90">
        <f>IF(AND($C137&gt;0,AT$46&gt;=$C$9+7+$C$26,SUM($E137:AS137)&lt;$C137),MIN($C137/$C$27,$C137-SUM($E137:AS137)),0)</f>
        <v/>
      </c>
      <c r="AU137" s="90">
        <f>IF(AND($C137&gt;0,AU$46&gt;=$C$9+7+$C$26,SUM($E137:AT137)&lt;$C137),MIN($C137/$C$27,$C137-SUM($E137:AT137)),0)</f>
        <v/>
      </c>
      <c r="AV137" s="90">
        <f>IF(AND($C137&gt;0,AV$46&gt;=$C$9+7+$C$26,SUM($E137:AU137)&lt;$C137),MIN($C137/$C$27,$C137-SUM($E137:AU137)),0)</f>
        <v/>
      </c>
      <c r="AW137" s="90">
        <f>IF(AND($C137&gt;0,AW$46&gt;=$C$9+7+$C$26,SUM($E137:AV137)&lt;$C137),MIN($C137/$C$27,$C137-SUM($E137:AV137)),0)</f>
        <v/>
      </c>
      <c r="AX137" s="90">
        <f>IF(AND($C137&gt;0,AX$46&gt;=$C$9+7+$C$26,SUM($E137:AW137)&lt;$C137),MIN($C137/$C$27,$C137-SUM($E137:AW137)),0)</f>
        <v/>
      </c>
      <c r="AY137" s="90">
        <f>IF(AND($C137&gt;0,AY$46&gt;=$C$9+7+$C$26,SUM($E137:AX137)&lt;$C137),MIN($C137/$C$27,$C137-SUM($E137:AX137)),0)</f>
        <v/>
      </c>
      <c r="AZ137" s="90">
        <f>IF(AND($C137&gt;0,AZ$46&gt;=$C$9+7+$C$26,SUM($E137:AY137)&lt;$C137),MIN($C137/$C$27,$C137-SUM($E137:AY137)),0)</f>
        <v/>
      </c>
      <c r="BA137" s="90">
        <f>IF(AND($C137&gt;0,BA$46&gt;=$C$9+7+$C$26,SUM($E137:AZ137)&lt;$C137),MIN($C137/$C$27,$C137-SUM($E137:AZ137)),0)</f>
        <v/>
      </c>
      <c r="BB137" s="90">
        <f>IF(AND($C137&gt;0,BB$46&gt;=$C$9+7+$C$26,SUM($E137:BA137)&lt;$C137),MIN($C137/$C$27,$C137-SUM($E137:BA137)),0)</f>
        <v/>
      </c>
    </row>
    <row r="138" ht="15" customHeight="1" s="91">
      <c r="B138" s="90" t="inlineStr">
        <is>
          <t>Tranche 9</t>
        </is>
      </c>
      <c r="C138" s="170">
        <f>IF(ABS($D$49)&gt;0,SUMPRODUCT(($E$46:$BB$46=$C$9+8)*IF($E49:$BB49&lt;0,ABS($E49:$BB49),0))*$C$19/ABS($D$49),0)</f>
        <v/>
      </c>
      <c r="D138" s="90">
        <f>SUM(E138:BB138)</f>
        <v/>
      </c>
      <c r="E138" s="90">
        <f>IF(AND($C138&gt;0,E$46&gt;=$C$9+8+$C$26,0&lt;$C138),MIN($C138/$C$27,$C138-0),0)</f>
        <v/>
      </c>
      <c r="F138" s="90">
        <f>IF(AND($C138&gt;0,F$46&gt;=$C$9+8+$C$26,SUM($E138:E138)&lt;$C138),MIN($C138/$C$27,$C138-SUM($E138:E138)),0)</f>
        <v/>
      </c>
      <c r="G138" s="90">
        <f>IF(AND($C138&gt;0,G$46&gt;=$C$9+8+$C$26,SUM($E138:F138)&lt;$C138),MIN($C138/$C$27,$C138-SUM($E138:F138)),0)</f>
        <v/>
      </c>
      <c r="H138" s="90">
        <f>IF(AND($C138&gt;0,H$46&gt;=$C$9+8+$C$26,SUM($E138:G138)&lt;$C138),MIN($C138/$C$27,$C138-SUM($E138:G138)),0)</f>
        <v/>
      </c>
      <c r="I138" s="90">
        <f>IF(AND($C138&gt;0,I$46&gt;=$C$9+8+$C$26,SUM($E138:H138)&lt;$C138),MIN($C138/$C$27,$C138-SUM($E138:H138)),0)</f>
        <v/>
      </c>
      <c r="J138" s="90">
        <f>IF(AND($C138&gt;0,J$46&gt;=$C$9+8+$C$26,SUM($E138:I138)&lt;$C138),MIN($C138/$C$27,$C138-SUM($E138:I138)),0)</f>
        <v/>
      </c>
      <c r="K138" s="90">
        <f>IF(AND($C138&gt;0,K$46&gt;=$C$9+8+$C$26,SUM($E138:J138)&lt;$C138),MIN($C138/$C$27,$C138-SUM($E138:J138)),0)</f>
        <v/>
      </c>
      <c r="L138" s="90">
        <f>IF(AND($C138&gt;0,L$46&gt;=$C$9+8+$C$26,SUM($E138:K138)&lt;$C138),MIN($C138/$C$27,$C138-SUM($E138:K138)),0)</f>
        <v/>
      </c>
      <c r="M138" s="90">
        <f>IF(AND($C138&gt;0,M$46&gt;=$C$9+8+$C$26,SUM($E138:L138)&lt;$C138),MIN($C138/$C$27,$C138-SUM($E138:L138)),0)</f>
        <v/>
      </c>
      <c r="N138" s="90">
        <f>IF(AND($C138&gt;0,N$46&gt;=$C$9+8+$C$26,SUM($E138:M138)&lt;$C138),MIN($C138/$C$27,$C138-SUM($E138:M138)),0)</f>
        <v/>
      </c>
      <c r="O138" s="90">
        <f>IF(AND($C138&gt;0,O$46&gt;=$C$9+8+$C$26,SUM($E138:N138)&lt;$C138),MIN($C138/$C$27,$C138-SUM($E138:N138)),0)</f>
        <v/>
      </c>
      <c r="P138" s="90">
        <f>IF(AND($C138&gt;0,P$46&gt;=$C$9+8+$C$26,SUM($E138:O138)&lt;$C138),MIN($C138/$C$27,$C138-SUM($E138:O138)),0)</f>
        <v/>
      </c>
      <c r="Q138" s="90">
        <f>IF(AND($C138&gt;0,Q$46&gt;=$C$9+8+$C$26,SUM($E138:P138)&lt;$C138),MIN($C138/$C$27,$C138-SUM($E138:P138)),0)</f>
        <v/>
      </c>
      <c r="R138" s="90">
        <f>IF(AND($C138&gt;0,R$46&gt;=$C$9+8+$C$26,SUM($E138:Q138)&lt;$C138),MIN($C138/$C$27,$C138-SUM($E138:Q138)),0)</f>
        <v/>
      </c>
      <c r="S138" s="90">
        <f>IF(AND($C138&gt;0,S$46&gt;=$C$9+8+$C$26,SUM($E138:R138)&lt;$C138),MIN($C138/$C$27,$C138-SUM($E138:R138)),0)</f>
        <v/>
      </c>
      <c r="T138" s="90">
        <f>IF(AND($C138&gt;0,T$46&gt;=$C$9+8+$C$26,SUM($E138:S138)&lt;$C138),MIN($C138/$C$27,$C138-SUM($E138:S138)),0)</f>
        <v/>
      </c>
      <c r="U138" s="90">
        <f>IF(AND($C138&gt;0,U$46&gt;=$C$9+8+$C$26,SUM($E138:T138)&lt;$C138),MIN($C138/$C$27,$C138-SUM($E138:T138)),0)</f>
        <v/>
      </c>
      <c r="V138" s="90">
        <f>IF(AND($C138&gt;0,V$46&gt;=$C$9+8+$C$26,SUM($E138:U138)&lt;$C138),MIN($C138/$C$27,$C138-SUM($E138:U138)),0)</f>
        <v/>
      </c>
      <c r="W138" s="90">
        <f>IF(AND($C138&gt;0,W$46&gt;=$C$9+8+$C$26,SUM($E138:V138)&lt;$C138),MIN($C138/$C$27,$C138-SUM($E138:V138)),0)</f>
        <v/>
      </c>
      <c r="X138" s="90">
        <f>IF(AND($C138&gt;0,X$46&gt;=$C$9+8+$C$26,SUM($E138:W138)&lt;$C138),MIN($C138/$C$27,$C138-SUM($E138:W138)),0)</f>
        <v/>
      </c>
      <c r="Y138" s="90">
        <f>IF(AND($C138&gt;0,Y$46&gt;=$C$9+8+$C$26,SUM($E138:X138)&lt;$C138),MIN($C138/$C$27,$C138-SUM($E138:X138)),0)</f>
        <v/>
      </c>
      <c r="Z138" s="90">
        <f>IF(AND($C138&gt;0,Z$46&gt;=$C$9+8+$C$26,SUM($E138:Y138)&lt;$C138),MIN($C138/$C$27,$C138-SUM($E138:Y138)),0)</f>
        <v/>
      </c>
      <c r="AA138" s="90">
        <f>IF(AND($C138&gt;0,AA$46&gt;=$C$9+8+$C$26,SUM($E138:Z138)&lt;$C138),MIN($C138/$C$27,$C138-SUM($E138:Z138)),0)</f>
        <v/>
      </c>
      <c r="AB138" s="90">
        <f>IF(AND($C138&gt;0,AB$46&gt;=$C$9+8+$C$26,SUM($E138:AA138)&lt;$C138),MIN($C138/$C$27,$C138-SUM($E138:AA138)),0)</f>
        <v/>
      </c>
      <c r="AC138" s="90">
        <f>IF(AND($C138&gt;0,AC$46&gt;=$C$9+8+$C$26,SUM($E138:AB138)&lt;$C138),MIN($C138/$C$27,$C138-SUM($E138:AB138)),0)</f>
        <v/>
      </c>
      <c r="AD138" s="90">
        <f>IF(AND($C138&gt;0,AD$46&gt;=$C$9+8+$C$26,SUM($E138:AC138)&lt;$C138),MIN($C138/$C$27,$C138-SUM($E138:AC138)),0)</f>
        <v/>
      </c>
      <c r="AE138" s="90">
        <f>IF(AND($C138&gt;0,AE$46&gt;=$C$9+8+$C$26,SUM($E138:AD138)&lt;$C138),MIN($C138/$C$27,$C138-SUM($E138:AD138)),0)</f>
        <v/>
      </c>
      <c r="AF138" s="90">
        <f>IF(AND($C138&gt;0,AF$46&gt;=$C$9+8+$C$26,SUM($E138:AE138)&lt;$C138),MIN($C138/$C$27,$C138-SUM($E138:AE138)),0)</f>
        <v/>
      </c>
      <c r="AG138" s="90">
        <f>IF(AND($C138&gt;0,AG$46&gt;=$C$9+8+$C$26,SUM($E138:AF138)&lt;$C138),MIN($C138/$C$27,$C138-SUM($E138:AF138)),0)</f>
        <v/>
      </c>
      <c r="AH138" s="90">
        <f>IF(AND($C138&gt;0,AH$46&gt;=$C$9+8+$C$26,SUM($E138:AG138)&lt;$C138),MIN($C138/$C$27,$C138-SUM($E138:AG138)),0)</f>
        <v/>
      </c>
      <c r="AI138" s="90">
        <f>IF(AND($C138&gt;0,AI$46&gt;=$C$9+8+$C$26,SUM($E138:AH138)&lt;$C138),MIN($C138/$C$27,$C138-SUM($E138:AH138)),0)</f>
        <v/>
      </c>
      <c r="AJ138" s="90">
        <f>IF(AND($C138&gt;0,AJ$46&gt;=$C$9+8+$C$26,SUM($E138:AI138)&lt;$C138),MIN($C138/$C$27,$C138-SUM($E138:AI138)),0)</f>
        <v/>
      </c>
      <c r="AK138" s="90">
        <f>IF(AND($C138&gt;0,AK$46&gt;=$C$9+8+$C$26,SUM($E138:AJ138)&lt;$C138),MIN($C138/$C$27,$C138-SUM($E138:AJ138)),0)</f>
        <v/>
      </c>
      <c r="AL138" s="90">
        <f>IF(AND($C138&gt;0,AL$46&gt;=$C$9+8+$C$26,SUM($E138:AK138)&lt;$C138),MIN($C138/$C$27,$C138-SUM($E138:AK138)),0)</f>
        <v/>
      </c>
      <c r="AM138" s="90">
        <f>IF(AND($C138&gt;0,AM$46&gt;=$C$9+8+$C$26,SUM($E138:AL138)&lt;$C138),MIN($C138/$C$27,$C138-SUM($E138:AL138)),0)</f>
        <v/>
      </c>
      <c r="AN138" s="90">
        <f>IF(AND($C138&gt;0,AN$46&gt;=$C$9+8+$C$26,SUM($E138:AM138)&lt;$C138),MIN($C138/$C$27,$C138-SUM($E138:AM138)),0)</f>
        <v/>
      </c>
      <c r="AO138" s="90">
        <f>IF(AND($C138&gt;0,AO$46&gt;=$C$9+8+$C$26,SUM($E138:AN138)&lt;$C138),MIN($C138/$C$27,$C138-SUM($E138:AN138)),0)</f>
        <v/>
      </c>
      <c r="AP138" s="90">
        <f>IF(AND($C138&gt;0,AP$46&gt;=$C$9+8+$C$26,SUM($E138:AO138)&lt;$C138),MIN($C138/$C$27,$C138-SUM($E138:AO138)),0)</f>
        <v/>
      </c>
      <c r="AQ138" s="90">
        <f>IF(AND($C138&gt;0,AQ$46&gt;=$C$9+8+$C$26,SUM($E138:AP138)&lt;$C138),MIN($C138/$C$27,$C138-SUM($E138:AP138)),0)</f>
        <v/>
      </c>
      <c r="AR138" s="90">
        <f>IF(AND($C138&gt;0,AR$46&gt;=$C$9+8+$C$26,SUM($E138:AQ138)&lt;$C138),MIN($C138/$C$27,$C138-SUM($E138:AQ138)),0)</f>
        <v/>
      </c>
      <c r="AS138" s="90">
        <f>IF(AND($C138&gt;0,AS$46&gt;=$C$9+8+$C$26,SUM($E138:AR138)&lt;$C138),MIN($C138/$C$27,$C138-SUM($E138:AR138)),0)</f>
        <v/>
      </c>
      <c r="AT138" s="90">
        <f>IF(AND($C138&gt;0,AT$46&gt;=$C$9+8+$C$26,SUM($E138:AS138)&lt;$C138),MIN($C138/$C$27,$C138-SUM($E138:AS138)),0)</f>
        <v/>
      </c>
      <c r="AU138" s="90">
        <f>IF(AND($C138&gt;0,AU$46&gt;=$C$9+8+$C$26,SUM($E138:AT138)&lt;$C138),MIN($C138/$C$27,$C138-SUM($E138:AT138)),0)</f>
        <v/>
      </c>
      <c r="AV138" s="90">
        <f>IF(AND($C138&gt;0,AV$46&gt;=$C$9+8+$C$26,SUM($E138:AU138)&lt;$C138),MIN($C138/$C$27,$C138-SUM($E138:AU138)),0)</f>
        <v/>
      </c>
      <c r="AW138" s="90">
        <f>IF(AND($C138&gt;0,AW$46&gt;=$C$9+8+$C$26,SUM($E138:AV138)&lt;$C138),MIN($C138/$C$27,$C138-SUM($E138:AV138)),0)</f>
        <v/>
      </c>
      <c r="AX138" s="90">
        <f>IF(AND($C138&gt;0,AX$46&gt;=$C$9+8+$C$26,SUM($E138:AW138)&lt;$C138),MIN($C138/$C$27,$C138-SUM($E138:AW138)),0)</f>
        <v/>
      </c>
      <c r="AY138" s="90">
        <f>IF(AND($C138&gt;0,AY$46&gt;=$C$9+8+$C$26,SUM($E138:AX138)&lt;$C138),MIN($C138/$C$27,$C138-SUM($E138:AX138)),0)</f>
        <v/>
      </c>
      <c r="AZ138" s="90">
        <f>IF(AND($C138&gt;0,AZ$46&gt;=$C$9+8+$C$26,SUM($E138:AY138)&lt;$C138),MIN($C138/$C$27,$C138-SUM($E138:AY138)),0)</f>
        <v/>
      </c>
      <c r="BA138" s="90">
        <f>IF(AND($C138&gt;0,BA$46&gt;=$C$9+8+$C$26,SUM($E138:AZ138)&lt;$C138),MIN($C138/$C$27,$C138-SUM($E138:AZ138)),0)</f>
        <v/>
      </c>
      <c r="BB138" s="90">
        <f>IF(AND($C138&gt;0,BB$46&gt;=$C$9+8+$C$26,SUM($E138:BA138)&lt;$C138),MIN($C138/$C$27,$C138-SUM($E138:BA138)),0)</f>
        <v/>
      </c>
    </row>
    <row r="139" ht="15" customHeight="1" s="91">
      <c r="B139" s="90" t="inlineStr">
        <is>
          <t>Tranche 10</t>
        </is>
      </c>
      <c r="C139" s="170">
        <f>IF(ABS($D$49)&gt;0,SUMPRODUCT(($E$46:$BB$46=$C$9+9)*IF($E49:$BB49&lt;0,ABS($E49:$BB49),0))*$C$19/ABS($D$49),0)</f>
        <v/>
      </c>
      <c r="D139" s="90">
        <f>SUM(E139:BB139)</f>
        <v/>
      </c>
      <c r="E139" s="90">
        <f>IF(AND($C139&gt;0,E$46&gt;=$C$9+9+$C$26,0&lt;$C139),MIN($C139/$C$27,$C139-0),0)</f>
        <v/>
      </c>
      <c r="F139" s="90">
        <f>IF(AND($C139&gt;0,F$46&gt;=$C$9+9+$C$26,SUM($E139:E139)&lt;$C139),MIN($C139/$C$27,$C139-SUM($E139:E139)),0)</f>
        <v/>
      </c>
      <c r="G139" s="90">
        <f>IF(AND($C139&gt;0,G$46&gt;=$C$9+9+$C$26,SUM($E139:F139)&lt;$C139),MIN($C139/$C$27,$C139-SUM($E139:F139)),0)</f>
        <v/>
      </c>
      <c r="H139" s="90">
        <f>IF(AND($C139&gt;0,H$46&gt;=$C$9+9+$C$26,SUM($E139:G139)&lt;$C139),MIN($C139/$C$27,$C139-SUM($E139:G139)),0)</f>
        <v/>
      </c>
      <c r="I139" s="90">
        <f>IF(AND($C139&gt;0,I$46&gt;=$C$9+9+$C$26,SUM($E139:H139)&lt;$C139),MIN($C139/$C$27,$C139-SUM($E139:H139)),0)</f>
        <v/>
      </c>
      <c r="J139" s="90">
        <f>IF(AND($C139&gt;0,J$46&gt;=$C$9+9+$C$26,SUM($E139:I139)&lt;$C139),MIN($C139/$C$27,$C139-SUM($E139:I139)),0)</f>
        <v/>
      </c>
      <c r="K139" s="90">
        <f>IF(AND($C139&gt;0,K$46&gt;=$C$9+9+$C$26,SUM($E139:J139)&lt;$C139),MIN($C139/$C$27,$C139-SUM($E139:J139)),0)</f>
        <v/>
      </c>
      <c r="L139" s="90">
        <f>IF(AND($C139&gt;0,L$46&gt;=$C$9+9+$C$26,SUM($E139:K139)&lt;$C139),MIN($C139/$C$27,$C139-SUM($E139:K139)),0)</f>
        <v/>
      </c>
      <c r="M139" s="90">
        <f>IF(AND($C139&gt;0,M$46&gt;=$C$9+9+$C$26,SUM($E139:L139)&lt;$C139),MIN($C139/$C$27,$C139-SUM($E139:L139)),0)</f>
        <v/>
      </c>
      <c r="N139" s="90">
        <f>IF(AND($C139&gt;0,N$46&gt;=$C$9+9+$C$26,SUM($E139:M139)&lt;$C139),MIN($C139/$C$27,$C139-SUM($E139:M139)),0)</f>
        <v/>
      </c>
      <c r="O139" s="90">
        <f>IF(AND($C139&gt;0,O$46&gt;=$C$9+9+$C$26,SUM($E139:N139)&lt;$C139),MIN($C139/$C$27,$C139-SUM($E139:N139)),0)</f>
        <v/>
      </c>
      <c r="P139" s="90">
        <f>IF(AND($C139&gt;0,P$46&gt;=$C$9+9+$C$26,SUM($E139:O139)&lt;$C139),MIN($C139/$C$27,$C139-SUM($E139:O139)),0)</f>
        <v/>
      </c>
      <c r="Q139" s="90">
        <f>IF(AND($C139&gt;0,Q$46&gt;=$C$9+9+$C$26,SUM($E139:P139)&lt;$C139),MIN($C139/$C$27,$C139-SUM($E139:P139)),0)</f>
        <v/>
      </c>
      <c r="R139" s="90">
        <f>IF(AND($C139&gt;0,R$46&gt;=$C$9+9+$C$26,SUM($E139:Q139)&lt;$C139),MIN($C139/$C$27,$C139-SUM($E139:Q139)),0)</f>
        <v/>
      </c>
      <c r="S139" s="90">
        <f>IF(AND($C139&gt;0,S$46&gt;=$C$9+9+$C$26,SUM($E139:R139)&lt;$C139),MIN($C139/$C$27,$C139-SUM($E139:R139)),0)</f>
        <v/>
      </c>
      <c r="T139" s="90">
        <f>IF(AND($C139&gt;0,T$46&gt;=$C$9+9+$C$26,SUM($E139:S139)&lt;$C139),MIN($C139/$C$27,$C139-SUM($E139:S139)),0)</f>
        <v/>
      </c>
      <c r="U139" s="90">
        <f>IF(AND($C139&gt;0,U$46&gt;=$C$9+9+$C$26,SUM($E139:T139)&lt;$C139),MIN($C139/$C$27,$C139-SUM($E139:T139)),0)</f>
        <v/>
      </c>
      <c r="V139" s="90">
        <f>IF(AND($C139&gt;0,V$46&gt;=$C$9+9+$C$26,SUM($E139:U139)&lt;$C139),MIN($C139/$C$27,$C139-SUM($E139:U139)),0)</f>
        <v/>
      </c>
      <c r="W139" s="90">
        <f>IF(AND($C139&gt;0,W$46&gt;=$C$9+9+$C$26,SUM($E139:V139)&lt;$C139),MIN($C139/$C$27,$C139-SUM($E139:V139)),0)</f>
        <v/>
      </c>
      <c r="X139" s="90">
        <f>IF(AND($C139&gt;0,X$46&gt;=$C$9+9+$C$26,SUM($E139:W139)&lt;$C139),MIN($C139/$C$27,$C139-SUM($E139:W139)),0)</f>
        <v/>
      </c>
      <c r="Y139" s="90">
        <f>IF(AND($C139&gt;0,Y$46&gt;=$C$9+9+$C$26,SUM($E139:X139)&lt;$C139),MIN($C139/$C$27,$C139-SUM($E139:X139)),0)</f>
        <v/>
      </c>
      <c r="Z139" s="90">
        <f>IF(AND($C139&gt;0,Z$46&gt;=$C$9+9+$C$26,SUM($E139:Y139)&lt;$C139),MIN($C139/$C$27,$C139-SUM($E139:Y139)),0)</f>
        <v/>
      </c>
      <c r="AA139" s="90">
        <f>IF(AND($C139&gt;0,AA$46&gt;=$C$9+9+$C$26,SUM($E139:Z139)&lt;$C139),MIN($C139/$C$27,$C139-SUM($E139:Z139)),0)</f>
        <v/>
      </c>
      <c r="AB139" s="90">
        <f>IF(AND($C139&gt;0,AB$46&gt;=$C$9+9+$C$26,SUM($E139:AA139)&lt;$C139),MIN($C139/$C$27,$C139-SUM($E139:AA139)),0)</f>
        <v/>
      </c>
      <c r="AC139" s="90">
        <f>IF(AND($C139&gt;0,AC$46&gt;=$C$9+9+$C$26,SUM($E139:AB139)&lt;$C139),MIN($C139/$C$27,$C139-SUM($E139:AB139)),0)</f>
        <v/>
      </c>
      <c r="AD139" s="90">
        <f>IF(AND($C139&gt;0,AD$46&gt;=$C$9+9+$C$26,SUM($E139:AC139)&lt;$C139),MIN($C139/$C$27,$C139-SUM($E139:AC139)),0)</f>
        <v/>
      </c>
      <c r="AE139" s="90">
        <f>IF(AND($C139&gt;0,AE$46&gt;=$C$9+9+$C$26,SUM($E139:AD139)&lt;$C139),MIN($C139/$C$27,$C139-SUM($E139:AD139)),0)</f>
        <v/>
      </c>
      <c r="AF139" s="90">
        <f>IF(AND($C139&gt;0,AF$46&gt;=$C$9+9+$C$26,SUM($E139:AE139)&lt;$C139),MIN($C139/$C$27,$C139-SUM($E139:AE139)),0)</f>
        <v/>
      </c>
      <c r="AG139" s="90">
        <f>IF(AND($C139&gt;0,AG$46&gt;=$C$9+9+$C$26,SUM($E139:AF139)&lt;$C139),MIN($C139/$C$27,$C139-SUM($E139:AF139)),0)</f>
        <v/>
      </c>
      <c r="AH139" s="90">
        <f>IF(AND($C139&gt;0,AH$46&gt;=$C$9+9+$C$26,SUM($E139:AG139)&lt;$C139),MIN($C139/$C$27,$C139-SUM($E139:AG139)),0)</f>
        <v/>
      </c>
      <c r="AI139" s="90">
        <f>IF(AND($C139&gt;0,AI$46&gt;=$C$9+9+$C$26,SUM($E139:AH139)&lt;$C139),MIN($C139/$C$27,$C139-SUM($E139:AH139)),0)</f>
        <v/>
      </c>
      <c r="AJ139" s="90">
        <f>IF(AND($C139&gt;0,AJ$46&gt;=$C$9+9+$C$26,SUM($E139:AI139)&lt;$C139),MIN($C139/$C$27,$C139-SUM($E139:AI139)),0)</f>
        <v/>
      </c>
      <c r="AK139" s="90">
        <f>IF(AND($C139&gt;0,AK$46&gt;=$C$9+9+$C$26,SUM($E139:AJ139)&lt;$C139),MIN($C139/$C$27,$C139-SUM($E139:AJ139)),0)</f>
        <v/>
      </c>
      <c r="AL139" s="90">
        <f>IF(AND($C139&gt;0,AL$46&gt;=$C$9+9+$C$26,SUM($E139:AK139)&lt;$C139),MIN($C139/$C$27,$C139-SUM($E139:AK139)),0)</f>
        <v/>
      </c>
      <c r="AM139" s="90">
        <f>IF(AND($C139&gt;0,AM$46&gt;=$C$9+9+$C$26,SUM($E139:AL139)&lt;$C139),MIN($C139/$C$27,$C139-SUM($E139:AL139)),0)</f>
        <v/>
      </c>
      <c r="AN139" s="90">
        <f>IF(AND($C139&gt;0,AN$46&gt;=$C$9+9+$C$26,SUM($E139:AM139)&lt;$C139),MIN($C139/$C$27,$C139-SUM($E139:AM139)),0)</f>
        <v/>
      </c>
      <c r="AO139" s="90">
        <f>IF(AND($C139&gt;0,AO$46&gt;=$C$9+9+$C$26,SUM($E139:AN139)&lt;$C139),MIN($C139/$C$27,$C139-SUM($E139:AN139)),0)</f>
        <v/>
      </c>
      <c r="AP139" s="90">
        <f>IF(AND($C139&gt;0,AP$46&gt;=$C$9+9+$C$26,SUM($E139:AO139)&lt;$C139),MIN($C139/$C$27,$C139-SUM($E139:AO139)),0)</f>
        <v/>
      </c>
      <c r="AQ139" s="90">
        <f>IF(AND($C139&gt;0,AQ$46&gt;=$C$9+9+$C$26,SUM($E139:AP139)&lt;$C139),MIN($C139/$C$27,$C139-SUM($E139:AP139)),0)</f>
        <v/>
      </c>
      <c r="AR139" s="90">
        <f>IF(AND($C139&gt;0,AR$46&gt;=$C$9+9+$C$26,SUM($E139:AQ139)&lt;$C139),MIN($C139/$C$27,$C139-SUM($E139:AQ139)),0)</f>
        <v/>
      </c>
      <c r="AS139" s="90">
        <f>IF(AND($C139&gt;0,AS$46&gt;=$C$9+9+$C$26,SUM($E139:AR139)&lt;$C139),MIN($C139/$C$27,$C139-SUM($E139:AR139)),0)</f>
        <v/>
      </c>
      <c r="AT139" s="90">
        <f>IF(AND($C139&gt;0,AT$46&gt;=$C$9+9+$C$26,SUM($E139:AS139)&lt;$C139),MIN($C139/$C$27,$C139-SUM($E139:AS139)),0)</f>
        <v/>
      </c>
      <c r="AU139" s="90">
        <f>IF(AND($C139&gt;0,AU$46&gt;=$C$9+9+$C$26,SUM($E139:AT139)&lt;$C139),MIN($C139/$C$27,$C139-SUM($E139:AT139)),0)</f>
        <v/>
      </c>
      <c r="AV139" s="90">
        <f>IF(AND($C139&gt;0,AV$46&gt;=$C$9+9+$C$26,SUM($E139:AU139)&lt;$C139),MIN($C139/$C$27,$C139-SUM($E139:AU139)),0)</f>
        <v/>
      </c>
      <c r="AW139" s="90">
        <f>IF(AND($C139&gt;0,AW$46&gt;=$C$9+9+$C$26,SUM($E139:AV139)&lt;$C139),MIN($C139/$C$27,$C139-SUM($E139:AV139)),0)</f>
        <v/>
      </c>
      <c r="AX139" s="90">
        <f>IF(AND($C139&gt;0,AX$46&gt;=$C$9+9+$C$26,SUM($E139:AW139)&lt;$C139),MIN($C139/$C$27,$C139-SUM($E139:AW139)),0)</f>
        <v/>
      </c>
      <c r="AY139" s="90">
        <f>IF(AND($C139&gt;0,AY$46&gt;=$C$9+9+$C$26,SUM($E139:AX139)&lt;$C139),MIN($C139/$C$27,$C139-SUM($E139:AX139)),0)</f>
        <v/>
      </c>
      <c r="AZ139" s="90">
        <f>IF(AND($C139&gt;0,AZ$46&gt;=$C$9+9+$C$26,SUM($E139:AY139)&lt;$C139),MIN($C139/$C$27,$C139-SUM($E139:AY139)),0)</f>
        <v/>
      </c>
      <c r="BA139" s="90">
        <f>IF(AND($C139&gt;0,BA$46&gt;=$C$9+9+$C$26,SUM($E139:AZ139)&lt;$C139),MIN($C139/$C$27,$C139-SUM($E139:AZ139)),0)</f>
        <v/>
      </c>
      <c r="BB139" s="90">
        <f>IF(AND($C139&gt;0,BB$46&gt;=$C$9+9+$C$26,SUM($E139:BA139)&lt;$C139),MIN($C139/$C$27,$C139-SUM($E139:BA139)),0)</f>
        <v/>
      </c>
    </row>
    <row r="140" ht="15" customHeight="1" s="91">
      <c r="A140" s="152" t="inlineStr">
        <is>
          <t>IMPORT  البيانات المستوردة (يمكن طيها ▼)</t>
        </is>
      </c>
      <c r="B140" s="171" t="inlineStr">
        <is>
          <t>Total Tranche Repayment</t>
        </is>
      </c>
      <c r="C140" s="152" t="n"/>
      <c r="D140" s="152">
        <f>SUM(E140:BB140)</f>
        <v/>
      </c>
      <c r="E140" s="90">
        <f>SUM(E130:E139)</f>
        <v/>
      </c>
      <c r="F140" s="90">
        <f>SUM(F130:F139)</f>
        <v/>
      </c>
      <c r="G140" s="90">
        <f>SUM(G130:G139)</f>
        <v/>
      </c>
      <c r="H140" s="90">
        <f>SUM(H130:H139)</f>
        <v/>
      </c>
      <c r="I140" s="90">
        <f>SUM(I130:I139)</f>
        <v/>
      </c>
      <c r="J140" s="90">
        <f>SUM(J130:J139)</f>
        <v/>
      </c>
      <c r="K140" s="90">
        <f>SUM(K130:K139)</f>
        <v/>
      </c>
      <c r="L140" s="90">
        <f>SUM(L130:L139)</f>
        <v/>
      </c>
      <c r="M140" s="90">
        <f>SUM(M130:M139)</f>
        <v/>
      </c>
      <c r="N140" s="90">
        <f>SUM(N130:N139)</f>
        <v/>
      </c>
      <c r="O140" s="90">
        <f>SUM(O130:O139)</f>
        <v/>
      </c>
      <c r="P140" s="90">
        <f>SUM(P130:P139)</f>
        <v/>
      </c>
      <c r="Q140" s="90">
        <f>SUM(Q130:Q139)</f>
        <v/>
      </c>
      <c r="R140" s="90">
        <f>SUM(R130:R139)</f>
        <v/>
      </c>
      <c r="S140" s="90">
        <f>SUM(S130:S139)</f>
        <v/>
      </c>
      <c r="T140" s="90">
        <f>SUM(T130:T139)</f>
        <v/>
      </c>
      <c r="U140" s="90">
        <f>SUM(U130:U139)</f>
        <v/>
      </c>
      <c r="V140" s="90">
        <f>SUM(V130:V139)</f>
        <v/>
      </c>
      <c r="W140" s="90">
        <f>SUM(W130:W139)</f>
        <v/>
      </c>
      <c r="X140" s="90">
        <f>SUM(X130:X139)</f>
        <v/>
      </c>
      <c r="Y140" s="90">
        <f>SUM(Y130:Y139)</f>
        <v/>
      </c>
      <c r="Z140" s="90">
        <f>SUM(Z130:Z139)</f>
        <v/>
      </c>
      <c r="AA140" s="90">
        <f>SUM(AA130:AA139)</f>
        <v/>
      </c>
      <c r="AB140" s="90">
        <f>SUM(AB130:AB139)</f>
        <v/>
      </c>
      <c r="AC140" s="90">
        <f>SUM(AC130:AC139)</f>
        <v/>
      </c>
      <c r="AD140" s="90">
        <f>SUM(AD130:AD139)</f>
        <v/>
      </c>
      <c r="AE140" s="90">
        <f>SUM(AE130:AE139)</f>
        <v/>
      </c>
      <c r="AF140" s="90">
        <f>SUM(AF130:AF139)</f>
        <v/>
      </c>
      <c r="AG140" s="90">
        <f>SUM(AG130:AG139)</f>
        <v/>
      </c>
      <c r="AH140" s="90">
        <f>SUM(AH130:AH139)</f>
        <v/>
      </c>
      <c r="AI140" s="90">
        <f>SUM(AI130:AI139)</f>
        <v/>
      </c>
      <c r="AJ140" s="90">
        <f>SUM(AJ130:AJ139)</f>
        <v/>
      </c>
      <c r="AK140" s="90">
        <f>SUM(AK130:AK139)</f>
        <v/>
      </c>
      <c r="AL140" s="90">
        <f>SUM(AL130:AL139)</f>
        <v/>
      </c>
      <c r="AM140" s="90">
        <f>SUM(AM130:AM139)</f>
        <v/>
      </c>
      <c r="AN140" s="90">
        <f>SUM(AN130:AN139)</f>
        <v/>
      </c>
      <c r="AO140" s="90">
        <f>SUM(AO130:AO139)</f>
        <v/>
      </c>
      <c r="AP140" s="90">
        <f>SUM(AP130:AP139)</f>
        <v/>
      </c>
      <c r="AQ140" s="90">
        <f>SUM(AQ130:AQ139)</f>
        <v/>
      </c>
      <c r="AR140" s="90">
        <f>SUM(AR130:AR139)</f>
        <v/>
      </c>
      <c r="AS140" s="90">
        <f>SUM(AS130:AS139)</f>
        <v/>
      </c>
      <c r="AT140" s="90">
        <f>SUM(AT130:AT139)</f>
        <v/>
      </c>
      <c r="AU140" s="90">
        <f>SUM(AU130:AU139)</f>
        <v/>
      </c>
      <c r="AV140" s="90">
        <f>SUM(AV130:AV139)</f>
        <v/>
      </c>
      <c r="AW140" s="90">
        <f>SUM(AW130:AW139)</f>
        <v/>
      </c>
      <c r="AX140" s="90">
        <f>SUM(AX130:AX139)</f>
        <v/>
      </c>
      <c r="AY140" s="90">
        <f>SUM(AY130:AY139)</f>
        <v/>
      </c>
      <c r="AZ140" s="90">
        <f>SUM(AZ130:AZ139)</f>
        <v/>
      </c>
      <c r="BA140" s="90">
        <f>SUM(BA130:BA139)</f>
        <v/>
      </c>
      <c r="BB140" s="90">
        <f>SUM(BB130:BB139)</f>
        <v/>
      </c>
    </row>
    <row r="141" hidden="1" outlineLevel="1" ht="15" customHeight="1" s="91">
      <c r="B141" s="153" t="inlineStr">
        <is>
          <t>DevCost (excl Land)</t>
        </is>
      </c>
      <c r="C141" s="155">
        <f>C17</f>
        <v/>
      </c>
    </row>
    <row r="142" hidden="1" outlineLevel="1" ht="15" customHeight="1" s="91">
      <c r="B142" s="153" t="inlineStr">
        <is>
          <t>Land Capitalization</t>
        </is>
      </c>
      <c r="C142" s="155">
        <f>C12</f>
        <v/>
      </c>
    </row>
    <row r="143" hidden="1" outlineLevel="1" ht="15" customHeight="1" s="91">
      <c r="B143" s="153" t="inlineStr">
        <is>
          <t>Max Debt</t>
        </is>
      </c>
      <c r="C143" s="155">
        <f>C19</f>
        <v/>
      </c>
    </row>
    <row r="144" hidden="1" outlineLevel="1" ht="15" customHeight="1" s="91">
      <c r="B144" s="153" t="inlineStr">
        <is>
          <t>Total Equity</t>
        </is>
      </c>
      <c r="C144" s="155">
        <f>C14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1">
    <dataValidation sqref="C22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B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baseColWidth="8" defaultColWidth="8.6796875" defaultRowHeight="15" zeroHeight="0" outlineLevelRow="1"/>
  <cols>
    <col width="4" customWidth="1" style="90" min="1" max="1"/>
    <col width="42" customWidth="1" style="90" min="2" max="2"/>
    <col width="14" customWidth="1" style="90" min="3" max="3"/>
    <col width="18" customWidth="1" style="90" min="4" max="4"/>
    <col width="14" customWidth="1" style="90" min="5" max="54"/>
  </cols>
  <sheetData>
    <row r="1" ht="15" customHeight="1" s="91">
      <c r="A1" s="152" t="inlineStr">
        <is>
          <t>FUND MODEL - ZAN 6  نموذج الصندوق - ZAN 6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</row>
    <row r="3" ht="15" customHeight="1" s="91">
      <c r="A3" s="152" t="inlineStr">
        <is>
          <t>1  FUND INFORMATION  معلومات الصندوق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2" t="n"/>
      <c r="AS3" s="152" t="n"/>
      <c r="AT3" s="152" t="n"/>
      <c r="AU3" s="152" t="n"/>
      <c r="AV3" s="152" t="n"/>
      <c r="AW3" s="152" t="n"/>
      <c r="AX3" s="152" t="n"/>
      <c r="AY3" s="152" t="n"/>
      <c r="AZ3" s="152" t="n"/>
      <c r="BA3" s="152" t="n"/>
      <c r="BB3" s="152" t="n"/>
    </row>
    <row r="4" ht="15" customHeight="1" s="91">
      <c r="B4" s="153" t="inlineStr">
        <is>
          <t>Fund Name</t>
        </is>
      </c>
      <c r="C4" s="114" t="inlineStr">
        <is>
          <t>ZAN Infrastructure Fund</t>
        </is>
      </c>
      <c r="D4" s="120" t="inlineStr">
        <is>
          <t>اسم الصندوق</t>
        </is>
      </c>
    </row>
    <row r="5" ht="15" customHeight="1" s="91">
      <c r="B5" s="153" t="inlineStr">
        <is>
          <t>ZAN Section</t>
        </is>
      </c>
      <c r="C5" s="153" t="inlineStr">
        <is>
          <t>ZAN 6</t>
        </is>
      </c>
      <c r="D5" s="120" t="inlineStr">
        <is>
          <t>القسم</t>
        </is>
      </c>
    </row>
    <row r="6" ht="15" customHeight="1" s="91">
      <c r="B6" s="153" t="inlineStr">
        <is>
          <t>Vehicle Type</t>
        </is>
      </c>
      <c r="C6" s="114" t="inlineStr">
        <is>
          <t>Fund</t>
        </is>
      </c>
      <c r="D6" s="120" t="inlineStr">
        <is>
          <t>نوع الأداة</t>
        </is>
      </c>
    </row>
    <row r="7" ht="15" customHeight="1" s="91">
      <c r="B7" s="153" t="inlineStr">
        <is>
          <t>Strategy</t>
        </is>
      </c>
      <c r="C7" s="114" t="inlineStr">
        <is>
          <t>Develop &amp; Hold</t>
        </is>
      </c>
      <c r="D7" s="120" t="inlineStr">
        <is>
          <t>الاستراتيجية</t>
        </is>
      </c>
    </row>
    <row r="8" ht="15" customHeight="1" s="91">
      <c r="B8" s="153" t="inlineStr">
        <is>
          <t>Currency</t>
        </is>
      </c>
      <c r="C8" s="112">
        <f>Inputs!C9</f>
        <v/>
      </c>
      <c r="D8" s="120" t="inlineStr">
        <is>
          <t>العملة</t>
        </is>
      </c>
    </row>
    <row r="9" ht="15" customHeight="1" s="91">
      <c r="B9" s="153" t="inlineStr">
        <is>
          <t>Fund Start Year  سنة بداية الصندوق</t>
        </is>
      </c>
      <c r="C9" s="159">
        <f>Inputs!C7+Inputs!C50-1</f>
        <v/>
      </c>
      <c r="D9" s="120" t="inlineStr">
        <is>
          <t>سنة بداية الصندوق</t>
        </is>
      </c>
    </row>
    <row r="11" ht="15" customHeight="1" s="91">
      <c r="A11" s="152" t="inlineStr">
        <is>
          <t>2  CAPITAL STRUCTURE  هيكل رأس المال</t>
        </is>
      </c>
      <c r="B11" s="152" t="n"/>
      <c r="C11" s="152" t="n"/>
      <c r="D11" s="152" t="n"/>
      <c r="E11" s="152" t="n"/>
      <c r="F11" s="152" t="n"/>
      <c r="G11" s="152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  <c r="AA11" s="152" t="n"/>
      <c r="AB11" s="152" t="n"/>
      <c r="AC11" s="152" t="n"/>
      <c r="AD11" s="152" t="n"/>
      <c r="AE11" s="152" t="n"/>
      <c r="AF11" s="152" t="n"/>
      <c r="AG11" s="152" t="n"/>
      <c r="AH11" s="152" t="n"/>
      <c r="AI11" s="152" t="n"/>
      <c r="AJ11" s="152" t="n"/>
      <c r="AK11" s="152" t="n"/>
      <c r="AL11" s="152" t="n"/>
      <c r="AM11" s="152" t="n"/>
      <c r="AN11" s="152" t="n"/>
      <c r="AO11" s="152" t="n"/>
      <c r="AP11" s="152" t="n"/>
      <c r="AQ11" s="152" t="n"/>
      <c r="AR11" s="152" t="n"/>
      <c r="AS11" s="152" t="n"/>
      <c r="AT11" s="152" t="n"/>
      <c r="AU11" s="152" t="n"/>
      <c r="AV11" s="152" t="n"/>
      <c r="AW11" s="152" t="n"/>
      <c r="AX11" s="152" t="n"/>
      <c r="AY11" s="152" t="n"/>
      <c r="AZ11" s="152" t="n"/>
      <c r="BA11" s="152" t="n"/>
      <c r="BB11" s="152" t="n"/>
    </row>
    <row r="12" ht="15" customHeight="1" s="91">
      <c r="B12" s="153" t="inlineStr">
        <is>
          <t>GP Equity (Sponsor/Land)</t>
        </is>
      </c>
      <c r="C12" s="155">
        <f>Inputs!E72</f>
        <v/>
      </c>
      <c r="D12" s="120" t="inlineStr">
        <is>
          <t>حصة المطور (الأرض)</t>
        </is>
      </c>
    </row>
    <row r="13" ht="15" customHeight="1" s="91">
      <c r="B13" s="153" t="inlineStr">
        <is>
          <t>LP Equity (Investors)</t>
        </is>
      </c>
      <c r="C13" s="160">
        <f>C14-C12</f>
        <v/>
      </c>
      <c r="D13" s="120" t="inlineStr">
        <is>
          <t>حصة المستثمرين</t>
        </is>
      </c>
    </row>
    <row r="14" ht="15" customHeight="1" s="91">
      <c r="B14" s="153" t="inlineStr">
        <is>
          <t>Total Equity</t>
        </is>
      </c>
      <c r="C14" s="157">
        <f>C18-C19</f>
        <v/>
      </c>
      <c r="D14" s="120" t="inlineStr">
        <is>
          <t>إجمالي حقوق الملكية</t>
        </is>
      </c>
    </row>
    <row r="15" ht="15" customHeight="1" s="91">
      <c r="B15" s="153" t="inlineStr">
        <is>
          <t>Sponsor %</t>
        </is>
      </c>
      <c r="C15" s="161">
        <f>IF(C14=0,0,C12/C14)</f>
        <v/>
      </c>
    </row>
    <row r="16" ht="15" customHeight="1" s="91">
      <c r="B16" s="153" t="inlineStr">
        <is>
          <t>LP %</t>
        </is>
      </c>
      <c r="C16" s="161">
        <f>IF(C14=0,0,C13/C14)</f>
        <v/>
      </c>
    </row>
    <row r="17" ht="15" customHeight="1" s="91">
      <c r="B17" s="153" t="inlineStr">
        <is>
          <t>Development Cost (excl. Land)</t>
        </is>
      </c>
      <c r="C17" s="155">
        <f>CAPEX!D41</f>
        <v/>
      </c>
    </row>
    <row r="18" ht="15" customHeight="1" s="91">
      <c r="B18" s="153" t="inlineStr">
        <is>
          <t>Development Cost (incl. Land)</t>
        </is>
      </c>
      <c r="C18" s="157">
        <f>C17+C12</f>
        <v/>
      </c>
      <c r="D18" s="120" t="inlineStr">
        <is>
          <t>تكاليف التطوير شاملة الأرض</t>
        </is>
      </c>
    </row>
    <row r="19" ht="15" customHeight="1" s="91">
      <c r="B19" s="153" t="inlineStr">
        <is>
          <t>Max Debt</t>
        </is>
      </c>
      <c r="C19" s="155">
        <f>IF($C$22="Y",C18*Inputs!$C$85,0)</f>
        <v/>
      </c>
      <c r="D19" s="120" t="inlineStr">
        <is>
          <t>الحد الأقصى للدين</t>
        </is>
      </c>
    </row>
    <row r="21" ht="15" customHeight="1" s="91">
      <c r="A21" s="152" t="inlineStr">
        <is>
          <t>3  DEBT  الدين</t>
        </is>
      </c>
      <c r="B21" s="152" t="n"/>
      <c r="C21" s="152" t="n"/>
      <c r="D21" s="152" t="n"/>
      <c r="E21" s="152" t="n"/>
      <c r="F21" s="152" t="n"/>
      <c r="G21" s="152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  <c r="AA21" s="152" t="n"/>
      <c r="AB21" s="152" t="n"/>
      <c r="AC21" s="152" t="n"/>
      <c r="AD21" s="152" t="n"/>
      <c r="AE21" s="152" t="n"/>
      <c r="AF21" s="152" t="n"/>
      <c r="AG21" s="152" t="n"/>
      <c r="AH21" s="152" t="n"/>
      <c r="AI21" s="152" t="n"/>
      <c r="AJ21" s="152" t="n"/>
      <c r="AK21" s="152" t="n"/>
      <c r="AL21" s="152" t="n"/>
      <c r="AM21" s="152" t="n"/>
      <c r="AN21" s="152" t="n"/>
      <c r="AO21" s="152" t="n"/>
      <c r="AP21" s="152" t="n"/>
      <c r="AQ21" s="152" t="n"/>
      <c r="AR21" s="152" t="n"/>
      <c r="AS21" s="152" t="n"/>
      <c r="AT21" s="152" t="n"/>
      <c r="AU21" s="152" t="n"/>
      <c r="AV21" s="152" t="n"/>
      <c r="AW21" s="152" t="n"/>
      <c r="AX21" s="152" t="n"/>
      <c r="AY21" s="152" t="n"/>
      <c r="AZ21" s="152" t="n"/>
      <c r="BA21" s="152" t="n"/>
      <c r="BB21" s="152" t="n"/>
    </row>
    <row r="22" ht="15" customHeight="1" s="91">
      <c r="B22" s="153" t="inlineStr">
        <is>
          <t>Debt Allowed (Y/N)</t>
        </is>
      </c>
      <c r="C22" s="114" t="inlineStr">
        <is>
          <t>Y</t>
        </is>
      </c>
      <c r="D22" s="120" t="inlineStr">
        <is>
          <t>هل الدين مسموح؟</t>
        </is>
      </c>
    </row>
    <row r="23" ht="15" customHeight="1" s="91">
      <c r="B23" s="153" t="inlineStr">
        <is>
          <t>Annual Financing Rate</t>
        </is>
      </c>
      <c r="C23" s="156">
        <f>Inputs!H$126</f>
        <v/>
      </c>
      <c r="D23" s="120" t="inlineStr">
        <is>
          <t>معدل التمويل السنوي</t>
        </is>
      </c>
    </row>
    <row r="24" ht="15" customHeight="1" s="91">
      <c r="B24" s="153" t="inlineStr">
        <is>
          <t>Total Loan Tenor (incl. Grace)</t>
        </is>
      </c>
      <c r="C24" s="159">
        <f>Inputs!H$127</f>
        <v/>
      </c>
      <c r="D24" s="120" t="inlineStr">
        <is>
          <t>مدة القرض شاملة السماح</t>
        </is>
      </c>
    </row>
    <row r="25" ht="15" customHeight="1" s="91">
      <c r="B25" s="153" t="inlineStr">
        <is>
          <t>Upfront Fee %</t>
        </is>
      </c>
      <c r="C25" s="156">
        <f>Inputs!H$129</f>
        <v/>
      </c>
      <c r="D25" s="120" t="inlineStr">
        <is>
          <t>رسوم إصدار القرض</t>
        </is>
      </c>
    </row>
    <row r="26" ht="15" customHeight="1" s="91">
      <c r="B26" s="153" t="inlineStr">
        <is>
          <t>Grace Period (years)</t>
        </is>
      </c>
      <c r="C26" s="159">
        <f>Inputs!H$128</f>
        <v/>
      </c>
      <c r="D26" s="120" t="inlineStr">
        <is>
          <t>فترة السماح</t>
        </is>
      </c>
    </row>
    <row r="27" ht="15" customHeight="1" s="91">
      <c r="B27" s="90" t="inlineStr">
        <is>
          <t>Repay Years  سنوات السداد</t>
        </is>
      </c>
      <c r="C27" s="90">
        <f>C24-C26</f>
        <v/>
      </c>
    </row>
    <row r="28" ht="15" customHeight="1" s="91">
      <c r="A28" s="152" t="inlineStr">
        <is>
          <t>4  FEES  الرسوم</t>
        </is>
      </c>
      <c r="B28" s="152" t="inlineStr">
        <is>
          <t>Debt Tranche Mode  نمط الشرائح</t>
        </is>
      </c>
      <c r="C28" s="152">
        <f>Inputs!H$144</f>
        <v/>
      </c>
      <c r="D28" s="152" t="n"/>
      <c r="E28" s="152" t="n"/>
      <c r="F28" s="152" t="n"/>
      <c r="G28" s="152" t="n"/>
      <c r="H28" s="152" t="n"/>
      <c r="I28" s="152" t="n"/>
      <c r="J28" s="152" t="n"/>
      <c r="K28" s="152" t="n"/>
      <c r="L28" s="152" t="n"/>
      <c r="M28" s="152" t="n"/>
      <c r="N28" s="152" t="n"/>
      <c r="O28" s="152" t="n"/>
      <c r="P28" s="152" t="n"/>
      <c r="Q28" s="152" t="n"/>
      <c r="R28" s="152" t="n"/>
      <c r="S28" s="152" t="n"/>
      <c r="T28" s="152" t="n"/>
      <c r="U28" s="152" t="n"/>
      <c r="V28" s="152" t="n"/>
      <c r="W28" s="152" t="n"/>
      <c r="X28" s="152" t="n"/>
      <c r="Y28" s="152" t="n"/>
      <c r="Z28" s="152" t="n"/>
      <c r="AA28" s="152" t="n"/>
      <c r="AB28" s="152" t="n"/>
      <c r="AC28" s="152" t="n"/>
      <c r="AD28" s="152" t="n"/>
      <c r="AE28" s="152" t="n"/>
      <c r="AF28" s="152" t="n"/>
      <c r="AG28" s="152" t="n"/>
      <c r="AH28" s="152" t="n"/>
      <c r="AI28" s="152" t="n"/>
      <c r="AJ28" s="152" t="n"/>
      <c r="AK28" s="152" t="n"/>
      <c r="AL28" s="152" t="n"/>
      <c r="AM28" s="152" t="n"/>
      <c r="AN28" s="152" t="n"/>
      <c r="AO28" s="152" t="n"/>
      <c r="AP28" s="152" t="n"/>
      <c r="AQ28" s="152" t="n"/>
      <c r="AR28" s="152" t="n"/>
      <c r="AS28" s="152" t="n"/>
      <c r="AT28" s="152" t="n"/>
      <c r="AU28" s="152" t="n"/>
      <c r="AV28" s="152" t="n"/>
      <c r="AW28" s="152" t="n"/>
      <c r="AX28" s="152" t="n"/>
      <c r="AY28" s="152" t="n"/>
      <c r="AZ28" s="152" t="n"/>
      <c r="BA28" s="152" t="n"/>
      <c r="BB28" s="152" t="n"/>
    </row>
    <row r="29" ht="15" customHeight="1" s="91">
      <c r="B29" s="153" t="inlineStr">
        <is>
          <t>Subscription Fee</t>
        </is>
      </c>
      <c r="C29" s="156">
        <f>Inputs!H$130</f>
        <v/>
      </c>
      <c r="D29" s="120" t="inlineStr">
        <is>
          <t>رسوم الاشتراك</t>
        </is>
      </c>
    </row>
    <row r="30" ht="15" customHeight="1" s="91">
      <c r="B30" s="153" t="inlineStr">
        <is>
          <t>Annual Management Fee</t>
        </is>
      </c>
      <c r="C30" s="156">
        <f>Inputs!H$131</f>
        <v/>
      </c>
      <c r="D30" s="120" t="inlineStr">
        <is>
          <t>رسوم الإدارة السنوية</t>
        </is>
      </c>
    </row>
    <row r="31" ht="15" customHeight="1" s="91">
      <c r="B31" s="153" t="inlineStr">
        <is>
          <t>Annual Custody Fee (Fixed SAR)</t>
        </is>
      </c>
      <c r="C31" s="155">
        <f>Inputs!H$132</f>
        <v/>
      </c>
      <c r="D31" s="120" t="inlineStr">
        <is>
          <t>رسوم الحفظ السنوية</t>
        </is>
      </c>
    </row>
    <row r="32" ht="15" customHeight="1" s="91">
      <c r="B32" s="153" t="inlineStr">
        <is>
          <t>Developer Fee % (of CAPEX)</t>
        </is>
      </c>
      <c r="C32" s="156">
        <f>Inputs!H$133</f>
        <v/>
      </c>
      <c r="D32" s="120" t="inlineStr">
        <is>
          <t>رسوم المطور</t>
        </is>
      </c>
    </row>
    <row r="33" ht="15" customHeight="1" s="91">
      <c r="B33" s="153" t="inlineStr">
        <is>
          <t>Structuring Fee</t>
        </is>
      </c>
      <c r="C33" s="156">
        <f>Inputs!H$134</f>
        <v/>
      </c>
      <c r="D33" s="120" t="inlineStr">
        <is>
          <t>رسوم الهيكلة</t>
        </is>
      </c>
    </row>
    <row r="35" ht="15" customHeight="1" s="91">
      <c r="A35" s="152" t="inlineStr">
        <is>
          <t>5  WATERFALL  شلال التوزيعات</t>
        </is>
      </c>
      <c r="B35" s="152" t="n"/>
      <c r="C35" s="152" t="n"/>
      <c r="D35" s="152" t="n"/>
      <c r="E35" s="152" t="n"/>
      <c r="F35" s="152" t="n"/>
      <c r="G35" s="152" t="n"/>
      <c r="H35" s="152" t="n"/>
      <c r="I35" s="152" t="n"/>
      <c r="J35" s="152" t="n"/>
      <c r="K35" s="152" t="n"/>
      <c r="L35" s="152" t="n"/>
      <c r="M35" s="152" t="n"/>
      <c r="N35" s="152" t="n"/>
      <c r="O35" s="152" t="n"/>
      <c r="P35" s="152" t="n"/>
      <c r="Q35" s="152" t="n"/>
      <c r="R35" s="152" t="n"/>
      <c r="S35" s="152" t="n"/>
      <c r="T35" s="152" t="n"/>
      <c r="U35" s="152" t="n"/>
      <c r="V35" s="152" t="n"/>
      <c r="W35" s="152" t="n"/>
      <c r="X35" s="152" t="n"/>
      <c r="Y35" s="152" t="n"/>
      <c r="Z35" s="152" t="n"/>
      <c r="AA35" s="152" t="n"/>
      <c r="AB35" s="152" t="n"/>
      <c r="AC35" s="152" t="n"/>
      <c r="AD35" s="152" t="n"/>
      <c r="AE35" s="152" t="n"/>
      <c r="AF35" s="152" t="n"/>
      <c r="AG35" s="152" t="n"/>
      <c r="AH35" s="152" t="n"/>
      <c r="AI35" s="152" t="n"/>
      <c r="AJ35" s="152" t="n"/>
      <c r="AK35" s="152" t="n"/>
      <c r="AL35" s="152" t="n"/>
      <c r="AM35" s="152" t="n"/>
      <c r="AN35" s="152" t="n"/>
      <c r="AO35" s="152" t="n"/>
      <c r="AP35" s="152" t="n"/>
      <c r="AQ35" s="152" t="n"/>
      <c r="AR35" s="152" t="n"/>
      <c r="AS35" s="152" t="n"/>
      <c r="AT35" s="152" t="n"/>
      <c r="AU35" s="152" t="n"/>
      <c r="AV35" s="152" t="n"/>
      <c r="AW35" s="152" t="n"/>
      <c r="AX35" s="152" t="n"/>
      <c r="AY35" s="152" t="n"/>
      <c r="AZ35" s="152" t="n"/>
      <c r="BA35" s="152" t="n"/>
      <c r="BB35" s="152" t="n"/>
    </row>
    <row r="36" ht="15" customHeight="1" s="91">
      <c r="B36" s="153" t="inlineStr">
        <is>
          <t>Preferred Return %</t>
        </is>
      </c>
      <c r="C36" s="156">
        <f>Inputs!H$135</f>
        <v/>
      </c>
      <c r="D36" s="120" t="inlineStr">
        <is>
          <t>العائد التفضيلي</t>
        </is>
      </c>
    </row>
    <row r="37" ht="15" customHeight="1" s="91">
      <c r="B37" s="153" t="inlineStr">
        <is>
          <t>GP Catch-up? (Y/N)</t>
        </is>
      </c>
      <c r="C37" s="112">
        <f>Inputs!H$136</f>
        <v/>
      </c>
      <c r="D37" s="120" t="inlineStr">
        <is>
          <t>تعويض المطور</t>
        </is>
      </c>
    </row>
    <row r="38" ht="15" customHeight="1" s="91">
      <c r="B38" s="153" t="inlineStr">
        <is>
          <t>Carry %</t>
        </is>
      </c>
      <c r="C38" s="156">
        <f>Inputs!H$137</f>
        <v/>
      </c>
      <c r="D38" s="120" t="inlineStr">
        <is>
          <t>نسبة الأداء</t>
        </is>
      </c>
    </row>
    <row r="40" ht="15" customHeight="1" s="91">
      <c r="A40" s="152" t="inlineStr">
        <is>
          <t>6  EXIT  التخارج</t>
        </is>
      </c>
      <c r="B40" s="152" t="n"/>
      <c r="C40" s="152" t="n"/>
      <c r="D40" s="152" t="n"/>
      <c r="E40" s="152" t="n"/>
      <c r="F40" s="152" t="n"/>
      <c r="G40" s="152" t="n"/>
      <c r="H40" s="152" t="n"/>
      <c r="I40" s="152" t="n"/>
      <c r="J40" s="152" t="n"/>
      <c r="K40" s="152" t="n"/>
      <c r="L40" s="152" t="n"/>
      <c r="M40" s="152" t="n"/>
      <c r="N40" s="152" t="n"/>
      <c r="O40" s="152" t="n"/>
      <c r="P40" s="152" t="n"/>
      <c r="Q40" s="152" t="n"/>
      <c r="R40" s="152" t="n"/>
      <c r="S40" s="152" t="n"/>
      <c r="T40" s="152" t="n"/>
      <c r="U40" s="152" t="n"/>
      <c r="V40" s="152" t="n"/>
      <c r="W40" s="152" t="n"/>
      <c r="X40" s="152" t="n"/>
      <c r="Y40" s="152" t="n"/>
      <c r="Z40" s="152" t="n"/>
      <c r="AA40" s="152" t="n"/>
      <c r="AB40" s="152" t="n"/>
      <c r="AC40" s="152" t="n"/>
      <c r="AD40" s="152" t="n"/>
      <c r="AE40" s="152" t="n"/>
      <c r="AF40" s="152" t="n"/>
      <c r="AG40" s="152" t="n"/>
      <c r="AH40" s="152" t="n"/>
      <c r="AI40" s="152" t="n"/>
      <c r="AJ40" s="152" t="n"/>
      <c r="AK40" s="152" t="n"/>
      <c r="AL40" s="152" t="n"/>
      <c r="AM40" s="152" t="n"/>
      <c r="AN40" s="152" t="n"/>
      <c r="AO40" s="152" t="n"/>
      <c r="AP40" s="152" t="n"/>
      <c r="AQ40" s="152" t="n"/>
      <c r="AR40" s="152" t="n"/>
      <c r="AS40" s="152" t="n"/>
      <c r="AT40" s="152" t="n"/>
      <c r="AU40" s="152" t="n"/>
      <c r="AV40" s="152" t="n"/>
      <c r="AW40" s="152" t="n"/>
      <c r="AX40" s="152" t="n"/>
      <c r="AY40" s="152" t="n"/>
      <c r="AZ40" s="152" t="n"/>
      <c r="BA40" s="152" t="n"/>
      <c r="BB40" s="152" t="n"/>
    </row>
    <row r="41" ht="15" customHeight="1" s="91">
      <c r="B41" s="153" t="inlineStr">
        <is>
          <t>Exit Year</t>
        </is>
      </c>
      <c r="C41" s="159">
        <f>Inputs!H$138</f>
        <v/>
      </c>
      <c r="D41" s="120" t="inlineStr">
        <is>
          <t>سنة التخارج</t>
        </is>
      </c>
    </row>
    <row r="42" ht="15" customHeight="1" s="91">
      <c r="B42" s="153" t="inlineStr">
        <is>
          <t>Exit Multiple (x rent)</t>
        </is>
      </c>
      <c r="C42" s="162">
        <f>Inputs!H$139</f>
        <v/>
      </c>
      <c r="D42" s="120" t="inlineStr">
        <is>
          <t>مضاعف الإيجار</t>
        </is>
      </c>
    </row>
    <row r="43" ht="15" customHeight="1" s="91">
      <c r="B43" s="153" t="inlineStr">
        <is>
          <t>Exit Cost %</t>
        </is>
      </c>
      <c r="C43" s="156">
        <f>Inputs!H$140</f>
        <v/>
      </c>
      <c r="D43" s="120" t="inlineStr">
        <is>
          <t>تكلفة التخارج</t>
        </is>
      </c>
    </row>
    <row r="44" ht="15" customHeight="1" s="91">
      <c r="B44" s="90" t="inlineStr">
        <is>
          <t>Exit Method</t>
        </is>
      </c>
      <c r="C44" s="90">
        <f>Inputs!$C$107</f>
        <v/>
      </c>
      <c r="D44" s="163" t="inlineStr">
        <is>
          <t>طريقة التخارج</t>
        </is>
      </c>
    </row>
    <row r="45" ht="15" customHeight="1" s="91">
      <c r="A45" s="152" t="inlineStr">
        <is>
          <t>7  PROJECT CASH FLOWS (Unlevered)  تدفقات المشروع</t>
        </is>
      </c>
      <c r="B45" s="152" t="inlineStr">
        <is>
          <t>Exit Cap Rate %</t>
        </is>
      </c>
      <c r="C45" s="164">
        <f>Inputs!H$141</f>
        <v/>
      </c>
      <c r="D45" s="152" t="inlineStr">
        <is>
          <t>معدل الرسملة</t>
        </is>
      </c>
      <c r="E45" s="152" t="n"/>
      <c r="F45" s="152" t="n"/>
      <c r="G45" s="152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2" t="n"/>
      <c r="S45" s="152" t="n"/>
      <c r="T45" s="152" t="n"/>
      <c r="U45" s="152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  <c r="AK45" s="152" t="n"/>
      <c r="AL45" s="152" t="n"/>
      <c r="AM45" s="152" t="n"/>
      <c r="AN45" s="152" t="n"/>
      <c r="AO45" s="152" t="n"/>
      <c r="AP45" s="152" t="n"/>
      <c r="AQ45" s="152" t="n"/>
      <c r="AR45" s="152" t="n"/>
      <c r="AS45" s="152" t="n"/>
      <c r="AT45" s="152" t="n"/>
      <c r="AU45" s="152" t="n"/>
      <c r="AV45" s="152" t="n"/>
      <c r="AW45" s="152" t="n"/>
      <c r="AX45" s="152" t="n"/>
      <c r="AY45" s="152" t="n"/>
      <c r="AZ45" s="152" t="n"/>
      <c r="BA45" s="152" t="n"/>
      <c r="BB45" s="152" t="n"/>
    </row>
    <row r="46" ht="15" customHeight="1" s="91">
      <c r="C46" s="165" t="inlineStr">
        <is>
          <t>Unit</t>
        </is>
      </c>
      <c r="D46" s="165" t="inlineStr">
        <is>
          <t>Total</t>
        </is>
      </c>
      <c r="E46" s="166">
        <f>Inputs!$C$7+0</f>
        <v/>
      </c>
      <c r="F46" s="166">
        <f>Inputs!$C$7+1</f>
        <v/>
      </c>
      <c r="G46" s="166">
        <f>Inputs!$C$7+2</f>
        <v/>
      </c>
      <c r="H46" s="166">
        <f>Inputs!$C$7+3</f>
        <v/>
      </c>
      <c r="I46" s="166">
        <f>Inputs!$C$7+4</f>
        <v/>
      </c>
      <c r="J46" s="166">
        <f>Inputs!$C$7+5</f>
        <v/>
      </c>
      <c r="K46" s="166">
        <f>Inputs!$C$7+6</f>
        <v/>
      </c>
      <c r="L46" s="166">
        <f>Inputs!$C$7+7</f>
        <v/>
      </c>
      <c r="M46" s="166">
        <f>Inputs!$C$7+8</f>
        <v/>
      </c>
      <c r="N46" s="166">
        <f>Inputs!$C$7+9</f>
        <v/>
      </c>
      <c r="O46" s="166">
        <f>Inputs!$C$7+10</f>
        <v/>
      </c>
      <c r="P46" s="166">
        <f>Inputs!$C$7+11</f>
        <v/>
      </c>
      <c r="Q46" s="166">
        <f>Inputs!$C$7+12</f>
        <v/>
      </c>
      <c r="R46" s="166">
        <f>Inputs!$C$7+13</f>
        <v/>
      </c>
      <c r="S46" s="166">
        <f>Inputs!$C$7+14</f>
        <v/>
      </c>
      <c r="T46" s="166">
        <f>Inputs!$C$7+15</f>
        <v/>
      </c>
      <c r="U46" s="166">
        <f>Inputs!$C$7+16</f>
        <v/>
      </c>
      <c r="V46" s="166">
        <f>Inputs!$C$7+17</f>
        <v/>
      </c>
      <c r="W46" s="166">
        <f>Inputs!$C$7+18</f>
        <v/>
      </c>
      <c r="X46" s="166">
        <f>Inputs!$C$7+19</f>
        <v/>
      </c>
      <c r="Y46" s="166">
        <f>Inputs!$C$7+20</f>
        <v/>
      </c>
      <c r="Z46" s="166">
        <f>Inputs!$C$7+21</f>
        <v/>
      </c>
      <c r="AA46" s="166">
        <f>Inputs!$C$7+22</f>
        <v/>
      </c>
      <c r="AB46" s="166">
        <f>Inputs!$C$7+23</f>
        <v/>
      </c>
      <c r="AC46" s="166">
        <f>Inputs!$C$7+24</f>
        <v/>
      </c>
      <c r="AD46" s="166">
        <f>Inputs!$C$7+25</f>
        <v/>
      </c>
      <c r="AE46" s="166">
        <f>Inputs!$C$7+26</f>
        <v/>
      </c>
      <c r="AF46" s="166">
        <f>Inputs!$C$7+27</f>
        <v/>
      </c>
      <c r="AG46" s="166">
        <f>Inputs!$C$7+28</f>
        <v/>
      </c>
      <c r="AH46" s="166">
        <f>Inputs!$C$7+29</f>
        <v/>
      </c>
      <c r="AI46" s="166">
        <f>Inputs!$C$7+30</f>
        <v/>
      </c>
      <c r="AJ46" s="166">
        <f>Inputs!$C$7+31</f>
        <v/>
      </c>
      <c r="AK46" s="166">
        <f>Inputs!$C$7+32</f>
        <v/>
      </c>
      <c r="AL46" s="166">
        <f>Inputs!$C$7+33</f>
        <v/>
      </c>
      <c r="AM46" s="166">
        <f>Inputs!$C$7+34</f>
        <v/>
      </c>
      <c r="AN46" s="166">
        <f>Inputs!$C$7+35</f>
        <v/>
      </c>
      <c r="AO46" s="166">
        <f>Inputs!$C$7+36</f>
        <v/>
      </c>
      <c r="AP46" s="166">
        <f>Inputs!$C$7+37</f>
        <v/>
      </c>
      <c r="AQ46" s="166">
        <f>Inputs!$C$7+38</f>
        <v/>
      </c>
      <c r="AR46" s="166">
        <f>Inputs!$C$7+39</f>
        <v/>
      </c>
      <c r="AS46" s="166">
        <f>Inputs!$C$7+40</f>
        <v/>
      </c>
      <c r="AT46" s="166">
        <f>Inputs!$C$7+41</f>
        <v/>
      </c>
      <c r="AU46" s="166">
        <f>Inputs!$C$7+42</f>
        <v/>
      </c>
      <c r="AV46" s="166">
        <f>Inputs!$C$7+43</f>
        <v/>
      </c>
      <c r="AW46" s="166">
        <f>Inputs!$C$7+44</f>
        <v/>
      </c>
      <c r="AX46" s="166">
        <f>Inputs!$C$7+45</f>
        <v/>
      </c>
      <c r="AY46" s="166">
        <f>Inputs!$C$7+46</f>
        <v/>
      </c>
      <c r="AZ46" s="166">
        <f>Inputs!$C$7+47</f>
        <v/>
      </c>
      <c r="BA46" s="166">
        <f>Inputs!$C$7+48</f>
        <v/>
      </c>
      <c r="BB46" s="166">
        <f>Inputs!$C$7+49</f>
        <v/>
      </c>
    </row>
    <row r="47" ht="15" customHeight="1" s="91">
      <c r="B47" s="153" t="inlineStr">
        <is>
          <t>Rental Income  الإيرادات</t>
        </is>
      </c>
      <c r="C47" s="153" t="inlineStr">
        <is>
          <t>SAR</t>
        </is>
      </c>
      <c r="D47" s="157">
        <f>SUM(E47:BB47)</f>
        <v/>
      </c>
      <c r="E47" s="155">
        <f>CashFlow!D40</f>
        <v/>
      </c>
      <c r="F47" s="155">
        <f>CashFlow!E40</f>
        <v/>
      </c>
      <c r="G47" s="155">
        <f>CashFlow!F40</f>
        <v/>
      </c>
      <c r="H47" s="155">
        <f>CashFlow!G40</f>
        <v/>
      </c>
      <c r="I47" s="155">
        <f>CashFlow!H40</f>
        <v/>
      </c>
      <c r="J47" s="155">
        <f>CashFlow!I40</f>
        <v/>
      </c>
      <c r="K47" s="155">
        <f>CashFlow!J40</f>
        <v/>
      </c>
      <c r="L47" s="155">
        <f>CashFlow!K40</f>
        <v/>
      </c>
      <c r="M47" s="155">
        <f>CashFlow!L40</f>
        <v/>
      </c>
      <c r="N47" s="155">
        <f>CashFlow!M40</f>
        <v/>
      </c>
      <c r="O47" s="155">
        <f>CashFlow!N40</f>
        <v/>
      </c>
      <c r="P47" s="155">
        <f>CashFlow!O40</f>
        <v/>
      </c>
      <c r="Q47" s="155">
        <f>CashFlow!P40</f>
        <v/>
      </c>
      <c r="R47" s="155">
        <f>CashFlow!Q40</f>
        <v/>
      </c>
      <c r="S47" s="155">
        <f>CashFlow!R40</f>
        <v/>
      </c>
      <c r="T47" s="155">
        <f>CashFlow!S40</f>
        <v/>
      </c>
      <c r="U47" s="155">
        <f>CashFlow!T40</f>
        <v/>
      </c>
      <c r="V47" s="155">
        <f>CashFlow!U40</f>
        <v/>
      </c>
      <c r="W47" s="155">
        <f>CashFlow!V40</f>
        <v/>
      </c>
      <c r="X47" s="155">
        <f>CashFlow!W40</f>
        <v/>
      </c>
      <c r="Y47" s="155">
        <f>CashFlow!X40</f>
        <v/>
      </c>
      <c r="Z47" s="155">
        <f>CashFlow!Y40</f>
        <v/>
      </c>
      <c r="AA47" s="155">
        <f>CashFlow!Z40</f>
        <v/>
      </c>
      <c r="AB47" s="155">
        <f>CashFlow!AA40</f>
        <v/>
      </c>
      <c r="AC47" s="155">
        <f>CashFlow!AB40</f>
        <v/>
      </c>
      <c r="AD47" s="155">
        <f>CashFlow!AC40</f>
        <v/>
      </c>
      <c r="AE47" s="155">
        <f>CashFlow!AD40</f>
        <v/>
      </c>
      <c r="AF47" s="155">
        <f>CashFlow!AE40</f>
        <v/>
      </c>
      <c r="AG47" s="155">
        <f>CashFlow!AF40</f>
        <v/>
      </c>
      <c r="AH47" s="155">
        <f>CashFlow!AG40</f>
        <v/>
      </c>
      <c r="AI47" s="155">
        <f>CashFlow!AH40</f>
        <v/>
      </c>
      <c r="AJ47" s="155">
        <f>CashFlow!AI40</f>
        <v/>
      </c>
      <c r="AK47" s="155">
        <f>CashFlow!AJ40</f>
        <v/>
      </c>
      <c r="AL47" s="155">
        <f>CashFlow!AK40</f>
        <v/>
      </c>
      <c r="AM47" s="155">
        <f>CashFlow!AL40</f>
        <v/>
      </c>
      <c r="AN47" s="155">
        <f>CashFlow!AM40</f>
        <v/>
      </c>
      <c r="AO47" s="155">
        <f>CashFlow!AN40</f>
        <v/>
      </c>
      <c r="AP47" s="155">
        <f>CashFlow!AO40</f>
        <v/>
      </c>
      <c r="AQ47" s="155">
        <f>CashFlow!AP40</f>
        <v/>
      </c>
      <c r="AR47" s="155">
        <f>CashFlow!AQ40</f>
        <v/>
      </c>
      <c r="AS47" s="155">
        <f>CashFlow!AR40</f>
        <v/>
      </c>
      <c r="AT47" s="155">
        <f>CashFlow!AS40</f>
        <v/>
      </c>
      <c r="AU47" s="155">
        <f>CashFlow!AT40</f>
        <v/>
      </c>
      <c r="AV47" s="155">
        <f>CashFlow!AU40</f>
        <v/>
      </c>
      <c r="AW47" s="155">
        <f>CashFlow!AV40</f>
        <v/>
      </c>
      <c r="AX47" s="155">
        <f>CashFlow!AW40</f>
        <v/>
      </c>
      <c r="AY47" s="155">
        <f>CashFlow!AX40</f>
        <v/>
      </c>
      <c r="AZ47" s="155">
        <f>CashFlow!AY40</f>
        <v/>
      </c>
      <c r="BA47" s="155">
        <f>CashFlow!AZ40</f>
        <v/>
      </c>
      <c r="BB47" s="155">
        <f>CashFlow!BA40</f>
        <v/>
      </c>
    </row>
    <row r="48" ht="15" customHeight="1" s="91">
      <c r="B48" s="153" t="inlineStr">
        <is>
          <t>Land Rent  إيجار الأرض</t>
        </is>
      </c>
      <c r="C48" s="153" t="inlineStr">
        <is>
          <t>SAR</t>
        </is>
      </c>
      <c r="D48" s="157">
        <f>SUM(E48:BB48)</f>
        <v/>
      </c>
      <c r="E48" s="155">
        <f>CashFlow!D41</f>
        <v/>
      </c>
      <c r="F48" s="155">
        <f>CashFlow!E41</f>
        <v/>
      </c>
      <c r="G48" s="155">
        <f>CashFlow!F41</f>
        <v/>
      </c>
      <c r="H48" s="155">
        <f>CashFlow!G41</f>
        <v/>
      </c>
      <c r="I48" s="155">
        <f>CashFlow!H41</f>
        <v/>
      </c>
      <c r="J48" s="155">
        <f>CashFlow!I41</f>
        <v/>
      </c>
      <c r="K48" s="155">
        <f>CashFlow!J41</f>
        <v/>
      </c>
      <c r="L48" s="155">
        <f>CashFlow!K41</f>
        <v/>
      </c>
      <c r="M48" s="155">
        <f>CashFlow!L41</f>
        <v/>
      </c>
      <c r="N48" s="155">
        <f>CashFlow!M41</f>
        <v/>
      </c>
      <c r="O48" s="155">
        <f>CashFlow!N41</f>
        <v/>
      </c>
      <c r="P48" s="155">
        <f>CashFlow!O41</f>
        <v/>
      </c>
      <c r="Q48" s="155">
        <f>CashFlow!P41</f>
        <v/>
      </c>
      <c r="R48" s="155">
        <f>CashFlow!Q41</f>
        <v/>
      </c>
      <c r="S48" s="155">
        <f>CashFlow!R41</f>
        <v/>
      </c>
      <c r="T48" s="155">
        <f>CashFlow!S41</f>
        <v/>
      </c>
      <c r="U48" s="155">
        <f>CashFlow!T41</f>
        <v/>
      </c>
      <c r="V48" s="155">
        <f>CashFlow!U41</f>
        <v/>
      </c>
      <c r="W48" s="155">
        <f>CashFlow!V41</f>
        <v/>
      </c>
      <c r="X48" s="155">
        <f>CashFlow!W41</f>
        <v/>
      </c>
      <c r="Y48" s="155">
        <f>CashFlow!X41</f>
        <v/>
      </c>
      <c r="Z48" s="155">
        <f>CashFlow!Y41</f>
        <v/>
      </c>
      <c r="AA48" s="155">
        <f>CashFlow!Z41</f>
        <v/>
      </c>
      <c r="AB48" s="155">
        <f>CashFlow!AA41</f>
        <v/>
      </c>
      <c r="AC48" s="155">
        <f>CashFlow!AB41</f>
        <v/>
      </c>
      <c r="AD48" s="155">
        <f>CashFlow!AC41</f>
        <v/>
      </c>
      <c r="AE48" s="155">
        <f>CashFlow!AD41</f>
        <v/>
      </c>
      <c r="AF48" s="155">
        <f>CashFlow!AE41</f>
        <v/>
      </c>
      <c r="AG48" s="155">
        <f>CashFlow!AF41</f>
        <v/>
      </c>
      <c r="AH48" s="155">
        <f>CashFlow!AG41</f>
        <v/>
      </c>
      <c r="AI48" s="155">
        <f>CashFlow!AH41</f>
        <v/>
      </c>
      <c r="AJ48" s="155">
        <f>CashFlow!AI41</f>
        <v/>
      </c>
      <c r="AK48" s="155">
        <f>CashFlow!AJ41</f>
        <v/>
      </c>
      <c r="AL48" s="155">
        <f>CashFlow!AK41</f>
        <v/>
      </c>
      <c r="AM48" s="155">
        <f>CashFlow!AL41</f>
        <v/>
      </c>
      <c r="AN48" s="155">
        <f>CashFlow!AM41</f>
        <v/>
      </c>
      <c r="AO48" s="155">
        <f>CashFlow!AN41</f>
        <v/>
      </c>
      <c r="AP48" s="155">
        <f>CashFlow!AO41</f>
        <v/>
      </c>
      <c r="AQ48" s="155">
        <f>CashFlow!AP41</f>
        <v/>
      </c>
      <c r="AR48" s="155">
        <f>CashFlow!AQ41</f>
        <v/>
      </c>
      <c r="AS48" s="155">
        <f>CashFlow!AR41</f>
        <v/>
      </c>
      <c r="AT48" s="155">
        <f>CashFlow!AS41</f>
        <v/>
      </c>
      <c r="AU48" s="155">
        <f>CashFlow!AT41</f>
        <v/>
      </c>
      <c r="AV48" s="155">
        <f>CashFlow!AU41</f>
        <v/>
      </c>
      <c r="AW48" s="155">
        <f>CashFlow!AV41</f>
        <v/>
      </c>
      <c r="AX48" s="155">
        <f>CashFlow!AW41</f>
        <v/>
      </c>
      <c r="AY48" s="155">
        <f>CashFlow!AX41</f>
        <v/>
      </c>
      <c r="AZ48" s="155">
        <f>CashFlow!AY41</f>
        <v/>
      </c>
      <c r="BA48" s="155">
        <f>CashFlow!AZ41</f>
        <v/>
      </c>
      <c r="BB48" s="155">
        <f>CashFlow!BA41</f>
        <v/>
      </c>
    </row>
    <row r="49" ht="15" customHeight="1" s="91">
      <c r="B49" s="153" t="inlineStr">
        <is>
          <t>Development CAPEX  تكاليف التطوير</t>
        </is>
      </c>
      <c r="C49" s="153" t="inlineStr">
        <is>
          <t>SAR</t>
        </is>
      </c>
      <c r="D49" s="157">
        <f>SUM(E49:BB49)</f>
        <v/>
      </c>
      <c r="E49" s="155">
        <f>CashFlow!D42</f>
        <v/>
      </c>
      <c r="F49" s="155">
        <f>CashFlow!E42</f>
        <v/>
      </c>
      <c r="G49" s="155">
        <f>CashFlow!F42</f>
        <v/>
      </c>
      <c r="H49" s="155">
        <f>CashFlow!G42</f>
        <v/>
      </c>
      <c r="I49" s="155">
        <f>CashFlow!H42</f>
        <v/>
      </c>
      <c r="J49" s="155">
        <f>CashFlow!I42</f>
        <v/>
      </c>
      <c r="K49" s="155">
        <f>CashFlow!J42</f>
        <v/>
      </c>
      <c r="L49" s="155">
        <f>CashFlow!K42</f>
        <v/>
      </c>
      <c r="M49" s="155">
        <f>CashFlow!L42</f>
        <v/>
      </c>
      <c r="N49" s="155">
        <f>CashFlow!M42</f>
        <v/>
      </c>
      <c r="O49" s="155">
        <f>CashFlow!N42</f>
        <v/>
      </c>
      <c r="P49" s="155">
        <f>CashFlow!O42</f>
        <v/>
      </c>
      <c r="Q49" s="155">
        <f>CashFlow!P42</f>
        <v/>
      </c>
      <c r="R49" s="155">
        <f>CashFlow!Q42</f>
        <v/>
      </c>
      <c r="S49" s="155">
        <f>CashFlow!R42</f>
        <v/>
      </c>
      <c r="T49" s="155">
        <f>CashFlow!S42</f>
        <v/>
      </c>
      <c r="U49" s="155">
        <f>CashFlow!T42</f>
        <v/>
      </c>
      <c r="V49" s="155">
        <f>CashFlow!U42</f>
        <v/>
      </c>
      <c r="W49" s="155">
        <f>CashFlow!V42</f>
        <v/>
      </c>
      <c r="X49" s="155">
        <f>CashFlow!W42</f>
        <v/>
      </c>
      <c r="Y49" s="155">
        <f>CashFlow!X42</f>
        <v/>
      </c>
      <c r="Z49" s="155">
        <f>CashFlow!Y42</f>
        <v/>
      </c>
      <c r="AA49" s="155">
        <f>CashFlow!Z42</f>
        <v/>
      </c>
      <c r="AB49" s="155">
        <f>CashFlow!AA42</f>
        <v/>
      </c>
      <c r="AC49" s="155">
        <f>CashFlow!AB42</f>
        <v/>
      </c>
      <c r="AD49" s="155">
        <f>CashFlow!AC42</f>
        <v/>
      </c>
      <c r="AE49" s="155">
        <f>CashFlow!AD42</f>
        <v/>
      </c>
      <c r="AF49" s="155">
        <f>CashFlow!AE42</f>
        <v/>
      </c>
      <c r="AG49" s="155">
        <f>CashFlow!AF42</f>
        <v/>
      </c>
      <c r="AH49" s="155">
        <f>CashFlow!AG42</f>
        <v/>
      </c>
      <c r="AI49" s="155">
        <f>CashFlow!AH42</f>
        <v/>
      </c>
      <c r="AJ49" s="155">
        <f>CashFlow!AI42</f>
        <v/>
      </c>
      <c r="AK49" s="155">
        <f>CashFlow!AJ42</f>
        <v/>
      </c>
      <c r="AL49" s="155">
        <f>CashFlow!AK42</f>
        <v/>
      </c>
      <c r="AM49" s="155">
        <f>CashFlow!AL42</f>
        <v/>
      </c>
      <c r="AN49" s="155">
        <f>CashFlow!AM42</f>
        <v/>
      </c>
      <c r="AO49" s="155">
        <f>CashFlow!AN42</f>
        <v/>
      </c>
      <c r="AP49" s="155">
        <f>CashFlow!AO42</f>
        <v/>
      </c>
      <c r="AQ49" s="155">
        <f>CashFlow!AP42</f>
        <v/>
      </c>
      <c r="AR49" s="155">
        <f>CashFlow!AQ42</f>
        <v/>
      </c>
      <c r="AS49" s="155">
        <f>CashFlow!AR42</f>
        <v/>
      </c>
      <c r="AT49" s="155">
        <f>CashFlow!AS42</f>
        <v/>
      </c>
      <c r="AU49" s="155">
        <f>CashFlow!AT42</f>
        <v/>
      </c>
      <c r="AV49" s="155">
        <f>CashFlow!AU42</f>
        <v/>
      </c>
      <c r="AW49" s="155">
        <f>CashFlow!AV42</f>
        <v/>
      </c>
      <c r="AX49" s="155">
        <f>CashFlow!AW42</f>
        <v/>
      </c>
      <c r="AY49" s="155">
        <f>CashFlow!AX42</f>
        <v/>
      </c>
      <c r="AZ49" s="155">
        <f>CashFlow!AY42</f>
        <v/>
      </c>
      <c r="BA49" s="155">
        <f>CashFlow!AZ42</f>
        <v/>
      </c>
      <c r="BB49" s="155">
        <f>CashFlow!BA42</f>
        <v/>
      </c>
    </row>
    <row r="50" ht="15" customHeight="1" s="91">
      <c r="B50" s="110" t="inlineStr">
        <is>
          <t>Net Project CF (Unlevered)</t>
        </is>
      </c>
      <c r="C50" s="153" t="inlineStr">
        <is>
          <t>SAR</t>
        </is>
      </c>
      <c r="D50" s="157">
        <f>SUM(E50:BB50)</f>
        <v/>
      </c>
      <c r="E50" s="157">
        <f>E47+E48+E49</f>
        <v/>
      </c>
      <c r="F50" s="157">
        <f>F47+F48+F49</f>
        <v/>
      </c>
      <c r="G50" s="157">
        <f>G47+G48+G49</f>
        <v/>
      </c>
      <c r="H50" s="157">
        <f>H47+H48+H49</f>
        <v/>
      </c>
      <c r="I50" s="157">
        <f>I47+I48+I49</f>
        <v/>
      </c>
      <c r="J50" s="157">
        <f>J47+J48+J49</f>
        <v/>
      </c>
      <c r="K50" s="157">
        <f>K47+K48+K49</f>
        <v/>
      </c>
      <c r="L50" s="157">
        <f>L47+L48+L49</f>
        <v/>
      </c>
      <c r="M50" s="157">
        <f>M47+M48+M49</f>
        <v/>
      </c>
      <c r="N50" s="157">
        <f>N47+N48+N49</f>
        <v/>
      </c>
      <c r="O50" s="157">
        <f>O47+O48+O49</f>
        <v/>
      </c>
      <c r="P50" s="157">
        <f>P47+P48+P49</f>
        <v/>
      </c>
      <c r="Q50" s="157">
        <f>Q47+Q48+Q49</f>
        <v/>
      </c>
      <c r="R50" s="157">
        <f>R47+R48+R49</f>
        <v/>
      </c>
      <c r="S50" s="157">
        <f>S47+S48+S49</f>
        <v/>
      </c>
      <c r="T50" s="157">
        <f>T47+T48+T49</f>
        <v/>
      </c>
      <c r="U50" s="157">
        <f>U47+U48+U49</f>
        <v/>
      </c>
      <c r="V50" s="157">
        <f>V47+V48+V49</f>
        <v/>
      </c>
      <c r="W50" s="157">
        <f>W47+W48+W49</f>
        <v/>
      </c>
      <c r="X50" s="157">
        <f>X47+X48+X49</f>
        <v/>
      </c>
      <c r="Y50" s="157">
        <f>Y47+Y48+Y49</f>
        <v/>
      </c>
      <c r="Z50" s="157">
        <f>Z47+Z48+Z49</f>
        <v/>
      </c>
      <c r="AA50" s="157">
        <f>AA47+AA48+AA49</f>
        <v/>
      </c>
      <c r="AB50" s="157">
        <f>AB47+AB48+AB49</f>
        <v/>
      </c>
      <c r="AC50" s="157">
        <f>AC47+AC48+AC49</f>
        <v/>
      </c>
      <c r="AD50" s="157">
        <f>AD47+AD48+AD49</f>
        <v/>
      </c>
      <c r="AE50" s="157">
        <f>AE47+AE48+AE49</f>
        <v/>
      </c>
      <c r="AF50" s="157">
        <f>AF47+AF48+AF49</f>
        <v/>
      </c>
      <c r="AG50" s="157">
        <f>AG47+AG48+AG49</f>
        <v/>
      </c>
      <c r="AH50" s="157">
        <f>AH47+AH48+AH49</f>
        <v/>
      </c>
      <c r="AI50" s="157">
        <f>AI47+AI48+AI49</f>
        <v/>
      </c>
      <c r="AJ50" s="157">
        <f>AJ47+AJ48+AJ49</f>
        <v/>
      </c>
      <c r="AK50" s="157">
        <f>AK47+AK48+AK49</f>
        <v/>
      </c>
      <c r="AL50" s="157">
        <f>AL47+AL48+AL49</f>
        <v/>
      </c>
      <c r="AM50" s="157">
        <f>AM47+AM48+AM49</f>
        <v/>
      </c>
      <c r="AN50" s="157">
        <f>AN47+AN48+AN49</f>
        <v/>
      </c>
      <c r="AO50" s="157">
        <f>AO47+AO48+AO49</f>
        <v/>
      </c>
      <c r="AP50" s="157">
        <f>AP47+AP48+AP49</f>
        <v/>
      </c>
      <c r="AQ50" s="157">
        <f>AQ47+AQ48+AQ49</f>
        <v/>
      </c>
      <c r="AR50" s="157">
        <f>AR47+AR48+AR49</f>
        <v/>
      </c>
      <c r="AS50" s="157">
        <f>AS47+AS48+AS49</f>
        <v/>
      </c>
      <c r="AT50" s="157">
        <f>AT47+AT48+AT49</f>
        <v/>
      </c>
      <c r="AU50" s="157">
        <f>AU47+AU48+AU49</f>
        <v/>
      </c>
      <c r="AV50" s="157">
        <f>AV47+AV48+AV49</f>
        <v/>
      </c>
      <c r="AW50" s="157">
        <f>AW47+AW48+AW49</f>
        <v/>
      </c>
      <c r="AX50" s="157">
        <f>AX47+AX48+AX49</f>
        <v/>
      </c>
      <c r="AY50" s="157">
        <f>AY47+AY48+AY49</f>
        <v/>
      </c>
      <c r="AZ50" s="157">
        <f>AZ47+AZ48+AZ49</f>
        <v/>
      </c>
      <c r="BA50" s="157">
        <f>BA47+BA48+BA49</f>
        <v/>
      </c>
      <c r="BB50" s="157">
        <f>BB47+BB48+BB49</f>
        <v/>
      </c>
    </row>
    <row r="51" ht="15" customHeight="1" s="91">
      <c r="B51" s="153" t="inlineStr">
        <is>
          <t>Exit Proceeds  حصيلة التخارج</t>
        </is>
      </c>
      <c r="C51" s="153" t="inlineStr">
        <is>
          <t>SAR</t>
        </is>
      </c>
      <c r="D51" s="157">
        <f>SUM(E51:BB51)</f>
        <v/>
      </c>
      <c r="E51" s="160">
        <f>IF(E$46=$C$41,IF($C$44="Sale",E47*$C$42*(1-$C$43),E47/$C$45*(1-$C$43)),0)</f>
        <v/>
      </c>
      <c r="F51" s="160">
        <f>IF(F$46=$C$41,IF($C$44="Sale",F47*$C$42*(1-$C$43),F47/$C$45*(1-$C$43)),0)</f>
        <v/>
      </c>
      <c r="G51" s="160">
        <f>IF(G$46=$C$41,IF($C$44="Sale",G47*$C$42*(1-$C$43),G47/$C$45*(1-$C$43)),0)</f>
        <v/>
      </c>
      <c r="H51" s="160">
        <f>IF(H$46=$C$41,IF($C$44="Sale",H47*$C$42*(1-$C$43),H47/$C$45*(1-$C$43)),0)</f>
        <v/>
      </c>
      <c r="I51" s="160">
        <f>IF(I$46=$C$41,IF($C$44="Sale",I47*$C$42*(1-$C$43),I47/$C$45*(1-$C$43)),0)</f>
        <v/>
      </c>
      <c r="J51" s="160">
        <f>IF(J$46=$C$41,IF($C$44="Sale",J47*$C$42*(1-$C$43),J47/$C$45*(1-$C$43)),0)</f>
        <v/>
      </c>
      <c r="K51" s="160">
        <f>IF(K$46=$C$41,IF($C$44="Sale",K47*$C$42*(1-$C$43),K47/$C$45*(1-$C$43)),0)</f>
        <v/>
      </c>
      <c r="L51" s="160">
        <f>IF(L$46=$C$41,IF($C$44="Sale",L47*$C$42*(1-$C$43),L47/$C$45*(1-$C$43)),0)</f>
        <v/>
      </c>
      <c r="M51" s="160">
        <f>IF(M$46=$C$41,IF($C$44="Sale",M47*$C$42*(1-$C$43),M47/$C$45*(1-$C$43)),0)</f>
        <v/>
      </c>
      <c r="N51" s="160">
        <f>IF(N$46=$C$41,IF($C$44="Sale",N47*$C$42*(1-$C$43),N47/$C$45*(1-$C$43)),0)</f>
        <v/>
      </c>
      <c r="O51" s="160">
        <f>IF(O$46=$C$41,IF($C$44="Sale",O47*$C$42*(1-$C$43),O47/$C$45*(1-$C$43)),0)</f>
        <v/>
      </c>
      <c r="P51" s="160">
        <f>IF(P$46=$C$41,IF($C$44="Sale",P47*$C$42*(1-$C$43),P47/$C$45*(1-$C$43)),0)</f>
        <v/>
      </c>
      <c r="Q51" s="160">
        <f>IF(Q$46=$C$41,IF($C$44="Sale",Q47*$C$42*(1-$C$43),Q47/$C$45*(1-$C$43)),0)</f>
        <v/>
      </c>
      <c r="R51" s="160">
        <f>IF(R$46=$C$41,IF($C$44="Sale",R47*$C$42*(1-$C$43),R47/$C$45*(1-$C$43)),0)</f>
        <v/>
      </c>
      <c r="S51" s="160">
        <f>IF(S$46=$C$41,IF($C$44="Sale",S47*$C$42*(1-$C$43),S47/$C$45*(1-$C$43)),0)</f>
        <v/>
      </c>
      <c r="T51" s="160">
        <f>IF(T$46=$C$41,IF($C$44="Sale",T47*$C$42*(1-$C$43),T47/$C$45*(1-$C$43)),0)</f>
        <v/>
      </c>
      <c r="U51" s="160">
        <f>IF(U$46=$C$41,IF($C$44="Sale",U47*$C$42*(1-$C$43),U47/$C$45*(1-$C$43)),0)</f>
        <v/>
      </c>
      <c r="V51" s="160">
        <f>IF(V$46=$C$41,IF($C$44="Sale",V47*$C$42*(1-$C$43),V47/$C$45*(1-$C$43)),0)</f>
        <v/>
      </c>
      <c r="W51" s="160">
        <f>IF(W$46=$C$41,IF($C$44="Sale",W47*$C$42*(1-$C$43),W47/$C$45*(1-$C$43)),0)</f>
        <v/>
      </c>
      <c r="X51" s="160">
        <f>IF(X$46=$C$41,IF($C$44="Sale",X47*$C$42*(1-$C$43),X47/$C$45*(1-$C$43)),0)</f>
        <v/>
      </c>
      <c r="Y51" s="160">
        <f>IF(Y$46=$C$41,IF($C$44="Sale",Y47*$C$42*(1-$C$43),Y47/$C$45*(1-$C$43)),0)</f>
        <v/>
      </c>
      <c r="Z51" s="160">
        <f>IF(Z$46=$C$41,IF($C$44="Sale",Z47*$C$42*(1-$C$43),Z47/$C$45*(1-$C$43)),0)</f>
        <v/>
      </c>
      <c r="AA51" s="160">
        <f>IF(AA$46=$C$41,IF($C$44="Sale",AA47*$C$42*(1-$C$43),AA47/$C$45*(1-$C$43)),0)</f>
        <v/>
      </c>
      <c r="AB51" s="160">
        <f>IF(AB$46=$C$41,IF($C$44="Sale",AB47*$C$42*(1-$C$43),AB47/$C$45*(1-$C$43)),0)</f>
        <v/>
      </c>
      <c r="AC51" s="160">
        <f>IF(AC$46=$C$41,IF($C$44="Sale",AC47*$C$42*(1-$C$43),AC47/$C$45*(1-$C$43)),0)</f>
        <v/>
      </c>
      <c r="AD51" s="160">
        <f>IF(AD$46=$C$41,IF($C$44="Sale",AD47*$C$42*(1-$C$43),AD47/$C$45*(1-$C$43)),0)</f>
        <v/>
      </c>
      <c r="AE51" s="160">
        <f>IF(AE$46=$C$41,IF($C$44="Sale",AE47*$C$42*(1-$C$43),AE47/$C$45*(1-$C$43)),0)</f>
        <v/>
      </c>
      <c r="AF51" s="160">
        <f>IF(AF$46=$C$41,IF($C$44="Sale",AF47*$C$42*(1-$C$43),AF47/$C$45*(1-$C$43)),0)</f>
        <v/>
      </c>
      <c r="AG51" s="160">
        <f>IF(AG$46=$C$41,IF($C$44="Sale",AG47*$C$42*(1-$C$43),AG47/$C$45*(1-$C$43)),0)</f>
        <v/>
      </c>
      <c r="AH51" s="160">
        <f>IF(AH$46=$C$41,IF($C$44="Sale",AH47*$C$42*(1-$C$43),AH47/$C$45*(1-$C$43)),0)</f>
        <v/>
      </c>
      <c r="AI51" s="160">
        <f>IF(AI$46=$C$41,IF($C$44="Sale",AI47*$C$42*(1-$C$43),AI47/$C$45*(1-$C$43)),0)</f>
        <v/>
      </c>
      <c r="AJ51" s="160">
        <f>IF(AJ$46=$C$41,IF($C$44="Sale",AJ47*$C$42*(1-$C$43),AJ47/$C$45*(1-$C$43)),0)</f>
        <v/>
      </c>
      <c r="AK51" s="160">
        <f>IF(AK$46=$C$41,IF($C$44="Sale",AK47*$C$42*(1-$C$43),AK47/$C$45*(1-$C$43)),0)</f>
        <v/>
      </c>
      <c r="AL51" s="160">
        <f>IF(AL$46=$C$41,IF($C$44="Sale",AL47*$C$42*(1-$C$43),AL47/$C$45*(1-$C$43)),0)</f>
        <v/>
      </c>
      <c r="AM51" s="160">
        <f>IF(AM$46=$C$41,IF($C$44="Sale",AM47*$C$42*(1-$C$43),AM47/$C$45*(1-$C$43)),0)</f>
        <v/>
      </c>
      <c r="AN51" s="160">
        <f>IF(AN$46=$C$41,IF($C$44="Sale",AN47*$C$42*(1-$C$43),AN47/$C$45*(1-$C$43)),0)</f>
        <v/>
      </c>
      <c r="AO51" s="160">
        <f>IF(AO$46=$C$41,IF($C$44="Sale",AO47*$C$42*(1-$C$43),AO47/$C$45*(1-$C$43)),0)</f>
        <v/>
      </c>
      <c r="AP51" s="160">
        <f>IF(AP$46=$C$41,IF($C$44="Sale",AP47*$C$42*(1-$C$43),AP47/$C$45*(1-$C$43)),0)</f>
        <v/>
      </c>
      <c r="AQ51" s="160">
        <f>IF(AQ$46=$C$41,IF($C$44="Sale",AQ47*$C$42*(1-$C$43),AQ47/$C$45*(1-$C$43)),0)</f>
        <v/>
      </c>
      <c r="AR51" s="160">
        <f>IF(AR$46=$C$41,IF($C$44="Sale",AR47*$C$42*(1-$C$43),AR47/$C$45*(1-$C$43)),0)</f>
        <v/>
      </c>
      <c r="AS51" s="160">
        <f>IF(AS$46=$C$41,IF($C$44="Sale",AS47*$C$42*(1-$C$43),AS47/$C$45*(1-$C$43)),0)</f>
        <v/>
      </c>
      <c r="AT51" s="160">
        <f>IF(AT$46=$C$41,IF($C$44="Sale",AT47*$C$42*(1-$C$43),AT47/$C$45*(1-$C$43)),0)</f>
        <v/>
      </c>
      <c r="AU51" s="160">
        <f>IF(AU$46=$C$41,IF($C$44="Sale",AU47*$C$42*(1-$C$43),AU47/$C$45*(1-$C$43)),0)</f>
        <v/>
      </c>
      <c r="AV51" s="160">
        <f>IF(AV$46=$C$41,IF($C$44="Sale",AV47*$C$42*(1-$C$43),AV47/$C$45*(1-$C$43)),0)</f>
        <v/>
      </c>
      <c r="AW51" s="160">
        <f>IF(AW$46=$C$41,IF($C$44="Sale",AW47*$C$42*(1-$C$43),AW47/$C$45*(1-$C$43)),0)</f>
        <v/>
      </c>
      <c r="AX51" s="160">
        <f>IF(AX$46=$C$41,IF($C$44="Sale",AX47*$C$42*(1-$C$43),AX47/$C$45*(1-$C$43)),0)</f>
        <v/>
      </c>
      <c r="AY51" s="160">
        <f>IF(AY$46=$C$41,IF($C$44="Sale",AY47*$C$42*(1-$C$43),AY47/$C$45*(1-$C$43)),0)</f>
        <v/>
      </c>
      <c r="AZ51" s="160">
        <f>IF(AZ$46=$C$41,IF($C$44="Sale",AZ47*$C$42*(1-$C$43),AZ47/$C$45*(1-$C$43)),0)</f>
        <v/>
      </c>
      <c r="BA51" s="160">
        <f>IF(BA$46=$C$41,IF($C$44="Sale",BA47*$C$42*(1-$C$43),BA47/$C$45*(1-$C$43)),0)</f>
        <v/>
      </c>
      <c r="BB51" s="160">
        <f>IF(BB$46=$C$41,IF($C$44="Sale",BB47*$C$42*(1-$C$43),BB47/$C$45*(1-$C$43)),0)</f>
        <v/>
      </c>
    </row>
    <row r="52" ht="15" customHeight="1" s="91">
      <c r="B52" s="153" t="inlineStr">
        <is>
          <t>Unlevered CF (incl. Exit)  التدفق شامل التخارج</t>
        </is>
      </c>
      <c r="C52" s="153" t="inlineStr">
        <is>
          <t>SAR</t>
        </is>
      </c>
      <c r="D52" s="157">
        <f>SUM(E52:BB52)</f>
        <v/>
      </c>
      <c r="E52" s="160">
        <f>IF(AND(E$46&gt;=$C$9,E$46&lt;=$C$41),E50+E51,0)</f>
        <v/>
      </c>
      <c r="F52" s="160">
        <f>IF(AND(F$46&gt;=$C$9,F$46&lt;=$C$41),F50+F51,0)</f>
        <v/>
      </c>
      <c r="G52" s="160">
        <f>IF(AND(G$46&gt;=$C$9,G$46&lt;=$C$41),G50+G51,0)</f>
        <v/>
      </c>
      <c r="H52" s="160">
        <f>IF(AND(H$46&gt;=$C$9,H$46&lt;=$C$41),H50+H51,0)</f>
        <v/>
      </c>
      <c r="I52" s="160">
        <f>IF(AND(I$46&gt;=$C$9,I$46&lt;=$C$41),I50+I51,0)</f>
        <v/>
      </c>
      <c r="J52" s="160">
        <f>IF(AND(J$46&gt;=$C$9,J$46&lt;=$C$41),J50+J51,0)</f>
        <v/>
      </c>
      <c r="K52" s="160">
        <f>IF(AND(K$46&gt;=$C$9,K$46&lt;=$C$41),K50+K51,0)</f>
        <v/>
      </c>
      <c r="L52" s="160">
        <f>IF(AND(L$46&gt;=$C$9,L$46&lt;=$C$41),L50+L51,0)</f>
        <v/>
      </c>
      <c r="M52" s="160">
        <f>IF(AND(M$46&gt;=$C$9,M$46&lt;=$C$41),M50+M51,0)</f>
        <v/>
      </c>
      <c r="N52" s="160">
        <f>IF(AND(N$46&gt;=$C$9,N$46&lt;=$C$41),N50+N51,0)</f>
        <v/>
      </c>
      <c r="O52" s="160">
        <f>IF(AND(O$46&gt;=$C$9,O$46&lt;=$C$41),O50+O51,0)</f>
        <v/>
      </c>
      <c r="P52" s="160">
        <f>IF(AND(P$46&gt;=$C$9,P$46&lt;=$C$41),P50+P51,0)</f>
        <v/>
      </c>
      <c r="Q52" s="160">
        <f>IF(AND(Q$46&gt;=$C$9,Q$46&lt;=$C$41),Q50+Q51,0)</f>
        <v/>
      </c>
      <c r="R52" s="160">
        <f>IF(AND(R$46&gt;=$C$9,R$46&lt;=$C$41),R50+R51,0)</f>
        <v/>
      </c>
      <c r="S52" s="160">
        <f>IF(AND(S$46&gt;=$C$9,S$46&lt;=$C$41),S50+S51,0)</f>
        <v/>
      </c>
      <c r="T52" s="160">
        <f>IF(AND(T$46&gt;=$C$9,T$46&lt;=$C$41),T50+T51,0)</f>
        <v/>
      </c>
      <c r="U52" s="160">
        <f>IF(AND(U$46&gt;=$C$9,U$46&lt;=$C$41),U50+U51,0)</f>
        <v/>
      </c>
      <c r="V52" s="160">
        <f>IF(AND(V$46&gt;=$C$9,V$46&lt;=$C$41),V50+V51,0)</f>
        <v/>
      </c>
      <c r="W52" s="160">
        <f>IF(AND(W$46&gt;=$C$9,W$46&lt;=$C$41),W50+W51,0)</f>
        <v/>
      </c>
      <c r="X52" s="160">
        <f>IF(AND(X$46&gt;=$C$9,X$46&lt;=$C$41),X50+X51,0)</f>
        <v/>
      </c>
      <c r="Y52" s="160">
        <f>IF(AND(Y$46&gt;=$C$9,Y$46&lt;=$C$41),Y50+Y51,0)</f>
        <v/>
      </c>
      <c r="Z52" s="160">
        <f>IF(AND(Z$46&gt;=$C$9,Z$46&lt;=$C$41),Z50+Z51,0)</f>
        <v/>
      </c>
      <c r="AA52" s="160">
        <f>IF(AND(AA$46&gt;=$C$9,AA$46&lt;=$C$41),AA50+AA51,0)</f>
        <v/>
      </c>
      <c r="AB52" s="160">
        <f>IF(AND(AB$46&gt;=$C$9,AB$46&lt;=$C$41),AB50+AB51,0)</f>
        <v/>
      </c>
      <c r="AC52" s="160">
        <f>IF(AND(AC$46&gt;=$C$9,AC$46&lt;=$C$41),AC50+AC51,0)</f>
        <v/>
      </c>
      <c r="AD52" s="160">
        <f>IF(AND(AD$46&gt;=$C$9,AD$46&lt;=$C$41),AD50+AD51,0)</f>
        <v/>
      </c>
      <c r="AE52" s="160">
        <f>IF(AND(AE$46&gt;=$C$9,AE$46&lt;=$C$41),AE50+AE51,0)</f>
        <v/>
      </c>
      <c r="AF52" s="160">
        <f>IF(AND(AF$46&gt;=$C$9,AF$46&lt;=$C$41),AF50+AF51,0)</f>
        <v/>
      </c>
      <c r="AG52" s="160">
        <f>IF(AND(AG$46&gt;=$C$9,AG$46&lt;=$C$41),AG50+AG51,0)</f>
        <v/>
      </c>
      <c r="AH52" s="160">
        <f>IF(AND(AH$46&gt;=$C$9,AH$46&lt;=$C$41),AH50+AH51,0)</f>
        <v/>
      </c>
      <c r="AI52" s="160">
        <f>IF(AND(AI$46&gt;=$C$9,AI$46&lt;=$C$41),AI50+AI51,0)</f>
        <v/>
      </c>
      <c r="AJ52" s="160">
        <f>IF(AND(AJ$46&gt;=$C$9,AJ$46&lt;=$C$41),AJ50+AJ51,0)</f>
        <v/>
      </c>
      <c r="AK52" s="160">
        <f>IF(AND(AK$46&gt;=$C$9,AK$46&lt;=$C$41),AK50+AK51,0)</f>
        <v/>
      </c>
      <c r="AL52" s="160">
        <f>IF(AND(AL$46&gt;=$C$9,AL$46&lt;=$C$41),AL50+AL51,0)</f>
        <v/>
      </c>
      <c r="AM52" s="160">
        <f>IF(AND(AM$46&gt;=$C$9,AM$46&lt;=$C$41),AM50+AM51,0)</f>
        <v/>
      </c>
      <c r="AN52" s="160">
        <f>IF(AND(AN$46&gt;=$C$9,AN$46&lt;=$C$41),AN50+AN51,0)</f>
        <v/>
      </c>
      <c r="AO52" s="160">
        <f>IF(AND(AO$46&gt;=$C$9,AO$46&lt;=$C$41),AO50+AO51,0)</f>
        <v/>
      </c>
      <c r="AP52" s="160">
        <f>IF(AND(AP$46&gt;=$C$9,AP$46&lt;=$C$41),AP50+AP51,0)</f>
        <v/>
      </c>
      <c r="AQ52" s="160">
        <f>IF(AND(AQ$46&gt;=$C$9,AQ$46&lt;=$C$41),AQ50+AQ51,0)</f>
        <v/>
      </c>
      <c r="AR52" s="160">
        <f>IF(AND(AR$46&gt;=$C$9,AR$46&lt;=$C$41),AR50+AR51,0)</f>
        <v/>
      </c>
      <c r="AS52" s="160">
        <f>IF(AND(AS$46&gt;=$C$9,AS$46&lt;=$C$41),AS50+AS51,0)</f>
        <v/>
      </c>
      <c r="AT52" s="160">
        <f>IF(AND(AT$46&gt;=$C$9,AT$46&lt;=$C$41),AT50+AT51,0)</f>
        <v/>
      </c>
      <c r="AU52" s="160">
        <f>IF(AND(AU$46&gt;=$C$9,AU$46&lt;=$C$41),AU50+AU51,0)</f>
        <v/>
      </c>
      <c r="AV52" s="160">
        <f>IF(AND(AV$46&gt;=$C$9,AV$46&lt;=$C$41),AV50+AV51,0)</f>
        <v/>
      </c>
      <c r="AW52" s="160">
        <f>IF(AND(AW$46&gt;=$C$9,AW$46&lt;=$C$41),AW50+AW51,0)</f>
        <v/>
      </c>
      <c r="AX52" s="160">
        <f>IF(AND(AX$46&gt;=$C$9,AX$46&lt;=$C$41),AX50+AX51,0)</f>
        <v/>
      </c>
      <c r="AY52" s="160">
        <f>IF(AND(AY$46&gt;=$C$9,AY$46&lt;=$C$41),AY50+AY51,0)</f>
        <v/>
      </c>
      <c r="AZ52" s="160">
        <f>IF(AND(AZ$46&gt;=$C$9,AZ$46&lt;=$C$41),AZ50+AZ51,0)</f>
        <v/>
      </c>
      <c r="BA52" s="160">
        <f>IF(AND(BA$46&gt;=$C$9,BA$46&lt;=$C$41),BA50+BA51,0)</f>
        <v/>
      </c>
      <c r="BB52" s="160">
        <f>IF(AND(BB$46&gt;=$C$9,BB$46&lt;=$C$41),BB50+BB51,0)</f>
        <v/>
      </c>
    </row>
    <row r="53">
      <c r="B53" t="inlineStr">
        <is>
          <t>(helper: single repay)</t>
        </is>
      </c>
      <c r="D53">
        <f>SUM(E53:BB53)</f>
        <v/>
      </c>
      <c r="E53">
        <f>IF(AND($C$22="Y",(E$46-$C$9+1)&gt;$C$26,E58&gt;0),-MIN(E58,$C$19/$C$27),0)</f>
        <v/>
      </c>
      <c r="F53">
        <f>IF(AND($C$22="Y",(F$46-$C$9+1)&gt;$C$26,F58&gt;0),-MIN(F58,$C$19/$C$27),0)</f>
        <v/>
      </c>
      <c r="G53">
        <f>IF(AND($C$22="Y",(G$46-$C$9+1)&gt;$C$26,G58&gt;0),-MIN(G58,$C$19/$C$27),0)</f>
        <v/>
      </c>
      <c r="H53">
        <f>IF(AND($C$22="Y",(H$46-$C$9+1)&gt;$C$26,H58&gt;0),-MIN(H58,$C$19/$C$27),0)</f>
        <v/>
      </c>
      <c r="I53">
        <f>IF(AND($C$22="Y",(I$46-$C$9+1)&gt;$C$26,I58&gt;0),-MIN(I58,$C$19/$C$27),0)</f>
        <v/>
      </c>
      <c r="J53">
        <f>IF(AND($C$22="Y",(J$46-$C$9+1)&gt;$C$26,J58&gt;0),-MIN(J58,$C$19/$C$27),0)</f>
        <v/>
      </c>
      <c r="K53">
        <f>IF(AND($C$22="Y",(K$46-$C$9+1)&gt;$C$26,K58&gt;0),-MIN(K58,$C$19/$C$27),0)</f>
        <v/>
      </c>
      <c r="L53">
        <f>IF(AND($C$22="Y",(L$46-$C$9+1)&gt;$C$26,L58&gt;0),-MIN(L58,$C$19/$C$27),0)</f>
        <v/>
      </c>
      <c r="M53">
        <f>IF(AND($C$22="Y",(M$46-$C$9+1)&gt;$C$26,M58&gt;0),-MIN(M58,$C$19/$C$27),0)</f>
        <v/>
      </c>
      <c r="N53">
        <f>IF(AND($C$22="Y",(N$46-$C$9+1)&gt;$C$26,N58&gt;0),-MIN(N58,$C$19/$C$27),0)</f>
        <v/>
      </c>
      <c r="O53">
        <f>IF(AND($C$22="Y",(O$46-$C$9+1)&gt;$C$26,O58&gt;0),-MIN(O58,$C$19/$C$27),0)</f>
        <v/>
      </c>
      <c r="P53">
        <f>IF(AND($C$22="Y",(P$46-$C$9+1)&gt;$C$26,P58&gt;0),-MIN(P58,$C$19/$C$27),0)</f>
        <v/>
      </c>
      <c r="Q53">
        <f>IF(AND($C$22="Y",(Q$46-$C$9+1)&gt;$C$26,Q58&gt;0),-MIN(Q58,$C$19/$C$27),0)</f>
        <v/>
      </c>
      <c r="R53">
        <f>IF(AND($C$22="Y",(R$46-$C$9+1)&gt;$C$26,R58&gt;0),-MIN(R58,$C$19/$C$27),0)</f>
        <v/>
      </c>
      <c r="S53">
        <f>IF(AND($C$22="Y",(S$46-$C$9+1)&gt;$C$26,S58&gt;0),-MIN(S58,$C$19/$C$27),0)</f>
        <v/>
      </c>
      <c r="T53">
        <f>IF(AND($C$22="Y",(T$46-$C$9+1)&gt;$C$26,T58&gt;0),-MIN(T58,$C$19/$C$27),0)</f>
        <v/>
      </c>
      <c r="U53">
        <f>IF(AND($C$22="Y",(U$46-$C$9+1)&gt;$C$26,U58&gt;0),-MIN(U58,$C$19/$C$27),0)</f>
        <v/>
      </c>
      <c r="V53">
        <f>IF(AND($C$22="Y",(V$46-$C$9+1)&gt;$C$26,V58&gt;0),-MIN(V58,$C$19/$C$27),0)</f>
        <v/>
      </c>
      <c r="W53">
        <f>IF(AND($C$22="Y",(W$46-$C$9+1)&gt;$C$26,W58&gt;0),-MIN(W58,$C$19/$C$27),0)</f>
        <v/>
      </c>
      <c r="X53">
        <f>IF(AND($C$22="Y",(X$46-$C$9+1)&gt;$C$26,X58&gt;0),-MIN(X58,$C$19/$C$27),0)</f>
        <v/>
      </c>
      <c r="Y53">
        <f>IF(AND($C$22="Y",(Y$46-$C$9+1)&gt;$C$26,Y58&gt;0),-MIN(Y58,$C$19/$C$27),0)</f>
        <v/>
      </c>
      <c r="Z53">
        <f>IF(AND($C$22="Y",(Z$46-$C$9+1)&gt;$C$26,Z58&gt;0),-MIN(Z58,$C$19/$C$27),0)</f>
        <v/>
      </c>
      <c r="AA53">
        <f>IF(AND($C$22="Y",(AA$46-$C$9+1)&gt;$C$26,AA58&gt;0),-MIN(AA58,$C$19/$C$27),0)</f>
        <v/>
      </c>
      <c r="AB53">
        <f>IF(AND($C$22="Y",(AB$46-$C$9+1)&gt;$C$26,AB58&gt;0),-MIN(AB58,$C$19/$C$27),0)</f>
        <v/>
      </c>
      <c r="AC53">
        <f>IF(AND($C$22="Y",(AC$46-$C$9+1)&gt;$C$26,AC58&gt;0),-MIN(AC58,$C$19/$C$27),0)</f>
        <v/>
      </c>
      <c r="AD53">
        <f>IF(AND($C$22="Y",(AD$46-$C$9+1)&gt;$C$26,AD58&gt;0),-MIN(AD58,$C$19/$C$27),0)</f>
        <v/>
      </c>
      <c r="AE53">
        <f>IF(AND($C$22="Y",(AE$46-$C$9+1)&gt;$C$26,AE58&gt;0),-MIN(AE58,$C$19/$C$27),0)</f>
        <v/>
      </c>
      <c r="AF53">
        <f>IF(AND($C$22="Y",(AF$46-$C$9+1)&gt;$C$26,AF58&gt;0),-MIN(AF58,$C$19/$C$27),0)</f>
        <v/>
      </c>
      <c r="AG53">
        <f>IF(AND($C$22="Y",(AG$46-$C$9+1)&gt;$C$26,AG58&gt;0),-MIN(AG58,$C$19/$C$27),0)</f>
        <v/>
      </c>
      <c r="AH53">
        <f>IF(AND($C$22="Y",(AH$46-$C$9+1)&gt;$C$26,AH58&gt;0),-MIN(AH58,$C$19/$C$27),0)</f>
        <v/>
      </c>
      <c r="AI53">
        <f>IF(AND($C$22="Y",(AI$46-$C$9+1)&gt;$C$26,AI58&gt;0),-MIN(AI58,$C$19/$C$27),0)</f>
        <v/>
      </c>
      <c r="AJ53">
        <f>IF(AND($C$22="Y",(AJ$46-$C$9+1)&gt;$C$26,AJ58&gt;0),-MIN(AJ58,$C$19/$C$27),0)</f>
        <v/>
      </c>
      <c r="AK53">
        <f>IF(AND($C$22="Y",(AK$46-$C$9+1)&gt;$C$26,AK58&gt;0),-MIN(AK58,$C$19/$C$27),0)</f>
        <v/>
      </c>
      <c r="AL53">
        <f>IF(AND($C$22="Y",(AL$46-$C$9+1)&gt;$C$26,AL58&gt;0),-MIN(AL58,$C$19/$C$27),0)</f>
        <v/>
      </c>
      <c r="AM53">
        <f>IF(AND($C$22="Y",(AM$46-$C$9+1)&gt;$C$26,AM58&gt;0),-MIN(AM58,$C$19/$C$27),0)</f>
        <v/>
      </c>
      <c r="AN53">
        <f>IF(AND($C$22="Y",(AN$46-$C$9+1)&gt;$C$26,AN58&gt;0),-MIN(AN58,$C$19/$C$27),0)</f>
        <v/>
      </c>
      <c r="AO53">
        <f>IF(AND($C$22="Y",(AO$46-$C$9+1)&gt;$C$26,AO58&gt;0),-MIN(AO58,$C$19/$C$27),0)</f>
        <v/>
      </c>
      <c r="AP53">
        <f>IF(AND($C$22="Y",(AP$46-$C$9+1)&gt;$C$26,AP58&gt;0),-MIN(AP58,$C$19/$C$27),0)</f>
        <v/>
      </c>
      <c r="AQ53">
        <f>IF(AND($C$22="Y",(AQ$46-$C$9+1)&gt;$C$26,AQ58&gt;0),-MIN(AQ58,$C$19/$C$27),0)</f>
        <v/>
      </c>
      <c r="AR53">
        <f>IF(AND($C$22="Y",(AR$46-$C$9+1)&gt;$C$26,AR58&gt;0),-MIN(AR58,$C$19/$C$27),0)</f>
        <v/>
      </c>
      <c r="AS53">
        <f>IF(AND($C$22="Y",(AS$46-$C$9+1)&gt;$C$26,AS58&gt;0),-MIN(AS58,$C$19/$C$27),0)</f>
        <v/>
      </c>
      <c r="AT53">
        <f>IF(AND($C$22="Y",(AT$46-$C$9+1)&gt;$C$26,AT58&gt;0),-MIN(AT58,$C$19/$C$27),0)</f>
        <v/>
      </c>
      <c r="AU53">
        <f>IF(AND($C$22="Y",(AU$46-$C$9+1)&gt;$C$26,AU58&gt;0),-MIN(AU58,$C$19/$C$27),0)</f>
        <v/>
      </c>
      <c r="AV53">
        <f>IF(AND($C$22="Y",(AV$46-$C$9+1)&gt;$C$26,AV58&gt;0),-MIN(AV58,$C$19/$C$27),0)</f>
        <v/>
      </c>
      <c r="AW53">
        <f>IF(AND($C$22="Y",(AW$46-$C$9+1)&gt;$C$26,AW58&gt;0),-MIN(AW58,$C$19/$C$27),0)</f>
        <v/>
      </c>
      <c r="AX53">
        <f>IF(AND($C$22="Y",(AX$46-$C$9+1)&gt;$C$26,AX58&gt;0),-MIN(AX58,$C$19/$C$27),0)</f>
        <v/>
      </c>
      <c r="AY53">
        <f>IF(AND($C$22="Y",(AY$46-$C$9+1)&gt;$C$26,AY58&gt;0),-MIN(AY58,$C$19/$C$27),0)</f>
        <v/>
      </c>
      <c r="AZ53">
        <f>IF(AND($C$22="Y",(AZ$46-$C$9+1)&gt;$C$26,AZ58&gt;0),-MIN(AZ58,$C$19/$C$27),0)</f>
        <v/>
      </c>
      <c r="BA53">
        <f>IF(AND($C$22="Y",(BA$46-$C$9+1)&gt;$C$26,BA58&gt;0),-MIN(BA58,$C$19/$C$27),0)</f>
        <v/>
      </c>
      <c r="BB53">
        <f>IF(AND($C$22="Y",(BB$46-$C$9+1)&gt;$C$26,BB58&gt;0),-MIN(BB58,$C$19/$C$27),0)</f>
        <v/>
      </c>
    </row>
    <row r="54" ht="15" customHeight="1" s="91">
      <c r="A54" s="152" t="inlineStr">
        <is>
          <t>8  FUND CASH FLOW (Levered)  تدفقات الصندوق الممولة</t>
        </is>
      </c>
      <c r="B54" s="152" t="inlineStr">
        <is>
          <t>(helper: perDraw repay)</t>
        </is>
      </c>
      <c r="C54" s="152" t="n"/>
      <c r="D54" s="152">
        <f>SUM(E54:BB54)</f>
        <v/>
      </c>
      <c r="E54" s="152">
        <f>-E140</f>
        <v/>
      </c>
      <c r="F54" s="152">
        <f>-F140</f>
        <v/>
      </c>
      <c r="G54" s="152">
        <f>-G140</f>
        <v/>
      </c>
      <c r="H54" s="152">
        <f>-H140</f>
        <v/>
      </c>
      <c r="I54" s="152">
        <f>-I140</f>
        <v/>
      </c>
      <c r="J54" s="152">
        <f>-J140</f>
        <v/>
      </c>
      <c r="K54" s="152">
        <f>-K140</f>
        <v/>
      </c>
      <c r="L54" s="152">
        <f>-L140</f>
        <v/>
      </c>
      <c r="M54" s="152">
        <f>-M140</f>
        <v/>
      </c>
      <c r="N54" s="152">
        <f>-N140</f>
        <v/>
      </c>
      <c r="O54" s="152">
        <f>-O140</f>
        <v/>
      </c>
      <c r="P54" s="152">
        <f>-P140</f>
        <v/>
      </c>
      <c r="Q54" s="152">
        <f>-Q140</f>
        <v/>
      </c>
      <c r="R54" s="152">
        <f>-R140</f>
        <v/>
      </c>
      <c r="S54" s="152">
        <f>-S140</f>
        <v/>
      </c>
      <c r="T54" s="152">
        <f>-T140</f>
        <v/>
      </c>
      <c r="U54" s="152">
        <f>-U140</f>
        <v/>
      </c>
      <c r="V54" s="152">
        <f>-V140</f>
        <v/>
      </c>
      <c r="W54" s="152">
        <f>-W140</f>
        <v/>
      </c>
      <c r="X54" s="152">
        <f>-X140</f>
        <v/>
      </c>
      <c r="Y54" s="152">
        <f>-Y140</f>
        <v/>
      </c>
      <c r="Z54" s="152">
        <f>-Z140</f>
        <v/>
      </c>
      <c r="AA54" s="152">
        <f>-AA140</f>
        <v/>
      </c>
      <c r="AB54" s="152">
        <f>-AB140</f>
        <v/>
      </c>
      <c r="AC54" s="152">
        <f>-AC140</f>
        <v/>
      </c>
      <c r="AD54" s="152">
        <f>-AD140</f>
        <v/>
      </c>
      <c r="AE54" s="152">
        <f>-AE140</f>
        <v/>
      </c>
      <c r="AF54" s="152">
        <f>-AF140</f>
        <v/>
      </c>
      <c r="AG54" s="152">
        <f>-AG140</f>
        <v/>
      </c>
      <c r="AH54" s="152">
        <f>-AH140</f>
        <v/>
      </c>
      <c r="AI54" s="152">
        <f>-AI140</f>
        <v/>
      </c>
      <c r="AJ54" s="152">
        <f>-AJ140</f>
        <v/>
      </c>
      <c r="AK54" s="152">
        <f>-AK140</f>
        <v/>
      </c>
      <c r="AL54" s="152">
        <f>-AL140</f>
        <v/>
      </c>
      <c r="AM54" s="152">
        <f>-AM140</f>
        <v/>
      </c>
      <c r="AN54" s="152">
        <f>-AN140</f>
        <v/>
      </c>
      <c r="AO54" s="152">
        <f>-AO140</f>
        <v/>
      </c>
      <c r="AP54" s="152">
        <f>-AP140</f>
        <v/>
      </c>
      <c r="AQ54" s="152">
        <f>-AQ140</f>
        <v/>
      </c>
      <c r="AR54" s="152">
        <f>-AR140</f>
        <v/>
      </c>
      <c r="AS54" s="152">
        <f>-AS140</f>
        <v/>
      </c>
      <c r="AT54" s="152">
        <f>-AT140</f>
        <v/>
      </c>
      <c r="AU54" s="152">
        <f>-AU140</f>
        <v/>
      </c>
      <c r="AV54" s="152">
        <f>-AV140</f>
        <v/>
      </c>
      <c r="AW54" s="152">
        <f>-AW140</f>
        <v/>
      </c>
      <c r="AX54" s="152">
        <f>-AX140</f>
        <v/>
      </c>
      <c r="AY54" s="152">
        <f>-AY140</f>
        <v/>
      </c>
      <c r="AZ54" s="152">
        <f>-AZ140</f>
        <v/>
      </c>
      <c r="BA54" s="152">
        <f>-BA140</f>
        <v/>
      </c>
      <c r="BB54" s="152">
        <f>-BB140</f>
        <v/>
      </c>
    </row>
    <row r="55" ht="15" customHeight="1" s="91">
      <c r="C55" s="165" t="inlineStr">
        <is>
          <t>Unit</t>
        </is>
      </c>
      <c r="D55" s="165" t="inlineStr">
        <is>
          <t>Total</t>
        </is>
      </c>
      <c r="E55" s="166">
        <f>E$46</f>
        <v/>
      </c>
      <c r="F55" s="166">
        <f>F$46</f>
        <v/>
      </c>
      <c r="G55" s="166">
        <f>G$46</f>
        <v/>
      </c>
      <c r="H55" s="166">
        <f>H$46</f>
        <v/>
      </c>
      <c r="I55" s="166">
        <f>I$46</f>
        <v/>
      </c>
      <c r="J55" s="166">
        <f>J$46</f>
        <v/>
      </c>
      <c r="K55" s="166">
        <f>K$46</f>
        <v/>
      </c>
      <c r="L55" s="166">
        <f>L$46</f>
        <v/>
      </c>
      <c r="M55" s="166">
        <f>M$46</f>
        <v/>
      </c>
      <c r="N55" s="166">
        <f>N$46</f>
        <v/>
      </c>
      <c r="O55" s="166">
        <f>O$46</f>
        <v/>
      </c>
      <c r="P55" s="166">
        <f>P$46</f>
        <v/>
      </c>
      <c r="Q55" s="166">
        <f>Q$46</f>
        <v/>
      </c>
      <c r="R55" s="166">
        <f>R$46</f>
        <v/>
      </c>
      <c r="S55" s="166">
        <f>S$46</f>
        <v/>
      </c>
      <c r="T55" s="166">
        <f>T$46</f>
        <v/>
      </c>
      <c r="U55" s="166">
        <f>U$46</f>
        <v/>
      </c>
      <c r="V55" s="166">
        <f>V$46</f>
        <v/>
      </c>
      <c r="W55" s="166">
        <f>W$46</f>
        <v/>
      </c>
      <c r="X55" s="166">
        <f>X$46</f>
        <v/>
      </c>
      <c r="Y55" s="166">
        <f>Y$46</f>
        <v/>
      </c>
      <c r="Z55" s="166">
        <f>Z$46</f>
        <v/>
      </c>
      <c r="AA55" s="166">
        <f>AA$46</f>
        <v/>
      </c>
      <c r="AB55" s="166">
        <f>AB$46</f>
        <v/>
      </c>
      <c r="AC55" s="166">
        <f>AC$46</f>
        <v/>
      </c>
      <c r="AD55" s="166">
        <f>AD$46</f>
        <v/>
      </c>
      <c r="AE55" s="166">
        <f>AE$46</f>
        <v/>
      </c>
      <c r="AF55" s="166">
        <f>AF$46</f>
        <v/>
      </c>
      <c r="AG55" s="166">
        <f>AG$46</f>
        <v/>
      </c>
      <c r="AH55" s="166">
        <f>AH$46</f>
        <v/>
      </c>
      <c r="AI55" s="166">
        <f>AI$46</f>
        <v/>
      </c>
      <c r="AJ55" s="166">
        <f>AJ$46</f>
        <v/>
      </c>
      <c r="AK55" s="166">
        <f>AK$46</f>
        <v/>
      </c>
      <c r="AL55" s="166">
        <f>AL$46</f>
        <v/>
      </c>
      <c r="AM55" s="166">
        <f>AM$46</f>
        <v/>
      </c>
      <c r="AN55" s="166">
        <f>AN$46</f>
        <v/>
      </c>
      <c r="AO55" s="166">
        <f>AO$46</f>
        <v/>
      </c>
      <c r="AP55" s="166">
        <f>AP$46</f>
        <v/>
      </c>
      <c r="AQ55" s="166">
        <f>AQ$46</f>
        <v/>
      </c>
      <c r="AR55" s="166">
        <f>AR$46</f>
        <v/>
      </c>
      <c r="AS55" s="166">
        <f>AS$46</f>
        <v/>
      </c>
      <c r="AT55" s="166">
        <f>AT$46</f>
        <v/>
      </c>
      <c r="AU55" s="166">
        <f>AU$46</f>
        <v/>
      </c>
      <c r="AV55" s="166">
        <f>AV$46</f>
        <v/>
      </c>
      <c r="AW55" s="166">
        <f>AW$46</f>
        <v/>
      </c>
      <c r="AX55" s="166">
        <f>AX$46</f>
        <v/>
      </c>
      <c r="AY55" s="166">
        <f>AY$46</f>
        <v/>
      </c>
      <c r="AZ55" s="166">
        <f>AZ$46</f>
        <v/>
      </c>
      <c r="BA55" s="166">
        <f>BA$46</f>
        <v/>
      </c>
      <c r="BB55" s="166">
        <f>BB$46</f>
        <v/>
      </c>
    </row>
    <row r="56" ht="15" customHeight="1" s="91">
      <c r="B56" s="153" t="inlineStr">
        <is>
          <t>Equity Calls  سحب رأس المال</t>
        </is>
      </c>
      <c r="C56" s="153" t="inlineStr">
        <is>
          <t>SAR</t>
        </is>
      </c>
      <c r="D56" s="157">
        <f>SUM(E56:BB56)</f>
        <v/>
      </c>
      <c r="E56" s="160">
        <f>IF(AND(E49&lt;0,E$46&gt;=$C$9,E$46&lt;=$C$41),ABS(E49/$D$49)*$C$14,0)+E70</f>
        <v/>
      </c>
      <c r="F56" s="160">
        <f>IF(AND(F49&lt;0,F$46&gt;=$C$9,F$46&lt;=$C$41),ABS(F49/$D$49)*$C$14,0)+F70</f>
        <v/>
      </c>
      <c r="G56" s="160">
        <f>IF(AND(G49&lt;0,G$46&gt;=$C$9,G$46&lt;=$C$41),ABS(G49/$D$49)*$C$14,0)+G70</f>
        <v/>
      </c>
      <c r="H56" s="160">
        <f>IF(AND(H49&lt;0,H$46&gt;=$C$9,H$46&lt;=$C$41),ABS(H49/$D$49)*$C$14,0)+H70</f>
        <v/>
      </c>
      <c r="I56" s="160">
        <f>IF(AND(I49&lt;0,I$46&gt;=$C$9,I$46&lt;=$C$41),ABS(I49/$D$49)*$C$14,0)+I70</f>
        <v/>
      </c>
      <c r="J56" s="160">
        <f>IF(AND(J49&lt;0,J$46&gt;=$C$9,J$46&lt;=$C$41),ABS(J49/$D$49)*$C$14,0)+J70</f>
        <v/>
      </c>
      <c r="K56" s="160">
        <f>IF(AND(K49&lt;0,K$46&gt;=$C$9,K$46&lt;=$C$41),ABS(K49/$D$49)*$C$14,0)+K70</f>
        <v/>
      </c>
      <c r="L56" s="160">
        <f>IF(AND(L49&lt;0,L$46&gt;=$C$9,L$46&lt;=$C$41),ABS(L49/$D$49)*$C$14,0)+L70</f>
        <v/>
      </c>
      <c r="M56" s="160">
        <f>IF(AND(M49&lt;0,M$46&gt;=$C$9,M$46&lt;=$C$41),ABS(M49/$D$49)*$C$14,0)+M70</f>
        <v/>
      </c>
      <c r="N56" s="160">
        <f>IF(AND(N49&lt;0,N$46&gt;=$C$9,N$46&lt;=$C$41),ABS(N49/$D$49)*$C$14,0)+N70</f>
        <v/>
      </c>
      <c r="O56" s="160">
        <f>IF(AND(O49&lt;0,O$46&gt;=$C$9,O$46&lt;=$C$41),ABS(O49/$D$49)*$C$14,0)+O70</f>
        <v/>
      </c>
      <c r="P56" s="160">
        <f>IF(AND(P49&lt;0,P$46&gt;=$C$9,P$46&lt;=$C$41),ABS(P49/$D$49)*$C$14,0)+P70</f>
        <v/>
      </c>
      <c r="Q56" s="160">
        <f>IF(AND(Q49&lt;0,Q$46&gt;=$C$9,Q$46&lt;=$C$41),ABS(Q49/$D$49)*$C$14,0)+Q70</f>
        <v/>
      </c>
      <c r="R56" s="160">
        <f>IF(AND(R49&lt;0,R$46&gt;=$C$9,R$46&lt;=$C$41),ABS(R49/$D$49)*$C$14,0)+R70</f>
        <v/>
      </c>
      <c r="S56" s="160">
        <f>IF(AND(S49&lt;0,S$46&gt;=$C$9,S$46&lt;=$C$41),ABS(S49/$D$49)*$C$14,0)+S70</f>
        <v/>
      </c>
      <c r="T56" s="160">
        <f>IF(AND(T49&lt;0,T$46&gt;=$C$9,T$46&lt;=$C$41),ABS(T49/$D$49)*$C$14,0)+T70</f>
        <v/>
      </c>
      <c r="U56" s="160">
        <f>IF(AND(U49&lt;0,U$46&gt;=$C$9,U$46&lt;=$C$41),ABS(U49/$D$49)*$C$14,0)+U70</f>
        <v/>
      </c>
      <c r="V56" s="160">
        <f>IF(AND(V49&lt;0,V$46&gt;=$C$9,V$46&lt;=$C$41),ABS(V49/$D$49)*$C$14,0)+V70</f>
        <v/>
      </c>
      <c r="W56" s="160">
        <f>IF(AND(W49&lt;0,W$46&gt;=$C$9,W$46&lt;=$C$41),ABS(W49/$D$49)*$C$14,0)+W70</f>
        <v/>
      </c>
      <c r="X56" s="160">
        <f>IF(AND(X49&lt;0,X$46&gt;=$C$9,X$46&lt;=$C$41),ABS(X49/$D$49)*$C$14,0)+X70</f>
        <v/>
      </c>
      <c r="Y56" s="160">
        <f>IF(AND(Y49&lt;0,Y$46&gt;=$C$9,Y$46&lt;=$C$41),ABS(Y49/$D$49)*$C$14,0)+Y70</f>
        <v/>
      </c>
      <c r="Z56" s="160">
        <f>IF(AND(Z49&lt;0,Z$46&gt;=$C$9,Z$46&lt;=$C$41),ABS(Z49/$D$49)*$C$14,0)+Z70</f>
        <v/>
      </c>
      <c r="AA56" s="160">
        <f>IF(AND(AA49&lt;0,AA$46&gt;=$C$9,AA$46&lt;=$C$41),ABS(AA49/$D$49)*$C$14,0)+AA70</f>
        <v/>
      </c>
      <c r="AB56" s="160">
        <f>IF(AND(AB49&lt;0,AB$46&gt;=$C$9,AB$46&lt;=$C$41),ABS(AB49/$D$49)*$C$14,0)+AB70</f>
        <v/>
      </c>
      <c r="AC56" s="160">
        <f>IF(AND(AC49&lt;0,AC$46&gt;=$C$9,AC$46&lt;=$C$41),ABS(AC49/$D$49)*$C$14,0)+AC70</f>
        <v/>
      </c>
      <c r="AD56" s="160">
        <f>IF(AND(AD49&lt;0,AD$46&gt;=$C$9,AD$46&lt;=$C$41),ABS(AD49/$D$49)*$C$14,0)+AD70</f>
        <v/>
      </c>
      <c r="AE56" s="160">
        <f>IF(AND(AE49&lt;0,AE$46&gt;=$C$9,AE$46&lt;=$C$41),ABS(AE49/$D$49)*$C$14,0)+AE70</f>
        <v/>
      </c>
      <c r="AF56" s="160">
        <f>IF(AND(AF49&lt;0,AF$46&gt;=$C$9,AF$46&lt;=$C$41),ABS(AF49/$D$49)*$C$14,0)+AF70</f>
        <v/>
      </c>
      <c r="AG56" s="160">
        <f>IF(AND(AG49&lt;0,AG$46&gt;=$C$9,AG$46&lt;=$C$41),ABS(AG49/$D$49)*$C$14,0)+AG70</f>
        <v/>
      </c>
      <c r="AH56" s="160">
        <f>IF(AND(AH49&lt;0,AH$46&gt;=$C$9,AH$46&lt;=$C$41),ABS(AH49/$D$49)*$C$14,0)+AH70</f>
        <v/>
      </c>
      <c r="AI56" s="160">
        <f>IF(AND(AI49&lt;0,AI$46&gt;=$C$9,AI$46&lt;=$C$41),ABS(AI49/$D$49)*$C$14,0)+AI70</f>
        <v/>
      </c>
      <c r="AJ56" s="160">
        <f>IF(AND(AJ49&lt;0,AJ$46&gt;=$C$9,AJ$46&lt;=$C$41),ABS(AJ49/$D$49)*$C$14,0)+AJ70</f>
        <v/>
      </c>
      <c r="AK56" s="160">
        <f>IF(AND(AK49&lt;0,AK$46&gt;=$C$9,AK$46&lt;=$C$41),ABS(AK49/$D$49)*$C$14,0)+AK70</f>
        <v/>
      </c>
      <c r="AL56" s="160">
        <f>IF(AND(AL49&lt;0,AL$46&gt;=$C$9,AL$46&lt;=$C$41),ABS(AL49/$D$49)*$C$14,0)+AL70</f>
        <v/>
      </c>
      <c r="AM56" s="160">
        <f>IF(AND(AM49&lt;0,AM$46&gt;=$C$9,AM$46&lt;=$C$41),ABS(AM49/$D$49)*$C$14,0)+AM70</f>
        <v/>
      </c>
      <c r="AN56" s="160">
        <f>IF(AND(AN49&lt;0,AN$46&gt;=$C$9,AN$46&lt;=$C$41),ABS(AN49/$D$49)*$C$14,0)+AN70</f>
        <v/>
      </c>
      <c r="AO56" s="160">
        <f>IF(AND(AO49&lt;0,AO$46&gt;=$C$9,AO$46&lt;=$C$41),ABS(AO49/$D$49)*$C$14,0)+AO70</f>
        <v/>
      </c>
      <c r="AP56" s="160">
        <f>IF(AND(AP49&lt;0,AP$46&gt;=$C$9,AP$46&lt;=$C$41),ABS(AP49/$D$49)*$C$14,0)+AP70</f>
        <v/>
      </c>
      <c r="AQ56" s="160">
        <f>IF(AND(AQ49&lt;0,AQ$46&gt;=$C$9,AQ$46&lt;=$C$41),ABS(AQ49/$D$49)*$C$14,0)+AQ70</f>
        <v/>
      </c>
      <c r="AR56" s="160">
        <f>IF(AND(AR49&lt;0,AR$46&gt;=$C$9,AR$46&lt;=$C$41),ABS(AR49/$D$49)*$C$14,0)+AR70</f>
        <v/>
      </c>
      <c r="AS56" s="160">
        <f>IF(AND(AS49&lt;0,AS$46&gt;=$C$9,AS$46&lt;=$C$41),ABS(AS49/$D$49)*$C$14,0)+AS70</f>
        <v/>
      </c>
      <c r="AT56" s="160">
        <f>IF(AND(AT49&lt;0,AT$46&gt;=$C$9,AT$46&lt;=$C$41),ABS(AT49/$D$49)*$C$14,0)+AT70</f>
        <v/>
      </c>
      <c r="AU56" s="160">
        <f>IF(AND(AU49&lt;0,AU$46&gt;=$C$9,AU$46&lt;=$C$41),ABS(AU49/$D$49)*$C$14,0)+AU70</f>
        <v/>
      </c>
      <c r="AV56" s="160">
        <f>IF(AND(AV49&lt;0,AV$46&gt;=$C$9,AV$46&lt;=$C$41),ABS(AV49/$D$49)*$C$14,0)+AV70</f>
        <v/>
      </c>
      <c r="AW56" s="160">
        <f>IF(AND(AW49&lt;0,AW$46&gt;=$C$9,AW$46&lt;=$C$41),ABS(AW49/$D$49)*$C$14,0)+AW70</f>
        <v/>
      </c>
      <c r="AX56" s="160">
        <f>IF(AND(AX49&lt;0,AX$46&gt;=$C$9,AX$46&lt;=$C$41),ABS(AX49/$D$49)*$C$14,0)+AX70</f>
        <v/>
      </c>
      <c r="AY56" s="160">
        <f>IF(AND(AY49&lt;0,AY$46&gt;=$C$9,AY$46&lt;=$C$41),ABS(AY49/$D$49)*$C$14,0)+AY70</f>
        <v/>
      </c>
      <c r="AZ56" s="160">
        <f>IF(AND(AZ49&lt;0,AZ$46&gt;=$C$9,AZ$46&lt;=$C$41),ABS(AZ49/$D$49)*$C$14,0)+AZ70</f>
        <v/>
      </c>
      <c r="BA56" s="160">
        <f>IF(AND(BA49&lt;0,BA$46&gt;=$C$9,BA$46&lt;=$C$41),ABS(BA49/$D$49)*$C$14,0)+BA70</f>
        <v/>
      </c>
      <c r="BB56" s="160">
        <f>IF(AND(BB49&lt;0,BB$46&gt;=$C$9,BB$46&lt;=$C$41),ABS(BB49/$D$49)*$C$14,0)+BB70</f>
        <v/>
      </c>
    </row>
    <row r="57" ht="15" customHeight="1" s="91">
      <c r="B57" s="153" t="inlineStr">
        <is>
          <t>Debt Drawdown  سحب القرض</t>
        </is>
      </c>
      <c r="C57" s="153" t="inlineStr">
        <is>
          <t>SAR</t>
        </is>
      </c>
      <c r="D57" s="157">
        <f>SUM(E57:BB57)</f>
        <v/>
      </c>
      <c r="E57" s="160">
        <f>IF(AND($C$22="Y",E49&lt;0,E$46&gt;=$C$9,E$46&lt;=$C$41),MIN(ABS(E49/$D$49)*$C$19,MAX(0,$C$19-0)),0)</f>
        <v/>
      </c>
      <c r="F57" s="160">
        <f>IF(AND($C$22="Y",F49&lt;0,F$46&gt;=$C$9,F$46&lt;=$C$41),MIN(ABS(F49/$D$49)*$C$19,MAX(0,$C$19-E60)),0)</f>
        <v/>
      </c>
      <c r="G57" s="160">
        <f>IF(AND($C$22="Y",G49&lt;0,G$46&gt;=$C$9,G$46&lt;=$C$41),MIN(ABS(G49/$D$49)*$C$19,MAX(0,$C$19-F60)),0)</f>
        <v/>
      </c>
      <c r="H57" s="160">
        <f>IF(AND($C$22="Y",H49&lt;0,H$46&gt;=$C$9,H$46&lt;=$C$41),MIN(ABS(H49/$D$49)*$C$19,MAX(0,$C$19-G60)),0)</f>
        <v/>
      </c>
      <c r="I57" s="160">
        <f>IF(AND($C$22="Y",I49&lt;0,I$46&gt;=$C$9,I$46&lt;=$C$41),MIN(ABS(I49/$D$49)*$C$19,MAX(0,$C$19-H60)),0)</f>
        <v/>
      </c>
      <c r="J57" s="160">
        <f>IF(AND($C$22="Y",J49&lt;0,J$46&gt;=$C$9,J$46&lt;=$C$41),MIN(ABS(J49/$D$49)*$C$19,MAX(0,$C$19-I60)),0)</f>
        <v/>
      </c>
      <c r="K57" s="160">
        <f>IF(AND($C$22="Y",K49&lt;0,K$46&gt;=$C$9,K$46&lt;=$C$41),MIN(ABS(K49/$D$49)*$C$19,MAX(0,$C$19-J60)),0)</f>
        <v/>
      </c>
      <c r="L57" s="160">
        <f>IF(AND($C$22="Y",L49&lt;0,L$46&gt;=$C$9,L$46&lt;=$C$41),MIN(ABS(L49/$D$49)*$C$19,MAX(0,$C$19-K60)),0)</f>
        <v/>
      </c>
      <c r="M57" s="160">
        <f>IF(AND($C$22="Y",M49&lt;0,M$46&gt;=$C$9,M$46&lt;=$C$41),MIN(ABS(M49/$D$49)*$C$19,MAX(0,$C$19-L60)),0)</f>
        <v/>
      </c>
      <c r="N57" s="160">
        <f>IF(AND($C$22="Y",N49&lt;0,N$46&gt;=$C$9,N$46&lt;=$C$41),MIN(ABS(N49/$D$49)*$C$19,MAX(0,$C$19-M60)),0)</f>
        <v/>
      </c>
      <c r="O57" s="160">
        <f>IF(AND($C$22="Y",O49&lt;0,O$46&gt;=$C$9,O$46&lt;=$C$41),MIN(ABS(O49/$D$49)*$C$19,MAX(0,$C$19-N60)),0)</f>
        <v/>
      </c>
      <c r="P57" s="160">
        <f>IF(AND($C$22="Y",P49&lt;0,P$46&gt;=$C$9,P$46&lt;=$C$41),MIN(ABS(P49/$D$49)*$C$19,MAX(0,$C$19-O60)),0)</f>
        <v/>
      </c>
      <c r="Q57" s="160">
        <f>IF(AND($C$22="Y",Q49&lt;0,Q$46&gt;=$C$9,Q$46&lt;=$C$41),MIN(ABS(Q49/$D$49)*$C$19,MAX(0,$C$19-P60)),0)</f>
        <v/>
      </c>
      <c r="R57" s="160">
        <f>IF(AND($C$22="Y",R49&lt;0,R$46&gt;=$C$9,R$46&lt;=$C$41),MIN(ABS(R49/$D$49)*$C$19,MAX(0,$C$19-Q60)),0)</f>
        <v/>
      </c>
      <c r="S57" s="160">
        <f>IF(AND($C$22="Y",S49&lt;0,S$46&gt;=$C$9,S$46&lt;=$C$41),MIN(ABS(S49/$D$49)*$C$19,MAX(0,$C$19-R60)),0)</f>
        <v/>
      </c>
      <c r="T57" s="160">
        <f>IF(AND($C$22="Y",T49&lt;0,T$46&gt;=$C$9,T$46&lt;=$C$41),MIN(ABS(T49/$D$49)*$C$19,MAX(0,$C$19-S60)),0)</f>
        <v/>
      </c>
      <c r="U57" s="160">
        <f>IF(AND($C$22="Y",U49&lt;0,U$46&gt;=$C$9,U$46&lt;=$C$41),MIN(ABS(U49/$D$49)*$C$19,MAX(0,$C$19-T60)),0)</f>
        <v/>
      </c>
      <c r="V57" s="160">
        <f>IF(AND($C$22="Y",V49&lt;0,V$46&gt;=$C$9,V$46&lt;=$C$41),MIN(ABS(V49/$D$49)*$C$19,MAX(0,$C$19-U60)),0)</f>
        <v/>
      </c>
      <c r="W57" s="160">
        <f>IF(AND($C$22="Y",W49&lt;0,W$46&gt;=$C$9,W$46&lt;=$C$41),MIN(ABS(W49/$D$49)*$C$19,MAX(0,$C$19-V60)),0)</f>
        <v/>
      </c>
      <c r="X57" s="160">
        <f>IF(AND($C$22="Y",X49&lt;0,X$46&gt;=$C$9,X$46&lt;=$C$41),MIN(ABS(X49/$D$49)*$C$19,MAX(0,$C$19-W60)),0)</f>
        <v/>
      </c>
      <c r="Y57" s="160">
        <f>IF(AND($C$22="Y",Y49&lt;0,Y$46&gt;=$C$9,Y$46&lt;=$C$41),MIN(ABS(Y49/$D$49)*$C$19,MAX(0,$C$19-X60)),0)</f>
        <v/>
      </c>
      <c r="Z57" s="160">
        <f>IF(AND($C$22="Y",Z49&lt;0,Z$46&gt;=$C$9,Z$46&lt;=$C$41),MIN(ABS(Z49/$D$49)*$C$19,MAX(0,$C$19-Y60)),0)</f>
        <v/>
      </c>
      <c r="AA57" s="160">
        <f>IF(AND($C$22="Y",AA49&lt;0,AA$46&gt;=$C$9,AA$46&lt;=$C$41),MIN(ABS(AA49/$D$49)*$C$19,MAX(0,$C$19-Z60)),0)</f>
        <v/>
      </c>
      <c r="AB57" s="160">
        <f>IF(AND($C$22="Y",AB49&lt;0,AB$46&gt;=$C$9,AB$46&lt;=$C$41),MIN(ABS(AB49/$D$49)*$C$19,MAX(0,$C$19-AA60)),0)</f>
        <v/>
      </c>
      <c r="AC57" s="160">
        <f>IF(AND($C$22="Y",AC49&lt;0,AC$46&gt;=$C$9,AC$46&lt;=$C$41),MIN(ABS(AC49/$D$49)*$C$19,MAX(0,$C$19-AB60)),0)</f>
        <v/>
      </c>
      <c r="AD57" s="160">
        <f>IF(AND($C$22="Y",AD49&lt;0,AD$46&gt;=$C$9,AD$46&lt;=$C$41),MIN(ABS(AD49/$D$49)*$C$19,MAX(0,$C$19-AC60)),0)</f>
        <v/>
      </c>
      <c r="AE57" s="160">
        <f>IF(AND($C$22="Y",AE49&lt;0,AE$46&gt;=$C$9,AE$46&lt;=$C$41),MIN(ABS(AE49/$D$49)*$C$19,MAX(0,$C$19-AD60)),0)</f>
        <v/>
      </c>
      <c r="AF57" s="160">
        <f>IF(AND($C$22="Y",AF49&lt;0,AF$46&gt;=$C$9,AF$46&lt;=$C$41),MIN(ABS(AF49/$D$49)*$C$19,MAX(0,$C$19-AE60)),0)</f>
        <v/>
      </c>
      <c r="AG57" s="160">
        <f>IF(AND($C$22="Y",AG49&lt;0,AG$46&gt;=$C$9,AG$46&lt;=$C$41),MIN(ABS(AG49/$D$49)*$C$19,MAX(0,$C$19-AF60)),0)</f>
        <v/>
      </c>
      <c r="AH57" s="160">
        <f>IF(AND($C$22="Y",AH49&lt;0,AH$46&gt;=$C$9,AH$46&lt;=$C$41),MIN(ABS(AH49/$D$49)*$C$19,MAX(0,$C$19-AG60)),0)</f>
        <v/>
      </c>
      <c r="AI57" s="160">
        <f>IF(AND($C$22="Y",AI49&lt;0,AI$46&gt;=$C$9,AI$46&lt;=$C$41),MIN(ABS(AI49/$D$49)*$C$19,MAX(0,$C$19-AH60)),0)</f>
        <v/>
      </c>
      <c r="AJ57" s="160">
        <f>IF(AND($C$22="Y",AJ49&lt;0,AJ$46&gt;=$C$9,AJ$46&lt;=$C$41),MIN(ABS(AJ49/$D$49)*$C$19,MAX(0,$C$19-AI60)),0)</f>
        <v/>
      </c>
      <c r="AK57" s="160">
        <f>IF(AND($C$22="Y",AK49&lt;0,AK$46&gt;=$C$9,AK$46&lt;=$C$41),MIN(ABS(AK49/$D$49)*$C$19,MAX(0,$C$19-AJ60)),0)</f>
        <v/>
      </c>
      <c r="AL57" s="160">
        <f>IF(AND($C$22="Y",AL49&lt;0,AL$46&gt;=$C$9,AL$46&lt;=$C$41),MIN(ABS(AL49/$D$49)*$C$19,MAX(0,$C$19-AK60)),0)</f>
        <v/>
      </c>
      <c r="AM57" s="160">
        <f>IF(AND($C$22="Y",AM49&lt;0,AM$46&gt;=$C$9,AM$46&lt;=$C$41),MIN(ABS(AM49/$D$49)*$C$19,MAX(0,$C$19-AL60)),0)</f>
        <v/>
      </c>
      <c r="AN57" s="160">
        <f>IF(AND($C$22="Y",AN49&lt;0,AN$46&gt;=$C$9,AN$46&lt;=$C$41),MIN(ABS(AN49/$D$49)*$C$19,MAX(0,$C$19-AM60)),0)</f>
        <v/>
      </c>
      <c r="AO57" s="160">
        <f>IF(AND($C$22="Y",AO49&lt;0,AO$46&gt;=$C$9,AO$46&lt;=$C$41),MIN(ABS(AO49/$D$49)*$C$19,MAX(0,$C$19-AN60)),0)</f>
        <v/>
      </c>
      <c r="AP57" s="160">
        <f>IF(AND($C$22="Y",AP49&lt;0,AP$46&gt;=$C$9,AP$46&lt;=$C$41),MIN(ABS(AP49/$D$49)*$C$19,MAX(0,$C$19-AO60)),0)</f>
        <v/>
      </c>
      <c r="AQ57" s="160">
        <f>IF(AND($C$22="Y",AQ49&lt;0,AQ$46&gt;=$C$9,AQ$46&lt;=$C$41),MIN(ABS(AQ49/$D$49)*$C$19,MAX(0,$C$19-AP60)),0)</f>
        <v/>
      </c>
      <c r="AR57" s="160">
        <f>IF(AND($C$22="Y",AR49&lt;0,AR$46&gt;=$C$9,AR$46&lt;=$C$41),MIN(ABS(AR49/$D$49)*$C$19,MAX(0,$C$19-AQ60)),0)</f>
        <v/>
      </c>
      <c r="AS57" s="160">
        <f>IF(AND($C$22="Y",AS49&lt;0,AS$46&gt;=$C$9,AS$46&lt;=$C$41),MIN(ABS(AS49/$D$49)*$C$19,MAX(0,$C$19-AR60)),0)</f>
        <v/>
      </c>
      <c r="AT57" s="160">
        <f>IF(AND($C$22="Y",AT49&lt;0,AT$46&gt;=$C$9,AT$46&lt;=$C$41),MIN(ABS(AT49/$D$49)*$C$19,MAX(0,$C$19-AS60)),0)</f>
        <v/>
      </c>
      <c r="AU57" s="160">
        <f>IF(AND($C$22="Y",AU49&lt;0,AU$46&gt;=$C$9,AU$46&lt;=$C$41),MIN(ABS(AU49/$D$49)*$C$19,MAX(0,$C$19-AT60)),0)</f>
        <v/>
      </c>
      <c r="AV57" s="160">
        <f>IF(AND($C$22="Y",AV49&lt;0,AV$46&gt;=$C$9,AV$46&lt;=$C$41),MIN(ABS(AV49/$D$49)*$C$19,MAX(0,$C$19-AU60)),0)</f>
        <v/>
      </c>
      <c r="AW57" s="160">
        <f>IF(AND($C$22="Y",AW49&lt;0,AW$46&gt;=$C$9,AW$46&lt;=$C$41),MIN(ABS(AW49/$D$49)*$C$19,MAX(0,$C$19-AV60)),0)</f>
        <v/>
      </c>
      <c r="AX57" s="160">
        <f>IF(AND($C$22="Y",AX49&lt;0,AX$46&gt;=$C$9,AX$46&lt;=$C$41),MIN(ABS(AX49/$D$49)*$C$19,MAX(0,$C$19-AW60)),0)</f>
        <v/>
      </c>
      <c r="AY57" s="160">
        <f>IF(AND($C$22="Y",AY49&lt;0,AY$46&gt;=$C$9,AY$46&lt;=$C$41),MIN(ABS(AY49/$D$49)*$C$19,MAX(0,$C$19-AX60)),0)</f>
        <v/>
      </c>
      <c r="AZ57" s="160">
        <f>IF(AND($C$22="Y",AZ49&lt;0,AZ$46&gt;=$C$9,AZ$46&lt;=$C$41),MIN(ABS(AZ49/$D$49)*$C$19,MAX(0,$C$19-AY60)),0)</f>
        <v/>
      </c>
      <c r="BA57" s="160">
        <f>IF(AND($C$22="Y",BA49&lt;0,BA$46&gt;=$C$9,BA$46&lt;=$C$41),MIN(ABS(BA49/$D$49)*$C$19,MAX(0,$C$19-AZ60)),0)</f>
        <v/>
      </c>
      <c r="BB57" s="160">
        <f>IF(AND($C$22="Y",BB49&lt;0,BB$46&gt;=$C$9,BB$46&lt;=$C$41),MIN(ABS(BB49/$D$49)*$C$19,MAX(0,$C$19-BA60)),0)</f>
        <v/>
      </c>
    </row>
    <row r="58" ht="15" customHeight="1" s="91">
      <c r="B58" s="153" t="inlineStr">
        <is>
          <t>Debt Balance (Open)  رصيد الدين بداية السنة</t>
        </is>
      </c>
      <c r="C58" s="153" t="inlineStr">
        <is>
          <t>SAR</t>
        </is>
      </c>
      <c r="D58" s="160">
        <f>SUM(E58:BB58)</f>
        <v/>
      </c>
      <c r="E58" s="160">
        <f>0</f>
        <v/>
      </c>
      <c r="F58" s="160">
        <f>E60</f>
        <v/>
      </c>
      <c r="G58" s="160">
        <f>F60</f>
        <v/>
      </c>
      <c r="H58" s="160">
        <f>G60</f>
        <v/>
      </c>
      <c r="I58" s="160">
        <f>H60</f>
        <v/>
      </c>
      <c r="J58" s="160">
        <f>I60</f>
        <v/>
      </c>
      <c r="K58" s="160">
        <f>J60</f>
        <v/>
      </c>
      <c r="L58" s="160">
        <f>K60</f>
        <v/>
      </c>
      <c r="M58" s="160">
        <f>L60</f>
        <v/>
      </c>
      <c r="N58" s="160">
        <f>M60</f>
        <v/>
      </c>
      <c r="O58" s="160">
        <f>N60</f>
        <v/>
      </c>
      <c r="P58" s="160">
        <f>O60</f>
        <v/>
      </c>
      <c r="Q58" s="160">
        <f>P60</f>
        <v/>
      </c>
      <c r="R58" s="160">
        <f>Q60</f>
        <v/>
      </c>
      <c r="S58" s="160">
        <f>R60</f>
        <v/>
      </c>
      <c r="T58" s="160">
        <f>S60</f>
        <v/>
      </c>
      <c r="U58" s="160">
        <f>T60</f>
        <v/>
      </c>
      <c r="V58" s="160">
        <f>U60</f>
        <v/>
      </c>
      <c r="W58" s="160">
        <f>V60</f>
        <v/>
      </c>
      <c r="X58" s="160">
        <f>W60</f>
        <v/>
      </c>
      <c r="Y58" s="160">
        <f>X60</f>
        <v/>
      </c>
      <c r="Z58" s="160">
        <f>Y60</f>
        <v/>
      </c>
      <c r="AA58" s="160">
        <f>Z60</f>
        <v/>
      </c>
      <c r="AB58" s="160">
        <f>AA60</f>
        <v/>
      </c>
      <c r="AC58" s="160">
        <f>AB60</f>
        <v/>
      </c>
      <c r="AD58" s="160">
        <f>AC60</f>
        <v/>
      </c>
      <c r="AE58" s="160">
        <f>AD60</f>
        <v/>
      </c>
      <c r="AF58" s="160">
        <f>AE60</f>
        <v/>
      </c>
      <c r="AG58" s="160">
        <f>AF60</f>
        <v/>
      </c>
      <c r="AH58" s="160">
        <f>AG60</f>
        <v/>
      </c>
      <c r="AI58" s="160">
        <f>AH60</f>
        <v/>
      </c>
      <c r="AJ58" s="160">
        <f>AI60</f>
        <v/>
      </c>
      <c r="AK58" s="160">
        <f>AJ60</f>
        <v/>
      </c>
      <c r="AL58" s="160">
        <f>AK60</f>
        <v/>
      </c>
      <c r="AM58" s="160">
        <f>AL60</f>
        <v/>
      </c>
      <c r="AN58" s="160">
        <f>AM60</f>
        <v/>
      </c>
      <c r="AO58" s="160">
        <f>AN60</f>
        <v/>
      </c>
      <c r="AP58" s="160">
        <f>AO60</f>
        <v/>
      </c>
      <c r="AQ58" s="160">
        <f>AP60</f>
        <v/>
      </c>
      <c r="AR58" s="160">
        <f>AQ60</f>
        <v/>
      </c>
      <c r="AS58" s="160">
        <f>AR60</f>
        <v/>
      </c>
      <c r="AT58" s="160">
        <f>AS60</f>
        <v/>
      </c>
      <c r="AU58" s="160">
        <f>AT60</f>
        <v/>
      </c>
      <c r="AV58" s="160">
        <f>AU60</f>
        <v/>
      </c>
      <c r="AW58" s="160">
        <f>AV60</f>
        <v/>
      </c>
      <c r="AX58" s="160">
        <f>AW60</f>
        <v/>
      </c>
      <c r="AY58" s="160">
        <f>AX60</f>
        <v/>
      </c>
      <c r="AZ58" s="160">
        <f>AY60</f>
        <v/>
      </c>
      <c r="BA58" s="160">
        <f>AZ60</f>
        <v/>
      </c>
      <c r="BB58" s="160">
        <f>BA60</f>
        <v/>
      </c>
    </row>
    <row r="59" ht="15" customHeight="1" s="91">
      <c r="B59" s="153" t="inlineStr">
        <is>
          <t>Debt Repayment  سداد أصل الدين</t>
        </is>
      </c>
      <c r="C59" s="153" t="inlineStr">
        <is>
          <t>SAR</t>
        </is>
      </c>
      <c r="D59" s="157">
        <f>SUM(E59:BB59)</f>
        <v/>
      </c>
      <c r="E59" s="160">
        <f>IF($C$28="perDraw",E54,E53)</f>
        <v/>
      </c>
      <c r="F59" s="160">
        <f>IF($C$28="perDraw",F54,F53)</f>
        <v/>
      </c>
      <c r="G59" s="160">
        <f>IF($C$28="perDraw",G54,G53)</f>
        <v/>
      </c>
      <c r="H59" s="160">
        <f>IF($C$28="perDraw",H54,H53)</f>
        <v/>
      </c>
      <c r="I59" s="160">
        <f>IF($C$28="perDraw",I54,I53)</f>
        <v/>
      </c>
      <c r="J59" s="160">
        <f>IF($C$28="perDraw",J54,J53)</f>
        <v/>
      </c>
      <c r="K59" s="160">
        <f>IF($C$28="perDraw",K54,K53)</f>
        <v/>
      </c>
      <c r="L59" s="160">
        <f>IF($C$28="perDraw",L54,L53)</f>
        <v/>
      </c>
      <c r="M59" s="160">
        <f>IF($C$28="perDraw",M54,M53)</f>
        <v/>
      </c>
      <c r="N59" s="160">
        <f>IF($C$28="perDraw",N54,N53)</f>
        <v/>
      </c>
      <c r="O59" s="160">
        <f>IF($C$28="perDraw",O54,O53)</f>
        <v/>
      </c>
      <c r="P59" s="160">
        <f>IF($C$28="perDraw",P54,P53)</f>
        <v/>
      </c>
      <c r="Q59" s="160">
        <f>IF($C$28="perDraw",Q54,Q53)</f>
        <v/>
      </c>
      <c r="R59" s="160">
        <f>IF($C$28="perDraw",R54,R53)</f>
        <v/>
      </c>
      <c r="S59" s="160">
        <f>IF($C$28="perDraw",S54,S53)</f>
        <v/>
      </c>
      <c r="T59" s="160">
        <f>IF($C$28="perDraw",T54,T53)</f>
        <v/>
      </c>
      <c r="U59" s="160">
        <f>IF($C$28="perDraw",U54,U53)</f>
        <v/>
      </c>
      <c r="V59" s="160">
        <f>IF($C$28="perDraw",V54,V53)</f>
        <v/>
      </c>
      <c r="W59" s="160">
        <f>IF($C$28="perDraw",W54,W53)</f>
        <v/>
      </c>
      <c r="X59" s="160">
        <f>IF($C$28="perDraw",X54,X53)</f>
        <v/>
      </c>
      <c r="Y59" s="160">
        <f>IF($C$28="perDraw",Y54,Y53)</f>
        <v/>
      </c>
      <c r="Z59" s="160">
        <f>IF($C$28="perDraw",Z54,Z53)</f>
        <v/>
      </c>
      <c r="AA59" s="160">
        <f>IF($C$28="perDraw",AA54,AA53)</f>
        <v/>
      </c>
      <c r="AB59" s="160">
        <f>IF($C$28="perDraw",AB54,AB53)</f>
        <v/>
      </c>
      <c r="AC59" s="160">
        <f>IF($C$28="perDraw",AC54,AC53)</f>
        <v/>
      </c>
      <c r="AD59" s="160">
        <f>IF($C$28="perDraw",AD54,AD53)</f>
        <v/>
      </c>
      <c r="AE59" s="160">
        <f>IF($C$28="perDraw",AE54,AE53)</f>
        <v/>
      </c>
      <c r="AF59" s="160">
        <f>IF($C$28="perDraw",AF54,AF53)</f>
        <v/>
      </c>
      <c r="AG59" s="160">
        <f>IF($C$28="perDraw",AG54,AG53)</f>
        <v/>
      </c>
      <c r="AH59" s="160">
        <f>IF($C$28="perDraw",AH54,AH53)</f>
        <v/>
      </c>
      <c r="AI59" s="160">
        <f>IF($C$28="perDraw",AI54,AI53)</f>
        <v/>
      </c>
      <c r="AJ59" s="160">
        <f>IF($C$28="perDraw",AJ54,AJ53)</f>
        <v/>
      </c>
      <c r="AK59" s="160">
        <f>IF($C$28="perDraw",AK54,AK53)</f>
        <v/>
      </c>
      <c r="AL59" s="160">
        <f>IF($C$28="perDraw",AL54,AL53)</f>
        <v/>
      </c>
      <c r="AM59" s="160">
        <f>IF($C$28="perDraw",AM54,AM53)</f>
        <v/>
      </c>
      <c r="AN59" s="160">
        <f>IF($C$28="perDraw",AN54,AN53)</f>
        <v/>
      </c>
      <c r="AO59" s="160">
        <f>IF($C$28="perDraw",AO54,AO53)</f>
        <v/>
      </c>
      <c r="AP59" s="160">
        <f>IF($C$28="perDraw",AP54,AP53)</f>
        <v/>
      </c>
      <c r="AQ59" s="160">
        <f>IF($C$28="perDraw",AQ54,AQ53)</f>
        <v/>
      </c>
      <c r="AR59" s="160">
        <f>IF($C$28="perDraw",AR54,AR53)</f>
        <v/>
      </c>
      <c r="AS59" s="160">
        <f>IF($C$28="perDraw",AS54,AS53)</f>
        <v/>
      </c>
      <c r="AT59" s="160">
        <f>IF($C$28="perDraw",AT54,AT53)</f>
        <v/>
      </c>
      <c r="AU59" s="160">
        <f>IF($C$28="perDraw",AU54,AU53)</f>
        <v/>
      </c>
      <c r="AV59" s="160">
        <f>IF($C$28="perDraw",AV54,AV53)</f>
        <v/>
      </c>
      <c r="AW59" s="160">
        <f>IF($C$28="perDraw",AW54,AW53)</f>
        <v/>
      </c>
      <c r="AX59" s="160">
        <f>IF($C$28="perDraw",AX54,AX53)</f>
        <v/>
      </c>
      <c r="AY59" s="160">
        <f>IF($C$28="perDraw",AY54,AY53)</f>
        <v/>
      </c>
      <c r="AZ59" s="160">
        <f>IF($C$28="perDraw",AZ54,AZ53)</f>
        <v/>
      </c>
      <c r="BA59" s="160">
        <f>IF($C$28="perDraw",BA54,BA53)</f>
        <v/>
      </c>
      <c r="BB59" s="160">
        <f>IF($C$28="perDraw",BB54,BB53)</f>
        <v/>
      </c>
    </row>
    <row r="60" ht="15" customHeight="1" s="91">
      <c r="B60" s="153" t="inlineStr">
        <is>
          <t>Debt Balance (Close)  رصيد الدين نهاية السنة</t>
        </is>
      </c>
      <c r="C60" s="153" t="inlineStr">
        <is>
          <t>SAR</t>
        </is>
      </c>
      <c r="D60" s="160">
        <f>SUM(E60:BB60)</f>
        <v/>
      </c>
      <c r="E60" s="160">
        <f>MAX(0,E58+E57+E59)</f>
        <v/>
      </c>
      <c r="F60" s="160">
        <f>MAX(0,F58+F57+F59)</f>
        <v/>
      </c>
      <c r="G60" s="160">
        <f>MAX(0,G58+G57+G59)</f>
        <v/>
      </c>
      <c r="H60" s="160">
        <f>MAX(0,H58+H57+H59)</f>
        <v/>
      </c>
      <c r="I60" s="160">
        <f>MAX(0,I58+I57+I59)</f>
        <v/>
      </c>
      <c r="J60" s="160">
        <f>MAX(0,J58+J57+J59)</f>
        <v/>
      </c>
      <c r="K60" s="160">
        <f>MAX(0,K58+K57+K59)</f>
        <v/>
      </c>
      <c r="L60" s="160">
        <f>MAX(0,L58+L57+L59)</f>
        <v/>
      </c>
      <c r="M60" s="160">
        <f>MAX(0,M58+M57+M59)</f>
        <v/>
      </c>
      <c r="N60" s="160">
        <f>MAX(0,N58+N57+N59)</f>
        <v/>
      </c>
      <c r="O60" s="160">
        <f>MAX(0,O58+O57+O59)</f>
        <v/>
      </c>
      <c r="P60" s="160">
        <f>MAX(0,P58+P57+P59)</f>
        <v/>
      </c>
      <c r="Q60" s="160">
        <f>MAX(0,Q58+Q57+Q59)</f>
        <v/>
      </c>
      <c r="R60" s="160">
        <f>MAX(0,R58+R57+R59)</f>
        <v/>
      </c>
      <c r="S60" s="160">
        <f>MAX(0,S58+S57+S59)</f>
        <v/>
      </c>
      <c r="T60" s="160">
        <f>MAX(0,T58+T57+T59)</f>
        <v/>
      </c>
      <c r="U60" s="160">
        <f>MAX(0,U58+U57+U59)</f>
        <v/>
      </c>
      <c r="V60" s="160">
        <f>MAX(0,V58+V57+V59)</f>
        <v/>
      </c>
      <c r="W60" s="160">
        <f>MAX(0,W58+W57+W59)</f>
        <v/>
      </c>
      <c r="X60" s="160">
        <f>MAX(0,X58+X57+X59)</f>
        <v/>
      </c>
      <c r="Y60" s="160">
        <f>MAX(0,Y58+Y57+Y59)</f>
        <v/>
      </c>
      <c r="Z60" s="160">
        <f>MAX(0,Z58+Z57+Z59)</f>
        <v/>
      </c>
      <c r="AA60" s="160">
        <f>MAX(0,AA58+AA57+AA59)</f>
        <v/>
      </c>
      <c r="AB60" s="160">
        <f>MAX(0,AB58+AB57+AB59)</f>
        <v/>
      </c>
      <c r="AC60" s="160">
        <f>MAX(0,AC58+AC57+AC59)</f>
        <v/>
      </c>
      <c r="AD60" s="160">
        <f>MAX(0,AD58+AD57+AD59)</f>
        <v/>
      </c>
      <c r="AE60" s="160">
        <f>MAX(0,AE58+AE57+AE59)</f>
        <v/>
      </c>
      <c r="AF60" s="160">
        <f>MAX(0,AF58+AF57+AF59)</f>
        <v/>
      </c>
      <c r="AG60" s="160">
        <f>MAX(0,AG58+AG57+AG59)</f>
        <v/>
      </c>
      <c r="AH60" s="160">
        <f>MAX(0,AH58+AH57+AH59)</f>
        <v/>
      </c>
      <c r="AI60" s="160">
        <f>MAX(0,AI58+AI57+AI59)</f>
        <v/>
      </c>
      <c r="AJ60" s="160">
        <f>MAX(0,AJ58+AJ57+AJ59)</f>
        <v/>
      </c>
      <c r="AK60" s="160">
        <f>MAX(0,AK58+AK57+AK59)</f>
        <v/>
      </c>
      <c r="AL60" s="160">
        <f>MAX(0,AL58+AL57+AL59)</f>
        <v/>
      </c>
      <c r="AM60" s="160">
        <f>MAX(0,AM58+AM57+AM59)</f>
        <v/>
      </c>
      <c r="AN60" s="160">
        <f>MAX(0,AN58+AN57+AN59)</f>
        <v/>
      </c>
      <c r="AO60" s="160">
        <f>MAX(0,AO58+AO57+AO59)</f>
        <v/>
      </c>
      <c r="AP60" s="160">
        <f>MAX(0,AP58+AP57+AP59)</f>
        <v/>
      </c>
      <c r="AQ60" s="160">
        <f>MAX(0,AQ58+AQ57+AQ59)</f>
        <v/>
      </c>
      <c r="AR60" s="160">
        <f>MAX(0,AR58+AR57+AR59)</f>
        <v/>
      </c>
      <c r="AS60" s="160">
        <f>MAX(0,AS58+AS57+AS59)</f>
        <v/>
      </c>
      <c r="AT60" s="160">
        <f>MAX(0,AT58+AT57+AT59)</f>
        <v/>
      </c>
      <c r="AU60" s="160">
        <f>MAX(0,AU58+AU57+AU59)</f>
        <v/>
      </c>
      <c r="AV60" s="160">
        <f>MAX(0,AV58+AV57+AV59)</f>
        <v/>
      </c>
      <c r="AW60" s="160">
        <f>MAX(0,AW58+AW57+AW59)</f>
        <v/>
      </c>
      <c r="AX60" s="160">
        <f>MAX(0,AX58+AX57+AX59)</f>
        <v/>
      </c>
      <c r="AY60" s="160">
        <f>MAX(0,AY58+AY57+AY59)</f>
        <v/>
      </c>
      <c r="AZ60" s="160">
        <f>MAX(0,AZ58+AZ57+AZ59)</f>
        <v/>
      </c>
      <c r="BA60" s="160">
        <f>MAX(0,BA58+BA57+BA59)</f>
        <v/>
      </c>
      <c r="BB60" s="160">
        <f>MAX(0,BB58+BB57+BB59)</f>
        <v/>
      </c>
    </row>
    <row r="61" ht="15" customHeight="1" s="91">
      <c r="B61" s="153" t="inlineStr">
        <is>
          <t>Debt Interest  تكلفة التمويل</t>
        </is>
      </c>
      <c r="C61" s="153" t="inlineStr">
        <is>
          <t>SAR</t>
        </is>
      </c>
      <c r="D61" s="157">
        <f>SUM(E61:BB61)</f>
        <v/>
      </c>
      <c r="E61" s="160">
        <f>IF(AND($C$22="Y",E58+E60&gt;0),-(E58+E60)/2*$C$23,0)-ABS(E57)*$C$25</f>
        <v/>
      </c>
      <c r="F61" s="160">
        <f>IF(AND($C$22="Y",F58+F60&gt;0),-(F58+F60)/2*$C$23,0)-ABS(F57)*$C$25</f>
        <v/>
      </c>
      <c r="G61" s="160">
        <f>IF(AND($C$22="Y",G58+G60&gt;0),-(G58+G60)/2*$C$23,0)-ABS(G57)*$C$25</f>
        <v/>
      </c>
      <c r="H61" s="160">
        <f>IF(AND($C$22="Y",H58+H60&gt;0),-(H58+H60)/2*$C$23,0)-ABS(H57)*$C$25</f>
        <v/>
      </c>
      <c r="I61" s="160">
        <f>IF(AND($C$22="Y",I58+I60&gt;0),-(I58+I60)/2*$C$23,0)-ABS(I57)*$C$25</f>
        <v/>
      </c>
      <c r="J61" s="160">
        <f>IF(AND($C$22="Y",J58+J60&gt;0),-(J58+J60)/2*$C$23,0)-ABS(J57)*$C$25</f>
        <v/>
      </c>
      <c r="K61" s="160">
        <f>IF(AND($C$22="Y",K58+K60&gt;0),-(K58+K60)/2*$C$23,0)-ABS(K57)*$C$25</f>
        <v/>
      </c>
      <c r="L61" s="160">
        <f>IF(AND($C$22="Y",L58+L60&gt;0),-(L58+L60)/2*$C$23,0)-ABS(L57)*$C$25</f>
        <v/>
      </c>
      <c r="M61" s="160">
        <f>IF(AND($C$22="Y",M58+M60&gt;0),-(M58+M60)/2*$C$23,0)-ABS(M57)*$C$25</f>
        <v/>
      </c>
      <c r="N61" s="160">
        <f>IF(AND($C$22="Y",N58+N60&gt;0),-(N58+N60)/2*$C$23,0)-ABS(N57)*$C$25</f>
        <v/>
      </c>
      <c r="O61" s="160">
        <f>IF(AND($C$22="Y",O58+O60&gt;0),-(O58+O60)/2*$C$23,0)-ABS(O57)*$C$25</f>
        <v/>
      </c>
      <c r="P61" s="160">
        <f>IF(AND($C$22="Y",P58+P60&gt;0),-(P58+P60)/2*$C$23,0)-ABS(P57)*$C$25</f>
        <v/>
      </c>
      <c r="Q61" s="160">
        <f>IF(AND($C$22="Y",Q58+Q60&gt;0),-(Q58+Q60)/2*$C$23,0)-ABS(Q57)*$C$25</f>
        <v/>
      </c>
      <c r="R61" s="160">
        <f>IF(AND($C$22="Y",R58+R60&gt;0),-(R58+R60)/2*$C$23,0)-ABS(R57)*$C$25</f>
        <v/>
      </c>
      <c r="S61" s="160">
        <f>IF(AND($C$22="Y",S58+S60&gt;0),-(S58+S60)/2*$C$23,0)-ABS(S57)*$C$25</f>
        <v/>
      </c>
      <c r="T61" s="160">
        <f>IF(AND($C$22="Y",T58+T60&gt;0),-(T58+T60)/2*$C$23,0)-ABS(T57)*$C$25</f>
        <v/>
      </c>
      <c r="U61" s="160">
        <f>IF(AND($C$22="Y",U58+U60&gt;0),-(U58+U60)/2*$C$23,0)-ABS(U57)*$C$25</f>
        <v/>
      </c>
      <c r="V61" s="160">
        <f>IF(AND($C$22="Y",V58+V60&gt;0),-(V58+V60)/2*$C$23,0)-ABS(V57)*$C$25</f>
        <v/>
      </c>
      <c r="W61" s="160">
        <f>IF(AND($C$22="Y",W58+W60&gt;0),-(W58+W60)/2*$C$23,0)-ABS(W57)*$C$25</f>
        <v/>
      </c>
      <c r="X61" s="160">
        <f>IF(AND($C$22="Y",X58+X60&gt;0),-(X58+X60)/2*$C$23,0)-ABS(X57)*$C$25</f>
        <v/>
      </c>
      <c r="Y61" s="160">
        <f>IF(AND($C$22="Y",Y58+Y60&gt;0),-(Y58+Y60)/2*$C$23,0)-ABS(Y57)*$C$25</f>
        <v/>
      </c>
      <c r="Z61" s="160">
        <f>IF(AND($C$22="Y",Z58+Z60&gt;0),-(Z58+Z60)/2*$C$23,0)-ABS(Z57)*$C$25</f>
        <v/>
      </c>
      <c r="AA61" s="160">
        <f>IF(AND($C$22="Y",AA58+AA60&gt;0),-(AA58+AA60)/2*$C$23,0)-ABS(AA57)*$C$25</f>
        <v/>
      </c>
      <c r="AB61" s="160">
        <f>IF(AND($C$22="Y",AB58+AB60&gt;0),-(AB58+AB60)/2*$C$23,0)-ABS(AB57)*$C$25</f>
        <v/>
      </c>
      <c r="AC61" s="160">
        <f>IF(AND($C$22="Y",AC58+AC60&gt;0),-(AC58+AC60)/2*$C$23,0)-ABS(AC57)*$C$25</f>
        <v/>
      </c>
      <c r="AD61" s="160">
        <f>IF(AND($C$22="Y",AD58+AD60&gt;0),-(AD58+AD60)/2*$C$23,0)-ABS(AD57)*$C$25</f>
        <v/>
      </c>
      <c r="AE61" s="160">
        <f>IF(AND($C$22="Y",AE58+AE60&gt;0),-(AE58+AE60)/2*$C$23,0)-ABS(AE57)*$C$25</f>
        <v/>
      </c>
      <c r="AF61" s="160">
        <f>IF(AND($C$22="Y",AF58+AF60&gt;0),-(AF58+AF60)/2*$C$23,0)-ABS(AF57)*$C$25</f>
        <v/>
      </c>
      <c r="AG61" s="160">
        <f>IF(AND($C$22="Y",AG58+AG60&gt;0),-(AG58+AG60)/2*$C$23,0)-ABS(AG57)*$C$25</f>
        <v/>
      </c>
      <c r="AH61" s="160">
        <f>IF(AND($C$22="Y",AH58+AH60&gt;0),-(AH58+AH60)/2*$C$23,0)-ABS(AH57)*$C$25</f>
        <v/>
      </c>
      <c r="AI61" s="160">
        <f>IF(AND($C$22="Y",AI58+AI60&gt;0),-(AI58+AI60)/2*$C$23,0)-ABS(AI57)*$C$25</f>
        <v/>
      </c>
      <c r="AJ61" s="160">
        <f>IF(AND($C$22="Y",AJ58+AJ60&gt;0),-(AJ58+AJ60)/2*$C$23,0)-ABS(AJ57)*$C$25</f>
        <v/>
      </c>
      <c r="AK61" s="160">
        <f>IF(AND($C$22="Y",AK58+AK60&gt;0),-(AK58+AK60)/2*$C$23,0)-ABS(AK57)*$C$25</f>
        <v/>
      </c>
      <c r="AL61" s="160">
        <f>IF(AND($C$22="Y",AL58+AL60&gt;0),-(AL58+AL60)/2*$C$23,0)-ABS(AL57)*$C$25</f>
        <v/>
      </c>
      <c r="AM61" s="160">
        <f>IF(AND($C$22="Y",AM58+AM60&gt;0),-(AM58+AM60)/2*$C$23,0)-ABS(AM57)*$C$25</f>
        <v/>
      </c>
      <c r="AN61" s="160">
        <f>IF(AND($C$22="Y",AN58+AN60&gt;0),-(AN58+AN60)/2*$C$23,0)-ABS(AN57)*$C$25</f>
        <v/>
      </c>
      <c r="AO61" s="160">
        <f>IF(AND($C$22="Y",AO58+AO60&gt;0),-(AO58+AO60)/2*$C$23,0)-ABS(AO57)*$C$25</f>
        <v/>
      </c>
      <c r="AP61" s="160">
        <f>IF(AND($C$22="Y",AP58+AP60&gt;0),-(AP58+AP60)/2*$C$23,0)-ABS(AP57)*$C$25</f>
        <v/>
      </c>
      <c r="AQ61" s="160">
        <f>IF(AND($C$22="Y",AQ58+AQ60&gt;0),-(AQ58+AQ60)/2*$C$23,0)-ABS(AQ57)*$C$25</f>
        <v/>
      </c>
      <c r="AR61" s="160">
        <f>IF(AND($C$22="Y",AR58+AR60&gt;0),-(AR58+AR60)/2*$C$23,0)-ABS(AR57)*$C$25</f>
        <v/>
      </c>
      <c r="AS61" s="160">
        <f>IF(AND($C$22="Y",AS58+AS60&gt;0),-(AS58+AS60)/2*$C$23,0)-ABS(AS57)*$C$25</f>
        <v/>
      </c>
      <c r="AT61" s="160">
        <f>IF(AND($C$22="Y",AT58+AT60&gt;0),-(AT58+AT60)/2*$C$23,0)-ABS(AT57)*$C$25</f>
        <v/>
      </c>
      <c r="AU61" s="160">
        <f>IF(AND($C$22="Y",AU58+AU60&gt;0),-(AU58+AU60)/2*$C$23,0)-ABS(AU57)*$C$25</f>
        <v/>
      </c>
      <c r="AV61" s="160">
        <f>IF(AND($C$22="Y",AV58+AV60&gt;0),-(AV58+AV60)/2*$C$23,0)-ABS(AV57)*$C$25</f>
        <v/>
      </c>
      <c r="AW61" s="160">
        <f>IF(AND($C$22="Y",AW58+AW60&gt;0),-(AW58+AW60)/2*$C$23,0)-ABS(AW57)*$C$25</f>
        <v/>
      </c>
      <c r="AX61" s="160">
        <f>IF(AND($C$22="Y",AX58+AX60&gt;0),-(AX58+AX60)/2*$C$23,0)-ABS(AX57)*$C$25</f>
        <v/>
      </c>
      <c r="AY61" s="160">
        <f>IF(AND($C$22="Y",AY58+AY60&gt;0),-(AY58+AY60)/2*$C$23,0)-ABS(AY57)*$C$25</f>
        <v/>
      </c>
      <c r="AZ61" s="160">
        <f>IF(AND($C$22="Y",AZ58+AZ60&gt;0),-(AZ58+AZ60)/2*$C$23,0)-ABS(AZ57)*$C$25</f>
        <v/>
      </c>
      <c r="BA61" s="160">
        <f>IF(AND($C$22="Y",BA58+BA60&gt;0),-(BA58+BA60)/2*$C$23,0)-ABS(BA57)*$C$25</f>
        <v/>
      </c>
      <c r="BB61" s="160">
        <f>IF(AND($C$22="Y",BB58+BB60&gt;0),-(BB58+BB60)/2*$C$23,0)-ABS(BB57)*$C$25</f>
        <v/>
      </c>
    </row>
    <row r="62" ht="15" customHeight="1" s="91">
      <c r="B62" s="110" t="inlineStr">
        <is>
          <t>Total Debt Service  إجمالي خدمة الدين</t>
        </is>
      </c>
      <c r="C62" s="153" t="inlineStr">
        <is>
          <t>SAR</t>
        </is>
      </c>
      <c r="D62" s="157">
        <f>SUM(E62:BB62)</f>
        <v/>
      </c>
      <c r="E62" s="157">
        <f>E59+E61</f>
        <v/>
      </c>
      <c r="F62" s="157">
        <f>F59+F61</f>
        <v/>
      </c>
      <c r="G62" s="157">
        <f>G59+G61</f>
        <v/>
      </c>
      <c r="H62" s="157">
        <f>H59+H61</f>
        <v/>
      </c>
      <c r="I62" s="157">
        <f>I59+I61</f>
        <v/>
      </c>
      <c r="J62" s="157">
        <f>J59+J61</f>
        <v/>
      </c>
      <c r="K62" s="157">
        <f>K59+K61</f>
        <v/>
      </c>
      <c r="L62" s="157">
        <f>L59+L61</f>
        <v/>
      </c>
      <c r="M62" s="157">
        <f>M59+M61</f>
        <v/>
      </c>
      <c r="N62" s="157">
        <f>N59+N61</f>
        <v/>
      </c>
      <c r="O62" s="157">
        <f>O59+O61</f>
        <v/>
      </c>
      <c r="P62" s="157">
        <f>P59+P61</f>
        <v/>
      </c>
      <c r="Q62" s="157">
        <f>Q59+Q61</f>
        <v/>
      </c>
      <c r="R62" s="157">
        <f>R59+R61</f>
        <v/>
      </c>
      <c r="S62" s="157">
        <f>S59+S61</f>
        <v/>
      </c>
      <c r="T62" s="157">
        <f>T59+T61</f>
        <v/>
      </c>
      <c r="U62" s="157">
        <f>U59+U61</f>
        <v/>
      </c>
      <c r="V62" s="157">
        <f>V59+V61</f>
        <v/>
      </c>
      <c r="W62" s="157">
        <f>W59+W61</f>
        <v/>
      </c>
      <c r="X62" s="157">
        <f>X59+X61</f>
        <v/>
      </c>
      <c r="Y62" s="157">
        <f>Y59+Y61</f>
        <v/>
      </c>
      <c r="Z62" s="157">
        <f>Z59+Z61</f>
        <v/>
      </c>
      <c r="AA62" s="157">
        <f>AA59+AA61</f>
        <v/>
      </c>
      <c r="AB62" s="157">
        <f>AB59+AB61</f>
        <v/>
      </c>
      <c r="AC62" s="157">
        <f>AC59+AC61</f>
        <v/>
      </c>
      <c r="AD62" s="157">
        <f>AD59+AD61</f>
        <v/>
      </c>
      <c r="AE62" s="157">
        <f>AE59+AE61</f>
        <v/>
      </c>
      <c r="AF62" s="157">
        <f>AF59+AF61</f>
        <v/>
      </c>
      <c r="AG62" s="157">
        <f>AG59+AG61</f>
        <v/>
      </c>
      <c r="AH62" s="157">
        <f>AH59+AH61</f>
        <v/>
      </c>
      <c r="AI62" s="157">
        <f>AI59+AI61</f>
        <v/>
      </c>
      <c r="AJ62" s="157">
        <f>AJ59+AJ61</f>
        <v/>
      </c>
      <c r="AK62" s="157">
        <f>AK59+AK61</f>
        <v/>
      </c>
      <c r="AL62" s="157">
        <f>AL59+AL61</f>
        <v/>
      </c>
      <c r="AM62" s="157">
        <f>AM59+AM61</f>
        <v/>
      </c>
      <c r="AN62" s="157">
        <f>AN59+AN61</f>
        <v/>
      </c>
      <c r="AO62" s="157">
        <f>AO59+AO61</f>
        <v/>
      </c>
      <c r="AP62" s="157">
        <f>AP59+AP61</f>
        <v/>
      </c>
      <c r="AQ62" s="157">
        <f>AQ59+AQ61</f>
        <v/>
      </c>
      <c r="AR62" s="157">
        <f>AR59+AR61</f>
        <v/>
      </c>
      <c r="AS62" s="157">
        <f>AS59+AS61</f>
        <v/>
      </c>
      <c r="AT62" s="157">
        <f>AT59+AT61</f>
        <v/>
      </c>
      <c r="AU62" s="157">
        <f>AU59+AU61</f>
        <v/>
      </c>
      <c r="AV62" s="157">
        <f>AV59+AV61</f>
        <v/>
      </c>
      <c r="AW62" s="157">
        <f>AW59+AW61</f>
        <v/>
      </c>
      <c r="AX62" s="157">
        <f>AX59+AX61</f>
        <v/>
      </c>
      <c r="AY62" s="157">
        <f>AY59+AY61</f>
        <v/>
      </c>
      <c r="AZ62" s="157">
        <f>AZ59+AZ61</f>
        <v/>
      </c>
      <c r="BA62" s="157">
        <f>BA59+BA61</f>
        <v/>
      </c>
      <c r="BB62" s="157">
        <f>BB59+BB61</f>
        <v/>
      </c>
    </row>
    <row r="63" ht="15" customHeight="1" s="91">
      <c r="B63" s="90" t="inlineStr">
        <is>
          <t>Other Fund Fees  رسوم أخرى</t>
        </is>
      </c>
      <c r="D63" s="90">
        <f>SUM(E63:BB63)</f>
        <v/>
      </c>
      <c r="E63" s="90">
        <f>IF(E$46=$C$9,Inputs!H$145+Inputs!H$146+$C$17*Inputs!H$150,0)+IF(AND(E$46&gt;=$C$9,E$46&lt;=$C$41),Inputs!H$147,0)+IF(AND(E$46&gt;=$C$9,E$46&lt;=$C$41,E47&gt;0),MIN(Inputs!H$149,$C$17*Inputs!H$148),0)</f>
        <v/>
      </c>
      <c r="F63" s="90">
        <f>IF(F$46=$C$9,Inputs!H$145+Inputs!H$146+$C$17*Inputs!H$150,0)+IF(AND(F$46&gt;=$C$9,F$46&lt;=$C$41),Inputs!H$147,0)+IF(AND(F$46&gt;=$C$9,F$46&lt;=$C$41,F47&gt;0),MIN(Inputs!H$149,$C$17*Inputs!H$148),0)</f>
        <v/>
      </c>
      <c r="G63" s="90">
        <f>IF(G$46=$C$9,Inputs!H$145+Inputs!H$146+$C$17*Inputs!H$150,0)+IF(AND(G$46&gt;=$C$9,G$46&lt;=$C$41),Inputs!H$147,0)+IF(AND(G$46&gt;=$C$9,G$46&lt;=$C$41,G47&gt;0),MIN(Inputs!H$149,$C$17*Inputs!H$148),0)</f>
        <v/>
      </c>
      <c r="H63" s="90">
        <f>IF(H$46=$C$9,Inputs!H$145+Inputs!H$146+$C$17*Inputs!H$150,0)+IF(AND(H$46&gt;=$C$9,H$46&lt;=$C$41),Inputs!H$147,0)+IF(AND(H$46&gt;=$C$9,H$46&lt;=$C$41,H47&gt;0),MIN(Inputs!H$149,$C$17*Inputs!H$148),0)</f>
        <v/>
      </c>
      <c r="I63" s="90">
        <f>IF(I$46=$C$9,Inputs!H$145+Inputs!H$146+$C$17*Inputs!H$150,0)+IF(AND(I$46&gt;=$C$9,I$46&lt;=$C$41),Inputs!H$147,0)+IF(AND(I$46&gt;=$C$9,I$46&lt;=$C$41,I47&gt;0),MIN(Inputs!H$149,$C$17*Inputs!H$148),0)</f>
        <v/>
      </c>
      <c r="J63" s="90">
        <f>IF(J$46=$C$9,Inputs!H$145+Inputs!H$146+$C$17*Inputs!H$150,0)+IF(AND(J$46&gt;=$C$9,J$46&lt;=$C$41),Inputs!H$147,0)+IF(AND(J$46&gt;=$C$9,J$46&lt;=$C$41,J47&gt;0),MIN(Inputs!H$149,$C$17*Inputs!H$148),0)</f>
        <v/>
      </c>
      <c r="K63" s="90">
        <f>IF(K$46=$C$9,Inputs!H$145+Inputs!H$146+$C$17*Inputs!H$150,0)+IF(AND(K$46&gt;=$C$9,K$46&lt;=$C$41),Inputs!H$147,0)+IF(AND(K$46&gt;=$C$9,K$46&lt;=$C$41,K47&gt;0),MIN(Inputs!H$149,$C$17*Inputs!H$148),0)</f>
        <v/>
      </c>
      <c r="L63" s="90">
        <f>IF(L$46=$C$9,Inputs!H$145+Inputs!H$146+$C$17*Inputs!H$150,0)+IF(AND(L$46&gt;=$C$9,L$46&lt;=$C$41),Inputs!H$147,0)+IF(AND(L$46&gt;=$C$9,L$46&lt;=$C$41,L47&gt;0),MIN(Inputs!H$149,$C$17*Inputs!H$148),0)</f>
        <v/>
      </c>
      <c r="M63" s="90">
        <f>IF(M$46=$C$9,Inputs!H$145+Inputs!H$146+$C$17*Inputs!H$150,0)+IF(AND(M$46&gt;=$C$9,M$46&lt;=$C$41),Inputs!H$147,0)+IF(AND(M$46&gt;=$C$9,M$46&lt;=$C$41,M47&gt;0),MIN(Inputs!H$149,$C$17*Inputs!H$148),0)</f>
        <v/>
      </c>
      <c r="N63" s="90">
        <f>IF(N$46=$C$9,Inputs!H$145+Inputs!H$146+$C$17*Inputs!H$150,0)+IF(AND(N$46&gt;=$C$9,N$46&lt;=$C$41),Inputs!H$147,0)+IF(AND(N$46&gt;=$C$9,N$46&lt;=$C$41,N47&gt;0),MIN(Inputs!H$149,$C$17*Inputs!H$148),0)</f>
        <v/>
      </c>
      <c r="O63" s="90">
        <f>IF(O$46=$C$9,Inputs!H$145+Inputs!H$146+$C$17*Inputs!H$150,0)+IF(AND(O$46&gt;=$C$9,O$46&lt;=$C$41),Inputs!H$147,0)+IF(AND(O$46&gt;=$C$9,O$46&lt;=$C$41,O47&gt;0),MIN(Inputs!H$149,$C$17*Inputs!H$148),0)</f>
        <v/>
      </c>
      <c r="P63" s="90">
        <f>IF(P$46=$C$9,Inputs!H$145+Inputs!H$146+$C$17*Inputs!H$150,0)+IF(AND(P$46&gt;=$C$9,P$46&lt;=$C$41),Inputs!H$147,0)+IF(AND(P$46&gt;=$C$9,P$46&lt;=$C$41,P47&gt;0),MIN(Inputs!H$149,$C$17*Inputs!H$148),0)</f>
        <v/>
      </c>
      <c r="Q63" s="90">
        <f>IF(Q$46=$C$9,Inputs!H$145+Inputs!H$146+$C$17*Inputs!H$150,0)+IF(AND(Q$46&gt;=$C$9,Q$46&lt;=$C$41),Inputs!H$147,0)+IF(AND(Q$46&gt;=$C$9,Q$46&lt;=$C$41,Q47&gt;0),MIN(Inputs!H$149,$C$17*Inputs!H$148),0)</f>
        <v/>
      </c>
      <c r="R63" s="90">
        <f>IF(R$46=$C$9,Inputs!H$145+Inputs!H$146+$C$17*Inputs!H$150,0)+IF(AND(R$46&gt;=$C$9,R$46&lt;=$C$41),Inputs!H$147,0)+IF(AND(R$46&gt;=$C$9,R$46&lt;=$C$41,R47&gt;0),MIN(Inputs!H$149,$C$17*Inputs!H$148),0)</f>
        <v/>
      </c>
      <c r="S63" s="90">
        <f>IF(S$46=$C$9,Inputs!H$145+Inputs!H$146+$C$17*Inputs!H$150,0)+IF(AND(S$46&gt;=$C$9,S$46&lt;=$C$41),Inputs!H$147,0)+IF(AND(S$46&gt;=$C$9,S$46&lt;=$C$41,S47&gt;0),MIN(Inputs!H$149,$C$17*Inputs!H$148),0)</f>
        <v/>
      </c>
      <c r="T63" s="90">
        <f>IF(T$46=$C$9,Inputs!H$145+Inputs!H$146+$C$17*Inputs!H$150,0)+IF(AND(T$46&gt;=$C$9,T$46&lt;=$C$41),Inputs!H$147,0)+IF(AND(T$46&gt;=$C$9,T$46&lt;=$C$41,T47&gt;0),MIN(Inputs!H$149,$C$17*Inputs!H$148),0)</f>
        <v/>
      </c>
      <c r="U63" s="90">
        <f>IF(U$46=$C$9,Inputs!H$145+Inputs!H$146+$C$17*Inputs!H$150,0)+IF(AND(U$46&gt;=$C$9,U$46&lt;=$C$41),Inputs!H$147,0)+IF(AND(U$46&gt;=$C$9,U$46&lt;=$C$41,U47&gt;0),MIN(Inputs!H$149,$C$17*Inputs!H$148),0)</f>
        <v/>
      </c>
      <c r="V63" s="90">
        <f>IF(V$46=$C$9,Inputs!H$145+Inputs!H$146+$C$17*Inputs!H$150,0)+IF(AND(V$46&gt;=$C$9,V$46&lt;=$C$41),Inputs!H$147,0)+IF(AND(V$46&gt;=$C$9,V$46&lt;=$C$41,V47&gt;0),MIN(Inputs!H$149,$C$17*Inputs!H$148),0)</f>
        <v/>
      </c>
      <c r="W63" s="90">
        <f>IF(W$46=$C$9,Inputs!H$145+Inputs!H$146+$C$17*Inputs!H$150,0)+IF(AND(W$46&gt;=$C$9,W$46&lt;=$C$41),Inputs!H$147,0)+IF(AND(W$46&gt;=$C$9,W$46&lt;=$C$41,W47&gt;0),MIN(Inputs!H$149,$C$17*Inputs!H$148),0)</f>
        <v/>
      </c>
      <c r="X63" s="90">
        <f>IF(X$46=$C$9,Inputs!H$145+Inputs!H$146+$C$17*Inputs!H$150,0)+IF(AND(X$46&gt;=$C$9,X$46&lt;=$C$41),Inputs!H$147,0)+IF(AND(X$46&gt;=$C$9,X$46&lt;=$C$41,X47&gt;0),MIN(Inputs!H$149,$C$17*Inputs!H$148),0)</f>
        <v/>
      </c>
      <c r="Y63" s="90">
        <f>IF(Y$46=$C$9,Inputs!H$145+Inputs!H$146+$C$17*Inputs!H$150,0)+IF(AND(Y$46&gt;=$C$9,Y$46&lt;=$C$41),Inputs!H$147,0)+IF(AND(Y$46&gt;=$C$9,Y$46&lt;=$C$41,Y47&gt;0),MIN(Inputs!H$149,$C$17*Inputs!H$148),0)</f>
        <v/>
      </c>
      <c r="Z63" s="90">
        <f>IF(Z$46=$C$9,Inputs!H$145+Inputs!H$146+$C$17*Inputs!H$150,0)+IF(AND(Z$46&gt;=$C$9,Z$46&lt;=$C$41),Inputs!H$147,0)+IF(AND(Z$46&gt;=$C$9,Z$46&lt;=$C$41,Z47&gt;0),MIN(Inputs!H$149,$C$17*Inputs!H$148),0)</f>
        <v/>
      </c>
      <c r="AA63" s="90">
        <f>IF(AA$46=$C$9,Inputs!H$145+Inputs!H$146+$C$17*Inputs!H$150,0)+IF(AND(AA$46&gt;=$C$9,AA$46&lt;=$C$41),Inputs!H$147,0)+IF(AND(AA$46&gt;=$C$9,AA$46&lt;=$C$41,AA47&gt;0),MIN(Inputs!H$149,$C$17*Inputs!H$148),0)</f>
        <v/>
      </c>
      <c r="AB63" s="90">
        <f>IF(AB$46=$C$9,Inputs!H$145+Inputs!H$146+$C$17*Inputs!H$150,0)+IF(AND(AB$46&gt;=$C$9,AB$46&lt;=$C$41),Inputs!H$147,0)+IF(AND(AB$46&gt;=$C$9,AB$46&lt;=$C$41,AB47&gt;0),MIN(Inputs!H$149,$C$17*Inputs!H$148),0)</f>
        <v/>
      </c>
      <c r="AC63" s="90">
        <f>IF(AC$46=$C$9,Inputs!H$145+Inputs!H$146+$C$17*Inputs!H$150,0)+IF(AND(AC$46&gt;=$C$9,AC$46&lt;=$C$41),Inputs!H$147,0)+IF(AND(AC$46&gt;=$C$9,AC$46&lt;=$C$41,AC47&gt;0),MIN(Inputs!H$149,$C$17*Inputs!H$148),0)</f>
        <v/>
      </c>
      <c r="AD63" s="90">
        <f>IF(AD$46=$C$9,Inputs!H$145+Inputs!H$146+$C$17*Inputs!H$150,0)+IF(AND(AD$46&gt;=$C$9,AD$46&lt;=$C$41),Inputs!H$147,0)+IF(AND(AD$46&gt;=$C$9,AD$46&lt;=$C$41,AD47&gt;0),MIN(Inputs!H$149,$C$17*Inputs!H$148),0)</f>
        <v/>
      </c>
      <c r="AE63" s="90">
        <f>IF(AE$46=$C$9,Inputs!H$145+Inputs!H$146+$C$17*Inputs!H$150,0)+IF(AND(AE$46&gt;=$C$9,AE$46&lt;=$C$41),Inputs!H$147,0)+IF(AND(AE$46&gt;=$C$9,AE$46&lt;=$C$41,AE47&gt;0),MIN(Inputs!H$149,$C$17*Inputs!H$148),0)</f>
        <v/>
      </c>
      <c r="AF63" s="90">
        <f>IF(AF$46=$C$9,Inputs!H$145+Inputs!H$146+$C$17*Inputs!H$150,0)+IF(AND(AF$46&gt;=$C$9,AF$46&lt;=$C$41),Inputs!H$147,0)+IF(AND(AF$46&gt;=$C$9,AF$46&lt;=$C$41,AF47&gt;0),MIN(Inputs!H$149,$C$17*Inputs!H$148),0)</f>
        <v/>
      </c>
      <c r="AG63" s="90">
        <f>IF(AG$46=$C$9,Inputs!H$145+Inputs!H$146+$C$17*Inputs!H$150,0)+IF(AND(AG$46&gt;=$C$9,AG$46&lt;=$C$41),Inputs!H$147,0)+IF(AND(AG$46&gt;=$C$9,AG$46&lt;=$C$41,AG47&gt;0),MIN(Inputs!H$149,$C$17*Inputs!H$148),0)</f>
        <v/>
      </c>
      <c r="AH63" s="90">
        <f>IF(AH$46=$C$9,Inputs!H$145+Inputs!H$146+$C$17*Inputs!H$150,0)+IF(AND(AH$46&gt;=$C$9,AH$46&lt;=$C$41),Inputs!H$147,0)+IF(AND(AH$46&gt;=$C$9,AH$46&lt;=$C$41,AH47&gt;0),MIN(Inputs!H$149,$C$17*Inputs!H$148),0)</f>
        <v/>
      </c>
      <c r="AI63" s="90">
        <f>IF(AI$46=$C$9,Inputs!H$145+Inputs!H$146+$C$17*Inputs!H$150,0)+IF(AND(AI$46&gt;=$C$9,AI$46&lt;=$C$41),Inputs!H$147,0)+IF(AND(AI$46&gt;=$C$9,AI$46&lt;=$C$41,AI47&gt;0),MIN(Inputs!H$149,$C$17*Inputs!H$148),0)</f>
        <v/>
      </c>
      <c r="AJ63" s="90">
        <f>IF(AJ$46=$C$9,Inputs!H$145+Inputs!H$146+$C$17*Inputs!H$150,0)+IF(AND(AJ$46&gt;=$C$9,AJ$46&lt;=$C$41),Inputs!H$147,0)+IF(AND(AJ$46&gt;=$C$9,AJ$46&lt;=$C$41,AJ47&gt;0),MIN(Inputs!H$149,$C$17*Inputs!H$148),0)</f>
        <v/>
      </c>
      <c r="AK63" s="90">
        <f>IF(AK$46=$C$9,Inputs!H$145+Inputs!H$146+$C$17*Inputs!H$150,0)+IF(AND(AK$46&gt;=$C$9,AK$46&lt;=$C$41),Inputs!H$147,0)+IF(AND(AK$46&gt;=$C$9,AK$46&lt;=$C$41,AK47&gt;0),MIN(Inputs!H$149,$C$17*Inputs!H$148),0)</f>
        <v/>
      </c>
      <c r="AL63" s="90">
        <f>IF(AL$46=$C$9,Inputs!H$145+Inputs!H$146+$C$17*Inputs!H$150,0)+IF(AND(AL$46&gt;=$C$9,AL$46&lt;=$C$41),Inputs!H$147,0)+IF(AND(AL$46&gt;=$C$9,AL$46&lt;=$C$41,AL47&gt;0),MIN(Inputs!H$149,$C$17*Inputs!H$148),0)</f>
        <v/>
      </c>
      <c r="AM63" s="90">
        <f>IF(AM$46=$C$9,Inputs!H$145+Inputs!H$146+$C$17*Inputs!H$150,0)+IF(AND(AM$46&gt;=$C$9,AM$46&lt;=$C$41),Inputs!H$147,0)+IF(AND(AM$46&gt;=$C$9,AM$46&lt;=$C$41,AM47&gt;0),MIN(Inputs!H$149,$C$17*Inputs!H$148),0)</f>
        <v/>
      </c>
      <c r="AN63" s="90">
        <f>IF(AN$46=$C$9,Inputs!H$145+Inputs!H$146+$C$17*Inputs!H$150,0)+IF(AND(AN$46&gt;=$C$9,AN$46&lt;=$C$41),Inputs!H$147,0)+IF(AND(AN$46&gt;=$C$9,AN$46&lt;=$C$41,AN47&gt;0),MIN(Inputs!H$149,$C$17*Inputs!H$148),0)</f>
        <v/>
      </c>
      <c r="AO63" s="90">
        <f>IF(AO$46=$C$9,Inputs!H$145+Inputs!H$146+$C$17*Inputs!H$150,0)+IF(AND(AO$46&gt;=$C$9,AO$46&lt;=$C$41),Inputs!H$147,0)+IF(AND(AO$46&gt;=$C$9,AO$46&lt;=$C$41,AO47&gt;0),MIN(Inputs!H$149,$C$17*Inputs!H$148),0)</f>
        <v/>
      </c>
      <c r="AP63" s="90">
        <f>IF(AP$46=$C$9,Inputs!H$145+Inputs!H$146+$C$17*Inputs!H$150,0)+IF(AND(AP$46&gt;=$C$9,AP$46&lt;=$C$41),Inputs!H$147,0)+IF(AND(AP$46&gt;=$C$9,AP$46&lt;=$C$41,AP47&gt;0),MIN(Inputs!H$149,$C$17*Inputs!H$148),0)</f>
        <v/>
      </c>
      <c r="AQ63" s="90">
        <f>IF(AQ$46=$C$9,Inputs!H$145+Inputs!H$146+$C$17*Inputs!H$150,0)+IF(AND(AQ$46&gt;=$C$9,AQ$46&lt;=$C$41),Inputs!H$147,0)+IF(AND(AQ$46&gt;=$C$9,AQ$46&lt;=$C$41,AQ47&gt;0),MIN(Inputs!H$149,$C$17*Inputs!H$148),0)</f>
        <v/>
      </c>
      <c r="AR63" s="90">
        <f>IF(AR$46=$C$9,Inputs!H$145+Inputs!H$146+$C$17*Inputs!H$150,0)+IF(AND(AR$46&gt;=$C$9,AR$46&lt;=$C$41),Inputs!H$147,0)+IF(AND(AR$46&gt;=$C$9,AR$46&lt;=$C$41,AR47&gt;0),MIN(Inputs!H$149,$C$17*Inputs!H$148),0)</f>
        <v/>
      </c>
      <c r="AS63" s="90">
        <f>IF(AS$46=$C$9,Inputs!H$145+Inputs!H$146+$C$17*Inputs!H$150,0)+IF(AND(AS$46&gt;=$C$9,AS$46&lt;=$C$41),Inputs!H$147,0)+IF(AND(AS$46&gt;=$C$9,AS$46&lt;=$C$41,AS47&gt;0),MIN(Inputs!H$149,$C$17*Inputs!H$148),0)</f>
        <v/>
      </c>
      <c r="AT63" s="90">
        <f>IF(AT$46=$C$9,Inputs!H$145+Inputs!H$146+$C$17*Inputs!H$150,0)+IF(AND(AT$46&gt;=$C$9,AT$46&lt;=$C$41),Inputs!H$147,0)+IF(AND(AT$46&gt;=$C$9,AT$46&lt;=$C$41,AT47&gt;0),MIN(Inputs!H$149,$C$17*Inputs!H$148),0)</f>
        <v/>
      </c>
      <c r="AU63" s="90">
        <f>IF(AU$46=$C$9,Inputs!H$145+Inputs!H$146+$C$17*Inputs!H$150,0)+IF(AND(AU$46&gt;=$C$9,AU$46&lt;=$C$41),Inputs!H$147,0)+IF(AND(AU$46&gt;=$C$9,AU$46&lt;=$C$41,AU47&gt;0),MIN(Inputs!H$149,$C$17*Inputs!H$148),0)</f>
        <v/>
      </c>
      <c r="AV63" s="90">
        <f>IF(AV$46=$C$9,Inputs!H$145+Inputs!H$146+$C$17*Inputs!H$150,0)+IF(AND(AV$46&gt;=$C$9,AV$46&lt;=$C$41),Inputs!H$147,0)+IF(AND(AV$46&gt;=$C$9,AV$46&lt;=$C$41,AV47&gt;0),MIN(Inputs!H$149,$C$17*Inputs!H$148),0)</f>
        <v/>
      </c>
      <c r="AW63" s="90">
        <f>IF(AW$46=$C$9,Inputs!H$145+Inputs!H$146+$C$17*Inputs!H$150,0)+IF(AND(AW$46&gt;=$C$9,AW$46&lt;=$C$41),Inputs!H$147,0)+IF(AND(AW$46&gt;=$C$9,AW$46&lt;=$C$41,AW47&gt;0),MIN(Inputs!H$149,$C$17*Inputs!H$148),0)</f>
        <v/>
      </c>
      <c r="AX63" s="90">
        <f>IF(AX$46=$C$9,Inputs!H$145+Inputs!H$146+$C$17*Inputs!H$150,0)+IF(AND(AX$46&gt;=$C$9,AX$46&lt;=$C$41),Inputs!H$147,0)+IF(AND(AX$46&gt;=$C$9,AX$46&lt;=$C$41,AX47&gt;0),MIN(Inputs!H$149,$C$17*Inputs!H$148),0)</f>
        <v/>
      </c>
      <c r="AY63" s="90">
        <f>IF(AY$46=$C$9,Inputs!H$145+Inputs!H$146+$C$17*Inputs!H$150,0)+IF(AND(AY$46&gt;=$C$9,AY$46&lt;=$C$41),Inputs!H$147,0)+IF(AND(AY$46&gt;=$C$9,AY$46&lt;=$C$41,AY47&gt;0),MIN(Inputs!H$149,$C$17*Inputs!H$148),0)</f>
        <v/>
      </c>
      <c r="AZ63" s="90">
        <f>IF(AZ$46=$C$9,Inputs!H$145+Inputs!H$146+$C$17*Inputs!H$150,0)+IF(AND(AZ$46&gt;=$C$9,AZ$46&lt;=$C$41),Inputs!H$147,0)+IF(AND(AZ$46&gt;=$C$9,AZ$46&lt;=$C$41,AZ47&gt;0),MIN(Inputs!H$149,$C$17*Inputs!H$148),0)</f>
        <v/>
      </c>
      <c r="BA63" s="90">
        <f>IF(BA$46=$C$9,Inputs!H$145+Inputs!H$146+$C$17*Inputs!H$150,0)+IF(AND(BA$46&gt;=$C$9,BA$46&lt;=$C$41),Inputs!H$147,0)+IF(AND(BA$46&gt;=$C$9,BA$46&lt;=$C$41,BA47&gt;0),MIN(Inputs!H$149,$C$17*Inputs!H$148),0)</f>
        <v/>
      </c>
      <c r="BB63" s="90">
        <f>IF(BB$46=$C$9,Inputs!H$145+Inputs!H$146+$C$17*Inputs!H$150,0)+IF(AND(BB$46&gt;=$C$9,BB$46&lt;=$C$41),Inputs!H$147,0)+IF(AND(BB$46&gt;=$C$9,BB$46&lt;=$C$41,BB47&gt;0),MIN(Inputs!H$149,$C$17*Inputs!H$148),0)</f>
        <v/>
      </c>
    </row>
    <row r="64" ht="15" customHeight="1" s="91">
      <c r="B64" s="153" t="inlineStr">
        <is>
          <t>Subscription Fee  رسوم الاشتراك</t>
        </is>
      </c>
      <c r="C64" s="153" t="inlineStr">
        <is>
          <t>SAR</t>
        </is>
      </c>
      <c r="D64" s="160">
        <f>SUM(E64:BB64)</f>
        <v/>
      </c>
      <c r="E64" s="160">
        <f>IF(E$46=$C$9,$C$14*$C$29,0)</f>
        <v/>
      </c>
      <c r="F64" s="160">
        <f>IF(F$46=$C$9,$C$14*$C$29,0)</f>
        <v/>
      </c>
      <c r="G64" s="160">
        <f>IF(G$46=$C$9,$C$14*$C$29,0)</f>
        <v/>
      </c>
      <c r="H64" s="160">
        <f>IF(H$46=$C$9,$C$14*$C$29,0)</f>
        <v/>
      </c>
      <c r="I64" s="160">
        <f>IF(I$46=$C$9,$C$14*$C$29,0)</f>
        <v/>
      </c>
      <c r="J64" s="160">
        <f>IF(J$46=$C$9,$C$14*$C$29,0)</f>
        <v/>
      </c>
      <c r="K64" s="160">
        <f>IF(K$46=$C$9,$C$14*$C$29,0)</f>
        <v/>
      </c>
      <c r="L64" s="160">
        <f>IF(L$46=$C$9,$C$14*$C$29,0)</f>
        <v/>
      </c>
      <c r="M64" s="160">
        <f>IF(M$46=$C$9,$C$14*$C$29,0)</f>
        <v/>
      </c>
      <c r="N64" s="160">
        <f>IF(N$46=$C$9,$C$14*$C$29,0)</f>
        <v/>
      </c>
      <c r="O64" s="160">
        <f>IF(O$46=$C$9,$C$14*$C$29,0)</f>
        <v/>
      </c>
      <c r="P64" s="160">
        <f>IF(P$46=$C$9,$C$14*$C$29,0)</f>
        <v/>
      </c>
      <c r="Q64" s="160">
        <f>IF(Q$46=$C$9,$C$14*$C$29,0)</f>
        <v/>
      </c>
      <c r="R64" s="160">
        <f>IF(R$46=$C$9,$C$14*$C$29,0)</f>
        <v/>
      </c>
      <c r="S64" s="160">
        <f>IF(S$46=$C$9,$C$14*$C$29,0)</f>
        <v/>
      </c>
      <c r="T64" s="160">
        <f>IF(T$46=$C$9,$C$14*$C$29,0)</f>
        <v/>
      </c>
      <c r="U64" s="160">
        <f>IF(U$46=$C$9,$C$14*$C$29,0)</f>
        <v/>
      </c>
      <c r="V64" s="160">
        <f>IF(V$46=$C$9,$C$14*$C$29,0)</f>
        <v/>
      </c>
      <c r="W64" s="160">
        <f>IF(W$46=$C$9,$C$14*$C$29,0)</f>
        <v/>
      </c>
      <c r="X64" s="160">
        <f>IF(X$46=$C$9,$C$14*$C$29,0)</f>
        <v/>
      </c>
      <c r="Y64" s="160">
        <f>IF(Y$46=$C$9,$C$14*$C$29,0)</f>
        <v/>
      </c>
      <c r="Z64" s="160">
        <f>IF(Z$46=$C$9,$C$14*$C$29,0)</f>
        <v/>
      </c>
      <c r="AA64" s="160">
        <f>IF(AA$46=$C$9,$C$14*$C$29,0)</f>
        <v/>
      </c>
      <c r="AB64" s="160">
        <f>IF(AB$46=$C$9,$C$14*$C$29,0)</f>
        <v/>
      </c>
      <c r="AC64" s="160">
        <f>IF(AC$46=$C$9,$C$14*$C$29,0)</f>
        <v/>
      </c>
      <c r="AD64" s="160">
        <f>IF(AD$46=$C$9,$C$14*$C$29,0)</f>
        <v/>
      </c>
      <c r="AE64" s="160">
        <f>IF(AE$46=$C$9,$C$14*$C$29,0)</f>
        <v/>
      </c>
      <c r="AF64" s="160">
        <f>IF(AF$46=$C$9,$C$14*$C$29,0)</f>
        <v/>
      </c>
      <c r="AG64" s="160">
        <f>IF(AG$46=$C$9,$C$14*$C$29,0)</f>
        <v/>
      </c>
      <c r="AH64" s="160">
        <f>IF(AH$46=$C$9,$C$14*$C$29,0)</f>
        <v/>
      </c>
      <c r="AI64" s="160">
        <f>IF(AI$46=$C$9,$C$14*$C$29,0)</f>
        <v/>
      </c>
      <c r="AJ64" s="160">
        <f>IF(AJ$46=$C$9,$C$14*$C$29,0)</f>
        <v/>
      </c>
      <c r="AK64" s="160">
        <f>IF(AK$46=$C$9,$C$14*$C$29,0)</f>
        <v/>
      </c>
      <c r="AL64" s="160">
        <f>IF(AL$46=$C$9,$C$14*$C$29,0)</f>
        <v/>
      </c>
      <c r="AM64" s="160">
        <f>IF(AM$46=$C$9,$C$14*$C$29,0)</f>
        <v/>
      </c>
      <c r="AN64" s="160">
        <f>IF(AN$46=$C$9,$C$14*$C$29,0)</f>
        <v/>
      </c>
      <c r="AO64" s="160">
        <f>IF(AO$46=$C$9,$C$14*$C$29,0)</f>
        <v/>
      </c>
      <c r="AP64" s="160">
        <f>IF(AP$46=$C$9,$C$14*$C$29,0)</f>
        <v/>
      </c>
      <c r="AQ64" s="160">
        <f>IF(AQ$46=$C$9,$C$14*$C$29,0)</f>
        <v/>
      </c>
      <c r="AR64" s="160">
        <f>IF(AR$46=$C$9,$C$14*$C$29,0)</f>
        <v/>
      </c>
      <c r="AS64" s="160">
        <f>IF(AS$46=$C$9,$C$14*$C$29,0)</f>
        <v/>
      </c>
      <c r="AT64" s="160">
        <f>IF(AT$46=$C$9,$C$14*$C$29,0)</f>
        <v/>
      </c>
      <c r="AU64" s="160">
        <f>IF(AU$46=$C$9,$C$14*$C$29,0)</f>
        <v/>
      </c>
      <c r="AV64" s="160">
        <f>IF(AV$46=$C$9,$C$14*$C$29,0)</f>
        <v/>
      </c>
      <c r="AW64" s="160">
        <f>IF(AW$46=$C$9,$C$14*$C$29,0)</f>
        <v/>
      </c>
      <c r="AX64" s="160">
        <f>IF(AX$46=$C$9,$C$14*$C$29,0)</f>
        <v/>
      </c>
      <c r="AY64" s="160">
        <f>IF(AY$46=$C$9,$C$14*$C$29,0)</f>
        <v/>
      </c>
      <c r="AZ64" s="160">
        <f>IF(AZ$46=$C$9,$C$14*$C$29,0)</f>
        <v/>
      </c>
      <c r="BA64" s="160">
        <f>IF(BA$46=$C$9,$C$14*$C$29,0)</f>
        <v/>
      </c>
      <c r="BB64" s="160">
        <f>IF(BB$46=$C$9,$C$14*$C$29,0)</f>
        <v/>
      </c>
    </row>
    <row r="65" ht="15" customHeight="1" s="91">
      <c r="B65" s="153" t="inlineStr">
        <is>
          <t>Management Fee  رسوم الإدارة (% of Fund Assets)</t>
        </is>
      </c>
      <c r="C65" s="153" t="inlineStr">
        <is>
          <t>SAR</t>
        </is>
      </c>
      <c r="D65" s="160">
        <f>SUM(E65:BB65)</f>
        <v/>
      </c>
      <c r="E65" s="160">
        <f>MIN(Inputs!H$142,IF(AND(E$46&gt;=$C$9,E$46&lt;=$C$41),$C$18*$C$30,0))</f>
        <v/>
      </c>
      <c r="F65" s="160">
        <f>MIN(Inputs!H$142,IF(AND(F$46&gt;=$C$9,F$46&lt;=$C$41),$C$18*$C$30,0))</f>
        <v/>
      </c>
      <c r="G65" s="160">
        <f>MIN(Inputs!H$142,IF(AND(G$46&gt;=$C$9,G$46&lt;=$C$41),$C$18*$C$30,0))</f>
        <v/>
      </c>
      <c r="H65" s="160">
        <f>MIN(Inputs!H$142,IF(AND(H$46&gt;=$C$9,H$46&lt;=$C$41),$C$18*$C$30,0))</f>
        <v/>
      </c>
      <c r="I65" s="160">
        <f>MIN(Inputs!H$142,IF(AND(I$46&gt;=$C$9,I$46&lt;=$C$41),$C$18*$C$30,0))</f>
        <v/>
      </c>
      <c r="J65" s="160">
        <f>MIN(Inputs!H$142,IF(AND(J$46&gt;=$C$9,J$46&lt;=$C$41),$C$18*$C$30,0))</f>
        <v/>
      </c>
      <c r="K65" s="160">
        <f>MIN(Inputs!H$142,IF(AND(K$46&gt;=$C$9,K$46&lt;=$C$41),$C$18*$C$30,0))</f>
        <v/>
      </c>
      <c r="L65" s="160">
        <f>MIN(Inputs!H$142,IF(AND(L$46&gt;=$C$9,L$46&lt;=$C$41),$C$18*$C$30,0))</f>
        <v/>
      </c>
      <c r="M65" s="160">
        <f>MIN(Inputs!H$142,IF(AND(M$46&gt;=$C$9,M$46&lt;=$C$41),$C$18*$C$30,0))</f>
        <v/>
      </c>
      <c r="N65" s="160">
        <f>MIN(Inputs!H$142,IF(AND(N$46&gt;=$C$9,N$46&lt;=$C$41),$C$18*$C$30,0))</f>
        <v/>
      </c>
      <c r="O65" s="160">
        <f>MIN(Inputs!H$142,IF(AND(O$46&gt;=$C$9,O$46&lt;=$C$41),$C$18*$C$30,0))</f>
        <v/>
      </c>
      <c r="P65" s="160">
        <f>MIN(Inputs!H$142,IF(AND(P$46&gt;=$C$9,P$46&lt;=$C$41),$C$18*$C$30,0))</f>
        <v/>
      </c>
      <c r="Q65" s="160">
        <f>MIN(Inputs!H$142,IF(AND(Q$46&gt;=$C$9,Q$46&lt;=$C$41),$C$18*$C$30,0))</f>
        <v/>
      </c>
      <c r="R65" s="160">
        <f>MIN(Inputs!H$142,IF(AND(R$46&gt;=$C$9,R$46&lt;=$C$41),$C$18*$C$30,0))</f>
        <v/>
      </c>
      <c r="S65" s="160">
        <f>MIN(Inputs!H$142,IF(AND(S$46&gt;=$C$9,S$46&lt;=$C$41),$C$18*$C$30,0))</f>
        <v/>
      </c>
      <c r="T65" s="160">
        <f>MIN(Inputs!H$142,IF(AND(T$46&gt;=$C$9,T$46&lt;=$C$41),$C$18*$C$30,0))</f>
        <v/>
      </c>
      <c r="U65" s="160">
        <f>MIN(Inputs!H$142,IF(AND(U$46&gt;=$C$9,U$46&lt;=$C$41),$C$18*$C$30,0))</f>
        <v/>
      </c>
      <c r="V65" s="160">
        <f>MIN(Inputs!H$142,IF(AND(V$46&gt;=$C$9,V$46&lt;=$C$41),$C$18*$C$30,0))</f>
        <v/>
      </c>
      <c r="W65" s="160">
        <f>MIN(Inputs!H$142,IF(AND(W$46&gt;=$C$9,W$46&lt;=$C$41),$C$18*$C$30,0))</f>
        <v/>
      </c>
      <c r="X65" s="160">
        <f>MIN(Inputs!H$142,IF(AND(X$46&gt;=$C$9,X$46&lt;=$C$41),$C$18*$C$30,0))</f>
        <v/>
      </c>
      <c r="Y65" s="160">
        <f>MIN(Inputs!H$142,IF(AND(Y$46&gt;=$C$9,Y$46&lt;=$C$41),$C$18*$C$30,0))</f>
        <v/>
      </c>
      <c r="Z65" s="160">
        <f>MIN(Inputs!H$142,IF(AND(Z$46&gt;=$C$9,Z$46&lt;=$C$41),$C$18*$C$30,0))</f>
        <v/>
      </c>
      <c r="AA65" s="160">
        <f>MIN(Inputs!H$142,IF(AND(AA$46&gt;=$C$9,AA$46&lt;=$C$41),$C$18*$C$30,0))</f>
        <v/>
      </c>
      <c r="AB65" s="160">
        <f>MIN(Inputs!H$142,IF(AND(AB$46&gt;=$C$9,AB$46&lt;=$C$41),$C$18*$C$30,0))</f>
        <v/>
      </c>
      <c r="AC65" s="160">
        <f>MIN(Inputs!H$142,IF(AND(AC$46&gt;=$C$9,AC$46&lt;=$C$41),$C$18*$C$30,0))</f>
        <v/>
      </c>
      <c r="AD65" s="160">
        <f>MIN(Inputs!H$142,IF(AND(AD$46&gt;=$C$9,AD$46&lt;=$C$41),$C$18*$C$30,0))</f>
        <v/>
      </c>
      <c r="AE65" s="160">
        <f>MIN(Inputs!H$142,IF(AND(AE$46&gt;=$C$9,AE$46&lt;=$C$41),$C$18*$C$30,0))</f>
        <v/>
      </c>
      <c r="AF65" s="160">
        <f>MIN(Inputs!H$142,IF(AND(AF$46&gt;=$C$9,AF$46&lt;=$C$41),$C$18*$C$30,0))</f>
        <v/>
      </c>
      <c r="AG65" s="160">
        <f>MIN(Inputs!H$142,IF(AND(AG$46&gt;=$C$9,AG$46&lt;=$C$41),$C$18*$C$30,0))</f>
        <v/>
      </c>
      <c r="AH65" s="160">
        <f>MIN(Inputs!H$142,IF(AND(AH$46&gt;=$C$9,AH$46&lt;=$C$41),$C$18*$C$30,0))</f>
        <v/>
      </c>
      <c r="AI65" s="160">
        <f>MIN(Inputs!H$142,IF(AND(AI$46&gt;=$C$9,AI$46&lt;=$C$41),$C$18*$C$30,0))</f>
        <v/>
      </c>
      <c r="AJ65" s="160">
        <f>MIN(Inputs!H$142,IF(AND(AJ$46&gt;=$C$9,AJ$46&lt;=$C$41),$C$18*$C$30,0))</f>
        <v/>
      </c>
      <c r="AK65" s="160">
        <f>MIN(Inputs!H$142,IF(AND(AK$46&gt;=$C$9,AK$46&lt;=$C$41),$C$18*$C$30,0))</f>
        <v/>
      </c>
      <c r="AL65" s="160">
        <f>MIN(Inputs!H$142,IF(AND(AL$46&gt;=$C$9,AL$46&lt;=$C$41),$C$18*$C$30,0))</f>
        <v/>
      </c>
      <c r="AM65" s="160">
        <f>MIN(Inputs!H$142,IF(AND(AM$46&gt;=$C$9,AM$46&lt;=$C$41),$C$18*$C$30,0))</f>
        <v/>
      </c>
      <c r="AN65" s="160">
        <f>MIN(Inputs!H$142,IF(AND(AN$46&gt;=$C$9,AN$46&lt;=$C$41),$C$18*$C$30,0))</f>
        <v/>
      </c>
      <c r="AO65" s="160">
        <f>MIN(Inputs!H$142,IF(AND(AO$46&gt;=$C$9,AO$46&lt;=$C$41),$C$18*$C$30,0))</f>
        <v/>
      </c>
      <c r="AP65" s="160">
        <f>MIN(Inputs!H$142,IF(AND(AP$46&gt;=$C$9,AP$46&lt;=$C$41),$C$18*$C$30,0))</f>
        <v/>
      </c>
      <c r="AQ65" s="160">
        <f>MIN(Inputs!H$142,IF(AND(AQ$46&gt;=$C$9,AQ$46&lt;=$C$41),$C$18*$C$30,0))</f>
        <v/>
      </c>
      <c r="AR65" s="160">
        <f>MIN(Inputs!H$142,IF(AND(AR$46&gt;=$C$9,AR$46&lt;=$C$41),$C$18*$C$30,0))</f>
        <v/>
      </c>
      <c r="AS65" s="160">
        <f>MIN(Inputs!H$142,IF(AND(AS$46&gt;=$C$9,AS$46&lt;=$C$41),$C$18*$C$30,0))</f>
        <v/>
      </c>
      <c r="AT65" s="160">
        <f>MIN(Inputs!H$142,IF(AND(AT$46&gt;=$C$9,AT$46&lt;=$C$41),$C$18*$C$30,0))</f>
        <v/>
      </c>
      <c r="AU65" s="160">
        <f>MIN(Inputs!H$142,IF(AND(AU$46&gt;=$C$9,AU$46&lt;=$C$41),$C$18*$C$30,0))</f>
        <v/>
      </c>
      <c r="AV65" s="160">
        <f>MIN(Inputs!H$142,IF(AND(AV$46&gt;=$C$9,AV$46&lt;=$C$41),$C$18*$C$30,0))</f>
        <v/>
      </c>
      <c r="AW65" s="160">
        <f>MIN(Inputs!H$142,IF(AND(AW$46&gt;=$C$9,AW$46&lt;=$C$41),$C$18*$C$30,0))</f>
        <v/>
      </c>
      <c r="AX65" s="160">
        <f>MIN(Inputs!H$142,IF(AND(AX$46&gt;=$C$9,AX$46&lt;=$C$41),$C$18*$C$30,0))</f>
        <v/>
      </c>
      <c r="AY65" s="160">
        <f>MIN(Inputs!H$142,IF(AND(AY$46&gt;=$C$9,AY$46&lt;=$C$41),$C$18*$C$30,0))</f>
        <v/>
      </c>
      <c r="AZ65" s="160">
        <f>MIN(Inputs!H$142,IF(AND(AZ$46&gt;=$C$9,AZ$46&lt;=$C$41),$C$18*$C$30,0))</f>
        <v/>
      </c>
      <c r="BA65" s="160">
        <f>MIN(Inputs!H$142,IF(AND(BA$46&gt;=$C$9,BA$46&lt;=$C$41),$C$18*$C$30,0))</f>
        <v/>
      </c>
      <c r="BB65" s="160">
        <f>MIN(Inputs!H$142,IF(AND(BB$46&gt;=$C$9,BB$46&lt;=$C$41),$C$18*$C$30,0))</f>
        <v/>
      </c>
    </row>
    <row r="66" ht="15" customHeight="1" s="91">
      <c r="B66" s="153" t="inlineStr">
        <is>
          <t>Custody Fee  رسوم الحفظ</t>
        </is>
      </c>
      <c r="C66" s="153" t="inlineStr">
        <is>
          <t>SAR</t>
        </is>
      </c>
      <c r="D66" s="160">
        <f>SUM(E66:BB66)</f>
        <v/>
      </c>
      <c r="E66" s="160">
        <f>IF(AND($C$17&gt;0,E$46&gt;=$C$9,E$46&lt;=$C$41),$C$31,0)</f>
        <v/>
      </c>
      <c r="F66" s="160">
        <f>IF(AND($C$17&gt;0,F$46&gt;=$C$9,F$46&lt;=$C$41),$C$31,0)</f>
        <v/>
      </c>
      <c r="G66" s="160">
        <f>IF(AND($C$17&gt;0,G$46&gt;=$C$9,G$46&lt;=$C$41),$C$31,0)</f>
        <v/>
      </c>
      <c r="H66" s="160">
        <f>IF(AND($C$17&gt;0,H$46&gt;=$C$9,H$46&lt;=$C$41),$C$31,0)</f>
        <v/>
      </c>
      <c r="I66" s="160">
        <f>IF(AND($C$17&gt;0,I$46&gt;=$C$9,I$46&lt;=$C$41),$C$31,0)</f>
        <v/>
      </c>
      <c r="J66" s="160">
        <f>IF(AND($C$17&gt;0,J$46&gt;=$C$9,J$46&lt;=$C$41),$C$31,0)</f>
        <v/>
      </c>
      <c r="K66" s="160">
        <f>IF(AND($C$17&gt;0,K$46&gt;=$C$9,K$46&lt;=$C$41),$C$31,0)</f>
        <v/>
      </c>
      <c r="L66" s="160">
        <f>IF(AND($C$17&gt;0,L$46&gt;=$C$9,L$46&lt;=$C$41),$C$31,0)</f>
        <v/>
      </c>
      <c r="M66" s="160">
        <f>IF(AND($C$17&gt;0,M$46&gt;=$C$9,M$46&lt;=$C$41),$C$31,0)</f>
        <v/>
      </c>
      <c r="N66" s="160">
        <f>IF(AND($C$17&gt;0,N$46&gt;=$C$9,N$46&lt;=$C$41),$C$31,0)</f>
        <v/>
      </c>
      <c r="O66" s="160">
        <f>IF(AND($C$17&gt;0,O$46&gt;=$C$9,O$46&lt;=$C$41),$C$31,0)</f>
        <v/>
      </c>
      <c r="P66" s="160">
        <f>IF(AND($C$17&gt;0,P$46&gt;=$C$9,P$46&lt;=$C$41),$C$31,0)</f>
        <v/>
      </c>
      <c r="Q66" s="160">
        <f>IF(AND($C$17&gt;0,Q$46&gt;=$C$9,Q$46&lt;=$C$41),$C$31,0)</f>
        <v/>
      </c>
      <c r="R66" s="160">
        <f>IF(AND($C$17&gt;0,R$46&gt;=$C$9,R$46&lt;=$C$41),$C$31,0)</f>
        <v/>
      </c>
      <c r="S66" s="160">
        <f>IF(AND($C$17&gt;0,S$46&gt;=$C$9,S$46&lt;=$C$41),$C$31,0)</f>
        <v/>
      </c>
      <c r="T66" s="160">
        <f>IF(AND($C$17&gt;0,T$46&gt;=$C$9,T$46&lt;=$C$41),$C$31,0)</f>
        <v/>
      </c>
      <c r="U66" s="160">
        <f>IF(AND($C$17&gt;0,U$46&gt;=$C$9,U$46&lt;=$C$41),$C$31,0)</f>
        <v/>
      </c>
      <c r="V66" s="160">
        <f>IF(AND($C$17&gt;0,V$46&gt;=$C$9,V$46&lt;=$C$41),$C$31,0)</f>
        <v/>
      </c>
      <c r="W66" s="160">
        <f>IF(AND($C$17&gt;0,W$46&gt;=$C$9,W$46&lt;=$C$41),$C$31,0)</f>
        <v/>
      </c>
      <c r="X66" s="160">
        <f>IF(AND($C$17&gt;0,X$46&gt;=$C$9,X$46&lt;=$C$41),$C$31,0)</f>
        <v/>
      </c>
      <c r="Y66" s="160">
        <f>IF(AND($C$17&gt;0,Y$46&gt;=$C$9,Y$46&lt;=$C$41),$C$31,0)</f>
        <v/>
      </c>
      <c r="Z66" s="160">
        <f>IF(AND($C$17&gt;0,Z$46&gt;=$C$9,Z$46&lt;=$C$41),$C$31,0)</f>
        <v/>
      </c>
      <c r="AA66" s="160">
        <f>IF(AND($C$17&gt;0,AA$46&gt;=$C$9,AA$46&lt;=$C$41),$C$31,0)</f>
        <v/>
      </c>
      <c r="AB66" s="160">
        <f>IF(AND($C$17&gt;0,AB$46&gt;=$C$9,AB$46&lt;=$C$41),$C$31,0)</f>
        <v/>
      </c>
      <c r="AC66" s="160">
        <f>IF(AND($C$17&gt;0,AC$46&gt;=$C$9,AC$46&lt;=$C$41),$C$31,0)</f>
        <v/>
      </c>
      <c r="AD66" s="160">
        <f>IF(AND($C$17&gt;0,AD$46&gt;=$C$9,AD$46&lt;=$C$41),$C$31,0)</f>
        <v/>
      </c>
      <c r="AE66" s="160">
        <f>IF(AND($C$17&gt;0,AE$46&gt;=$C$9,AE$46&lt;=$C$41),$C$31,0)</f>
        <v/>
      </c>
      <c r="AF66" s="160">
        <f>IF(AND($C$17&gt;0,AF$46&gt;=$C$9,AF$46&lt;=$C$41),$C$31,0)</f>
        <v/>
      </c>
      <c r="AG66" s="160">
        <f>IF(AND($C$17&gt;0,AG$46&gt;=$C$9,AG$46&lt;=$C$41),$C$31,0)</f>
        <v/>
      </c>
      <c r="AH66" s="160">
        <f>IF(AND($C$17&gt;0,AH$46&gt;=$C$9,AH$46&lt;=$C$41),$C$31,0)</f>
        <v/>
      </c>
      <c r="AI66" s="160">
        <f>IF(AND($C$17&gt;0,AI$46&gt;=$C$9,AI$46&lt;=$C$41),$C$31,0)</f>
        <v/>
      </c>
      <c r="AJ66" s="160">
        <f>IF(AND($C$17&gt;0,AJ$46&gt;=$C$9,AJ$46&lt;=$C$41),$C$31,0)</f>
        <v/>
      </c>
      <c r="AK66" s="160">
        <f>IF(AND($C$17&gt;0,AK$46&gt;=$C$9,AK$46&lt;=$C$41),$C$31,0)</f>
        <v/>
      </c>
      <c r="AL66" s="160">
        <f>IF(AND($C$17&gt;0,AL$46&gt;=$C$9,AL$46&lt;=$C$41),$C$31,0)</f>
        <v/>
      </c>
      <c r="AM66" s="160">
        <f>IF(AND($C$17&gt;0,AM$46&gt;=$C$9,AM$46&lt;=$C$41),$C$31,0)</f>
        <v/>
      </c>
      <c r="AN66" s="160">
        <f>IF(AND($C$17&gt;0,AN$46&gt;=$C$9,AN$46&lt;=$C$41),$C$31,0)</f>
        <v/>
      </c>
      <c r="AO66" s="160">
        <f>IF(AND($C$17&gt;0,AO$46&gt;=$C$9,AO$46&lt;=$C$41),$C$31,0)</f>
        <v/>
      </c>
      <c r="AP66" s="160">
        <f>IF(AND($C$17&gt;0,AP$46&gt;=$C$9,AP$46&lt;=$C$41),$C$31,0)</f>
        <v/>
      </c>
      <c r="AQ66" s="160">
        <f>IF(AND($C$17&gt;0,AQ$46&gt;=$C$9,AQ$46&lt;=$C$41),$C$31,0)</f>
        <v/>
      </c>
      <c r="AR66" s="160">
        <f>IF(AND($C$17&gt;0,AR$46&gt;=$C$9,AR$46&lt;=$C$41),$C$31,0)</f>
        <v/>
      </c>
      <c r="AS66" s="160">
        <f>IF(AND($C$17&gt;0,AS$46&gt;=$C$9,AS$46&lt;=$C$41),$C$31,0)</f>
        <v/>
      </c>
      <c r="AT66" s="160">
        <f>IF(AND($C$17&gt;0,AT$46&gt;=$C$9,AT$46&lt;=$C$41),$C$31,0)</f>
        <v/>
      </c>
      <c r="AU66" s="160">
        <f>IF(AND($C$17&gt;0,AU$46&gt;=$C$9,AU$46&lt;=$C$41),$C$31,0)</f>
        <v/>
      </c>
      <c r="AV66" s="160">
        <f>IF(AND($C$17&gt;0,AV$46&gt;=$C$9,AV$46&lt;=$C$41),$C$31,0)</f>
        <v/>
      </c>
      <c r="AW66" s="160">
        <f>IF(AND($C$17&gt;0,AW$46&gt;=$C$9,AW$46&lt;=$C$41),$C$31,0)</f>
        <v/>
      </c>
      <c r="AX66" s="160">
        <f>IF(AND($C$17&gt;0,AX$46&gt;=$C$9,AX$46&lt;=$C$41),$C$31,0)</f>
        <v/>
      </c>
      <c r="AY66" s="160">
        <f>IF(AND($C$17&gt;0,AY$46&gt;=$C$9,AY$46&lt;=$C$41),$C$31,0)</f>
        <v/>
      </c>
      <c r="AZ66" s="160">
        <f>IF(AND($C$17&gt;0,AZ$46&gt;=$C$9,AZ$46&lt;=$C$41),$C$31,0)</f>
        <v/>
      </c>
      <c r="BA66" s="160">
        <f>IF(AND($C$17&gt;0,BA$46&gt;=$C$9,BA$46&lt;=$C$41),$C$31,0)</f>
        <v/>
      </c>
      <c r="BB66" s="160">
        <f>IF(AND($C$17&gt;0,BB$46&gt;=$C$9,BB$46&lt;=$C$41),$C$31,0)</f>
        <v/>
      </c>
    </row>
    <row r="67" ht="15" customHeight="1" s="91">
      <c r="B67" s="153" t="inlineStr">
        <is>
          <t>Developer Fee  رسوم المطور</t>
        </is>
      </c>
      <c r="C67" s="153" t="inlineStr">
        <is>
          <t>SAR</t>
        </is>
      </c>
      <c r="D67" s="160">
        <f>SUM(E67:BB67)</f>
        <v/>
      </c>
      <c r="E67" s="160">
        <f>IF(AND(E49&lt;0,E$46&gt;=$C$9,E$46&lt;=$C$41),ABS(E49)*$C$32,0)</f>
        <v/>
      </c>
      <c r="F67" s="160">
        <f>IF(AND(F49&lt;0,F$46&gt;=$C$9,F$46&lt;=$C$41),ABS(F49)*$C$32,0)</f>
        <v/>
      </c>
      <c r="G67" s="160">
        <f>IF(AND(G49&lt;0,G$46&gt;=$C$9,G$46&lt;=$C$41),ABS(G49)*$C$32,0)</f>
        <v/>
      </c>
      <c r="H67" s="160">
        <f>IF(AND(H49&lt;0,H$46&gt;=$C$9,H$46&lt;=$C$41),ABS(H49)*$C$32,0)</f>
        <v/>
      </c>
      <c r="I67" s="160">
        <f>IF(AND(I49&lt;0,I$46&gt;=$C$9,I$46&lt;=$C$41),ABS(I49)*$C$32,0)</f>
        <v/>
      </c>
      <c r="J67" s="160">
        <f>IF(AND(J49&lt;0,J$46&gt;=$C$9,J$46&lt;=$C$41),ABS(J49)*$C$32,0)</f>
        <v/>
      </c>
      <c r="K67" s="160">
        <f>IF(AND(K49&lt;0,K$46&gt;=$C$9,K$46&lt;=$C$41),ABS(K49)*$C$32,0)</f>
        <v/>
      </c>
      <c r="L67" s="160">
        <f>IF(AND(L49&lt;0,L$46&gt;=$C$9,L$46&lt;=$C$41),ABS(L49)*$C$32,0)</f>
        <v/>
      </c>
      <c r="M67" s="160">
        <f>IF(AND(M49&lt;0,M$46&gt;=$C$9,M$46&lt;=$C$41),ABS(M49)*$C$32,0)</f>
        <v/>
      </c>
      <c r="N67" s="160">
        <f>IF(AND(N49&lt;0,N$46&gt;=$C$9,N$46&lt;=$C$41),ABS(N49)*$C$32,0)</f>
        <v/>
      </c>
      <c r="O67" s="160">
        <f>IF(AND(O49&lt;0,O$46&gt;=$C$9,O$46&lt;=$C$41),ABS(O49)*$C$32,0)</f>
        <v/>
      </c>
      <c r="P67" s="160">
        <f>IF(AND(P49&lt;0,P$46&gt;=$C$9,P$46&lt;=$C$41),ABS(P49)*$C$32,0)</f>
        <v/>
      </c>
      <c r="Q67" s="160">
        <f>IF(AND(Q49&lt;0,Q$46&gt;=$C$9,Q$46&lt;=$C$41),ABS(Q49)*$C$32,0)</f>
        <v/>
      </c>
      <c r="R67" s="160">
        <f>IF(AND(R49&lt;0,R$46&gt;=$C$9,R$46&lt;=$C$41),ABS(R49)*$C$32,0)</f>
        <v/>
      </c>
      <c r="S67" s="160">
        <f>IF(AND(S49&lt;0,S$46&gt;=$C$9,S$46&lt;=$C$41),ABS(S49)*$C$32,0)</f>
        <v/>
      </c>
      <c r="T67" s="160">
        <f>IF(AND(T49&lt;0,T$46&gt;=$C$9,T$46&lt;=$C$41),ABS(T49)*$C$32,0)</f>
        <v/>
      </c>
      <c r="U67" s="160">
        <f>IF(AND(U49&lt;0,U$46&gt;=$C$9,U$46&lt;=$C$41),ABS(U49)*$C$32,0)</f>
        <v/>
      </c>
      <c r="V67" s="160">
        <f>IF(AND(V49&lt;0,V$46&gt;=$C$9,V$46&lt;=$C$41),ABS(V49)*$C$32,0)</f>
        <v/>
      </c>
      <c r="W67" s="160">
        <f>IF(AND(W49&lt;0,W$46&gt;=$C$9,W$46&lt;=$C$41),ABS(W49)*$C$32,0)</f>
        <v/>
      </c>
      <c r="X67" s="160">
        <f>IF(AND(X49&lt;0,X$46&gt;=$C$9,X$46&lt;=$C$41),ABS(X49)*$C$32,0)</f>
        <v/>
      </c>
      <c r="Y67" s="160">
        <f>IF(AND(Y49&lt;0,Y$46&gt;=$C$9,Y$46&lt;=$C$41),ABS(Y49)*$C$32,0)</f>
        <v/>
      </c>
      <c r="Z67" s="160">
        <f>IF(AND(Z49&lt;0,Z$46&gt;=$C$9,Z$46&lt;=$C$41),ABS(Z49)*$C$32,0)</f>
        <v/>
      </c>
      <c r="AA67" s="160">
        <f>IF(AND(AA49&lt;0,AA$46&gt;=$C$9,AA$46&lt;=$C$41),ABS(AA49)*$C$32,0)</f>
        <v/>
      </c>
      <c r="AB67" s="160">
        <f>IF(AND(AB49&lt;0,AB$46&gt;=$C$9,AB$46&lt;=$C$41),ABS(AB49)*$C$32,0)</f>
        <v/>
      </c>
      <c r="AC67" s="160">
        <f>IF(AND(AC49&lt;0,AC$46&gt;=$C$9,AC$46&lt;=$C$41),ABS(AC49)*$C$32,0)</f>
        <v/>
      </c>
      <c r="AD67" s="160">
        <f>IF(AND(AD49&lt;0,AD$46&gt;=$C$9,AD$46&lt;=$C$41),ABS(AD49)*$C$32,0)</f>
        <v/>
      </c>
      <c r="AE67" s="160">
        <f>IF(AND(AE49&lt;0,AE$46&gt;=$C$9,AE$46&lt;=$C$41),ABS(AE49)*$C$32,0)</f>
        <v/>
      </c>
      <c r="AF67" s="160">
        <f>IF(AND(AF49&lt;0,AF$46&gt;=$C$9,AF$46&lt;=$C$41),ABS(AF49)*$C$32,0)</f>
        <v/>
      </c>
      <c r="AG67" s="160">
        <f>IF(AND(AG49&lt;0,AG$46&gt;=$C$9,AG$46&lt;=$C$41),ABS(AG49)*$C$32,0)</f>
        <v/>
      </c>
      <c r="AH67" s="160">
        <f>IF(AND(AH49&lt;0,AH$46&gt;=$C$9,AH$46&lt;=$C$41),ABS(AH49)*$C$32,0)</f>
        <v/>
      </c>
      <c r="AI67" s="160">
        <f>IF(AND(AI49&lt;0,AI$46&gt;=$C$9,AI$46&lt;=$C$41),ABS(AI49)*$C$32,0)</f>
        <v/>
      </c>
      <c r="AJ67" s="160">
        <f>IF(AND(AJ49&lt;0,AJ$46&gt;=$C$9,AJ$46&lt;=$C$41),ABS(AJ49)*$C$32,0)</f>
        <v/>
      </c>
      <c r="AK67" s="160">
        <f>IF(AND(AK49&lt;0,AK$46&gt;=$C$9,AK$46&lt;=$C$41),ABS(AK49)*$C$32,0)</f>
        <v/>
      </c>
      <c r="AL67" s="160">
        <f>IF(AND(AL49&lt;0,AL$46&gt;=$C$9,AL$46&lt;=$C$41),ABS(AL49)*$C$32,0)</f>
        <v/>
      </c>
      <c r="AM67" s="160">
        <f>IF(AND(AM49&lt;0,AM$46&gt;=$C$9,AM$46&lt;=$C$41),ABS(AM49)*$C$32,0)</f>
        <v/>
      </c>
      <c r="AN67" s="160">
        <f>IF(AND(AN49&lt;0,AN$46&gt;=$C$9,AN$46&lt;=$C$41),ABS(AN49)*$C$32,0)</f>
        <v/>
      </c>
      <c r="AO67" s="160">
        <f>IF(AND(AO49&lt;0,AO$46&gt;=$C$9,AO$46&lt;=$C$41),ABS(AO49)*$C$32,0)</f>
        <v/>
      </c>
      <c r="AP67" s="160">
        <f>IF(AND(AP49&lt;0,AP$46&gt;=$C$9,AP$46&lt;=$C$41),ABS(AP49)*$C$32,0)</f>
        <v/>
      </c>
      <c r="AQ67" s="160">
        <f>IF(AND(AQ49&lt;0,AQ$46&gt;=$C$9,AQ$46&lt;=$C$41),ABS(AQ49)*$C$32,0)</f>
        <v/>
      </c>
      <c r="AR67" s="160">
        <f>IF(AND(AR49&lt;0,AR$46&gt;=$C$9,AR$46&lt;=$C$41),ABS(AR49)*$C$32,0)</f>
        <v/>
      </c>
      <c r="AS67" s="160">
        <f>IF(AND(AS49&lt;0,AS$46&gt;=$C$9,AS$46&lt;=$C$41),ABS(AS49)*$C$32,0)</f>
        <v/>
      </c>
      <c r="AT67" s="160">
        <f>IF(AND(AT49&lt;0,AT$46&gt;=$C$9,AT$46&lt;=$C$41),ABS(AT49)*$C$32,0)</f>
        <v/>
      </c>
      <c r="AU67" s="160">
        <f>IF(AND(AU49&lt;0,AU$46&gt;=$C$9,AU$46&lt;=$C$41),ABS(AU49)*$C$32,0)</f>
        <v/>
      </c>
      <c r="AV67" s="160">
        <f>IF(AND(AV49&lt;0,AV$46&gt;=$C$9,AV$46&lt;=$C$41),ABS(AV49)*$C$32,0)</f>
        <v/>
      </c>
      <c r="AW67" s="160">
        <f>IF(AND(AW49&lt;0,AW$46&gt;=$C$9,AW$46&lt;=$C$41),ABS(AW49)*$C$32,0)</f>
        <v/>
      </c>
      <c r="AX67" s="160">
        <f>IF(AND(AX49&lt;0,AX$46&gt;=$C$9,AX$46&lt;=$C$41),ABS(AX49)*$C$32,0)</f>
        <v/>
      </c>
      <c r="AY67" s="160">
        <f>IF(AND(AY49&lt;0,AY$46&gt;=$C$9,AY$46&lt;=$C$41),ABS(AY49)*$C$32,0)</f>
        <v/>
      </c>
      <c r="AZ67" s="160">
        <f>IF(AND(AZ49&lt;0,AZ$46&gt;=$C$9,AZ$46&lt;=$C$41),ABS(AZ49)*$C$32,0)</f>
        <v/>
      </c>
      <c r="BA67" s="160">
        <f>IF(AND(BA49&lt;0,BA$46&gt;=$C$9,BA$46&lt;=$C$41),ABS(BA49)*$C$32,0)</f>
        <v/>
      </c>
      <c r="BB67" s="160">
        <f>IF(AND(BB49&lt;0,BB$46&gt;=$C$9,BB$46&lt;=$C$41),ABS(BB49)*$C$32,0)</f>
        <v/>
      </c>
    </row>
    <row r="68" ht="15" customHeight="1" s="91">
      <c r="B68" s="153" t="inlineStr">
        <is>
          <t>Structuring Fee  رسوم الهيكلة</t>
        </is>
      </c>
      <c r="C68" s="153" t="inlineStr">
        <is>
          <t>SAR</t>
        </is>
      </c>
      <c r="D68" s="160">
        <f>SUM(E68:BB68)</f>
        <v/>
      </c>
      <c r="E68" s="160">
        <f>IF(E$46=$C$9,MIN(Inputs!H$143,ABS($D$49)*$C$33),0)</f>
        <v/>
      </c>
      <c r="F68" s="160">
        <f>IF(F$46=$C$9,MIN(Inputs!H$143,ABS($D$49)*$C$33),0)</f>
        <v/>
      </c>
      <c r="G68" s="160">
        <f>IF(G$46=$C$9,MIN(Inputs!H$143,ABS($D$49)*$C$33),0)</f>
        <v/>
      </c>
      <c r="H68" s="160">
        <f>IF(H$46=$C$9,MIN(Inputs!H$143,ABS($D$49)*$C$33),0)</f>
        <v/>
      </c>
      <c r="I68" s="160">
        <f>IF(I$46=$C$9,MIN(Inputs!H$143,ABS($D$49)*$C$33),0)</f>
        <v/>
      </c>
      <c r="J68" s="160">
        <f>IF(J$46=$C$9,MIN(Inputs!H$143,ABS($D$49)*$C$33),0)</f>
        <v/>
      </c>
      <c r="K68" s="160">
        <f>IF(K$46=$C$9,MIN(Inputs!H$143,ABS($D$49)*$C$33),0)</f>
        <v/>
      </c>
      <c r="L68" s="160">
        <f>IF(L$46=$C$9,MIN(Inputs!H$143,ABS($D$49)*$C$33),0)</f>
        <v/>
      </c>
      <c r="M68" s="160">
        <f>IF(M$46=$C$9,MIN(Inputs!H$143,ABS($D$49)*$C$33),0)</f>
        <v/>
      </c>
      <c r="N68" s="160">
        <f>IF(N$46=$C$9,MIN(Inputs!H$143,ABS($D$49)*$C$33),0)</f>
        <v/>
      </c>
      <c r="O68" s="160">
        <f>IF(O$46=$C$9,MIN(Inputs!H$143,ABS($D$49)*$C$33),0)</f>
        <v/>
      </c>
      <c r="P68" s="160">
        <f>IF(P$46=$C$9,MIN(Inputs!H$143,ABS($D$49)*$C$33),0)</f>
        <v/>
      </c>
      <c r="Q68" s="160">
        <f>IF(Q$46=$C$9,MIN(Inputs!H$143,ABS($D$49)*$C$33),0)</f>
        <v/>
      </c>
      <c r="R68" s="160">
        <f>IF(R$46=$C$9,MIN(Inputs!H$143,ABS($D$49)*$C$33),0)</f>
        <v/>
      </c>
      <c r="S68" s="160">
        <f>IF(S$46=$C$9,MIN(Inputs!H$143,ABS($D$49)*$C$33),0)</f>
        <v/>
      </c>
      <c r="T68" s="160">
        <f>IF(T$46=$C$9,MIN(Inputs!H$143,ABS($D$49)*$C$33),0)</f>
        <v/>
      </c>
      <c r="U68" s="160">
        <f>IF(U$46=$C$9,MIN(Inputs!H$143,ABS($D$49)*$C$33),0)</f>
        <v/>
      </c>
      <c r="V68" s="160">
        <f>IF(V$46=$C$9,MIN(Inputs!H$143,ABS($D$49)*$C$33),0)</f>
        <v/>
      </c>
      <c r="W68" s="160">
        <f>IF(W$46=$C$9,MIN(Inputs!H$143,ABS($D$49)*$C$33),0)</f>
        <v/>
      </c>
      <c r="X68" s="160">
        <f>IF(X$46=$C$9,MIN(Inputs!H$143,ABS($D$49)*$C$33),0)</f>
        <v/>
      </c>
      <c r="Y68" s="160">
        <f>IF(Y$46=$C$9,MIN(Inputs!H$143,ABS($D$49)*$C$33),0)</f>
        <v/>
      </c>
      <c r="Z68" s="160">
        <f>IF(Z$46=$C$9,MIN(Inputs!H$143,ABS($D$49)*$C$33),0)</f>
        <v/>
      </c>
      <c r="AA68" s="160">
        <f>IF(AA$46=$C$9,MIN(Inputs!H$143,ABS($D$49)*$C$33),0)</f>
        <v/>
      </c>
      <c r="AB68" s="160">
        <f>IF(AB$46=$C$9,MIN(Inputs!H$143,ABS($D$49)*$C$33),0)</f>
        <v/>
      </c>
      <c r="AC68" s="160">
        <f>IF(AC$46=$C$9,MIN(Inputs!H$143,ABS($D$49)*$C$33),0)</f>
        <v/>
      </c>
      <c r="AD68" s="160">
        <f>IF(AD$46=$C$9,MIN(Inputs!H$143,ABS($D$49)*$C$33),0)</f>
        <v/>
      </c>
      <c r="AE68" s="160">
        <f>IF(AE$46=$C$9,MIN(Inputs!H$143,ABS($D$49)*$C$33),0)</f>
        <v/>
      </c>
      <c r="AF68" s="160">
        <f>IF(AF$46=$C$9,MIN(Inputs!H$143,ABS($D$49)*$C$33),0)</f>
        <v/>
      </c>
      <c r="AG68" s="160">
        <f>IF(AG$46=$C$9,MIN(Inputs!H$143,ABS($D$49)*$C$33),0)</f>
        <v/>
      </c>
      <c r="AH68" s="160">
        <f>IF(AH$46=$C$9,MIN(Inputs!H$143,ABS($D$49)*$C$33),0)</f>
        <v/>
      </c>
      <c r="AI68" s="160">
        <f>IF(AI$46=$C$9,MIN(Inputs!H$143,ABS($D$49)*$C$33),0)</f>
        <v/>
      </c>
      <c r="AJ68" s="160">
        <f>IF(AJ$46=$C$9,MIN(Inputs!H$143,ABS($D$49)*$C$33),0)</f>
        <v/>
      </c>
      <c r="AK68" s="160">
        <f>IF(AK$46=$C$9,MIN(Inputs!H$143,ABS($D$49)*$C$33),0)</f>
        <v/>
      </c>
      <c r="AL68" s="160">
        <f>IF(AL$46=$C$9,MIN(Inputs!H$143,ABS($D$49)*$C$33),0)</f>
        <v/>
      </c>
      <c r="AM68" s="160">
        <f>IF(AM$46=$C$9,MIN(Inputs!H$143,ABS($D$49)*$C$33),0)</f>
        <v/>
      </c>
      <c r="AN68" s="160">
        <f>IF(AN$46=$C$9,MIN(Inputs!H$143,ABS($D$49)*$C$33),0)</f>
        <v/>
      </c>
      <c r="AO68" s="160">
        <f>IF(AO$46=$C$9,MIN(Inputs!H$143,ABS($D$49)*$C$33),0)</f>
        <v/>
      </c>
      <c r="AP68" s="160">
        <f>IF(AP$46=$C$9,MIN(Inputs!H$143,ABS($D$49)*$C$33),0)</f>
        <v/>
      </c>
      <c r="AQ68" s="160">
        <f>IF(AQ$46=$C$9,MIN(Inputs!H$143,ABS($D$49)*$C$33),0)</f>
        <v/>
      </c>
      <c r="AR68" s="160">
        <f>IF(AR$46=$C$9,MIN(Inputs!H$143,ABS($D$49)*$C$33),0)</f>
        <v/>
      </c>
      <c r="AS68" s="160">
        <f>IF(AS$46=$C$9,MIN(Inputs!H$143,ABS($D$49)*$C$33),0)</f>
        <v/>
      </c>
      <c r="AT68" s="160">
        <f>IF(AT$46=$C$9,MIN(Inputs!H$143,ABS($D$49)*$C$33),0)</f>
        <v/>
      </c>
      <c r="AU68" s="160">
        <f>IF(AU$46=$C$9,MIN(Inputs!H$143,ABS($D$49)*$C$33),0)</f>
        <v/>
      </c>
      <c r="AV68" s="160">
        <f>IF(AV$46=$C$9,MIN(Inputs!H$143,ABS($D$49)*$C$33),0)</f>
        <v/>
      </c>
      <c r="AW68" s="160">
        <f>IF(AW$46=$C$9,MIN(Inputs!H$143,ABS($D$49)*$C$33),0)</f>
        <v/>
      </c>
      <c r="AX68" s="160">
        <f>IF(AX$46=$C$9,MIN(Inputs!H$143,ABS($D$49)*$C$33),0)</f>
        <v/>
      </c>
      <c r="AY68" s="160">
        <f>IF(AY$46=$C$9,MIN(Inputs!H$143,ABS($D$49)*$C$33),0)</f>
        <v/>
      </c>
      <c r="AZ68" s="160">
        <f>IF(AZ$46=$C$9,MIN(Inputs!H$143,ABS($D$49)*$C$33),0)</f>
        <v/>
      </c>
      <c r="BA68" s="160">
        <f>IF(BA$46=$C$9,MIN(Inputs!H$143,ABS($D$49)*$C$33),0)</f>
        <v/>
      </c>
      <c r="BB68" s="160">
        <f>IF(BB$46=$C$9,MIN(Inputs!H$143,ABS($D$49)*$C$33),0)</f>
        <v/>
      </c>
    </row>
    <row r="69" ht="15" customHeight="1" s="91">
      <c r="B69" s="110" t="inlineStr">
        <is>
          <t>Total Fees  إجمالي الرسوم</t>
        </is>
      </c>
      <c r="C69" s="153" t="inlineStr">
        <is>
          <t>SAR</t>
        </is>
      </c>
      <c r="D69" s="157">
        <f>SUM(E69:BB69)</f>
        <v/>
      </c>
      <c r="E69" s="157">
        <f>E63+E64+E65+E66+E67+E68</f>
        <v/>
      </c>
      <c r="F69" s="157">
        <f>F63+F64+F65+F66+F67+F68</f>
        <v/>
      </c>
      <c r="G69" s="157">
        <f>G63+G64+G65+G66+G67+G68</f>
        <v/>
      </c>
      <c r="H69" s="157">
        <f>H63+H64+H65+H66+H67+H68</f>
        <v/>
      </c>
      <c r="I69" s="157">
        <f>I63+I64+I65+I66+I67+I68</f>
        <v/>
      </c>
      <c r="J69" s="157">
        <f>J63+J64+J65+J66+J67+J68</f>
        <v/>
      </c>
      <c r="K69" s="157">
        <f>K63+K64+K65+K66+K67+K68</f>
        <v/>
      </c>
      <c r="L69" s="157">
        <f>L63+L64+L65+L66+L67+L68</f>
        <v/>
      </c>
      <c r="M69" s="157">
        <f>M63+M64+M65+M66+M67+M68</f>
        <v/>
      </c>
      <c r="N69" s="157">
        <f>N63+N64+N65+N66+N67+N68</f>
        <v/>
      </c>
      <c r="O69" s="157">
        <f>O63+O64+O65+O66+O67+O68</f>
        <v/>
      </c>
      <c r="P69" s="157">
        <f>P63+P64+P65+P66+P67+P68</f>
        <v/>
      </c>
      <c r="Q69" s="157">
        <f>Q63+Q64+Q65+Q66+Q67+Q68</f>
        <v/>
      </c>
      <c r="R69" s="157">
        <f>R63+R64+R65+R66+R67+R68</f>
        <v/>
      </c>
      <c r="S69" s="157">
        <f>S63+S64+S65+S66+S67+S68</f>
        <v/>
      </c>
      <c r="T69" s="157">
        <f>T63+T64+T65+T66+T67+T68</f>
        <v/>
      </c>
      <c r="U69" s="157">
        <f>U63+U64+U65+U66+U67+U68</f>
        <v/>
      </c>
      <c r="V69" s="157">
        <f>V63+V64+V65+V66+V67+V68</f>
        <v/>
      </c>
      <c r="W69" s="157">
        <f>W63+W64+W65+W66+W67+W68</f>
        <v/>
      </c>
      <c r="X69" s="157">
        <f>X63+X64+X65+X66+X67+X68</f>
        <v/>
      </c>
      <c r="Y69" s="157">
        <f>Y63+Y64+Y65+Y66+Y67+Y68</f>
        <v/>
      </c>
      <c r="Z69" s="157">
        <f>Z63+Z64+Z65+Z66+Z67+Z68</f>
        <v/>
      </c>
      <c r="AA69" s="157">
        <f>AA63+AA64+AA65+AA66+AA67+AA68</f>
        <v/>
      </c>
      <c r="AB69" s="157">
        <f>AB63+AB64+AB65+AB66+AB67+AB68</f>
        <v/>
      </c>
      <c r="AC69" s="157">
        <f>AC63+AC64+AC65+AC66+AC67+AC68</f>
        <v/>
      </c>
      <c r="AD69" s="157">
        <f>AD63+AD64+AD65+AD66+AD67+AD68</f>
        <v/>
      </c>
      <c r="AE69" s="157">
        <f>AE63+AE64+AE65+AE66+AE67+AE68</f>
        <v/>
      </c>
      <c r="AF69" s="157">
        <f>AF63+AF64+AF65+AF66+AF67+AF68</f>
        <v/>
      </c>
      <c r="AG69" s="157">
        <f>AG63+AG64+AG65+AG66+AG67+AG68</f>
        <v/>
      </c>
      <c r="AH69" s="157">
        <f>AH63+AH64+AH65+AH66+AH67+AH68</f>
        <v/>
      </c>
      <c r="AI69" s="157">
        <f>AI63+AI64+AI65+AI66+AI67+AI68</f>
        <v/>
      </c>
      <c r="AJ69" s="157">
        <f>AJ63+AJ64+AJ65+AJ66+AJ67+AJ68</f>
        <v/>
      </c>
      <c r="AK69" s="157">
        <f>AK63+AK64+AK65+AK66+AK67+AK68</f>
        <v/>
      </c>
      <c r="AL69" s="157">
        <f>AL63+AL64+AL65+AL66+AL67+AL68</f>
        <v/>
      </c>
      <c r="AM69" s="157">
        <f>AM63+AM64+AM65+AM66+AM67+AM68</f>
        <v/>
      </c>
      <c r="AN69" s="157">
        <f>AN63+AN64+AN65+AN66+AN67+AN68</f>
        <v/>
      </c>
      <c r="AO69" s="157">
        <f>AO63+AO64+AO65+AO66+AO67+AO68</f>
        <v/>
      </c>
      <c r="AP69" s="157">
        <f>AP63+AP64+AP65+AP66+AP67+AP68</f>
        <v/>
      </c>
      <c r="AQ69" s="157">
        <f>AQ63+AQ64+AQ65+AQ66+AQ67+AQ68</f>
        <v/>
      </c>
      <c r="AR69" s="157">
        <f>AR63+AR64+AR65+AR66+AR67+AR68</f>
        <v/>
      </c>
      <c r="AS69" s="157">
        <f>AS63+AS64+AS65+AS66+AS67+AS68</f>
        <v/>
      </c>
      <c r="AT69" s="157">
        <f>AT63+AT64+AT65+AT66+AT67+AT68</f>
        <v/>
      </c>
      <c r="AU69" s="157">
        <f>AU63+AU64+AU65+AU66+AU67+AU68</f>
        <v/>
      </c>
      <c r="AV69" s="157">
        <f>AV63+AV64+AV65+AV66+AV67+AV68</f>
        <v/>
      </c>
      <c r="AW69" s="157">
        <f>AW63+AW64+AW65+AW66+AW67+AW68</f>
        <v/>
      </c>
      <c r="AX69" s="157">
        <f>AX63+AX64+AX65+AX66+AX67+AX68</f>
        <v/>
      </c>
      <c r="AY69" s="157">
        <f>AY63+AY64+AY65+AY66+AY67+AY68</f>
        <v/>
      </c>
      <c r="AZ69" s="157">
        <f>AZ63+AZ64+AZ65+AZ66+AZ67+AZ68</f>
        <v/>
      </c>
      <c r="BA69" s="157">
        <f>BA63+BA64+BA65+BA66+BA67+BA68</f>
        <v/>
      </c>
      <c r="BB69" s="157">
        <f>BB63+BB64+BB65+BB66+BB67+BB68</f>
        <v/>
      </c>
    </row>
    <row r="70" ht="15" customHeight="1" s="91">
      <c r="B70" s="153" t="inlineStr">
        <is>
          <t>Unfunded Fees (Equity-Funded)  الرسوم الممولة من الإكوتي</t>
        </is>
      </c>
      <c r="C70" s="153" t="inlineStr">
        <is>
          <t>SAR</t>
        </is>
      </c>
      <c r="D70" s="160">
        <f>SUM(E70:BB70)</f>
        <v/>
      </c>
      <c r="E70" s="160">
        <f>MAX(0,E69-MAX(0,IF(E$46&lt;=$C$41,E50,0)+E62+E51))</f>
        <v/>
      </c>
      <c r="F70" s="160">
        <f>MAX(0,F69-MAX(0,IF(F$46&lt;=$C$41,F50,0)+F62+F51))</f>
        <v/>
      </c>
      <c r="G70" s="160">
        <f>MAX(0,G69-MAX(0,IF(G$46&lt;=$C$41,G50,0)+G62+G51))</f>
        <v/>
      </c>
      <c r="H70" s="160">
        <f>MAX(0,H69-MAX(0,IF(H$46&lt;=$C$41,H50,0)+H62+H51))</f>
        <v/>
      </c>
      <c r="I70" s="160">
        <f>MAX(0,I69-MAX(0,IF(I$46&lt;=$C$41,I50,0)+I62+I51))</f>
        <v/>
      </c>
      <c r="J70" s="160">
        <f>MAX(0,J69-MAX(0,IF(J$46&lt;=$C$41,J50,0)+J62+J51))</f>
        <v/>
      </c>
      <c r="K70" s="160">
        <f>MAX(0,K69-MAX(0,IF(K$46&lt;=$C$41,K50,0)+K62+K51))</f>
        <v/>
      </c>
      <c r="L70" s="160">
        <f>MAX(0,L69-MAX(0,IF(L$46&lt;=$C$41,L50,0)+L62+L51))</f>
        <v/>
      </c>
      <c r="M70" s="160">
        <f>MAX(0,M69-MAX(0,IF(M$46&lt;=$C$41,M50,0)+M62+M51))</f>
        <v/>
      </c>
      <c r="N70" s="160">
        <f>MAX(0,N69-MAX(0,IF(N$46&lt;=$C$41,N50,0)+N62+N51))</f>
        <v/>
      </c>
      <c r="O70" s="160">
        <f>MAX(0,O69-MAX(0,IF(O$46&lt;=$C$41,O50,0)+O62+O51))</f>
        <v/>
      </c>
      <c r="P70" s="160">
        <f>MAX(0,P69-MAX(0,IF(P$46&lt;=$C$41,P50,0)+P62+P51))</f>
        <v/>
      </c>
      <c r="Q70" s="160">
        <f>MAX(0,Q69-MAX(0,IF(Q$46&lt;=$C$41,Q50,0)+Q62+Q51))</f>
        <v/>
      </c>
      <c r="R70" s="160">
        <f>MAX(0,R69-MAX(0,IF(R$46&lt;=$C$41,R50,0)+R62+R51))</f>
        <v/>
      </c>
      <c r="S70" s="160">
        <f>MAX(0,S69-MAX(0,IF(S$46&lt;=$C$41,S50,0)+S62+S51))</f>
        <v/>
      </c>
      <c r="T70" s="160">
        <f>MAX(0,T69-MAX(0,IF(T$46&lt;=$C$41,T50,0)+T62+T51))</f>
        <v/>
      </c>
      <c r="U70" s="160">
        <f>MAX(0,U69-MAX(0,IF(U$46&lt;=$C$41,U50,0)+U62+U51))</f>
        <v/>
      </c>
      <c r="V70" s="160">
        <f>MAX(0,V69-MAX(0,IF(V$46&lt;=$C$41,V50,0)+V62+V51))</f>
        <v/>
      </c>
      <c r="W70" s="160">
        <f>MAX(0,W69-MAX(0,IF(W$46&lt;=$C$41,W50,0)+W62+W51))</f>
        <v/>
      </c>
      <c r="X70" s="160">
        <f>MAX(0,X69-MAX(0,IF(X$46&lt;=$C$41,X50,0)+X62+X51))</f>
        <v/>
      </c>
      <c r="Y70" s="160">
        <f>MAX(0,Y69-MAX(0,IF(Y$46&lt;=$C$41,Y50,0)+Y62+Y51))</f>
        <v/>
      </c>
      <c r="Z70" s="160">
        <f>MAX(0,Z69-MAX(0,IF(Z$46&lt;=$C$41,Z50,0)+Z62+Z51))</f>
        <v/>
      </c>
      <c r="AA70" s="160">
        <f>MAX(0,AA69-MAX(0,IF(AA$46&lt;=$C$41,AA50,0)+AA62+AA51))</f>
        <v/>
      </c>
      <c r="AB70" s="160">
        <f>MAX(0,AB69-MAX(0,IF(AB$46&lt;=$C$41,AB50,0)+AB62+AB51))</f>
        <v/>
      </c>
      <c r="AC70" s="160">
        <f>MAX(0,AC69-MAX(0,IF(AC$46&lt;=$C$41,AC50,0)+AC62+AC51))</f>
        <v/>
      </c>
      <c r="AD70" s="160">
        <f>MAX(0,AD69-MAX(0,IF(AD$46&lt;=$C$41,AD50,0)+AD62+AD51))</f>
        <v/>
      </c>
      <c r="AE70" s="160">
        <f>MAX(0,AE69-MAX(0,IF(AE$46&lt;=$C$41,AE50,0)+AE62+AE51))</f>
        <v/>
      </c>
      <c r="AF70" s="160">
        <f>MAX(0,AF69-MAX(0,IF(AF$46&lt;=$C$41,AF50,0)+AF62+AF51))</f>
        <v/>
      </c>
      <c r="AG70" s="160">
        <f>MAX(0,AG69-MAX(0,IF(AG$46&lt;=$C$41,AG50,0)+AG62+AG51))</f>
        <v/>
      </c>
      <c r="AH70" s="160">
        <f>MAX(0,AH69-MAX(0,IF(AH$46&lt;=$C$41,AH50,0)+AH62+AH51))</f>
        <v/>
      </c>
      <c r="AI70" s="160">
        <f>MAX(0,AI69-MAX(0,IF(AI$46&lt;=$C$41,AI50,0)+AI62+AI51))</f>
        <v/>
      </c>
      <c r="AJ70" s="160">
        <f>MAX(0,AJ69-MAX(0,IF(AJ$46&lt;=$C$41,AJ50,0)+AJ62+AJ51))</f>
        <v/>
      </c>
      <c r="AK70" s="160">
        <f>MAX(0,AK69-MAX(0,IF(AK$46&lt;=$C$41,AK50,0)+AK62+AK51))</f>
        <v/>
      </c>
      <c r="AL70" s="160">
        <f>MAX(0,AL69-MAX(0,IF(AL$46&lt;=$C$41,AL50,0)+AL62+AL51))</f>
        <v/>
      </c>
      <c r="AM70" s="160">
        <f>MAX(0,AM69-MAX(0,IF(AM$46&lt;=$C$41,AM50,0)+AM62+AM51))</f>
        <v/>
      </c>
      <c r="AN70" s="160">
        <f>MAX(0,AN69-MAX(0,IF(AN$46&lt;=$C$41,AN50,0)+AN62+AN51))</f>
        <v/>
      </c>
      <c r="AO70" s="160">
        <f>MAX(0,AO69-MAX(0,IF(AO$46&lt;=$C$41,AO50,0)+AO62+AO51))</f>
        <v/>
      </c>
      <c r="AP70" s="160">
        <f>MAX(0,AP69-MAX(0,IF(AP$46&lt;=$C$41,AP50,0)+AP62+AP51))</f>
        <v/>
      </c>
      <c r="AQ70" s="160">
        <f>MAX(0,AQ69-MAX(0,IF(AQ$46&lt;=$C$41,AQ50,0)+AQ62+AQ51))</f>
        <v/>
      </c>
      <c r="AR70" s="160">
        <f>MAX(0,AR69-MAX(0,IF(AR$46&lt;=$C$41,AR50,0)+AR62+AR51))</f>
        <v/>
      </c>
      <c r="AS70" s="160">
        <f>MAX(0,AS69-MAX(0,IF(AS$46&lt;=$C$41,AS50,0)+AS62+AS51))</f>
        <v/>
      </c>
      <c r="AT70" s="160">
        <f>MAX(0,AT69-MAX(0,IF(AT$46&lt;=$C$41,AT50,0)+AT62+AT51))</f>
        <v/>
      </c>
      <c r="AU70" s="160">
        <f>MAX(0,AU69-MAX(0,IF(AU$46&lt;=$C$41,AU50,0)+AU62+AU51))</f>
        <v/>
      </c>
      <c r="AV70" s="160">
        <f>MAX(0,AV69-MAX(0,IF(AV$46&lt;=$C$41,AV50,0)+AV62+AV51))</f>
        <v/>
      </c>
      <c r="AW70" s="160">
        <f>MAX(0,AW69-MAX(0,IF(AW$46&lt;=$C$41,AW50,0)+AW62+AW51))</f>
        <v/>
      </c>
      <c r="AX70" s="160">
        <f>MAX(0,AX69-MAX(0,IF(AX$46&lt;=$C$41,AX50,0)+AX62+AX51))</f>
        <v/>
      </c>
      <c r="AY70" s="160">
        <f>MAX(0,AY69-MAX(0,IF(AY$46&lt;=$C$41,AY50,0)+AY62+AY51))</f>
        <v/>
      </c>
      <c r="AZ70" s="160">
        <f>MAX(0,AZ69-MAX(0,IF(AZ$46&lt;=$C$41,AZ50,0)+AZ62+AZ51))</f>
        <v/>
      </c>
      <c r="BA70" s="160">
        <f>MAX(0,BA69-MAX(0,IF(BA$46&lt;=$C$41,BA50,0)+BA62+BA51))</f>
        <v/>
      </c>
      <c r="BB70" s="160">
        <f>MAX(0,BB69-MAX(0,IF(BB$46&lt;=$C$41,BB50,0)+BB62+BB51))</f>
        <v/>
      </c>
    </row>
    <row r="71" ht="15" customHeight="1" s="91">
      <c r="B71" s="153" t="inlineStr">
        <is>
          <t>Exit Proceeds  حصيلة التخارج</t>
        </is>
      </c>
      <c r="C71" s="153" t="inlineStr">
        <is>
          <t>SAR</t>
        </is>
      </c>
      <c r="D71" s="157">
        <f>SUM(E71:BB71)</f>
        <v/>
      </c>
      <c r="E71" s="160">
        <f>E51</f>
        <v/>
      </c>
      <c r="F71" s="160">
        <f>F51</f>
        <v/>
      </c>
      <c r="G71" s="160">
        <f>G51</f>
        <v/>
      </c>
      <c r="H71" s="160">
        <f>H51</f>
        <v/>
      </c>
      <c r="I71" s="160">
        <f>I51</f>
        <v/>
      </c>
      <c r="J71" s="160">
        <f>J51</f>
        <v/>
      </c>
      <c r="K71" s="160">
        <f>K51</f>
        <v/>
      </c>
      <c r="L71" s="160">
        <f>L51</f>
        <v/>
      </c>
      <c r="M71" s="160">
        <f>M51</f>
        <v/>
      </c>
      <c r="N71" s="160">
        <f>N51</f>
        <v/>
      </c>
      <c r="O71" s="160">
        <f>O51</f>
        <v/>
      </c>
      <c r="P71" s="160">
        <f>P51</f>
        <v/>
      </c>
      <c r="Q71" s="160">
        <f>Q51</f>
        <v/>
      </c>
      <c r="R71" s="160">
        <f>R51</f>
        <v/>
      </c>
      <c r="S71" s="160">
        <f>S51</f>
        <v/>
      </c>
      <c r="T71" s="160">
        <f>T51</f>
        <v/>
      </c>
      <c r="U71" s="160">
        <f>U51</f>
        <v/>
      </c>
      <c r="V71" s="160">
        <f>V51</f>
        <v/>
      </c>
      <c r="W71" s="160">
        <f>W51</f>
        <v/>
      </c>
      <c r="X71" s="160">
        <f>X51</f>
        <v/>
      </c>
      <c r="Y71" s="160">
        <f>Y51</f>
        <v/>
      </c>
      <c r="Z71" s="160">
        <f>Z51</f>
        <v/>
      </c>
      <c r="AA71" s="160">
        <f>AA51</f>
        <v/>
      </c>
      <c r="AB71" s="160">
        <f>AB51</f>
        <v/>
      </c>
      <c r="AC71" s="160">
        <f>AC51</f>
        <v/>
      </c>
      <c r="AD71" s="160">
        <f>AD51</f>
        <v/>
      </c>
      <c r="AE71" s="160">
        <f>AE51</f>
        <v/>
      </c>
      <c r="AF71" s="160">
        <f>AF51</f>
        <v/>
      </c>
      <c r="AG71" s="160">
        <f>AG51</f>
        <v/>
      </c>
      <c r="AH71" s="160">
        <f>AH51</f>
        <v/>
      </c>
      <c r="AI71" s="160">
        <f>AI51</f>
        <v/>
      </c>
      <c r="AJ71" s="160">
        <f>AJ51</f>
        <v/>
      </c>
      <c r="AK71" s="160">
        <f>AK51</f>
        <v/>
      </c>
      <c r="AL71" s="160">
        <f>AL51</f>
        <v/>
      </c>
      <c r="AM71" s="160">
        <f>AM51</f>
        <v/>
      </c>
      <c r="AN71" s="160">
        <f>AN51</f>
        <v/>
      </c>
      <c r="AO71" s="160">
        <f>AO51</f>
        <v/>
      </c>
      <c r="AP71" s="160">
        <f>AP51</f>
        <v/>
      </c>
      <c r="AQ71" s="160">
        <f>AQ51</f>
        <v/>
      </c>
      <c r="AR71" s="160">
        <f>AR51</f>
        <v/>
      </c>
      <c r="AS71" s="160">
        <f>AS51</f>
        <v/>
      </c>
      <c r="AT71" s="160">
        <f>AT51</f>
        <v/>
      </c>
      <c r="AU71" s="160">
        <f>AU51</f>
        <v/>
      </c>
      <c r="AV71" s="160">
        <f>AV51</f>
        <v/>
      </c>
      <c r="AW71" s="160">
        <f>AW51</f>
        <v/>
      </c>
      <c r="AX71" s="160">
        <f>AX51</f>
        <v/>
      </c>
      <c r="AY71" s="160">
        <f>AY51</f>
        <v/>
      </c>
      <c r="AZ71" s="160">
        <f>AZ51</f>
        <v/>
      </c>
      <c r="BA71" s="160">
        <f>BA51</f>
        <v/>
      </c>
      <c r="BB71" s="160">
        <f>BB51</f>
        <v/>
      </c>
    </row>
    <row r="73" ht="15" customHeight="1" s="91">
      <c r="A73" s="152" t="inlineStr">
        <is>
          <t>9  DISTRIBUTIONS &amp; WATERFALL  التوزيعات وشلال الأرباح</t>
        </is>
      </c>
      <c r="B73" s="152" t="n"/>
      <c r="C73" s="152" t="n"/>
      <c r="D73" s="152" t="n"/>
      <c r="E73" s="152" t="n"/>
      <c r="F73" s="152" t="n"/>
      <c r="G73" s="152" t="n"/>
      <c r="H73" s="152" t="n"/>
      <c r="I73" s="152" t="n"/>
      <c r="J73" s="152" t="n"/>
      <c r="K73" s="152" t="n"/>
      <c r="L73" s="152" t="n"/>
      <c r="M73" s="152" t="n"/>
      <c r="N73" s="152" t="n"/>
      <c r="O73" s="152" t="n"/>
      <c r="P73" s="152" t="n"/>
      <c r="Q73" s="152" t="n"/>
      <c r="R73" s="152" t="n"/>
      <c r="S73" s="152" t="n"/>
      <c r="T73" s="152" t="n"/>
      <c r="U73" s="152" t="n"/>
      <c r="V73" s="152" t="n"/>
      <c r="W73" s="152" t="n"/>
      <c r="X73" s="152" t="n"/>
      <c r="Y73" s="152" t="n"/>
      <c r="Z73" s="152" t="n"/>
      <c r="AA73" s="152" t="n"/>
      <c r="AB73" s="152" t="n"/>
      <c r="AC73" s="152" t="n"/>
      <c r="AD73" s="152" t="n"/>
      <c r="AE73" s="152" t="n"/>
      <c r="AF73" s="152" t="n"/>
      <c r="AG73" s="152" t="n"/>
      <c r="AH73" s="152" t="n"/>
      <c r="AI73" s="152" t="n"/>
      <c r="AJ73" s="152" t="n"/>
      <c r="AK73" s="152" t="n"/>
      <c r="AL73" s="152" t="n"/>
      <c r="AM73" s="152" t="n"/>
      <c r="AN73" s="152" t="n"/>
      <c r="AO73" s="152" t="n"/>
      <c r="AP73" s="152" t="n"/>
      <c r="AQ73" s="152" t="n"/>
      <c r="AR73" s="152" t="n"/>
      <c r="AS73" s="152" t="n"/>
      <c r="AT73" s="152" t="n"/>
      <c r="AU73" s="152" t="n"/>
      <c r="AV73" s="152" t="n"/>
      <c r="AW73" s="152" t="n"/>
      <c r="AX73" s="152" t="n"/>
      <c r="AY73" s="152" t="n"/>
      <c r="AZ73" s="152" t="n"/>
      <c r="BA73" s="152" t="n"/>
      <c r="BB73" s="152" t="n"/>
    </row>
    <row r="74" ht="15" customHeight="1" s="91">
      <c r="C74" s="165" t="inlineStr">
        <is>
          <t>Unit</t>
        </is>
      </c>
      <c r="D74" s="165" t="inlineStr">
        <is>
          <t>Total</t>
        </is>
      </c>
      <c r="E74" s="166">
        <f>E$46</f>
        <v/>
      </c>
      <c r="F74" s="166">
        <f>F$46</f>
        <v/>
      </c>
      <c r="G74" s="166">
        <f>G$46</f>
        <v/>
      </c>
      <c r="H74" s="166">
        <f>H$46</f>
        <v/>
      </c>
      <c r="I74" s="166">
        <f>I$46</f>
        <v/>
      </c>
      <c r="J74" s="166">
        <f>J$46</f>
        <v/>
      </c>
      <c r="K74" s="166">
        <f>K$46</f>
        <v/>
      </c>
      <c r="L74" s="166">
        <f>L$46</f>
        <v/>
      </c>
      <c r="M74" s="166">
        <f>M$46</f>
        <v/>
      </c>
      <c r="N74" s="166">
        <f>N$46</f>
        <v/>
      </c>
      <c r="O74" s="166">
        <f>O$46</f>
        <v/>
      </c>
      <c r="P74" s="166">
        <f>P$46</f>
        <v/>
      </c>
      <c r="Q74" s="166">
        <f>Q$46</f>
        <v/>
      </c>
      <c r="R74" s="166">
        <f>R$46</f>
        <v/>
      </c>
      <c r="S74" s="166">
        <f>S$46</f>
        <v/>
      </c>
      <c r="T74" s="166">
        <f>T$46</f>
        <v/>
      </c>
      <c r="U74" s="166">
        <f>U$46</f>
        <v/>
      </c>
      <c r="V74" s="166">
        <f>V$46</f>
        <v/>
      </c>
      <c r="W74" s="166">
        <f>W$46</f>
        <v/>
      </c>
      <c r="X74" s="166">
        <f>X$46</f>
        <v/>
      </c>
      <c r="Y74" s="166">
        <f>Y$46</f>
        <v/>
      </c>
      <c r="Z74" s="166">
        <f>Z$46</f>
        <v/>
      </c>
      <c r="AA74" s="166">
        <f>AA$46</f>
        <v/>
      </c>
      <c r="AB74" s="166">
        <f>AB$46</f>
        <v/>
      </c>
      <c r="AC74" s="166">
        <f>AC$46</f>
        <v/>
      </c>
      <c r="AD74" s="166">
        <f>AD$46</f>
        <v/>
      </c>
      <c r="AE74" s="166">
        <f>AE$46</f>
        <v/>
      </c>
      <c r="AF74" s="166">
        <f>AF$46</f>
        <v/>
      </c>
      <c r="AG74" s="166">
        <f>AG$46</f>
        <v/>
      </c>
      <c r="AH74" s="166">
        <f>AH$46</f>
        <v/>
      </c>
      <c r="AI74" s="166">
        <f>AI$46</f>
        <v/>
      </c>
      <c r="AJ74" s="166">
        <f>AJ$46</f>
        <v/>
      </c>
      <c r="AK74" s="166">
        <f>AK$46</f>
        <v/>
      </c>
      <c r="AL74" s="166">
        <f>AL$46</f>
        <v/>
      </c>
      <c r="AM74" s="166">
        <f>AM$46</f>
        <v/>
      </c>
      <c r="AN74" s="166">
        <f>AN$46</f>
        <v/>
      </c>
      <c r="AO74" s="166">
        <f>AO$46</f>
        <v/>
      </c>
      <c r="AP74" s="166">
        <f>AP$46</f>
        <v/>
      </c>
      <c r="AQ74" s="166">
        <f>AQ$46</f>
        <v/>
      </c>
      <c r="AR74" s="166">
        <f>AR$46</f>
        <v/>
      </c>
      <c r="AS74" s="166">
        <f>AS$46</f>
        <v/>
      </c>
      <c r="AT74" s="166">
        <f>AT$46</f>
        <v/>
      </c>
      <c r="AU74" s="166">
        <f>AU$46</f>
        <v/>
      </c>
      <c r="AV74" s="166">
        <f>AV$46</f>
        <v/>
      </c>
      <c r="AW74" s="166">
        <f>AW$46</f>
        <v/>
      </c>
      <c r="AX74" s="166">
        <f>AX$46</f>
        <v/>
      </c>
      <c r="AY74" s="166">
        <f>AY$46</f>
        <v/>
      </c>
      <c r="AZ74" s="166">
        <f>AZ$46</f>
        <v/>
      </c>
      <c r="BA74" s="166">
        <f>BA$46</f>
        <v/>
      </c>
      <c r="BB74" s="166">
        <f>BB$46</f>
        <v/>
      </c>
    </row>
    <row r="75" ht="15" customHeight="1" s="91">
      <c r="B75" s="153" t="inlineStr">
        <is>
          <t>Cash Available for Distribution  النقد المتاح</t>
        </is>
      </c>
      <c r="C75" s="153" t="inlineStr">
        <is>
          <t>SAR</t>
        </is>
      </c>
      <c r="D75" s="157">
        <f>SUM(E75:BB75)</f>
        <v/>
      </c>
      <c r="E75" s="160">
        <f>MAX(0,IF(AND(E$46&gt;=$C$9,E$46&lt;=$C$41),E50,0)+E62-E69+E70+E51)</f>
        <v/>
      </c>
      <c r="F75" s="160">
        <f>MAX(0,IF(AND(F$46&gt;=$C$9,F$46&lt;=$C$41),F50,0)+F62-F69+F70+F51)</f>
        <v/>
      </c>
      <c r="G75" s="160">
        <f>MAX(0,IF(AND(G$46&gt;=$C$9,G$46&lt;=$C$41),G50,0)+G62-G69+G70+G51)</f>
        <v/>
      </c>
      <c r="H75" s="160">
        <f>MAX(0,IF(AND(H$46&gt;=$C$9,H$46&lt;=$C$41),H50,0)+H62-H69+H70+H51)</f>
        <v/>
      </c>
      <c r="I75" s="160">
        <f>MAX(0,IF(AND(I$46&gt;=$C$9,I$46&lt;=$C$41),I50,0)+I62-I69+I70+I51)</f>
        <v/>
      </c>
      <c r="J75" s="160">
        <f>MAX(0,IF(AND(J$46&gt;=$C$9,J$46&lt;=$C$41),J50,0)+J62-J69+J70+J51)</f>
        <v/>
      </c>
      <c r="K75" s="160">
        <f>MAX(0,IF(AND(K$46&gt;=$C$9,K$46&lt;=$C$41),K50,0)+K62-K69+K70+K51)</f>
        <v/>
      </c>
      <c r="L75" s="160">
        <f>MAX(0,IF(AND(L$46&gt;=$C$9,L$46&lt;=$C$41),L50,0)+L62-L69+L70+L51)</f>
        <v/>
      </c>
      <c r="M75" s="160">
        <f>MAX(0,IF(AND(M$46&gt;=$C$9,M$46&lt;=$C$41),M50,0)+M62-M69+M70+M51)</f>
        <v/>
      </c>
      <c r="N75" s="160">
        <f>MAX(0,IF(AND(N$46&gt;=$C$9,N$46&lt;=$C$41),N50,0)+N62-N69+N70+N51)</f>
        <v/>
      </c>
      <c r="O75" s="160">
        <f>MAX(0,IF(AND(O$46&gt;=$C$9,O$46&lt;=$C$41),O50,0)+O62-O69+O70+O51)</f>
        <v/>
      </c>
      <c r="P75" s="160">
        <f>MAX(0,IF(AND(P$46&gt;=$C$9,P$46&lt;=$C$41),P50,0)+P62-P69+P70+P51)</f>
        <v/>
      </c>
      <c r="Q75" s="160">
        <f>MAX(0,IF(AND(Q$46&gt;=$C$9,Q$46&lt;=$C$41),Q50,0)+Q62-Q69+Q70+Q51)</f>
        <v/>
      </c>
      <c r="R75" s="160">
        <f>MAX(0,IF(AND(R$46&gt;=$C$9,R$46&lt;=$C$41),R50,0)+R62-R69+R70+R51)</f>
        <v/>
      </c>
      <c r="S75" s="160">
        <f>MAX(0,IF(AND(S$46&gt;=$C$9,S$46&lt;=$C$41),S50,0)+S62-S69+S70+S51)</f>
        <v/>
      </c>
      <c r="T75" s="160">
        <f>MAX(0,IF(AND(T$46&gt;=$C$9,T$46&lt;=$C$41),T50,0)+T62-T69+T70+T51)</f>
        <v/>
      </c>
      <c r="U75" s="160">
        <f>MAX(0,IF(AND(U$46&gt;=$C$9,U$46&lt;=$C$41),U50,0)+U62-U69+U70+U51)</f>
        <v/>
      </c>
      <c r="V75" s="160">
        <f>MAX(0,IF(AND(V$46&gt;=$C$9,V$46&lt;=$C$41),V50,0)+V62-V69+V70+V51)</f>
        <v/>
      </c>
      <c r="W75" s="160">
        <f>MAX(0,IF(AND(W$46&gt;=$C$9,W$46&lt;=$C$41),W50,0)+W62-W69+W70+W51)</f>
        <v/>
      </c>
      <c r="X75" s="160">
        <f>MAX(0,IF(AND(X$46&gt;=$C$9,X$46&lt;=$C$41),X50,0)+X62-X69+X70+X51)</f>
        <v/>
      </c>
      <c r="Y75" s="160">
        <f>MAX(0,IF(AND(Y$46&gt;=$C$9,Y$46&lt;=$C$41),Y50,0)+Y62-Y69+Y70+Y51)</f>
        <v/>
      </c>
      <c r="Z75" s="160">
        <f>MAX(0,IF(AND(Z$46&gt;=$C$9,Z$46&lt;=$C$41),Z50,0)+Z62-Z69+Z70+Z51)</f>
        <v/>
      </c>
      <c r="AA75" s="160">
        <f>MAX(0,IF(AND(AA$46&gt;=$C$9,AA$46&lt;=$C$41),AA50,0)+AA62-AA69+AA70+AA51)</f>
        <v/>
      </c>
      <c r="AB75" s="160">
        <f>MAX(0,IF(AND(AB$46&gt;=$C$9,AB$46&lt;=$C$41),AB50,0)+AB62-AB69+AB70+AB51)</f>
        <v/>
      </c>
      <c r="AC75" s="160">
        <f>MAX(0,IF(AND(AC$46&gt;=$C$9,AC$46&lt;=$C$41),AC50,0)+AC62-AC69+AC70+AC51)</f>
        <v/>
      </c>
      <c r="AD75" s="160">
        <f>MAX(0,IF(AND(AD$46&gt;=$C$9,AD$46&lt;=$C$41),AD50,0)+AD62-AD69+AD70+AD51)</f>
        <v/>
      </c>
      <c r="AE75" s="160">
        <f>MAX(0,IF(AND(AE$46&gt;=$C$9,AE$46&lt;=$C$41),AE50,0)+AE62-AE69+AE70+AE51)</f>
        <v/>
      </c>
      <c r="AF75" s="160">
        <f>MAX(0,IF(AND(AF$46&gt;=$C$9,AF$46&lt;=$C$41),AF50,0)+AF62-AF69+AF70+AF51)</f>
        <v/>
      </c>
      <c r="AG75" s="160">
        <f>MAX(0,IF(AND(AG$46&gt;=$C$9,AG$46&lt;=$C$41),AG50,0)+AG62-AG69+AG70+AG51)</f>
        <v/>
      </c>
      <c r="AH75" s="160">
        <f>MAX(0,IF(AND(AH$46&gt;=$C$9,AH$46&lt;=$C$41),AH50,0)+AH62-AH69+AH70+AH51)</f>
        <v/>
      </c>
      <c r="AI75" s="160">
        <f>MAX(0,IF(AND(AI$46&gt;=$C$9,AI$46&lt;=$C$41),AI50,0)+AI62-AI69+AI70+AI51)</f>
        <v/>
      </c>
      <c r="AJ75" s="160">
        <f>MAX(0,IF(AND(AJ$46&gt;=$C$9,AJ$46&lt;=$C$41),AJ50,0)+AJ62-AJ69+AJ70+AJ51)</f>
        <v/>
      </c>
      <c r="AK75" s="160">
        <f>MAX(0,IF(AND(AK$46&gt;=$C$9,AK$46&lt;=$C$41),AK50,0)+AK62-AK69+AK70+AK51)</f>
        <v/>
      </c>
      <c r="AL75" s="160">
        <f>MAX(0,IF(AND(AL$46&gt;=$C$9,AL$46&lt;=$C$41),AL50,0)+AL62-AL69+AL70+AL51)</f>
        <v/>
      </c>
      <c r="AM75" s="160">
        <f>MAX(0,IF(AND(AM$46&gt;=$C$9,AM$46&lt;=$C$41),AM50,0)+AM62-AM69+AM70+AM51)</f>
        <v/>
      </c>
      <c r="AN75" s="160">
        <f>MAX(0,IF(AND(AN$46&gt;=$C$9,AN$46&lt;=$C$41),AN50,0)+AN62-AN69+AN70+AN51)</f>
        <v/>
      </c>
      <c r="AO75" s="160">
        <f>MAX(0,IF(AND(AO$46&gt;=$C$9,AO$46&lt;=$C$41),AO50,0)+AO62-AO69+AO70+AO51)</f>
        <v/>
      </c>
      <c r="AP75" s="160">
        <f>MAX(0,IF(AND(AP$46&gt;=$C$9,AP$46&lt;=$C$41),AP50,0)+AP62-AP69+AP70+AP51)</f>
        <v/>
      </c>
      <c r="AQ75" s="160">
        <f>MAX(0,IF(AND(AQ$46&gt;=$C$9,AQ$46&lt;=$C$41),AQ50,0)+AQ62-AQ69+AQ70+AQ51)</f>
        <v/>
      </c>
      <c r="AR75" s="160">
        <f>MAX(0,IF(AND(AR$46&gt;=$C$9,AR$46&lt;=$C$41),AR50,0)+AR62-AR69+AR70+AR51)</f>
        <v/>
      </c>
      <c r="AS75" s="160">
        <f>MAX(0,IF(AND(AS$46&gt;=$C$9,AS$46&lt;=$C$41),AS50,0)+AS62-AS69+AS70+AS51)</f>
        <v/>
      </c>
      <c r="AT75" s="160">
        <f>MAX(0,IF(AND(AT$46&gt;=$C$9,AT$46&lt;=$C$41),AT50,0)+AT62-AT69+AT70+AT51)</f>
        <v/>
      </c>
      <c r="AU75" s="160">
        <f>MAX(0,IF(AND(AU$46&gt;=$C$9,AU$46&lt;=$C$41),AU50,0)+AU62-AU69+AU70+AU51)</f>
        <v/>
      </c>
      <c r="AV75" s="160">
        <f>MAX(0,IF(AND(AV$46&gt;=$C$9,AV$46&lt;=$C$41),AV50,0)+AV62-AV69+AV70+AV51)</f>
        <v/>
      </c>
      <c r="AW75" s="160">
        <f>MAX(0,IF(AND(AW$46&gt;=$C$9,AW$46&lt;=$C$41),AW50,0)+AW62-AW69+AW70+AW51)</f>
        <v/>
      </c>
      <c r="AX75" s="160">
        <f>MAX(0,IF(AND(AX$46&gt;=$C$9,AX$46&lt;=$C$41),AX50,0)+AX62-AX69+AX70+AX51)</f>
        <v/>
      </c>
      <c r="AY75" s="160">
        <f>MAX(0,IF(AND(AY$46&gt;=$C$9,AY$46&lt;=$C$41),AY50,0)+AY62-AY69+AY70+AY51)</f>
        <v/>
      </c>
      <c r="AZ75" s="160">
        <f>MAX(0,IF(AND(AZ$46&gt;=$C$9,AZ$46&lt;=$C$41),AZ50,0)+AZ62-AZ69+AZ70+AZ51)</f>
        <v/>
      </c>
      <c r="BA75" s="160">
        <f>MAX(0,IF(AND(BA$46&gt;=$C$9,BA$46&lt;=$C$41),BA50,0)+BA62-BA69+BA70+BA51)</f>
        <v/>
      </c>
      <c r="BB75" s="160">
        <f>MAX(0,IF(AND(BB$46&gt;=$C$9,BB$46&lt;=$C$41),BB50,0)+BB62-BB69+BB70+BB51)</f>
        <v/>
      </c>
    </row>
    <row r="77" ht="15" customHeight="1" s="91">
      <c r="B77" s="153" t="inlineStr">
        <is>
          <t>Unreturned Capital (Open)  رأس المال غير المسترد</t>
        </is>
      </c>
      <c r="C77" s="153" t="inlineStr">
        <is>
          <t>SAR</t>
        </is>
      </c>
      <c r="E77" s="160">
        <f>E56</f>
        <v/>
      </c>
      <c r="F77" s="160">
        <f>E79+F56</f>
        <v/>
      </c>
      <c r="G77" s="160">
        <f>F79+G56</f>
        <v/>
      </c>
      <c r="H77" s="160">
        <f>G79+H56</f>
        <v/>
      </c>
      <c r="I77" s="160">
        <f>H79+I56</f>
        <v/>
      </c>
      <c r="J77" s="160">
        <f>I79+J56</f>
        <v/>
      </c>
      <c r="K77" s="160">
        <f>J79+K56</f>
        <v/>
      </c>
      <c r="L77" s="160">
        <f>K79+L56</f>
        <v/>
      </c>
      <c r="M77" s="160">
        <f>L79+M56</f>
        <v/>
      </c>
      <c r="N77" s="160">
        <f>M79+N56</f>
        <v/>
      </c>
      <c r="O77" s="160">
        <f>N79+O56</f>
        <v/>
      </c>
      <c r="P77" s="160">
        <f>O79+P56</f>
        <v/>
      </c>
      <c r="Q77" s="160">
        <f>P79+Q56</f>
        <v/>
      </c>
      <c r="R77" s="160">
        <f>Q79+R56</f>
        <v/>
      </c>
      <c r="S77" s="160">
        <f>R79+S56</f>
        <v/>
      </c>
      <c r="T77" s="160">
        <f>S79+T56</f>
        <v/>
      </c>
      <c r="U77" s="160">
        <f>T79+U56</f>
        <v/>
      </c>
      <c r="V77" s="160">
        <f>U79+V56</f>
        <v/>
      </c>
      <c r="W77" s="160">
        <f>V79+W56</f>
        <v/>
      </c>
      <c r="X77" s="160">
        <f>W79+X56</f>
        <v/>
      </c>
      <c r="Y77" s="160">
        <f>X79+Y56</f>
        <v/>
      </c>
      <c r="Z77" s="160">
        <f>Y79+Z56</f>
        <v/>
      </c>
      <c r="AA77" s="160">
        <f>Z79+AA56</f>
        <v/>
      </c>
      <c r="AB77" s="160">
        <f>AA79+AB56</f>
        <v/>
      </c>
      <c r="AC77" s="160">
        <f>AB79+AC56</f>
        <v/>
      </c>
      <c r="AD77" s="160">
        <f>AC79+AD56</f>
        <v/>
      </c>
      <c r="AE77" s="160">
        <f>AD79+AE56</f>
        <v/>
      </c>
      <c r="AF77" s="160">
        <f>AE79+AF56</f>
        <v/>
      </c>
      <c r="AG77" s="160">
        <f>AF79+AG56</f>
        <v/>
      </c>
      <c r="AH77" s="160">
        <f>AG79+AH56</f>
        <v/>
      </c>
      <c r="AI77" s="160">
        <f>AH79+AI56</f>
        <v/>
      </c>
      <c r="AJ77" s="160">
        <f>AI79+AJ56</f>
        <v/>
      </c>
      <c r="AK77" s="160">
        <f>AJ79+AK56</f>
        <v/>
      </c>
      <c r="AL77" s="160">
        <f>AK79+AL56</f>
        <v/>
      </c>
      <c r="AM77" s="160">
        <f>AL79+AM56</f>
        <v/>
      </c>
      <c r="AN77" s="160">
        <f>AM79+AN56</f>
        <v/>
      </c>
      <c r="AO77" s="160">
        <f>AN79+AO56</f>
        <v/>
      </c>
      <c r="AP77" s="160">
        <f>AO79+AP56</f>
        <v/>
      </c>
      <c r="AQ77" s="160">
        <f>AP79+AQ56</f>
        <v/>
      </c>
      <c r="AR77" s="160">
        <f>AQ79+AR56</f>
        <v/>
      </c>
      <c r="AS77" s="160">
        <f>AR79+AS56</f>
        <v/>
      </c>
      <c r="AT77" s="160">
        <f>AS79+AT56</f>
        <v/>
      </c>
      <c r="AU77" s="160">
        <f>AT79+AU56</f>
        <v/>
      </c>
      <c r="AV77" s="160">
        <f>AU79+AV56</f>
        <v/>
      </c>
      <c r="AW77" s="160">
        <f>AV79+AW56</f>
        <v/>
      </c>
      <c r="AX77" s="160">
        <f>AW79+AX56</f>
        <v/>
      </c>
      <c r="AY77" s="160">
        <f>AX79+AY56</f>
        <v/>
      </c>
      <c r="AZ77" s="160">
        <f>AY79+AZ56</f>
        <v/>
      </c>
      <c r="BA77" s="160">
        <f>AZ79+BA56</f>
        <v/>
      </c>
      <c r="BB77" s="160">
        <f>BA79+BB56</f>
        <v/>
      </c>
    </row>
    <row r="78" ht="15" customHeight="1" s="91">
      <c r="B78" s="153" t="inlineStr">
        <is>
          <t>Tier 1: Return of Capital  رد رأس المال</t>
        </is>
      </c>
      <c r="C78" s="153" t="inlineStr">
        <is>
          <t>SAR</t>
        </is>
      </c>
      <c r="D78" s="157">
        <f>SUM(E78:BB78)</f>
        <v/>
      </c>
      <c r="E78" s="160">
        <f>MIN(E75,E77)</f>
        <v/>
      </c>
      <c r="F78" s="160">
        <f>MIN(F75,F77)</f>
        <v/>
      </c>
      <c r="G78" s="160">
        <f>MIN(G75,G77)</f>
        <v/>
      </c>
      <c r="H78" s="160">
        <f>MIN(H75,H77)</f>
        <v/>
      </c>
      <c r="I78" s="160">
        <f>MIN(I75,I77)</f>
        <v/>
      </c>
      <c r="J78" s="160">
        <f>MIN(J75,J77)</f>
        <v/>
      </c>
      <c r="K78" s="160">
        <f>MIN(K75,K77)</f>
        <v/>
      </c>
      <c r="L78" s="160">
        <f>MIN(L75,L77)</f>
        <v/>
      </c>
      <c r="M78" s="160">
        <f>MIN(M75,M77)</f>
        <v/>
      </c>
      <c r="N78" s="160">
        <f>MIN(N75,N77)</f>
        <v/>
      </c>
      <c r="O78" s="160">
        <f>MIN(O75,O77)</f>
        <v/>
      </c>
      <c r="P78" s="160">
        <f>MIN(P75,P77)</f>
        <v/>
      </c>
      <c r="Q78" s="160">
        <f>MIN(Q75,Q77)</f>
        <v/>
      </c>
      <c r="R78" s="160">
        <f>MIN(R75,R77)</f>
        <v/>
      </c>
      <c r="S78" s="160">
        <f>MIN(S75,S77)</f>
        <v/>
      </c>
      <c r="T78" s="160">
        <f>MIN(T75,T77)</f>
        <v/>
      </c>
      <c r="U78" s="160">
        <f>MIN(U75,U77)</f>
        <v/>
      </c>
      <c r="V78" s="160">
        <f>MIN(V75,V77)</f>
        <v/>
      </c>
      <c r="W78" s="160">
        <f>MIN(W75,W77)</f>
        <v/>
      </c>
      <c r="X78" s="160">
        <f>MIN(X75,X77)</f>
        <v/>
      </c>
      <c r="Y78" s="160">
        <f>MIN(Y75,Y77)</f>
        <v/>
      </c>
      <c r="Z78" s="160">
        <f>MIN(Z75,Z77)</f>
        <v/>
      </c>
      <c r="AA78" s="160">
        <f>MIN(AA75,AA77)</f>
        <v/>
      </c>
      <c r="AB78" s="160">
        <f>MIN(AB75,AB77)</f>
        <v/>
      </c>
      <c r="AC78" s="160">
        <f>MIN(AC75,AC77)</f>
        <v/>
      </c>
      <c r="AD78" s="160">
        <f>MIN(AD75,AD77)</f>
        <v/>
      </c>
      <c r="AE78" s="160">
        <f>MIN(AE75,AE77)</f>
        <v/>
      </c>
      <c r="AF78" s="160">
        <f>MIN(AF75,AF77)</f>
        <v/>
      </c>
      <c r="AG78" s="160">
        <f>MIN(AG75,AG77)</f>
        <v/>
      </c>
      <c r="AH78" s="160">
        <f>MIN(AH75,AH77)</f>
        <v/>
      </c>
      <c r="AI78" s="160">
        <f>MIN(AI75,AI77)</f>
        <v/>
      </c>
      <c r="AJ78" s="160">
        <f>MIN(AJ75,AJ77)</f>
        <v/>
      </c>
      <c r="AK78" s="160">
        <f>MIN(AK75,AK77)</f>
        <v/>
      </c>
      <c r="AL78" s="160">
        <f>MIN(AL75,AL77)</f>
        <v/>
      </c>
      <c r="AM78" s="160">
        <f>MIN(AM75,AM77)</f>
        <v/>
      </c>
      <c r="AN78" s="160">
        <f>MIN(AN75,AN77)</f>
        <v/>
      </c>
      <c r="AO78" s="160">
        <f>MIN(AO75,AO77)</f>
        <v/>
      </c>
      <c r="AP78" s="160">
        <f>MIN(AP75,AP77)</f>
        <v/>
      </c>
      <c r="AQ78" s="160">
        <f>MIN(AQ75,AQ77)</f>
        <v/>
      </c>
      <c r="AR78" s="160">
        <f>MIN(AR75,AR77)</f>
        <v/>
      </c>
      <c r="AS78" s="160">
        <f>MIN(AS75,AS77)</f>
        <v/>
      </c>
      <c r="AT78" s="160">
        <f>MIN(AT75,AT77)</f>
        <v/>
      </c>
      <c r="AU78" s="160">
        <f>MIN(AU75,AU77)</f>
        <v/>
      </c>
      <c r="AV78" s="160">
        <f>MIN(AV75,AV77)</f>
        <v/>
      </c>
      <c r="AW78" s="160">
        <f>MIN(AW75,AW77)</f>
        <v/>
      </c>
      <c r="AX78" s="160">
        <f>MIN(AX75,AX77)</f>
        <v/>
      </c>
      <c r="AY78" s="160">
        <f>MIN(AY75,AY77)</f>
        <v/>
      </c>
      <c r="AZ78" s="160">
        <f>MIN(AZ75,AZ77)</f>
        <v/>
      </c>
      <c r="BA78" s="160">
        <f>MIN(BA75,BA77)</f>
        <v/>
      </c>
      <c r="BB78" s="160">
        <f>MIN(BB75,BB77)</f>
        <v/>
      </c>
    </row>
    <row r="79" ht="15" customHeight="1" s="91">
      <c r="B79" s="153" t="inlineStr">
        <is>
          <t>Unreturned Capital (Close)  رأس المال غير المسترد (نهاية)</t>
        </is>
      </c>
      <c r="C79" s="153" t="inlineStr">
        <is>
          <t>SAR</t>
        </is>
      </c>
      <c r="E79" s="160">
        <f>E77-E78</f>
        <v/>
      </c>
      <c r="F79" s="160">
        <f>F77-F78</f>
        <v/>
      </c>
      <c r="G79" s="160">
        <f>G77-G78</f>
        <v/>
      </c>
      <c r="H79" s="160">
        <f>H77-H78</f>
        <v/>
      </c>
      <c r="I79" s="160">
        <f>I77-I78</f>
        <v/>
      </c>
      <c r="J79" s="160">
        <f>J77-J78</f>
        <v/>
      </c>
      <c r="K79" s="160">
        <f>K77-K78</f>
        <v/>
      </c>
      <c r="L79" s="160">
        <f>L77-L78</f>
        <v/>
      </c>
      <c r="M79" s="160">
        <f>M77-M78</f>
        <v/>
      </c>
      <c r="N79" s="160">
        <f>N77-N78</f>
        <v/>
      </c>
      <c r="O79" s="160">
        <f>O77-O78</f>
        <v/>
      </c>
      <c r="P79" s="160">
        <f>P77-P78</f>
        <v/>
      </c>
      <c r="Q79" s="160">
        <f>Q77-Q78</f>
        <v/>
      </c>
      <c r="R79" s="160">
        <f>R77-R78</f>
        <v/>
      </c>
      <c r="S79" s="160">
        <f>S77-S78</f>
        <v/>
      </c>
      <c r="T79" s="160">
        <f>T77-T78</f>
        <v/>
      </c>
      <c r="U79" s="160">
        <f>U77-U78</f>
        <v/>
      </c>
      <c r="V79" s="160">
        <f>V77-V78</f>
        <v/>
      </c>
      <c r="W79" s="160">
        <f>W77-W78</f>
        <v/>
      </c>
      <c r="X79" s="160">
        <f>X77-X78</f>
        <v/>
      </c>
      <c r="Y79" s="160">
        <f>Y77-Y78</f>
        <v/>
      </c>
      <c r="Z79" s="160">
        <f>Z77-Z78</f>
        <v/>
      </c>
      <c r="AA79" s="160">
        <f>AA77-AA78</f>
        <v/>
      </c>
      <c r="AB79" s="160">
        <f>AB77-AB78</f>
        <v/>
      </c>
      <c r="AC79" s="160">
        <f>AC77-AC78</f>
        <v/>
      </c>
      <c r="AD79" s="160">
        <f>AD77-AD78</f>
        <v/>
      </c>
      <c r="AE79" s="160">
        <f>AE77-AE78</f>
        <v/>
      </c>
      <c r="AF79" s="160">
        <f>AF77-AF78</f>
        <v/>
      </c>
      <c r="AG79" s="160">
        <f>AG77-AG78</f>
        <v/>
      </c>
      <c r="AH79" s="160">
        <f>AH77-AH78</f>
        <v/>
      </c>
      <c r="AI79" s="160">
        <f>AI77-AI78</f>
        <v/>
      </c>
      <c r="AJ79" s="160">
        <f>AJ77-AJ78</f>
        <v/>
      </c>
      <c r="AK79" s="160">
        <f>AK77-AK78</f>
        <v/>
      </c>
      <c r="AL79" s="160">
        <f>AL77-AL78</f>
        <v/>
      </c>
      <c r="AM79" s="160">
        <f>AM77-AM78</f>
        <v/>
      </c>
      <c r="AN79" s="160">
        <f>AN77-AN78</f>
        <v/>
      </c>
      <c r="AO79" s="160">
        <f>AO77-AO78</f>
        <v/>
      </c>
      <c r="AP79" s="160">
        <f>AP77-AP78</f>
        <v/>
      </c>
      <c r="AQ79" s="160">
        <f>AQ77-AQ78</f>
        <v/>
      </c>
      <c r="AR79" s="160">
        <f>AR77-AR78</f>
        <v/>
      </c>
      <c r="AS79" s="160">
        <f>AS77-AS78</f>
        <v/>
      </c>
      <c r="AT79" s="160">
        <f>AT77-AT78</f>
        <v/>
      </c>
      <c r="AU79" s="160">
        <f>AU77-AU78</f>
        <v/>
      </c>
      <c r="AV79" s="160">
        <f>AV77-AV78</f>
        <v/>
      </c>
      <c r="AW79" s="160">
        <f>AW77-AW78</f>
        <v/>
      </c>
      <c r="AX79" s="160">
        <f>AX77-AX78</f>
        <v/>
      </c>
      <c r="AY79" s="160">
        <f>AY77-AY78</f>
        <v/>
      </c>
      <c r="AZ79" s="160">
        <f>AZ77-AZ78</f>
        <v/>
      </c>
      <c r="BA79" s="160">
        <f>BA77-BA78</f>
        <v/>
      </c>
      <c r="BB79" s="160">
        <f>BB77-BB78</f>
        <v/>
      </c>
    </row>
    <row r="81" ht="15" customHeight="1" s="91">
      <c r="B81" s="153" t="inlineStr">
        <is>
          <t>Pref Accrual (% × Unreturned)  احتساب العائد التفضيلي</t>
        </is>
      </c>
      <c r="C81" s="153" t="inlineStr">
        <is>
          <t>SAR</t>
        </is>
      </c>
      <c r="D81" s="160">
        <f>SUM(E81:BB81)</f>
        <v/>
      </c>
      <c r="E81" s="160">
        <f>E77*$C$36</f>
        <v/>
      </c>
      <c r="F81" s="160">
        <f>F77*$C$36</f>
        <v/>
      </c>
      <c r="G81" s="160">
        <f>G77*$C$36</f>
        <v/>
      </c>
      <c r="H81" s="160">
        <f>H77*$C$36</f>
        <v/>
      </c>
      <c r="I81" s="160">
        <f>I77*$C$36</f>
        <v/>
      </c>
      <c r="J81" s="160">
        <f>J77*$C$36</f>
        <v/>
      </c>
      <c r="K81" s="160">
        <f>K77*$C$36</f>
        <v/>
      </c>
      <c r="L81" s="160">
        <f>L77*$C$36</f>
        <v/>
      </c>
      <c r="M81" s="160">
        <f>M77*$C$36</f>
        <v/>
      </c>
      <c r="N81" s="160">
        <f>N77*$C$36</f>
        <v/>
      </c>
      <c r="O81" s="160">
        <f>O77*$C$36</f>
        <v/>
      </c>
      <c r="P81" s="160">
        <f>P77*$C$36</f>
        <v/>
      </c>
      <c r="Q81" s="160">
        <f>Q77*$C$36</f>
        <v/>
      </c>
      <c r="R81" s="160">
        <f>R77*$C$36</f>
        <v/>
      </c>
      <c r="S81" s="160">
        <f>S77*$C$36</f>
        <v/>
      </c>
      <c r="T81" s="160">
        <f>T77*$C$36</f>
        <v/>
      </c>
      <c r="U81" s="160">
        <f>U77*$C$36</f>
        <v/>
      </c>
      <c r="V81" s="160">
        <f>V77*$C$36</f>
        <v/>
      </c>
      <c r="W81" s="160">
        <f>W77*$C$36</f>
        <v/>
      </c>
      <c r="X81" s="160">
        <f>X77*$C$36</f>
        <v/>
      </c>
      <c r="Y81" s="160">
        <f>Y77*$C$36</f>
        <v/>
      </c>
      <c r="Z81" s="160">
        <f>Z77*$C$36</f>
        <v/>
      </c>
      <c r="AA81" s="160">
        <f>AA77*$C$36</f>
        <v/>
      </c>
      <c r="AB81" s="160">
        <f>AB77*$C$36</f>
        <v/>
      </c>
      <c r="AC81" s="160">
        <f>AC77*$C$36</f>
        <v/>
      </c>
      <c r="AD81" s="160">
        <f>AD77*$C$36</f>
        <v/>
      </c>
      <c r="AE81" s="160">
        <f>AE77*$C$36</f>
        <v/>
      </c>
      <c r="AF81" s="160">
        <f>AF77*$C$36</f>
        <v/>
      </c>
      <c r="AG81" s="160">
        <f>AG77*$C$36</f>
        <v/>
      </c>
      <c r="AH81" s="160">
        <f>AH77*$C$36</f>
        <v/>
      </c>
      <c r="AI81" s="160">
        <f>AI77*$C$36</f>
        <v/>
      </c>
      <c r="AJ81" s="160">
        <f>AJ77*$C$36</f>
        <v/>
      </c>
      <c r="AK81" s="160">
        <f>AK77*$C$36</f>
        <v/>
      </c>
      <c r="AL81" s="160">
        <f>AL77*$C$36</f>
        <v/>
      </c>
      <c r="AM81" s="160">
        <f>AM77*$C$36</f>
        <v/>
      </c>
      <c r="AN81" s="160">
        <f>AN77*$C$36</f>
        <v/>
      </c>
      <c r="AO81" s="160">
        <f>AO77*$C$36</f>
        <v/>
      </c>
      <c r="AP81" s="160">
        <f>AP77*$C$36</f>
        <v/>
      </c>
      <c r="AQ81" s="160">
        <f>AQ77*$C$36</f>
        <v/>
      </c>
      <c r="AR81" s="160">
        <f>AR77*$C$36</f>
        <v/>
      </c>
      <c r="AS81" s="160">
        <f>AS77*$C$36</f>
        <v/>
      </c>
      <c r="AT81" s="160">
        <f>AT77*$C$36</f>
        <v/>
      </c>
      <c r="AU81" s="160">
        <f>AU77*$C$36</f>
        <v/>
      </c>
      <c r="AV81" s="160">
        <f>AV77*$C$36</f>
        <v/>
      </c>
      <c r="AW81" s="160">
        <f>AW77*$C$36</f>
        <v/>
      </c>
      <c r="AX81" s="160">
        <f>AX77*$C$36</f>
        <v/>
      </c>
      <c r="AY81" s="160">
        <f>AY77*$C$36</f>
        <v/>
      </c>
      <c r="AZ81" s="160">
        <f>AZ77*$C$36</f>
        <v/>
      </c>
      <c r="BA81" s="160">
        <f>BA77*$C$36</f>
        <v/>
      </c>
      <c r="BB81" s="160">
        <f>BB77*$C$36</f>
        <v/>
      </c>
    </row>
    <row r="82" ht="15" customHeight="1" s="91">
      <c r="B82" s="153" t="inlineStr">
        <is>
          <t>Unpaid Pref (Opening)  العائد غير المدفوع (بداية)</t>
        </is>
      </c>
      <c r="C82" s="153" t="inlineStr">
        <is>
          <t>SAR</t>
        </is>
      </c>
      <c r="E82" s="160">
        <f>0</f>
        <v/>
      </c>
      <c r="F82" s="160">
        <f>E85</f>
        <v/>
      </c>
      <c r="G82" s="160">
        <f>F85</f>
        <v/>
      </c>
      <c r="H82" s="160">
        <f>G85</f>
        <v/>
      </c>
      <c r="I82" s="160">
        <f>H85</f>
        <v/>
      </c>
      <c r="J82" s="160">
        <f>I85</f>
        <v/>
      </c>
      <c r="K82" s="160">
        <f>J85</f>
        <v/>
      </c>
      <c r="L82" s="160">
        <f>K85</f>
        <v/>
      </c>
      <c r="M82" s="160">
        <f>L85</f>
        <v/>
      </c>
      <c r="N82" s="160">
        <f>M85</f>
        <v/>
      </c>
      <c r="O82" s="160">
        <f>N85</f>
        <v/>
      </c>
      <c r="P82" s="160">
        <f>O85</f>
        <v/>
      </c>
      <c r="Q82" s="160">
        <f>P85</f>
        <v/>
      </c>
      <c r="R82" s="160">
        <f>Q85</f>
        <v/>
      </c>
      <c r="S82" s="160">
        <f>R85</f>
        <v/>
      </c>
      <c r="T82" s="160">
        <f>S85</f>
        <v/>
      </c>
      <c r="U82" s="160">
        <f>T85</f>
        <v/>
      </c>
      <c r="V82" s="160">
        <f>U85</f>
        <v/>
      </c>
      <c r="W82" s="160">
        <f>V85</f>
        <v/>
      </c>
      <c r="X82" s="160">
        <f>W85</f>
        <v/>
      </c>
      <c r="Y82" s="160">
        <f>X85</f>
        <v/>
      </c>
      <c r="Z82" s="160">
        <f>Y85</f>
        <v/>
      </c>
      <c r="AA82" s="160">
        <f>Z85</f>
        <v/>
      </c>
      <c r="AB82" s="160">
        <f>AA85</f>
        <v/>
      </c>
      <c r="AC82" s="160">
        <f>AB85</f>
        <v/>
      </c>
      <c r="AD82" s="160">
        <f>AC85</f>
        <v/>
      </c>
      <c r="AE82" s="160">
        <f>AD85</f>
        <v/>
      </c>
      <c r="AF82" s="160">
        <f>AE85</f>
        <v/>
      </c>
      <c r="AG82" s="160">
        <f>AF85</f>
        <v/>
      </c>
      <c r="AH82" s="160">
        <f>AG85</f>
        <v/>
      </c>
      <c r="AI82" s="160">
        <f>AH85</f>
        <v/>
      </c>
      <c r="AJ82" s="160">
        <f>AI85</f>
        <v/>
      </c>
      <c r="AK82" s="160">
        <f>AJ85</f>
        <v/>
      </c>
      <c r="AL82" s="160">
        <f>AK85</f>
        <v/>
      </c>
      <c r="AM82" s="160">
        <f>AL85</f>
        <v/>
      </c>
      <c r="AN82" s="160">
        <f>AM85</f>
        <v/>
      </c>
      <c r="AO82" s="160">
        <f>AN85</f>
        <v/>
      </c>
      <c r="AP82" s="160">
        <f>AO85</f>
        <v/>
      </c>
      <c r="AQ82" s="160">
        <f>AP85</f>
        <v/>
      </c>
      <c r="AR82" s="160">
        <f>AQ85</f>
        <v/>
      </c>
      <c r="AS82" s="160">
        <f>AR85</f>
        <v/>
      </c>
      <c r="AT82" s="160">
        <f>AS85</f>
        <v/>
      </c>
      <c r="AU82" s="160">
        <f>AT85</f>
        <v/>
      </c>
      <c r="AV82" s="160">
        <f>AU85</f>
        <v/>
      </c>
      <c r="AW82" s="160">
        <f>AV85</f>
        <v/>
      </c>
      <c r="AX82" s="160">
        <f>AW85</f>
        <v/>
      </c>
      <c r="AY82" s="160">
        <f>AX85</f>
        <v/>
      </c>
      <c r="AZ82" s="160">
        <f>AY85</f>
        <v/>
      </c>
      <c r="BA82" s="160">
        <f>AZ85</f>
        <v/>
      </c>
      <c r="BB82" s="160">
        <f>BA85</f>
        <v/>
      </c>
    </row>
    <row r="83" ht="15" customHeight="1" s="91">
      <c r="B83" s="153" t="inlineStr">
        <is>
          <t>Total Pref Owed  إجمالي المستحق</t>
        </is>
      </c>
      <c r="C83" s="153" t="inlineStr">
        <is>
          <t>SAR</t>
        </is>
      </c>
      <c r="E83" s="160">
        <f>E81+E82</f>
        <v/>
      </c>
      <c r="F83" s="160">
        <f>F81+F82</f>
        <v/>
      </c>
      <c r="G83" s="160">
        <f>G81+G82</f>
        <v/>
      </c>
      <c r="H83" s="160">
        <f>H81+H82</f>
        <v/>
      </c>
      <c r="I83" s="160">
        <f>I81+I82</f>
        <v/>
      </c>
      <c r="J83" s="160">
        <f>J81+J82</f>
        <v/>
      </c>
      <c r="K83" s="160">
        <f>K81+K82</f>
        <v/>
      </c>
      <c r="L83" s="160">
        <f>L81+L82</f>
        <v/>
      </c>
      <c r="M83" s="160">
        <f>M81+M82</f>
        <v/>
      </c>
      <c r="N83" s="160">
        <f>N81+N82</f>
        <v/>
      </c>
      <c r="O83" s="160">
        <f>O81+O82</f>
        <v/>
      </c>
      <c r="P83" s="160">
        <f>P81+P82</f>
        <v/>
      </c>
      <c r="Q83" s="160">
        <f>Q81+Q82</f>
        <v/>
      </c>
      <c r="R83" s="160">
        <f>R81+R82</f>
        <v/>
      </c>
      <c r="S83" s="160">
        <f>S81+S82</f>
        <v/>
      </c>
      <c r="T83" s="160">
        <f>T81+T82</f>
        <v/>
      </c>
      <c r="U83" s="160">
        <f>U81+U82</f>
        <v/>
      </c>
      <c r="V83" s="160">
        <f>V81+V82</f>
        <v/>
      </c>
      <c r="W83" s="160">
        <f>W81+W82</f>
        <v/>
      </c>
      <c r="X83" s="160">
        <f>X81+X82</f>
        <v/>
      </c>
      <c r="Y83" s="160">
        <f>Y81+Y82</f>
        <v/>
      </c>
      <c r="Z83" s="160">
        <f>Z81+Z82</f>
        <v/>
      </c>
      <c r="AA83" s="160">
        <f>AA81+AA82</f>
        <v/>
      </c>
      <c r="AB83" s="160">
        <f>AB81+AB82</f>
        <v/>
      </c>
      <c r="AC83" s="160">
        <f>AC81+AC82</f>
        <v/>
      </c>
      <c r="AD83" s="160">
        <f>AD81+AD82</f>
        <v/>
      </c>
      <c r="AE83" s="160">
        <f>AE81+AE82</f>
        <v/>
      </c>
      <c r="AF83" s="160">
        <f>AF81+AF82</f>
        <v/>
      </c>
      <c r="AG83" s="160">
        <f>AG81+AG82</f>
        <v/>
      </c>
      <c r="AH83" s="160">
        <f>AH81+AH82</f>
        <v/>
      </c>
      <c r="AI83" s="160">
        <f>AI81+AI82</f>
        <v/>
      </c>
      <c r="AJ83" s="160">
        <f>AJ81+AJ82</f>
        <v/>
      </c>
      <c r="AK83" s="160">
        <f>AK81+AK82</f>
        <v/>
      </c>
      <c r="AL83" s="160">
        <f>AL81+AL82</f>
        <v/>
      </c>
      <c r="AM83" s="160">
        <f>AM81+AM82</f>
        <v/>
      </c>
      <c r="AN83" s="160">
        <f>AN81+AN82</f>
        <v/>
      </c>
      <c r="AO83" s="160">
        <f>AO81+AO82</f>
        <v/>
      </c>
      <c r="AP83" s="160">
        <f>AP81+AP82</f>
        <v/>
      </c>
      <c r="AQ83" s="160">
        <f>AQ81+AQ82</f>
        <v/>
      </c>
      <c r="AR83" s="160">
        <f>AR81+AR82</f>
        <v/>
      </c>
      <c r="AS83" s="160">
        <f>AS81+AS82</f>
        <v/>
      </c>
      <c r="AT83" s="160">
        <f>AT81+AT82</f>
        <v/>
      </c>
      <c r="AU83" s="160">
        <f>AU81+AU82</f>
        <v/>
      </c>
      <c r="AV83" s="160">
        <f>AV81+AV82</f>
        <v/>
      </c>
      <c r="AW83" s="160">
        <f>AW81+AW82</f>
        <v/>
      </c>
      <c r="AX83" s="160">
        <f>AX81+AX82</f>
        <v/>
      </c>
      <c r="AY83" s="160">
        <f>AY81+AY82</f>
        <v/>
      </c>
      <c r="AZ83" s="160">
        <f>AZ81+AZ82</f>
        <v/>
      </c>
      <c r="BA83" s="160">
        <f>BA81+BA82</f>
        <v/>
      </c>
      <c r="BB83" s="160">
        <f>BB81+BB82</f>
        <v/>
      </c>
    </row>
    <row r="84" ht="15" customHeight="1" s="91">
      <c r="B84" s="153" t="inlineStr">
        <is>
          <t>Tier 2: Preferred Return Paid  سداد العائد التفضيلي</t>
        </is>
      </c>
      <c r="C84" s="153" t="inlineStr">
        <is>
          <t>SAR</t>
        </is>
      </c>
      <c r="D84" s="157">
        <f>SUM(E84:BB84)</f>
        <v/>
      </c>
      <c r="E84" s="160">
        <f>MIN(MAX(0,E75-E78),E83)</f>
        <v/>
      </c>
      <c r="F84" s="160">
        <f>MIN(MAX(0,F75-F78),F83)</f>
        <v/>
      </c>
      <c r="G84" s="160">
        <f>MIN(MAX(0,G75-G78),G83)</f>
        <v/>
      </c>
      <c r="H84" s="160">
        <f>MIN(MAX(0,H75-H78),H83)</f>
        <v/>
      </c>
      <c r="I84" s="160">
        <f>MIN(MAX(0,I75-I78),I83)</f>
        <v/>
      </c>
      <c r="J84" s="160">
        <f>MIN(MAX(0,J75-J78),J83)</f>
        <v/>
      </c>
      <c r="K84" s="160">
        <f>MIN(MAX(0,K75-K78),K83)</f>
        <v/>
      </c>
      <c r="L84" s="160">
        <f>MIN(MAX(0,L75-L78),L83)</f>
        <v/>
      </c>
      <c r="M84" s="160">
        <f>MIN(MAX(0,M75-M78),M83)</f>
        <v/>
      </c>
      <c r="N84" s="160">
        <f>MIN(MAX(0,N75-N78),N83)</f>
        <v/>
      </c>
      <c r="O84" s="160">
        <f>MIN(MAX(0,O75-O78),O83)</f>
        <v/>
      </c>
      <c r="P84" s="160">
        <f>MIN(MAX(0,P75-P78),P83)</f>
        <v/>
      </c>
      <c r="Q84" s="160">
        <f>MIN(MAX(0,Q75-Q78),Q83)</f>
        <v/>
      </c>
      <c r="R84" s="160">
        <f>MIN(MAX(0,R75-R78),R83)</f>
        <v/>
      </c>
      <c r="S84" s="160">
        <f>MIN(MAX(0,S75-S78),S83)</f>
        <v/>
      </c>
      <c r="T84" s="160">
        <f>MIN(MAX(0,T75-T78),T83)</f>
        <v/>
      </c>
      <c r="U84" s="160">
        <f>MIN(MAX(0,U75-U78),U83)</f>
        <v/>
      </c>
      <c r="V84" s="160">
        <f>MIN(MAX(0,V75-V78),V83)</f>
        <v/>
      </c>
      <c r="W84" s="160">
        <f>MIN(MAX(0,W75-W78),W83)</f>
        <v/>
      </c>
      <c r="X84" s="160">
        <f>MIN(MAX(0,X75-X78),X83)</f>
        <v/>
      </c>
      <c r="Y84" s="160">
        <f>MIN(MAX(0,Y75-Y78),Y83)</f>
        <v/>
      </c>
      <c r="Z84" s="160">
        <f>MIN(MAX(0,Z75-Z78),Z83)</f>
        <v/>
      </c>
      <c r="AA84" s="160">
        <f>MIN(MAX(0,AA75-AA78),AA83)</f>
        <v/>
      </c>
      <c r="AB84" s="160">
        <f>MIN(MAX(0,AB75-AB78),AB83)</f>
        <v/>
      </c>
      <c r="AC84" s="160">
        <f>MIN(MAX(0,AC75-AC78),AC83)</f>
        <v/>
      </c>
      <c r="AD84" s="160">
        <f>MIN(MAX(0,AD75-AD78),AD83)</f>
        <v/>
      </c>
      <c r="AE84" s="160">
        <f>MIN(MAX(0,AE75-AE78),AE83)</f>
        <v/>
      </c>
      <c r="AF84" s="160">
        <f>MIN(MAX(0,AF75-AF78),AF83)</f>
        <v/>
      </c>
      <c r="AG84" s="160">
        <f>MIN(MAX(0,AG75-AG78),AG83)</f>
        <v/>
      </c>
      <c r="AH84" s="160">
        <f>MIN(MAX(0,AH75-AH78),AH83)</f>
        <v/>
      </c>
      <c r="AI84" s="160">
        <f>MIN(MAX(0,AI75-AI78),AI83)</f>
        <v/>
      </c>
      <c r="AJ84" s="160">
        <f>MIN(MAX(0,AJ75-AJ78),AJ83)</f>
        <v/>
      </c>
      <c r="AK84" s="160">
        <f>MIN(MAX(0,AK75-AK78),AK83)</f>
        <v/>
      </c>
      <c r="AL84" s="160">
        <f>MIN(MAX(0,AL75-AL78),AL83)</f>
        <v/>
      </c>
      <c r="AM84" s="160">
        <f>MIN(MAX(0,AM75-AM78),AM83)</f>
        <v/>
      </c>
      <c r="AN84" s="160">
        <f>MIN(MAX(0,AN75-AN78),AN83)</f>
        <v/>
      </c>
      <c r="AO84" s="160">
        <f>MIN(MAX(0,AO75-AO78),AO83)</f>
        <v/>
      </c>
      <c r="AP84" s="160">
        <f>MIN(MAX(0,AP75-AP78),AP83)</f>
        <v/>
      </c>
      <c r="AQ84" s="160">
        <f>MIN(MAX(0,AQ75-AQ78),AQ83)</f>
        <v/>
      </c>
      <c r="AR84" s="160">
        <f>MIN(MAX(0,AR75-AR78),AR83)</f>
        <v/>
      </c>
      <c r="AS84" s="160">
        <f>MIN(MAX(0,AS75-AS78),AS83)</f>
        <v/>
      </c>
      <c r="AT84" s="160">
        <f>MIN(MAX(0,AT75-AT78),AT83)</f>
        <v/>
      </c>
      <c r="AU84" s="160">
        <f>MIN(MAX(0,AU75-AU78),AU83)</f>
        <v/>
      </c>
      <c r="AV84" s="160">
        <f>MIN(MAX(0,AV75-AV78),AV83)</f>
        <v/>
      </c>
      <c r="AW84" s="160">
        <f>MIN(MAX(0,AW75-AW78),AW83)</f>
        <v/>
      </c>
      <c r="AX84" s="160">
        <f>MIN(MAX(0,AX75-AX78),AX83)</f>
        <v/>
      </c>
      <c r="AY84" s="160">
        <f>MIN(MAX(0,AY75-AY78),AY83)</f>
        <v/>
      </c>
      <c r="AZ84" s="160">
        <f>MIN(MAX(0,AZ75-AZ78),AZ83)</f>
        <v/>
      </c>
      <c r="BA84" s="160">
        <f>MIN(MAX(0,BA75-BA78),BA83)</f>
        <v/>
      </c>
      <c r="BB84" s="160">
        <f>MIN(MAX(0,BB75-BB78),BB83)</f>
        <v/>
      </c>
    </row>
    <row r="85" ht="15" customHeight="1" s="91">
      <c r="B85" s="153" t="inlineStr">
        <is>
          <t>Unpaid Pref (Closing)  غير المدفوع (نهاية)</t>
        </is>
      </c>
      <c r="C85" s="153" t="inlineStr">
        <is>
          <t>SAR</t>
        </is>
      </c>
      <c r="E85" s="160">
        <f>E83-E84</f>
        <v/>
      </c>
      <c r="F85" s="160">
        <f>F83-F84</f>
        <v/>
      </c>
      <c r="G85" s="160">
        <f>G83-G84</f>
        <v/>
      </c>
      <c r="H85" s="160">
        <f>H83-H84</f>
        <v/>
      </c>
      <c r="I85" s="160">
        <f>I83-I84</f>
        <v/>
      </c>
      <c r="J85" s="160">
        <f>J83-J84</f>
        <v/>
      </c>
      <c r="K85" s="160">
        <f>K83-K84</f>
        <v/>
      </c>
      <c r="L85" s="160">
        <f>L83-L84</f>
        <v/>
      </c>
      <c r="M85" s="160">
        <f>M83-M84</f>
        <v/>
      </c>
      <c r="N85" s="160">
        <f>N83-N84</f>
        <v/>
      </c>
      <c r="O85" s="160">
        <f>O83-O84</f>
        <v/>
      </c>
      <c r="P85" s="160">
        <f>P83-P84</f>
        <v/>
      </c>
      <c r="Q85" s="160">
        <f>Q83-Q84</f>
        <v/>
      </c>
      <c r="R85" s="160">
        <f>R83-R84</f>
        <v/>
      </c>
      <c r="S85" s="160">
        <f>S83-S84</f>
        <v/>
      </c>
      <c r="T85" s="160">
        <f>T83-T84</f>
        <v/>
      </c>
      <c r="U85" s="160">
        <f>U83-U84</f>
        <v/>
      </c>
      <c r="V85" s="160">
        <f>V83-V84</f>
        <v/>
      </c>
      <c r="W85" s="160">
        <f>W83-W84</f>
        <v/>
      </c>
      <c r="X85" s="160">
        <f>X83-X84</f>
        <v/>
      </c>
      <c r="Y85" s="160">
        <f>Y83-Y84</f>
        <v/>
      </c>
      <c r="Z85" s="160">
        <f>Z83-Z84</f>
        <v/>
      </c>
      <c r="AA85" s="160">
        <f>AA83-AA84</f>
        <v/>
      </c>
      <c r="AB85" s="160">
        <f>AB83-AB84</f>
        <v/>
      </c>
      <c r="AC85" s="160">
        <f>AC83-AC84</f>
        <v/>
      </c>
      <c r="AD85" s="160">
        <f>AD83-AD84</f>
        <v/>
      </c>
      <c r="AE85" s="160">
        <f>AE83-AE84</f>
        <v/>
      </c>
      <c r="AF85" s="160">
        <f>AF83-AF84</f>
        <v/>
      </c>
      <c r="AG85" s="160">
        <f>AG83-AG84</f>
        <v/>
      </c>
      <c r="AH85" s="160">
        <f>AH83-AH84</f>
        <v/>
      </c>
      <c r="AI85" s="160">
        <f>AI83-AI84</f>
        <v/>
      </c>
      <c r="AJ85" s="160">
        <f>AJ83-AJ84</f>
        <v/>
      </c>
      <c r="AK85" s="160">
        <f>AK83-AK84</f>
        <v/>
      </c>
      <c r="AL85" s="160">
        <f>AL83-AL84</f>
        <v/>
      </c>
      <c r="AM85" s="160">
        <f>AM83-AM84</f>
        <v/>
      </c>
      <c r="AN85" s="160">
        <f>AN83-AN84</f>
        <v/>
      </c>
      <c r="AO85" s="160">
        <f>AO83-AO84</f>
        <v/>
      </c>
      <c r="AP85" s="160">
        <f>AP83-AP84</f>
        <v/>
      </c>
      <c r="AQ85" s="160">
        <f>AQ83-AQ84</f>
        <v/>
      </c>
      <c r="AR85" s="160">
        <f>AR83-AR84</f>
        <v/>
      </c>
      <c r="AS85" s="160">
        <f>AS83-AS84</f>
        <v/>
      </c>
      <c r="AT85" s="160">
        <f>AT83-AT84</f>
        <v/>
      </c>
      <c r="AU85" s="160">
        <f>AU83-AU84</f>
        <v/>
      </c>
      <c r="AV85" s="160">
        <f>AV83-AV84</f>
        <v/>
      </c>
      <c r="AW85" s="160">
        <f>AW83-AW84</f>
        <v/>
      </c>
      <c r="AX85" s="160">
        <f>AX83-AX84</f>
        <v/>
      </c>
      <c r="AY85" s="160">
        <f>AY83-AY84</f>
        <v/>
      </c>
      <c r="AZ85" s="160">
        <f>AZ83-AZ84</f>
        <v/>
      </c>
      <c r="BA85" s="160">
        <f>BA83-BA84</f>
        <v/>
      </c>
      <c r="BB85" s="160">
        <f>BB83-BB84</f>
        <v/>
      </c>
    </row>
    <row r="87" ht="15" customHeight="1" s="91">
      <c r="B87" s="153" t="inlineStr">
        <is>
          <t>Remaining After ROC + Pref  المتبقي</t>
        </is>
      </c>
      <c r="C87" s="153" t="inlineStr">
        <is>
          <t>SAR</t>
        </is>
      </c>
      <c r="E87" s="160">
        <f>MAX(0,E75-E78-E84)</f>
        <v/>
      </c>
      <c r="F87" s="160">
        <f>MAX(0,F75-F78-F84)</f>
        <v/>
      </c>
      <c r="G87" s="160">
        <f>MAX(0,G75-G78-G84)</f>
        <v/>
      </c>
      <c r="H87" s="160">
        <f>MAX(0,H75-H78-H84)</f>
        <v/>
      </c>
      <c r="I87" s="160">
        <f>MAX(0,I75-I78-I84)</f>
        <v/>
      </c>
      <c r="J87" s="160">
        <f>MAX(0,J75-J78-J84)</f>
        <v/>
      </c>
      <c r="K87" s="160">
        <f>MAX(0,K75-K78-K84)</f>
        <v/>
      </c>
      <c r="L87" s="160">
        <f>MAX(0,L75-L78-L84)</f>
        <v/>
      </c>
      <c r="M87" s="160">
        <f>MAX(0,M75-M78-M84)</f>
        <v/>
      </c>
      <c r="N87" s="160">
        <f>MAX(0,N75-N78-N84)</f>
        <v/>
      </c>
      <c r="O87" s="160">
        <f>MAX(0,O75-O78-O84)</f>
        <v/>
      </c>
      <c r="P87" s="160">
        <f>MAX(0,P75-P78-P84)</f>
        <v/>
      </c>
      <c r="Q87" s="160">
        <f>MAX(0,Q75-Q78-Q84)</f>
        <v/>
      </c>
      <c r="R87" s="160">
        <f>MAX(0,R75-R78-R84)</f>
        <v/>
      </c>
      <c r="S87" s="160">
        <f>MAX(0,S75-S78-S84)</f>
        <v/>
      </c>
      <c r="T87" s="160">
        <f>MAX(0,T75-T78-T84)</f>
        <v/>
      </c>
      <c r="U87" s="160">
        <f>MAX(0,U75-U78-U84)</f>
        <v/>
      </c>
      <c r="V87" s="160">
        <f>MAX(0,V75-V78-V84)</f>
        <v/>
      </c>
      <c r="W87" s="160">
        <f>MAX(0,W75-W78-W84)</f>
        <v/>
      </c>
      <c r="X87" s="160">
        <f>MAX(0,X75-X78-X84)</f>
        <v/>
      </c>
      <c r="Y87" s="160">
        <f>MAX(0,Y75-Y78-Y84)</f>
        <v/>
      </c>
      <c r="Z87" s="160">
        <f>MAX(0,Z75-Z78-Z84)</f>
        <v/>
      </c>
      <c r="AA87" s="160">
        <f>MAX(0,AA75-AA78-AA84)</f>
        <v/>
      </c>
      <c r="AB87" s="160">
        <f>MAX(0,AB75-AB78-AB84)</f>
        <v/>
      </c>
      <c r="AC87" s="160">
        <f>MAX(0,AC75-AC78-AC84)</f>
        <v/>
      </c>
      <c r="AD87" s="160">
        <f>MAX(0,AD75-AD78-AD84)</f>
        <v/>
      </c>
      <c r="AE87" s="160">
        <f>MAX(0,AE75-AE78-AE84)</f>
        <v/>
      </c>
      <c r="AF87" s="160">
        <f>MAX(0,AF75-AF78-AF84)</f>
        <v/>
      </c>
      <c r="AG87" s="160">
        <f>MAX(0,AG75-AG78-AG84)</f>
        <v/>
      </c>
      <c r="AH87" s="160">
        <f>MAX(0,AH75-AH78-AH84)</f>
        <v/>
      </c>
      <c r="AI87" s="160">
        <f>MAX(0,AI75-AI78-AI84)</f>
        <v/>
      </c>
      <c r="AJ87" s="160">
        <f>MAX(0,AJ75-AJ78-AJ84)</f>
        <v/>
      </c>
      <c r="AK87" s="160">
        <f>MAX(0,AK75-AK78-AK84)</f>
        <v/>
      </c>
      <c r="AL87" s="160">
        <f>MAX(0,AL75-AL78-AL84)</f>
        <v/>
      </c>
      <c r="AM87" s="160">
        <f>MAX(0,AM75-AM78-AM84)</f>
        <v/>
      </c>
      <c r="AN87" s="160">
        <f>MAX(0,AN75-AN78-AN84)</f>
        <v/>
      </c>
      <c r="AO87" s="160">
        <f>MAX(0,AO75-AO78-AO84)</f>
        <v/>
      </c>
      <c r="AP87" s="160">
        <f>MAX(0,AP75-AP78-AP84)</f>
        <v/>
      </c>
      <c r="AQ87" s="160">
        <f>MAX(0,AQ75-AQ78-AQ84)</f>
        <v/>
      </c>
      <c r="AR87" s="160">
        <f>MAX(0,AR75-AR78-AR84)</f>
        <v/>
      </c>
      <c r="AS87" s="160">
        <f>MAX(0,AS75-AS78-AS84)</f>
        <v/>
      </c>
      <c r="AT87" s="160">
        <f>MAX(0,AT75-AT78-AT84)</f>
        <v/>
      </c>
      <c r="AU87" s="160">
        <f>MAX(0,AU75-AU78-AU84)</f>
        <v/>
      </c>
      <c r="AV87" s="160">
        <f>MAX(0,AV75-AV78-AV84)</f>
        <v/>
      </c>
      <c r="AW87" s="160">
        <f>MAX(0,AW75-AW78-AW84)</f>
        <v/>
      </c>
      <c r="AX87" s="160">
        <f>MAX(0,AX75-AX78-AX84)</f>
        <v/>
      </c>
      <c r="AY87" s="160">
        <f>MAX(0,AY75-AY78-AY84)</f>
        <v/>
      </c>
      <c r="AZ87" s="160">
        <f>MAX(0,AZ75-AZ78-AZ84)</f>
        <v/>
      </c>
      <c r="BA87" s="160">
        <f>MAX(0,BA75-BA78-BA84)</f>
        <v/>
      </c>
      <c r="BB87" s="160">
        <f>MAX(0,BB75-BB78-BB84)</f>
        <v/>
      </c>
    </row>
    <row r="88" ht="15" customHeight="1" s="91">
      <c r="B88" s="153" t="inlineStr">
        <is>
          <t>Tier 3: GP Catch-up  تعويض المطور</t>
        </is>
      </c>
      <c r="C88" s="153" t="inlineStr">
        <is>
          <t>SAR</t>
        </is>
      </c>
      <c r="D88" s="157">
        <f>SUM(E88:BB88)</f>
        <v/>
      </c>
      <c r="E88" s="160">
        <f>IF($C$37="Y",MIN(E87,E84*$C$38/(1-$C$38)),0)</f>
        <v/>
      </c>
      <c r="F88" s="160">
        <f>IF($C$37="Y",MIN(F87,F84*$C$38/(1-$C$38)),0)</f>
        <v/>
      </c>
      <c r="G88" s="160">
        <f>IF($C$37="Y",MIN(G87,G84*$C$38/(1-$C$38)),0)</f>
        <v/>
      </c>
      <c r="H88" s="160">
        <f>IF($C$37="Y",MIN(H87,H84*$C$38/(1-$C$38)),0)</f>
        <v/>
      </c>
      <c r="I88" s="160">
        <f>IF($C$37="Y",MIN(I87,I84*$C$38/(1-$C$38)),0)</f>
        <v/>
      </c>
      <c r="J88" s="160">
        <f>IF($C$37="Y",MIN(J87,J84*$C$38/(1-$C$38)),0)</f>
        <v/>
      </c>
      <c r="K88" s="160">
        <f>IF($C$37="Y",MIN(K87,K84*$C$38/(1-$C$38)),0)</f>
        <v/>
      </c>
      <c r="L88" s="160">
        <f>IF($C$37="Y",MIN(L87,L84*$C$38/(1-$C$38)),0)</f>
        <v/>
      </c>
      <c r="M88" s="160">
        <f>IF($C$37="Y",MIN(M87,M84*$C$38/(1-$C$38)),0)</f>
        <v/>
      </c>
      <c r="N88" s="160">
        <f>IF($C$37="Y",MIN(N87,N84*$C$38/(1-$C$38)),0)</f>
        <v/>
      </c>
      <c r="O88" s="160">
        <f>IF($C$37="Y",MIN(O87,O84*$C$38/(1-$C$38)),0)</f>
        <v/>
      </c>
      <c r="P88" s="160">
        <f>IF($C$37="Y",MIN(P87,P84*$C$38/(1-$C$38)),0)</f>
        <v/>
      </c>
      <c r="Q88" s="160">
        <f>IF($C$37="Y",MIN(Q87,Q84*$C$38/(1-$C$38)),0)</f>
        <v/>
      </c>
      <c r="R88" s="160">
        <f>IF($C$37="Y",MIN(R87,R84*$C$38/(1-$C$38)),0)</f>
        <v/>
      </c>
      <c r="S88" s="160">
        <f>IF($C$37="Y",MIN(S87,S84*$C$38/(1-$C$38)),0)</f>
        <v/>
      </c>
      <c r="T88" s="160">
        <f>IF($C$37="Y",MIN(T87,T84*$C$38/(1-$C$38)),0)</f>
        <v/>
      </c>
      <c r="U88" s="160">
        <f>IF($C$37="Y",MIN(U87,U84*$C$38/(1-$C$38)),0)</f>
        <v/>
      </c>
      <c r="V88" s="160">
        <f>IF($C$37="Y",MIN(V87,V84*$C$38/(1-$C$38)),0)</f>
        <v/>
      </c>
      <c r="W88" s="160">
        <f>IF($C$37="Y",MIN(W87,W84*$C$38/(1-$C$38)),0)</f>
        <v/>
      </c>
      <c r="X88" s="160">
        <f>IF($C$37="Y",MIN(X87,X84*$C$38/(1-$C$38)),0)</f>
        <v/>
      </c>
      <c r="Y88" s="160">
        <f>IF($C$37="Y",MIN(Y87,Y84*$C$38/(1-$C$38)),0)</f>
        <v/>
      </c>
      <c r="Z88" s="160">
        <f>IF($C$37="Y",MIN(Z87,Z84*$C$38/(1-$C$38)),0)</f>
        <v/>
      </c>
      <c r="AA88" s="160">
        <f>IF($C$37="Y",MIN(AA87,AA84*$C$38/(1-$C$38)),0)</f>
        <v/>
      </c>
      <c r="AB88" s="160">
        <f>IF($C$37="Y",MIN(AB87,AB84*$C$38/(1-$C$38)),0)</f>
        <v/>
      </c>
      <c r="AC88" s="160">
        <f>IF($C$37="Y",MIN(AC87,AC84*$C$38/(1-$C$38)),0)</f>
        <v/>
      </c>
      <c r="AD88" s="160">
        <f>IF($C$37="Y",MIN(AD87,AD84*$C$38/(1-$C$38)),0)</f>
        <v/>
      </c>
      <c r="AE88" s="160">
        <f>IF($C$37="Y",MIN(AE87,AE84*$C$38/(1-$C$38)),0)</f>
        <v/>
      </c>
      <c r="AF88" s="160">
        <f>IF($C$37="Y",MIN(AF87,AF84*$C$38/(1-$C$38)),0)</f>
        <v/>
      </c>
      <c r="AG88" s="160">
        <f>IF($C$37="Y",MIN(AG87,AG84*$C$38/(1-$C$38)),0)</f>
        <v/>
      </c>
      <c r="AH88" s="160">
        <f>IF($C$37="Y",MIN(AH87,AH84*$C$38/(1-$C$38)),0)</f>
        <v/>
      </c>
      <c r="AI88" s="160">
        <f>IF($C$37="Y",MIN(AI87,AI84*$C$38/(1-$C$38)),0)</f>
        <v/>
      </c>
      <c r="AJ88" s="160">
        <f>IF($C$37="Y",MIN(AJ87,AJ84*$C$38/(1-$C$38)),0)</f>
        <v/>
      </c>
      <c r="AK88" s="160">
        <f>IF($C$37="Y",MIN(AK87,AK84*$C$38/(1-$C$38)),0)</f>
        <v/>
      </c>
      <c r="AL88" s="160">
        <f>IF($C$37="Y",MIN(AL87,AL84*$C$38/(1-$C$38)),0)</f>
        <v/>
      </c>
      <c r="AM88" s="160">
        <f>IF($C$37="Y",MIN(AM87,AM84*$C$38/(1-$C$38)),0)</f>
        <v/>
      </c>
      <c r="AN88" s="160">
        <f>IF($C$37="Y",MIN(AN87,AN84*$C$38/(1-$C$38)),0)</f>
        <v/>
      </c>
      <c r="AO88" s="160">
        <f>IF($C$37="Y",MIN(AO87,AO84*$C$38/(1-$C$38)),0)</f>
        <v/>
      </c>
      <c r="AP88" s="160">
        <f>IF($C$37="Y",MIN(AP87,AP84*$C$38/(1-$C$38)),0)</f>
        <v/>
      </c>
      <c r="AQ88" s="160">
        <f>IF($C$37="Y",MIN(AQ87,AQ84*$C$38/(1-$C$38)),0)</f>
        <v/>
      </c>
      <c r="AR88" s="160">
        <f>IF($C$37="Y",MIN(AR87,AR84*$C$38/(1-$C$38)),0)</f>
        <v/>
      </c>
      <c r="AS88" s="160">
        <f>IF($C$37="Y",MIN(AS87,AS84*$C$38/(1-$C$38)),0)</f>
        <v/>
      </c>
      <c r="AT88" s="160">
        <f>IF($C$37="Y",MIN(AT87,AT84*$C$38/(1-$C$38)),0)</f>
        <v/>
      </c>
      <c r="AU88" s="160">
        <f>IF($C$37="Y",MIN(AU87,AU84*$C$38/(1-$C$38)),0)</f>
        <v/>
      </c>
      <c r="AV88" s="160">
        <f>IF($C$37="Y",MIN(AV87,AV84*$C$38/(1-$C$38)),0)</f>
        <v/>
      </c>
      <c r="AW88" s="160">
        <f>IF($C$37="Y",MIN(AW87,AW84*$C$38/(1-$C$38)),0)</f>
        <v/>
      </c>
      <c r="AX88" s="160">
        <f>IF($C$37="Y",MIN(AX87,AX84*$C$38/(1-$C$38)),0)</f>
        <v/>
      </c>
      <c r="AY88" s="160">
        <f>IF($C$37="Y",MIN(AY87,AY84*$C$38/(1-$C$38)),0)</f>
        <v/>
      </c>
      <c r="AZ88" s="160">
        <f>IF($C$37="Y",MIN(AZ87,AZ84*$C$38/(1-$C$38)),0)</f>
        <v/>
      </c>
      <c r="BA88" s="160">
        <f>IF($C$37="Y",MIN(BA87,BA84*$C$38/(1-$C$38)),0)</f>
        <v/>
      </c>
      <c r="BB88" s="160">
        <f>IF($C$37="Y",MIN(BB87,BB84*$C$38/(1-$C$38)),0)</f>
        <v/>
      </c>
    </row>
    <row r="89" ht="15" customHeight="1" s="91">
      <c r="B89" s="153" t="inlineStr">
        <is>
          <t>Tier 4: Profit Split  تقسيم الأرباح</t>
        </is>
      </c>
      <c r="C89" s="153" t="inlineStr">
        <is>
          <t>SAR</t>
        </is>
      </c>
      <c r="D89" s="157">
        <f>SUM(E89:BB89)</f>
        <v/>
      </c>
      <c r="E89" s="160">
        <f>MAX(0,E87-E88)</f>
        <v/>
      </c>
      <c r="F89" s="160">
        <f>MAX(0,F87-F88)</f>
        <v/>
      </c>
      <c r="G89" s="160">
        <f>MAX(0,G87-G88)</f>
        <v/>
      </c>
      <c r="H89" s="160">
        <f>MAX(0,H87-H88)</f>
        <v/>
      </c>
      <c r="I89" s="160">
        <f>MAX(0,I87-I88)</f>
        <v/>
      </c>
      <c r="J89" s="160">
        <f>MAX(0,J87-J88)</f>
        <v/>
      </c>
      <c r="K89" s="160">
        <f>MAX(0,K87-K88)</f>
        <v/>
      </c>
      <c r="L89" s="160">
        <f>MAX(0,L87-L88)</f>
        <v/>
      </c>
      <c r="M89" s="160">
        <f>MAX(0,M87-M88)</f>
        <v/>
      </c>
      <c r="N89" s="160">
        <f>MAX(0,N87-N88)</f>
        <v/>
      </c>
      <c r="O89" s="160">
        <f>MAX(0,O87-O88)</f>
        <v/>
      </c>
      <c r="P89" s="160">
        <f>MAX(0,P87-P88)</f>
        <v/>
      </c>
      <c r="Q89" s="160">
        <f>MAX(0,Q87-Q88)</f>
        <v/>
      </c>
      <c r="R89" s="160">
        <f>MAX(0,R87-R88)</f>
        <v/>
      </c>
      <c r="S89" s="160">
        <f>MAX(0,S87-S88)</f>
        <v/>
      </c>
      <c r="T89" s="160">
        <f>MAX(0,T87-T88)</f>
        <v/>
      </c>
      <c r="U89" s="160">
        <f>MAX(0,U87-U88)</f>
        <v/>
      </c>
      <c r="V89" s="160">
        <f>MAX(0,V87-V88)</f>
        <v/>
      </c>
      <c r="W89" s="160">
        <f>MAX(0,W87-W88)</f>
        <v/>
      </c>
      <c r="X89" s="160">
        <f>MAX(0,X87-X88)</f>
        <v/>
      </c>
      <c r="Y89" s="160">
        <f>MAX(0,Y87-Y88)</f>
        <v/>
      </c>
      <c r="Z89" s="160">
        <f>MAX(0,Z87-Z88)</f>
        <v/>
      </c>
      <c r="AA89" s="160">
        <f>MAX(0,AA87-AA88)</f>
        <v/>
      </c>
      <c r="AB89" s="160">
        <f>MAX(0,AB87-AB88)</f>
        <v/>
      </c>
      <c r="AC89" s="160">
        <f>MAX(0,AC87-AC88)</f>
        <v/>
      </c>
      <c r="AD89" s="160">
        <f>MAX(0,AD87-AD88)</f>
        <v/>
      </c>
      <c r="AE89" s="160">
        <f>MAX(0,AE87-AE88)</f>
        <v/>
      </c>
      <c r="AF89" s="160">
        <f>MAX(0,AF87-AF88)</f>
        <v/>
      </c>
      <c r="AG89" s="160">
        <f>MAX(0,AG87-AG88)</f>
        <v/>
      </c>
      <c r="AH89" s="160">
        <f>MAX(0,AH87-AH88)</f>
        <v/>
      </c>
      <c r="AI89" s="160">
        <f>MAX(0,AI87-AI88)</f>
        <v/>
      </c>
      <c r="AJ89" s="160">
        <f>MAX(0,AJ87-AJ88)</f>
        <v/>
      </c>
      <c r="AK89" s="160">
        <f>MAX(0,AK87-AK88)</f>
        <v/>
      </c>
      <c r="AL89" s="160">
        <f>MAX(0,AL87-AL88)</f>
        <v/>
      </c>
      <c r="AM89" s="160">
        <f>MAX(0,AM87-AM88)</f>
        <v/>
      </c>
      <c r="AN89" s="160">
        <f>MAX(0,AN87-AN88)</f>
        <v/>
      </c>
      <c r="AO89" s="160">
        <f>MAX(0,AO87-AO88)</f>
        <v/>
      </c>
      <c r="AP89" s="160">
        <f>MAX(0,AP87-AP88)</f>
        <v/>
      </c>
      <c r="AQ89" s="160">
        <f>MAX(0,AQ87-AQ88)</f>
        <v/>
      </c>
      <c r="AR89" s="160">
        <f>MAX(0,AR87-AR88)</f>
        <v/>
      </c>
      <c r="AS89" s="160">
        <f>MAX(0,AS87-AS88)</f>
        <v/>
      </c>
      <c r="AT89" s="160">
        <f>MAX(0,AT87-AT88)</f>
        <v/>
      </c>
      <c r="AU89" s="160">
        <f>MAX(0,AU87-AU88)</f>
        <v/>
      </c>
      <c r="AV89" s="160">
        <f>MAX(0,AV87-AV88)</f>
        <v/>
      </c>
      <c r="AW89" s="160">
        <f>MAX(0,AW87-AW88)</f>
        <v/>
      </c>
      <c r="AX89" s="160">
        <f>MAX(0,AX87-AX88)</f>
        <v/>
      </c>
      <c r="AY89" s="160">
        <f>MAX(0,AY87-AY88)</f>
        <v/>
      </c>
      <c r="AZ89" s="160">
        <f>MAX(0,AZ87-AZ88)</f>
        <v/>
      </c>
      <c r="BA89" s="160">
        <f>MAX(0,BA87-BA88)</f>
        <v/>
      </c>
      <c r="BB89" s="160">
        <f>MAX(0,BB87-BB88)</f>
        <v/>
      </c>
    </row>
    <row r="90" ht="15" customHeight="1" s="91">
      <c r="B90" s="153" t="inlineStr">
        <is>
          <t xml:space="preserve">  → LP  حصة المستثمرين</t>
        </is>
      </c>
      <c r="C90" s="153" t="inlineStr">
        <is>
          <t>SAR</t>
        </is>
      </c>
      <c r="D90" s="160">
        <f>SUM(E90:BB90)</f>
        <v/>
      </c>
      <c r="E90" s="160">
        <f>E89*(1-$C$38)</f>
        <v/>
      </c>
      <c r="F90" s="160">
        <f>F89*(1-$C$38)</f>
        <v/>
      </c>
      <c r="G90" s="160">
        <f>G89*(1-$C$38)</f>
        <v/>
      </c>
      <c r="H90" s="160">
        <f>H89*(1-$C$38)</f>
        <v/>
      </c>
      <c r="I90" s="160">
        <f>I89*(1-$C$38)</f>
        <v/>
      </c>
      <c r="J90" s="160">
        <f>J89*(1-$C$38)</f>
        <v/>
      </c>
      <c r="K90" s="160">
        <f>K89*(1-$C$38)</f>
        <v/>
      </c>
      <c r="L90" s="160">
        <f>L89*(1-$C$38)</f>
        <v/>
      </c>
      <c r="M90" s="160">
        <f>M89*(1-$C$38)</f>
        <v/>
      </c>
      <c r="N90" s="160">
        <f>N89*(1-$C$38)</f>
        <v/>
      </c>
      <c r="O90" s="160">
        <f>O89*(1-$C$38)</f>
        <v/>
      </c>
      <c r="P90" s="160">
        <f>P89*(1-$C$38)</f>
        <v/>
      </c>
      <c r="Q90" s="160">
        <f>Q89*(1-$C$38)</f>
        <v/>
      </c>
      <c r="R90" s="160">
        <f>R89*(1-$C$38)</f>
        <v/>
      </c>
      <c r="S90" s="160">
        <f>S89*(1-$C$38)</f>
        <v/>
      </c>
      <c r="T90" s="160">
        <f>T89*(1-$C$38)</f>
        <v/>
      </c>
      <c r="U90" s="160">
        <f>U89*(1-$C$38)</f>
        <v/>
      </c>
      <c r="V90" s="160">
        <f>V89*(1-$C$38)</f>
        <v/>
      </c>
      <c r="W90" s="160">
        <f>W89*(1-$C$38)</f>
        <v/>
      </c>
      <c r="X90" s="160">
        <f>X89*(1-$C$38)</f>
        <v/>
      </c>
      <c r="Y90" s="160">
        <f>Y89*(1-$C$38)</f>
        <v/>
      </c>
      <c r="Z90" s="160">
        <f>Z89*(1-$C$38)</f>
        <v/>
      </c>
      <c r="AA90" s="160">
        <f>AA89*(1-$C$38)</f>
        <v/>
      </c>
      <c r="AB90" s="160">
        <f>AB89*(1-$C$38)</f>
        <v/>
      </c>
      <c r="AC90" s="160">
        <f>AC89*(1-$C$38)</f>
        <v/>
      </c>
      <c r="AD90" s="160">
        <f>AD89*(1-$C$38)</f>
        <v/>
      </c>
      <c r="AE90" s="160">
        <f>AE89*(1-$C$38)</f>
        <v/>
      </c>
      <c r="AF90" s="160">
        <f>AF89*(1-$C$38)</f>
        <v/>
      </c>
      <c r="AG90" s="160">
        <f>AG89*(1-$C$38)</f>
        <v/>
      </c>
      <c r="AH90" s="160">
        <f>AH89*(1-$C$38)</f>
        <v/>
      </c>
      <c r="AI90" s="160">
        <f>AI89*(1-$C$38)</f>
        <v/>
      </c>
      <c r="AJ90" s="160">
        <f>AJ89*(1-$C$38)</f>
        <v/>
      </c>
      <c r="AK90" s="160">
        <f>AK89*(1-$C$38)</f>
        <v/>
      </c>
      <c r="AL90" s="160">
        <f>AL89*(1-$C$38)</f>
        <v/>
      </c>
      <c r="AM90" s="160">
        <f>AM89*(1-$C$38)</f>
        <v/>
      </c>
      <c r="AN90" s="160">
        <f>AN89*(1-$C$38)</f>
        <v/>
      </c>
      <c r="AO90" s="160">
        <f>AO89*(1-$C$38)</f>
        <v/>
      </c>
      <c r="AP90" s="160">
        <f>AP89*(1-$C$38)</f>
        <v/>
      </c>
      <c r="AQ90" s="160">
        <f>AQ89*(1-$C$38)</f>
        <v/>
      </c>
      <c r="AR90" s="160">
        <f>AR89*(1-$C$38)</f>
        <v/>
      </c>
      <c r="AS90" s="160">
        <f>AS89*(1-$C$38)</f>
        <v/>
      </c>
      <c r="AT90" s="160">
        <f>AT89*(1-$C$38)</f>
        <v/>
      </c>
      <c r="AU90" s="160">
        <f>AU89*(1-$C$38)</f>
        <v/>
      </c>
      <c r="AV90" s="160">
        <f>AV89*(1-$C$38)</f>
        <v/>
      </c>
      <c r="AW90" s="160">
        <f>AW89*(1-$C$38)</f>
        <v/>
      </c>
      <c r="AX90" s="160">
        <f>AX89*(1-$C$38)</f>
        <v/>
      </c>
      <c r="AY90" s="160">
        <f>AY89*(1-$C$38)</f>
        <v/>
      </c>
      <c r="AZ90" s="160">
        <f>AZ89*(1-$C$38)</f>
        <v/>
      </c>
      <c r="BA90" s="160">
        <f>BA89*(1-$C$38)</f>
        <v/>
      </c>
      <c r="BB90" s="160">
        <f>BB89*(1-$C$38)</f>
        <v/>
      </c>
    </row>
    <row r="91" ht="15" customHeight="1" s="91">
      <c r="B91" s="153" t="inlineStr">
        <is>
          <t xml:space="preserve">  → GP / Carry  حصة الأداء</t>
        </is>
      </c>
      <c r="C91" s="153" t="inlineStr">
        <is>
          <t>SAR</t>
        </is>
      </c>
      <c r="D91" s="160">
        <f>SUM(E91:BB91)</f>
        <v/>
      </c>
      <c r="E91" s="160">
        <f>E89*$C$38</f>
        <v/>
      </c>
      <c r="F91" s="160">
        <f>F89*$C$38</f>
        <v/>
      </c>
      <c r="G91" s="160">
        <f>G89*$C$38</f>
        <v/>
      </c>
      <c r="H91" s="160">
        <f>H89*$C$38</f>
        <v/>
      </c>
      <c r="I91" s="160">
        <f>I89*$C$38</f>
        <v/>
      </c>
      <c r="J91" s="160">
        <f>J89*$C$38</f>
        <v/>
      </c>
      <c r="K91" s="160">
        <f>K89*$C$38</f>
        <v/>
      </c>
      <c r="L91" s="160">
        <f>L89*$C$38</f>
        <v/>
      </c>
      <c r="M91" s="160">
        <f>M89*$C$38</f>
        <v/>
      </c>
      <c r="N91" s="160">
        <f>N89*$C$38</f>
        <v/>
      </c>
      <c r="O91" s="160">
        <f>O89*$C$38</f>
        <v/>
      </c>
      <c r="P91" s="160">
        <f>P89*$C$38</f>
        <v/>
      </c>
      <c r="Q91" s="160">
        <f>Q89*$C$38</f>
        <v/>
      </c>
      <c r="R91" s="160">
        <f>R89*$C$38</f>
        <v/>
      </c>
      <c r="S91" s="160">
        <f>S89*$C$38</f>
        <v/>
      </c>
      <c r="T91" s="160">
        <f>T89*$C$38</f>
        <v/>
      </c>
      <c r="U91" s="160">
        <f>U89*$C$38</f>
        <v/>
      </c>
      <c r="V91" s="160">
        <f>V89*$C$38</f>
        <v/>
      </c>
      <c r="W91" s="160">
        <f>W89*$C$38</f>
        <v/>
      </c>
      <c r="X91" s="160">
        <f>X89*$C$38</f>
        <v/>
      </c>
      <c r="Y91" s="160">
        <f>Y89*$C$38</f>
        <v/>
      </c>
      <c r="Z91" s="160">
        <f>Z89*$C$38</f>
        <v/>
      </c>
      <c r="AA91" s="160">
        <f>AA89*$C$38</f>
        <v/>
      </c>
      <c r="AB91" s="160">
        <f>AB89*$C$38</f>
        <v/>
      </c>
      <c r="AC91" s="160">
        <f>AC89*$C$38</f>
        <v/>
      </c>
      <c r="AD91" s="160">
        <f>AD89*$C$38</f>
        <v/>
      </c>
      <c r="AE91" s="160">
        <f>AE89*$C$38</f>
        <v/>
      </c>
      <c r="AF91" s="160">
        <f>AF89*$C$38</f>
        <v/>
      </c>
      <c r="AG91" s="160">
        <f>AG89*$C$38</f>
        <v/>
      </c>
      <c r="AH91" s="160">
        <f>AH89*$C$38</f>
        <v/>
      </c>
      <c r="AI91" s="160">
        <f>AI89*$C$38</f>
        <v/>
      </c>
      <c r="AJ91" s="160">
        <f>AJ89*$C$38</f>
        <v/>
      </c>
      <c r="AK91" s="160">
        <f>AK89*$C$38</f>
        <v/>
      </c>
      <c r="AL91" s="160">
        <f>AL89*$C$38</f>
        <v/>
      </c>
      <c r="AM91" s="160">
        <f>AM89*$C$38</f>
        <v/>
      </c>
      <c r="AN91" s="160">
        <f>AN89*$C$38</f>
        <v/>
      </c>
      <c r="AO91" s="160">
        <f>AO89*$C$38</f>
        <v/>
      </c>
      <c r="AP91" s="160">
        <f>AP89*$C$38</f>
        <v/>
      </c>
      <c r="AQ91" s="160">
        <f>AQ89*$C$38</f>
        <v/>
      </c>
      <c r="AR91" s="160">
        <f>AR89*$C$38</f>
        <v/>
      </c>
      <c r="AS91" s="160">
        <f>AS89*$C$38</f>
        <v/>
      </c>
      <c r="AT91" s="160">
        <f>AT89*$C$38</f>
        <v/>
      </c>
      <c r="AU91" s="160">
        <f>AU89*$C$38</f>
        <v/>
      </c>
      <c r="AV91" s="160">
        <f>AV89*$C$38</f>
        <v/>
      </c>
      <c r="AW91" s="160">
        <f>AW89*$C$38</f>
        <v/>
      </c>
      <c r="AX91" s="160">
        <f>AX89*$C$38</f>
        <v/>
      </c>
      <c r="AY91" s="160">
        <f>AY89*$C$38</f>
        <v/>
      </c>
      <c r="AZ91" s="160">
        <f>AZ89*$C$38</f>
        <v/>
      </c>
      <c r="BA91" s="160">
        <f>BA89*$C$38</f>
        <v/>
      </c>
      <c r="BB91" s="160">
        <f>BB89*$C$38</f>
        <v/>
      </c>
    </row>
    <row r="93" ht="15" customHeight="1" s="91">
      <c r="B93" s="110" t="inlineStr">
        <is>
          <t>Total Distribution to LP  إجمالي توزيعات المستثمرين</t>
        </is>
      </c>
      <c r="C93" s="153" t="inlineStr">
        <is>
          <t>SAR</t>
        </is>
      </c>
      <c r="D93" s="157">
        <f>SUM(E93:BB93)</f>
        <v/>
      </c>
      <c r="E93" s="160">
        <f>E78*$C$16+E84*$C$16+E90</f>
        <v/>
      </c>
      <c r="F93" s="160">
        <f>F78*$C$16+F84*$C$16+F90</f>
        <v/>
      </c>
      <c r="G93" s="160">
        <f>G78*$C$16+G84*$C$16+G90</f>
        <v/>
      </c>
      <c r="H93" s="160">
        <f>H78*$C$16+H84*$C$16+H90</f>
        <v/>
      </c>
      <c r="I93" s="160">
        <f>I78*$C$16+I84*$C$16+I90</f>
        <v/>
      </c>
      <c r="J93" s="160">
        <f>J78*$C$16+J84*$C$16+J90</f>
        <v/>
      </c>
      <c r="K93" s="160">
        <f>K78*$C$16+K84*$C$16+K90</f>
        <v/>
      </c>
      <c r="L93" s="160">
        <f>L78*$C$16+L84*$C$16+L90</f>
        <v/>
      </c>
      <c r="M93" s="160">
        <f>M78*$C$16+M84*$C$16+M90</f>
        <v/>
      </c>
      <c r="N93" s="160">
        <f>N78*$C$16+N84*$C$16+N90</f>
        <v/>
      </c>
      <c r="O93" s="160">
        <f>O78*$C$16+O84*$C$16+O90</f>
        <v/>
      </c>
      <c r="P93" s="160">
        <f>P78*$C$16+P84*$C$16+P90</f>
        <v/>
      </c>
      <c r="Q93" s="160">
        <f>Q78*$C$16+Q84*$C$16+Q90</f>
        <v/>
      </c>
      <c r="R93" s="160">
        <f>R78*$C$16+R84*$C$16+R90</f>
        <v/>
      </c>
      <c r="S93" s="160">
        <f>S78*$C$16+S84*$C$16+S90</f>
        <v/>
      </c>
      <c r="T93" s="160">
        <f>T78*$C$16+T84*$C$16+T90</f>
        <v/>
      </c>
      <c r="U93" s="160">
        <f>U78*$C$16+U84*$C$16+U90</f>
        <v/>
      </c>
      <c r="V93" s="160">
        <f>V78*$C$16+V84*$C$16+V90</f>
        <v/>
      </c>
      <c r="W93" s="160">
        <f>W78*$C$16+W84*$C$16+W90</f>
        <v/>
      </c>
      <c r="X93" s="160">
        <f>X78*$C$16+X84*$C$16+X90</f>
        <v/>
      </c>
      <c r="Y93" s="160">
        <f>Y78*$C$16+Y84*$C$16+Y90</f>
        <v/>
      </c>
      <c r="Z93" s="160">
        <f>Z78*$C$16+Z84*$C$16+Z90</f>
        <v/>
      </c>
      <c r="AA93" s="160">
        <f>AA78*$C$16+AA84*$C$16+AA90</f>
        <v/>
      </c>
      <c r="AB93" s="160">
        <f>AB78*$C$16+AB84*$C$16+AB90</f>
        <v/>
      </c>
      <c r="AC93" s="160">
        <f>AC78*$C$16+AC84*$C$16+AC90</f>
        <v/>
      </c>
      <c r="AD93" s="160">
        <f>AD78*$C$16+AD84*$C$16+AD90</f>
        <v/>
      </c>
      <c r="AE93" s="160">
        <f>AE78*$C$16+AE84*$C$16+AE90</f>
        <v/>
      </c>
      <c r="AF93" s="160">
        <f>AF78*$C$16+AF84*$C$16+AF90</f>
        <v/>
      </c>
      <c r="AG93" s="160">
        <f>AG78*$C$16+AG84*$C$16+AG90</f>
        <v/>
      </c>
      <c r="AH93" s="160">
        <f>AH78*$C$16+AH84*$C$16+AH90</f>
        <v/>
      </c>
      <c r="AI93" s="160">
        <f>AI78*$C$16+AI84*$C$16+AI90</f>
        <v/>
      </c>
      <c r="AJ93" s="160">
        <f>AJ78*$C$16+AJ84*$C$16+AJ90</f>
        <v/>
      </c>
      <c r="AK93" s="160">
        <f>AK78*$C$16+AK84*$C$16+AK90</f>
        <v/>
      </c>
      <c r="AL93" s="160">
        <f>AL78*$C$16+AL84*$C$16+AL90</f>
        <v/>
      </c>
      <c r="AM93" s="160">
        <f>AM78*$C$16+AM84*$C$16+AM90</f>
        <v/>
      </c>
      <c r="AN93" s="160">
        <f>AN78*$C$16+AN84*$C$16+AN90</f>
        <v/>
      </c>
      <c r="AO93" s="160">
        <f>AO78*$C$16+AO84*$C$16+AO90</f>
        <v/>
      </c>
      <c r="AP93" s="160">
        <f>AP78*$C$16+AP84*$C$16+AP90</f>
        <v/>
      </c>
      <c r="AQ93" s="160">
        <f>AQ78*$C$16+AQ84*$C$16+AQ90</f>
        <v/>
      </c>
      <c r="AR93" s="160">
        <f>AR78*$C$16+AR84*$C$16+AR90</f>
        <v/>
      </c>
      <c r="AS93" s="160">
        <f>AS78*$C$16+AS84*$C$16+AS90</f>
        <v/>
      </c>
      <c r="AT93" s="160">
        <f>AT78*$C$16+AT84*$C$16+AT90</f>
        <v/>
      </c>
      <c r="AU93" s="160">
        <f>AU78*$C$16+AU84*$C$16+AU90</f>
        <v/>
      </c>
      <c r="AV93" s="160">
        <f>AV78*$C$16+AV84*$C$16+AV90</f>
        <v/>
      </c>
      <c r="AW93" s="160">
        <f>AW78*$C$16+AW84*$C$16+AW90</f>
        <v/>
      </c>
      <c r="AX93" s="160">
        <f>AX78*$C$16+AX84*$C$16+AX90</f>
        <v/>
      </c>
      <c r="AY93" s="160">
        <f>AY78*$C$16+AY84*$C$16+AY90</f>
        <v/>
      </c>
      <c r="AZ93" s="160">
        <f>AZ78*$C$16+AZ84*$C$16+AZ90</f>
        <v/>
      </c>
      <c r="BA93" s="160">
        <f>BA78*$C$16+BA84*$C$16+BA90</f>
        <v/>
      </c>
      <c r="BB93" s="160">
        <f>BB78*$C$16+BB84*$C$16+BB90</f>
        <v/>
      </c>
    </row>
    <row r="94" ht="15" customHeight="1" s="91">
      <c r="B94" s="110" t="inlineStr">
        <is>
          <t>Total Distribution to GP  إجمالي توزيعات المطور</t>
        </is>
      </c>
      <c r="C94" s="153" t="inlineStr">
        <is>
          <t>SAR</t>
        </is>
      </c>
      <c r="D94" s="157">
        <f>SUM(E94:BB94)</f>
        <v/>
      </c>
      <c r="E94" s="160">
        <f>E78*$C$15+E84*$C$15+E88+E91</f>
        <v/>
      </c>
      <c r="F94" s="160">
        <f>F78*$C$15+F84*$C$15+F88+F91</f>
        <v/>
      </c>
      <c r="G94" s="160">
        <f>G78*$C$15+G84*$C$15+G88+G91</f>
        <v/>
      </c>
      <c r="H94" s="160">
        <f>H78*$C$15+H84*$C$15+H88+H91</f>
        <v/>
      </c>
      <c r="I94" s="160">
        <f>I78*$C$15+I84*$C$15+I88+I91</f>
        <v/>
      </c>
      <c r="J94" s="160">
        <f>J78*$C$15+J84*$C$15+J88+J91</f>
        <v/>
      </c>
      <c r="K94" s="160">
        <f>K78*$C$15+K84*$C$15+K88+K91</f>
        <v/>
      </c>
      <c r="L94" s="160">
        <f>L78*$C$15+L84*$C$15+L88+L91</f>
        <v/>
      </c>
      <c r="M94" s="160">
        <f>M78*$C$15+M84*$C$15+M88+M91</f>
        <v/>
      </c>
      <c r="N94" s="160">
        <f>N78*$C$15+N84*$C$15+N88+N91</f>
        <v/>
      </c>
      <c r="O94" s="160">
        <f>O78*$C$15+O84*$C$15+O88+O91</f>
        <v/>
      </c>
      <c r="P94" s="160">
        <f>P78*$C$15+P84*$C$15+P88+P91</f>
        <v/>
      </c>
      <c r="Q94" s="160">
        <f>Q78*$C$15+Q84*$C$15+Q88+Q91</f>
        <v/>
      </c>
      <c r="R94" s="160">
        <f>R78*$C$15+R84*$C$15+R88+R91</f>
        <v/>
      </c>
      <c r="S94" s="160">
        <f>S78*$C$15+S84*$C$15+S88+S91</f>
        <v/>
      </c>
      <c r="T94" s="160">
        <f>T78*$C$15+T84*$C$15+T88+T91</f>
        <v/>
      </c>
      <c r="U94" s="160">
        <f>U78*$C$15+U84*$C$15+U88+U91</f>
        <v/>
      </c>
      <c r="V94" s="160">
        <f>V78*$C$15+V84*$C$15+V88+V91</f>
        <v/>
      </c>
      <c r="W94" s="160">
        <f>W78*$C$15+W84*$C$15+W88+W91</f>
        <v/>
      </c>
      <c r="X94" s="160">
        <f>X78*$C$15+X84*$C$15+X88+X91</f>
        <v/>
      </c>
      <c r="Y94" s="160">
        <f>Y78*$C$15+Y84*$C$15+Y88+Y91</f>
        <v/>
      </c>
      <c r="Z94" s="160">
        <f>Z78*$C$15+Z84*$C$15+Z88+Z91</f>
        <v/>
      </c>
      <c r="AA94" s="160">
        <f>AA78*$C$15+AA84*$C$15+AA88+AA91</f>
        <v/>
      </c>
      <c r="AB94" s="160">
        <f>AB78*$C$15+AB84*$C$15+AB88+AB91</f>
        <v/>
      </c>
      <c r="AC94" s="160">
        <f>AC78*$C$15+AC84*$C$15+AC88+AC91</f>
        <v/>
      </c>
      <c r="AD94" s="160">
        <f>AD78*$C$15+AD84*$C$15+AD88+AD91</f>
        <v/>
      </c>
      <c r="AE94" s="160">
        <f>AE78*$C$15+AE84*$C$15+AE88+AE91</f>
        <v/>
      </c>
      <c r="AF94" s="160">
        <f>AF78*$C$15+AF84*$C$15+AF88+AF91</f>
        <v/>
      </c>
      <c r="AG94" s="160">
        <f>AG78*$C$15+AG84*$C$15+AG88+AG91</f>
        <v/>
      </c>
      <c r="AH94" s="160">
        <f>AH78*$C$15+AH84*$C$15+AH88+AH91</f>
        <v/>
      </c>
      <c r="AI94" s="160">
        <f>AI78*$C$15+AI84*$C$15+AI88+AI91</f>
        <v/>
      </c>
      <c r="AJ94" s="160">
        <f>AJ78*$C$15+AJ84*$C$15+AJ88+AJ91</f>
        <v/>
      </c>
      <c r="AK94" s="160">
        <f>AK78*$C$15+AK84*$C$15+AK88+AK91</f>
        <v/>
      </c>
      <c r="AL94" s="160">
        <f>AL78*$C$15+AL84*$C$15+AL88+AL91</f>
        <v/>
      </c>
      <c r="AM94" s="160">
        <f>AM78*$C$15+AM84*$C$15+AM88+AM91</f>
        <v/>
      </c>
      <c r="AN94" s="160">
        <f>AN78*$C$15+AN84*$C$15+AN88+AN91</f>
        <v/>
      </c>
      <c r="AO94" s="160">
        <f>AO78*$C$15+AO84*$C$15+AO88+AO91</f>
        <v/>
      </c>
      <c r="AP94" s="160">
        <f>AP78*$C$15+AP84*$C$15+AP88+AP91</f>
        <v/>
      </c>
      <c r="AQ94" s="160">
        <f>AQ78*$C$15+AQ84*$C$15+AQ88+AQ91</f>
        <v/>
      </c>
      <c r="AR94" s="160">
        <f>AR78*$C$15+AR84*$C$15+AR88+AR91</f>
        <v/>
      </c>
      <c r="AS94" s="160">
        <f>AS78*$C$15+AS84*$C$15+AS88+AS91</f>
        <v/>
      </c>
      <c r="AT94" s="160">
        <f>AT78*$C$15+AT84*$C$15+AT88+AT91</f>
        <v/>
      </c>
      <c r="AU94" s="160">
        <f>AU78*$C$15+AU84*$C$15+AU88+AU91</f>
        <v/>
      </c>
      <c r="AV94" s="160">
        <f>AV78*$C$15+AV84*$C$15+AV88+AV91</f>
        <v/>
      </c>
      <c r="AW94" s="160">
        <f>AW78*$C$15+AW84*$C$15+AW88+AW91</f>
        <v/>
      </c>
      <c r="AX94" s="160">
        <f>AX78*$C$15+AX84*$C$15+AX88+AX91</f>
        <v/>
      </c>
      <c r="AY94" s="160">
        <f>AY78*$C$15+AY84*$C$15+AY88+AY91</f>
        <v/>
      </c>
      <c r="AZ94" s="160">
        <f>AZ78*$C$15+AZ84*$C$15+AZ88+AZ91</f>
        <v/>
      </c>
      <c r="BA94" s="160">
        <f>BA78*$C$15+BA84*$C$15+BA88+BA91</f>
        <v/>
      </c>
      <c r="BB94" s="160">
        <f>BB78*$C$15+BB84*$C$15+BB88+BB91</f>
        <v/>
      </c>
    </row>
    <row r="95" ht="15" customHeight="1" s="91">
      <c r="B95" s="110" t="inlineStr">
        <is>
          <t>Total Distributions  إجمالي التوزيعات</t>
        </is>
      </c>
      <c r="C95" s="153" t="inlineStr">
        <is>
          <t>SAR</t>
        </is>
      </c>
      <c r="D95" s="157">
        <f>SUM(E95:BB95)</f>
        <v/>
      </c>
      <c r="E95" s="157">
        <f>E93+E94</f>
        <v/>
      </c>
      <c r="F95" s="157">
        <f>F93+F94</f>
        <v/>
      </c>
      <c r="G95" s="157">
        <f>G93+G94</f>
        <v/>
      </c>
      <c r="H95" s="157">
        <f>H93+H94</f>
        <v/>
      </c>
      <c r="I95" s="157">
        <f>I93+I94</f>
        <v/>
      </c>
      <c r="J95" s="157">
        <f>J93+J94</f>
        <v/>
      </c>
      <c r="K95" s="157">
        <f>K93+K94</f>
        <v/>
      </c>
      <c r="L95" s="157">
        <f>L93+L94</f>
        <v/>
      </c>
      <c r="M95" s="157">
        <f>M93+M94</f>
        <v/>
      </c>
      <c r="N95" s="157">
        <f>N93+N94</f>
        <v/>
      </c>
      <c r="O95" s="157">
        <f>O93+O94</f>
        <v/>
      </c>
      <c r="P95" s="157">
        <f>P93+P94</f>
        <v/>
      </c>
      <c r="Q95" s="157">
        <f>Q93+Q94</f>
        <v/>
      </c>
      <c r="R95" s="157">
        <f>R93+R94</f>
        <v/>
      </c>
      <c r="S95" s="157">
        <f>S93+S94</f>
        <v/>
      </c>
      <c r="T95" s="157">
        <f>T93+T94</f>
        <v/>
      </c>
      <c r="U95" s="157">
        <f>U93+U94</f>
        <v/>
      </c>
      <c r="V95" s="157">
        <f>V93+V94</f>
        <v/>
      </c>
      <c r="W95" s="157">
        <f>W93+W94</f>
        <v/>
      </c>
      <c r="X95" s="157">
        <f>X93+X94</f>
        <v/>
      </c>
      <c r="Y95" s="157">
        <f>Y93+Y94</f>
        <v/>
      </c>
      <c r="Z95" s="157">
        <f>Z93+Z94</f>
        <v/>
      </c>
      <c r="AA95" s="157">
        <f>AA93+AA94</f>
        <v/>
      </c>
      <c r="AB95" s="157">
        <f>AB93+AB94</f>
        <v/>
      </c>
      <c r="AC95" s="157">
        <f>AC93+AC94</f>
        <v/>
      </c>
      <c r="AD95" s="157">
        <f>AD93+AD94</f>
        <v/>
      </c>
      <c r="AE95" s="157">
        <f>AE93+AE94</f>
        <v/>
      </c>
      <c r="AF95" s="157">
        <f>AF93+AF94</f>
        <v/>
      </c>
      <c r="AG95" s="157">
        <f>AG93+AG94</f>
        <v/>
      </c>
      <c r="AH95" s="157">
        <f>AH93+AH94</f>
        <v/>
      </c>
      <c r="AI95" s="157">
        <f>AI93+AI94</f>
        <v/>
      </c>
      <c r="AJ95" s="157">
        <f>AJ93+AJ94</f>
        <v/>
      </c>
      <c r="AK95" s="157">
        <f>AK93+AK94</f>
        <v/>
      </c>
      <c r="AL95" s="157">
        <f>AL93+AL94</f>
        <v/>
      </c>
      <c r="AM95" s="157">
        <f>AM93+AM94</f>
        <v/>
      </c>
      <c r="AN95" s="157">
        <f>AN93+AN94</f>
        <v/>
      </c>
      <c r="AO95" s="157">
        <f>AO93+AO94</f>
        <v/>
      </c>
      <c r="AP95" s="157">
        <f>AP93+AP94</f>
        <v/>
      </c>
      <c r="AQ95" s="157">
        <f>AQ93+AQ94</f>
        <v/>
      </c>
      <c r="AR95" s="157">
        <f>AR93+AR94</f>
        <v/>
      </c>
      <c r="AS95" s="157">
        <f>AS93+AS94</f>
        <v/>
      </c>
      <c r="AT95" s="157">
        <f>AT93+AT94</f>
        <v/>
      </c>
      <c r="AU95" s="157">
        <f>AU93+AU94</f>
        <v/>
      </c>
      <c r="AV95" s="157">
        <f>AV93+AV94</f>
        <v/>
      </c>
      <c r="AW95" s="157">
        <f>AW93+AW94</f>
        <v/>
      </c>
      <c r="AX95" s="157">
        <f>AX93+AX94</f>
        <v/>
      </c>
      <c r="AY95" s="157">
        <f>AY93+AY94</f>
        <v/>
      </c>
      <c r="AZ95" s="157">
        <f>AZ93+AZ94</f>
        <v/>
      </c>
      <c r="BA95" s="157">
        <f>BA93+BA94</f>
        <v/>
      </c>
      <c r="BB95" s="157">
        <f>BB93+BB94</f>
        <v/>
      </c>
    </row>
    <row r="97" ht="15" customHeight="1" s="91">
      <c r="A97" s="152" t="inlineStr">
        <is>
          <t>10  INVESTOR RETURNS  عوائد المستثمرين</t>
        </is>
      </c>
      <c r="B97" s="152" t="n"/>
      <c r="C97" s="152" t="n"/>
      <c r="D97" s="152" t="n"/>
      <c r="E97" s="152" t="n"/>
      <c r="F97" s="152" t="n"/>
      <c r="G97" s="152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  <c r="S97" s="152" t="n"/>
      <c r="T97" s="152" t="n"/>
      <c r="U97" s="152" t="n"/>
      <c r="V97" s="152" t="n"/>
      <c r="W97" s="152" t="n"/>
      <c r="X97" s="152" t="n"/>
      <c r="Y97" s="152" t="n"/>
      <c r="Z97" s="152" t="n"/>
      <c r="AA97" s="152" t="n"/>
      <c r="AB97" s="152" t="n"/>
      <c r="AC97" s="152" t="n"/>
      <c r="AD97" s="152" t="n"/>
      <c r="AE97" s="152" t="n"/>
      <c r="AF97" s="152" t="n"/>
      <c r="AG97" s="152" t="n"/>
      <c r="AH97" s="152" t="n"/>
      <c r="AI97" s="152" t="n"/>
      <c r="AJ97" s="152" t="n"/>
      <c r="AK97" s="152" t="n"/>
      <c r="AL97" s="152" t="n"/>
      <c r="AM97" s="152" t="n"/>
      <c r="AN97" s="152" t="n"/>
      <c r="AO97" s="152" t="n"/>
      <c r="AP97" s="152" t="n"/>
      <c r="AQ97" s="152" t="n"/>
      <c r="AR97" s="152" t="n"/>
      <c r="AS97" s="152" t="n"/>
      <c r="AT97" s="152" t="n"/>
      <c r="AU97" s="152" t="n"/>
      <c r="AV97" s="152" t="n"/>
      <c r="AW97" s="152" t="n"/>
      <c r="AX97" s="152" t="n"/>
      <c r="AY97" s="152" t="n"/>
      <c r="AZ97" s="152" t="n"/>
      <c r="BA97" s="152" t="n"/>
      <c r="BB97" s="152" t="n"/>
    </row>
    <row r="98" ht="15" customHeight="1" s="91">
      <c r="C98" s="165" t="inlineStr">
        <is>
          <t>Unit</t>
        </is>
      </c>
      <c r="D98" s="165" t="inlineStr">
        <is>
          <t>Total</t>
        </is>
      </c>
      <c r="E98" s="166">
        <f>E$46</f>
        <v/>
      </c>
      <c r="F98" s="166">
        <f>F$46</f>
        <v/>
      </c>
      <c r="G98" s="166">
        <f>G$46</f>
        <v/>
      </c>
      <c r="H98" s="166">
        <f>H$46</f>
        <v/>
      </c>
      <c r="I98" s="166">
        <f>I$46</f>
        <v/>
      </c>
      <c r="J98" s="166">
        <f>J$46</f>
        <v/>
      </c>
      <c r="K98" s="166">
        <f>K$46</f>
        <v/>
      </c>
      <c r="L98" s="166">
        <f>L$46</f>
        <v/>
      </c>
      <c r="M98" s="166">
        <f>M$46</f>
        <v/>
      </c>
      <c r="N98" s="166">
        <f>N$46</f>
        <v/>
      </c>
      <c r="O98" s="166">
        <f>O$46</f>
        <v/>
      </c>
      <c r="P98" s="166">
        <f>P$46</f>
        <v/>
      </c>
      <c r="Q98" s="166">
        <f>Q$46</f>
        <v/>
      </c>
      <c r="R98" s="166">
        <f>R$46</f>
        <v/>
      </c>
      <c r="S98" s="166">
        <f>S$46</f>
        <v/>
      </c>
      <c r="T98" s="166">
        <f>T$46</f>
        <v/>
      </c>
      <c r="U98" s="166">
        <f>U$46</f>
        <v/>
      </c>
      <c r="V98" s="166">
        <f>V$46</f>
        <v/>
      </c>
      <c r="W98" s="166">
        <f>W$46</f>
        <v/>
      </c>
      <c r="X98" s="166">
        <f>X$46</f>
        <v/>
      </c>
      <c r="Y98" s="166">
        <f>Y$46</f>
        <v/>
      </c>
      <c r="Z98" s="166">
        <f>Z$46</f>
        <v/>
      </c>
      <c r="AA98" s="166">
        <f>AA$46</f>
        <v/>
      </c>
      <c r="AB98" s="166">
        <f>AB$46</f>
        <v/>
      </c>
      <c r="AC98" s="166">
        <f>AC$46</f>
        <v/>
      </c>
      <c r="AD98" s="166">
        <f>AD$46</f>
        <v/>
      </c>
      <c r="AE98" s="166">
        <f>AE$46</f>
        <v/>
      </c>
      <c r="AF98" s="166">
        <f>AF$46</f>
        <v/>
      </c>
      <c r="AG98" s="166">
        <f>AG$46</f>
        <v/>
      </c>
      <c r="AH98" s="166">
        <f>AH$46</f>
        <v/>
      </c>
      <c r="AI98" s="166">
        <f>AI$46</f>
        <v/>
      </c>
      <c r="AJ98" s="166">
        <f>AJ$46</f>
        <v/>
      </c>
      <c r="AK98" s="166">
        <f>AK$46</f>
        <v/>
      </c>
      <c r="AL98" s="166">
        <f>AL$46</f>
        <v/>
      </c>
      <c r="AM98" s="166">
        <f>AM$46</f>
        <v/>
      </c>
      <c r="AN98" s="166">
        <f>AN$46</f>
        <v/>
      </c>
      <c r="AO98" s="166">
        <f>AO$46</f>
        <v/>
      </c>
      <c r="AP98" s="166">
        <f>AP$46</f>
        <v/>
      </c>
      <c r="AQ98" s="166">
        <f>AQ$46</f>
        <v/>
      </c>
      <c r="AR98" s="166">
        <f>AR$46</f>
        <v/>
      </c>
      <c r="AS98" s="166">
        <f>AS$46</f>
        <v/>
      </c>
      <c r="AT98" s="166">
        <f>AT$46</f>
        <v/>
      </c>
      <c r="AU98" s="166">
        <f>AU$46</f>
        <v/>
      </c>
      <c r="AV98" s="166">
        <f>AV$46</f>
        <v/>
      </c>
      <c r="AW98" s="166">
        <f>AW$46</f>
        <v/>
      </c>
      <c r="AX98" s="166">
        <f>AX$46</f>
        <v/>
      </c>
      <c r="AY98" s="166">
        <f>AY$46</f>
        <v/>
      </c>
      <c r="AZ98" s="166">
        <f>AZ$46</f>
        <v/>
      </c>
      <c r="BA98" s="166">
        <f>BA$46</f>
        <v/>
      </c>
      <c r="BB98" s="166">
        <f>BB$46</f>
        <v/>
      </c>
    </row>
    <row r="99" ht="15" customHeight="1" s="91">
      <c r="B99" s="153" t="inlineStr">
        <is>
          <t>LP Net Cash Flow</t>
        </is>
      </c>
      <c r="C99" s="153" t="inlineStr">
        <is>
          <t>SAR</t>
        </is>
      </c>
      <c r="D99" s="157">
        <f>SUM(E99:BB99)</f>
        <v/>
      </c>
      <c r="E99" s="160">
        <f>-E56*$C$16+E93</f>
        <v/>
      </c>
      <c r="F99" s="160">
        <f>-F56*$C$16+F93</f>
        <v/>
      </c>
      <c r="G99" s="160">
        <f>-G56*$C$16+G93</f>
        <v/>
      </c>
      <c r="H99" s="160">
        <f>-H56*$C$16+H93</f>
        <v/>
      </c>
      <c r="I99" s="160">
        <f>-I56*$C$16+I93</f>
        <v/>
      </c>
      <c r="J99" s="160">
        <f>-J56*$C$16+J93</f>
        <v/>
      </c>
      <c r="K99" s="160">
        <f>-K56*$C$16+K93</f>
        <v/>
      </c>
      <c r="L99" s="160">
        <f>-L56*$C$16+L93</f>
        <v/>
      </c>
      <c r="M99" s="160">
        <f>-M56*$C$16+M93</f>
        <v/>
      </c>
      <c r="N99" s="160">
        <f>-N56*$C$16+N93</f>
        <v/>
      </c>
      <c r="O99" s="160">
        <f>-O56*$C$16+O93</f>
        <v/>
      </c>
      <c r="P99" s="160">
        <f>-P56*$C$16+P93</f>
        <v/>
      </c>
      <c r="Q99" s="160">
        <f>-Q56*$C$16+Q93</f>
        <v/>
      </c>
      <c r="R99" s="160">
        <f>-R56*$C$16+R93</f>
        <v/>
      </c>
      <c r="S99" s="160">
        <f>-S56*$C$16+S93</f>
        <v/>
      </c>
      <c r="T99" s="160">
        <f>-T56*$C$16+T93</f>
        <v/>
      </c>
      <c r="U99" s="160">
        <f>-U56*$C$16+U93</f>
        <v/>
      </c>
      <c r="V99" s="160">
        <f>-V56*$C$16+V93</f>
        <v/>
      </c>
      <c r="W99" s="160">
        <f>-W56*$C$16+W93</f>
        <v/>
      </c>
      <c r="X99" s="160">
        <f>-X56*$C$16+X93</f>
        <v/>
      </c>
      <c r="Y99" s="160">
        <f>-Y56*$C$16+Y93</f>
        <v/>
      </c>
      <c r="Z99" s="160">
        <f>-Z56*$C$16+Z93</f>
        <v/>
      </c>
      <c r="AA99" s="160">
        <f>-AA56*$C$16+AA93</f>
        <v/>
      </c>
      <c r="AB99" s="160">
        <f>-AB56*$C$16+AB93</f>
        <v/>
      </c>
      <c r="AC99" s="160">
        <f>-AC56*$C$16+AC93</f>
        <v/>
      </c>
      <c r="AD99" s="160">
        <f>-AD56*$C$16+AD93</f>
        <v/>
      </c>
      <c r="AE99" s="160">
        <f>-AE56*$C$16+AE93</f>
        <v/>
      </c>
      <c r="AF99" s="160">
        <f>-AF56*$C$16+AF93</f>
        <v/>
      </c>
      <c r="AG99" s="160">
        <f>-AG56*$C$16+AG93</f>
        <v/>
      </c>
      <c r="AH99" s="160">
        <f>-AH56*$C$16+AH93</f>
        <v/>
      </c>
      <c r="AI99" s="160">
        <f>-AI56*$C$16+AI93</f>
        <v/>
      </c>
      <c r="AJ99" s="160">
        <f>-AJ56*$C$16+AJ93</f>
        <v/>
      </c>
      <c r="AK99" s="160">
        <f>-AK56*$C$16+AK93</f>
        <v/>
      </c>
      <c r="AL99" s="160">
        <f>-AL56*$C$16+AL93</f>
        <v/>
      </c>
      <c r="AM99" s="160">
        <f>-AM56*$C$16+AM93</f>
        <v/>
      </c>
      <c r="AN99" s="160">
        <f>-AN56*$C$16+AN93</f>
        <v/>
      </c>
      <c r="AO99" s="160">
        <f>-AO56*$C$16+AO93</f>
        <v/>
      </c>
      <c r="AP99" s="160">
        <f>-AP56*$C$16+AP93</f>
        <v/>
      </c>
      <c r="AQ99" s="160">
        <f>-AQ56*$C$16+AQ93</f>
        <v/>
      </c>
      <c r="AR99" s="160">
        <f>-AR56*$C$16+AR93</f>
        <v/>
      </c>
      <c r="AS99" s="160">
        <f>-AS56*$C$16+AS93</f>
        <v/>
      </c>
      <c r="AT99" s="160">
        <f>-AT56*$C$16+AT93</f>
        <v/>
      </c>
      <c r="AU99" s="160">
        <f>-AU56*$C$16+AU93</f>
        <v/>
      </c>
      <c r="AV99" s="160">
        <f>-AV56*$C$16+AV93</f>
        <v/>
      </c>
      <c r="AW99" s="160">
        <f>-AW56*$C$16+AW93</f>
        <v/>
      </c>
      <c r="AX99" s="160">
        <f>-AX56*$C$16+AX93</f>
        <v/>
      </c>
      <c r="AY99" s="160">
        <f>-AY56*$C$16+AY93</f>
        <v/>
      </c>
      <c r="AZ99" s="160">
        <f>-AZ56*$C$16+AZ93</f>
        <v/>
      </c>
      <c r="BA99" s="160">
        <f>-BA56*$C$16+BA93</f>
        <v/>
      </c>
      <c r="BB99" s="160">
        <f>-BB56*$C$16+BB93</f>
        <v/>
      </c>
    </row>
    <row r="100" ht="15" customHeight="1" s="91">
      <c r="B100" s="153" t="inlineStr">
        <is>
          <t>LP Cumulative Cash Flow</t>
        </is>
      </c>
      <c r="C100" s="153" t="inlineStr">
        <is>
          <t>SAR</t>
        </is>
      </c>
      <c r="E100" s="160">
        <f>E99</f>
        <v/>
      </c>
      <c r="F100" s="160">
        <f>E100+F99</f>
        <v/>
      </c>
      <c r="G100" s="160">
        <f>F100+G99</f>
        <v/>
      </c>
      <c r="H100" s="160">
        <f>G100+H99</f>
        <v/>
      </c>
      <c r="I100" s="160">
        <f>H100+I99</f>
        <v/>
      </c>
      <c r="J100" s="160">
        <f>I100+J99</f>
        <v/>
      </c>
      <c r="K100" s="160">
        <f>J100+K99</f>
        <v/>
      </c>
      <c r="L100" s="160">
        <f>K100+L99</f>
        <v/>
      </c>
      <c r="M100" s="160">
        <f>L100+M99</f>
        <v/>
      </c>
      <c r="N100" s="160">
        <f>M100+N99</f>
        <v/>
      </c>
      <c r="O100" s="160">
        <f>N100+O99</f>
        <v/>
      </c>
      <c r="P100" s="160">
        <f>O100+P99</f>
        <v/>
      </c>
      <c r="Q100" s="160">
        <f>P100+Q99</f>
        <v/>
      </c>
      <c r="R100" s="160">
        <f>Q100+R99</f>
        <v/>
      </c>
      <c r="S100" s="160">
        <f>R100+S99</f>
        <v/>
      </c>
      <c r="T100" s="160">
        <f>S100+T99</f>
        <v/>
      </c>
      <c r="U100" s="160">
        <f>T100+U99</f>
        <v/>
      </c>
      <c r="V100" s="160">
        <f>U100+V99</f>
        <v/>
      </c>
      <c r="W100" s="160">
        <f>V100+W99</f>
        <v/>
      </c>
      <c r="X100" s="160">
        <f>W100+X99</f>
        <v/>
      </c>
      <c r="Y100" s="160">
        <f>X100+Y99</f>
        <v/>
      </c>
      <c r="Z100" s="160">
        <f>Y100+Z99</f>
        <v/>
      </c>
      <c r="AA100" s="160">
        <f>Z100+AA99</f>
        <v/>
      </c>
      <c r="AB100" s="160">
        <f>AA100+AB99</f>
        <v/>
      </c>
      <c r="AC100" s="160">
        <f>AB100+AC99</f>
        <v/>
      </c>
      <c r="AD100" s="160">
        <f>AC100+AD99</f>
        <v/>
      </c>
      <c r="AE100" s="160">
        <f>AD100+AE99</f>
        <v/>
      </c>
      <c r="AF100" s="160">
        <f>AE100+AF99</f>
        <v/>
      </c>
      <c r="AG100" s="160">
        <f>AF100+AG99</f>
        <v/>
      </c>
      <c r="AH100" s="160">
        <f>AG100+AH99</f>
        <v/>
      </c>
      <c r="AI100" s="160">
        <f>AH100+AI99</f>
        <v/>
      </c>
      <c r="AJ100" s="160">
        <f>AI100+AJ99</f>
        <v/>
      </c>
      <c r="AK100" s="160">
        <f>AJ100+AK99</f>
        <v/>
      </c>
      <c r="AL100" s="160">
        <f>AK100+AL99</f>
        <v/>
      </c>
      <c r="AM100" s="160">
        <f>AL100+AM99</f>
        <v/>
      </c>
      <c r="AN100" s="160">
        <f>AM100+AN99</f>
        <v/>
      </c>
      <c r="AO100" s="160">
        <f>AN100+AO99</f>
        <v/>
      </c>
      <c r="AP100" s="160">
        <f>AO100+AP99</f>
        <v/>
      </c>
      <c r="AQ100" s="160">
        <f>AP100+AQ99</f>
        <v/>
      </c>
      <c r="AR100" s="160">
        <f>AQ100+AR99</f>
        <v/>
      </c>
      <c r="AS100" s="160">
        <f>AR100+AS99</f>
        <v/>
      </c>
      <c r="AT100" s="160">
        <f>AS100+AT99</f>
        <v/>
      </c>
      <c r="AU100" s="160">
        <f>AT100+AU99</f>
        <v/>
      </c>
      <c r="AV100" s="160">
        <f>AU100+AV99</f>
        <v/>
      </c>
      <c r="AW100" s="160">
        <f>AV100+AW99</f>
        <v/>
      </c>
      <c r="AX100" s="160">
        <f>AW100+AX99</f>
        <v/>
      </c>
      <c r="AY100" s="160">
        <f>AX100+AY99</f>
        <v/>
      </c>
      <c r="AZ100" s="160">
        <f>AY100+AZ99</f>
        <v/>
      </c>
      <c r="BA100" s="160">
        <f>AZ100+BA99</f>
        <v/>
      </c>
      <c r="BB100" s="160">
        <f>BA100+BB99</f>
        <v/>
      </c>
    </row>
    <row r="101" ht="15" customHeight="1" s="91">
      <c r="B101" s="110" t="inlineStr">
        <is>
          <t>LP Net IRR</t>
        </is>
      </c>
      <c r="C101" s="153" t="inlineStr">
        <is>
          <t>%</t>
        </is>
      </c>
      <c r="E101" s="161">
        <f>IFERROR(IRR(E99:BB99),"-")</f>
        <v/>
      </c>
    </row>
    <row r="103" ht="15" customHeight="1" s="91">
      <c r="B103" s="153" t="inlineStr">
        <is>
          <t>GP Net Cash Flow</t>
        </is>
      </c>
      <c r="C103" s="153" t="inlineStr">
        <is>
          <t>SAR</t>
        </is>
      </c>
      <c r="D103" s="157">
        <f>SUM(E103:BB103)</f>
        <v/>
      </c>
      <c r="E103" s="160">
        <f>-E56*$C$15+E94</f>
        <v/>
      </c>
      <c r="F103" s="160">
        <f>-F56*$C$15+F94</f>
        <v/>
      </c>
      <c r="G103" s="160">
        <f>-G56*$C$15+G94</f>
        <v/>
      </c>
      <c r="H103" s="160">
        <f>-H56*$C$15+H94</f>
        <v/>
      </c>
      <c r="I103" s="160">
        <f>-I56*$C$15+I94</f>
        <v/>
      </c>
      <c r="J103" s="160">
        <f>-J56*$C$15+J94</f>
        <v/>
      </c>
      <c r="K103" s="160">
        <f>-K56*$C$15+K94</f>
        <v/>
      </c>
      <c r="L103" s="160">
        <f>-L56*$C$15+L94</f>
        <v/>
      </c>
      <c r="M103" s="160">
        <f>-M56*$C$15+M94</f>
        <v/>
      </c>
      <c r="N103" s="160">
        <f>-N56*$C$15+N94</f>
        <v/>
      </c>
      <c r="O103" s="160">
        <f>-O56*$C$15+O94</f>
        <v/>
      </c>
      <c r="P103" s="160">
        <f>-P56*$C$15+P94</f>
        <v/>
      </c>
      <c r="Q103" s="160">
        <f>-Q56*$C$15+Q94</f>
        <v/>
      </c>
      <c r="R103" s="160">
        <f>-R56*$C$15+R94</f>
        <v/>
      </c>
      <c r="S103" s="160">
        <f>-S56*$C$15+S94</f>
        <v/>
      </c>
      <c r="T103" s="160">
        <f>-T56*$C$15+T94</f>
        <v/>
      </c>
      <c r="U103" s="160">
        <f>-U56*$C$15+U94</f>
        <v/>
      </c>
      <c r="V103" s="160">
        <f>-V56*$C$15+V94</f>
        <v/>
      </c>
      <c r="W103" s="160">
        <f>-W56*$C$15+W94</f>
        <v/>
      </c>
      <c r="X103" s="160">
        <f>-X56*$C$15+X94</f>
        <v/>
      </c>
      <c r="Y103" s="160">
        <f>-Y56*$C$15+Y94</f>
        <v/>
      </c>
      <c r="Z103" s="160">
        <f>-Z56*$C$15+Z94</f>
        <v/>
      </c>
      <c r="AA103" s="160">
        <f>-AA56*$C$15+AA94</f>
        <v/>
      </c>
      <c r="AB103" s="160">
        <f>-AB56*$C$15+AB94</f>
        <v/>
      </c>
      <c r="AC103" s="160">
        <f>-AC56*$C$15+AC94</f>
        <v/>
      </c>
      <c r="AD103" s="160">
        <f>-AD56*$C$15+AD94</f>
        <v/>
      </c>
      <c r="AE103" s="160">
        <f>-AE56*$C$15+AE94</f>
        <v/>
      </c>
      <c r="AF103" s="160">
        <f>-AF56*$C$15+AF94</f>
        <v/>
      </c>
      <c r="AG103" s="160">
        <f>-AG56*$C$15+AG94</f>
        <v/>
      </c>
      <c r="AH103" s="160">
        <f>-AH56*$C$15+AH94</f>
        <v/>
      </c>
      <c r="AI103" s="160">
        <f>-AI56*$C$15+AI94</f>
        <v/>
      </c>
      <c r="AJ103" s="160">
        <f>-AJ56*$C$15+AJ94</f>
        <v/>
      </c>
      <c r="AK103" s="160">
        <f>-AK56*$C$15+AK94</f>
        <v/>
      </c>
      <c r="AL103" s="160">
        <f>-AL56*$C$15+AL94</f>
        <v/>
      </c>
      <c r="AM103" s="160">
        <f>-AM56*$C$15+AM94</f>
        <v/>
      </c>
      <c r="AN103" s="160">
        <f>-AN56*$C$15+AN94</f>
        <v/>
      </c>
      <c r="AO103" s="160">
        <f>-AO56*$C$15+AO94</f>
        <v/>
      </c>
      <c r="AP103" s="160">
        <f>-AP56*$C$15+AP94</f>
        <v/>
      </c>
      <c r="AQ103" s="160">
        <f>-AQ56*$C$15+AQ94</f>
        <v/>
      </c>
      <c r="AR103" s="160">
        <f>-AR56*$C$15+AR94</f>
        <v/>
      </c>
      <c r="AS103" s="160">
        <f>-AS56*$C$15+AS94</f>
        <v/>
      </c>
      <c r="AT103" s="160">
        <f>-AT56*$C$15+AT94</f>
        <v/>
      </c>
      <c r="AU103" s="160">
        <f>-AU56*$C$15+AU94</f>
        <v/>
      </c>
      <c r="AV103" s="160">
        <f>-AV56*$C$15+AV94</f>
        <v/>
      </c>
      <c r="AW103" s="160">
        <f>-AW56*$C$15+AW94</f>
        <v/>
      </c>
      <c r="AX103" s="160">
        <f>-AX56*$C$15+AX94</f>
        <v/>
      </c>
      <c r="AY103" s="160">
        <f>-AY56*$C$15+AY94</f>
        <v/>
      </c>
      <c r="AZ103" s="160">
        <f>-AZ56*$C$15+AZ94</f>
        <v/>
      </c>
      <c r="BA103" s="160">
        <f>-BA56*$C$15+BA94</f>
        <v/>
      </c>
      <c r="BB103" s="160">
        <f>-BB56*$C$15+BB94</f>
        <v/>
      </c>
    </row>
    <row r="104" ht="15" customHeight="1" s="91">
      <c r="B104" s="110" t="inlineStr">
        <is>
          <t>GP Net IRR</t>
        </is>
      </c>
      <c r="C104" s="153" t="inlineStr">
        <is>
          <t>%</t>
        </is>
      </c>
      <c r="E104" s="161">
        <f>IFERROR(IRR(E103:BB103),"-")</f>
        <v/>
      </c>
    </row>
    <row r="106" ht="15" customHeight="1" s="91">
      <c r="A106" s="152" t="inlineStr">
        <is>
          <t>KPI SUMMARY  ملخص الأداء</t>
        </is>
      </c>
      <c r="B106" s="152" t="n"/>
      <c r="C106" s="152" t="n"/>
      <c r="D106" s="152" t="n"/>
      <c r="E106" s="152" t="n"/>
      <c r="F106" s="152" t="n"/>
      <c r="G106" s="152" t="n"/>
      <c r="H106" s="152" t="n"/>
      <c r="I106" s="152" t="n"/>
      <c r="J106" s="152" t="n"/>
      <c r="K106" s="152" t="n"/>
      <c r="L106" s="152" t="n"/>
      <c r="M106" s="152" t="n"/>
      <c r="N106" s="152" t="n"/>
      <c r="O106" s="152" t="n"/>
      <c r="P106" s="152" t="n"/>
      <c r="Q106" s="152" t="n"/>
      <c r="R106" s="152" t="n"/>
      <c r="S106" s="152" t="n"/>
      <c r="T106" s="152" t="n"/>
      <c r="U106" s="152" t="n"/>
      <c r="V106" s="152" t="n"/>
      <c r="W106" s="152" t="n"/>
      <c r="X106" s="152" t="n"/>
      <c r="Y106" s="152" t="n"/>
      <c r="Z106" s="152" t="n"/>
      <c r="AA106" s="152" t="n"/>
      <c r="AB106" s="152" t="n"/>
      <c r="AC106" s="152" t="n"/>
      <c r="AD106" s="152" t="n"/>
      <c r="AE106" s="152" t="n"/>
      <c r="AF106" s="152" t="n"/>
      <c r="AG106" s="152" t="n"/>
      <c r="AH106" s="152" t="n"/>
      <c r="AI106" s="152" t="n"/>
      <c r="AJ106" s="152" t="n"/>
      <c r="AK106" s="152" t="n"/>
      <c r="AL106" s="152" t="n"/>
      <c r="AM106" s="152" t="n"/>
      <c r="AN106" s="152" t="n"/>
      <c r="AO106" s="152" t="n"/>
      <c r="AP106" s="152" t="n"/>
      <c r="AQ106" s="152" t="n"/>
      <c r="AR106" s="152" t="n"/>
      <c r="AS106" s="152" t="n"/>
      <c r="AT106" s="152" t="n"/>
      <c r="AU106" s="152" t="n"/>
      <c r="AV106" s="152" t="n"/>
      <c r="AW106" s="152" t="n"/>
      <c r="AX106" s="152" t="n"/>
      <c r="AY106" s="152" t="n"/>
      <c r="AZ106" s="152" t="n"/>
      <c r="BA106" s="152" t="n"/>
      <c r="BB106" s="152" t="n"/>
    </row>
    <row r="107" ht="15" customHeight="1" s="91">
      <c r="B107" s="153" t="inlineStr">
        <is>
          <t>Project IRR (Unlevered)</t>
        </is>
      </c>
      <c r="C107" s="167">
        <f>IFERROR(IRR(E52:BB52),"-")</f>
        <v/>
      </c>
    </row>
    <row r="108" ht="15" customHeight="1" s="91">
      <c r="B108" s="153" t="inlineStr">
        <is>
          <t>LP Net IRR</t>
        </is>
      </c>
      <c r="C108" s="167">
        <f>E101</f>
        <v/>
      </c>
    </row>
    <row r="109" ht="15" customHeight="1" s="91">
      <c r="B109" s="153" t="inlineStr">
        <is>
          <t>GP Net IRR</t>
        </is>
      </c>
      <c r="C109" s="167">
        <f>E104</f>
        <v/>
      </c>
    </row>
    <row r="110" ht="15" customHeight="1" s="91">
      <c r="B110" s="153" t="inlineStr">
        <is>
          <t>LP MOIC</t>
        </is>
      </c>
      <c r="C110" s="168">
        <f>IFERROR(D93/(D56*$C$16),"-")</f>
        <v/>
      </c>
    </row>
    <row r="111" ht="15" customHeight="1" s="91">
      <c r="B111" s="153" t="inlineStr">
        <is>
          <t>GP MOIC</t>
        </is>
      </c>
      <c r="C111" s="168">
        <f>IFERROR(D94/(D56*$C$15),"-")</f>
        <v/>
      </c>
    </row>
    <row r="113" ht="15" customHeight="1" s="91">
      <c r="B113" s="153" t="inlineStr">
        <is>
          <t>Total Equity</t>
        </is>
      </c>
      <c r="C113" s="157">
        <f>$C$14</f>
        <v/>
      </c>
    </row>
    <row r="114" ht="15" customHeight="1" s="91">
      <c r="B114" s="153" t="inlineStr">
        <is>
          <t>Total Debt Drawn</t>
        </is>
      </c>
      <c r="C114" s="157">
        <f>D57</f>
        <v/>
      </c>
    </row>
    <row r="115" ht="15" customHeight="1" s="91">
      <c r="B115" s="153" t="inlineStr">
        <is>
          <t>Total Fees</t>
        </is>
      </c>
      <c r="C115" s="157">
        <f>D69</f>
        <v/>
      </c>
    </row>
    <row r="116" ht="15" customHeight="1" s="91">
      <c r="B116" s="153" t="inlineStr">
        <is>
          <t>Exit Proceeds</t>
        </is>
      </c>
      <c r="C116" s="157">
        <f>D51</f>
        <v/>
      </c>
    </row>
    <row r="118" ht="15" customHeight="1" s="91">
      <c r="A118" s="152" t="inlineStr">
        <is>
          <t>MODEL CHECKS  فحوصات النموذج</t>
        </is>
      </c>
      <c r="B118" s="152" t="n"/>
      <c r="C118" s="152" t="n"/>
      <c r="D118" s="152" t="n"/>
      <c r="E118" s="152" t="n"/>
      <c r="F118" s="152" t="n"/>
      <c r="G118" s="152" t="n"/>
      <c r="H118" s="152" t="n"/>
      <c r="I118" s="152" t="n"/>
      <c r="J118" s="152" t="n"/>
      <c r="K118" s="152" t="n"/>
      <c r="L118" s="152" t="n"/>
      <c r="M118" s="152" t="n"/>
      <c r="N118" s="152" t="n"/>
      <c r="O118" s="152" t="n"/>
      <c r="P118" s="152" t="n"/>
      <c r="Q118" s="152" t="n"/>
      <c r="R118" s="152" t="n"/>
      <c r="S118" s="152" t="n"/>
      <c r="T118" s="152" t="n"/>
      <c r="U118" s="152" t="n"/>
      <c r="V118" s="152" t="n"/>
      <c r="W118" s="152" t="n"/>
      <c r="X118" s="152" t="n"/>
      <c r="Y118" s="152" t="n"/>
      <c r="Z118" s="152" t="n"/>
      <c r="AA118" s="152" t="n"/>
      <c r="AB118" s="152" t="n"/>
      <c r="AC118" s="152" t="n"/>
      <c r="AD118" s="152" t="n"/>
      <c r="AE118" s="152" t="n"/>
      <c r="AF118" s="152" t="n"/>
      <c r="AG118" s="152" t="n"/>
      <c r="AH118" s="152" t="n"/>
      <c r="AI118" s="152" t="n"/>
      <c r="AJ118" s="152" t="n"/>
      <c r="AK118" s="152" t="n"/>
      <c r="AL118" s="152" t="n"/>
      <c r="AM118" s="152" t="n"/>
      <c r="AN118" s="152" t="n"/>
      <c r="AO118" s="152" t="n"/>
      <c r="AP118" s="152" t="n"/>
      <c r="AQ118" s="152" t="n"/>
      <c r="AR118" s="152" t="n"/>
      <c r="AS118" s="152" t="n"/>
      <c r="AT118" s="152" t="n"/>
      <c r="AU118" s="152" t="n"/>
      <c r="AV118" s="152" t="n"/>
      <c r="AW118" s="152" t="n"/>
      <c r="AX118" s="152" t="n"/>
      <c r="AY118" s="152" t="n"/>
      <c r="AZ118" s="152" t="n"/>
      <c r="BA118" s="152" t="n"/>
      <c r="BB118" s="152" t="n"/>
    </row>
    <row r="119" ht="15" customHeight="1" s="91">
      <c r="B119" s="153" t="inlineStr">
        <is>
          <t>Net CF = Inc+Land+CAPEX</t>
        </is>
      </c>
      <c r="C119" s="153">
        <f>IF(ABS(D50-(D47+D48+D49))&lt;1,"✓","✗")</f>
        <v/>
      </c>
    </row>
    <row r="120" ht="15" customHeight="1" s="91">
      <c r="B120" s="153" t="inlineStr">
        <is>
          <t>Equity Calls = Equity + Unfunded Fees</t>
        </is>
      </c>
      <c r="C120" s="153">
        <f>IF(ABS(D56-($C$14+D70))&lt;MAX(1,$C$14*0.05),"✓","✗")</f>
        <v/>
      </c>
    </row>
    <row r="121" ht="15" customHeight="1" s="91">
      <c r="B121" s="153" t="inlineStr">
        <is>
          <t>Distributions ≤ Cash Available</t>
        </is>
      </c>
      <c r="C121" s="153">
        <f>IF(D95&lt;=D75+1,"✓","✗")</f>
        <v/>
      </c>
    </row>
    <row r="122" ht="15" customHeight="1" s="91">
      <c r="B122" s="153" t="inlineStr">
        <is>
          <t>Debt Balance ≥ 0</t>
        </is>
      </c>
      <c r="C122" s="153">
        <f>IF(MIN(E60:BB60)&gt;=0,"✓","✗")</f>
        <v/>
      </c>
    </row>
    <row r="123" ht="15" customHeight="1" s="91">
      <c r="B123" s="153" t="inlineStr">
        <is>
          <t>LP+GP = Total Dist</t>
        </is>
      </c>
      <c r="C123" s="153">
        <f>IF(ABS(D95-(D93+D94))&lt;1,"✓","✗")</f>
        <v/>
      </c>
    </row>
    <row r="124" ht="15" customHeight="1" s="91">
      <c r="B124" s="153" t="inlineStr">
        <is>
          <t>Debt fully repaid by tenor end</t>
        </is>
      </c>
      <c r="C124" s="153">
        <f>IF(IFERROR(VLOOKUP($C$9+$C$24,E46:BB60,MATCH($C$9+$C$24,E46:BB46,0),FALSE()),0)&lt;=1,"✓","✗")</f>
        <v/>
      </c>
    </row>
    <row r="125" ht="15" customHeight="1" s="91">
      <c r="A125" s="152" t="inlineStr">
        <is>
          <t>NPV ANALYSIS  تحليل صافي القيمة الحالية</t>
        </is>
      </c>
      <c r="B125" s="152" t="n"/>
      <c r="C125" s="152" t="n"/>
      <c r="D125" s="152" t="n"/>
      <c r="E125" s="152" t="n"/>
      <c r="F125" s="152" t="n"/>
      <c r="G125" s="152" t="n"/>
      <c r="H125" s="152" t="n"/>
      <c r="I125" s="152" t="n"/>
      <c r="J125" s="152" t="n"/>
      <c r="K125" s="152" t="n"/>
      <c r="L125" s="152" t="n"/>
      <c r="M125" s="152" t="n"/>
      <c r="N125" s="152" t="n"/>
      <c r="O125" s="152" t="n"/>
      <c r="P125" s="152" t="n"/>
      <c r="Q125" s="152" t="n"/>
      <c r="R125" s="152" t="n"/>
      <c r="S125" s="152" t="n"/>
      <c r="T125" s="152" t="n"/>
      <c r="U125" s="152" t="n"/>
      <c r="V125" s="152" t="n"/>
      <c r="W125" s="152" t="n"/>
      <c r="X125" s="152" t="n"/>
      <c r="Y125" s="152" t="n"/>
      <c r="Z125" s="152" t="n"/>
      <c r="AA125" s="152" t="n"/>
      <c r="AB125" s="152" t="n"/>
      <c r="AC125" s="152" t="n"/>
      <c r="AD125" s="152" t="n"/>
      <c r="AE125" s="152" t="n"/>
      <c r="AF125" s="152" t="n"/>
      <c r="AG125" s="152" t="n"/>
      <c r="AH125" s="152" t="n"/>
      <c r="AI125" s="152" t="n"/>
      <c r="AJ125" s="152" t="n"/>
      <c r="AK125" s="152" t="n"/>
      <c r="AL125" s="152" t="n"/>
      <c r="AM125" s="152" t="n"/>
      <c r="AN125" s="152" t="n"/>
      <c r="AO125" s="152" t="n"/>
      <c r="AP125" s="152" t="n"/>
      <c r="AQ125" s="152" t="n"/>
      <c r="AR125" s="152" t="n"/>
      <c r="AS125" s="152" t="n"/>
      <c r="AT125" s="152" t="n"/>
      <c r="AU125" s="152" t="n"/>
      <c r="AV125" s="152" t="n"/>
      <c r="AW125" s="152" t="n"/>
      <c r="AX125" s="152" t="n"/>
      <c r="AY125" s="152" t="n"/>
      <c r="AZ125" s="152" t="n"/>
      <c r="BA125" s="152" t="n"/>
      <c r="BB125" s="152" t="n"/>
    </row>
    <row r="127" ht="15" customHeight="1" s="91">
      <c r="B127" s="153" t="inlineStr">
        <is>
          <t>Project (Unlevered)</t>
        </is>
      </c>
      <c r="C127" s="153" t="inlineStr">
        <is>
          <t>@ 10%</t>
        </is>
      </c>
      <c r="D127" s="160">
        <f>IFERROR(E52+NPV(0.1,F52:BB52),"-")</f>
        <v/>
      </c>
    </row>
    <row r="128" ht="15" customHeight="1" s="91">
      <c r="B128" s="169" t="inlineStr">
        <is>
          <t>═══ Debt Tranche Detail (perDraw mode) ═══</t>
        </is>
      </c>
      <c r="C128" s="153" t="inlineStr">
        <is>
          <t>@ 10%</t>
        </is>
      </c>
      <c r="D128" s="160">
        <f>IFERROR(E99+NPV(0.1,F99:BB99),"-")</f>
        <v/>
      </c>
    </row>
    <row r="129" ht="15" customHeight="1" s="91">
      <c r="B129" s="153" t="inlineStr">
        <is>
          <t>Tranche #</t>
        </is>
      </c>
      <c r="C129" s="153" t="inlineStr">
        <is>
          <t>Draw Amount</t>
        </is>
      </c>
      <c r="D129" s="160" t="inlineStr">
        <is>
          <t>Total Repaid</t>
        </is>
      </c>
      <c r="E129" s="90">
        <f>Inputs!$C$7+0</f>
        <v/>
      </c>
      <c r="F129" s="90">
        <f>Inputs!$C$7+1</f>
        <v/>
      </c>
      <c r="G129" s="90">
        <f>Inputs!$C$7+2</f>
        <v/>
      </c>
      <c r="H129" s="90">
        <f>Inputs!$C$7+3</f>
        <v/>
      </c>
      <c r="I129" s="90">
        <f>Inputs!$C$7+4</f>
        <v/>
      </c>
      <c r="J129" s="90">
        <f>Inputs!$C$7+5</f>
        <v/>
      </c>
      <c r="K129" s="90">
        <f>Inputs!$C$7+6</f>
        <v/>
      </c>
      <c r="L129" s="90">
        <f>Inputs!$C$7+7</f>
        <v/>
      </c>
      <c r="M129" s="90">
        <f>Inputs!$C$7+8</f>
        <v/>
      </c>
      <c r="N129" s="90">
        <f>Inputs!$C$7+9</f>
        <v/>
      </c>
      <c r="O129" s="90">
        <f>Inputs!$C$7+10</f>
        <v/>
      </c>
      <c r="P129" s="90">
        <f>Inputs!$C$7+11</f>
        <v/>
      </c>
      <c r="Q129" s="90">
        <f>Inputs!$C$7+12</f>
        <v/>
      </c>
      <c r="R129" s="90">
        <f>Inputs!$C$7+13</f>
        <v/>
      </c>
      <c r="S129" s="90">
        <f>Inputs!$C$7+14</f>
        <v/>
      </c>
      <c r="T129" s="90">
        <f>Inputs!$C$7+15</f>
        <v/>
      </c>
      <c r="U129" s="90">
        <f>Inputs!$C$7+16</f>
        <v/>
      </c>
      <c r="V129" s="90">
        <f>Inputs!$C$7+17</f>
        <v/>
      </c>
      <c r="W129" s="90">
        <f>Inputs!$C$7+18</f>
        <v/>
      </c>
      <c r="X129" s="90">
        <f>Inputs!$C$7+19</f>
        <v/>
      </c>
      <c r="Y129" s="90">
        <f>Inputs!$C$7+20</f>
        <v/>
      </c>
      <c r="Z129" s="90">
        <f>Inputs!$C$7+21</f>
        <v/>
      </c>
      <c r="AA129" s="90">
        <f>Inputs!$C$7+22</f>
        <v/>
      </c>
      <c r="AB129" s="90">
        <f>Inputs!$C$7+23</f>
        <v/>
      </c>
      <c r="AC129" s="90">
        <f>Inputs!$C$7+24</f>
        <v/>
      </c>
      <c r="AD129" s="90">
        <f>Inputs!$C$7+25</f>
        <v/>
      </c>
      <c r="AE129" s="90">
        <f>Inputs!$C$7+26</f>
        <v/>
      </c>
      <c r="AF129" s="90">
        <f>Inputs!$C$7+27</f>
        <v/>
      </c>
      <c r="AG129" s="90">
        <f>Inputs!$C$7+28</f>
        <v/>
      </c>
      <c r="AH129" s="90">
        <f>Inputs!$C$7+29</f>
        <v/>
      </c>
      <c r="AI129" s="90">
        <f>Inputs!$C$7+30</f>
        <v/>
      </c>
      <c r="AJ129" s="90">
        <f>Inputs!$C$7+31</f>
        <v/>
      </c>
      <c r="AK129" s="90">
        <f>Inputs!$C$7+32</f>
        <v/>
      </c>
      <c r="AL129" s="90">
        <f>Inputs!$C$7+33</f>
        <v/>
      </c>
      <c r="AM129" s="90">
        <f>Inputs!$C$7+34</f>
        <v/>
      </c>
      <c r="AN129" s="90">
        <f>Inputs!$C$7+35</f>
        <v/>
      </c>
      <c r="AO129" s="90">
        <f>Inputs!$C$7+36</f>
        <v/>
      </c>
      <c r="AP129" s="90">
        <f>Inputs!$C$7+37</f>
        <v/>
      </c>
      <c r="AQ129" s="90">
        <f>Inputs!$C$7+38</f>
        <v/>
      </c>
      <c r="AR129" s="90">
        <f>Inputs!$C$7+39</f>
        <v/>
      </c>
      <c r="AS129" s="90">
        <f>Inputs!$C$7+40</f>
        <v/>
      </c>
      <c r="AT129" s="90">
        <f>Inputs!$C$7+41</f>
        <v/>
      </c>
      <c r="AU129" s="90">
        <f>Inputs!$C$7+42</f>
        <v/>
      </c>
      <c r="AV129" s="90">
        <f>Inputs!$C$7+43</f>
        <v/>
      </c>
      <c r="AW129" s="90">
        <f>Inputs!$C$7+44</f>
        <v/>
      </c>
      <c r="AX129" s="90">
        <f>Inputs!$C$7+45</f>
        <v/>
      </c>
      <c r="AY129" s="90">
        <f>Inputs!$C$7+46</f>
        <v/>
      </c>
      <c r="AZ129" s="90">
        <f>Inputs!$C$7+47</f>
        <v/>
      </c>
      <c r="BA129" s="90">
        <f>Inputs!$C$7+48</f>
        <v/>
      </c>
      <c r="BB129" s="90">
        <f>Inputs!$C$7+49</f>
        <v/>
      </c>
    </row>
    <row r="130" ht="15" customHeight="1" s="91">
      <c r="B130" s="90" t="inlineStr">
        <is>
          <t>Tranche 1</t>
        </is>
      </c>
      <c r="C130" s="170">
        <f>IF(ABS($D$49)&gt;0,SUMPRODUCT(($E$46:$BB$46=$C$9+0)*IF($E49:$BB49&lt;0,ABS($E49:$BB49),0))*$C$19/ABS($D$49),0)</f>
        <v/>
      </c>
      <c r="D130" s="90">
        <f>SUM(E130:BB130)</f>
        <v/>
      </c>
      <c r="E130" s="90">
        <f>IF(AND($C130&gt;0,E$46&gt;=$C$9+0+$C$26,0&lt;$C130),MIN($C130/$C$27,$C130-0),0)</f>
        <v/>
      </c>
      <c r="F130" s="90">
        <f>IF(AND($C130&gt;0,F$46&gt;=$C$9+0+$C$26,SUM($E130:E130)&lt;$C130),MIN($C130/$C$27,$C130-SUM($E130:E130)),0)</f>
        <v/>
      </c>
      <c r="G130" s="90">
        <f>IF(AND($C130&gt;0,G$46&gt;=$C$9+0+$C$26,SUM($E130:F130)&lt;$C130),MIN($C130/$C$27,$C130-SUM($E130:F130)),0)</f>
        <v/>
      </c>
      <c r="H130" s="90">
        <f>IF(AND($C130&gt;0,H$46&gt;=$C$9+0+$C$26,SUM($E130:G130)&lt;$C130),MIN($C130/$C$27,$C130-SUM($E130:G130)),0)</f>
        <v/>
      </c>
      <c r="I130" s="90">
        <f>IF(AND($C130&gt;0,I$46&gt;=$C$9+0+$C$26,SUM($E130:H130)&lt;$C130),MIN($C130/$C$27,$C130-SUM($E130:H130)),0)</f>
        <v/>
      </c>
      <c r="J130" s="90">
        <f>IF(AND($C130&gt;0,J$46&gt;=$C$9+0+$C$26,SUM($E130:I130)&lt;$C130),MIN($C130/$C$27,$C130-SUM($E130:I130)),0)</f>
        <v/>
      </c>
      <c r="K130" s="90">
        <f>IF(AND($C130&gt;0,K$46&gt;=$C$9+0+$C$26,SUM($E130:J130)&lt;$C130),MIN($C130/$C$27,$C130-SUM($E130:J130)),0)</f>
        <v/>
      </c>
      <c r="L130" s="90">
        <f>IF(AND($C130&gt;0,L$46&gt;=$C$9+0+$C$26,SUM($E130:K130)&lt;$C130),MIN($C130/$C$27,$C130-SUM($E130:K130)),0)</f>
        <v/>
      </c>
      <c r="M130" s="90">
        <f>IF(AND($C130&gt;0,M$46&gt;=$C$9+0+$C$26,SUM($E130:L130)&lt;$C130),MIN($C130/$C$27,$C130-SUM($E130:L130)),0)</f>
        <v/>
      </c>
      <c r="N130" s="90">
        <f>IF(AND($C130&gt;0,N$46&gt;=$C$9+0+$C$26,SUM($E130:M130)&lt;$C130),MIN($C130/$C$27,$C130-SUM($E130:M130)),0)</f>
        <v/>
      </c>
      <c r="O130" s="90">
        <f>IF(AND($C130&gt;0,O$46&gt;=$C$9+0+$C$26,SUM($E130:N130)&lt;$C130),MIN($C130/$C$27,$C130-SUM($E130:N130)),0)</f>
        <v/>
      </c>
      <c r="P130" s="90">
        <f>IF(AND($C130&gt;0,P$46&gt;=$C$9+0+$C$26,SUM($E130:O130)&lt;$C130),MIN($C130/$C$27,$C130-SUM($E130:O130)),0)</f>
        <v/>
      </c>
      <c r="Q130" s="90">
        <f>IF(AND($C130&gt;0,Q$46&gt;=$C$9+0+$C$26,SUM($E130:P130)&lt;$C130),MIN($C130/$C$27,$C130-SUM($E130:P130)),0)</f>
        <v/>
      </c>
      <c r="R130" s="90">
        <f>IF(AND($C130&gt;0,R$46&gt;=$C$9+0+$C$26,SUM($E130:Q130)&lt;$C130),MIN($C130/$C$27,$C130-SUM($E130:Q130)),0)</f>
        <v/>
      </c>
      <c r="S130" s="90">
        <f>IF(AND($C130&gt;0,S$46&gt;=$C$9+0+$C$26,SUM($E130:R130)&lt;$C130),MIN($C130/$C$27,$C130-SUM($E130:R130)),0)</f>
        <v/>
      </c>
      <c r="T130" s="90">
        <f>IF(AND($C130&gt;0,T$46&gt;=$C$9+0+$C$26,SUM($E130:S130)&lt;$C130),MIN($C130/$C$27,$C130-SUM($E130:S130)),0)</f>
        <v/>
      </c>
      <c r="U130" s="90">
        <f>IF(AND($C130&gt;0,U$46&gt;=$C$9+0+$C$26,SUM($E130:T130)&lt;$C130),MIN($C130/$C$27,$C130-SUM($E130:T130)),0)</f>
        <v/>
      </c>
      <c r="V130" s="90">
        <f>IF(AND($C130&gt;0,V$46&gt;=$C$9+0+$C$26,SUM($E130:U130)&lt;$C130),MIN($C130/$C$27,$C130-SUM($E130:U130)),0)</f>
        <v/>
      </c>
      <c r="W130" s="90">
        <f>IF(AND($C130&gt;0,W$46&gt;=$C$9+0+$C$26,SUM($E130:V130)&lt;$C130),MIN($C130/$C$27,$C130-SUM($E130:V130)),0)</f>
        <v/>
      </c>
      <c r="X130" s="90">
        <f>IF(AND($C130&gt;0,X$46&gt;=$C$9+0+$C$26,SUM($E130:W130)&lt;$C130),MIN($C130/$C$27,$C130-SUM($E130:W130)),0)</f>
        <v/>
      </c>
      <c r="Y130" s="90">
        <f>IF(AND($C130&gt;0,Y$46&gt;=$C$9+0+$C$26,SUM($E130:X130)&lt;$C130),MIN($C130/$C$27,$C130-SUM($E130:X130)),0)</f>
        <v/>
      </c>
      <c r="Z130" s="90">
        <f>IF(AND($C130&gt;0,Z$46&gt;=$C$9+0+$C$26,SUM($E130:Y130)&lt;$C130),MIN($C130/$C$27,$C130-SUM($E130:Y130)),0)</f>
        <v/>
      </c>
      <c r="AA130" s="90">
        <f>IF(AND($C130&gt;0,AA$46&gt;=$C$9+0+$C$26,SUM($E130:Z130)&lt;$C130),MIN($C130/$C$27,$C130-SUM($E130:Z130)),0)</f>
        <v/>
      </c>
      <c r="AB130" s="90">
        <f>IF(AND($C130&gt;0,AB$46&gt;=$C$9+0+$C$26,SUM($E130:AA130)&lt;$C130),MIN($C130/$C$27,$C130-SUM($E130:AA130)),0)</f>
        <v/>
      </c>
      <c r="AC130" s="90">
        <f>IF(AND($C130&gt;0,AC$46&gt;=$C$9+0+$C$26,SUM($E130:AB130)&lt;$C130),MIN($C130/$C$27,$C130-SUM($E130:AB130)),0)</f>
        <v/>
      </c>
      <c r="AD130" s="90">
        <f>IF(AND($C130&gt;0,AD$46&gt;=$C$9+0+$C$26,SUM($E130:AC130)&lt;$C130),MIN($C130/$C$27,$C130-SUM($E130:AC130)),0)</f>
        <v/>
      </c>
      <c r="AE130" s="90">
        <f>IF(AND($C130&gt;0,AE$46&gt;=$C$9+0+$C$26,SUM($E130:AD130)&lt;$C130),MIN($C130/$C$27,$C130-SUM($E130:AD130)),0)</f>
        <v/>
      </c>
      <c r="AF130" s="90">
        <f>IF(AND($C130&gt;0,AF$46&gt;=$C$9+0+$C$26,SUM($E130:AE130)&lt;$C130),MIN($C130/$C$27,$C130-SUM($E130:AE130)),0)</f>
        <v/>
      </c>
      <c r="AG130" s="90">
        <f>IF(AND($C130&gt;0,AG$46&gt;=$C$9+0+$C$26,SUM($E130:AF130)&lt;$C130),MIN($C130/$C$27,$C130-SUM($E130:AF130)),0)</f>
        <v/>
      </c>
      <c r="AH130" s="90">
        <f>IF(AND($C130&gt;0,AH$46&gt;=$C$9+0+$C$26,SUM($E130:AG130)&lt;$C130),MIN($C130/$C$27,$C130-SUM($E130:AG130)),0)</f>
        <v/>
      </c>
      <c r="AI130" s="90">
        <f>IF(AND($C130&gt;0,AI$46&gt;=$C$9+0+$C$26,SUM($E130:AH130)&lt;$C130),MIN($C130/$C$27,$C130-SUM($E130:AH130)),0)</f>
        <v/>
      </c>
      <c r="AJ130" s="90">
        <f>IF(AND($C130&gt;0,AJ$46&gt;=$C$9+0+$C$26,SUM($E130:AI130)&lt;$C130),MIN($C130/$C$27,$C130-SUM($E130:AI130)),0)</f>
        <v/>
      </c>
      <c r="AK130" s="90">
        <f>IF(AND($C130&gt;0,AK$46&gt;=$C$9+0+$C$26,SUM($E130:AJ130)&lt;$C130),MIN($C130/$C$27,$C130-SUM($E130:AJ130)),0)</f>
        <v/>
      </c>
      <c r="AL130" s="90">
        <f>IF(AND($C130&gt;0,AL$46&gt;=$C$9+0+$C$26,SUM($E130:AK130)&lt;$C130),MIN($C130/$C$27,$C130-SUM($E130:AK130)),0)</f>
        <v/>
      </c>
      <c r="AM130" s="90">
        <f>IF(AND($C130&gt;0,AM$46&gt;=$C$9+0+$C$26,SUM($E130:AL130)&lt;$C130),MIN($C130/$C$27,$C130-SUM($E130:AL130)),0)</f>
        <v/>
      </c>
      <c r="AN130" s="90">
        <f>IF(AND($C130&gt;0,AN$46&gt;=$C$9+0+$C$26,SUM($E130:AM130)&lt;$C130),MIN($C130/$C$27,$C130-SUM($E130:AM130)),0)</f>
        <v/>
      </c>
      <c r="AO130" s="90">
        <f>IF(AND($C130&gt;0,AO$46&gt;=$C$9+0+$C$26,SUM($E130:AN130)&lt;$C130),MIN($C130/$C$27,$C130-SUM($E130:AN130)),0)</f>
        <v/>
      </c>
      <c r="AP130" s="90">
        <f>IF(AND($C130&gt;0,AP$46&gt;=$C$9+0+$C$26,SUM($E130:AO130)&lt;$C130),MIN($C130/$C$27,$C130-SUM($E130:AO130)),0)</f>
        <v/>
      </c>
      <c r="AQ130" s="90">
        <f>IF(AND($C130&gt;0,AQ$46&gt;=$C$9+0+$C$26,SUM($E130:AP130)&lt;$C130),MIN($C130/$C$27,$C130-SUM($E130:AP130)),0)</f>
        <v/>
      </c>
      <c r="AR130" s="90">
        <f>IF(AND($C130&gt;0,AR$46&gt;=$C$9+0+$C$26,SUM($E130:AQ130)&lt;$C130),MIN($C130/$C$27,$C130-SUM($E130:AQ130)),0)</f>
        <v/>
      </c>
      <c r="AS130" s="90">
        <f>IF(AND($C130&gt;0,AS$46&gt;=$C$9+0+$C$26,SUM($E130:AR130)&lt;$C130),MIN($C130/$C$27,$C130-SUM($E130:AR130)),0)</f>
        <v/>
      </c>
      <c r="AT130" s="90">
        <f>IF(AND($C130&gt;0,AT$46&gt;=$C$9+0+$C$26,SUM($E130:AS130)&lt;$C130),MIN($C130/$C$27,$C130-SUM($E130:AS130)),0)</f>
        <v/>
      </c>
      <c r="AU130" s="90">
        <f>IF(AND($C130&gt;0,AU$46&gt;=$C$9+0+$C$26,SUM($E130:AT130)&lt;$C130),MIN($C130/$C$27,$C130-SUM($E130:AT130)),0)</f>
        <v/>
      </c>
      <c r="AV130" s="90">
        <f>IF(AND($C130&gt;0,AV$46&gt;=$C$9+0+$C$26,SUM($E130:AU130)&lt;$C130),MIN($C130/$C$27,$C130-SUM($E130:AU130)),0)</f>
        <v/>
      </c>
      <c r="AW130" s="90">
        <f>IF(AND($C130&gt;0,AW$46&gt;=$C$9+0+$C$26,SUM($E130:AV130)&lt;$C130),MIN($C130/$C$27,$C130-SUM($E130:AV130)),0)</f>
        <v/>
      </c>
      <c r="AX130" s="90">
        <f>IF(AND($C130&gt;0,AX$46&gt;=$C$9+0+$C$26,SUM($E130:AW130)&lt;$C130),MIN($C130/$C$27,$C130-SUM($E130:AW130)),0)</f>
        <v/>
      </c>
      <c r="AY130" s="90">
        <f>IF(AND($C130&gt;0,AY$46&gt;=$C$9+0+$C$26,SUM($E130:AX130)&lt;$C130),MIN($C130/$C$27,$C130-SUM($E130:AX130)),0)</f>
        <v/>
      </c>
      <c r="AZ130" s="90">
        <f>IF(AND($C130&gt;0,AZ$46&gt;=$C$9+0+$C$26,SUM($E130:AY130)&lt;$C130),MIN($C130/$C$27,$C130-SUM($E130:AY130)),0)</f>
        <v/>
      </c>
      <c r="BA130" s="90">
        <f>IF(AND($C130&gt;0,BA$46&gt;=$C$9+0+$C$26,SUM($E130:AZ130)&lt;$C130),MIN($C130/$C$27,$C130-SUM($E130:AZ130)),0)</f>
        <v/>
      </c>
      <c r="BB130" s="90">
        <f>IF(AND($C130&gt;0,BB$46&gt;=$C$9+0+$C$26,SUM($E130:BA130)&lt;$C130),MIN($C130/$C$27,$C130-SUM($E130:BA130)),0)</f>
        <v/>
      </c>
    </row>
    <row r="131" ht="15" customHeight="1" s="91">
      <c r="B131" s="153" t="inlineStr">
        <is>
          <t>Tranche 2</t>
        </is>
      </c>
      <c r="C131" s="160">
        <f>IF(ABS($D$49)&gt;0,SUMPRODUCT(($E$46:$BB$46=$C$9+1)*IF($E49:$BB49&lt;0,ABS($E49:$BB49),0))*$C$19/ABS($D$49),0)</f>
        <v/>
      </c>
      <c r="D131" s="160">
        <f>SUM(E131:BB131)</f>
        <v/>
      </c>
      <c r="E131" s="90">
        <f>IF(AND($C131&gt;0,E$46&gt;=$C$9+1+$C$26,0&lt;$C131),MIN($C131/$C$27,$C131-0),0)</f>
        <v/>
      </c>
      <c r="F131" s="90">
        <f>IF(AND($C131&gt;0,F$46&gt;=$C$9+1+$C$26,SUM($E131:E131)&lt;$C131),MIN($C131/$C$27,$C131-SUM($E131:E131)),0)</f>
        <v/>
      </c>
      <c r="G131" s="90">
        <f>IF(AND($C131&gt;0,G$46&gt;=$C$9+1+$C$26,SUM($E131:F131)&lt;$C131),MIN($C131/$C$27,$C131-SUM($E131:F131)),0)</f>
        <v/>
      </c>
      <c r="H131" s="90">
        <f>IF(AND($C131&gt;0,H$46&gt;=$C$9+1+$C$26,SUM($E131:G131)&lt;$C131),MIN($C131/$C$27,$C131-SUM($E131:G131)),0)</f>
        <v/>
      </c>
      <c r="I131" s="90">
        <f>IF(AND($C131&gt;0,I$46&gt;=$C$9+1+$C$26,SUM($E131:H131)&lt;$C131),MIN($C131/$C$27,$C131-SUM($E131:H131)),0)</f>
        <v/>
      </c>
      <c r="J131" s="90">
        <f>IF(AND($C131&gt;0,J$46&gt;=$C$9+1+$C$26,SUM($E131:I131)&lt;$C131),MIN($C131/$C$27,$C131-SUM($E131:I131)),0)</f>
        <v/>
      </c>
      <c r="K131" s="90">
        <f>IF(AND($C131&gt;0,K$46&gt;=$C$9+1+$C$26,SUM($E131:J131)&lt;$C131),MIN($C131/$C$27,$C131-SUM($E131:J131)),0)</f>
        <v/>
      </c>
      <c r="L131" s="90">
        <f>IF(AND($C131&gt;0,L$46&gt;=$C$9+1+$C$26,SUM($E131:K131)&lt;$C131),MIN($C131/$C$27,$C131-SUM($E131:K131)),0)</f>
        <v/>
      </c>
      <c r="M131" s="90">
        <f>IF(AND($C131&gt;0,M$46&gt;=$C$9+1+$C$26,SUM($E131:L131)&lt;$C131),MIN($C131/$C$27,$C131-SUM($E131:L131)),0)</f>
        <v/>
      </c>
      <c r="N131" s="90">
        <f>IF(AND($C131&gt;0,N$46&gt;=$C$9+1+$C$26,SUM($E131:M131)&lt;$C131),MIN($C131/$C$27,$C131-SUM($E131:M131)),0)</f>
        <v/>
      </c>
      <c r="O131" s="90">
        <f>IF(AND($C131&gt;0,O$46&gt;=$C$9+1+$C$26,SUM($E131:N131)&lt;$C131),MIN($C131/$C$27,$C131-SUM($E131:N131)),0)</f>
        <v/>
      </c>
      <c r="P131" s="90">
        <f>IF(AND($C131&gt;0,P$46&gt;=$C$9+1+$C$26,SUM($E131:O131)&lt;$C131),MIN($C131/$C$27,$C131-SUM($E131:O131)),0)</f>
        <v/>
      </c>
      <c r="Q131" s="90">
        <f>IF(AND($C131&gt;0,Q$46&gt;=$C$9+1+$C$26,SUM($E131:P131)&lt;$C131),MIN($C131/$C$27,$C131-SUM($E131:P131)),0)</f>
        <v/>
      </c>
      <c r="R131" s="90">
        <f>IF(AND($C131&gt;0,R$46&gt;=$C$9+1+$C$26,SUM($E131:Q131)&lt;$C131),MIN($C131/$C$27,$C131-SUM($E131:Q131)),0)</f>
        <v/>
      </c>
      <c r="S131" s="90">
        <f>IF(AND($C131&gt;0,S$46&gt;=$C$9+1+$C$26,SUM($E131:R131)&lt;$C131),MIN($C131/$C$27,$C131-SUM($E131:R131)),0)</f>
        <v/>
      </c>
      <c r="T131" s="90">
        <f>IF(AND($C131&gt;0,T$46&gt;=$C$9+1+$C$26,SUM($E131:S131)&lt;$C131),MIN($C131/$C$27,$C131-SUM($E131:S131)),0)</f>
        <v/>
      </c>
      <c r="U131" s="90">
        <f>IF(AND($C131&gt;0,U$46&gt;=$C$9+1+$C$26,SUM($E131:T131)&lt;$C131),MIN($C131/$C$27,$C131-SUM($E131:T131)),0)</f>
        <v/>
      </c>
      <c r="V131" s="90">
        <f>IF(AND($C131&gt;0,V$46&gt;=$C$9+1+$C$26,SUM($E131:U131)&lt;$C131),MIN($C131/$C$27,$C131-SUM($E131:U131)),0)</f>
        <v/>
      </c>
      <c r="W131" s="90">
        <f>IF(AND($C131&gt;0,W$46&gt;=$C$9+1+$C$26,SUM($E131:V131)&lt;$C131),MIN($C131/$C$27,$C131-SUM($E131:V131)),0)</f>
        <v/>
      </c>
      <c r="X131" s="90">
        <f>IF(AND($C131&gt;0,X$46&gt;=$C$9+1+$C$26,SUM($E131:W131)&lt;$C131),MIN($C131/$C$27,$C131-SUM($E131:W131)),0)</f>
        <v/>
      </c>
      <c r="Y131" s="90">
        <f>IF(AND($C131&gt;0,Y$46&gt;=$C$9+1+$C$26,SUM($E131:X131)&lt;$C131),MIN($C131/$C$27,$C131-SUM($E131:X131)),0)</f>
        <v/>
      </c>
      <c r="Z131" s="90">
        <f>IF(AND($C131&gt;0,Z$46&gt;=$C$9+1+$C$26,SUM($E131:Y131)&lt;$C131),MIN($C131/$C$27,$C131-SUM($E131:Y131)),0)</f>
        <v/>
      </c>
      <c r="AA131" s="90">
        <f>IF(AND($C131&gt;0,AA$46&gt;=$C$9+1+$C$26,SUM($E131:Z131)&lt;$C131),MIN($C131/$C$27,$C131-SUM($E131:Z131)),0)</f>
        <v/>
      </c>
      <c r="AB131" s="90">
        <f>IF(AND($C131&gt;0,AB$46&gt;=$C$9+1+$C$26,SUM($E131:AA131)&lt;$C131),MIN($C131/$C$27,$C131-SUM($E131:AA131)),0)</f>
        <v/>
      </c>
      <c r="AC131" s="90">
        <f>IF(AND($C131&gt;0,AC$46&gt;=$C$9+1+$C$26,SUM($E131:AB131)&lt;$C131),MIN($C131/$C$27,$C131-SUM($E131:AB131)),0)</f>
        <v/>
      </c>
      <c r="AD131" s="90">
        <f>IF(AND($C131&gt;0,AD$46&gt;=$C$9+1+$C$26,SUM($E131:AC131)&lt;$C131),MIN($C131/$C$27,$C131-SUM($E131:AC131)),0)</f>
        <v/>
      </c>
      <c r="AE131" s="90">
        <f>IF(AND($C131&gt;0,AE$46&gt;=$C$9+1+$C$26,SUM($E131:AD131)&lt;$C131),MIN($C131/$C$27,$C131-SUM($E131:AD131)),0)</f>
        <v/>
      </c>
      <c r="AF131" s="90">
        <f>IF(AND($C131&gt;0,AF$46&gt;=$C$9+1+$C$26,SUM($E131:AE131)&lt;$C131),MIN($C131/$C$27,$C131-SUM($E131:AE131)),0)</f>
        <v/>
      </c>
      <c r="AG131" s="90">
        <f>IF(AND($C131&gt;0,AG$46&gt;=$C$9+1+$C$26,SUM($E131:AF131)&lt;$C131),MIN($C131/$C$27,$C131-SUM($E131:AF131)),0)</f>
        <v/>
      </c>
      <c r="AH131" s="90">
        <f>IF(AND($C131&gt;0,AH$46&gt;=$C$9+1+$C$26,SUM($E131:AG131)&lt;$C131),MIN($C131/$C$27,$C131-SUM($E131:AG131)),0)</f>
        <v/>
      </c>
      <c r="AI131" s="90">
        <f>IF(AND($C131&gt;0,AI$46&gt;=$C$9+1+$C$26,SUM($E131:AH131)&lt;$C131),MIN($C131/$C$27,$C131-SUM($E131:AH131)),0)</f>
        <v/>
      </c>
      <c r="AJ131" s="90">
        <f>IF(AND($C131&gt;0,AJ$46&gt;=$C$9+1+$C$26,SUM($E131:AI131)&lt;$C131),MIN($C131/$C$27,$C131-SUM($E131:AI131)),0)</f>
        <v/>
      </c>
      <c r="AK131" s="90">
        <f>IF(AND($C131&gt;0,AK$46&gt;=$C$9+1+$C$26,SUM($E131:AJ131)&lt;$C131),MIN($C131/$C$27,$C131-SUM($E131:AJ131)),0)</f>
        <v/>
      </c>
      <c r="AL131" s="90">
        <f>IF(AND($C131&gt;0,AL$46&gt;=$C$9+1+$C$26,SUM($E131:AK131)&lt;$C131),MIN($C131/$C$27,$C131-SUM($E131:AK131)),0)</f>
        <v/>
      </c>
      <c r="AM131" s="90">
        <f>IF(AND($C131&gt;0,AM$46&gt;=$C$9+1+$C$26,SUM($E131:AL131)&lt;$C131),MIN($C131/$C$27,$C131-SUM($E131:AL131)),0)</f>
        <v/>
      </c>
      <c r="AN131" s="90">
        <f>IF(AND($C131&gt;0,AN$46&gt;=$C$9+1+$C$26,SUM($E131:AM131)&lt;$C131),MIN($C131/$C$27,$C131-SUM($E131:AM131)),0)</f>
        <v/>
      </c>
      <c r="AO131" s="90">
        <f>IF(AND($C131&gt;0,AO$46&gt;=$C$9+1+$C$26,SUM($E131:AN131)&lt;$C131),MIN($C131/$C$27,$C131-SUM($E131:AN131)),0)</f>
        <v/>
      </c>
      <c r="AP131" s="90">
        <f>IF(AND($C131&gt;0,AP$46&gt;=$C$9+1+$C$26,SUM($E131:AO131)&lt;$C131),MIN($C131/$C$27,$C131-SUM($E131:AO131)),0)</f>
        <v/>
      </c>
      <c r="AQ131" s="90">
        <f>IF(AND($C131&gt;0,AQ$46&gt;=$C$9+1+$C$26,SUM($E131:AP131)&lt;$C131),MIN($C131/$C$27,$C131-SUM($E131:AP131)),0)</f>
        <v/>
      </c>
      <c r="AR131" s="90">
        <f>IF(AND($C131&gt;0,AR$46&gt;=$C$9+1+$C$26,SUM($E131:AQ131)&lt;$C131),MIN($C131/$C$27,$C131-SUM($E131:AQ131)),0)</f>
        <v/>
      </c>
      <c r="AS131" s="90">
        <f>IF(AND($C131&gt;0,AS$46&gt;=$C$9+1+$C$26,SUM($E131:AR131)&lt;$C131),MIN($C131/$C$27,$C131-SUM($E131:AR131)),0)</f>
        <v/>
      </c>
      <c r="AT131" s="90">
        <f>IF(AND($C131&gt;0,AT$46&gt;=$C$9+1+$C$26,SUM($E131:AS131)&lt;$C131),MIN($C131/$C$27,$C131-SUM($E131:AS131)),0)</f>
        <v/>
      </c>
      <c r="AU131" s="90">
        <f>IF(AND($C131&gt;0,AU$46&gt;=$C$9+1+$C$26,SUM($E131:AT131)&lt;$C131),MIN($C131/$C$27,$C131-SUM($E131:AT131)),0)</f>
        <v/>
      </c>
      <c r="AV131" s="90">
        <f>IF(AND($C131&gt;0,AV$46&gt;=$C$9+1+$C$26,SUM($E131:AU131)&lt;$C131),MIN($C131/$C$27,$C131-SUM($E131:AU131)),0)</f>
        <v/>
      </c>
      <c r="AW131" s="90">
        <f>IF(AND($C131&gt;0,AW$46&gt;=$C$9+1+$C$26,SUM($E131:AV131)&lt;$C131),MIN($C131/$C$27,$C131-SUM($E131:AV131)),0)</f>
        <v/>
      </c>
      <c r="AX131" s="90">
        <f>IF(AND($C131&gt;0,AX$46&gt;=$C$9+1+$C$26,SUM($E131:AW131)&lt;$C131),MIN($C131/$C$27,$C131-SUM($E131:AW131)),0)</f>
        <v/>
      </c>
      <c r="AY131" s="90">
        <f>IF(AND($C131&gt;0,AY$46&gt;=$C$9+1+$C$26,SUM($E131:AX131)&lt;$C131),MIN($C131/$C$27,$C131-SUM($E131:AX131)),0)</f>
        <v/>
      </c>
      <c r="AZ131" s="90">
        <f>IF(AND($C131&gt;0,AZ$46&gt;=$C$9+1+$C$26,SUM($E131:AY131)&lt;$C131),MIN($C131/$C$27,$C131-SUM($E131:AY131)),0)</f>
        <v/>
      </c>
      <c r="BA131" s="90">
        <f>IF(AND($C131&gt;0,BA$46&gt;=$C$9+1+$C$26,SUM($E131:AZ131)&lt;$C131),MIN($C131/$C$27,$C131-SUM($E131:AZ131)),0)</f>
        <v/>
      </c>
      <c r="BB131" s="90">
        <f>IF(AND($C131&gt;0,BB$46&gt;=$C$9+1+$C$26,SUM($E131:BA131)&lt;$C131),MIN($C131/$C$27,$C131-SUM($E131:BA131)),0)</f>
        <v/>
      </c>
    </row>
    <row r="132" ht="15" customHeight="1" s="91">
      <c r="B132" s="153" t="inlineStr">
        <is>
          <t>Tranche 3</t>
        </is>
      </c>
      <c r="C132" s="160">
        <f>IF(ABS($D$49)&gt;0,SUMPRODUCT(($E$46:$BB$46=$C$9+2)*IF($E49:$BB49&lt;0,ABS($E49:$BB49),0))*$C$19/ABS($D$49),0)</f>
        <v/>
      </c>
      <c r="D132" s="160">
        <f>SUM(E132:BB132)</f>
        <v/>
      </c>
      <c r="E132" s="90">
        <f>IF(AND($C132&gt;0,E$46&gt;=$C$9+2+$C$26,0&lt;$C132),MIN($C132/$C$27,$C132-0),0)</f>
        <v/>
      </c>
      <c r="F132" s="90">
        <f>IF(AND($C132&gt;0,F$46&gt;=$C$9+2+$C$26,SUM($E132:E132)&lt;$C132),MIN($C132/$C$27,$C132-SUM($E132:E132)),0)</f>
        <v/>
      </c>
      <c r="G132" s="90">
        <f>IF(AND($C132&gt;0,G$46&gt;=$C$9+2+$C$26,SUM($E132:F132)&lt;$C132),MIN($C132/$C$27,$C132-SUM($E132:F132)),0)</f>
        <v/>
      </c>
      <c r="H132" s="90">
        <f>IF(AND($C132&gt;0,H$46&gt;=$C$9+2+$C$26,SUM($E132:G132)&lt;$C132),MIN($C132/$C$27,$C132-SUM($E132:G132)),0)</f>
        <v/>
      </c>
      <c r="I132" s="90">
        <f>IF(AND($C132&gt;0,I$46&gt;=$C$9+2+$C$26,SUM($E132:H132)&lt;$C132),MIN($C132/$C$27,$C132-SUM($E132:H132)),0)</f>
        <v/>
      </c>
      <c r="J132" s="90">
        <f>IF(AND($C132&gt;0,J$46&gt;=$C$9+2+$C$26,SUM($E132:I132)&lt;$C132),MIN($C132/$C$27,$C132-SUM($E132:I132)),0)</f>
        <v/>
      </c>
      <c r="K132" s="90">
        <f>IF(AND($C132&gt;0,K$46&gt;=$C$9+2+$C$26,SUM($E132:J132)&lt;$C132),MIN($C132/$C$27,$C132-SUM($E132:J132)),0)</f>
        <v/>
      </c>
      <c r="L132" s="90">
        <f>IF(AND($C132&gt;0,L$46&gt;=$C$9+2+$C$26,SUM($E132:K132)&lt;$C132),MIN($C132/$C$27,$C132-SUM($E132:K132)),0)</f>
        <v/>
      </c>
      <c r="M132" s="90">
        <f>IF(AND($C132&gt;0,M$46&gt;=$C$9+2+$C$26,SUM($E132:L132)&lt;$C132),MIN($C132/$C$27,$C132-SUM($E132:L132)),0)</f>
        <v/>
      </c>
      <c r="N132" s="90">
        <f>IF(AND($C132&gt;0,N$46&gt;=$C$9+2+$C$26,SUM($E132:M132)&lt;$C132),MIN($C132/$C$27,$C132-SUM($E132:M132)),0)</f>
        <v/>
      </c>
      <c r="O132" s="90">
        <f>IF(AND($C132&gt;0,O$46&gt;=$C$9+2+$C$26,SUM($E132:N132)&lt;$C132),MIN($C132/$C$27,$C132-SUM($E132:N132)),0)</f>
        <v/>
      </c>
      <c r="P132" s="90">
        <f>IF(AND($C132&gt;0,P$46&gt;=$C$9+2+$C$26,SUM($E132:O132)&lt;$C132),MIN($C132/$C$27,$C132-SUM($E132:O132)),0)</f>
        <v/>
      </c>
      <c r="Q132" s="90">
        <f>IF(AND($C132&gt;0,Q$46&gt;=$C$9+2+$C$26,SUM($E132:P132)&lt;$C132),MIN($C132/$C$27,$C132-SUM($E132:P132)),0)</f>
        <v/>
      </c>
      <c r="R132" s="90">
        <f>IF(AND($C132&gt;0,R$46&gt;=$C$9+2+$C$26,SUM($E132:Q132)&lt;$C132),MIN($C132/$C$27,$C132-SUM($E132:Q132)),0)</f>
        <v/>
      </c>
      <c r="S132" s="90">
        <f>IF(AND($C132&gt;0,S$46&gt;=$C$9+2+$C$26,SUM($E132:R132)&lt;$C132),MIN($C132/$C$27,$C132-SUM($E132:R132)),0)</f>
        <v/>
      </c>
      <c r="T132" s="90">
        <f>IF(AND($C132&gt;0,T$46&gt;=$C$9+2+$C$26,SUM($E132:S132)&lt;$C132),MIN($C132/$C$27,$C132-SUM($E132:S132)),0)</f>
        <v/>
      </c>
      <c r="U132" s="90">
        <f>IF(AND($C132&gt;0,U$46&gt;=$C$9+2+$C$26,SUM($E132:T132)&lt;$C132),MIN($C132/$C$27,$C132-SUM($E132:T132)),0)</f>
        <v/>
      </c>
      <c r="V132" s="90">
        <f>IF(AND($C132&gt;0,V$46&gt;=$C$9+2+$C$26,SUM($E132:U132)&lt;$C132),MIN($C132/$C$27,$C132-SUM($E132:U132)),0)</f>
        <v/>
      </c>
      <c r="W132" s="90">
        <f>IF(AND($C132&gt;0,W$46&gt;=$C$9+2+$C$26,SUM($E132:V132)&lt;$C132),MIN($C132/$C$27,$C132-SUM($E132:V132)),0)</f>
        <v/>
      </c>
      <c r="X132" s="90">
        <f>IF(AND($C132&gt;0,X$46&gt;=$C$9+2+$C$26,SUM($E132:W132)&lt;$C132),MIN($C132/$C$27,$C132-SUM($E132:W132)),0)</f>
        <v/>
      </c>
      <c r="Y132" s="90">
        <f>IF(AND($C132&gt;0,Y$46&gt;=$C$9+2+$C$26,SUM($E132:X132)&lt;$C132),MIN($C132/$C$27,$C132-SUM($E132:X132)),0)</f>
        <v/>
      </c>
      <c r="Z132" s="90">
        <f>IF(AND($C132&gt;0,Z$46&gt;=$C$9+2+$C$26,SUM($E132:Y132)&lt;$C132),MIN($C132/$C$27,$C132-SUM($E132:Y132)),0)</f>
        <v/>
      </c>
      <c r="AA132" s="90">
        <f>IF(AND($C132&gt;0,AA$46&gt;=$C$9+2+$C$26,SUM($E132:Z132)&lt;$C132),MIN($C132/$C$27,$C132-SUM($E132:Z132)),0)</f>
        <v/>
      </c>
      <c r="AB132" s="90">
        <f>IF(AND($C132&gt;0,AB$46&gt;=$C$9+2+$C$26,SUM($E132:AA132)&lt;$C132),MIN($C132/$C$27,$C132-SUM($E132:AA132)),0)</f>
        <v/>
      </c>
      <c r="AC132" s="90">
        <f>IF(AND($C132&gt;0,AC$46&gt;=$C$9+2+$C$26,SUM($E132:AB132)&lt;$C132),MIN($C132/$C$27,$C132-SUM($E132:AB132)),0)</f>
        <v/>
      </c>
      <c r="AD132" s="90">
        <f>IF(AND($C132&gt;0,AD$46&gt;=$C$9+2+$C$26,SUM($E132:AC132)&lt;$C132),MIN($C132/$C$27,$C132-SUM($E132:AC132)),0)</f>
        <v/>
      </c>
      <c r="AE132" s="90">
        <f>IF(AND($C132&gt;0,AE$46&gt;=$C$9+2+$C$26,SUM($E132:AD132)&lt;$C132),MIN($C132/$C$27,$C132-SUM($E132:AD132)),0)</f>
        <v/>
      </c>
      <c r="AF132" s="90">
        <f>IF(AND($C132&gt;0,AF$46&gt;=$C$9+2+$C$26,SUM($E132:AE132)&lt;$C132),MIN($C132/$C$27,$C132-SUM($E132:AE132)),0)</f>
        <v/>
      </c>
      <c r="AG132" s="90">
        <f>IF(AND($C132&gt;0,AG$46&gt;=$C$9+2+$C$26,SUM($E132:AF132)&lt;$C132),MIN($C132/$C$27,$C132-SUM($E132:AF132)),0)</f>
        <v/>
      </c>
      <c r="AH132" s="90">
        <f>IF(AND($C132&gt;0,AH$46&gt;=$C$9+2+$C$26,SUM($E132:AG132)&lt;$C132),MIN($C132/$C$27,$C132-SUM($E132:AG132)),0)</f>
        <v/>
      </c>
      <c r="AI132" s="90">
        <f>IF(AND($C132&gt;0,AI$46&gt;=$C$9+2+$C$26,SUM($E132:AH132)&lt;$C132),MIN($C132/$C$27,$C132-SUM($E132:AH132)),0)</f>
        <v/>
      </c>
      <c r="AJ132" s="90">
        <f>IF(AND($C132&gt;0,AJ$46&gt;=$C$9+2+$C$26,SUM($E132:AI132)&lt;$C132),MIN($C132/$C$27,$C132-SUM($E132:AI132)),0)</f>
        <v/>
      </c>
      <c r="AK132" s="90">
        <f>IF(AND($C132&gt;0,AK$46&gt;=$C$9+2+$C$26,SUM($E132:AJ132)&lt;$C132),MIN($C132/$C$27,$C132-SUM($E132:AJ132)),0)</f>
        <v/>
      </c>
      <c r="AL132" s="90">
        <f>IF(AND($C132&gt;0,AL$46&gt;=$C$9+2+$C$26,SUM($E132:AK132)&lt;$C132),MIN($C132/$C$27,$C132-SUM($E132:AK132)),0)</f>
        <v/>
      </c>
      <c r="AM132" s="90">
        <f>IF(AND($C132&gt;0,AM$46&gt;=$C$9+2+$C$26,SUM($E132:AL132)&lt;$C132),MIN($C132/$C$27,$C132-SUM($E132:AL132)),0)</f>
        <v/>
      </c>
      <c r="AN132" s="90">
        <f>IF(AND($C132&gt;0,AN$46&gt;=$C$9+2+$C$26,SUM($E132:AM132)&lt;$C132),MIN($C132/$C$27,$C132-SUM($E132:AM132)),0)</f>
        <v/>
      </c>
      <c r="AO132" s="90">
        <f>IF(AND($C132&gt;0,AO$46&gt;=$C$9+2+$C$26,SUM($E132:AN132)&lt;$C132),MIN($C132/$C$27,$C132-SUM($E132:AN132)),0)</f>
        <v/>
      </c>
      <c r="AP132" s="90">
        <f>IF(AND($C132&gt;0,AP$46&gt;=$C$9+2+$C$26,SUM($E132:AO132)&lt;$C132),MIN($C132/$C$27,$C132-SUM($E132:AO132)),0)</f>
        <v/>
      </c>
      <c r="AQ132" s="90">
        <f>IF(AND($C132&gt;0,AQ$46&gt;=$C$9+2+$C$26,SUM($E132:AP132)&lt;$C132),MIN($C132/$C$27,$C132-SUM($E132:AP132)),0)</f>
        <v/>
      </c>
      <c r="AR132" s="90">
        <f>IF(AND($C132&gt;0,AR$46&gt;=$C$9+2+$C$26,SUM($E132:AQ132)&lt;$C132),MIN($C132/$C$27,$C132-SUM($E132:AQ132)),0)</f>
        <v/>
      </c>
      <c r="AS132" s="90">
        <f>IF(AND($C132&gt;0,AS$46&gt;=$C$9+2+$C$26,SUM($E132:AR132)&lt;$C132),MIN($C132/$C$27,$C132-SUM($E132:AR132)),0)</f>
        <v/>
      </c>
      <c r="AT132" s="90">
        <f>IF(AND($C132&gt;0,AT$46&gt;=$C$9+2+$C$26,SUM($E132:AS132)&lt;$C132),MIN($C132/$C$27,$C132-SUM($E132:AS132)),0)</f>
        <v/>
      </c>
      <c r="AU132" s="90">
        <f>IF(AND($C132&gt;0,AU$46&gt;=$C$9+2+$C$26,SUM($E132:AT132)&lt;$C132),MIN($C132/$C$27,$C132-SUM($E132:AT132)),0)</f>
        <v/>
      </c>
      <c r="AV132" s="90">
        <f>IF(AND($C132&gt;0,AV$46&gt;=$C$9+2+$C$26,SUM($E132:AU132)&lt;$C132),MIN($C132/$C$27,$C132-SUM($E132:AU132)),0)</f>
        <v/>
      </c>
      <c r="AW132" s="90">
        <f>IF(AND($C132&gt;0,AW$46&gt;=$C$9+2+$C$26,SUM($E132:AV132)&lt;$C132),MIN($C132/$C$27,$C132-SUM($E132:AV132)),0)</f>
        <v/>
      </c>
      <c r="AX132" s="90">
        <f>IF(AND($C132&gt;0,AX$46&gt;=$C$9+2+$C$26,SUM($E132:AW132)&lt;$C132),MIN($C132/$C$27,$C132-SUM($E132:AW132)),0)</f>
        <v/>
      </c>
      <c r="AY132" s="90">
        <f>IF(AND($C132&gt;0,AY$46&gt;=$C$9+2+$C$26,SUM($E132:AX132)&lt;$C132),MIN($C132/$C$27,$C132-SUM($E132:AX132)),0)</f>
        <v/>
      </c>
      <c r="AZ132" s="90">
        <f>IF(AND($C132&gt;0,AZ$46&gt;=$C$9+2+$C$26,SUM($E132:AY132)&lt;$C132),MIN($C132/$C$27,$C132-SUM($E132:AY132)),0)</f>
        <v/>
      </c>
      <c r="BA132" s="90">
        <f>IF(AND($C132&gt;0,BA$46&gt;=$C$9+2+$C$26,SUM($E132:AZ132)&lt;$C132),MIN($C132/$C$27,$C132-SUM($E132:AZ132)),0)</f>
        <v/>
      </c>
      <c r="BB132" s="90">
        <f>IF(AND($C132&gt;0,BB$46&gt;=$C$9+2+$C$26,SUM($E132:BA132)&lt;$C132),MIN($C132/$C$27,$C132-SUM($E132:BA132)),0)</f>
        <v/>
      </c>
    </row>
    <row r="133" ht="15" customHeight="1" s="91">
      <c r="B133" s="153" t="inlineStr">
        <is>
          <t>Tranche 4</t>
        </is>
      </c>
      <c r="C133" s="160">
        <f>IF(ABS($D$49)&gt;0,SUMPRODUCT(($E$46:$BB$46=$C$9+3)*IF($E49:$BB49&lt;0,ABS($E49:$BB49),0))*$C$19/ABS($D$49),0)</f>
        <v/>
      </c>
      <c r="D133" s="160">
        <f>SUM(E133:BB133)</f>
        <v/>
      </c>
      <c r="E133" s="90">
        <f>IF(AND($C133&gt;0,E$46&gt;=$C$9+3+$C$26,0&lt;$C133),MIN($C133/$C$27,$C133-0),0)</f>
        <v/>
      </c>
      <c r="F133" s="90">
        <f>IF(AND($C133&gt;0,F$46&gt;=$C$9+3+$C$26,SUM($E133:E133)&lt;$C133),MIN($C133/$C$27,$C133-SUM($E133:E133)),0)</f>
        <v/>
      </c>
      <c r="G133" s="90">
        <f>IF(AND($C133&gt;0,G$46&gt;=$C$9+3+$C$26,SUM($E133:F133)&lt;$C133),MIN($C133/$C$27,$C133-SUM($E133:F133)),0)</f>
        <v/>
      </c>
      <c r="H133" s="90">
        <f>IF(AND($C133&gt;0,H$46&gt;=$C$9+3+$C$26,SUM($E133:G133)&lt;$C133),MIN($C133/$C$27,$C133-SUM($E133:G133)),0)</f>
        <v/>
      </c>
      <c r="I133" s="90">
        <f>IF(AND($C133&gt;0,I$46&gt;=$C$9+3+$C$26,SUM($E133:H133)&lt;$C133),MIN($C133/$C$27,$C133-SUM($E133:H133)),0)</f>
        <v/>
      </c>
      <c r="J133" s="90">
        <f>IF(AND($C133&gt;0,J$46&gt;=$C$9+3+$C$26,SUM($E133:I133)&lt;$C133),MIN($C133/$C$27,$C133-SUM($E133:I133)),0)</f>
        <v/>
      </c>
      <c r="K133" s="90">
        <f>IF(AND($C133&gt;0,K$46&gt;=$C$9+3+$C$26,SUM($E133:J133)&lt;$C133),MIN($C133/$C$27,$C133-SUM($E133:J133)),0)</f>
        <v/>
      </c>
      <c r="L133" s="90">
        <f>IF(AND($C133&gt;0,L$46&gt;=$C$9+3+$C$26,SUM($E133:K133)&lt;$C133),MIN($C133/$C$27,$C133-SUM($E133:K133)),0)</f>
        <v/>
      </c>
      <c r="M133" s="90">
        <f>IF(AND($C133&gt;0,M$46&gt;=$C$9+3+$C$26,SUM($E133:L133)&lt;$C133),MIN($C133/$C$27,$C133-SUM($E133:L133)),0)</f>
        <v/>
      </c>
      <c r="N133" s="90">
        <f>IF(AND($C133&gt;0,N$46&gt;=$C$9+3+$C$26,SUM($E133:M133)&lt;$C133),MIN($C133/$C$27,$C133-SUM($E133:M133)),0)</f>
        <v/>
      </c>
      <c r="O133" s="90">
        <f>IF(AND($C133&gt;0,O$46&gt;=$C$9+3+$C$26,SUM($E133:N133)&lt;$C133),MIN($C133/$C$27,$C133-SUM($E133:N133)),0)</f>
        <v/>
      </c>
      <c r="P133" s="90">
        <f>IF(AND($C133&gt;0,P$46&gt;=$C$9+3+$C$26,SUM($E133:O133)&lt;$C133),MIN($C133/$C$27,$C133-SUM($E133:O133)),0)</f>
        <v/>
      </c>
      <c r="Q133" s="90">
        <f>IF(AND($C133&gt;0,Q$46&gt;=$C$9+3+$C$26,SUM($E133:P133)&lt;$C133),MIN($C133/$C$27,$C133-SUM($E133:P133)),0)</f>
        <v/>
      </c>
      <c r="R133" s="90">
        <f>IF(AND($C133&gt;0,R$46&gt;=$C$9+3+$C$26,SUM($E133:Q133)&lt;$C133),MIN($C133/$C$27,$C133-SUM($E133:Q133)),0)</f>
        <v/>
      </c>
      <c r="S133" s="90">
        <f>IF(AND($C133&gt;0,S$46&gt;=$C$9+3+$C$26,SUM($E133:R133)&lt;$C133),MIN($C133/$C$27,$C133-SUM($E133:R133)),0)</f>
        <v/>
      </c>
      <c r="T133" s="90">
        <f>IF(AND($C133&gt;0,T$46&gt;=$C$9+3+$C$26,SUM($E133:S133)&lt;$C133),MIN($C133/$C$27,$C133-SUM($E133:S133)),0)</f>
        <v/>
      </c>
      <c r="U133" s="90">
        <f>IF(AND($C133&gt;0,U$46&gt;=$C$9+3+$C$26,SUM($E133:T133)&lt;$C133),MIN($C133/$C$27,$C133-SUM($E133:T133)),0)</f>
        <v/>
      </c>
      <c r="V133" s="90">
        <f>IF(AND($C133&gt;0,V$46&gt;=$C$9+3+$C$26,SUM($E133:U133)&lt;$C133),MIN($C133/$C$27,$C133-SUM($E133:U133)),0)</f>
        <v/>
      </c>
      <c r="W133" s="90">
        <f>IF(AND($C133&gt;0,W$46&gt;=$C$9+3+$C$26,SUM($E133:V133)&lt;$C133),MIN($C133/$C$27,$C133-SUM($E133:V133)),0)</f>
        <v/>
      </c>
      <c r="X133" s="90">
        <f>IF(AND($C133&gt;0,X$46&gt;=$C$9+3+$C$26,SUM($E133:W133)&lt;$C133),MIN($C133/$C$27,$C133-SUM($E133:W133)),0)</f>
        <v/>
      </c>
      <c r="Y133" s="90">
        <f>IF(AND($C133&gt;0,Y$46&gt;=$C$9+3+$C$26,SUM($E133:X133)&lt;$C133),MIN($C133/$C$27,$C133-SUM($E133:X133)),0)</f>
        <v/>
      </c>
      <c r="Z133" s="90">
        <f>IF(AND($C133&gt;0,Z$46&gt;=$C$9+3+$C$26,SUM($E133:Y133)&lt;$C133),MIN($C133/$C$27,$C133-SUM($E133:Y133)),0)</f>
        <v/>
      </c>
      <c r="AA133" s="90">
        <f>IF(AND($C133&gt;0,AA$46&gt;=$C$9+3+$C$26,SUM($E133:Z133)&lt;$C133),MIN($C133/$C$27,$C133-SUM($E133:Z133)),0)</f>
        <v/>
      </c>
      <c r="AB133" s="90">
        <f>IF(AND($C133&gt;0,AB$46&gt;=$C$9+3+$C$26,SUM($E133:AA133)&lt;$C133),MIN($C133/$C$27,$C133-SUM($E133:AA133)),0)</f>
        <v/>
      </c>
      <c r="AC133" s="90">
        <f>IF(AND($C133&gt;0,AC$46&gt;=$C$9+3+$C$26,SUM($E133:AB133)&lt;$C133),MIN($C133/$C$27,$C133-SUM($E133:AB133)),0)</f>
        <v/>
      </c>
      <c r="AD133" s="90">
        <f>IF(AND($C133&gt;0,AD$46&gt;=$C$9+3+$C$26,SUM($E133:AC133)&lt;$C133),MIN($C133/$C$27,$C133-SUM($E133:AC133)),0)</f>
        <v/>
      </c>
      <c r="AE133" s="90">
        <f>IF(AND($C133&gt;0,AE$46&gt;=$C$9+3+$C$26,SUM($E133:AD133)&lt;$C133),MIN($C133/$C$27,$C133-SUM($E133:AD133)),0)</f>
        <v/>
      </c>
      <c r="AF133" s="90">
        <f>IF(AND($C133&gt;0,AF$46&gt;=$C$9+3+$C$26,SUM($E133:AE133)&lt;$C133),MIN($C133/$C$27,$C133-SUM($E133:AE133)),0)</f>
        <v/>
      </c>
      <c r="AG133" s="90">
        <f>IF(AND($C133&gt;0,AG$46&gt;=$C$9+3+$C$26,SUM($E133:AF133)&lt;$C133),MIN($C133/$C$27,$C133-SUM($E133:AF133)),0)</f>
        <v/>
      </c>
      <c r="AH133" s="90">
        <f>IF(AND($C133&gt;0,AH$46&gt;=$C$9+3+$C$26,SUM($E133:AG133)&lt;$C133),MIN($C133/$C$27,$C133-SUM($E133:AG133)),0)</f>
        <v/>
      </c>
      <c r="AI133" s="90">
        <f>IF(AND($C133&gt;0,AI$46&gt;=$C$9+3+$C$26,SUM($E133:AH133)&lt;$C133),MIN($C133/$C$27,$C133-SUM($E133:AH133)),0)</f>
        <v/>
      </c>
      <c r="AJ133" s="90">
        <f>IF(AND($C133&gt;0,AJ$46&gt;=$C$9+3+$C$26,SUM($E133:AI133)&lt;$C133),MIN($C133/$C$27,$C133-SUM($E133:AI133)),0)</f>
        <v/>
      </c>
      <c r="AK133" s="90">
        <f>IF(AND($C133&gt;0,AK$46&gt;=$C$9+3+$C$26,SUM($E133:AJ133)&lt;$C133),MIN($C133/$C$27,$C133-SUM($E133:AJ133)),0)</f>
        <v/>
      </c>
      <c r="AL133" s="90">
        <f>IF(AND($C133&gt;0,AL$46&gt;=$C$9+3+$C$26,SUM($E133:AK133)&lt;$C133),MIN($C133/$C$27,$C133-SUM($E133:AK133)),0)</f>
        <v/>
      </c>
      <c r="AM133" s="90">
        <f>IF(AND($C133&gt;0,AM$46&gt;=$C$9+3+$C$26,SUM($E133:AL133)&lt;$C133),MIN($C133/$C$27,$C133-SUM($E133:AL133)),0)</f>
        <v/>
      </c>
      <c r="AN133" s="90">
        <f>IF(AND($C133&gt;0,AN$46&gt;=$C$9+3+$C$26,SUM($E133:AM133)&lt;$C133),MIN($C133/$C$27,$C133-SUM($E133:AM133)),0)</f>
        <v/>
      </c>
      <c r="AO133" s="90">
        <f>IF(AND($C133&gt;0,AO$46&gt;=$C$9+3+$C$26,SUM($E133:AN133)&lt;$C133),MIN($C133/$C$27,$C133-SUM($E133:AN133)),0)</f>
        <v/>
      </c>
      <c r="AP133" s="90">
        <f>IF(AND($C133&gt;0,AP$46&gt;=$C$9+3+$C$26,SUM($E133:AO133)&lt;$C133),MIN($C133/$C$27,$C133-SUM($E133:AO133)),0)</f>
        <v/>
      </c>
      <c r="AQ133" s="90">
        <f>IF(AND($C133&gt;0,AQ$46&gt;=$C$9+3+$C$26,SUM($E133:AP133)&lt;$C133),MIN($C133/$C$27,$C133-SUM($E133:AP133)),0)</f>
        <v/>
      </c>
      <c r="AR133" s="90">
        <f>IF(AND($C133&gt;0,AR$46&gt;=$C$9+3+$C$26,SUM($E133:AQ133)&lt;$C133),MIN($C133/$C$27,$C133-SUM($E133:AQ133)),0)</f>
        <v/>
      </c>
      <c r="AS133" s="90">
        <f>IF(AND($C133&gt;0,AS$46&gt;=$C$9+3+$C$26,SUM($E133:AR133)&lt;$C133),MIN($C133/$C$27,$C133-SUM($E133:AR133)),0)</f>
        <v/>
      </c>
      <c r="AT133" s="90">
        <f>IF(AND($C133&gt;0,AT$46&gt;=$C$9+3+$C$26,SUM($E133:AS133)&lt;$C133),MIN($C133/$C$27,$C133-SUM($E133:AS133)),0)</f>
        <v/>
      </c>
      <c r="AU133" s="90">
        <f>IF(AND($C133&gt;0,AU$46&gt;=$C$9+3+$C$26,SUM($E133:AT133)&lt;$C133),MIN($C133/$C$27,$C133-SUM($E133:AT133)),0)</f>
        <v/>
      </c>
      <c r="AV133" s="90">
        <f>IF(AND($C133&gt;0,AV$46&gt;=$C$9+3+$C$26,SUM($E133:AU133)&lt;$C133),MIN($C133/$C$27,$C133-SUM($E133:AU133)),0)</f>
        <v/>
      </c>
      <c r="AW133" s="90">
        <f>IF(AND($C133&gt;0,AW$46&gt;=$C$9+3+$C$26,SUM($E133:AV133)&lt;$C133),MIN($C133/$C$27,$C133-SUM($E133:AV133)),0)</f>
        <v/>
      </c>
      <c r="AX133" s="90">
        <f>IF(AND($C133&gt;0,AX$46&gt;=$C$9+3+$C$26,SUM($E133:AW133)&lt;$C133),MIN($C133/$C$27,$C133-SUM($E133:AW133)),0)</f>
        <v/>
      </c>
      <c r="AY133" s="90">
        <f>IF(AND($C133&gt;0,AY$46&gt;=$C$9+3+$C$26,SUM($E133:AX133)&lt;$C133),MIN($C133/$C$27,$C133-SUM($E133:AX133)),0)</f>
        <v/>
      </c>
      <c r="AZ133" s="90">
        <f>IF(AND($C133&gt;0,AZ$46&gt;=$C$9+3+$C$26,SUM($E133:AY133)&lt;$C133),MIN($C133/$C$27,$C133-SUM($E133:AY133)),0)</f>
        <v/>
      </c>
      <c r="BA133" s="90">
        <f>IF(AND($C133&gt;0,BA$46&gt;=$C$9+3+$C$26,SUM($E133:AZ133)&lt;$C133),MIN($C133/$C$27,$C133-SUM($E133:AZ133)),0)</f>
        <v/>
      </c>
      <c r="BB133" s="90">
        <f>IF(AND($C133&gt;0,BB$46&gt;=$C$9+3+$C$26,SUM($E133:BA133)&lt;$C133),MIN($C133/$C$27,$C133-SUM($E133:BA133)),0)</f>
        <v/>
      </c>
    </row>
    <row r="134" ht="15" customHeight="1" s="91">
      <c r="B134" s="90" t="inlineStr">
        <is>
          <t>Tranche 5</t>
        </is>
      </c>
      <c r="C134" s="170">
        <f>IF(ABS($D$49)&gt;0,SUMPRODUCT(($E$46:$BB$46=$C$9+4)*IF($E49:$BB49&lt;0,ABS($E49:$BB49),0))*$C$19/ABS($D$49),0)</f>
        <v/>
      </c>
      <c r="D134" s="90">
        <f>SUM(E134:BB134)</f>
        <v/>
      </c>
      <c r="E134" s="90">
        <f>IF(AND($C134&gt;0,E$46&gt;=$C$9+4+$C$26,0&lt;$C134),MIN($C134/$C$27,$C134-0),0)</f>
        <v/>
      </c>
      <c r="F134" s="90">
        <f>IF(AND($C134&gt;0,F$46&gt;=$C$9+4+$C$26,SUM($E134:E134)&lt;$C134),MIN($C134/$C$27,$C134-SUM($E134:E134)),0)</f>
        <v/>
      </c>
      <c r="G134" s="90">
        <f>IF(AND($C134&gt;0,G$46&gt;=$C$9+4+$C$26,SUM($E134:F134)&lt;$C134),MIN($C134/$C$27,$C134-SUM($E134:F134)),0)</f>
        <v/>
      </c>
      <c r="H134" s="90">
        <f>IF(AND($C134&gt;0,H$46&gt;=$C$9+4+$C$26,SUM($E134:G134)&lt;$C134),MIN($C134/$C$27,$C134-SUM($E134:G134)),0)</f>
        <v/>
      </c>
      <c r="I134" s="90">
        <f>IF(AND($C134&gt;0,I$46&gt;=$C$9+4+$C$26,SUM($E134:H134)&lt;$C134),MIN($C134/$C$27,$C134-SUM($E134:H134)),0)</f>
        <v/>
      </c>
      <c r="J134" s="90">
        <f>IF(AND($C134&gt;0,J$46&gt;=$C$9+4+$C$26,SUM($E134:I134)&lt;$C134),MIN($C134/$C$27,$C134-SUM($E134:I134)),0)</f>
        <v/>
      </c>
      <c r="K134" s="90">
        <f>IF(AND($C134&gt;0,K$46&gt;=$C$9+4+$C$26,SUM($E134:J134)&lt;$C134),MIN($C134/$C$27,$C134-SUM($E134:J134)),0)</f>
        <v/>
      </c>
      <c r="L134" s="90">
        <f>IF(AND($C134&gt;0,L$46&gt;=$C$9+4+$C$26,SUM($E134:K134)&lt;$C134),MIN($C134/$C$27,$C134-SUM($E134:K134)),0)</f>
        <v/>
      </c>
      <c r="M134" s="90">
        <f>IF(AND($C134&gt;0,M$46&gt;=$C$9+4+$C$26,SUM($E134:L134)&lt;$C134),MIN($C134/$C$27,$C134-SUM($E134:L134)),0)</f>
        <v/>
      </c>
      <c r="N134" s="90">
        <f>IF(AND($C134&gt;0,N$46&gt;=$C$9+4+$C$26,SUM($E134:M134)&lt;$C134),MIN($C134/$C$27,$C134-SUM($E134:M134)),0)</f>
        <v/>
      </c>
      <c r="O134" s="90">
        <f>IF(AND($C134&gt;0,O$46&gt;=$C$9+4+$C$26,SUM($E134:N134)&lt;$C134),MIN($C134/$C$27,$C134-SUM($E134:N134)),0)</f>
        <v/>
      </c>
      <c r="P134" s="90">
        <f>IF(AND($C134&gt;0,P$46&gt;=$C$9+4+$C$26,SUM($E134:O134)&lt;$C134),MIN($C134/$C$27,$C134-SUM($E134:O134)),0)</f>
        <v/>
      </c>
      <c r="Q134" s="90">
        <f>IF(AND($C134&gt;0,Q$46&gt;=$C$9+4+$C$26,SUM($E134:P134)&lt;$C134),MIN($C134/$C$27,$C134-SUM($E134:P134)),0)</f>
        <v/>
      </c>
      <c r="R134" s="90">
        <f>IF(AND($C134&gt;0,R$46&gt;=$C$9+4+$C$26,SUM($E134:Q134)&lt;$C134),MIN($C134/$C$27,$C134-SUM($E134:Q134)),0)</f>
        <v/>
      </c>
      <c r="S134" s="90">
        <f>IF(AND($C134&gt;0,S$46&gt;=$C$9+4+$C$26,SUM($E134:R134)&lt;$C134),MIN($C134/$C$27,$C134-SUM($E134:R134)),0)</f>
        <v/>
      </c>
      <c r="T134" s="90">
        <f>IF(AND($C134&gt;0,T$46&gt;=$C$9+4+$C$26,SUM($E134:S134)&lt;$C134),MIN($C134/$C$27,$C134-SUM($E134:S134)),0)</f>
        <v/>
      </c>
      <c r="U134" s="90">
        <f>IF(AND($C134&gt;0,U$46&gt;=$C$9+4+$C$26,SUM($E134:T134)&lt;$C134),MIN($C134/$C$27,$C134-SUM($E134:T134)),0)</f>
        <v/>
      </c>
      <c r="V134" s="90">
        <f>IF(AND($C134&gt;0,V$46&gt;=$C$9+4+$C$26,SUM($E134:U134)&lt;$C134),MIN($C134/$C$27,$C134-SUM($E134:U134)),0)</f>
        <v/>
      </c>
      <c r="W134" s="90">
        <f>IF(AND($C134&gt;0,W$46&gt;=$C$9+4+$C$26,SUM($E134:V134)&lt;$C134),MIN($C134/$C$27,$C134-SUM($E134:V134)),0)</f>
        <v/>
      </c>
      <c r="X134" s="90">
        <f>IF(AND($C134&gt;0,X$46&gt;=$C$9+4+$C$26,SUM($E134:W134)&lt;$C134),MIN($C134/$C$27,$C134-SUM($E134:W134)),0)</f>
        <v/>
      </c>
      <c r="Y134" s="90">
        <f>IF(AND($C134&gt;0,Y$46&gt;=$C$9+4+$C$26,SUM($E134:X134)&lt;$C134),MIN($C134/$C$27,$C134-SUM($E134:X134)),0)</f>
        <v/>
      </c>
      <c r="Z134" s="90">
        <f>IF(AND($C134&gt;0,Z$46&gt;=$C$9+4+$C$26,SUM($E134:Y134)&lt;$C134),MIN($C134/$C$27,$C134-SUM($E134:Y134)),0)</f>
        <v/>
      </c>
      <c r="AA134" s="90">
        <f>IF(AND($C134&gt;0,AA$46&gt;=$C$9+4+$C$26,SUM($E134:Z134)&lt;$C134),MIN($C134/$C$27,$C134-SUM($E134:Z134)),0)</f>
        <v/>
      </c>
      <c r="AB134" s="90">
        <f>IF(AND($C134&gt;0,AB$46&gt;=$C$9+4+$C$26,SUM($E134:AA134)&lt;$C134),MIN($C134/$C$27,$C134-SUM($E134:AA134)),0)</f>
        <v/>
      </c>
      <c r="AC134" s="90">
        <f>IF(AND($C134&gt;0,AC$46&gt;=$C$9+4+$C$26,SUM($E134:AB134)&lt;$C134),MIN($C134/$C$27,$C134-SUM($E134:AB134)),0)</f>
        <v/>
      </c>
      <c r="AD134" s="90">
        <f>IF(AND($C134&gt;0,AD$46&gt;=$C$9+4+$C$26,SUM($E134:AC134)&lt;$C134),MIN($C134/$C$27,$C134-SUM($E134:AC134)),0)</f>
        <v/>
      </c>
      <c r="AE134" s="90">
        <f>IF(AND($C134&gt;0,AE$46&gt;=$C$9+4+$C$26,SUM($E134:AD134)&lt;$C134),MIN($C134/$C$27,$C134-SUM($E134:AD134)),0)</f>
        <v/>
      </c>
      <c r="AF134" s="90">
        <f>IF(AND($C134&gt;0,AF$46&gt;=$C$9+4+$C$26,SUM($E134:AE134)&lt;$C134),MIN($C134/$C$27,$C134-SUM($E134:AE134)),0)</f>
        <v/>
      </c>
      <c r="AG134" s="90">
        <f>IF(AND($C134&gt;0,AG$46&gt;=$C$9+4+$C$26,SUM($E134:AF134)&lt;$C134),MIN($C134/$C$27,$C134-SUM($E134:AF134)),0)</f>
        <v/>
      </c>
      <c r="AH134" s="90">
        <f>IF(AND($C134&gt;0,AH$46&gt;=$C$9+4+$C$26,SUM($E134:AG134)&lt;$C134),MIN($C134/$C$27,$C134-SUM($E134:AG134)),0)</f>
        <v/>
      </c>
      <c r="AI134" s="90">
        <f>IF(AND($C134&gt;0,AI$46&gt;=$C$9+4+$C$26,SUM($E134:AH134)&lt;$C134),MIN($C134/$C$27,$C134-SUM($E134:AH134)),0)</f>
        <v/>
      </c>
      <c r="AJ134" s="90">
        <f>IF(AND($C134&gt;0,AJ$46&gt;=$C$9+4+$C$26,SUM($E134:AI134)&lt;$C134),MIN($C134/$C$27,$C134-SUM($E134:AI134)),0)</f>
        <v/>
      </c>
      <c r="AK134" s="90">
        <f>IF(AND($C134&gt;0,AK$46&gt;=$C$9+4+$C$26,SUM($E134:AJ134)&lt;$C134),MIN($C134/$C$27,$C134-SUM($E134:AJ134)),0)</f>
        <v/>
      </c>
      <c r="AL134" s="90">
        <f>IF(AND($C134&gt;0,AL$46&gt;=$C$9+4+$C$26,SUM($E134:AK134)&lt;$C134),MIN($C134/$C$27,$C134-SUM($E134:AK134)),0)</f>
        <v/>
      </c>
      <c r="AM134" s="90">
        <f>IF(AND($C134&gt;0,AM$46&gt;=$C$9+4+$C$26,SUM($E134:AL134)&lt;$C134),MIN($C134/$C$27,$C134-SUM($E134:AL134)),0)</f>
        <v/>
      </c>
      <c r="AN134" s="90">
        <f>IF(AND($C134&gt;0,AN$46&gt;=$C$9+4+$C$26,SUM($E134:AM134)&lt;$C134),MIN($C134/$C$27,$C134-SUM($E134:AM134)),0)</f>
        <v/>
      </c>
      <c r="AO134" s="90">
        <f>IF(AND($C134&gt;0,AO$46&gt;=$C$9+4+$C$26,SUM($E134:AN134)&lt;$C134),MIN($C134/$C$27,$C134-SUM($E134:AN134)),0)</f>
        <v/>
      </c>
      <c r="AP134" s="90">
        <f>IF(AND($C134&gt;0,AP$46&gt;=$C$9+4+$C$26,SUM($E134:AO134)&lt;$C134),MIN($C134/$C$27,$C134-SUM($E134:AO134)),0)</f>
        <v/>
      </c>
      <c r="AQ134" s="90">
        <f>IF(AND($C134&gt;0,AQ$46&gt;=$C$9+4+$C$26,SUM($E134:AP134)&lt;$C134),MIN($C134/$C$27,$C134-SUM($E134:AP134)),0)</f>
        <v/>
      </c>
      <c r="AR134" s="90">
        <f>IF(AND($C134&gt;0,AR$46&gt;=$C$9+4+$C$26,SUM($E134:AQ134)&lt;$C134),MIN($C134/$C$27,$C134-SUM($E134:AQ134)),0)</f>
        <v/>
      </c>
      <c r="AS134" s="90">
        <f>IF(AND($C134&gt;0,AS$46&gt;=$C$9+4+$C$26,SUM($E134:AR134)&lt;$C134),MIN($C134/$C$27,$C134-SUM($E134:AR134)),0)</f>
        <v/>
      </c>
      <c r="AT134" s="90">
        <f>IF(AND($C134&gt;0,AT$46&gt;=$C$9+4+$C$26,SUM($E134:AS134)&lt;$C134),MIN($C134/$C$27,$C134-SUM($E134:AS134)),0)</f>
        <v/>
      </c>
      <c r="AU134" s="90">
        <f>IF(AND($C134&gt;0,AU$46&gt;=$C$9+4+$C$26,SUM($E134:AT134)&lt;$C134),MIN($C134/$C$27,$C134-SUM($E134:AT134)),0)</f>
        <v/>
      </c>
      <c r="AV134" s="90">
        <f>IF(AND($C134&gt;0,AV$46&gt;=$C$9+4+$C$26,SUM($E134:AU134)&lt;$C134),MIN($C134/$C$27,$C134-SUM($E134:AU134)),0)</f>
        <v/>
      </c>
      <c r="AW134" s="90">
        <f>IF(AND($C134&gt;0,AW$46&gt;=$C$9+4+$C$26,SUM($E134:AV134)&lt;$C134),MIN($C134/$C$27,$C134-SUM($E134:AV134)),0)</f>
        <v/>
      </c>
      <c r="AX134" s="90">
        <f>IF(AND($C134&gt;0,AX$46&gt;=$C$9+4+$C$26,SUM($E134:AW134)&lt;$C134),MIN($C134/$C$27,$C134-SUM($E134:AW134)),0)</f>
        <v/>
      </c>
      <c r="AY134" s="90">
        <f>IF(AND($C134&gt;0,AY$46&gt;=$C$9+4+$C$26,SUM($E134:AX134)&lt;$C134),MIN($C134/$C$27,$C134-SUM($E134:AX134)),0)</f>
        <v/>
      </c>
      <c r="AZ134" s="90">
        <f>IF(AND($C134&gt;0,AZ$46&gt;=$C$9+4+$C$26,SUM($E134:AY134)&lt;$C134),MIN($C134/$C$27,$C134-SUM($E134:AY134)),0)</f>
        <v/>
      </c>
      <c r="BA134" s="90">
        <f>IF(AND($C134&gt;0,BA$46&gt;=$C$9+4+$C$26,SUM($E134:AZ134)&lt;$C134),MIN($C134/$C$27,$C134-SUM($E134:AZ134)),0)</f>
        <v/>
      </c>
      <c r="BB134" s="90">
        <f>IF(AND($C134&gt;0,BB$46&gt;=$C$9+4+$C$26,SUM($E134:BA134)&lt;$C134),MIN($C134/$C$27,$C134-SUM($E134:BA134)),0)</f>
        <v/>
      </c>
    </row>
    <row r="135" ht="15" customHeight="1" s="91">
      <c r="B135" s="153" t="inlineStr">
        <is>
          <t>Tranche 6</t>
        </is>
      </c>
      <c r="C135" s="160">
        <f>IF(ABS($D$49)&gt;0,SUMPRODUCT(($E$46:$BB$46=$C$9+5)*IF($E49:$BB49&lt;0,ABS($E49:$BB49),0))*$C$19/ABS($D$49),0)</f>
        <v/>
      </c>
      <c r="D135" s="160">
        <f>SUM(E135:BB135)</f>
        <v/>
      </c>
      <c r="E135" s="90">
        <f>IF(AND($C135&gt;0,E$46&gt;=$C$9+5+$C$26,0&lt;$C135),MIN($C135/$C$27,$C135-0),0)</f>
        <v/>
      </c>
      <c r="F135" s="90">
        <f>IF(AND($C135&gt;0,F$46&gt;=$C$9+5+$C$26,SUM($E135:E135)&lt;$C135),MIN($C135/$C$27,$C135-SUM($E135:E135)),0)</f>
        <v/>
      </c>
      <c r="G135" s="90">
        <f>IF(AND($C135&gt;0,G$46&gt;=$C$9+5+$C$26,SUM($E135:F135)&lt;$C135),MIN($C135/$C$27,$C135-SUM($E135:F135)),0)</f>
        <v/>
      </c>
      <c r="H135" s="90">
        <f>IF(AND($C135&gt;0,H$46&gt;=$C$9+5+$C$26,SUM($E135:G135)&lt;$C135),MIN($C135/$C$27,$C135-SUM($E135:G135)),0)</f>
        <v/>
      </c>
      <c r="I135" s="90">
        <f>IF(AND($C135&gt;0,I$46&gt;=$C$9+5+$C$26,SUM($E135:H135)&lt;$C135),MIN($C135/$C$27,$C135-SUM($E135:H135)),0)</f>
        <v/>
      </c>
      <c r="J135" s="90">
        <f>IF(AND($C135&gt;0,J$46&gt;=$C$9+5+$C$26,SUM($E135:I135)&lt;$C135),MIN($C135/$C$27,$C135-SUM($E135:I135)),0)</f>
        <v/>
      </c>
      <c r="K135" s="90">
        <f>IF(AND($C135&gt;0,K$46&gt;=$C$9+5+$C$26,SUM($E135:J135)&lt;$C135),MIN($C135/$C$27,$C135-SUM($E135:J135)),0)</f>
        <v/>
      </c>
      <c r="L135" s="90">
        <f>IF(AND($C135&gt;0,L$46&gt;=$C$9+5+$C$26,SUM($E135:K135)&lt;$C135),MIN($C135/$C$27,$C135-SUM($E135:K135)),0)</f>
        <v/>
      </c>
      <c r="M135" s="90">
        <f>IF(AND($C135&gt;0,M$46&gt;=$C$9+5+$C$26,SUM($E135:L135)&lt;$C135),MIN($C135/$C$27,$C135-SUM($E135:L135)),0)</f>
        <v/>
      </c>
      <c r="N135" s="90">
        <f>IF(AND($C135&gt;0,N$46&gt;=$C$9+5+$C$26,SUM($E135:M135)&lt;$C135),MIN($C135/$C$27,$C135-SUM($E135:M135)),0)</f>
        <v/>
      </c>
      <c r="O135" s="90">
        <f>IF(AND($C135&gt;0,O$46&gt;=$C$9+5+$C$26,SUM($E135:N135)&lt;$C135),MIN($C135/$C$27,$C135-SUM($E135:N135)),0)</f>
        <v/>
      </c>
      <c r="P135" s="90">
        <f>IF(AND($C135&gt;0,P$46&gt;=$C$9+5+$C$26,SUM($E135:O135)&lt;$C135),MIN($C135/$C$27,$C135-SUM($E135:O135)),0)</f>
        <v/>
      </c>
      <c r="Q135" s="90">
        <f>IF(AND($C135&gt;0,Q$46&gt;=$C$9+5+$C$26,SUM($E135:P135)&lt;$C135),MIN($C135/$C$27,$C135-SUM($E135:P135)),0)</f>
        <v/>
      </c>
      <c r="R135" s="90">
        <f>IF(AND($C135&gt;0,R$46&gt;=$C$9+5+$C$26,SUM($E135:Q135)&lt;$C135),MIN($C135/$C$27,$C135-SUM($E135:Q135)),0)</f>
        <v/>
      </c>
      <c r="S135" s="90">
        <f>IF(AND($C135&gt;0,S$46&gt;=$C$9+5+$C$26,SUM($E135:R135)&lt;$C135),MIN($C135/$C$27,$C135-SUM($E135:R135)),0)</f>
        <v/>
      </c>
      <c r="T135" s="90">
        <f>IF(AND($C135&gt;0,T$46&gt;=$C$9+5+$C$26,SUM($E135:S135)&lt;$C135),MIN($C135/$C$27,$C135-SUM($E135:S135)),0)</f>
        <v/>
      </c>
      <c r="U135" s="90">
        <f>IF(AND($C135&gt;0,U$46&gt;=$C$9+5+$C$26,SUM($E135:T135)&lt;$C135),MIN($C135/$C$27,$C135-SUM($E135:T135)),0)</f>
        <v/>
      </c>
      <c r="V135" s="90">
        <f>IF(AND($C135&gt;0,V$46&gt;=$C$9+5+$C$26,SUM($E135:U135)&lt;$C135),MIN($C135/$C$27,$C135-SUM($E135:U135)),0)</f>
        <v/>
      </c>
      <c r="W135" s="90">
        <f>IF(AND($C135&gt;0,W$46&gt;=$C$9+5+$C$26,SUM($E135:V135)&lt;$C135),MIN($C135/$C$27,$C135-SUM($E135:V135)),0)</f>
        <v/>
      </c>
      <c r="X135" s="90">
        <f>IF(AND($C135&gt;0,X$46&gt;=$C$9+5+$C$26,SUM($E135:W135)&lt;$C135),MIN($C135/$C$27,$C135-SUM($E135:W135)),0)</f>
        <v/>
      </c>
      <c r="Y135" s="90">
        <f>IF(AND($C135&gt;0,Y$46&gt;=$C$9+5+$C$26,SUM($E135:X135)&lt;$C135),MIN($C135/$C$27,$C135-SUM($E135:X135)),0)</f>
        <v/>
      </c>
      <c r="Z135" s="90">
        <f>IF(AND($C135&gt;0,Z$46&gt;=$C$9+5+$C$26,SUM($E135:Y135)&lt;$C135),MIN($C135/$C$27,$C135-SUM($E135:Y135)),0)</f>
        <v/>
      </c>
      <c r="AA135" s="90">
        <f>IF(AND($C135&gt;0,AA$46&gt;=$C$9+5+$C$26,SUM($E135:Z135)&lt;$C135),MIN($C135/$C$27,$C135-SUM($E135:Z135)),0)</f>
        <v/>
      </c>
      <c r="AB135" s="90">
        <f>IF(AND($C135&gt;0,AB$46&gt;=$C$9+5+$C$26,SUM($E135:AA135)&lt;$C135),MIN($C135/$C$27,$C135-SUM($E135:AA135)),0)</f>
        <v/>
      </c>
      <c r="AC135" s="90">
        <f>IF(AND($C135&gt;0,AC$46&gt;=$C$9+5+$C$26,SUM($E135:AB135)&lt;$C135),MIN($C135/$C$27,$C135-SUM($E135:AB135)),0)</f>
        <v/>
      </c>
      <c r="AD135" s="90">
        <f>IF(AND($C135&gt;0,AD$46&gt;=$C$9+5+$C$26,SUM($E135:AC135)&lt;$C135),MIN($C135/$C$27,$C135-SUM($E135:AC135)),0)</f>
        <v/>
      </c>
      <c r="AE135" s="90">
        <f>IF(AND($C135&gt;0,AE$46&gt;=$C$9+5+$C$26,SUM($E135:AD135)&lt;$C135),MIN($C135/$C$27,$C135-SUM($E135:AD135)),0)</f>
        <v/>
      </c>
      <c r="AF135" s="90">
        <f>IF(AND($C135&gt;0,AF$46&gt;=$C$9+5+$C$26,SUM($E135:AE135)&lt;$C135),MIN($C135/$C$27,$C135-SUM($E135:AE135)),0)</f>
        <v/>
      </c>
      <c r="AG135" s="90">
        <f>IF(AND($C135&gt;0,AG$46&gt;=$C$9+5+$C$26,SUM($E135:AF135)&lt;$C135),MIN($C135/$C$27,$C135-SUM($E135:AF135)),0)</f>
        <v/>
      </c>
      <c r="AH135" s="90">
        <f>IF(AND($C135&gt;0,AH$46&gt;=$C$9+5+$C$26,SUM($E135:AG135)&lt;$C135),MIN($C135/$C$27,$C135-SUM($E135:AG135)),0)</f>
        <v/>
      </c>
      <c r="AI135" s="90">
        <f>IF(AND($C135&gt;0,AI$46&gt;=$C$9+5+$C$26,SUM($E135:AH135)&lt;$C135),MIN($C135/$C$27,$C135-SUM($E135:AH135)),0)</f>
        <v/>
      </c>
      <c r="AJ135" s="90">
        <f>IF(AND($C135&gt;0,AJ$46&gt;=$C$9+5+$C$26,SUM($E135:AI135)&lt;$C135),MIN($C135/$C$27,$C135-SUM($E135:AI135)),0)</f>
        <v/>
      </c>
      <c r="AK135" s="90">
        <f>IF(AND($C135&gt;0,AK$46&gt;=$C$9+5+$C$26,SUM($E135:AJ135)&lt;$C135),MIN($C135/$C$27,$C135-SUM($E135:AJ135)),0)</f>
        <v/>
      </c>
      <c r="AL135" s="90">
        <f>IF(AND($C135&gt;0,AL$46&gt;=$C$9+5+$C$26,SUM($E135:AK135)&lt;$C135),MIN($C135/$C$27,$C135-SUM($E135:AK135)),0)</f>
        <v/>
      </c>
      <c r="AM135" s="90">
        <f>IF(AND($C135&gt;0,AM$46&gt;=$C$9+5+$C$26,SUM($E135:AL135)&lt;$C135),MIN($C135/$C$27,$C135-SUM($E135:AL135)),0)</f>
        <v/>
      </c>
      <c r="AN135" s="90">
        <f>IF(AND($C135&gt;0,AN$46&gt;=$C$9+5+$C$26,SUM($E135:AM135)&lt;$C135),MIN($C135/$C$27,$C135-SUM($E135:AM135)),0)</f>
        <v/>
      </c>
      <c r="AO135" s="90">
        <f>IF(AND($C135&gt;0,AO$46&gt;=$C$9+5+$C$26,SUM($E135:AN135)&lt;$C135),MIN($C135/$C$27,$C135-SUM($E135:AN135)),0)</f>
        <v/>
      </c>
      <c r="AP135" s="90">
        <f>IF(AND($C135&gt;0,AP$46&gt;=$C$9+5+$C$26,SUM($E135:AO135)&lt;$C135),MIN($C135/$C$27,$C135-SUM($E135:AO135)),0)</f>
        <v/>
      </c>
      <c r="AQ135" s="90">
        <f>IF(AND($C135&gt;0,AQ$46&gt;=$C$9+5+$C$26,SUM($E135:AP135)&lt;$C135),MIN($C135/$C$27,$C135-SUM($E135:AP135)),0)</f>
        <v/>
      </c>
      <c r="AR135" s="90">
        <f>IF(AND($C135&gt;0,AR$46&gt;=$C$9+5+$C$26,SUM($E135:AQ135)&lt;$C135),MIN($C135/$C$27,$C135-SUM($E135:AQ135)),0)</f>
        <v/>
      </c>
      <c r="AS135" s="90">
        <f>IF(AND($C135&gt;0,AS$46&gt;=$C$9+5+$C$26,SUM($E135:AR135)&lt;$C135),MIN($C135/$C$27,$C135-SUM($E135:AR135)),0)</f>
        <v/>
      </c>
      <c r="AT135" s="90">
        <f>IF(AND($C135&gt;0,AT$46&gt;=$C$9+5+$C$26,SUM($E135:AS135)&lt;$C135),MIN($C135/$C$27,$C135-SUM($E135:AS135)),0)</f>
        <v/>
      </c>
      <c r="AU135" s="90">
        <f>IF(AND($C135&gt;0,AU$46&gt;=$C$9+5+$C$26,SUM($E135:AT135)&lt;$C135),MIN($C135/$C$27,$C135-SUM($E135:AT135)),0)</f>
        <v/>
      </c>
      <c r="AV135" s="90">
        <f>IF(AND($C135&gt;0,AV$46&gt;=$C$9+5+$C$26,SUM($E135:AU135)&lt;$C135),MIN($C135/$C$27,$C135-SUM($E135:AU135)),0)</f>
        <v/>
      </c>
      <c r="AW135" s="90">
        <f>IF(AND($C135&gt;0,AW$46&gt;=$C$9+5+$C$26,SUM($E135:AV135)&lt;$C135),MIN($C135/$C$27,$C135-SUM($E135:AV135)),0)</f>
        <v/>
      </c>
      <c r="AX135" s="90">
        <f>IF(AND($C135&gt;0,AX$46&gt;=$C$9+5+$C$26,SUM($E135:AW135)&lt;$C135),MIN($C135/$C$27,$C135-SUM($E135:AW135)),0)</f>
        <v/>
      </c>
      <c r="AY135" s="90">
        <f>IF(AND($C135&gt;0,AY$46&gt;=$C$9+5+$C$26,SUM($E135:AX135)&lt;$C135),MIN($C135/$C$27,$C135-SUM($E135:AX135)),0)</f>
        <v/>
      </c>
      <c r="AZ135" s="90">
        <f>IF(AND($C135&gt;0,AZ$46&gt;=$C$9+5+$C$26,SUM($E135:AY135)&lt;$C135),MIN($C135/$C$27,$C135-SUM($E135:AY135)),0)</f>
        <v/>
      </c>
      <c r="BA135" s="90">
        <f>IF(AND($C135&gt;0,BA$46&gt;=$C$9+5+$C$26,SUM($E135:AZ135)&lt;$C135),MIN($C135/$C$27,$C135-SUM($E135:AZ135)),0)</f>
        <v/>
      </c>
      <c r="BB135" s="90">
        <f>IF(AND($C135&gt;0,BB$46&gt;=$C$9+5+$C$26,SUM($E135:BA135)&lt;$C135),MIN($C135/$C$27,$C135-SUM($E135:BA135)),0)</f>
        <v/>
      </c>
    </row>
    <row r="136" ht="15" customHeight="1" s="91">
      <c r="B136" s="153" t="inlineStr">
        <is>
          <t>Tranche 7</t>
        </is>
      </c>
      <c r="C136" s="160">
        <f>IF(ABS($D$49)&gt;0,SUMPRODUCT(($E$46:$BB$46=$C$9+6)*IF($E49:$BB49&lt;0,ABS($E49:$BB49),0))*$C$19/ABS($D$49),0)</f>
        <v/>
      </c>
      <c r="D136" s="160">
        <f>SUM(E136:BB136)</f>
        <v/>
      </c>
      <c r="E136" s="90">
        <f>IF(AND($C136&gt;0,E$46&gt;=$C$9+6+$C$26,0&lt;$C136),MIN($C136/$C$27,$C136-0),0)</f>
        <v/>
      </c>
      <c r="F136" s="90">
        <f>IF(AND($C136&gt;0,F$46&gt;=$C$9+6+$C$26,SUM($E136:E136)&lt;$C136),MIN($C136/$C$27,$C136-SUM($E136:E136)),0)</f>
        <v/>
      </c>
      <c r="G136" s="90">
        <f>IF(AND($C136&gt;0,G$46&gt;=$C$9+6+$C$26,SUM($E136:F136)&lt;$C136),MIN($C136/$C$27,$C136-SUM($E136:F136)),0)</f>
        <v/>
      </c>
      <c r="H136" s="90">
        <f>IF(AND($C136&gt;0,H$46&gt;=$C$9+6+$C$26,SUM($E136:G136)&lt;$C136),MIN($C136/$C$27,$C136-SUM($E136:G136)),0)</f>
        <v/>
      </c>
      <c r="I136" s="90">
        <f>IF(AND($C136&gt;0,I$46&gt;=$C$9+6+$C$26,SUM($E136:H136)&lt;$C136),MIN($C136/$C$27,$C136-SUM($E136:H136)),0)</f>
        <v/>
      </c>
      <c r="J136" s="90">
        <f>IF(AND($C136&gt;0,J$46&gt;=$C$9+6+$C$26,SUM($E136:I136)&lt;$C136),MIN($C136/$C$27,$C136-SUM($E136:I136)),0)</f>
        <v/>
      </c>
      <c r="K136" s="90">
        <f>IF(AND($C136&gt;0,K$46&gt;=$C$9+6+$C$26,SUM($E136:J136)&lt;$C136),MIN($C136/$C$27,$C136-SUM($E136:J136)),0)</f>
        <v/>
      </c>
      <c r="L136" s="90">
        <f>IF(AND($C136&gt;0,L$46&gt;=$C$9+6+$C$26,SUM($E136:K136)&lt;$C136),MIN($C136/$C$27,$C136-SUM($E136:K136)),0)</f>
        <v/>
      </c>
      <c r="M136" s="90">
        <f>IF(AND($C136&gt;0,M$46&gt;=$C$9+6+$C$26,SUM($E136:L136)&lt;$C136),MIN($C136/$C$27,$C136-SUM($E136:L136)),0)</f>
        <v/>
      </c>
      <c r="N136" s="90">
        <f>IF(AND($C136&gt;0,N$46&gt;=$C$9+6+$C$26,SUM($E136:M136)&lt;$C136),MIN($C136/$C$27,$C136-SUM($E136:M136)),0)</f>
        <v/>
      </c>
      <c r="O136" s="90">
        <f>IF(AND($C136&gt;0,O$46&gt;=$C$9+6+$C$26,SUM($E136:N136)&lt;$C136),MIN($C136/$C$27,$C136-SUM($E136:N136)),0)</f>
        <v/>
      </c>
      <c r="P136" s="90">
        <f>IF(AND($C136&gt;0,P$46&gt;=$C$9+6+$C$26,SUM($E136:O136)&lt;$C136),MIN($C136/$C$27,$C136-SUM($E136:O136)),0)</f>
        <v/>
      </c>
      <c r="Q136" s="90">
        <f>IF(AND($C136&gt;0,Q$46&gt;=$C$9+6+$C$26,SUM($E136:P136)&lt;$C136),MIN($C136/$C$27,$C136-SUM($E136:P136)),0)</f>
        <v/>
      </c>
      <c r="R136" s="90">
        <f>IF(AND($C136&gt;0,R$46&gt;=$C$9+6+$C$26,SUM($E136:Q136)&lt;$C136),MIN($C136/$C$27,$C136-SUM($E136:Q136)),0)</f>
        <v/>
      </c>
      <c r="S136" s="90">
        <f>IF(AND($C136&gt;0,S$46&gt;=$C$9+6+$C$26,SUM($E136:R136)&lt;$C136),MIN($C136/$C$27,$C136-SUM($E136:R136)),0)</f>
        <v/>
      </c>
      <c r="T136" s="90">
        <f>IF(AND($C136&gt;0,T$46&gt;=$C$9+6+$C$26,SUM($E136:S136)&lt;$C136),MIN($C136/$C$27,$C136-SUM($E136:S136)),0)</f>
        <v/>
      </c>
      <c r="U136" s="90">
        <f>IF(AND($C136&gt;0,U$46&gt;=$C$9+6+$C$26,SUM($E136:T136)&lt;$C136),MIN($C136/$C$27,$C136-SUM($E136:T136)),0)</f>
        <v/>
      </c>
      <c r="V136" s="90">
        <f>IF(AND($C136&gt;0,V$46&gt;=$C$9+6+$C$26,SUM($E136:U136)&lt;$C136),MIN($C136/$C$27,$C136-SUM($E136:U136)),0)</f>
        <v/>
      </c>
      <c r="W136" s="90">
        <f>IF(AND($C136&gt;0,W$46&gt;=$C$9+6+$C$26,SUM($E136:V136)&lt;$C136),MIN($C136/$C$27,$C136-SUM($E136:V136)),0)</f>
        <v/>
      </c>
      <c r="X136" s="90">
        <f>IF(AND($C136&gt;0,X$46&gt;=$C$9+6+$C$26,SUM($E136:W136)&lt;$C136),MIN($C136/$C$27,$C136-SUM($E136:W136)),0)</f>
        <v/>
      </c>
      <c r="Y136" s="90">
        <f>IF(AND($C136&gt;0,Y$46&gt;=$C$9+6+$C$26,SUM($E136:X136)&lt;$C136),MIN($C136/$C$27,$C136-SUM($E136:X136)),0)</f>
        <v/>
      </c>
      <c r="Z136" s="90">
        <f>IF(AND($C136&gt;0,Z$46&gt;=$C$9+6+$C$26,SUM($E136:Y136)&lt;$C136),MIN($C136/$C$27,$C136-SUM($E136:Y136)),0)</f>
        <v/>
      </c>
      <c r="AA136" s="90">
        <f>IF(AND($C136&gt;0,AA$46&gt;=$C$9+6+$C$26,SUM($E136:Z136)&lt;$C136),MIN($C136/$C$27,$C136-SUM($E136:Z136)),0)</f>
        <v/>
      </c>
      <c r="AB136" s="90">
        <f>IF(AND($C136&gt;0,AB$46&gt;=$C$9+6+$C$26,SUM($E136:AA136)&lt;$C136),MIN($C136/$C$27,$C136-SUM($E136:AA136)),0)</f>
        <v/>
      </c>
      <c r="AC136" s="90">
        <f>IF(AND($C136&gt;0,AC$46&gt;=$C$9+6+$C$26,SUM($E136:AB136)&lt;$C136),MIN($C136/$C$27,$C136-SUM($E136:AB136)),0)</f>
        <v/>
      </c>
      <c r="AD136" s="90">
        <f>IF(AND($C136&gt;0,AD$46&gt;=$C$9+6+$C$26,SUM($E136:AC136)&lt;$C136),MIN($C136/$C$27,$C136-SUM($E136:AC136)),0)</f>
        <v/>
      </c>
      <c r="AE136" s="90">
        <f>IF(AND($C136&gt;0,AE$46&gt;=$C$9+6+$C$26,SUM($E136:AD136)&lt;$C136),MIN($C136/$C$27,$C136-SUM($E136:AD136)),0)</f>
        <v/>
      </c>
      <c r="AF136" s="90">
        <f>IF(AND($C136&gt;0,AF$46&gt;=$C$9+6+$C$26,SUM($E136:AE136)&lt;$C136),MIN($C136/$C$27,$C136-SUM($E136:AE136)),0)</f>
        <v/>
      </c>
      <c r="AG136" s="90">
        <f>IF(AND($C136&gt;0,AG$46&gt;=$C$9+6+$C$26,SUM($E136:AF136)&lt;$C136),MIN($C136/$C$27,$C136-SUM($E136:AF136)),0)</f>
        <v/>
      </c>
      <c r="AH136" s="90">
        <f>IF(AND($C136&gt;0,AH$46&gt;=$C$9+6+$C$26,SUM($E136:AG136)&lt;$C136),MIN($C136/$C$27,$C136-SUM($E136:AG136)),0)</f>
        <v/>
      </c>
      <c r="AI136" s="90">
        <f>IF(AND($C136&gt;0,AI$46&gt;=$C$9+6+$C$26,SUM($E136:AH136)&lt;$C136),MIN($C136/$C$27,$C136-SUM($E136:AH136)),0)</f>
        <v/>
      </c>
      <c r="AJ136" s="90">
        <f>IF(AND($C136&gt;0,AJ$46&gt;=$C$9+6+$C$26,SUM($E136:AI136)&lt;$C136),MIN($C136/$C$27,$C136-SUM($E136:AI136)),0)</f>
        <v/>
      </c>
      <c r="AK136" s="90">
        <f>IF(AND($C136&gt;0,AK$46&gt;=$C$9+6+$C$26,SUM($E136:AJ136)&lt;$C136),MIN($C136/$C$27,$C136-SUM($E136:AJ136)),0)</f>
        <v/>
      </c>
      <c r="AL136" s="90">
        <f>IF(AND($C136&gt;0,AL$46&gt;=$C$9+6+$C$26,SUM($E136:AK136)&lt;$C136),MIN($C136/$C$27,$C136-SUM($E136:AK136)),0)</f>
        <v/>
      </c>
      <c r="AM136" s="90">
        <f>IF(AND($C136&gt;0,AM$46&gt;=$C$9+6+$C$26,SUM($E136:AL136)&lt;$C136),MIN($C136/$C$27,$C136-SUM($E136:AL136)),0)</f>
        <v/>
      </c>
      <c r="AN136" s="90">
        <f>IF(AND($C136&gt;0,AN$46&gt;=$C$9+6+$C$26,SUM($E136:AM136)&lt;$C136),MIN($C136/$C$27,$C136-SUM($E136:AM136)),0)</f>
        <v/>
      </c>
      <c r="AO136" s="90">
        <f>IF(AND($C136&gt;0,AO$46&gt;=$C$9+6+$C$26,SUM($E136:AN136)&lt;$C136),MIN($C136/$C$27,$C136-SUM($E136:AN136)),0)</f>
        <v/>
      </c>
      <c r="AP136" s="90">
        <f>IF(AND($C136&gt;0,AP$46&gt;=$C$9+6+$C$26,SUM($E136:AO136)&lt;$C136),MIN($C136/$C$27,$C136-SUM($E136:AO136)),0)</f>
        <v/>
      </c>
      <c r="AQ136" s="90">
        <f>IF(AND($C136&gt;0,AQ$46&gt;=$C$9+6+$C$26,SUM($E136:AP136)&lt;$C136),MIN($C136/$C$27,$C136-SUM($E136:AP136)),0)</f>
        <v/>
      </c>
      <c r="AR136" s="90">
        <f>IF(AND($C136&gt;0,AR$46&gt;=$C$9+6+$C$26,SUM($E136:AQ136)&lt;$C136),MIN($C136/$C$27,$C136-SUM($E136:AQ136)),0)</f>
        <v/>
      </c>
      <c r="AS136" s="90">
        <f>IF(AND($C136&gt;0,AS$46&gt;=$C$9+6+$C$26,SUM($E136:AR136)&lt;$C136),MIN($C136/$C$27,$C136-SUM($E136:AR136)),0)</f>
        <v/>
      </c>
      <c r="AT136" s="90">
        <f>IF(AND($C136&gt;0,AT$46&gt;=$C$9+6+$C$26,SUM($E136:AS136)&lt;$C136),MIN($C136/$C$27,$C136-SUM($E136:AS136)),0)</f>
        <v/>
      </c>
      <c r="AU136" s="90">
        <f>IF(AND($C136&gt;0,AU$46&gt;=$C$9+6+$C$26,SUM($E136:AT136)&lt;$C136),MIN($C136/$C$27,$C136-SUM($E136:AT136)),0)</f>
        <v/>
      </c>
      <c r="AV136" s="90">
        <f>IF(AND($C136&gt;0,AV$46&gt;=$C$9+6+$C$26,SUM($E136:AU136)&lt;$C136),MIN($C136/$C$27,$C136-SUM($E136:AU136)),0)</f>
        <v/>
      </c>
      <c r="AW136" s="90">
        <f>IF(AND($C136&gt;0,AW$46&gt;=$C$9+6+$C$26,SUM($E136:AV136)&lt;$C136),MIN($C136/$C$27,$C136-SUM($E136:AV136)),0)</f>
        <v/>
      </c>
      <c r="AX136" s="90">
        <f>IF(AND($C136&gt;0,AX$46&gt;=$C$9+6+$C$26,SUM($E136:AW136)&lt;$C136),MIN($C136/$C$27,$C136-SUM($E136:AW136)),0)</f>
        <v/>
      </c>
      <c r="AY136" s="90">
        <f>IF(AND($C136&gt;0,AY$46&gt;=$C$9+6+$C$26,SUM($E136:AX136)&lt;$C136),MIN($C136/$C$27,$C136-SUM($E136:AX136)),0)</f>
        <v/>
      </c>
      <c r="AZ136" s="90">
        <f>IF(AND($C136&gt;0,AZ$46&gt;=$C$9+6+$C$26,SUM($E136:AY136)&lt;$C136),MIN($C136/$C$27,$C136-SUM($E136:AY136)),0)</f>
        <v/>
      </c>
      <c r="BA136" s="90">
        <f>IF(AND($C136&gt;0,BA$46&gt;=$C$9+6+$C$26,SUM($E136:AZ136)&lt;$C136),MIN($C136/$C$27,$C136-SUM($E136:AZ136)),0)</f>
        <v/>
      </c>
      <c r="BB136" s="90">
        <f>IF(AND($C136&gt;0,BB$46&gt;=$C$9+6+$C$26,SUM($E136:BA136)&lt;$C136),MIN($C136/$C$27,$C136-SUM($E136:BA136)),0)</f>
        <v/>
      </c>
    </row>
    <row r="137" ht="15" customHeight="1" s="91">
      <c r="B137" s="153" t="inlineStr">
        <is>
          <t>Tranche 8</t>
        </is>
      </c>
      <c r="C137" s="160">
        <f>IF(ABS($D$49)&gt;0,SUMPRODUCT(($E$46:$BB$46=$C$9+7)*IF($E49:$BB49&lt;0,ABS($E49:$BB49),0))*$C$19/ABS($D$49),0)</f>
        <v/>
      </c>
      <c r="D137" s="160">
        <f>SUM(E137:BB137)</f>
        <v/>
      </c>
      <c r="E137" s="90">
        <f>IF(AND($C137&gt;0,E$46&gt;=$C$9+7+$C$26,0&lt;$C137),MIN($C137/$C$27,$C137-0),0)</f>
        <v/>
      </c>
      <c r="F137" s="90">
        <f>IF(AND($C137&gt;0,F$46&gt;=$C$9+7+$C$26,SUM($E137:E137)&lt;$C137),MIN($C137/$C$27,$C137-SUM($E137:E137)),0)</f>
        <v/>
      </c>
      <c r="G137" s="90">
        <f>IF(AND($C137&gt;0,G$46&gt;=$C$9+7+$C$26,SUM($E137:F137)&lt;$C137),MIN($C137/$C$27,$C137-SUM($E137:F137)),0)</f>
        <v/>
      </c>
      <c r="H137" s="90">
        <f>IF(AND($C137&gt;0,H$46&gt;=$C$9+7+$C$26,SUM($E137:G137)&lt;$C137),MIN($C137/$C$27,$C137-SUM($E137:G137)),0)</f>
        <v/>
      </c>
      <c r="I137" s="90">
        <f>IF(AND($C137&gt;0,I$46&gt;=$C$9+7+$C$26,SUM($E137:H137)&lt;$C137),MIN($C137/$C$27,$C137-SUM($E137:H137)),0)</f>
        <v/>
      </c>
      <c r="J137" s="90">
        <f>IF(AND($C137&gt;0,J$46&gt;=$C$9+7+$C$26,SUM($E137:I137)&lt;$C137),MIN($C137/$C$27,$C137-SUM($E137:I137)),0)</f>
        <v/>
      </c>
      <c r="K137" s="90">
        <f>IF(AND($C137&gt;0,K$46&gt;=$C$9+7+$C$26,SUM($E137:J137)&lt;$C137),MIN($C137/$C$27,$C137-SUM($E137:J137)),0)</f>
        <v/>
      </c>
      <c r="L137" s="90">
        <f>IF(AND($C137&gt;0,L$46&gt;=$C$9+7+$C$26,SUM($E137:K137)&lt;$C137),MIN($C137/$C$27,$C137-SUM($E137:K137)),0)</f>
        <v/>
      </c>
      <c r="M137" s="90">
        <f>IF(AND($C137&gt;0,M$46&gt;=$C$9+7+$C$26,SUM($E137:L137)&lt;$C137),MIN($C137/$C$27,$C137-SUM($E137:L137)),0)</f>
        <v/>
      </c>
      <c r="N137" s="90">
        <f>IF(AND($C137&gt;0,N$46&gt;=$C$9+7+$C$26,SUM($E137:M137)&lt;$C137),MIN($C137/$C$27,$C137-SUM($E137:M137)),0)</f>
        <v/>
      </c>
      <c r="O137" s="90">
        <f>IF(AND($C137&gt;0,O$46&gt;=$C$9+7+$C$26,SUM($E137:N137)&lt;$C137),MIN($C137/$C$27,$C137-SUM($E137:N137)),0)</f>
        <v/>
      </c>
      <c r="P137" s="90">
        <f>IF(AND($C137&gt;0,P$46&gt;=$C$9+7+$C$26,SUM($E137:O137)&lt;$C137),MIN($C137/$C$27,$C137-SUM($E137:O137)),0)</f>
        <v/>
      </c>
      <c r="Q137" s="90">
        <f>IF(AND($C137&gt;0,Q$46&gt;=$C$9+7+$C$26,SUM($E137:P137)&lt;$C137),MIN($C137/$C$27,$C137-SUM($E137:P137)),0)</f>
        <v/>
      </c>
      <c r="R137" s="90">
        <f>IF(AND($C137&gt;0,R$46&gt;=$C$9+7+$C$26,SUM($E137:Q137)&lt;$C137),MIN($C137/$C$27,$C137-SUM($E137:Q137)),0)</f>
        <v/>
      </c>
      <c r="S137" s="90">
        <f>IF(AND($C137&gt;0,S$46&gt;=$C$9+7+$C$26,SUM($E137:R137)&lt;$C137),MIN($C137/$C$27,$C137-SUM($E137:R137)),0)</f>
        <v/>
      </c>
      <c r="T137" s="90">
        <f>IF(AND($C137&gt;0,T$46&gt;=$C$9+7+$C$26,SUM($E137:S137)&lt;$C137),MIN($C137/$C$27,$C137-SUM($E137:S137)),0)</f>
        <v/>
      </c>
      <c r="U137" s="90">
        <f>IF(AND($C137&gt;0,U$46&gt;=$C$9+7+$C$26,SUM($E137:T137)&lt;$C137),MIN($C137/$C$27,$C137-SUM($E137:T137)),0)</f>
        <v/>
      </c>
      <c r="V137" s="90">
        <f>IF(AND($C137&gt;0,V$46&gt;=$C$9+7+$C$26,SUM($E137:U137)&lt;$C137),MIN($C137/$C$27,$C137-SUM($E137:U137)),0)</f>
        <v/>
      </c>
      <c r="W137" s="90">
        <f>IF(AND($C137&gt;0,W$46&gt;=$C$9+7+$C$26,SUM($E137:V137)&lt;$C137),MIN($C137/$C$27,$C137-SUM($E137:V137)),0)</f>
        <v/>
      </c>
      <c r="X137" s="90">
        <f>IF(AND($C137&gt;0,X$46&gt;=$C$9+7+$C$26,SUM($E137:W137)&lt;$C137),MIN($C137/$C$27,$C137-SUM($E137:W137)),0)</f>
        <v/>
      </c>
      <c r="Y137" s="90">
        <f>IF(AND($C137&gt;0,Y$46&gt;=$C$9+7+$C$26,SUM($E137:X137)&lt;$C137),MIN($C137/$C$27,$C137-SUM($E137:X137)),0)</f>
        <v/>
      </c>
      <c r="Z137" s="90">
        <f>IF(AND($C137&gt;0,Z$46&gt;=$C$9+7+$C$26,SUM($E137:Y137)&lt;$C137),MIN($C137/$C$27,$C137-SUM($E137:Y137)),0)</f>
        <v/>
      </c>
      <c r="AA137" s="90">
        <f>IF(AND($C137&gt;0,AA$46&gt;=$C$9+7+$C$26,SUM($E137:Z137)&lt;$C137),MIN($C137/$C$27,$C137-SUM($E137:Z137)),0)</f>
        <v/>
      </c>
      <c r="AB137" s="90">
        <f>IF(AND($C137&gt;0,AB$46&gt;=$C$9+7+$C$26,SUM($E137:AA137)&lt;$C137),MIN($C137/$C$27,$C137-SUM($E137:AA137)),0)</f>
        <v/>
      </c>
      <c r="AC137" s="90">
        <f>IF(AND($C137&gt;0,AC$46&gt;=$C$9+7+$C$26,SUM($E137:AB137)&lt;$C137),MIN($C137/$C$27,$C137-SUM($E137:AB137)),0)</f>
        <v/>
      </c>
      <c r="AD137" s="90">
        <f>IF(AND($C137&gt;0,AD$46&gt;=$C$9+7+$C$26,SUM($E137:AC137)&lt;$C137),MIN($C137/$C$27,$C137-SUM($E137:AC137)),0)</f>
        <v/>
      </c>
      <c r="AE137" s="90">
        <f>IF(AND($C137&gt;0,AE$46&gt;=$C$9+7+$C$26,SUM($E137:AD137)&lt;$C137),MIN($C137/$C$27,$C137-SUM($E137:AD137)),0)</f>
        <v/>
      </c>
      <c r="AF137" s="90">
        <f>IF(AND($C137&gt;0,AF$46&gt;=$C$9+7+$C$26,SUM($E137:AE137)&lt;$C137),MIN($C137/$C$27,$C137-SUM($E137:AE137)),0)</f>
        <v/>
      </c>
      <c r="AG137" s="90">
        <f>IF(AND($C137&gt;0,AG$46&gt;=$C$9+7+$C$26,SUM($E137:AF137)&lt;$C137),MIN($C137/$C$27,$C137-SUM($E137:AF137)),0)</f>
        <v/>
      </c>
      <c r="AH137" s="90">
        <f>IF(AND($C137&gt;0,AH$46&gt;=$C$9+7+$C$26,SUM($E137:AG137)&lt;$C137),MIN($C137/$C$27,$C137-SUM($E137:AG137)),0)</f>
        <v/>
      </c>
      <c r="AI137" s="90">
        <f>IF(AND($C137&gt;0,AI$46&gt;=$C$9+7+$C$26,SUM($E137:AH137)&lt;$C137),MIN($C137/$C$27,$C137-SUM($E137:AH137)),0)</f>
        <v/>
      </c>
      <c r="AJ137" s="90">
        <f>IF(AND($C137&gt;0,AJ$46&gt;=$C$9+7+$C$26,SUM($E137:AI137)&lt;$C137),MIN($C137/$C$27,$C137-SUM($E137:AI137)),0)</f>
        <v/>
      </c>
      <c r="AK137" s="90">
        <f>IF(AND($C137&gt;0,AK$46&gt;=$C$9+7+$C$26,SUM($E137:AJ137)&lt;$C137),MIN($C137/$C$27,$C137-SUM($E137:AJ137)),0)</f>
        <v/>
      </c>
      <c r="AL137" s="90">
        <f>IF(AND($C137&gt;0,AL$46&gt;=$C$9+7+$C$26,SUM($E137:AK137)&lt;$C137),MIN($C137/$C$27,$C137-SUM($E137:AK137)),0)</f>
        <v/>
      </c>
      <c r="AM137" s="90">
        <f>IF(AND($C137&gt;0,AM$46&gt;=$C$9+7+$C$26,SUM($E137:AL137)&lt;$C137),MIN($C137/$C$27,$C137-SUM($E137:AL137)),0)</f>
        <v/>
      </c>
      <c r="AN137" s="90">
        <f>IF(AND($C137&gt;0,AN$46&gt;=$C$9+7+$C$26,SUM($E137:AM137)&lt;$C137),MIN($C137/$C$27,$C137-SUM($E137:AM137)),0)</f>
        <v/>
      </c>
      <c r="AO137" s="90">
        <f>IF(AND($C137&gt;0,AO$46&gt;=$C$9+7+$C$26,SUM($E137:AN137)&lt;$C137),MIN($C137/$C$27,$C137-SUM($E137:AN137)),0)</f>
        <v/>
      </c>
      <c r="AP137" s="90">
        <f>IF(AND($C137&gt;0,AP$46&gt;=$C$9+7+$C$26,SUM($E137:AO137)&lt;$C137),MIN($C137/$C$27,$C137-SUM($E137:AO137)),0)</f>
        <v/>
      </c>
      <c r="AQ137" s="90">
        <f>IF(AND($C137&gt;0,AQ$46&gt;=$C$9+7+$C$26,SUM($E137:AP137)&lt;$C137),MIN($C137/$C$27,$C137-SUM($E137:AP137)),0)</f>
        <v/>
      </c>
      <c r="AR137" s="90">
        <f>IF(AND($C137&gt;0,AR$46&gt;=$C$9+7+$C$26,SUM($E137:AQ137)&lt;$C137),MIN($C137/$C$27,$C137-SUM($E137:AQ137)),0)</f>
        <v/>
      </c>
      <c r="AS137" s="90">
        <f>IF(AND($C137&gt;0,AS$46&gt;=$C$9+7+$C$26,SUM($E137:AR137)&lt;$C137),MIN($C137/$C$27,$C137-SUM($E137:AR137)),0)</f>
        <v/>
      </c>
      <c r="AT137" s="90">
        <f>IF(AND($C137&gt;0,AT$46&gt;=$C$9+7+$C$26,SUM($E137:AS137)&lt;$C137),MIN($C137/$C$27,$C137-SUM($E137:AS137)),0)</f>
        <v/>
      </c>
      <c r="AU137" s="90">
        <f>IF(AND($C137&gt;0,AU$46&gt;=$C$9+7+$C$26,SUM($E137:AT137)&lt;$C137),MIN($C137/$C$27,$C137-SUM($E137:AT137)),0)</f>
        <v/>
      </c>
      <c r="AV137" s="90">
        <f>IF(AND($C137&gt;0,AV$46&gt;=$C$9+7+$C$26,SUM($E137:AU137)&lt;$C137),MIN($C137/$C$27,$C137-SUM($E137:AU137)),0)</f>
        <v/>
      </c>
      <c r="AW137" s="90">
        <f>IF(AND($C137&gt;0,AW$46&gt;=$C$9+7+$C$26,SUM($E137:AV137)&lt;$C137),MIN($C137/$C$27,$C137-SUM($E137:AV137)),0)</f>
        <v/>
      </c>
      <c r="AX137" s="90">
        <f>IF(AND($C137&gt;0,AX$46&gt;=$C$9+7+$C$26,SUM($E137:AW137)&lt;$C137),MIN($C137/$C$27,$C137-SUM($E137:AW137)),0)</f>
        <v/>
      </c>
      <c r="AY137" s="90">
        <f>IF(AND($C137&gt;0,AY$46&gt;=$C$9+7+$C$26,SUM($E137:AX137)&lt;$C137),MIN($C137/$C$27,$C137-SUM($E137:AX137)),0)</f>
        <v/>
      </c>
      <c r="AZ137" s="90">
        <f>IF(AND($C137&gt;0,AZ$46&gt;=$C$9+7+$C$26,SUM($E137:AY137)&lt;$C137),MIN($C137/$C$27,$C137-SUM($E137:AY137)),0)</f>
        <v/>
      </c>
      <c r="BA137" s="90">
        <f>IF(AND($C137&gt;0,BA$46&gt;=$C$9+7+$C$26,SUM($E137:AZ137)&lt;$C137),MIN($C137/$C$27,$C137-SUM($E137:AZ137)),0)</f>
        <v/>
      </c>
      <c r="BB137" s="90">
        <f>IF(AND($C137&gt;0,BB$46&gt;=$C$9+7+$C$26,SUM($E137:BA137)&lt;$C137),MIN($C137/$C$27,$C137-SUM($E137:BA137)),0)</f>
        <v/>
      </c>
    </row>
    <row r="138" ht="15" customHeight="1" s="91">
      <c r="B138" s="90" t="inlineStr">
        <is>
          <t>Tranche 9</t>
        </is>
      </c>
      <c r="C138" s="170">
        <f>IF(ABS($D$49)&gt;0,SUMPRODUCT(($E$46:$BB$46=$C$9+8)*IF($E49:$BB49&lt;0,ABS($E49:$BB49),0))*$C$19/ABS($D$49),0)</f>
        <v/>
      </c>
      <c r="D138" s="90">
        <f>SUM(E138:BB138)</f>
        <v/>
      </c>
      <c r="E138" s="90">
        <f>IF(AND($C138&gt;0,E$46&gt;=$C$9+8+$C$26,0&lt;$C138),MIN($C138/$C$27,$C138-0),0)</f>
        <v/>
      </c>
      <c r="F138" s="90">
        <f>IF(AND($C138&gt;0,F$46&gt;=$C$9+8+$C$26,SUM($E138:E138)&lt;$C138),MIN($C138/$C$27,$C138-SUM($E138:E138)),0)</f>
        <v/>
      </c>
      <c r="G138" s="90">
        <f>IF(AND($C138&gt;0,G$46&gt;=$C$9+8+$C$26,SUM($E138:F138)&lt;$C138),MIN($C138/$C$27,$C138-SUM($E138:F138)),0)</f>
        <v/>
      </c>
      <c r="H138" s="90">
        <f>IF(AND($C138&gt;0,H$46&gt;=$C$9+8+$C$26,SUM($E138:G138)&lt;$C138),MIN($C138/$C$27,$C138-SUM($E138:G138)),0)</f>
        <v/>
      </c>
      <c r="I138" s="90">
        <f>IF(AND($C138&gt;0,I$46&gt;=$C$9+8+$C$26,SUM($E138:H138)&lt;$C138),MIN($C138/$C$27,$C138-SUM($E138:H138)),0)</f>
        <v/>
      </c>
      <c r="J138" s="90">
        <f>IF(AND($C138&gt;0,J$46&gt;=$C$9+8+$C$26,SUM($E138:I138)&lt;$C138),MIN($C138/$C$27,$C138-SUM($E138:I138)),0)</f>
        <v/>
      </c>
      <c r="K138" s="90">
        <f>IF(AND($C138&gt;0,K$46&gt;=$C$9+8+$C$26,SUM($E138:J138)&lt;$C138),MIN($C138/$C$27,$C138-SUM($E138:J138)),0)</f>
        <v/>
      </c>
      <c r="L138" s="90">
        <f>IF(AND($C138&gt;0,L$46&gt;=$C$9+8+$C$26,SUM($E138:K138)&lt;$C138),MIN($C138/$C$27,$C138-SUM($E138:K138)),0)</f>
        <v/>
      </c>
      <c r="M138" s="90">
        <f>IF(AND($C138&gt;0,M$46&gt;=$C$9+8+$C$26,SUM($E138:L138)&lt;$C138),MIN($C138/$C$27,$C138-SUM($E138:L138)),0)</f>
        <v/>
      </c>
      <c r="N138" s="90">
        <f>IF(AND($C138&gt;0,N$46&gt;=$C$9+8+$C$26,SUM($E138:M138)&lt;$C138),MIN($C138/$C$27,$C138-SUM($E138:M138)),0)</f>
        <v/>
      </c>
      <c r="O138" s="90">
        <f>IF(AND($C138&gt;0,O$46&gt;=$C$9+8+$C$26,SUM($E138:N138)&lt;$C138),MIN($C138/$C$27,$C138-SUM($E138:N138)),0)</f>
        <v/>
      </c>
      <c r="P138" s="90">
        <f>IF(AND($C138&gt;0,P$46&gt;=$C$9+8+$C$26,SUM($E138:O138)&lt;$C138),MIN($C138/$C$27,$C138-SUM($E138:O138)),0)</f>
        <v/>
      </c>
      <c r="Q138" s="90">
        <f>IF(AND($C138&gt;0,Q$46&gt;=$C$9+8+$C$26,SUM($E138:P138)&lt;$C138),MIN($C138/$C$27,$C138-SUM($E138:P138)),0)</f>
        <v/>
      </c>
      <c r="R138" s="90">
        <f>IF(AND($C138&gt;0,R$46&gt;=$C$9+8+$C$26,SUM($E138:Q138)&lt;$C138),MIN($C138/$C$27,$C138-SUM($E138:Q138)),0)</f>
        <v/>
      </c>
      <c r="S138" s="90">
        <f>IF(AND($C138&gt;0,S$46&gt;=$C$9+8+$C$26,SUM($E138:R138)&lt;$C138),MIN($C138/$C$27,$C138-SUM($E138:R138)),0)</f>
        <v/>
      </c>
      <c r="T138" s="90">
        <f>IF(AND($C138&gt;0,T$46&gt;=$C$9+8+$C$26,SUM($E138:S138)&lt;$C138),MIN($C138/$C$27,$C138-SUM($E138:S138)),0)</f>
        <v/>
      </c>
      <c r="U138" s="90">
        <f>IF(AND($C138&gt;0,U$46&gt;=$C$9+8+$C$26,SUM($E138:T138)&lt;$C138),MIN($C138/$C$27,$C138-SUM($E138:T138)),0)</f>
        <v/>
      </c>
      <c r="V138" s="90">
        <f>IF(AND($C138&gt;0,V$46&gt;=$C$9+8+$C$26,SUM($E138:U138)&lt;$C138),MIN($C138/$C$27,$C138-SUM($E138:U138)),0)</f>
        <v/>
      </c>
      <c r="W138" s="90">
        <f>IF(AND($C138&gt;0,W$46&gt;=$C$9+8+$C$26,SUM($E138:V138)&lt;$C138),MIN($C138/$C$27,$C138-SUM($E138:V138)),0)</f>
        <v/>
      </c>
      <c r="X138" s="90">
        <f>IF(AND($C138&gt;0,X$46&gt;=$C$9+8+$C$26,SUM($E138:W138)&lt;$C138),MIN($C138/$C$27,$C138-SUM($E138:W138)),0)</f>
        <v/>
      </c>
      <c r="Y138" s="90">
        <f>IF(AND($C138&gt;0,Y$46&gt;=$C$9+8+$C$26,SUM($E138:X138)&lt;$C138),MIN($C138/$C$27,$C138-SUM($E138:X138)),0)</f>
        <v/>
      </c>
      <c r="Z138" s="90">
        <f>IF(AND($C138&gt;0,Z$46&gt;=$C$9+8+$C$26,SUM($E138:Y138)&lt;$C138),MIN($C138/$C$27,$C138-SUM($E138:Y138)),0)</f>
        <v/>
      </c>
      <c r="AA138" s="90">
        <f>IF(AND($C138&gt;0,AA$46&gt;=$C$9+8+$C$26,SUM($E138:Z138)&lt;$C138),MIN($C138/$C$27,$C138-SUM($E138:Z138)),0)</f>
        <v/>
      </c>
      <c r="AB138" s="90">
        <f>IF(AND($C138&gt;0,AB$46&gt;=$C$9+8+$C$26,SUM($E138:AA138)&lt;$C138),MIN($C138/$C$27,$C138-SUM($E138:AA138)),0)</f>
        <v/>
      </c>
      <c r="AC138" s="90">
        <f>IF(AND($C138&gt;0,AC$46&gt;=$C$9+8+$C$26,SUM($E138:AB138)&lt;$C138),MIN($C138/$C$27,$C138-SUM($E138:AB138)),0)</f>
        <v/>
      </c>
      <c r="AD138" s="90">
        <f>IF(AND($C138&gt;0,AD$46&gt;=$C$9+8+$C$26,SUM($E138:AC138)&lt;$C138),MIN($C138/$C$27,$C138-SUM($E138:AC138)),0)</f>
        <v/>
      </c>
      <c r="AE138" s="90">
        <f>IF(AND($C138&gt;0,AE$46&gt;=$C$9+8+$C$26,SUM($E138:AD138)&lt;$C138),MIN($C138/$C$27,$C138-SUM($E138:AD138)),0)</f>
        <v/>
      </c>
      <c r="AF138" s="90">
        <f>IF(AND($C138&gt;0,AF$46&gt;=$C$9+8+$C$26,SUM($E138:AE138)&lt;$C138),MIN($C138/$C$27,$C138-SUM($E138:AE138)),0)</f>
        <v/>
      </c>
      <c r="AG138" s="90">
        <f>IF(AND($C138&gt;0,AG$46&gt;=$C$9+8+$C$26,SUM($E138:AF138)&lt;$C138),MIN($C138/$C$27,$C138-SUM($E138:AF138)),0)</f>
        <v/>
      </c>
      <c r="AH138" s="90">
        <f>IF(AND($C138&gt;0,AH$46&gt;=$C$9+8+$C$26,SUM($E138:AG138)&lt;$C138),MIN($C138/$C$27,$C138-SUM($E138:AG138)),0)</f>
        <v/>
      </c>
      <c r="AI138" s="90">
        <f>IF(AND($C138&gt;0,AI$46&gt;=$C$9+8+$C$26,SUM($E138:AH138)&lt;$C138),MIN($C138/$C$27,$C138-SUM($E138:AH138)),0)</f>
        <v/>
      </c>
      <c r="AJ138" s="90">
        <f>IF(AND($C138&gt;0,AJ$46&gt;=$C$9+8+$C$26,SUM($E138:AI138)&lt;$C138),MIN($C138/$C$27,$C138-SUM($E138:AI138)),0)</f>
        <v/>
      </c>
      <c r="AK138" s="90">
        <f>IF(AND($C138&gt;0,AK$46&gt;=$C$9+8+$C$26,SUM($E138:AJ138)&lt;$C138),MIN($C138/$C$27,$C138-SUM($E138:AJ138)),0)</f>
        <v/>
      </c>
      <c r="AL138" s="90">
        <f>IF(AND($C138&gt;0,AL$46&gt;=$C$9+8+$C$26,SUM($E138:AK138)&lt;$C138),MIN($C138/$C$27,$C138-SUM($E138:AK138)),0)</f>
        <v/>
      </c>
      <c r="AM138" s="90">
        <f>IF(AND($C138&gt;0,AM$46&gt;=$C$9+8+$C$26,SUM($E138:AL138)&lt;$C138),MIN($C138/$C$27,$C138-SUM($E138:AL138)),0)</f>
        <v/>
      </c>
      <c r="AN138" s="90">
        <f>IF(AND($C138&gt;0,AN$46&gt;=$C$9+8+$C$26,SUM($E138:AM138)&lt;$C138),MIN($C138/$C$27,$C138-SUM($E138:AM138)),0)</f>
        <v/>
      </c>
      <c r="AO138" s="90">
        <f>IF(AND($C138&gt;0,AO$46&gt;=$C$9+8+$C$26,SUM($E138:AN138)&lt;$C138),MIN($C138/$C$27,$C138-SUM($E138:AN138)),0)</f>
        <v/>
      </c>
      <c r="AP138" s="90">
        <f>IF(AND($C138&gt;0,AP$46&gt;=$C$9+8+$C$26,SUM($E138:AO138)&lt;$C138),MIN($C138/$C$27,$C138-SUM($E138:AO138)),0)</f>
        <v/>
      </c>
      <c r="AQ138" s="90">
        <f>IF(AND($C138&gt;0,AQ$46&gt;=$C$9+8+$C$26,SUM($E138:AP138)&lt;$C138),MIN($C138/$C$27,$C138-SUM($E138:AP138)),0)</f>
        <v/>
      </c>
      <c r="AR138" s="90">
        <f>IF(AND($C138&gt;0,AR$46&gt;=$C$9+8+$C$26,SUM($E138:AQ138)&lt;$C138),MIN($C138/$C$27,$C138-SUM($E138:AQ138)),0)</f>
        <v/>
      </c>
      <c r="AS138" s="90">
        <f>IF(AND($C138&gt;0,AS$46&gt;=$C$9+8+$C$26,SUM($E138:AR138)&lt;$C138),MIN($C138/$C$27,$C138-SUM($E138:AR138)),0)</f>
        <v/>
      </c>
      <c r="AT138" s="90">
        <f>IF(AND($C138&gt;0,AT$46&gt;=$C$9+8+$C$26,SUM($E138:AS138)&lt;$C138),MIN($C138/$C$27,$C138-SUM($E138:AS138)),0)</f>
        <v/>
      </c>
      <c r="AU138" s="90">
        <f>IF(AND($C138&gt;0,AU$46&gt;=$C$9+8+$C$26,SUM($E138:AT138)&lt;$C138),MIN($C138/$C$27,$C138-SUM($E138:AT138)),0)</f>
        <v/>
      </c>
      <c r="AV138" s="90">
        <f>IF(AND($C138&gt;0,AV$46&gt;=$C$9+8+$C$26,SUM($E138:AU138)&lt;$C138),MIN($C138/$C$27,$C138-SUM($E138:AU138)),0)</f>
        <v/>
      </c>
      <c r="AW138" s="90">
        <f>IF(AND($C138&gt;0,AW$46&gt;=$C$9+8+$C$26,SUM($E138:AV138)&lt;$C138),MIN($C138/$C$27,$C138-SUM($E138:AV138)),0)</f>
        <v/>
      </c>
      <c r="AX138" s="90">
        <f>IF(AND($C138&gt;0,AX$46&gt;=$C$9+8+$C$26,SUM($E138:AW138)&lt;$C138),MIN($C138/$C$27,$C138-SUM($E138:AW138)),0)</f>
        <v/>
      </c>
      <c r="AY138" s="90">
        <f>IF(AND($C138&gt;0,AY$46&gt;=$C$9+8+$C$26,SUM($E138:AX138)&lt;$C138),MIN($C138/$C$27,$C138-SUM($E138:AX138)),0)</f>
        <v/>
      </c>
      <c r="AZ138" s="90">
        <f>IF(AND($C138&gt;0,AZ$46&gt;=$C$9+8+$C$26,SUM($E138:AY138)&lt;$C138),MIN($C138/$C$27,$C138-SUM($E138:AY138)),0)</f>
        <v/>
      </c>
      <c r="BA138" s="90">
        <f>IF(AND($C138&gt;0,BA$46&gt;=$C$9+8+$C$26,SUM($E138:AZ138)&lt;$C138),MIN($C138/$C$27,$C138-SUM($E138:AZ138)),0)</f>
        <v/>
      </c>
      <c r="BB138" s="90">
        <f>IF(AND($C138&gt;0,BB$46&gt;=$C$9+8+$C$26,SUM($E138:BA138)&lt;$C138),MIN($C138/$C$27,$C138-SUM($E138:BA138)),0)</f>
        <v/>
      </c>
    </row>
    <row r="139" ht="15" customHeight="1" s="91">
      <c r="B139" s="90" t="inlineStr">
        <is>
          <t>Tranche 10</t>
        </is>
      </c>
      <c r="C139" s="170">
        <f>IF(ABS($D$49)&gt;0,SUMPRODUCT(($E$46:$BB$46=$C$9+9)*IF($E49:$BB49&lt;0,ABS($E49:$BB49),0))*$C$19/ABS($D$49),0)</f>
        <v/>
      </c>
      <c r="D139" s="90">
        <f>SUM(E139:BB139)</f>
        <v/>
      </c>
      <c r="E139" s="90">
        <f>IF(AND($C139&gt;0,E$46&gt;=$C$9+9+$C$26,0&lt;$C139),MIN($C139/$C$27,$C139-0),0)</f>
        <v/>
      </c>
      <c r="F139" s="90">
        <f>IF(AND($C139&gt;0,F$46&gt;=$C$9+9+$C$26,SUM($E139:E139)&lt;$C139),MIN($C139/$C$27,$C139-SUM($E139:E139)),0)</f>
        <v/>
      </c>
      <c r="G139" s="90">
        <f>IF(AND($C139&gt;0,G$46&gt;=$C$9+9+$C$26,SUM($E139:F139)&lt;$C139),MIN($C139/$C$27,$C139-SUM($E139:F139)),0)</f>
        <v/>
      </c>
      <c r="H139" s="90">
        <f>IF(AND($C139&gt;0,H$46&gt;=$C$9+9+$C$26,SUM($E139:G139)&lt;$C139),MIN($C139/$C$27,$C139-SUM($E139:G139)),0)</f>
        <v/>
      </c>
      <c r="I139" s="90">
        <f>IF(AND($C139&gt;0,I$46&gt;=$C$9+9+$C$26,SUM($E139:H139)&lt;$C139),MIN($C139/$C$27,$C139-SUM($E139:H139)),0)</f>
        <v/>
      </c>
      <c r="J139" s="90">
        <f>IF(AND($C139&gt;0,J$46&gt;=$C$9+9+$C$26,SUM($E139:I139)&lt;$C139),MIN($C139/$C$27,$C139-SUM($E139:I139)),0)</f>
        <v/>
      </c>
      <c r="K139" s="90">
        <f>IF(AND($C139&gt;0,K$46&gt;=$C$9+9+$C$26,SUM($E139:J139)&lt;$C139),MIN($C139/$C$27,$C139-SUM($E139:J139)),0)</f>
        <v/>
      </c>
      <c r="L139" s="90">
        <f>IF(AND($C139&gt;0,L$46&gt;=$C$9+9+$C$26,SUM($E139:K139)&lt;$C139),MIN($C139/$C$27,$C139-SUM($E139:K139)),0)</f>
        <v/>
      </c>
      <c r="M139" s="90">
        <f>IF(AND($C139&gt;0,M$46&gt;=$C$9+9+$C$26,SUM($E139:L139)&lt;$C139),MIN($C139/$C$27,$C139-SUM($E139:L139)),0)</f>
        <v/>
      </c>
      <c r="N139" s="90">
        <f>IF(AND($C139&gt;0,N$46&gt;=$C$9+9+$C$26,SUM($E139:M139)&lt;$C139),MIN($C139/$C$27,$C139-SUM($E139:M139)),0)</f>
        <v/>
      </c>
      <c r="O139" s="90">
        <f>IF(AND($C139&gt;0,O$46&gt;=$C$9+9+$C$26,SUM($E139:N139)&lt;$C139),MIN($C139/$C$27,$C139-SUM($E139:N139)),0)</f>
        <v/>
      </c>
      <c r="P139" s="90">
        <f>IF(AND($C139&gt;0,P$46&gt;=$C$9+9+$C$26,SUM($E139:O139)&lt;$C139),MIN($C139/$C$27,$C139-SUM($E139:O139)),0)</f>
        <v/>
      </c>
      <c r="Q139" s="90">
        <f>IF(AND($C139&gt;0,Q$46&gt;=$C$9+9+$C$26,SUM($E139:P139)&lt;$C139),MIN($C139/$C$27,$C139-SUM($E139:P139)),0)</f>
        <v/>
      </c>
      <c r="R139" s="90">
        <f>IF(AND($C139&gt;0,R$46&gt;=$C$9+9+$C$26,SUM($E139:Q139)&lt;$C139),MIN($C139/$C$27,$C139-SUM($E139:Q139)),0)</f>
        <v/>
      </c>
      <c r="S139" s="90">
        <f>IF(AND($C139&gt;0,S$46&gt;=$C$9+9+$C$26,SUM($E139:R139)&lt;$C139),MIN($C139/$C$27,$C139-SUM($E139:R139)),0)</f>
        <v/>
      </c>
      <c r="T139" s="90">
        <f>IF(AND($C139&gt;0,T$46&gt;=$C$9+9+$C$26,SUM($E139:S139)&lt;$C139),MIN($C139/$C$27,$C139-SUM($E139:S139)),0)</f>
        <v/>
      </c>
      <c r="U139" s="90">
        <f>IF(AND($C139&gt;0,U$46&gt;=$C$9+9+$C$26,SUM($E139:T139)&lt;$C139),MIN($C139/$C$27,$C139-SUM($E139:T139)),0)</f>
        <v/>
      </c>
      <c r="V139" s="90">
        <f>IF(AND($C139&gt;0,V$46&gt;=$C$9+9+$C$26,SUM($E139:U139)&lt;$C139),MIN($C139/$C$27,$C139-SUM($E139:U139)),0)</f>
        <v/>
      </c>
      <c r="W139" s="90">
        <f>IF(AND($C139&gt;0,W$46&gt;=$C$9+9+$C$26,SUM($E139:V139)&lt;$C139),MIN($C139/$C$27,$C139-SUM($E139:V139)),0)</f>
        <v/>
      </c>
      <c r="X139" s="90">
        <f>IF(AND($C139&gt;0,X$46&gt;=$C$9+9+$C$26,SUM($E139:W139)&lt;$C139),MIN($C139/$C$27,$C139-SUM($E139:W139)),0)</f>
        <v/>
      </c>
      <c r="Y139" s="90">
        <f>IF(AND($C139&gt;0,Y$46&gt;=$C$9+9+$C$26,SUM($E139:X139)&lt;$C139),MIN($C139/$C$27,$C139-SUM($E139:X139)),0)</f>
        <v/>
      </c>
      <c r="Z139" s="90">
        <f>IF(AND($C139&gt;0,Z$46&gt;=$C$9+9+$C$26,SUM($E139:Y139)&lt;$C139),MIN($C139/$C$27,$C139-SUM($E139:Y139)),0)</f>
        <v/>
      </c>
      <c r="AA139" s="90">
        <f>IF(AND($C139&gt;0,AA$46&gt;=$C$9+9+$C$26,SUM($E139:Z139)&lt;$C139),MIN($C139/$C$27,$C139-SUM($E139:Z139)),0)</f>
        <v/>
      </c>
      <c r="AB139" s="90">
        <f>IF(AND($C139&gt;0,AB$46&gt;=$C$9+9+$C$26,SUM($E139:AA139)&lt;$C139),MIN($C139/$C$27,$C139-SUM($E139:AA139)),0)</f>
        <v/>
      </c>
      <c r="AC139" s="90">
        <f>IF(AND($C139&gt;0,AC$46&gt;=$C$9+9+$C$26,SUM($E139:AB139)&lt;$C139),MIN($C139/$C$27,$C139-SUM($E139:AB139)),0)</f>
        <v/>
      </c>
      <c r="AD139" s="90">
        <f>IF(AND($C139&gt;0,AD$46&gt;=$C$9+9+$C$26,SUM($E139:AC139)&lt;$C139),MIN($C139/$C$27,$C139-SUM($E139:AC139)),0)</f>
        <v/>
      </c>
      <c r="AE139" s="90">
        <f>IF(AND($C139&gt;0,AE$46&gt;=$C$9+9+$C$26,SUM($E139:AD139)&lt;$C139),MIN($C139/$C$27,$C139-SUM($E139:AD139)),0)</f>
        <v/>
      </c>
      <c r="AF139" s="90">
        <f>IF(AND($C139&gt;0,AF$46&gt;=$C$9+9+$C$26,SUM($E139:AE139)&lt;$C139),MIN($C139/$C$27,$C139-SUM($E139:AE139)),0)</f>
        <v/>
      </c>
      <c r="AG139" s="90">
        <f>IF(AND($C139&gt;0,AG$46&gt;=$C$9+9+$C$26,SUM($E139:AF139)&lt;$C139),MIN($C139/$C$27,$C139-SUM($E139:AF139)),0)</f>
        <v/>
      </c>
      <c r="AH139" s="90">
        <f>IF(AND($C139&gt;0,AH$46&gt;=$C$9+9+$C$26,SUM($E139:AG139)&lt;$C139),MIN($C139/$C$27,$C139-SUM($E139:AG139)),0)</f>
        <v/>
      </c>
      <c r="AI139" s="90">
        <f>IF(AND($C139&gt;0,AI$46&gt;=$C$9+9+$C$26,SUM($E139:AH139)&lt;$C139),MIN($C139/$C$27,$C139-SUM($E139:AH139)),0)</f>
        <v/>
      </c>
      <c r="AJ139" s="90">
        <f>IF(AND($C139&gt;0,AJ$46&gt;=$C$9+9+$C$26,SUM($E139:AI139)&lt;$C139),MIN($C139/$C$27,$C139-SUM($E139:AI139)),0)</f>
        <v/>
      </c>
      <c r="AK139" s="90">
        <f>IF(AND($C139&gt;0,AK$46&gt;=$C$9+9+$C$26,SUM($E139:AJ139)&lt;$C139),MIN($C139/$C$27,$C139-SUM($E139:AJ139)),0)</f>
        <v/>
      </c>
      <c r="AL139" s="90">
        <f>IF(AND($C139&gt;0,AL$46&gt;=$C$9+9+$C$26,SUM($E139:AK139)&lt;$C139),MIN($C139/$C$27,$C139-SUM($E139:AK139)),0)</f>
        <v/>
      </c>
      <c r="AM139" s="90">
        <f>IF(AND($C139&gt;0,AM$46&gt;=$C$9+9+$C$26,SUM($E139:AL139)&lt;$C139),MIN($C139/$C$27,$C139-SUM($E139:AL139)),0)</f>
        <v/>
      </c>
      <c r="AN139" s="90">
        <f>IF(AND($C139&gt;0,AN$46&gt;=$C$9+9+$C$26,SUM($E139:AM139)&lt;$C139),MIN($C139/$C$27,$C139-SUM($E139:AM139)),0)</f>
        <v/>
      </c>
      <c r="AO139" s="90">
        <f>IF(AND($C139&gt;0,AO$46&gt;=$C$9+9+$C$26,SUM($E139:AN139)&lt;$C139),MIN($C139/$C$27,$C139-SUM($E139:AN139)),0)</f>
        <v/>
      </c>
      <c r="AP139" s="90">
        <f>IF(AND($C139&gt;0,AP$46&gt;=$C$9+9+$C$26,SUM($E139:AO139)&lt;$C139),MIN($C139/$C$27,$C139-SUM($E139:AO139)),0)</f>
        <v/>
      </c>
      <c r="AQ139" s="90">
        <f>IF(AND($C139&gt;0,AQ$46&gt;=$C$9+9+$C$26,SUM($E139:AP139)&lt;$C139),MIN($C139/$C$27,$C139-SUM($E139:AP139)),0)</f>
        <v/>
      </c>
      <c r="AR139" s="90">
        <f>IF(AND($C139&gt;0,AR$46&gt;=$C$9+9+$C$26,SUM($E139:AQ139)&lt;$C139),MIN($C139/$C$27,$C139-SUM($E139:AQ139)),0)</f>
        <v/>
      </c>
      <c r="AS139" s="90">
        <f>IF(AND($C139&gt;0,AS$46&gt;=$C$9+9+$C$26,SUM($E139:AR139)&lt;$C139),MIN($C139/$C$27,$C139-SUM($E139:AR139)),0)</f>
        <v/>
      </c>
      <c r="AT139" s="90">
        <f>IF(AND($C139&gt;0,AT$46&gt;=$C$9+9+$C$26,SUM($E139:AS139)&lt;$C139),MIN($C139/$C$27,$C139-SUM($E139:AS139)),0)</f>
        <v/>
      </c>
      <c r="AU139" s="90">
        <f>IF(AND($C139&gt;0,AU$46&gt;=$C$9+9+$C$26,SUM($E139:AT139)&lt;$C139),MIN($C139/$C$27,$C139-SUM($E139:AT139)),0)</f>
        <v/>
      </c>
      <c r="AV139" s="90">
        <f>IF(AND($C139&gt;0,AV$46&gt;=$C$9+9+$C$26,SUM($E139:AU139)&lt;$C139),MIN($C139/$C$27,$C139-SUM($E139:AU139)),0)</f>
        <v/>
      </c>
      <c r="AW139" s="90">
        <f>IF(AND($C139&gt;0,AW$46&gt;=$C$9+9+$C$26,SUM($E139:AV139)&lt;$C139),MIN($C139/$C$27,$C139-SUM($E139:AV139)),0)</f>
        <v/>
      </c>
      <c r="AX139" s="90">
        <f>IF(AND($C139&gt;0,AX$46&gt;=$C$9+9+$C$26,SUM($E139:AW139)&lt;$C139),MIN($C139/$C$27,$C139-SUM($E139:AW139)),0)</f>
        <v/>
      </c>
      <c r="AY139" s="90">
        <f>IF(AND($C139&gt;0,AY$46&gt;=$C$9+9+$C$26,SUM($E139:AX139)&lt;$C139),MIN($C139/$C$27,$C139-SUM($E139:AX139)),0)</f>
        <v/>
      </c>
      <c r="AZ139" s="90">
        <f>IF(AND($C139&gt;0,AZ$46&gt;=$C$9+9+$C$26,SUM($E139:AY139)&lt;$C139),MIN($C139/$C$27,$C139-SUM($E139:AY139)),0)</f>
        <v/>
      </c>
      <c r="BA139" s="90">
        <f>IF(AND($C139&gt;0,BA$46&gt;=$C$9+9+$C$26,SUM($E139:AZ139)&lt;$C139),MIN($C139/$C$27,$C139-SUM($E139:AZ139)),0)</f>
        <v/>
      </c>
      <c r="BB139" s="90">
        <f>IF(AND($C139&gt;0,BB$46&gt;=$C$9+9+$C$26,SUM($E139:BA139)&lt;$C139),MIN($C139/$C$27,$C139-SUM($E139:BA139)),0)</f>
        <v/>
      </c>
    </row>
    <row r="140" ht="15" customHeight="1" s="91">
      <c r="A140" s="152" t="inlineStr">
        <is>
          <t>IMPORT  البيانات المستوردة (يمكن طيها ▼)</t>
        </is>
      </c>
      <c r="B140" s="171" t="inlineStr">
        <is>
          <t>Total Tranche Repayment</t>
        </is>
      </c>
      <c r="C140" s="152" t="n"/>
      <c r="D140" s="152">
        <f>SUM(E140:BB140)</f>
        <v/>
      </c>
      <c r="E140" s="90">
        <f>SUM(E130:E139)</f>
        <v/>
      </c>
      <c r="F140" s="90">
        <f>SUM(F130:F139)</f>
        <v/>
      </c>
      <c r="G140" s="90">
        <f>SUM(G130:G139)</f>
        <v/>
      </c>
      <c r="H140" s="90">
        <f>SUM(H130:H139)</f>
        <v/>
      </c>
      <c r="I140" s="90">
        <f>SUM(I130:I139)</f>
        <v/>
      </c>
      <c r="J140" s="90">
        <f>SUM(J130:J139)</f>
        <v/>
      </c>
      <c r="K140" s="90">
        <f>SUM(K130:K139)</f>
        <v/>
      </c>
      <c r="L140" s="90">
        <f>SUM(L130:L139)</f>
        <v/>
      </c>
      <c r="M140" s="90">
        <f>SUM(M130:M139)</f>
        <v/>
      </c>
      <c r="N140" s="90">
        <f>SUM(N130:N139)</f>
        <v/>
      </c>
      <c r="O140" s="90">
        <f>SUM(O130:O139)</f>
        <v/>
      </c>
      <c r="P140" s="90">
        <f>SUM(P130:P139)</f>
        <v/>
      </c>
      <c r="Q140" s="90">
        <f>SUM(Q130:Q139)</f>
        <v/>
      </c>
      <c r="R140" s="90">
        <f>SUM(R130:R139)</f>
        <v/>
      </c>
      <c r="S140" s="90">
        <f>SUM(S130:S139)</f>
        <v/>
      </c>
      <c r="T140" s="90">
        <f>SUM(T130:T139)</f>
        <v/>
      </c>
      <c r="U140" s="90">
        <f>SUM(U130:U139)</f>
        <v/>
      </c>
      <c r="V140" s="90">
        <f>SUM(V130:V139)</f>
        <v/>
      </c>
      <c r="W140" s="90">
        <f>SUM(W130:W139)</f>
        <v/>
      </c>
      <c r="X140" s="90">
        <f>SUM(X130:X139)</f>
        <v/>
      </c>
      <c r="Y140" s="90">
        <f>SUM(Y130:Y139)</f>
        <v/>
      </c>
      <c r="Z140" s="90">
        <f>SUM(Z130:Z139)</f>
        <v/>
      </c>
      <c r="AA140" s="90">
        <f>SUM(AA130:AA139)</f>
        <v/>
      </c>
      <c r="AB140" s="90">
        <f>SUM(AB130:AB139)</f>
        <v/>
      </c>
      <c r="AC140" s="90">
        <f>SUM(AC130:AC139)</f>
        <v/>
      </c>
      <c r="AD140" s="90">
        <f>SUM(AD130:AD139)</f>
        <v/>
      </c>
      <c r="AE140" s="90">
        <f>SUM(AE130:AE139)</f>
        <v/>
      </c>
      <c r="AF140" s="90">
        <f>SUM(AF130:AF139)</f>
        <v/>
      </c>
      <c r="AG140" s="90">
        <f>SUM(AG130:AG139)</f>
        <v/>
      </c>
      <c r="AH140" s="90">
        <f>SUM(AH130:AH139)</f>
        <v/>
      </c>
      <c r="AI140" s="90">
        <f>SUM(AI130:AI139)</f>
        <v/>
      </c>
      <c r="AJ140" s="90">
        <f>SUM(AJ130:AJ139)</f>
        <v/>
      </c>
      <c r="AK140" s="90">
        <f>SUM(AK130:AK139)</f>
        <v/>
      </c>
      <c r="AL140" s="90">
        <f>SUM(AL130:AL139)</f>
        <v/>
      </c>
      <c r="AM140" s="90">
        <f>SUM(AM130:AM139)</f>
        <v/>
      </c>
      <c r="AN140" s="90">
        <f>SUM(AN130:AN139)</f>
        <v/>
      </c>
      <c r="AO140" s="90">
        <f>SUM(AO130:AO139)</f>
        <v/>
      </c>
      <c r="AP140" s="90">
        <f>SUM(AP130:AP139)</f>
        <v/>
      </c>
      <c r="AQ140" s="90">
        <f>SUM(AQ130:AQ139)</f>
        <v/>
      </c>
      <c r="AR140" s="90">
        <f>SUM(AR130:AR139)</f>
        <v/>
      </c>
      <c r="AS140" s="90">
        <f>SUM(AS130:AS139)</f>
        <v/>
      </c>
      <c r="AT140" s="90">
        <f>SUM(AT130:AT139)</f>
        <v/>
      </c>
      <c r="AU140" s="90">
        <f>SUM(AU130:AU139)</f>
        <v/>
      </c>
      <c r="AV140" s="90">
        <f>SUM(AV130:AV139)</f>
        <v/>
      </c>
      <c r="AW140" s="90">
        <f>SUM(AW130:AW139)</f>
        <v/>
      </c>
      <c r="AX140" s="90">
        <f>SUM(AX130:AX139)</f>
        <v/>
      </c>
      <c r="AY140" s="90">
        <f>SUM(AY130:AY139)</f>
        <v/>
      </c>
      <c r="AZ140" s="90">
        <f>SUM(AZ130:AZ139)</f>
        <v/>
      </c>
      <c r="BA140" s="90">
        <f>SUM(BA130:BA139)</f>
        <v/>
      </c>
      <c r="BB140" s="90">
        <f>SUM(BB130:BB139)</f>
        <v/>
      </c>
    </row>
    <row r="141" hidden="1" outlineLevel="1" ht="15" customHeight="1" s="91">
      <c r="B141" s="153" t="inlineStr">
        <is>
          <t>DevCost (excl Land)</t>
        </is>
      </c>
      <c r="C141" s="155">
        <f>C17</f>
        <v/>
      </c>
    </row>
    <row r="142" hidden="1" outlineLevel="1" ht="15" customHeight="1" s="91">
      <c r="B142" s="153" t="inlineStr">
        <is>
          <t>Land Capitalization</t>
        </is>
      </c>
      <c r="C142" s="155">
        <f>C12</f>
        <v/>
      </c>
    </row>
    <row r="143" hidden="1" outlineLevel="1" ht="15" customHeight="1" s="91">
      <c r="B143" s="153" t="inlineStr">
        <is>
          <t>Max Debt</t>
        </is>
      </c>
      <c r="C143" s="155">
        <f>C19</f>
        <v/>
      </c>
    </row>
    <row r="144" hidden="1" outlineLevel="1" ht="15" customHeight="1" s="91">
      <c r="B144" s="153" t="inlineStr">
        <is>
          <t>Total Equity</t>
        </is>
      </c>
      <c r="C144" s="155">
        <f>C14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1">
    <dataValidation sqref="C22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B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25" topLeftCell="E26" activePane="bottomRight" state="frozen"/>
      <selection pane="topLeft" activeCell="A1" activeCellId="0" sqref="A1"/>
      <selection pane="topRight" activeCell="E1" activeCellId="0" sqref="E1"/>
      <selection pane="bottomLeft" activeCell="A26" activeCellId="0" sqref="A2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90" min="1" max="1"/>
    <col width="42" customWidth="1" style="90" min="2" max="2"/>
    <col width="14" customWidth="1" style="90" min="3" max="3"/>
    <col width="18" customWidth="1" style="90" min="4" max="4"/>
    <col width="14" customWidth="1" style="90" min="5" max="54"/>
  </cols>
  <sheetData>
    <row r="1" ht="15" customHeight="1" s="91">
      <c r="A1" s="152" t="inlineStr">
        <is>
          <t>BANK MODEL  نموذج البنك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  <c r="AA1" s="152" t="n"/>
      <c r="AB1" s="152" t="n"/>
      <c r="AC1" s="152" t="n"/>
      <c r="AD1" s="152" t="n"/>
      <c r="AE1" s="152" t="n"/>
      <c r="AF1" s="152" t="n"/>
      <c r="AG1" s="152" t="n"/>
      <c r="AH1" s="152" t="n"/>
      <c r="AI1" s="152" t="n"/>
      <c r="AJ1" s="152" t="n"/>
      <c r="AK1" s="152" t="n"/>
      <c r="AL1" s="152" t="n"/>
      <c r="AM1" s="152" t="n"/>
      <c r="AN1" s="152" t="n"/>
      <c r="AO1" s="152" t="n"/>
      <c r="AP1" s="152" t="n"/>
      <c r="AQ1" s="152" t="n"/>
      <c r="AR1" s="152" t="n"/>
      <c r="AS1" s="152" t="n"/>
      <c r="AT1" s="152" t="n"/>
      <c r="AU1" s="152" t="n"/>
      <c r="AV1" s="152" t="n"/>
      <c r="AW1" s="152" t="n"/>
      <c r="AX1" s="152" t="n"/>
      <c r="AY1" s="152" t="n"/>
      <c r="AZ1" s="152" t="n"/>
      <c r="BA1" s="152" t="n"/>
      <c r="BB1" s="152" t="n"/>
    </row>
    <row r="3" ht="15" customHeight="1" s="91">
      <c r="A3" s="152" t="inlineStr">
        <is>
          <t>1  SCOPE CONTROL  التحكم بالنطاق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2" t="n"/>
      <c r="AS3" s="152" t="n"/>
      <c r="AT3" s="152" t="n"/>
      <c r="AU3" s="152" t="n"/>
      <c r="AV3" s="152" t="n"/>
      <c r="AW3" s="152" t="n"/>
      <c r="AX3" s="152" t="n"/>
      <c r="AY3" s="152" t="n"/>
      <c r="AZ3" s="152" t="n"/>
      <c r="BA3" s="152" t="n"/>
      <c r="BB3" s="152" t="n"/>
    </row>
    <row r="4" ht="15" customHeight="1" s="91">
      <c r="B4" s="153" t="inlineStr">
        <is>
          <t>Bank Name</t>
        </is>
      </c>
      <c r="C4" s="114" t="inlineStr">
        <is>
          <t>[Bank Name]</t>
        </is>
      </c>
      <c r="D4" s="120" t="inlineStr">
        <is>
          <t>اسم البنك</t>
        </is>
      </c>
    </row>
    <row r="5" ht="15" customHeight="1" s="91">
      <c r="B5" s="153" t="inlineStr">
        <is>
          <t>Scope (Phases to Include)</t>
        </is>
      </c>
      <c r="C5" s="114" t="inlineStr">
        <is>
          <t>All</t>
        </is>
      </c>
      <c r="D5" s="120" t="inlineStr">
        <is>
          <t>النطاق (المراحل المشمولة)</t>
        </is>
      </c>
    </row>
    <row r="6" ht="15" customHeight="1" s="91">
      <c r="B6" s="153" t="inlineStr">
        <is>
          <t>DSCR Analysis Period (years)</t>
        </is>
      </c>
      <c r="C6" s="107" t="n">
        <v>10</v>
      </c>
    </row>
    <row r="7" ht="15" customHeight="1" s="91">
      <c r="B7" s="153" t="inlineStr">
        <is>
          <t>Project Name</t>
        </is>
      </c>
      <c r="C7" s="112">
        <f>Inputs!C5</f>
        <v/>
      </c>
    </row>
    <row r="8" ht="15" customHeight="1" s="91">
      <c r="B8" s="153" t="inlineStr">
        <is>
          <t>Currency</t>
        </is>
      </c>
      <c r="C8" s="112">
        <f>Inputs!C9</f>
        <v/>
      </c>
    </row>
    <row r="10" ht="15" customHeight="1" s="91">
      <c r="A10" s="152" t="inlineStr">
        <is>
          <t>2  PROJECT SUMMARY  ملخص المشروع</t>
        </is>
      </c>
      <c r="B10" s="152" t="n"/>
      <c r="C10" s="152" t="n"/>
      <c r="D10" s="152" t="n"/>
      <c r="E10" s="152" t="n"/>
      <c r="F10" s="152" t="n"/>
      <c r="G10" s="152" t="n"/>
      <c r="H10" s="152" t="n"/>
      <c r="I10" s="152" t="n"/>
      <c r="J10" s="152" t="n"/>
      <c r="K10" s="152" t="n"/>
      <c r="L10" s="152" t="n"/>
      <c r="M10" s="152" t="n"/>
      <c r="N10" s="152" t="n"/>
      <c r="O10" s="152" t="n"/>
      <c r="P10" s="152" t="n"/>
      <c r="Q10" s="152" t="n"/>
      <c r="R10" s="152" t="n"/>
      <c r="S10" s="152" t="n"/>
      <c r="T10" s="152" t="n"/>
      <c r="U10" s="152" t="n"/>
      <c r="V10" s="152" t="n"/>
      <c r="W10" s="152" t="n"/>
      <c r="X10" s="152" t="n"/>
      <c r="Y10" s="152" t="n"/>
      <c r="Z10" s="152" t="n"/>
      <c r="AA10" s="152" t="n"/>
      <c r="AB10" s="152" t="n"/>
      <c r="AC10" s="152" t="n"/>
      <c r="AD10" s="152" t="n"/>
      <c r="AE10" s="152" t="n"/>
      <c r="AF10" s="152" t="n"/>
      <c r="AG10" s="152" t="n"/>
      <c r="AH10" s="152" t="n"/>
      <c r="AI10" s="152" t="n"/>
      <c r="AJ10" s="152" t="n"/>
      <c r="AK10" s="152" t="n"/>
      <c r="AL10" s="152" t="n"/>
      <c r="AM10" s="152" t="n"/>
      <c r="AN10" s="152" t="n"/>
      <c r="AO10" s="152" t="n"/>
      <c r="AP10" s="152" t="n"/>
      <c r="AQ10" s="152" t="n"/>
      <c r="AR10" s="152" t="n"/>
      <c r="AS10" s="152" t="n"/>
      <c r="AT10" s="152" t="n"/>
      <c r="AU10" s="152" t="n"/>
      <c r="AV10" s="152" t="n"/>
      <c r="AW10" s="152" t="n"/>
      <c r="AX10" s="152" t="n"/>
      <c r="AY10" s="152" t="n"/>
      <c r="AZ10" s="152" t="n"/>
      <c r="BA10" s="152" t="n"/>
      <c r="BB10" s="152" t="n"/>
    </row>
    <row r="11" ht="15" customHeight="1" s="91">
      <c r="B11" s="153" t="inlineStr">
        <is>
          <t>Total Development Cost (incl. Land)</t>
        </is>
      </c>
      <c r="C11" s="155">
        <f>'Fund_ZAN 1'!C18+'Fund_ZAN 2'!C18+'Fund_ZAN 3'!C18+'Fund_ZAN 4'!C18+'Fund_ZAN 5'!C18+'Fund_ZAN 6'!C18</f>
        <v/>
      </c>
      <c r="D11" s="120" t="inlineStr">
        <is>
          <t>إجمالي تكاليف التطوير</t>
        </is>
      </c>
    </row>
    <row r="12" ht="15" customHeight="1" s="91">
      <c r="B12" s="153" t="inlineStr">
        <is>
          <t>Total Equity</t>
        </is>
      </c>
      <c r="C12" s="155">
        <f>'Fund_ZAN 1'!C14+'Fund_ZAN 2'!C14+'Fund_ZAN 3'!C14+'Fund_ZAN 4'!C14+'Fund_ZAN 5'!C14+'Fund_ZAN 6'!C14</f>
        <v/>
      </c>
      <c r="D12" s="120" t="inlineStr">
        <is>
          <t>إجمالي حقوق الملكية</t>
        </is>
      </c>
    </row>
    <row r="13" ht="15" customHeight="1" s="91">
      <c r="B13" s="153" t="inlineStr">
        <is>
          <t>Total Debt Requested</t>
        </is>
      </c>
      <c r="C13" s="155">
        <f>'Fund_ZAN 1'!C19+'Fund_ZAN 2'!C19+'Fund_ZAN 3'!C19+'Fund_ZAN 4'!C19+'Fund_ZAN 5'!C19+'Fund_ZAN 6'!C19</f>
        <v/>
      </c>
      <c r="D13" s="120" t="inlineStr">
        <is>
          <t>إجمالي الدين المطلوب</t>
        </is>
      </c>
    </row>
    <row r="14" ht="15" customHeight="1" s="91">
      <c r="B14" s="153" t="inlineStr">
        <is>
          <t>Equity %</t>
        </is>
      </c>
      <c r="C14" s="161">
        <f>IF(C11=0,0,C12/C11)</f>
        <v/>
      </c>
      <c r="D14" s="120" t="inlineStr">
        <is>
          <t>نسبة الملكية</t>
        </is>
      </c>
    </row>
    <row r="15" ht="15" customHeight="1" s="91">
      <c r="B15" s="153" t="inlineStr">
        <is>
          <t>Debt %</t>
        </is>
      </c>
      <c r="C15" s="161">
        <f>IF(C11=0,0,C13/C11)</f>
        <v/>
      </c>
      <c r="D15" s="120" t="inlineStr">
        <is>
          <t>نسبة الدين</t>
        </is>
      </c>
    </row>
    <row r="17" ht="15" customHeight="1" s="91">
      <c r="A17" s="152" t="inlineStr">
        <is>
          <t>3  FINANCING REQUEST  طلب التمويل</t>
        </is>
      </c>
      <c r="B17" s="152" t="n"/>
      <c r="C17" s="152" t="n"/>
      <c r="D17" s="152" t="n"/>
      <c r="E17" s="152" t="n"/>
      <c r="F17" s="152" t="n"/>
      <c r="G17" s="152" t="n"/>
      <c r="H17" s="152" t="n"/>
      <c r="I17" s="152" t="n"/>
      <c r="J17" s="152" t="n"/>
      <c r="K17" s="152" t="n"/>
      <c r="L17" s="152" t="n"/>
      <c r="M17" s="152" t="n"/>
      <c r="N17" s="152" t="n"/>
      <c r="O17" s="152" t="n"/>
      <c r="P17" s="152" t="n"/>
      <c r="Q17" s="152" t="n"/>
      <c r="R17" s="152" t="n"/>
      <c r="S17" s="152" t="n"/>
      <c r="T17" s="152" t="n"/>
      <c r="U17" s="152" t="n"/>
      <c r="V17" s="152" t="n"/>
      <c r="W17" s="152" t="n"/>
      <c r="X17" s="152" t="n"/>
      <c r="Y17" s="152" t="n"/>
      <c r="Z17" s="152" t="n"/>
      <c r="AA17" s="152" t="n"/>
      <c r="AB17" s="152" t="n"/>
      <c r="AC17" s="152" t="n"/>
      <c r="AD17" s="152" t="n"/>
      <c r="AE17" s="152" t="n"/>
      <c r="AF17" s="152" t="n"/>
      <c r="AG17" s="152" t="n"/>
      <c r="AH17" s="152" t="n"/>
      <c r="AI17" s="152" t="n"/>
      <c r="AJ17" s="152" t="n"/>
      <c r="AK17" s="152" t="n"/>
      <c r="AL17" s="152" t="n"/>
      <c r="AM17" s="152" t="n"/>
      <c r="AN17" s="152" t="n"/>
      <c r="AO17" s="152" t="n"/>
      <c r="AP17" s="152" t="n"/>
      <c r="AQ17" s="152" t="n"/>
      <c r="AR17" s="152" t="n"/>
      <c r="AS17" s="152" t="n"/>
      <c r="AT17" s="152" t="n"/>
      <c r="AU17" s="152" t="n"/>
      <c r="AV17" s="152" t="n"/>
      <c r="AW17" s="152" t="n"/>
      <c r="AX17" s="152" t="n"/>
      <c r="AY17" s="152" t="n"/>
      <c r="AZ17" s="152" t="n"/>
      <c r="BA17" s="152" t="n"/>
      <c r="BB17" s="152" t="n"/>
    </row>
    <row r="18" ht="15" customHeight="1" s="91">
      <c r="B18" s="153" t="inlineStr">
        <is>
          <t>Financing Rate</t>
        </is>
      </c>
      <c r="C18" s="156">
        <f>Inputs!C126</f>
        <v/>
      </c>
    </row>
    <row r="19" ht="15" customHeight="1" s="91">
      <c r="B19" s="153" t="inlineStr">
        <is>
          <t>Loan Tenor (incl. Grace)</t>
        </is>
      </c>
      <c r="C19" s="159">
        <f>Inputs!C127</f>
        <v/>
      </c>
    </row>
    <row r="20" ht="15" customHeight="1" s="91">
      <c r="B20" s="153" t="inlineStr">
        <is>
          <t>Grace Period</t>
        </is>
      </c>
      <c r="C20" s="159">
        <f>Inputs!C128</f>
        <v/>
      </c>
    </row>
    <row r="21" ht="15" customHeight="1" s="91">
      <c r="B21" s="153" t="inlineStr">
        <is>
          <t>LTV Ratio</t>
        </is>
      </c>
      <c r="C21" s="156">
        <f>Inputs!C85</f>
        <v/>
      </c>
    </row>
    <row r="22" ht="15" customHeight="1" s="91">
      <c r="B22" s="153" t="inlineStr">
        <is>
          <t>Repayment Type</t>
        </is>
      </c>
      <c r="C22" s="114" t="inlineStr">
        <is>
          <t>Equal Installment</t>
        </is>
      </c>
    </row>
    <row r="24" ht="15" customHeight="1" s="91">
      <c r="A24" s="152" t="inlineStr">
        <is>
          <t>4  CONSOLIDATED CASH FLOW  التدفقات النقدية المجمعة</t>
        </is>
      </c>
      <c r="B24" s="152" t="n"/>
      <c r="C24" s="152" t="n"/>
      <c r="D24" s="152" t="n"/>
      <c r="E24" s="152" t="n"/>
      <c r="F24" s="152" t="n"/>
      <c r="G24" s="152" t="n"/>
      <c r="H24" s="152" t="n"/>
      <c r="I24" s="152" t="n"/>
      <c r="J24" s="152" t="n"/>
      <c r="K24" s="152" t="n"/>
      <c r="L24" s="152" t="n"/>
      <c r="M24" s="152" t="n"/>
      <c r="N24" s="152" t="n"/>
      <c r="O24" s="152" t="n"/>
      <c r="P24" s="152" t="n"/>
      <c r="Q24" s="152" t="n"/>
      <c r="R24" s="152" t="n"/>
      <c r="S24" s="152" t="n"/>
      <c r="T24" s="152" t="n"/>
      <c r="U24" s="152" t="n"/>
      <c r="V24" s="152" t="n"/>
      <c r="W24" s="152" t="n"/>
      <c r="X24" s="152" t="n"/>
      <c r="Y24" s="152" t="n"/>
      <c r="Z24" s="152" t="n"/>
      <c r="AA24" s="152" t="n"/>
      <c r="AB24" s="152" t="n"/>
      <c r="AC24" s="152" t="n"/>
      <c r="AD24" s="152" t="n"/>
      <c r="AE24" s="152" t="n"/>
      <c r="AF24" s="152" t="n"/>
      <c r="AG24" s="152" t="n"/>
      <c r="AH24" s="152" t="n"/>
      <c r="AI24" s="152" t="n"/>
      <c r="AJ24" s="152" t="n"/>
      <c r="AK24" s="152" t="n"/>
      <c r="AL24" s="152" t="n"/>
      <c r="AM24" s="152" t="n"/>
      <c r="AN24" s="152" t="n"/>
      <c r="AO24" s="152" t="n"/>
      <c r="AP24" s="152" t="n"/>
      <c r="AQ24" s="152" t="n"/>
      <c r="AR24" s="152" t="n"/>
      <c r="AS24" s="152" t="n"/>
      <c r="AT24" s="152" t="n"/>
      <c r="AU24" s="152" t="n"/>
      <c r="AV24" s="152" t="n"/>
      <c r="AW24" s="152" t="n"/>
      <c r="AX24" s="152" t="n"/>
      <c r="AY24" s="152" t="n"/>
      <c r="AZ24" s="152" t="n"/>
      <c r="BA24" s="152" t="n"/>
      <c r="BB24" s="152" t="n"/>
    </row>
    <row r="25" ht="15" customHeight="1" s="91">
      <c r="C25" s="165" t="inlineStr">
        <is>
          <t>Unit</t>
        </is>
      </c>
      <c r="D25" s="165" t="inlineStr">
        <is>
          <t>Total</t>
        </is>
      </c>
      <c r="E25" s="166">
        <f>Inputs!$C$7+0</f>
        <v/>
      </c>
      <c r="F25" s="166">
        <f>Inputs!$C$7+1</f>
        <v/>
      </c>
      <c r="G25" s="166">
        <f>Inputs!$C$7+2</f>
        <v/>
      </c>
      <c r="H25" s="166">
        <f>Inputs!$C$7+3</f>
        <v/>
      </c>
      <c r="I25" s="166">
        <f>Inputs!$C$7+4</f>
        <v/>
      </c>
      <c r="J25" s="166">
        <f>Inputs!$C$7+5</f>
        <v/>
      </c>
      <c r="K25" s="166">
        <f>Inputs!$C$7+6</f>
        <v/>
      </c>
      <c r="L25" s="166">
        <f>Inputs!$C$7+7</f>
        <v/>
      </c>
      <c r="M25" s="166">
        <f>Inputs!$C$7+8</f>
        <v/>
      </c>
      <c r="N25" s="166">
        <f>Inputs!$C$7+9</f>
        <v/>
      </c>
      <c r="O25" s="166">
        <f>Inputs!$C$7+10</f>
        <v/>
      </c>
      <c r="P25" s="166">
        <f>Inputs!$C$7+11</f>
        <v/>
      </c>
      <c r="Q25" s="166">
        <f>Inputs!$C$7+12</f>
        <v/>
      </c>
      <c r="R25" s="166">
        <f>Inputs!$C$7+13</f>
        <v/>
      </c>
      <c r="S25" s="166">
        <f>Inputs!$C$7+14</f>
        <v/>
      </c>
      <c r="T25" s="166">
        <f>Inputs!$C$7+15</f>
        <v/>
      </c>
      <c r="U25" s="166">
        <f>Inputs!$C$7+16</f>
        <v/>
      </c>
      <c r="V25" s="166">
        <f>Inputs!$C$7+17</f>
        <v/>
      </c>
      <c r="W25" s="166">
        <f>Inputs!$C$7+18</f>
        <v/>
      </c>
      <c r="X25" s="166">
        <f>Inputs!$C$7+19</f>
        <v/>
      </c>
      <c r="Y25" s="166">
        <f>Inputs!$C$7+20</f>
        <v/>
      </c>
      <c r="Z25" s="166">
        <f>Inputs!$C$7+21</f>
        <v/>
      </c>
      <c r="AA25" s="166">
        <f>Inputs!$C$7+22</f>
        <v/>
      </c>
      <c r="AB25" s="166">
        <f>Inputs!$C$7+23</f>
        <v/>
      </c>
      <c r="AC25" s="166">
        <f>Inputs!$C$7+24</f>
        <v/>
      </c>
      <c r="AD25" s="166">
        <f>Inputs!$C$7+25</f>
        <v/>
      </c>
      <c r="AE25" s="166">
        <f>Inputs!$C$7+26</f>
        <v/>
      </c>
      <c r="AF25" s="166">
        <f>Inputs!$C$7+27</f>
        <v/>
      </c>
      <c r="AG25" s="166">
        <f>Inputs!$C$7+28</f>
        <v/>
      </c>
      <c r="AH25" s="166">
        <f>Inputs!$C$7+29</f>
        <v/>
      </c>
      <c r="AI25" s="166">
        <f>Inputs!$C$7+30</f>
        <v/>
      </c>
      <c r="AJ25" s="166">
        <f>Inputs!$C$7+31</f>
        <v/>
      </c>
      <c r="AK25" s="166">
        <f>Inputs!$C$7+32</f>
        <v/>
      </c>
      <c r="AL25" s="166">
        <f>Inputs!$C$7+33</f>
        <v/>
      </c>
      <c r="AM25" s="166">
        <f>Inputs!$C$7+34</f>
        <v/>
      </c>
      <c r="AN25" s="166">
        <f>Inputs!$C$7+35</f>
        <v/>
      </c>
      <c r="AO25" s="166">
        <f>Inputs!$C$7+36</f>
        <v/>
      </c>
      <c r="AP25" s="166">
        <f>Inputs!$C$7+37</f>
        <v/>
      </c>
      <c r="AQ25" s="166">
        <f>Inputs!$C$7+38</f>
        <v/>
      </c>
      <c r="AR25" s="166">
        <f>Inputs!$C$7+39</f>
        <v/>
      </c>
      <c r="AS25" s="166">
        <f>Inputs!$C$7+40</f>
        <v/>
      </c>
      <c r="AT25" s="166">
        <f>Inputs!$C$7+41</f>
        <v/>
      </c>
      <c r="AU25" s="166">
        <f>Inputs!$C$7+42</f>
        <v/>
      </c>
      <c r="AV25" s="166">
        <f>Inputs!$C$7+43</f>
        <v/>
      </c>
      <c r="AW25" s="166">
        <f>Inputs!$C$7+44</f>
        <v/>
      </c>
      <c r="AX25" s="166">
        <f>Inputs!$C$7+45</f>
        <v/>
      </c>
      <c r="AY25" s="166">
        <f>Inputs!$C$7+46</f>
        <v/>
      </c>
      <c r="AZ25" s="166">
        <f>Inputs!$C$7+47</f>
        <v/>
      </c>
      <c r="BA25" s="166">
        <f>Inputs!$C$7+48</f>
        <v/>
      </c>
      <c r="BB25" s="166">
        <f>Inputs!$C$7+49</f>
        <v/>
      </c>
    </row>
    <row r="26" ht="15" customHeight="1" s="91">
      <c r="B26" s="153" t="inlineStr">
        <is>
          <t>Total Income  إجمالي الإيرادات</t>
        </is>
      </c>
      <c r="C26" s="153" t="inlineStr">
        <is>
          <t>SAR</t>
        </is>
      </c>
      <c r="D26" s="157">
        <f>SUM(E26:BB26)</f>
        <v/>
      </c>
      <c r="E26" s="155">
        <f>CashFlow!D110</f>
        <v/>
      </c>
      <c r="F26" s="155">
        <f>CashFlow!E110</f>
        <v/>
      </c>
      <c r="G26" s="155">
        <f>CashFlow!F110</f>
        <v/>
      </c>
      <c r="H26" s="155">
        <f>CashFlow!G110</f>
        <v/>
      </c>
      <c r="I26" s="155">
        <f>CashFlow!H110</f>
        <v/>
      </c>
      <c r="J26" s="155">
        <f>CashFlow!I110</f>
        <v/>
      </c>
      <c r="K26" s="155">
        <f>CashFlow!J110</f>
        <v/>
      </c>
      <c r="L26" s="155">
        <f>CashFlow!K110</f>
        <v/>
      </c>
      <c r="M26" s="155">
        <f>CashFlow!L110</f>
        <v/>
      </c>
      <c r="N26" s="155">
        <f>CashFlow!M110</f>
        <v/>
      </c>
      <c r="O26" s="155">
        <f>CashFlow!N110</f>
        <v/>
      </c>
      <c r="P26" s="155">
        <f>CashFlow!O110</f>
        <v/>
      </c>
      <c r="Q26" s="155">
        <f>CashFlow!P110</f>
        <v/>
      </c>
      <c r="R26" s="155">
        <f>CashFlow!Q110</f>
        <v/>
      </c>
      <c r="S26" s="155">
        <f>CashFlow!R110</f>
        <v/>
      </c>
      <c r="T26" s="155">
        <f>CashFlow!S110</f>
        <v/>
      </c>
      <c r="U26" s="155">
        <f>CashFlow!T110</f>
        <v/>
      </c>
      <c r="V26" s="155">
        <f>CashFlow!U110</f>
        <v/>
      </c>
      <c r="W26" s="155">
        <f>CashFlow!V110</f>
        <v/>
      </c>
      <c r="X26" s="155">
        <f>CashFlow!W110</f>
        <v/>
      </c>
      <c r="Y26" s="155">
        <f>CashFlow!X110</f>
        <v/>
      </c>
      <c r="Z26" s="155">
        <f>CashFlow!Y110</f>
        <v/>
      </c>
      <c r="AA26" s="155">
        <f>CashFlow!Z110</f>
        <v/>
      </c>
      <c r="AB26" s="155">
        <f>CashFlow!AA110</f>
        <v/>
      </c>
      <c r="AC26" s="155">
        <f>CashFlow!AB110</f>
        <v/>
      </c>
      <c r="AD26" s="155">
        <f>CashFlow!AC110</f>
        <v/>
      </c>
      <c r="AE26" s="155">
        <f>CashFlow!AD110</f>
        <v/>
      </c>
      <c r="AF26" s="155">
        <f>CashFlow!AE110</f>
        <v/>
      </c>
      <c r="AG26" s="155">
        <f>CashFlow!AF110</f>
        <v/>
      </c>
      <c r="AH26" s="155">
        <f>CashFlow!AG110</f>
        <v/>
      </c>
      <c r="AI26" s="155">
        <f>CashFlow!AH110</f>
        <v/>
      </c>
      <c r="AJ26" s="155">
        <f>CashFlow!AI110</f>
        <v/>
      </c>
      <c r="AK26" s="155">
        <f>CashFlow!AJ110</f>
        <v/>
      </c>
      <c r="AL26" s="155">
        <f>CashFlow!AK110</f>
        <v/>
      </c>
      <c r="AM26" s="155">
        <f>CashFlow!AL110</f>
        <v/>
      </c>
      <c r="AN26" s="155">
        <f>CashFlow!AM110</f>
        <v/>
      </c>
      <c r="AO26" s="155">
        <f>CashFlow!AN110</f>
        <v/>
      </c>
      <c r="AP26" s="155">
        <f>CashFlow!AO110</f>
        <v/>
      </c>
      <c r="AQ26" s="155">
        <f>CashFlow!AP110</f>
        <v/>
      </c>
      <c r="AR26" s="155">
        <f>CashFlow!AQ110</f>
        <v/>
      </c>
      <c r="AS26" s="155">
        <f>CashFlow!AR110</f>
        <v/>
      </c>
      <c r="AT26" s="155">
        <f>CashFlow!AS110</f>
        <v/>
      </c>
      <c r="AU26" s="155">
        <f>CashFlow!AT110</f>
        <v/>
      </c>
      <c r="AV26" s="155">
        <f>CashFlow!AU110</f>
        <v/>
      </c>
      <c r="AW26" s="155">
        <f>CashFlow!AV110</f>
        <v/>
      </c>
      <c r="AX26" s="155">
        <f>CashFlow!AW110</f>
        <v/>
      </c>
      <c r="AY26" s="155">
        <f>CashFlow!AX110</f>
        <v/>
      </c>
      <c r="AZ26" s="155">
        <f>CashFlow!AY110</f>
        <v/>
      </c>
      <c r="BA26" s="155">
        <f>CashFlow!AZ110</f>
        <v/>
      </c>
      <c r="BB26" s="155">
        <f>CashFlow!BA110</f>
        <v/>
      </c>
    </row>
    <row r="27" ht="15" customHeight="1" s="91">
      <c r="B27" s="153" t="inlineStr">
        <is>
          <t>Total Land Rent  إيجار الأرض</t>
        </is>
      </c>
      <c r="C27" s="153" t="inlineStr">
        <is>
          <t>SAR</t>
        </is>
      </c>
      <c r="D27" s="157">
        <f>SUM(E27:BB27)</f>
        <v/>
      </c>
      <c r="E27" s="155">
        <f>CashFlow!D111</f>
        <v/>
      </c>
      <c r="F27" s="155">
        <f>CashFlow!E111</f>
        <v/>
      </c>
      <c r="G27" s="155">
        <f>CashFlow!F111</f>
        <v/>
      </c>
      <c r="H27" s="155">
        <f>CashFlow!G111</f>
        <v/>
      </c>
      <c r="I27" s="155">
        <f>CashFlow!H111</f>
        <v/>
      </c>
      <c r="J27" s="155">
        <f>CashFlow!I111</f>
        <v/>
      </c>
      <c r="K27" s="155">
        <f>CashFlow!J111</f>
        <v/>
      </c>
      <c r="L27" s="155">
        <f>CashFlow!K111</f>
        <v/>
      </c>
      <c r="M27" s="155">
        <f>CashFlow!L111</f>
        <v/>
      </c>
      <c r="N27" s="155">
        <f>CashFlow!M111</f>
        <v/>
      </c>
      <c r="O27" s="155">
        <f>CashFlow!N111</f>
        <v/>
      </c>
      <c r="P27" s="155">
        <f>CashFlow!O111</f>
        <v/>
      </c>
      <c r="Q27" s="155">
        <f>CashFlow!P111</f>
        <v/>
      </c>
      <c r="R27" s="155">
        <f>CashFlow!Q111</f>
        <v/>
      </c>
      <c r="S27" s="155">
        <f>CashFlow!R111</f>
        <v/>
      </c>
      <c r="T27" s="155">
        <f>CashFlow!S111</f>
        <v/>
      </c>
      <c r="U27" s="155">
        <f>CashFlow!T111</f>
        <v/>
      </c>
      <c r="V27" s="155">
        <f>CashFlow!U111</f>
        <v/>
      </c>
      <c r="W27" s="155">
        <f>CashFlow!V111</f>
        <v/>
      </c>
      <c r="X27" s="155">
        <f>CashFlow!W111</f>
        <v/>
      </c>
      <c r="Y27" s="155">
        <f>CashFlow!X111</f>
        <v/>
      </c>
      <c r="Z27" s="155">
        <f>CashFlow!Y111</f>
        <v/>
      </c>
      <c r="AA27" s="155">
        <f>CashFlow!Z111</f>
        <v/>
      </c>
      <c r="AB27" s="155">
        <f>CashFlow!AA111</f>
        <v/>
      </c>
      <c r="AC27" s="155">
        <f>CashFlow!AB111</f>
        <v/>
      </c>
      <c r="AD27" s="155">
        <f>CashFlow!AC111</f>
        <v/>
      </c>
      <c r="AE27" s="155">
        <f>CashFlow!AD111</f>
        <v/>
      </c>
      <c r="AF27" s="155">
        <f>CashFlow!AE111</f>
        <v/>
      </c>
      <c r="AG27" s="155">
        <f>CashFlow!AF111</f>
        <v/>
      </c>
      <c r="AH27" s="155">
        <f>CashFlow!AG111</f>
        <v/>
      </c>
      <c r="AI27" s="155">
        <f>CashFlow!AH111</f>
        <v/>
      </c>
      <c r="AJ27" s="155">
        <f>CashFlow!AI111</f>
        <v/>
      </c>
      <c r="AK27" s="155">
        <f>CashFlow!AJ111</f>
        <v/>
      </c>
      <c r="AL27" s="155">
        <f>CashFlow!AK111</f>
        <v/>
      </c>
      <c r="AM27" s="155">
        <f>CashFlow!AL111</f>
        <v/>
      </c>
      <c r="AN27" s="155">
        <f>CashFlow!AM111</f>
        <v/>
      </c>
      <c r="AO27" s="155">
        <f>CashFlow!AN111</f>
        <v/>
      </c>
      <c r="AP27" s="155">
        <f>CashFlow!AO111</f>
        <v/>
      </c>
      <c r="AQ27" s="155">
        <f>CashFlow!AP111</f>
        <v/>
      </c>
      <c r="AR27" s="155">
        <f>CashFlow!AQ111</f>
        <v/>
      </c>
      <c r="AS27" s="155">
        <f>CashFlow!AR111</f>
        <v/>
      </c>
      <c r="AT27" s="155">
        <f>CashFlow!AS111</f>
        <v/>
      </c>
      <c r="AU27" s="155">
        <f>CashFlow!AT111</f>
        <v/>
      </c>
      <c r="AV27" s="155">
        <f>CashFlow!AU111</f>
        <v/>
      </c>
      <c r="AW27" s="155">
        <f>CashFlow!AV111</f>
        <v/>
      </c>
      <c r="AX27" s="155">
        <f>CashFlow!AW111</f>
        <v/>
      </c>
      <c r="AY27" s="155">
        <f>CashFlow!AX111</f>
        <v/>
      </c>
      <c r="AZ27" s="155">
        <f>CashFlow!AY111</f>
        <v/>
      </c>
      <c r="BA27" s="155">
        <f>CashFlow!AZ111</f>
        <v/>
      </c>
      <c r="BB27" s="155">
        <f>CashFlow!BA111</f>
        <v/>
      </c>
    </row>
    <row r="28" ht="15" customHeight="1" s="91">
      <c r="B28" s="153" t="inlineStr">
        <is>
          <t>Total CAPEX  تكاليف التطوير</t>
        </is>
      </c>
      <c r="C28" s="153" t="inlineStr">
        <is>
          <t>SAR</t>
        </is>
      </c>
      <c r="D28" s="157">
        <f>SUM(E28:BB28)</f>
        <v/>
      </c>
      <c r="E28" s="155">
        <f>CashFlow!D112</f>
        <v/>
      </c>
      <c r="F28" s="155">
        <f>CashFlow!E112</f>
        <v/>
      </c>
      <c r="G28" s="155">
        <f>CashFlow!F112</f>
        <v/>
      </c>
      <c r="H28" s="155">
        <f>CashFlow!G112</f>
        <v/>
      </c>
      <c r="I28" s="155">
        <f>CashFlow!H112</f>
        <v/>
      </c>
      <c r="J28" s="155">
        <f>CashFlow!I112</f>
        <v/>
      </c>
      <c r="K28" s="155">
        <f>CashFlow!J112</f>
        <v/>
      </c>
      <c r="L28" s="155">
        <f>CashFlow!K112</f>
        <v/>
      </c>
      <c r="M28" s="155">
        <f>CashFlow!L112</f>
        <v/>
      </c>
      <c r="N28" s="155">
        <f>CashFlow!M112</f>
        <v/>
      </c>
      <c r="O28" s="155">
        <f>CashFlow!N112</f>
        <v/>
      </c>
      <c r="P28" s="155">
        <f>CashFlow!O112</f>
        <v/>
      </c>
      <c r="Q28" s="155">
        <f>CashFlow!P112</f>
        <v/>
      </c>
      <c r="R28" s="155">
        <f>CashFlow!Q112</f>
        <v/>
      </c>
      <c r="S28" s="155">
        <f>CashFlow!R112</f>
        <v/>
      </c>
      <c r="T28" s="155">
        <f>CashFlow!S112</f>
        <v/>
      </c>
      <c r="U28" s="155">
        <f>CashFlow!T112</f>
        <v/>
      </c>
      <c r="V28" s="155">
        <f>CashFlow!U112</f>
        <v/>
      </c>
      <c r="W28" s="155">
        <f>CashFlow!V112</f>
        <v/>
      </c>
      <c r="X28" s="155">
        <f>CashFlow!W112</f>
        <v/>
      </c>
      <c r="Y28" s="155">
        <f>CashFlow!X112</f>
        <v/>
      </c>
      <c r="Z28" s="155">
        <f>CashFlow!Y112</f>
        <v/>
      </c>
      <c r="AA28" s="155">
        <f>CashFlow!Z112</f>
        <v/>
      </c>
      <c r="AB28" s="155">
        <f>CashFlow!AA112</f>
        <v/>
      </c>
      <c r="AC28" s="155">
        <f>CashFlow!AB112</f>
        <v/>
      </c>
      <c r="AD28" s="155">
        <f>CashFlow!AC112</f>
        <v/>
      </c>
      <c r="AE28" s="155">
        <f>CashFlow!AD112</f>
        <v/>
      </c>
      <c r="AF28" s="155">
        <f>CashFlow!AE112</f>
        <v/>
      </c>
      <c r="AG28" s="155">
        <f>CashFlow!AF112</f>
        <v/>
      </c>
      <c r="AH28" s="155">
        <f>CashFlow!AG112</f>
        <v/>
      </c>
      <c r="AI28" s="155">
        <f>CashFlow!AH112</f>
        <v/>
      </c>
      <c r="AJ28" s="155">
        <f>CashFlow!AI112</f>
        <v/>
      </c>
      <c r="AK28" s="155">
        <f>CashFlow!AJ112</f>
        <v/>
      </c>
      <c r="AL28" s="155">
        <f>CashFlow!AK112</f>
        <v/>
      </c>
      <c r="AM28" s="155">
        <f>CashFlow!AL112</f>
        <v/>
      </c>
      <c r="AN28" s="155">
        <f>CashFlow!AM112</f>
        <v/>
      </c>
      <c r="AO28" s="155">
        <f>CashFlow!AN112</f>
        <v/>
      </c>
      <c r="AP28" s="155">
        <f>CashFlow!AO112</f>
        <v/>
      </c>
      <c r="AQ28" s="155">
        <f>CashFlow!AP112</f>
        <v/>
      </c>
      <c r="AR28" s="155">
        <f>CashFlow!AQ112</f>
        <v/>
      </c>
      <c r="AS28" s="155">
        <f>CashFlow!AR112</f>
        <v/>
      </c>
      <c r="AT28" s="155">
        <f>CashFlow!AS112</f>
        <v/>
      </c>
      <c r="AU28" s="155">
        <f>CashFlow!AT112</f>
        <v/>
      </c>
      <c r="AV28" s="155">
        <f>CashFlow!AU112</f>
        <v/>
      </c>
      <c r="AW28" s="155">
        <f>CashFlow!AV112</f>
        <v/>
      </c>
      <c r="AX28" s="155">
        <f>CashFlow!AW112</f>
        <v/>
      </c>
      <c r="AY28" s="155">
        <f>CashFlow!AX112</f>
        <v/>
      </c>
      <c r="AZ28" s="155">
        <f>CashFlow!AY112</f>
        <v/>
      </c>
      <c r="BA28" s="155">
        <f>CashFlow!AZ112</f>
        <v/>
      </c>
      <c r="BB28" s="155">
        <f>CashFlow!BA112</f>
        <v/>
      </c>
    </row>
    <row r="29" ht="15" customHeight="1" s="91">
      <c r="B29" s="110" t="inlineStr">
        <is>
          <t>Net Cash Flow (Unlevered)  صافي التدفق</t>
        </is>
      </c>
      <c r="C29" s="153" t="inlineStr">
        <is>
          <t>SAR</t>
        </is>
      </c>
      <c r="D29" s="157">
        <f>SUM(E29:BB29)</f>
        <v/>
      </c>
      <c r="E29" s="155">
        <f>CashFlow!D113</f>
        <v/>
      </c>
      <c r="F29" s="155">
        <f>CashFlow!E113</f>
        <v/>
      </c>
      <c r="G29" s="155">
        <f>CashFlow!F113</f>
        <v/>
      </c>
      <c r="H29" s="155">
        <f>CashFlow!G113</f>
        <v/>
      </c>
      <c r="I29" s="155">
        <f>CashFlow!H113</f>
        <v/>
      </c>
      <c r="J29" s="155">
        <f>CashFlow!I113</f>
        <v/>
      </c>
      <c r="K29" s="155">
        <f>CashFlow!J113</f>
        <v/>
      </c>
      <c r="L29" s="155">
        <f>CashFlow!K113</f>
        <v/>
      </c>
      <c r="M29" s="155">
        <f>CashFlow!L113</f>
        <v/>
      </c>
      <c r="N29" s="155">
        <f>CashFlow!M113</f>
        <v/>
      </c>
      <c r="O29" s="155">
        <f>CashFlow!N113</f>
        <v/>
      </c>
      <c r="P29" s="155">
        <f>CashFlow!O113</f>
        <v/>
      </c>
      <c r="Q29" s="155">
        <f>CashFlow!P113</f>
        <v/>
      </c>
      <c r="R29" s="155">
        <f>CashFlow!Q113</f>
        <v/>
      </c>
      <c r="S29" s="155">
        <f>CashFlow!R113</f>
        <v/>
      </c>
      <c r="T29" s="155">
        <f>CashFlow!S113</f>
        <v/>
      </c>
      <c r="U29" s="155">
        <f>CashFlow!T113</f>
        <v/>
      </c>
      <c r="V29" s="155">
        <f>CashFlow!U113</f>
        <v/>
      </c>
      <c r="W29" s="155">
        <f>CashFlow!V113</f>
        <v/>
      </c>
      <c r="X29" s="155">
        <f>CashFlow!W113</f>
        <v/>
      </c>
      <c r="Y29" s="155">
        <f>CashFlow!X113</f>
        <v/>
      </c>
      <c r="Z29" s="155">
        <f>CashFlow!Y113</f>
        <v/>
      </c>
      <c r="AA29" s="155">
        <f>CashFlow!Z113</f>
        <v/>
      </c>
      <c r="AB29" s="155">
        <f>CashFlow!AA113</f>
        <v/>
      </c>
      <c r="AC29" s="155">
        <f>CashFlow!AB113</f>
        <v/>
      </c>
      <c r="AD29" s="155">
        <f>CashFlow!AC113</f>
        <v/>
      </c>
      <c r="AE29" s="155">
        <f>CashFlow!AD113</f>
        <v/>
      </c>
      <c r="AF29" s="155">
        <f>CashFlow!AE113</f>
        <v/>
      </c>
      <c r="AG29" s="155">
        <f>CashFlow!AF113</f>
        <v/>
      </c>
      <c r="AH29" s="155">
        <f>CashFlow!AG113</f>
        <v/>
      </c>
      <c r="AI29" s="155">
        <f>CashFlow!AH113</f>
        <v/>
      </c>
      <c r="AJ29" s="155">
        <f>CashFlow!AI113</f>
        <v/>
      </c>
      <c r="AK29" s="155">
        <f>CashFlow!AJ113</f>
        <v/>
      </c>
      <c r="AL29" s="155">
        <f>CashFlow!AK113</f>
        <v/>
      </c>
      <c r="AM29" s="155">
        <f>CashFlow!AL113</f>
        <v/>
      </c>
      <c r="AN29" s="155">
        <f>CashFlow!AM113</f>
        <v/>
      </c>
      <c r="AO29" s="155">
        <f>CashFlow!AN113</f>
        <v/>
      </c>
      <c r="AP29" s="155">
        <f>CashFlow!AO113</f>
        <v/>
      </c>
      <c r="AQ29" s="155">
        <f>CashFlow!AP113</f>
        <v/>
      </c>
      <c r="AR29" s="155">
        <f>CashFlow!AQ113</f>
        <v/>
      </c>
      <c r="AS29" s="155">
        <f>CashFlow!AR113</f>
        <v/>
      </c>
      <c r="AT29" s="155">
        <f>CashFlow!AS113</f>
        <v/>
      </c>
      <c r="AU29" s="155">
        <f>CashFlow!AT113</f>
        <v/>
      </c>
      <c r="AV29" s="155">
        <f>CashFlow!AU113</f>
        <v/>
      </c>
      <c r="AW29" s="155">
        <f>CashFlow!AV113</f>
        <v/>
      </c>
      <c r="AX29" s="155">
        <f>CashFlow!AW113</f>
        <v/>
      </c>
      <c r="AY29" s="155">
        <f>CashFlow!AX113</f>
        <v/>
      </c>
      <c r="AZ29" s="155">
        <f>CashFlow!AY113</f>
        <v/>
      </c>
      <c r="BA29" s="155">
        <f>CashFlow!AZ113</f>
        <v/>
      </c>
      <c r="BB29" s="155">
        <f>CashFlow!BA113</f>
        <v/>
      </c>
    </row>
    <row r="31" ht="15" customHeight="1" s="91">
      <c r="A31" s="152" t="inlineStr">
        <is>
          <t>5  DEBT SERVICE ANALYSIS  تحليل خدمة الدين</t>
        </is>
      </c>
      <c r="B31" s="152" t="n"/>
      <c r="C31" s="152" t="n"/>
      <c r="D31" s="152" t="n"/>
      <c r="E31" s="152" t="n"/>
      <c r="F31" s="152" t="n"/>
      <c r="G31" s="152" t="n"/>
      <c r="H31" s="152" t="n"/>
      <c r="I31" s="152" t="n"/>
      <c r="J31" s="152" t="n"/>
      <c r="K31" s="152" t="n"/>
      <c r="L31" s="152" t="n"/>
      <c r="M31" s="152" t="n"/>
      <c r="N31" s="152" t="n"/>
      <c r="O31" s="152" t="n"/>
      <c r="P31" s="152" t="n"/>
      <c r="Q31" s="152" t="n"/>
      <c r="R31" s="152" t="n"/>
      <c r="S31" s="152" t="n"/>
      <c r="T31" s="152" t="n"/>
      <c r="U31" s="152" t="n"/>
      <c r="V31" s="152" t="n"/>
      <c r="W31" s="152" t="n"/>
      <c r="X31" s="152" t="n"/>
      <c r="Y31" s="152" t="n"/>
      <c r="Z31" s="152" t="n"/>
      <c r="AA31" s="152" t="n"/>
      <c r="AB31" s="152" t="n"/>
      <c r="AC31" s="152" t="n"/>
      <c r="AD31" s="152" t="n"/>
      <c r="AE31" s="152" t="n"/>
      <c r="AF31" s="152" t="n"/>
      <c r="AG31" s="152" t="n"/>
      <c r="AH31" s="152" t="n"/>
      <c r="AI31" s="152" t="n"/>
      <c r="AJ31" s="152" t="n"/>
      <c r="AK31" s="152" t="n"/>
      <c r="AL31" s="152" t="n"/>
      <c r="AM31" s="152" t="n"/>
      <c r="AN31" s="152" t="n"/>
      <c r="AO31" s="152" t="n"/>
      <c r="AP31" s="152" t="n"/>
      <c r="AQ31" s="152" t="n"/>
      <c r="AR31" s="152" t="n"/>
      <c r="AS31" s="152" t="n"/>
      <c r="AT31" s="152" t="n"/>
      <c r="AU31" s="152" t="n"/>
      <c r="AV31" s="152" t="n"/>
      <c r="AW31" s="152" t="n"/>
      <c r="AX31" s="152" t="n"/>
      <c r="AY31" s="152" t="n"/>
      <c r="AZ31" s="152" t="n"/>
      <c r="BA31" s="152" t="n"/>
      <c r="BB31" s="152" t="n"/>
    </row>
    <row r="32" ht="15" customHeight="1" s="91">
      <c r="C32" s="165" t="inlineStr">
        <is>
          <t>Unit</t>
        </is>
      </c>
      <c r="D32" s="165" t="inlineStr">
        <is>
          <t>Total</t>
        </is>
      </c>
      <c r="E32" s="166">
        <f>E$25</f>
        <v/>
      </c>
      <c r="F32" s="166">
        <f>F$25</f>
        <v/>
      </c>
      <c r="G32" s="166">
        <f>G$25</f>
        <v/>
      </c>
      <c r="H32" s="166">
        <f>H$25</f>
        <v/>
      </c>
      <c r="I32" s="166">
        <f>I$25</f>
        <v/>
      </c>
      <c r="J32" s="166">
        <f>J$25</f>
        <v/>
      </c>
      <c r="K32" s="166">
        <f>K$25</f>
        <v/>
      </c>
      <c r="L32" s="166">
        <f>L$25</f>
        <v/>
      </c>
      <c r="M32" s="166">
        <f>M$25</f>
        <v/>
      </c>
      <c r="N32" s="166">
        <f>N$25</f>
        <v/>
      </c>
      <c r="O32" s="166">
        <f>O$25</f>
        <v/>
      </c>
      <c r="P32" s="166">
        <f>P$25</f>
        <v/>
      </c>
      <c r="Q32" s="166">
        <f>Q$25</f>
        <v/>
      </c>
      <c r="R32" s="166">
        <f>R$25</f>
        <v/>
      </c>
      <c r="S32" s="166">
        <f>S$25</f>
        <v/>
      </c>
      <c r="T32" s="166">
        <f>T$25</f>
        <v/>
      </c>
      <c r="U32" s="166">
        <f>U$25</f>
        <v/>
      </c>
      <c r="V32" s="166">
        <f>V$25</f>
        <v/>
      </c>
      <c r="W32" s="166">
        <f>W$25</f>
        <v/>
      </c>
      <c r="X32" s="166">
        <f>X$25</f>
        <v/>
      </c>
      <c r="Y32" s="166">
        <f>Y$25</f>
        <v/>
      </c>
      <c r="Z32" s="166">
        <f>Z$25</f>
        <v/>
      </c>
      <c r="AA32" s="166">
        <f>AA$25</f>
        <v/>
      </c>
      <c r="AB32" s="166">
        <f>AB$25</f>
        <v/>
      </c>
      <c r="AC32" s="166">
        <f>AC$25</f>
        <v/>
      </c>
      <c r="AD32" s="166">
        <f>AD$25</f>
        <v/>
      </c>
      <c r="AE32" s="166">
        <f>AE$25</f>
        <v/>
      </c>
      <c r="AF32" s="166">
        <f>AF$25</f>
        <v/>
      </c>
      <c r="AG32" s="166">
        <f>AG$25</f>
        <v/>
      </c>
      <c r="AH32" s="166">
        <f>AH$25</f>
        <v/>
      </c>
      <c r="AI32" s="166">
        <f>AI$25</f>
        <v/>
      </c>
      <c r="AJ32" s="166">
        <f>AJ$25</f>
        <v/>
      </c>
      <c r="AK32" s="166">
        <f>AK$25</f>
        <v/>
      </c>
      <c r="AL32" s="166">
        <f>AL$25</f>
        <v/>
      </c>
      <c r="AM32" s="166">
        <f>AM$25</f>
        <v/>
      </c>
      <c r="AN32" s="166">
        <f>AN$25</f>
        <v/>
      </c>
      <c r="AO32" s="166">
        <f>AO$25</f>
        <v/>
      </c>
      <c r="AP32" s="166">
        <f>AP$25</f>
        <v/>
      </c>
      <c r="AQ32" s="166">
        <f>AQ$25</f>
        <v/>
      </c>
      <c r="AR32" s="166">
        <f>AR$25</f>
        <v/>
      </c>
      <c r="AS32" s="166">
        <f>AS$25</f>
        <v/>
      </c>
      <c r="AT32" s="166">
        <f>AT$25</f>
        <v/>
      </c>
      <c r="AU32" s="166">
        <f>AU$25</f>
        <v/>
      </c>
      <c r="AV32" s="166">
        <f>AV$25</f>
        <v/>
      </c>
      <c r="AW32" s="166">
        <f>AW$25</f>
        <v/>
      </c>
      <c r="AX32" s="166">
        <f>AX$25</f>
        <v/>
      </c>
      <c r="AY32" s="166">
        <f>AY$25</f>
        <v/>
      </c>
      <c r="AZ32" s="166">
        <f>AZ$25</f>
        <v/>
      </c>
      <c r="BA32" s="166">
        <f>BA$25</f>
        <v/>
      </c>
      <c r="BB32" s="166">
        <f>BB$25</f>
        <v/>
      </c>
    </row>
    <row r="33" ht="15" customHeight="1" s="91">
      <c r="B33" s="153" t="inlineStr">
        <is>
          <t>Total Debt Drawdown  سحب القرض</t>
        </is>
      </c>
      <c r="C33" s="153" t="inlineStr">
        <is>
          <t>SAR</t>
        </is>
      </c>
      <c r="D33" s="157">
        <f>SUM(E33:BB33)</f>
        <v/>
      </c>
      <c r="E33" s="155">
        <f>'Fund_ZAN 1'!E57+'Fund_ZAN 2'!E57+'Fund_ZAN 3'!E57+'Fund_ZAN 4'!E57+'Fund_ZAN 5'!E57+'Fund_ZAN 6'!E57</f>
        <v/>
      </c>
      <c r="F33" s="155">
        <f>'Fund_ZAN 1'!F57+'Fund_ZAN 2'!F57+'Fund_ZAN 3'!F57+'Fund_ZAN 4'!F57+'Fund_ZAN 5'!F57+'Fund_ZAN 6'!F57</f>
        <v/>
      </c>
      <c r="G33" s="155">
        <f>'Fund_ZAN 1'!G57+'Fund_ZAN 2'!G57+'Fund_ZAN 3'!G57+'Fund_ZAN 4'!G57+'Fund_ZAN 5'!G57+'Fund_ZAN 6'!G57</f>
        <v/>
      </c>
      <c r="H33" s="155">
        <f>'Fund_ZAN 1'!H57+'Fund_ZAN 2'!H57+'Fund_ZAN 3'!H57+'Fund_ZAN 4'!H57+'Fund_ZAN 5'!H57+'Fund_ZAN 6'!H57</f>
        <v/>
      </c>
      <c r="I33" s="155">
        <f>'Fund_ZAN 1'!I57+'Fund_ZAN 2'!I57+'Fund_ZAN 3'!I57+'Fund_ZAN 4'!I57+'Fund_ZAN 5'!I57+'Fund_ZAN 6'!I57</f>
        <v/>
      </c>
      <c r="J33" s="155">
        <f>'Fund_ZAN 1'!J57+'Fund_ZAN 2'!J57+'Fund_ZAN 3'!J57+'Fund_ZAN 4'!J57+'Fund_ZAN 5'!J57+'Fund_ZAN 6'!J57</f>
        <v/>
      </c>
      <c r="K33" s="155">
        <f>'Fund_ZAN 1'!K57+'Fund_ZAN 2'!K57+'Fund_ZAN 3'!K57+'Fund_ZAN 4'!K57+'Fund_ZAN 5'!K57+'Fund_ZAN 6'!K57</f>
        <v/>
      </c>
      <c r="L33" s="155">
        <f>'Fund_ZAN 1'!L57+'Fund_ZAN 2'!L57+'Fund_ZAN 3'!L57+'Fund_ZAN 4'!L57+'Fund_ZAN 5'!L57+'Fund_ZAN 6'!L57</f>
        <v/>
      </c>
      <c r="M33" s="155">
        <f>'Fund_ZAN 1'!M57+'Fund_ZAN 2'!M57+'Fund_ZAN 3'!M57+'Fund_ZAN 4'!M57+'Fund_ZAN 5'!M57+'Fund_ZAN 6'!M57</f>
        <v/>
      </c>
      <c r="N33" s="155">
        <f>'Fund_ZAN 1'!N57+'Fund_ZAN 2'!N57+'Fund_ZAN 3'!N57+'Fund_ZAN 4'!N57+'Fund_ZAN 5'!N57+'Fund_ZAN 6'!N57</f>
        <v/>
      </c>
      <c r="O33" s="155">
        <f>'Fund_ZAN 1'!O57+'Fund_ZAN 2'!O57+'Fund_ZAN 3'!O57+'Fund_ZAN 4'!O57+'Fund_ZAN 5'!O57+'Fund_ZAN 6'!O57</f>
        <v/>
      </c>
      <c r="P33" s="155">
        <f>'Fund_ZAN 1'!P57+'Fund_ZAN 2'!P57+'Fund_ZAN 3'!P57+'Fund_ZAN 4'!P57+'Fund_ZAN 5'!P57+'Fund_ZAN 6'!P57</f>
        <v/>
      </c>
      <c r="Q33" s="155">
        <f>'Fund_ZAN 1'!Q57+'Fund_ZAN 2'!Q57+'Fund_ZAN 3'!Q57+'Fund_ZAN 4'!Q57+'Fund_ZAN 5'!Q57+'Fund_ZAN 6'!Q57</f>
        <v/>
      </c>
      <c r="R33" s="155">
        <f>'Fund_ZAN 1'!R57+'Fund_ZAN 2'!R57+'Fund_ZAN 3'!R57+'Fund_ZAN 4'!R57+'Fund_ZAN 5'!R57+'Fund_ZAN 6'!R57</f>
        <v/>
      </c>
      <c r="S33" s="155">
        <f>'Fund_ZAN 1'!S57+'Fund_ZAN 2'!S57+'Fund_ZAN 3'!S57+'Fund_ZAN 4'!S57+'Fund_ZAN 5'!S57+'Fund_ZAN 6'!S57</f>
        <v/>
      </c>
      <c r="T33" s="155">
        <f>'Fund_ZAN 1'!T57+'Fund_ZAN 2'!T57+'Fund_ZAN 3'!T57+'Fund_ZAN 4'!T57+'Fund_ZAN 5'!T57+'Fund_ZAN 6'!T57</f>
        <v/>
      </c>
      <c r="U33" s="155">
        <f>'Fund_ZAN 1'!U57+'Fund_ZAN 2'!U57+'Fund_ZAN 3'!U57+'Fund_ZAN 4'!U57+'Fund_ZAN 5'!U57+'Fund_ZAN 6'!U57</f>
        <v/>
      </c>
      <c r="V33" s="155">
        <f>'Fund_ZAN 1'!V57+'Fund_ZAN 2'!V57+'Fund_ZAN 3'!V57+'Fund_ZAN 4'!V57+'Fund_ZAN 5'!V57+'Fund_ZAN 6'!V57</f>
        <v/>
      </c>
      <c r="W33" s="155">
        <f>'Fund_ZAN 1'!W57+'Fund_ZAN 2'!W57+'Fund_ZAN 3'!W57+'Fund_ZAN 4'!W57+'Fund_ZAN 5'!W57+'Fund_ZAN 6'!W57</f>
        <v/>
      </c>
      <c r="X33" s="155">
        <f>'Fund_ZAN 1'!X57+'Fund_ZAN 2'!X57+'Fund_ZAN 3'!X57+'Fund_ZAN 4'!X57+'Fund_ZAN 5'!X57+'Fund_ZAN 6'!X57</f>
        <v/>
      </c>
      <c r="Y33" s="155">
        <f>'Fund_ZAN 1'!Y57+'Fund_ZAN 2'!Y57+'Fund_ZAN 3'!Y57+'Fund_ZAN 4'!Y57+'Fund_ZAN 5'!Y57+'Fund_ZAN 6'!Y57</f>
        <v/>
      </c>
      <c r="Z33" s="155">
        <f>'Fund_ZAN 1'!Z57+'Fund_ZAN 2'!Z57+'Fund_ZAN 3'!Z57+'Fund_ZAN 4'!Z57+'Fund_ZAN 5'!Z57+'Fund_ZAN 6'!Z57</f>
        <v/>
      </c>
      <c r="AA33" s="155">
        <f>'Fund_ZAN 1'!AA57+'Fund_ZAN 2'!AA57+'Fund_ZAN 3'!AA57+'Fund_ZAN 4'!AA57+'Fund_ZAN 5'!AA57+'Fund_ZAN 6'!AA57</f>
        <v/>
      </c>
      <c r="AB33" s="155">
        <f>'Fund_ZAN 1'!AB57+'Fund_ZAN 2'!AB57+'Fund_ZAN 3'!AB57+'Fund_ZAN 4'!AB57+'Fund_ZAN 5'!AB57+'Fund_ZAN 6'!AB57</f>
        <v/>
      </c>
      <c r="AC33" s="155">
        <f>'Fund_ZAN 1'!AC57+'Fund_ZAN 2'!AC57+'Fund_ZAN 3'!AC57+'Fund_ZAN 4'!AC57+'Fund_ZAN 5'!AC57+'Fund_ZAN 6'!AC57</f>
        <v/>
      </c>
      <c r="AD33" s="155">
        <f>'Fund_ZAN 1'!AD57+'Fund_ZAN 2'!AD57+'Fund_ZAN 3'!AD57+'Fund_ZAN 4'!AD57+'Fund_ZAN 5'!AD57+'Fund_ZAN 6'!AD57</f>
        <v/>
      </c>
      <c r="AE33" s="155">
        <f>'Fund_ZAN 1'!AE57+'Fund_ZAN 2'!AE57+'Fund_ZAN 3'!AE57+'Fund_ZAN 4'!AE57+'Fund_ZAN 5'!AE57+'Fund_ZAN 6'!AE57</f>
        <v/>
      </c>
      <c r="AF33" s="155">
        <f>'Fund_ZAN 1'!AF57+'Fund_ZAN 2'!AF57+'Fund_ZAN 3'!AF57+'Fund_ZAN 4'!AF57+'Fund_ZAN 5'!AF57+'Fund_ZAN 6'!AF57</f>
        <v/>
      </c>
      <c r="AG33" s="155">
        <f>'Fund_ZAN 1'!AG57+'Fund_ZAN 2'!AG57+'Fund_ZAN 3'!AG57+'Fund_ZAN 4'!AG57+'Fund_ZAN 5'!AG57+'Fund_ZAN 6'!AG57</f>
        <v/>
      </c>
      <c r="AH33" s="155">
        <f>'Fund_ZAN 1'!AH57+'Fund_ZAN 2'!AH57+'Fund_ZAN 3'!AH57+'Fund_ZAN 4'!AH57+'Fund_ZAN 5'!AH57+'Fund_ZAN 6'!AH57</f>
        <v/>
      </c>
      <c r="AI33" s="155">
        <f>'Fund_ZAN 1'!AI57+'Fund_ZAN 2'!AI57+'Fund_ZAN 3'!AI57+'Fund_ZAN 4'!AI57+'Fund_ZAN 5'!AI57+'Fund_ZAN 6'!AI57</f>
        <v/>
      </c>
      <c r="AJ33" s="155">
        <f>'Fund_ZAN 1'!AJ57+'Fund_ZAN 2'!AJ57+'Fund_ZAN 3'!AJ57+'Fund_ZAN 4'!AJ57+'Fund_ZAN 5'!AJ57+'Fund_ZAN 6'!AJ57</f>
        <v/>
      </c>
      <c r="AK33" s="155">
        <f>'Fund_ZAN 1'!AK57+'Fund_ZAN 2'!AK57+'Fund_ZAN 3'!AK57+'Fund_ZAN 4'!AK57+'Fund_ZAN 5'!AK57+'Fund_ZAN 6'!AK57</f>
        <v/>
      </c>
      <c r="AL33" s="155">
        <f>'Fund_ZAN 1'!AL57+'Fund_ZAN 2'!AL57+'Fund_ZAN 3'!AL57+'Fund_ZAN 4'!AL57+'Fund_ZAN 5'!AL57+'Fund_ZAN 6'!AL57</f>
        <v/>
      </c>
      <c r="AM33" s="155">
        <f>'Fund_ZAN 1'!AM57+'Fund_ZAN 2'!AM57+'Fund_ZAN 3'!AM57+'Fund_ZAN 4'!AM57+'Fund_ZAN 5'!AM57+'Fund_ZAN 6'!AM57</f>
        <v/>
      </c>
      <c r="AN33" s="155">
        <f>'Fund_ZAN 1'!AN57+'Fund_ZAN 2'!AN57+'Fund_ZAN 3'!AN57+'Fund_ZAN 4'!AN57+'Fund_ZAN 5'!AN57+'Fund_ZAN 6'!AN57</f>
        <v/>
      </c>
      <c r="AO33" s="155">
        <f>'Fund_ZAN 1'!AO57+'Fund_ZAN 2'!AO57+'Fund_ZAN 3'!AO57+'Fund_ZAN 4'!AO57+'Fund_ZAN 5'!AO57+'Fund_ZAN 6'!AO57</f>
        <v/>
      </c>
      <c r="AP33" s="155">
        <f>'Fund_ZAN 1'!AP57+'Fund_ZAN 2'!AP57+'Fund_ZAN 3'!AP57+'Fund_ZAN 4'!AP57+'Fund_ZAN 5'!AP57+'Fund_ZAN 6'!AP57</f>
        <v/>
      </c>
      <c r="AQ33" s="155">
        <f>'Fund_ZAN 1'!AQ57+'Fund_ZAN 2'!AQ57+'Fund_ZAN 3'!AQ57+'Fund_ZAN 4'!AQ57+'Fund_ZAN 5'!AQ57+'Fund_ZAN 6'!AQ57</f>
        <v/>
      </c>
      <c r="AR33" s="155">
        <f>'Fund_ZAN 1'!AR57+'Fund_ZAN 2'!AR57+'Fund_ZAN 3'!AR57+'Fund_ZAN 4'!AR57+'Fund_ZAN 5'!AR57+'Fund_ZAN 6'!AR57</f>
        <v/>
      </c>
      <c r="AS33" s="155">
        <f>'Fund_ZAN 1'!AS57+'Fund_ZAN 2'!AS57+'Fund_ZAN 3'!AS57+'Fund_ZAN 4'!AS57+'Fund_ZAN 5'!AS57+'Fund_ZAN 6'!AS57</f>
        <v/>
      </c>
      <c r="AT33" s="155">
        <f>'Fund_ZAN 1'!AT57+'Fund_ZAN 2'!AT57+'Fund_ZAN 3'!AT57+'Fund_ZAN 4'!AT57+'Fund_ZAN 5'!AT57+'Fund_ZAN 6'!AT57</f>
        <v/>
      </c>
      <c r="AU33" s="155">
        <f>'Fund_ZAN 1'!AU57+'Fund_ZAN 2'!AU57+'Fund_ZAN 3'!AU57+'Fund_ZAN 4'!AU57+'Fund_ZAN 5'!AU57+'Fund_ZAN 6'!AU57</f>
        <v/>
      </c>
      <c r="AV33" s="155">
        <f>'Fund_ZAN 1'!AV57+'Fund_ZAN 2'!AV57+'Fund_ZAN 3'!AV57+'Fund_ZAN 4'!AV57+'Fund_ZAN 5'!AV57+'Fund_ZAN 6'!AV57</f>
        <v/>
      </c>
      <c r="AW33" s="155">
        <f>'Fund_ZAN 1'!AW57+'Fund_ZAN 2'!AW57+'Fund_ZAN 3'!AW57+'Fund_ZAN 4'!AW57+'Fund_ZAN 5'!AW57+'Fund_ZAN 6'!AW57</f>
        <v/>
      </c>
      <c r="AX33" s="155">
        <f>'Fund_ZAN 1'!AX57+'Fund_ZAN 2'!AX57+'Fund_ZAN 3'!AX57+'Fund_ZAN 4'!AX57+'Fund_ZAN 5'!AX57+'Fund_ZAN 6'!AX57</f>
        <v/>
      </c>
      <c r="AY33" s="155">
        <f>'Fund_ZAN 1'!AY57+'Fund_ZAN 2'!AY57+'Fund_ZAN 3'!AY57+'Fund_ZAN 4'!AY57+'Fund_ZAN 5'!AY57+'Fund_ZAN 6'!AY57</f>
        <v/>
      </c>
      <c r="AZ33" s="155">
        <f>'Fund_ZAN 1'!AZ57+'Fund_ZAN 2'!AZ57+'Fund_ZAN 3'!AZ57+'Fund_ZAN 4'!AZ57+'Fund_ZAN 5'!AZ57+'Fund_ZAN 6'!AZ57</f>
        <v/>
      </c>
      <c r="BA33" s="155">
        <f>'Fund_ZAN 1'!BA57+'Fund_ZAN 2'!BA57+'Fund_ZAN 3'!BA57+'Fund_ZAN 4'!BA57+'Fund_ZAN 5'!BA57+'Fund_ZAN 6'!BA57</f>
        <v/>
      </c>
      <c r="BB33" s="155">
        <f>'Fund_ZAN 1'!BB57+'Fund_ZAN 2'!BB57+'Fund_ZAN 3'!BB57+'Fund_ZAN 4'!BB57+'Fund_ZAN 5'!BB57+'Fund_ZAN 6'!BB57</f>
        <v/>
      </c>
    </row>
    <row r="34" ht="15" customHeight="1" s="91">
      <c r="B34" s="153" t="inlineStr">
        <is>
          <t>Total Debt Repayment  سداد الأصل</t>
        </is>
      </c>
      <c r="C34" s="153" t="inlineStr">
        <is>
          <t>SAR</t>
        </is>
      </c>
      <c r="D34" s="157">
        <f>SUM(E34:BB34)</f>
        <v/>
      </c>
      <c r="E34" s="155">
        <f>'Fund_ZAN 1'!E59+'Fund_ZAN 2'!E59+'Fund_ZAN 3'!E59+'Fund_ZAN 4'!E59+'Fund_ZAN 5'!E59+'Fund_ZAN 6'!E59</f>
        <v/>
      </c>
      <c r="F34" s="155">
        <f>'Fund_ZAN 1'!F59+'Fund_ZAN 2'!F59+'Fund_ZAN 3'!F59+'Fund_ZAN 4'!F59+'Fund_ZAN 5'!F59+'Fund_ZAN 6'!F59</f>
        <v/>
      </c>
      <c r="G34" s="155">
        <f>'Fund_ZAN 1'!G59+'Fund_ZAN 2'!G59+'Fund_ZAN 3'!G59+'Fund_ZAN 4'!G59+'Fund_ZAN 5'!G59+'Fund_ZAN 6'!G59</f>
        <v/>
      </c>
      <c r="H34" s="155">
        <f>'Fund_ZAN 1'!H59+'Fund_ZAN 2'!H59+'Fund_ZAN 3'!H59+'Fund_ZAN 4'!H59+'Fund_ZAN 5'!H59+'Fund_ZAN 6'!H59</f>
        <v/>
      </c>
      <c r="I34" s="155">
        <f>'Fund_ZAN 1'!I59+'Fund_ZAN 2'!I59+'Fund_ZAN 3'!I59+'Fund_ZAN 4'!I59+'Fund_ZAN 5'!I59+'Fund_ZAN 6'!I59</f>
        <v/>
      </c>
      <c r="J34" s="155">
        <f>'Fund_ZAN 1'!J59+'Fund_ZAN 2'!J59+'Fund_ZAN 3'!J59+'Fund_ZAN 4'!J59+'Fund_ZAN 5'!J59+'Fund_ZAN 6'!J59</f>
        <v/>
      </c>
      <c r="K34" s="155">
        <f>'Fund_ZAN 1'!K59+'Fund_ZAN 2'!K59+'Fund_ZAN 3'!K59+'Fund_ZAN 4'!K59+'Fund_ZAN 5'!K59+'Fund_ZAN 6'!K59</f>
        <v/>
      </c>
      <c r="L34" s="155">
        <f>'Fund_ZAN 1'!L59+'Fund_ZAN 2'!L59+'Fund_ZAN 3'!L59+'Fund_ZAN 4'!L59+'Fund_ZAN 5'!L59+'Fund_ZAN 6'!L59</f>
        <v/>
      </c>
      <c r="M34" s="155">
        <f>'Fund_ZAN 1'!M59+'Fund_ZAN 2'!M59+'Fund_ZAN 3'!M59+'Fund_ZAN 4'!M59+'Fund_ZAN 5'!M59+'Fund_ZAN 6'!M59</f>
        <v/>
      </c>
      <c r="N34" s="155">
        <f>'Fund_ZAN 1'!N59+'Fund_ZAN 2'!N59+'Fund_ZAN 3'!N59+'Fund_ZAN 4'!N59+'Fund_ZAN 5'!N59+'Fund_ZAN 6'!N59</f>
        <v/>
      </c>
      <c r="O34" s="155">
        <f>'Fund_ZAN 1'!O59+'Fund_ZAN 2'!O59+'Fund_ZAN 3'!O59+'Fund_ZAN 4'!O59+'Fund_ZAN 5'!O59+'Fund_ZAN 6'!O59</f>
        <v/>
      </c>
      <c r="P34" s="155">
        <f>'Fund_ZAN 1'!P59+'Fund_ZAN 2'!P59+'Fund_ZAN 3'!P59+'Fund_ZAN 4'!P59+'Fund_ZAN 5'!P59+'Fund_ZAN 6'!P59</f>
        <v/>
      </c>
      <c r="Q34" s="155">
        <f>'Fund_ZAN 1'!Q59+'Fund_ZAN 2'!Q59+'Fund_ZAN 3'!Q59+'Fund_ZAN 4'!Q59+'Fund_ZAN 5'!Q59+'Fund_ZAN 6'!Q59</f>
        <v/>
      </c>
      <c r="R34" s="155">
        <f>'Fund_ZAN 1'!R59+'Fund_ZAN 2'!R59+'Fund_ZAN 3'!R59+'Fund_ZAN 4'!R59+'Fund_ZAN 5'!R59+'Fund_ZAN 6'!R59</f>
        <v/>
      </c>
      <c r="S34" s="155">
        <f>'Fund_ZAN 1'!S59+'Fund_ZAN 2'!S59+'Fund_ZAN 3'!S59+'Fund_ZAN 4'!S59+'Fund_ZAN 5'!S59+'Fund_ZAN 6'!S59</f>
        <v/>
      </c>
      <c r="T34" s="155">
        <f>'Fund_ZAN 1'!T59+'Fund_ZAN 2'!T59+'Fund_ZAN 3'!T59+'Fund_ZAN 4'!T59+'Fund_ZAN 5'!T59+'Fund_ZAN 6'!T59</f>
        <v/>
      </c>
      <c r="U34" s="155">
        <f>'Fund_ZAN 1'!U59+'Fund_ZAN 2'!U59+'Fund_ZAN 3'!U59+'Fund_ZAN 4'!U59+'Fund_ZAN 5'!U59+'Fund_ZAN 6'!U59</f>
        <v/>
      </c>
      <c r="V34" s="155">
        <f>'Fund_ZAN 1'!V59+'Fund_ZAN 2'!V59+'Fund_ZAN 3'!V59+'Fund_ZAN 4'!V59+'Fund_ZAN 5'!V59+'Fund_ZAN 6'!V59</f>
        <v/>
      </c>
      <c r="W34" s="155">
        <f>'Fund_ZAN 1'!W59+'Fund_ZAN 2'!W59+'Fund_ZAN 3'!W59+'Fund_ZAN 4'!W59+'Fund_ZAN 5'!W59+'Fund_ZAN 6'!W59</f>
        <v/>
      </c>
      <c r="X34" s="155">
        <f>'Fund_ZAN 1'!X59+'Fund_ZAN 2'!X59+'Fund_ZAN 3'!X59+'Fund_ZAN 4'!X59+'Fund_ZAN 5'!X59+'Fund_ZAN 6'!X59</f>
        <v/>
      </c>
      <c r="Y34" s="155">
        <f>'Fund_ZAN 1'!Y59+'Fund_ZAN 2'!Y59+'Fund_ZAN 3'!Y59+'Fund_ZAN 4'!Y59+'Fund_ZAN 5'!Y59+'Fund_ZAN 6'!Y59</f>
        <v/>
      </c>
      <c r="Z34" s="155">
        <f>'Fund_ZAN 1'!Z59+'Fund_ZAN 2'!Z59+'Fund_ZAN 3'!Z59+'Fund_ZAN 4'!Z59+'Fund_ZAN 5'!Z59+'Fund_ZAN 6'!Z59</f>
        <v/>
      </c>
      <c r="AA34" s="155">
        <f>'Fund_ZAN 1'!AA59+'Fund_ZAN 2'!AA59+'Fund_ZAN 3'!AA59+'Fund_ZAN 4'!AA59+'Fund_ZAN 5'!AA59+'Fund_ZAN 6'!AA59</f>
        <v/>
      </c>
      <c r="AB34" s="155">
        <f>'Fund_ZAN 1'!AB59+'Fund_ZAN 2'!AB59+'Fund_ZAN 3'!AB59+'Fund_ZAN 4'!AB59+'Fund_ZAN 5'!AB59+'Fund_ZAN 6'!AB59</f>
        <v/>
      </c>
      <c r="AC34" s="155">
        <f>'Fund_ZAN 1'!AC59+'Fund_ZAN 2'!AC59+'Fund_ZAN 3'!AC59+'Fund_ZAN 4'!AC59+'Fund_ZAN 5'!AC59+'Fund_ZAN 6'!AC59</f>
        <v/>
      </c>
      <c r="AD34" s="155">
        <f>'Fund_ZAN 1'!AD59+'Fund_ZAN 2'!AD59+'Fund_ZAN 3'!AD59+'Fund_ZAN 4'!AD59+'Fund_ZAN 5'!AD59+'Fund_ZAN 6'!AD59</f>
        <v/>
      </c>
      <c r="AE34" s="155">
        <f>'Fund_ZAN 1'!AE59+'Fund_ZAN 2'!AE59+'Fund_ZAN 3'!AE59+'Fund_ZAN 4'!AE59+'Fund_ZAN 5'!AE59+'Fund_ZAN 6'!AE59</f>
        <v/>
      </c>
      <c r="AF34" s="155">
        <f>'Fund_ZAN 1'!AF59+'Fund_ZAN 2'!AF59+'Fund_ZAN 3'!AF59+'Fund_ZAN 4'!AF59+'Fund_ZAN 5'!AF59+'Fund_ZAN 6'!AF59</f>
        <v/>
      </c>
      <c r="AG34" s="155">
        <f>'Fund_ZAN 1'!AG59+'Fund_ZAN 2'!AG59+'Fund_ZAN 3'!AG59+'Fund_ZAN 4'!AG59+'Fund_ZAN 5'!AG59+'Fund_ZAN 6'!AG59</f>
        <v/>
      </c>
      <c r="AH34" s="155">
        <f>'Fund_ZAN 1'!AH59+'Fund_ZAN 2'!AH59+'Fund_ZAN 3'!AH59+'Fund_ZAN 4'!AH59+'Fund_ZAN 5'!AH59+'Fund_ZAN 6'!AH59</f>
        <v/>
      </c>
      <c r="AI34" s="155">
        <f>'Fund_ZAN 1'!AI59+'Fund_ZAN 2'!AI59+'Fund_ZAN 3'!AI59+'Fund_ZAN 4'!AI59+'Fund_ZAN 5'!AI59+'Fund_ZAN 6'!AI59</f>
        <v/>
      </c>
      <c r="AJ34" s="155">
        <f>'Fund_ZAN 1'!AJ59+'Fund_ZAN 2'!AJ59+'Fund_ZAN 3'!AJ59+'Fund_ZAN 4'!AJ59+'Fund_ZAN 5'!AJ59+'Fund_ZAN 6'!AJ59</f>
        <v/>
      </c>
      <c r="AK34" s="155">
        <f>'Fund_ZAN 1'!AK59+'Fund_ZAN 2'!AK59+'Fund_ZAN 3'!AK59+'Fund_ZAN 4'!AK59+'Fund_ZAN 5'!AK59+'Fund_ZAN 6'!AK59</f>
        <v/>
      </c>
      <c r="AL34" s="155">
        <f>'Fund_ZAN 1'!AL59+'Fund_ZAN 2'!AL59+'Fund_ZAN 3'!AL59+'Fund_ZAN 4'!AL59+'Fund_ZAN 5'!AL59+'Fund_ZAN 6'!AL59</f>
        <v/>
      </c>
      <c r="AM34" s="155">
        <f>'Fund_ZAN 1'!AM59+'Fund_ZAN 2'!AM59+'Fund_ZAN 3'!AM59+'Fund_ZAN 4'!AM59+'Fund_ZAN 5'!AM59+'Fund_ZAN 6'!AM59</f>
        <v/>
      </c>
      <c r="AN34" s="155">
        <f>'Fund_ZAN 1'!AN59+'Fund_ZAN 2'!AN59+'Fund_ZAN 3'!AN59+'Fund_ZAN 4'!AN59+'Fund_ZAN 5'!AN59+'Fund_ZAN 6'!AN59</f>
        <v/>
      </c>
      <c r="AO34" s="155">
        <f>'Fund_ZAN 1'!AO59+'Fund_ZAN 2'!AO59+'Fund_ZAN 3'!AO59+'Fund_ZAN 4'!AO59+'Fund_ZAN 5'!AO59+'Fund_ZAN 6'!AO59</f>
        <v/>
      </c>
      <c r="AP34" s="155">
        <f>'Fund_ZAN 1'!AP59+'Fund_ZAN 2'!AP59+'Fund_ZAN 3'!AP59+'Fund_ZAN 4'!AP59+'Fund_ZAN 5'!AP59+'Fund_ZAN 6'!AP59</f>
        <v/>
      </c>
      <c r="AQ34" s="155">
        <f>'Fund_ZAN 1'!AQ59+'Fund_ZAN 2'!AQ59+'Fund_ZAN 3'!AQ59+'Fund_ZAN 4'!AQ59+'Fund_ZAN 5'!AQ59+'Fund_ZAN 6'!AQ59</f>
        <v/>
      </c>
      <c r="AR34" s="155">
        <f>'Fund_ZAN 1'!AR59+'Fund_ZAN 2'!AR59+'Fund_ZAN 3'!AR59+'Fund_ZAN 4'!AR59+'Fund_ZAN 5'!AR59+'Fund_ZAN 6'!AR59</f>
        <v/>
      </c>
      <c r="AS34" s="155">
        <f>'Fund_ZAN 1'!AS59+'Fund_ZAN 2'!AS59+'Fund_ZAN 3'!AS59+'Fund_ZAN 4'!AS59+'Fund_ZAN 5'!AS59+'Fund_ZAN 6'!AS59</f>
        <v/>
      </c>
      <c r="AT34" s="155">
        <f>'Fund_ZAN 1'!AT59+'Fund_ZAN 2'!AT59+'Fund_ZAN 3'!AT59+'Fund_ZAN 4'!AT59+'Fund_ZAN 5'!AT59+'Fund_ZAN 6'!AT59</f>
        <v/>
      </c>
      <c r="AU34" s="155">
        <f>'Fund_ZAN 1'!AU59+'Fund_ZAN 2'!AU59+'Fund_ZAN 3'!AU59+'Fund_ZAN 4'!AU59+'Fund_ZAN 5'!AU59+'Fund_ZAN 6'!AU59</f>
        <v/>
      </c>
      <c r="AV34" s="155">
        <f>'Fund_ZAN 1'!AV59+'Fund_ZAN 2'!AV59+'Fund_ZAN 3'!AV59+'Fund_ZAN 4'!AV59+'Fund_ZAN 5'!AV59+'Fund_ZAN 6'!AV59</f>
        <v/>
      </c>
      <c r="AW34" s="155">
        <f>'Fund_ZAN 1'!AW59+'Fund_ZAN 2'!AW59+'Fund_ZAN 3'!AW59+'Fund_ZAN 4'!AW59+'Fund_ZAN 5'!AW59+'Fund_ZAN 6'!AW59</f>
        <v/>
      </c>
      <c r="AX34" s="155">
        <f>'Fund_ZAN 1'!AX59+'Fund_ZAN 2'!AX59+'Fund_ZAN 3'!AX59+'Fund_ZAN 4'!AX59+'Fund_ZAN 5'!AX59+'Fund_ZAN 6'!AX59</f>
        <v/>
      </c>
      <c r="AY34" s="155">
        <f>'Fund_ZAN 1'!AY59+'Fund_ZAN 2'!AY59+'Fund_ZAN 3'!AY59+'Fund_ZAN 4'!AY59+'Fund_ZAN 5'!AY59+'Fund_ZAN 6'!AY59</f>
        <v/>
      </c>
      <c r="AZ34" s="155">
        <f>'Fund_ZAN 1'!AZ59+'Fund_ZAN 2'!AZ59+'Fund_ZAN 3'!AZ59+'Fund_ZAN 4'!AZ59+'Fund_ZAN 5'!AZ59+'Fund_ZAN 6'!AZ59</f>
        <v/>
      </c>
      <c r="BA34" s="155">
        <f>'Fund_ZAN 1'!BA59+'Fund_ZAN 2'!BA59+'Fund_ZAN 3'!BA59+'Fund_ZAN 4'!BA59+'Fund_ZAN 5'!BA59+'Fund_ZAN 6'!BA59</f>
        <v/>
      </c>
      <c r="BB34" s="155">
        <f>'Fund_ZAN 1'!BB59+'Fund_ZAN 2'!BB59+'Fund_ZAN 3'!BB59+'Fund_ZAN 4'!BB59+'Fund_ZAN 5'!BB59+'Fund_ZAN 6'!BB59</f>
        <v/>
      </c>
    </row>
    <row r="35" ht="15" customHeight="1" s="91">
      <c r="B35" s="153" t="inlineStr">
        <is>
          <t>Total Interest  تكلفة التمويل</t>
        </is>
      </c>
      <c r="C35" s="153" t="inlineStr">
        <is>
          <t>SAR</t>
        </is>
      </c>
      <c r="D35" s="157">
        <f>SUM(E35:BB35)</f>
        <v/>
      </c>
      <c r="E35" s="155">
        <f>'Fund_ZAN 1'!E61+'Fund_ZAN 2'!E61+'Fund_ZAN 3'!E61+'Fund_ZAN 4'!E61+'Fund_ZAN 5'!E61+'Fund_ZAN 6'!E61</f>
        <v/>
      </c>
      <c r="F35" s="155">
        <f>'Fund_ZAN 1'!F61+'Fund_ZAN 2'!F61+'Fund_ZAN 3'!F61+'Fund_ZAN 4'!F61+'Fund_ZAN 5'!F61+'Fund_ZAN 6'!F61</f>
        <v/>
      </c>
      <c r="G35" s="155">
        <f>'Fund_ZAN 1'!G61+'Fund_ZAN 2'!G61+'Fund_ZAN 3'!G61+'Fund_ZAN 4'!G61+'Fund_ZAN 5'!G61+'Fund_ZAN 6'!G61</f>
        <v/>
      </c>
      <c r="H35" s="155">
        <f>'Fund_ZAN 1'!H61+'Fund_ZAN 2'!H61+'Fund_ZAN 3'!H61+'Fund_ZAN 4'!H61+'Fund_ZAN 5'!H61+'Fund_ZAN 6'!H61</f>
        <v/>
      </c>
      <c r="I35" s="155">
        <f>'Fund_ZAN 1'!I61+'Fund_ZAN 2'!I61+'Fund_ZAN 3'!I61+'Fund_ZAN 4'!I61+'Fund_ZAN 5'!I61+'Fund_ZAN 6'!I61</f>
        <v/>
      </c>
      <c r="J35" s="155">
        <f>'Fund_ZAN 1'!J61+'Fund_ZAN 2'!J61+'Fund_ZAN 3'!J61+'Fund_ZAN 4'!J61+'Fund_ZAN 5'!J61+'Fund_ZAN 6'!J61</f>
        <v/>
      </c>
      <c r="K35" s="155">
        <f>'Fund_ZAN 1'!K61+'Fund_ZAN 2'!K61+'Fund_ZAN 3'!K61+'Fund_ZAN 4'!K61+'Fund_ZAN 5'!K61+'Fund_ZAN 6'!K61</f>
        <v/>
      </c>
      <c r="L35" s="155">
        <f>'Fund_ZAN 1'!L61+'Fund_ZAN 2'!L61+'Fund_ZAN 3'!L61+'Fund_ZAN 4'!L61+'Fund_ZAN 5'!L61+'Fund_ZAN 6'!L61</f>
        <v/>
      </c>
      <c r="M35" s="155">
        <f>'Fund_ZAN 1'!M61+'Fund_ZAN 2'!M61+'Fund_ZAN 3'!M61+'Fund_ZAN 4'!M61+'Fund_ZAN 5'!M61+'Fund_ZAN 6'!M61</f>
        <v/>
      </c>
      <c r="N35" s="155">
        <f>'Fund_ZAN 1'!N61+'Fund_ZAN 2'!N61+'Fund_ZAN 3'!N61+'Fund_ZAN 4'!N61+'Fund_ZAN 5'!N61+'Fund_ZAN 6'!N61</f>
        <v/>
      </c>
      <c r="O35" s="155">
        <f>'Fund_ZAN 1'!O61+'Fund_ZAN 2'!O61+'Fund_ZAN 3'!O61+'Fund_ZAN 4'!O61+'Fund_ZAN 5'!O61+'Fund_ZAN 6'!O61</f>
        <v/>
      </c>
      <c r="P35" s="155">
        <f>'Fund_ZAN 1'!P61+'Fund_ZAN 2'!P61+'Fund_ZAN 3'!P61+'Fund_ZAN 4'!P61+'Fund_ZAN 5'!P61+'Fund_ZAN 6'!P61</f>
        <v/>
      </c>
      <c r="Q35" s="155">
        <f>'Fund_ZAN 1'!Q61+'Fund_ZAN 2'!Q61+'Fund_ZAN 3'!Q61+'Fund_ZAN 4'!Q61+'Fund_ZAN 5'!Q61+'Fund_ZAN 6'!Q61</f>
        <v/>
      </c>
      <c r="R35" s="155">
        <f>'Fund_ZAN 1'!R61+'Fund_ZAN 2'!R61+'Fund_ZAN 3'!R61+'Fund_ZAN 4'!R61+'Fund_ZAN 5'!R61+'Fund_ZAN 6'!R61</f>
        <v/>
      </c>
      <c r="S35" s="155">
        <f>'Fund_ZAN 1'!S61+'Fund_ZAN 2'!S61+'Fund_ZAN 3'!S61+'Fund_ZAN 4'!S61+'Fund_ZAN 5'!S61+'Fund_ZAN 6'!S61</f>
        <v/>
      </c>
      <c r="T35" s="155">
        <f>'Fund_ZAN 1'!T61+'Fund_ZAN 2'!T61+'Fund_ZAN 3'!T61+'Fund_ZAN 4'!T61+'Fund_ZAN 5'!T61+'Fund_ZAN 6'!T61</f>
        <v/>
      </c>
      <c r="U35" s="155">
        <f>'Fund_ZAN 1'!U61+'Fund_ZAN 2'!U61+'Fund_ZAN 3'!U61+'Fund_ZAN 4'!U61+'Fund_ZAN 5'!U61+'Fund_ZAN 6'!U61</f>
        <v/>
      </c>
      <c r="V35" s="155">
        <f>'Fund_ZAN 1'!V61+'Fund_ZAN 2'!V61+'Fund_ZAN 3'!V61+'Fund_ZAN 4'!V61+'Fund_ZAN 5'!V61+'Fund_ZAN 6'!V61</f>
        <v/>
      </c>
      <c r="W35" s="155">
        <f>'Fund_ZAN 1'!W61+'Fund_ZAN 2'!W61+'Fund_ZAN 3'!W61+'Fund_ZAN 4'!W61+'Fund_ZAN 5'!W61+'Fund_ZAN 6'!W61</f>
        <v/>
      </c>
      <c r="X35" s="155">
        <f>'Fund_ZAN 1'!X61+'Fund_ZAN 2'!X61+'Fund_ZAN 3'!X61+'Fund_ZAN 4'!X61+'Fund_ZAN 5'!X61+'Fund_ZAN 6'!X61</f>
        <v/>
      </c>
      <c r="Y35" s="155">
        <f>'Fund_ZAN 1'!Y61+'Fund_ZAN 2'!Y61+'Fund_ZAN 3'!Y61+'Fund_ZAN 4'!Y61+'Fund_ZAN 5'!Y61+'Fund_ZAN 6'!Y61</f>
        <v/>
      </c>
      <c r="Z35" s="155">
        <f>'Fund_ZAN 1'!Z61+'Fund_ZAN 2'!Z61+'Fund_ZAN 3'!Z61+'Fund_ZAN 4'!Z61+'Fund_ZAN 5'!Z61+'Fund_ZAN 6'!Z61</f>
        <v/>
      </c>
      <c r="AA35" s="155">
        <f>'Fund_ZAN 1'!AA61+'Fund_ZAN 2'!AA61+'Fund_ZAN 3'!AA61+'Fund_ZAN 4'!AA61+'Fund_ZAN 5'!AA61+'Fund_ZAN 6'!AA61</f>
        <v/>
      </c>
      <c r="AB35" s="155">
        <f>'Fund_ZAN 1'!AB61+'Fund_ZAN 2'!AB61+'Fund_ZAN 3'!AB61+'Fund_ZAN 4'!AB61+'Fund_ZAN 5'!AB61+'Fund_ZAN 6'!AB61</f>
        <v/>
      </c>
      <c r="AC35" s="155">
        <f>'Fund_ZAN 1'!AC61+'Fund_ZAN 2'!AC61+'Fund_ZAN 3'!AC61+'Fund_ZAN 4'!AC61+'Fund_ZAN 5'!AC61+'Fund_ZAN 6'!AC61</f>
        <v/>
      </c>
      <c r="AD35" s="155">
        <f>'Fund_ZAN 1'!AD61+'Fund_ZAN 2'!AD61+'Fund_ZAN 3'!AD61+'Fund_ZAN 4'!AD61+'Fund_ZAN 5'!AD61+'Fund_ZAN 6'!AD61</f>
        <v/>
      </c>
      <c r="AE35" s="155">
        <f>'Fund_ZAN 1'!AE61+'Fund_ZAN 2'!AE61+'Fund_ZAN 3'!AE61+'Fund_ZAN 4'!AE61+'Fund_ZAN 5'!AE61+'Fund_ZAN 6'!AE61</f>
        <v/>
      </c>
      <c r="AF35" s="155">
        <f>'Fund_ZAN 1'!AF61+'Fund_ZAN 2'!AF61+'Fund_ZAN 3'!AF61+'Fund_ZAN 4'!AF61+'Fund_ZAN 5'!AF61+'Fund_ZAN 6'!AF61</f>
        <v/>
      </c>
      <c r="AG35" s="155">
        <f>'Fund_ZAN 1'!AG61+'Fund_ZAN 2'!AG61+'Fund_ZAN 3'!AG61+'Fund_ZAN 4'!AG61+'Fund_ZAN 5'!AG61+'Fund_ZAN 6'!AG61</f>
        <v/>
      </c>
      <c r="AH35" s="155">
        <f>'Fund_ZAN 1'!AH61+'Fund_ZAN 2'!AH61+'Fund_ZAN 3'!AH61+'Fund_ZAN 4'!AH61+'Fund_ZAN 5'!AH61+'Fund_ZAN 6'!AH61</f>
        <v/>
      </c>
      <c r="AI35" s="155">
        <f>'Fund_ZAN 1'!AI61+'Fund_ZAN 2'!AI61+'Fund_ZAN 3'!AI61+'Fund_ZAN 4'!AI61+'Fund_ZAN 5'!AI61+'Fund_ZAN 6'!AI61</f>
        <v/>
      </c>
      <c r="AJ35" s="155">
        <f>'Fund_ZAN 1'!AJ61+'Fund_ZAN 2'!AJ61+'Fund_ZAN 3'!AJ61+'Fund_ZAN 4'!AJ61+'Fund_ZAN 5'!AJ61+'Fund_ZAN 6'!AJ61</f>
        <v/>
      </c>
      <c r="AK35" s="155">
        <f>'Fund_ZAN 1'!AK61+'Fund_ZAN 2'!AK61+'Fund_ZAN 3'!AK61+'Fund_ZAN 4'!AK61+'Fund_ZAN 5'!AK61+'Fund_ZAN 6'!AK61</f>
        <v/>
      </c>
      <c r="AL35" s="155">
        <f>'Fund_ZAN 1'!AL61+'Fund_ZAN 2'!AL61+'Fund_ZAN 3'!AL61+'Fund_ZAN 4'!AL61+'Fund_ZAN 5'!AL61+'Fund_ZAN 6'!AL61</f>
        <v/>
      </c>
      <c r="AM35" s="155">
        <f>'Fund_ZAN 1'!AM61+'Fund_ZAN 2'!AM61+'Fund_ZAN 3'!AM61+'Fund_ZAN 4'!AM61+'Fund_ZAN 5'!AM61+'Fund_ZAN 6'!AM61</f>
        <v/>
      </c>
      <c r="AN35" s="155">
        <f>'Fund_ZAN 1'!AN61+'Fund_ZAN 2'!AN61+'Fund_ZAN 3'!AN61+'Fund_ZAN 4'!AN61+'Fund_ZAN 5'!AN61+'Fund_ZAN 6'!AN61</f>
        <v/>
      </c>
      <c r="AO35" s="155">
        <f>'Fund_ZAN 1'!AO61+'Fund_ZAN 2'!AO61+'Fund_ZAN 3'!AO61+'Fund_ZAN 4'!AO61+'Fund_ZAN 5'!AO61+'Fund_ZAN 6'!AO61</f>
        <v/>
      </c>
      <c r="AP35" s="155">
        <f>'Fund_ZAN 1'!AP61+'Fund_ZAN 2'!AP61+'Fund_ZAN 3'!AP61+'Fund_ZAN 4'!AP61+'Fund_ZAN 5'!AP61+'Fund_ZAN 6'!AP61</f>
        <v/>
      </c>
      <c r="AQ35" s="155">
        <f>'Fund_ZAN 1'!AQ61+'Fund_ZAN 2'!AQ61+'Fund_ZAN 3'!AQ61+'Fund_ZAN 4'!AQ61+'Fund_ZAN 5'!AQ61+'Fund_ZAN 6'!AQ61</f>
        <v/>
      </c>
      <c r="AR35" s="155">
        <f>'Fund_ZAN 1'!AR61+'Fund_ZAN 2'!AR61+'Fund_ZAN 3'!AR61+'Fund_ZAN 4'!AR61+'Fund_ZAN 5'!AR61+'Fund_ZAN 6'!AR61</f>
        <v/>
      </c>
      <c r="AS35" s="155">
        <f>'Fund_ZAN 1'!AS61+'Fund_ZAN 2'!AS61+'Fund_ZAN 3'!AS61+'Fund_ZAN 4'!AS61+'Fund_ZAN 5'!AS61+'Fund_ZAN 6'!AS61</f>
        <v/>
      </c>
      <c r="AT35" s="155">
        <f>'Fund_ZAN 1'!AT61+'Fund_ZAN 2'!AT61+'Fund_ZAN 3'!AT61+'Fund_ZAN 4'!AT61+'Fund_ZAN 5'!AT61+'Fund_ZAN 6'!AT61</f>
        <v/>
      </c>
      <c r="AU35" s="155">
        <f>'Fund_ZAN 1'!AU61+'Fund_ZAN 2'!AU61+'Fund_ZAN 3'!AU61+'Fund_ZAN 4'!AU61+'Fund_ZAN 5'!AU61+'Fund_ZAN 6'!AU61</f>
        <v/>
      </c>
      <c r="AV35" s="155">
        <f>'Fund_ZAN 1'!AV61+'Fund_ZAN 2'!AV61+'Fund_ZAN 3'!AV61+'Fund_ZAN 4'!AV61+'Fund_ZAN 5'!AV61+'Fund_ZAN 6'!AV61</f>
        <v/>
      </c>
      <c r="AW35" s="155">
        <f>'Fund_ZAN 1'!AW61+'Fund_ZAN 2'!AW61+'Fund_ZAN 3'!AW61+'Fund_ZAN 4'!AW61+'Fund_ZAN 5'!AW61+'Fund_ZAN 6'!AW61</f>
        <v/>
      </c>
      <c r="AX35" s="155">
        <f>'Fund_ZAN 1'!AX61+'Fund_ZAN 2'!AX61+'Fund_ZAN 3'!AX61+'Fund_ZAN 4'!AX61+'Fund_ZAN 5'!AX61+'Fund_ZAN 6'!AX61</f>
        <v/>
      </c>
      <c r="AY35" s="155">
        <f>'Fund_ZAN 1'!AY61+'Fund_ZAN 2'!AY61+'Fund_ZAN 3'!AY61+'Fund_ZAN 4'!AY61+'Fund_ZAN 5'!AY61+'Fund_ZAN 6'!AY61</f>
        <v/>
      </c>
      <c r="AZ35" s="155">
        <f>'Fund_ZAN 1'!AZ61+'Fund_ZAN 2'!AZ61+'Fund_ZAN 3'!AZ61+'Fund_ZAN 4'!AZ61+'Fund_ZAN 5'!AZ61+'Fund_ZAN 6'!AZ61</f>
        <v/>
      </c>
      <c r="BA35" s="155">
        <f>'Fund_ZAN 1'!BA61+'Fund_ZAN 2'!BA61+'Fund_ZAN 3'!BA61+'Fund_ZAN 4'!BA61+'Fund_ZAN 5'!BA61+'Fund_ZAN 6'!BA61</f>
        <v/>
      </c>
      <c r="BB35" s="155">
        <f>'Fund_ZAN 1'!BB61+'Fund_ZAN 2'!BB61+'Fund_ZAN 3'!BB61+'Fund_ZAN 4'!BB61+'Fund_ZAN 5'!BB61+'Fund_ZAN 6'!BB61</f>
        <v/>
      </c>
    </row>
    <row r="36" ht="15" customHeight="1" s="91">
      <c r="B36" s="110" t="inlineStr">
        <is>
          <t>Total Debt Service  إجمالي خدمة الدين</t>
        </is>
      </c>
      <c r="C36" s="153" t="inlineStr">
        <is>
          <t>SAR</t>
        </is>
      </c>
      <c r="D36" s="157">
        <f>SUM(E36:BB36)</f>
        <v/>
      </c>
      <c r="E36" s="155">
        <f>'Fund_ZAN 1'!E62+'Fund_ZAN 2'!E62+'Fund_ZAN 3'!E62+'Fund_ZAN 4'!E62+'Fund_ZAN 5'!E62+'Fund_ZAN 6'!E62</f>
        <v/>
      </c>
      <c r="F36" s="155">
        <f>'Fund_ZAN 1'!F62+'Fund_ZAN 2'!F62+'Fund_ZAN 3'!F62+'Fund_ZAN 4'!F62+'Fund_ZAN 5'!F62+'Fund_ZAN 6'!F62</f>
        <v/>
      </c>
      <c r="G36" s="155">
        <f>'Fund_ZAN 1'!G62+'Fund_ZAN 2'!G62+'Fund_ZAN 3'!G62+'Fund_ZAN 4'!G62+'Fund_ZAN 5'!G62+'Fund_ZAN 6'!G62</f>
        <v/>
      </c>
      <c r="H36" s="155">
        <f>'Fund_ZAN 1'!H62+'Fund_ZAN 2'!H62+'Fund_ZAN 3'!H62+'Fund_ZAN 4'!H62+'Fund_ZAN 5'!H62+'Fund_ZAN 6'!H62</f>
        <v/>
      </c>
      <c r="I36" s="155">
        <f>'Fund_ZAN 1'!I62+'Fund_ZAN 2'!I62+'Fund_ZAN 3'!I62+'Fund_ZAN 4'!I62+'Fund_ZAN 5'!I62+'Fund_ZAN 6'!I62</f>
        <v/>
      </c>
      <c r="J36" s="155">
        <f>'Fund_ZAN 1'!J62+'Fund_ZAN 2'!J62+'Fund_ZAN 3'!J62+'Fund_ZAN 4'!J62+'Fund_ZAN 5'!J62+'Fund_ZAN 6'!J62</f>
        <v/>
      </c>
      <c r="K36" s="155">
        <f>'Fund_ZAN 1'!K62+'Fund_ZAN 2'!K62+'Fund_ZAN 3'!K62+'Fund_ZAN 4'!K62+'Fund_ZAN 5'!K62+'Fund_ZAN 6'!K62</f>
        <v/>
      </c>
      <c r="L36" s="155">
        <f>'Fund_ZAN 1'!L62+'Fund_ZAN 2'!L62+'Fund_ZAN 3'!L62+'Fund_ZAN 4'!L62+'Fund_ZAN 5'!L62+'Fund_ZAN 6'!L62</f>
        <v/>
      </c>
      <c r="M36" s="155">
        <f>'Fund_ZAN 1'!M62+'Fund_ZAN 2'!M62+'Fund_ZAN 3'!M62+'Fund_ZAN 4'!M62+'Fund_ZAN 5'!M62+'Fund_ZAN 6'!M62</f>
        <v/>
      </c>
      <c r="N36" s="155">
        <f>'Fund_ZAN 1'!N62+'Fund_ZAN 2'!N62+'Fund_ZAN 3'!N62+'Fund_ZAN 4'!N62+'Fund_ZAN 5'!N62+'Fund_ZAN 6'!N62</f>
        <v/>
      </c>
      <c r="O36" s="155">
        <f>'Fund_ZAN 1'!O62+'Fund_ZAN 2'!O62+'Fund_ZAN 3'!O62+'Fund_ZAN 4'!O62+'Fund_ZAN 5'!O62+'Fund_ZAN 6'!O62</f>
        <v/>
      </c>
      <c r="P36" s="155">
        <f>'Fund_ZAN 1'!P62+'Fund_ZAN 2'!P62+'Fund_ZAN 3'!P62+'Fund_ZAN 4'!P62+'Fund_ZAN 5'!P62+'Fund_ZAN 6'!P62</f>
        <v/>
      </c>
      <c r="Q36" s="155">
        <f>'Fund_ZAN 1'!Q62+'Fund_ZAN 2'!Q62+'Fund_ZAN 3'!Q62+'Fund_ZAN 4'!Q62+'Fund_ZAN 5'!Q62+'Fund_ZAN 6'!Q62</f>
        <v/>
      </c>
      <c r="R36" s="155">
        <f>'Fund_ZAN 1'!R62+'Fund_ZAN 2'!R62+'Fund_ZAN 3'!R62+'Fund_ZAN 4'!R62+'Fund_ZAN 5'!R62+'Fund_ZAN 6'!R62</f>
        <v/>
      </c>
      <c r="S36" s="155">
        <f>'Fund_ZAN 1'!S62+'Fund_ZAN 2'!S62+'Fund_ZAN 3'!S62+'Fund_ZAN 4'!S62+'Fund_ZAN 5'!S62+'Fund_ZAN 6'!S62</f>
        <v/>
      </c>
      <c r="T36" s="155">
        <f>'Fund_ZAN 1'!T62+'Fund_ZAN 2'!T62+'Fund_ZAN 3'!T62+'Fund_ZAN 4'!T62+'Fund_ZAN 5'!T62+'Fund_ZAN 6'!T62</f>
        <v/>
      </c>
      <c r="U36" s="155">
        <f>'Fund_ZAN 1'!U62+'Fund_ZAN 2'!U62+'Fund_ZAN 3'!U62+'Fund_ZAN 4'!U62+'Fund_ZAN 5'!U62+'Fund_ZAN 6'!U62</f>
        <v/>
      </c>
      <c r="V36" s="155">
        <f>'Fund_ZAN 1'!V62+'Fund_ZAN 2'!V62+'Fund_ZAN 3'!V62+'Fund_ZAN 4'!V62+'Fund_ZAN 5'!V62+'Fund_ZAN 6'!V62</f>
        <v/>
      </c>
      <c r="W36" s="155">
        <f>'Fund_ZAN 1'!W62+'Fund_ZAN 2'!W62+'Fund_ZAN 3'!W62+'Fund_ZAN 4'!W62+'Fund_ZAN 5'!W62+'Fund_ZAN 6'!W62</f>
        <v/>
      </c>
      <c r="X36" s="155">
        <f>'Fund_ZAN 1'!X62+'Fund_ZAN 2'!X62+'Fund_ZAN 3'!X62+'Fund_ZAN 4'!X62+'Fund_ZAN 5'!X62+'Fund_ZAN 6'!X62</f>
        <v/>
      </c>
      <c r="Y36" s="155">
        <f>'Fund_ZAN 1'!Y62+'Fund_ZAN 2'!Y62+'Fund_ZAN 3'!Y62+'Fund_ZAN 4'!Y62+'Fund_ZAN 5'!Y62+'Fund_ZAN 6'!Y62</f>
        <v/>
      </c>
      <c r="Z36" s="155">
        <f>'Fund_ZAN 1'!Z62+'Fund_ZAN 2'!Z62+'Fund_ZAN 3'!Z62+'Fund_ZAN 4'!Z62+'Fund_ZAN 5'!Z62+'Fund_ZAN 6'!Z62</f>
        <v/>
      </c>
      <c r="AA36" s="155">
        <f>'Fund_ZAN 1'!AA62+'Fund_ZAN 2'!AA62+'Fund_ZAN 3'!AA62+'Fund_ZAN 4'!AA62+'Fund_ZAN 5'!AA62+'Fund_ZAN 6'!AA62</f>
        <v/>
      </c>
      <c r="AB36" s="155">
        <f>'Fund_ZAN 1'!AB62+'Fund_ZAN 2'!AB62+'Fund_ZAN 3'!AB62+'Fund_ZAN 4'!AB62+'Fund_ZAN 5'!AB62+'Fund_ZAN 6'!AB62</f>
        <v/>
      </c>
      <c r="AC36" s="155">
        <f>'Fund_ZAN 1'!AC62+'Fund_ZAN 2'!AC62+'Fund_ZAN 3'!AC62+'Fund_ZAN 4'!AC62+'Fund_ZAN 5'!AC62+'Fund_ZAN 6'!AC62</f>
        <v/>
      </c>
      <c r="AD36" s="155">
        <f>'Fund_ZAN 1'!AD62+'Fund_ZAN 2'!AD62+'Fund_ZAN 3'!AD62+'Fund_ZAN 4'!AD62+'Fund_ZAN 5'!AD62+'Fund_ZAN 6'!AD62</f>
        <v/>
      </c>
      <c r="AE36" s="155">
        <f>'Fund_ZAN 1'!AE62+'Fund_ZAN 2'!AE62+'Fund_ZAN 3'!AE62+'Fund_ZAN 4'!AE62+'Fund_ZAN 5'!AE62+'Fund_ZAN 6'!AE62</f>
        <v/>
      </c>
      <c r="AF36" s="155">
        <f>'Fund_ZAN 1'!AF62+'Fund_ZAN 2'!AF62+'Fund_ZAN 3'!AF62+'Fund_ZAN 4'!AF62+'Fund_ZAN 5'!AF62+'Fund_ZAN 6'!AF62</f>
        <v/>
      </c>
      <c r="AG36" s="155">
        <f>'Fund_ZAN 1'!AG62+'Fund_ZAN 2'!AG62+'Fund_ZAN 3'!AG62+'Fund_ZAN 4'!AG62+'Fund_ZAN 5'!AG62+'Fund_ZAN 6'!AG62</f>
        <v/>
      </c>
      <c r="AH36" s="155">
        <f>'Fund_ZAN 1'!AH62+'Fund_ZAN 2'!AH62+'Fund_ZAN 3'!AH62+'Fund_ZAN 4'!AH62+'Fund_ZAN 5'!AH62+'Fund_ZAN 6'!AH62</f>
        <v/>
      </c>
      <c r="AI36" s="155">
        <f>'Fund_ZAN 1'!AI62+'Fund_ZAN 2'!AI62+'Fund_ZAN 3'!AI62+'Fund_ZAN 4'!AI62+'Fund_ZAN 5'!AI62+'Fund_ZAN 6'!AI62</f>
        <v/>
      </c>
      <c r="AJ36" s="155">
        <f>'Fund_ZAN 1'!AJ62+'Fund_ZAN 2'!AJ62+'Fund_ZAN 3'!AJ62+'Fund_ZAN 4'!AJ62+'Fund_ZAN 5'!AJ62+'Fund_ZAN 6'!AJ62</f>
        <v/>
      </c>
      <c r="AK36" s="155">
        <f>'Fund_ZAN 1'!AK62+'Fund_ZAN 2'!AK62+'Fund_ZAN 3'!AK62+'Fund_ZAN 4'!AK62+'Fund_ZAN 5'!AK62+'Fund_ZAN 6'!AK62</f>
        <v/>
      </c>
      <c r="AL36" s="155">
        <f>'Fund_ZAN 1'!AL62+'Fund_ZAN 2'!AL62+'Fund_ZAN 3'!AL62+'Fund_ZAN 4'!AL62+'Fund_ZAN 5'!AL62+'Fund_ZAN 6'!AL62</f>
        <v/>
      </c>
      <c r="AM36" s="155">
        <f>'Fund_ZAN 1'!AM62+'Fund_ZAN 2'!AM62+'Fund_ZAN 3'!AM62+'Fund_ZAN 4'!AM62+'Fund_ZAN 5'!AM62+'Fund_ZAN 6'!AM62</f>
        <v/>
      </c>
      <c r="AN36" s="155">
        <f>'Fund_ZAN 1'!AN62+'Fund_ZAN 2'!AN62+'Fund_ZAN 3'!AN62+'Fund_ZAN 4'!AN62+'Fund_ZAN 5'!AN62+'Fund_ZAN 6'!AN62</f>
        <v/>
      </c>
      <c r="AO36" s="155">
        <f>'Fund_ZAN 1'!AO62+'Fund_ZAN 2'!AO62+'Fund_ZAN 3'!AO62+'Fund_ZAN 4'!AO62+'Fund_ZAN 5'!AO62+'Fund_ZAN 6'!AO62</f>
        <v/>
      </c>
      <c r="AP36" s="155">
        <f>'Fund_ZAN 1'!AP62+'Fund_ZAN 2'!AP62+'Fund_ZAN 3'!AP62+'Fund_ZAN 4'!AP62+'Fund_ZAN 5'!AP62+'Fund_ZAN 6'!AP62</f>
        <v/>
      </c>
      <c r="AQ36" s="155">
        <f>'Fund_ZAN 1'!AQ62+'Fund_ZAN 2'!AQ62+'Fund_ZAN 3'!AQ62+'Fund_ZAN 4'!AQ62+'Fund_ZAN 5'!AQ62+'Fund_ZAN 6'!AQ62</f>
        <v/>
      </c>
      <c r="AR36" s="155">
        <f>'Fund_ZAN 1'!AR62+'Fund_ZAN 2'!AR62+'Fund_ZAN 3'!AR62+'Fund_ZAN 4'!AR62+'Fund_ZAN 5'!AR62+'Fund_ZAN 6'!AR62</f>
        <v/>
      </c>
      <c r="AS36" s="155">
        <f>'Fund_ZAN 1'!AS62+'Fund_ZAN 2'!AS62+'Fund_ZAN 3'!AS62+'Fund_ZAN 4'!AS62+'Fund_ZAN 5'!AS62+'Fund_ZAN 6'!AS62</f>
        <v/>
      </c>
      <c r="AT36" s="155">
        <f>'Fund_ZAN 1'!AT62+'Fund_ZAN 2'!AT62+'Fund_ZAN 3'!AT62+'Fund_ZAN 4'!AT62+'Fund_ZAN 5'!AT62+'Fund_ZAN 6'!AT62</f>
        <v/>
      </c>
      <c r="AU36" s="155">
        <f>'Fund_ZAN 1'!AU62+'Fund_ZAN 2'!AU62+'Fund_ZAN 3'!AU62+'Fund_ZAN 4'!AU62+'Fund_ZAN 5'!AU62+'Fund_ZAN 6'!AU62</f>
        <v/>
      </c>
      <c r="AV36" s="155">
        <f>'Fund_ZAN 1'!AV62+'Fund_ZAN 2'!AV62+'Fund_ZAN 3'!AV62+'Fund_ZAN 4'!AV62+'Fund_ZAN 5'!AV62+'Fund_ZAN 6'!AV62</f>
        <v/>
      </c>
      <c r="AW36" s="155">
        <f>'Fund_ZAN 1'!AW62+'Fund_ZAN 2'!AW62+'Fund_ZAN 3'!AW62+'Fund_ZAN 4'!AW62+'Fund_ZAN 5'!AW62+'Fund_ZAN 6'!AW62</f>
        <v/>
      </c>
      <c r="AX36" s="155">
        <f>'Fund_ZAN 1'!AX62+'Fund_ZAN 2'!AX62+'Fund_ZAN 3'!AX62+'Fund_ZAN 4'!AX62+'Fund_ZAN 5'!AX62+'Fund_ZAN 6'!AX62</f>
        <v/>
      </c>
      <c r="AY36" s="155">
        <f>'Fund_ZAN 1'!AY62+'Fund_ZAN 2'!AY62+'Fund_ZAN 3'!AY62+'Fund_ZAN 4'!AY62+'Fund_ZAN 5'!AY62+'Fund_ZAN 6'!AY62</f>
        <v/>
      </c>
      <c r="AZ36" s="155">
        <f>'Fund_ZAN 1'!AZ62+'Fund_ZAN 2'!AZ62+'Fund_ZAN 3'!AZ62+'Fund_ZAN 4'!AZ62+'Fund_ZAN 5'!AZ62+'Fund_ZAN 6'!AZ62</f>
        <v/>
      </c>
      <c r="BA36" s="155">
        <f>'Fund_ZAN 1'!BA62+'Fund_ZAN 2'!BA62+'Fund_ZAN 3'!BA62+'Fund_ZAN 4'!BA62+'Fund_ZAN 5'!BA62+'Fund_ZAN 6'!BA62</f>
        <v/>
      </c>
      <c r="BB36" s="155">
        <f>'Fund_ZAN 1'!BB62+'Fund_ZAN 2'!BB62+'Fund_ZAN 3'!BB62+'Fund_ZAN 4'!BB62+'Fund_ZAN 5'!BB62+'Fund_ZAN 6'!BB62</f>
        <v/>
      </c>
    </row>
    <row r="38" ht="15" customHeight="1" s="91">
      <c r="B38" s="110" t="inlineStr">
        <is>
          <t>Debt Balance (Close)  رصيد الدين</t>
        </is>
      </c>
      <c r="C38" s="153" t="inlineStr">
        <is>
          <t>SAR</t>
        </is>
      </c>
      <c r="E38" s="155">
        <f>'Fund_ZAN 1'!E60+'Fund_ZAN 2'!E60+'Fund_ZAN 3'!E60+'Fund_ZAN 4'!E60+'Fund_ZAN 5'!E60+'Fund_ZAN 6'!E60</f>
        <v/>
      </c>
      <c r="F38" s="155">
        <f>'Fund_ZAN 1'!F60+'Fund_ZAN 2'!F60+'Fund_ZAN 3'!F60+'Fund_ZAN 4'!F60+'Fund_ZAN 5'!F60+'Fund_ZAN 6'!F60</f>
        <v/>
      </c>
      <c r="G38" s="155">
        <f>'Fund_ZAN 1'!G60+'Fund_ZAN 2'!G60+'Fund_ZAN 3'!G60+'Fund_ZAN 4'!G60+'Fund_ZAN 5'!G60+'Fund_ZAN 6'!G60</f>
        <v/>
      </c>
      <c r="H38" s="155">
        <f>'Fund_ZAN 1'!H60+'Fund_ZAN 2'!H60+'Fund_ZAN 3'!H60+'Fund_ZAN 4'!H60+'Fund_ZAN 5'!H60+'Fund_ZAN 6'!H60</f>
        <v/>
      </c>
      <c r="I38" s="155">
        <f>'Fund_ZAN 1'!I60+'Fund_ZAN 2'!I60+'Fund_ZAN 3'!I60+'Fund_ZAN 4'!I60+'Fund_ZAN 5'!I60+'Fund_ZAN 6'!I60</f>
        <v/>
      </c>
      <c r="J38" s="155">
        <f>'Fund_ZAN 1'!J60+'Fund_ZAN 2'!J60+'Fund_ZAN 3'!J60+'Fund_ZAN 4'!J60+'Fund_ZAN 5'!J60+'Fund_ZAN 6'!J60</f>
        <v/>
      </c>
      <c r="K38" s="155">
        <f>'Fund_ZAN 1'!K60+'Fund_ZAN 2'!K60+'Fund_ZAN 3'!K60+'Fund_ZAN 4'!K60+'Fund_ZAN 5'!K60+'Fund_ZAN 6'!K60</f>
        <v/>
      </c>
      <c r="L38" s="155">
        <f>'Fund_ZAN 1'!L60+'Fund_ZAN 2'!L60+'Fund_ZAN 3'!L60+'Fund_ZAN 4'!L60+'Fund_ZAN 5'!L60+'Fund_ZAN 6'!L60</f>
        <v/>
      </c>
      <c r="M38" s="155">
        <f>'Fund_ZAN 1'!M60+'Fund_ZAN 2'!M60+'Fund_ZAN 3'!M60+'Fund_ZAN 4'!M60+'Fund_ZAN 5'!M60+'Fund_ZAN 6'!M60</f>
        <v/>
      </c>
      <c r="N38" s="155">
        <f>'Fund_ZAN 1'!N60+'Fund_ZAN 2'!N60+'Fund_ZAN 3'!N60+'Fund_ZAN 4'!N60+'Fund_ZAN 5'!N60+'Fund_ZAN 6'!N60</f>
        <v/>
      </c>
      <c r="O38" s="155">
        <f>'Fund_ZAN 1'!O60+'Fund_ZAN 2'!O60+'Fund_ZAN 3'!O60+'Fund_ZAN 4'!O60+'Fund_ZAN 5'!O60+'Fund_ZAN 6'!O60</f>
        <v/>
      </c>
      <c r="P38" s="155">
        <f>'Fund_ZAN 1'!P60+'Fund_ZAN 2'!P60+'Fund_ZAN 3'!P60+'Fund_ZAN 4'!P60+'Fund_ZAN 5'!P60+'Fund_ZAN 6'!P60</f>
        <v/>
      </c>
      <c r="Q38" s="155">
        <f>'Fund_ZAN 1'!Q60+'Fund_ZAN 2'!Q60+'Fund_ZAN 3'!Q60+'Fund_ZAN 4'!Q60+'Fund_ZAN 5'!Q60+'Fund_ZAN 6'!Q60</f>
        <v/>
      </c>
      <c r="R38" s="155">
        <f>'Fund_ZAN 1'!R60+'Fund_ZAN 2'!R60+'Fund_ZAN 3'!R60+'Fund_ZAN 4'!R60+'Fund_ZAN 5'!R60+'Fund_ZAN 6'!R60</f>
        <v/>
      </c>
      <c r="S38" s="155">
        <f>'Fund_ZAN 1'!S60+'Fund_ZAN 2'!S60+'Fund_ZAN 3'!S60+'Fund_ZAN 4'!S60+'Fund_ZAN 5'!S60+'Fund_ZAN 6'!S60</f>
        <v/>
      </c>
      <c r="T38" s="155">
        <f>'Fund_ZAN 1'!T60+'Fund_ZAN 2'!T60+'Fund_ZAN 3'!T60+'Fund_ZAN 4'!T60+'Fund_ZAN 5'!T60+'Fund_ZAN 6'!T60</f>
        <v/>
      </c>
      <c r="U38" s="155">
        <f>'Fund_ZAN 1'!U60+'Fund_ZAN 2'!U60+'Fund_ZAN 3'!U60+'Fund_ZAN 4'!U60+'Fund_ZAN 5'!U60+'Fund_ZAN 6'!U60</f>
        <v/>
      </c>
      <c r="V38" s="155">
        <f>'Fund_ZAN 1'!V60+'Fund_ZAN 2'!V60+'Fund_ZAN 3'!V60+'Fund_ZAN 4'!V60+'Fund_ZAN 5'!V60+'Fund_ZAN 6'!V60</f>
        <v/>
      </c>
      <c r="W38" s="155">
        <f>'Fund_ZAN 1'!W60+'Fund_ZAN 2'!W60+'Fund_ZAN 3'!W60+'Fund_ZAN 4'!W60+'Fund_ZAN 5'!W60+'Fund_ZAN 6'!W60</f>
        <v/>
      </c>
      <c r="X38" s="155">
        <f>'Fund_ZAN 1'!X60+'Fund_ZAN 2'!X60+'Fund_ZAN 3'!X60+'Fund_ZAN 4'!X60+'Fund_ZAN 5'!X60+'Fund_ZAN 6'!X60</f>
        <v/>
      </c>
      <c r="Y38" s="155">
        <f>'Fund_ZAN 1'!Y60+'Fund_ZAN 2'!Y60+'Fund_ZAN 3'!Y60+'Fund_ZAN 4'!Y60+'Fund_ZAN 5'!Y60+'Fund_ZAN 6'!Y60</f>
        <v/>
      </c>
      <c r="Z38" s="155">
        <f>'Fund_ZAN 1'!Z60+'Fund_ZAN 2'!Z60+'Fund_ZAN 3'!Z60+'Fund_ZAN 4'!Z60+'Fund_ZAN 5'!Z60+'Fund_ZAN 6'!Z60</f>
        <v/>
      </c>
      <c r="AA38" s="155">
        <f>'Fund_ZAN 1'!AA60+'Fund_ZAN 2'!AA60+'Fund_ZAN 3'!AA60+'Fund_ZAN 4'!AA60+'Fund_ZAN 5'!AA60+'Fund_ZAN 6'!AA60</f>
        <v/>
      </c>
      <c r="AB38" s="155">
        <f>'Fund_ZAN 1'!AB60+'Fund_ZAN 2'!AB60+'Fund_ZAN 3'!AB60+'Fund_ZAN 4'!AB60+'Fund_ZAN 5'!AB60+'Fund_ZAN 6'!AB60</f>
        <v/>
      </c>
      <c r="AC38" s="155">
        <f>'Fund_ZAN 1'!AC60+'Fund_ZAN 2'!AC60+'Fund_ZAN 3'!AC60+'Fund_ZAN 4'!AC60+'Fund_ZAN 5'!AC60+'Fund_ZAN 6'!AC60</f>
        <v/>
      </c>
      <c r="AD38" s="155">
        <f>'Fund_ZAN 1'!AD60+'Fund_ZAN 2'!AD60+'Fund_ZAN 3'!AD60+'Fund_ZAN 4'!AD60+'Fund_ZAN 5'!AD60+'Fund_ZAN 6'!AD60</f>
        <v/>
      </c>
      <c r="AE38" s="155">
        <f>'Fund_ZAN 1'!AE60+'Fund_ZAN 2'!AE60+'Fund_ZAN 3'!AE60+'Fund_ZAN 4'!AE60+'Fund_ZAN 5'!AE60+'Fund_ZAN 6'!AE60</f>
        <v/>
      </c>
      <c r="AF38" s="155">
        <f>'Fund_ZAN 1'!AF60+'Fund_ZAN 2'!AF60+'Fund_ZAN 3'!AF60+'Fund_ZAN 4'!AF60+'Fund_ZAN 5'!AF60+'Fund_ZAN 6'!AF60</f>
        <v/>
      </c>
      <c r="AG38" s="155">
        <f>'Fund_ZAN 1'!AG60+'Fund_ZAN 2'!AG60+'Fund_ZAN 3'!AG60+'Fund_ZAN 4'!AG60+'Fund_ZAN 5'!AG60+'Fund_ZAN 6'!AG60</f>
        <v/>
      </c>
      <c r="AH38" s="155">
        <f>'Fund_ZAN 1'!AH60+'Fund_ZAN 2'!AH60+'Fund_ZAN 3'!AH60+'Fund_ZAN 4'!AH60+'Fund_ZAN 5'!AH60+'Fund_ZAN 6'!AH60</f>
        <v/>
      </c>
      <c r="AI38" s="155">
        <f>'Fund_ZAN 1'!AI60+'Fund_ZAN 2'!AI60+'Fund_ZAN 3'!AI60+'Fund_ZAN 4'!AI60+'Fund_ZAN 5'!AI60+'Fund_ZAN 6'!AI60</f>
        <v/>
      </c>
      <c r="AJ38" s="155">
        <f>'Fund_ZAN 1'!AJ60+'Fund_ZAN 2'!AJ60+'Fund_ZAN 3'!AJ60+'Fund_ZAN 4'!AJ60+'Fund_ZAN 5'!AJ60+'Fund_ZAN 6'!AJ60</f>
        <v/>
      </c>
      <c r="AK38" s="155">
        <f>'Fund_ZAN 1'!AK60+'Fund_ZAN 2'!AK60+'Fund_ZAN 3'!AK60+'Fund_ZAN 4'!AK60+'Fund_ZAN 5'!AK60+'Fund_ZAN 6'!AK60</f>
        <v/>
      </c>
      <c r="AL38" s="155">
        <f>'Fund_ZAN 1'!AL60+'Fund_ZAN 2'!AL60+'Fund_ZAN 3'!AL60+'Fund_ZAN 4'!AL60+'Fund_ZAN 5'!AL60+'Fund_ZAN 6'!AL60</f>
        <v/>
      </c>
      <c r="AM38" s="155">
        <f>'Fund_ZAN 1'!AM60+'Fund_ZAN 2'!AM60+'Fund_ZAN 3'!AM60+'Fund_ZAN 4'!AM60+'Fund_ZAN 5'!AM60+'Fund_ZAN 6'!AM60</f>
        <v/>
      </c>
      <c r="AN38" s="155">
        <f>'Fund_ZAN 1'!AN60+'Fund_ZAN 2'!AN60+'Fund_ZAN 3'!AN60+'Fund_ZAN 4'!AN60+'Fund_ZAN 5'!AN60+'Fund_ZAN 6'!AN60</f>
        <v/>
      </c>
      <c r="AO38" s="155">
        <f>'Fund_ZAN 1'!AO60+'Fund_ZAN 2'!AO60+'Fund_ZAN 3'!AO60+'Fund_ZAN 4'!AO60+'Fund_ZAN 5'!AO60+'Fund_ZAN 6'!AO60</f>
        <v/>
      </c>
      <c r="AP38" s="155">
        <f>'Fund_ZAN 1'!AP60+'Fund_ZAN 2'!AP60+'Fund_ZAN 3'!AP60+'Fund_ZAN 4'!AP60+'Fund_ZAN 5'!AP60+'Fund_ZAN 6'!AP60</f>
        <v/>
      </c>
      <c r="AQ38" s="155">
        <f>'Fund_ZAN 1'!AQ60+'Fund_ZAN 2'!AQ60+'Fund_ZAN 3'!AQ60+'Fund_ZAN 4'!AQ60+'Fund_ZAN 5'!AQ60+'Fund_ZAN 6'!AQ60</f>
        <v/>
      </c>
      <c r="AR38" s="155">
        <f>'Fund_ZAN 1'!AR60+'Fund_ZAN 2'!AR60+'Fund_ZAN 3'!AR60+'Fund_ZAN 4'!AR60+'Fund_ZAN 5'!AR60+'Fund_ZAN 6'!AR60</f>
        <v/>
      </c>
      <c r="AS38" s="155">
        <f>'Fund_ZAN 1'!AS60+'Fund_ZAN 2'!AS60+'Fund_ZAN 3'!AS60+'Fund_ZAN 4'!AS60+'Fund_ZAN 5'!AS60+'Fund_ZAN 6'!AS60</f>
        <v/>
      </c>
      <c r="AT38" s="155">
        <f>'Fund_ZAN 1'!AT60+'Fund_ZAN 2'!AT60+'Fund_ZAN 3'!AT60+'Fund_ZAN 4'!AT60+'Fund_ZAN 5'!AT60+'Fund_ZAN 6'!AT60</f>
        <v/>
      </c>
      <c r="AU38" s="155">
        <f>'Fund_ZAN 1'!AU60+'Fund_ZAN 2'!AU60+'Fund_ZAN 3'!AU60+'Fund_ZAN 4'!AU60+'Fund_ZAN 5'!AU60+'Fund_ZAN 6'!AU60</f>
        <v/>
      </c>
      <c r="AV38" s="155">
        <f>'Fund_ZAN 1'!AV60+'Fund_ZAN 2'!AV60+'Fund_ZAN 3'!AV60+'Fund_ZAN 4'!AV60+'Fund_ZAN 5'!AV60+'Fund_ZAN 6'!AV60</f>
        <v/>
      </c>
      <c r="AW38" s="155">
        <f>'Fund_ZAN 1'!AW60+'Fund_ZAN 2'!AW60+'Fund_ZAN 3'!AW60+'Fund_ZAN 4'!AW60+'Fund_ZAN 5'!AW60+'Fund_ZAN 6'!AW60</f>
        <v/>
      </c>
      <c r="AX38" s="155">
        <f>'Fund_ZAN 1'!AX60+'Fund_ZAN 2'!AX60+'Fund_ZAN 3'!AX60+'Fund_ZAN 4'!AX60+'Fund_ZAN 5'!AX60+'Fund_ZAN 6'!AX60</f>
        <v/>
      </c>
      <c r="AY38" s="155">
        <f>'Fund_ZAN 1'!AY60+'Fund_ZAN 2'!AY60+'Fund_ZAN 3'!AY60+'Fund_ZAN 4'!AY60+'Fund_ZAN 5'!AY60+'Fund_ZAN 6'!AY60</f>
        <v/>
      </c>
      <c r="AZ38" s="155">
        <f>'Fund_ZAN 1'!AZ60+'Fund_ZAN 2'!AZ60+'Fund_ZAN 3'!AZ60+'Fund_ZAN 4'!AZ60+'Fund_ZAN 5'!AZ60+'Fund_ZAN 6'!AZ60</f>
        <v/>
      </c>
      <c r="BA38" s="155">
        <f>'Fund_ZAN 1'!BA60+'Fund_ZAN 2'!BA60+'Fund_ZAN 3'!BA60+'Fund_ZAN 4'!BA60+'Fund_ZAN 5'!BA60+'Fund_ZAN 6'!BA60</f>
        <v/>
      </c>
      <c r="BB38" s="155">
        <f>'Fund_ZAN 1'!BB60+'Fund_ZAN 2'!BB60+'Fund_ZAN 3'!BB60+'Fund_ZAN 4'!BB60+'Fund_ZAN 5'!BB60+'Fund_ZAN 6'!BB60</f>
        <v/>
      </c>
    </row>
    <row r="40" ht="15" customHeight="1" s="91">
      <c r="B40" s="110" t="inlineStr">
        <is>
          <t>Net Operating Income (NOI)  صافي الدخل التشغيلي</t>
        </is>
      </c>
      <c r="C40" s="153" t="inlineStr">
        <is>
          <t>SAR</t>
        </is>
      </c>
      <c r="D40" s="157">
        <f>SUM(E40:BB40)</f>
        <v/>
      </c>
      <c r="E40" s="160">
        <f>E26+E27</f>
        <v/>
      </c>
      <c r="F40" s="160">
        <f>F26+F27</f>
        <v/>
      </c>
      <c r="G40" s="160">
        <f>G26+G27</f>
        <v/>
      </c>
      <c r="H40" s="160">
        <f>H26+H27</f>
        <v/>
      </c>
      <c r="I40" s="160">
        <f>I26+I27</f>
        <v/>
      </c>
      <c r="J40" s="160">
        <f>J26+J27</f>
        <v/>
      </c>
      <c r="K40" s="160">
        <f>K26+K27</f>
        <v/>
      </c>
      <c r="L40" s="160">
        <f>L26+L27</f>
        <v/>
      </c>
      <c r="M40" s="160">
        <f>M26+M27</f>
        <v/>
      </c>
      <c r="N40" s="160">
        <f>N26+N27</f>
        <v/>
      </c>
      <c r="O40" s="160">
        <f>O26+O27</f>
        <v/>
      </c>
      <c r="P40" s="160">
        <f>P26+P27</f>
        <v/>
      </c>
      <c r="Q40" s="160">
        <f>Q26+Q27</f>
        <v/>
      </c>
      <c r="R40" s="160">
        <f>R26+R27</f>
        <v/>
      </c>
      <c r="S40" s="160">
        <f>S26+S27</f>
        <v/>
      </c>
      <c r="T40" s="160">
        <f>T26+T27</f>
        <v/>
      </c>
      <c r="U40" s="160">
        <f>U26+U27</f>
        <v/>
      </c>
      <c r="V40" s="160">
        <f>V26+V27</f>
        <v/>
      </c>
      <c r="W40" s="160">
        <f>W26+W27</f>
        <v/>
      </c>
      <c r="X40" s="160">
        <f>X26+X27</f>
        <v/>
      </c>
      <c r="Y40" s="160">
        <f>Y26+Y27</f>
        <v/>
      </c>
      <c r="Z40" s="160">
        <f>Z26+Z27</f>
        <v/>
      </c>
      <c r="AA40" s="160">
        <f>AA26+AA27</f>
        <v/>
      </c>
      <c r="AB40" s="160">
        <f>AB26+AB27</f>
        <v/>
      </c>
      <c r="AC40" s="160">
        <f>AC26+AC27</f>
        <v/>
      </c>
      <c r="AD40" s="160">
        <f>AD26+AD27</f>
        <v/>
      </c>
      <c r="AE40" s="160">
        <f>AE26+AE27</f>
        <v/>
      </c>
      <c r="AF40" s="160">
        <f>AF26+AF27</f>
        <v/>
      </c>
      <c r="AG40" s="160">
        <f>AG26+AG27</f>
        <v/>
      </c>
      <c r="AH40" s="160">
        <f>AH26+AH27</f>
        <v/>
      </c>
      <c r="AI40" s="160">
        <f>AI26+AI27</f>
        <v/>
      </c>
      <c r="AJ40" s="160">
        <f>AJ26+AJ27</f>
        <v/>
      </c>
      <c r="AK40" s="160">
        <f>AK26+AK27</f>
        <v/>
      </c>
      <c r="AL40" s="160">
        <f>AL26+AL27</f>
        <v/>
      </c>
      <c r="AM40" s="160">
        <f>AM26+AM27</f>
        <v/>
      </c>
      <c r="AN40" s="160">
        <f>AN26+AN27</f>
        <v/>
      </c>
      <c r="AO40" s="160">
        <f>AO26+AO27</f>
        <v/>
      </c>
      <c r="AP40" s="160">
        <f>AP26+AP27</f>
        <v/>
      </c>
      <c r="AQ40" s="160">
        <f>AQ26+AQ27</f>
        <v/>
      </c>
      <c r="AR40" s="160">
        <f>AR26+AR27</f>
        <v/>
      </c>
      <c r="AS40" s="160">
        <f>AS26+AS27</f>
        <v/>
      </c>
      <c r="AT40" s="160">
        <f>AT26+AT27</f>
        <v/>
      </c>
      <c r="AU40" s="160">
        <f>AU26+AU27</f>
        <v/>
      </c>
      <c r="AV40" s="160">
        <f>AV26+AV27</f>
        <v/>
      </c>
      <c r="AW40" s="160">
        <f>AW26+AW27</f>
        <v/>
      </c>
      <c r="AX40" s="160">
        <f>AX26+AX27</f>
        <v/>
      </c>
      <c r="AY40" s="160">
        <f>AY26+AY27</f>
        <v/>
      </c>
      <c r="AZ40" s="160">
        <f>AZ26+AZ27</f>
        <v/>
      </c>
      <c r="BA40" s="160">
        <f>BA26+BA27</f>
        <v/>
      </c>
      <c r="BB40" s="160">
        <f>BB26+BB27</f>
        <v/>
      </c>
    </row>
    <row r="41" ht="15" customHeight="1" s="91">
      <c r="B41" s="110" t="inlineStr">
        <is>
          <t>DSCR  نسبة تغطية خدمة الدين</t>
        </is>
      </c>
      <c r="C41" s="153" t="inlineStr">
        <is>
          <t>x</t>
        </is>
      </c>
      <c r="E41" s="172">
        <f>IF(ABS(E36)&lt;1,9999,E40/ABS(E36))</f>
        <v/>
      </c>
      <c r="F41" s="172">
        <f>IF(ABS(F36)&lt;1,9999,F40/ABS(F36))</f>
        <v/>
      </c>
      <c r="G41" s="172">
        <f>IF(ABS(G36)&lt;1,9999,G40/ABS(G36))</f>
        <v/>
      </c>
      <c r="H41" s="172">
        <f>IF(ABS(H36)&lt;1,9999,H40/ABS(H36))</f>
        <v/>
      </c>
      <c r="I41" s="172">
        <f>IF(ABS(I36)&lt;1,9999,I40/ABS(I36))</f>
        <v/>
      </c>
      <c r="J41" s="172">
        <f>IF(ABS(J36)&lt;1,9999,J40/ABS(J36))</f>
        <v/>
      </c>
      <c r="K41" s="172">
        <f>IF(ABS(K36)&lt;1,9999,K40/ABS(K36))</f>
        <v/>
      </c>
      <c r="L41" s="172">
        <f>IF(ABS(L36)&lt;1,9999,L40/ABS(L36))</f>
        <v/>
      </c>
      <c r="M41" s="172">
        <f>IF(ABS(M36)&lt;1,9999,M40/ABS(M36))</f>
        <v/>
      </c>
      <c r="N41" s="172">
        <f>IF(ABS(N36)&lt;1,9999,N40/ABS(N36))</f>
        <v/>
      </c>
      <c r="O41" s="172">
        <f>IF(ABS(O36)&lt;1,9999,O40/ABS(O36))</f>
        <v/>
      </c>
      <c r="P41" s="172">
        <f>IF(ABS(P36)&lt;1,9999,P40/ABS(P36))</f>
        <v/>
      </c>
      <c r="Q41" s="172">
        <f>IF(ABS(Q36)&lt;1,9999,Q40/ABS(Q36))</f>
        <v/>
      </c>
      <c r="R41" s="172">
        <f>IF(ABS(R36)&lt;1,9999,R40/ABS(R36))</f>
        <v/>
      </c>
      <c r="S41" s="172">
        <f>IF(ABS(S36)&lt;1,9999,S40/ABS(S36))</f>
        <v/>
      </c>
      <c r="T41" s="172">
        <f>IF(ABS(T36)&lt;1,9999,T40/ABS(T36))</f>
        <v/>
      </c>
      <c r="U41" s="172">
        <f>IF(ABS(U36)&lt;1,9999,U40/ABS(U36))</f>
        <v/>
      </c>
      <c r="V41" s="172">
        <f>IF(ABS(V36)&lt;1,9999,V40/ABS(V36))</f>
        <v/>
      </c>
      <c r="W41" s="172">
        <f>IF(ABS(W36)&lt;1,9999,W40/ABS(W36))</f>
        <v/>
      </c>
      <c r="X41" s="172">
        <f>IF(ABS(X36)&lt;1,9999,X40/ABS(X36))</f>
        <v/>
      </c>
      <c r="Y41" s="172">
        <f>IF(ABS(Y36)&lt;1,9999,Y40/ABS(Y36))</f>
        <v/>
      </c>
      <c r="Z41" s="172">
        <f>IF(ABS(Z36)&lt;1,9999,Z40/ABS(Z36))</f>
        <v/>
      </c>
      <c r="AA41" s="172">
        <f>IF(ABS(AA36)&lt;1,9999,AA40/ABS(AA36))</f>
        <v/>
      </c>
      <c r="AB41" s="172">
        <f>IF(ABS(AB36)&lt;1,9999,AB40/ABS(AB36))</f>
        <v/>
      </c>
      <c r="AC41" s="172">
        <f>IF(ABS(AC36)&lt;1,9999,AC40/ABS(AC36))</f>
        <v/>
      </c>
      <c r="AD41" s="172">
        <f>IF(ABS(AD36)&lt;1,9999,AD40/ABS(AD36))</f>
        <v/>
      </c>
      <c r="AE41" s="172">
        <f>IF(ABS(AE36)&lt;1,9999,AE40/ABS(AE36))</f>
        <v/>
      </c>
      <c r="AF41" s="172">
        <f>IF(ABS(AF36)&lt;1,9999,AF40/ABS(AF36))</f>
        <v/>
      </c>
      <c r="AG41" s="172">
        <f>IF(ABS(AG36)&lt;1,9999,AG40/ABS(AG36))</f>
        <v/>
      </c>
      <c r="AH41" s="172">
        <f>IF(ABS(AH36)&lt;1,9999,AH40/ABS(AH36))</f>
        <v/>
      </c>
      <c r="AI41" s="172">
        <f>IF(ABS(AI36)&lt;1,9999,AI40/ABS(AI36))</f>
        <v/>
      </c>
      <c r="AJ41" s="172">
        <f>IF(ABS(AJ36)&lt;1,9999,AJ40/ABS(AJ36))</f>
        <v/>
      </c>
      <c r="AK41" s="172">
        <f>IF(ABS(AK36)&lt;1,9999,AK40/ABS(AK36))</f>
        <v/>
      </c>
      <c r="AL41" s="172">
        <f>IF(ABS(AL36)&lt;1,9999,AL40/ABS(AL36))</f>
        <v/>
      </c>
      <c r="AM41" s="172">
        <f>IF(ABS(AM36)&lt;1,9999,AM40/ABS(AM36))</f>
        <v/>
      </c>
      <c r="AN41" s="172">
        <f>IF(ABS(AN36)&lt;1,9999,AN40/ABS(AN36))</f>
        <v/>
      </c>
      <c r="AO41" s="172">
        <f>IF(ABS(AO36)&lt;1,9999,AO40/ABS(AO36))</f>
        <v/>
      </c>
      <c r="AP41" s="172">
        <f>IF(ABS(AP36)&lt;1,9999,AP40/ABS(AP36))</f>
        <v/>
      </c>
      <c r="AQ41" s="172">
        <f>IF(ABS(AQ36)&lt;1,9999,AQ40/ABS(AQ36))</f>
        <v/>
      </c>
      <c r="AR41" s="172">
        <f>IF(ABS(AR36)&lt;1,9999,AR40/ABS(AR36))</f>
        <v/>
      </c>
      <c r="AS41" s="172">
        <f>IF(ABS(AS36)&lt;1,9999,AS40/ABS(AS36))</f>
        <v/>
      </c>
      <c r="AT41" s="172">
        <f>IF(ABS(AT36)&lt;1,9999,AT40/ABS(AT36))</f>
        <v/>
      </c>
      <c r="AU41" s="172">
        <f>IF(ABS(AU36)&lt;1,9999,AU40/ABS(AU36))</f>
        <v/>
      </c>
      <c r="AV41" s="172">
        <f>IF(ABS(AV36)&lt;1,9999,AV40/ABS(AV36))</f>
        <v/>
      </c>
      <c r="AW41" s="172">
        <f>IF(ABS(AW36)&lt;1,9999,AW40/ABS(AW36))</f>
        <v/>
      </c>
      <c r="AX41" s="172">
        <f>IF(ABS(AX36)&lt;1,9999,AX40/ABS(AX36))</f>
        <v/>
      </c>
      <c r="AY41" s="172">
        <f>IF(ABS(AY36)&lt;1,9999,AY40/ABS(AY36))</f>
        <v/>
      </c>
      <c r="AZ41" s="172">
        <f>IF(ABS(AZ36)&lt;1,9999,AZ40/ABS(AZ36))</f>
        <v/>
      </c>
      <c r="BA41" s="172">
        <f>IF(ABS(BA36)&lt;1,9999,BA40/ABS(BA36))</f>
        <v/>
      </c>
      <c r="BB41" s="172">
        <f>IF(ABS(BB36)&lt;1,9999,BB40/ABS(BB36))</f>
        <v/>
      </c>
    </row>
    <row r="42" ht="15" customHeight="1" s="91">
      <c r="B42" s="110" t="inlineStr">
        <is>
          <t>Minimum DSCR  أدنى نسبة تغطية</t>
        </is>
      </c>
      <c r="C42" s="168">
        <f>MIN(E41:BB41)</f>
        <v/>
      </c>
    </row>
    <row r="43" ht="15" customHeight="1" s="91">
      <c r="B43" s="110" t="inlineStr">
        <is>
          <t>Average DSCR  متوسط نسبة تغطية</t>
        </is>
      </c>
      <c r="C43" s="168">
        <f>AVERAGEIF(E41:BB41,"&lt;9999")</f>
        <v/>
      </c>
    </row>
    <row r="45" ht="15" customHeight="1" s="91">
      <c r="A45" s="152" t="inlineStr">
        <is>
          <t>6  SOURCES &amp; USES  المصادر والاستخدامات</t>
        </is>
      </c>
      <c r="B45" s="152" t="n"/>
      <c r="C45" s="152" t="n"/>
      <c r="D45" s="152" t="n"/>
      <c r="E45" s="152" t="n"/>
      <c r="F45" s="152" t="n"/>
      <c r="G45" s="152" t="n"/>
      <c r="H45" s="152" t="n"/>
      <c r="I45" s="152" t="n"/>
      <c r="J45" s="152" t="n"/>
      <c r="K45" s="152" t="n"/>
      <c r="L45" s="152" t="n"/>
      <c r="M45" s="152" t="n"/>
      <c r="N45" s="152" t="n"/>
      <c r="O45" s="152" t="n"/>
      <c r="P45" s="152" t="n"/>
      <c r="Q45" s="152" t="n"/>
      <c r="R45" s="152" t="n"/>
      <c r="S45" s="152" t="n"/>
      <c r="T45" s="152" t="n"/>
      <c r="U45" s="152" t="n"/>
      <c r="V45" s="152" t="n"/>
      <c r="W45" s="152" t="n"/>
      <c r="X45" s="152" t="n"/>
      <c r="Y45" s="152" t="n"/>
      <c r="Z45" s="152" t="n"/>
      <c r="AA45" s="152" t="n"/>
      <c r="AB45" s="152" t="n"/>
      <c r="AC45" s="152" t="n"/>
      <c r="AD45" s="152" t="n"/>
      <c r="AE45" s="152" t="n"/>
      <c r="AF45" s="152" t="n"/>
      <c r="AG45" s="152" t="n"/>
      <c r="AH45" s="152" t="n"/>
      <c r="AI45" s="152" t="n"/>
      <c r="AJ45" s="152" t="n"/>
      <c r="AK45" s="152" t="n"/>
      <c r="AL45" s="152" t="n"/>
      <c r="AM45" s="152" t="n"/>
      <c r="AN45" s="152" t="n"/>
      <c r="AO45" s="152" t="n"/>
      <c r="AP45" s="152" t="n"/>
      <c r="AQ45" s="152" t="n"/>
      <c r="AR45" s="152" t="n"/>
      <c r="AS45" s="152" t="n"/>
      <c r="AT45" s="152" t="n"/>
      <c r="AU45" s="152" t="n"/>
      <c r="AV45" s="152" t="n"/>
      <c r="AW45" s="152" t="n"/>
      <c r="AX45" s="152" t="n"/>
      <c r="AY45" s="152" t="n"/>
      <c r="AZ45" s="152" t="n"/>
      <c r="BA45" s="152" t="n"/>
      <c r="BB45" s="152" t="n"/>
    </row>
    <row r="47" ht="15" customHeight="1" s="91">
      <c r="B47" s="110" t="inlineStr">
        <is>
          <t>SOURCES  المصادر</t>
        </is>
      </c>
    </row>
    <row r="48" ht="15" customHeight="1" s="91">
      <c r="B48" s="153" t="inlineStr">
        <is>
          <t>Senior Debt</t>
        </is>
      </c>
      <c r="C48" s="155">
        <f>C13</f>
        <v/>
      </c>
      <c r="D48" s="161">
        <f>IF(C50=0,0,C48/C50)</f>
        <v/>
      </c>
    </row>
    <row r="49" ht="15" customHeight="1" s="91">
      <c r="B49" s="153" t="inlineStr">
        <is>
          <t>Equity (GP + LP)</t>
        </is>
      </c>
      <c r="C49" s="155">
        <f>C12</f>
        <v/>
      </c>
      <c r="D49" s="161">
        <f>IF(C50=0,0,C49/C50)</f>
        <v/>
      </c>
    </row>
    <row r="50" ht="15" customHeight="1" s="91">
      <c r="B50" s="110" t="inlineStr">
        <is>
          <t>Total Sources</t>
        </is>
      </c>
      <c r="C50" s="157">
        <f>C48+C49</f>
        <v/>
      </c>
      <c r="D50" s="167">
        <f>D48+D49</f>
        <v/>
      </c>
    </row>
    <row r="52" ht="15" customHeight="1" s="91">
      <c r="B52" s="110" t="inlineStr">
        <is>
          <t>USES  الاستخدامات</t>
        </is>
      </c>
    </row>
    <row r="53" ht="15" customHeight="1" s="91">
      <c r="B53" s="153" t="inlineStr">
        <is>
          <t>Development Cost (incl. Land)</t>
        </is>
      </c>
      <c r="C53" s="155">
        <f>C11</f>
        <v/>
      </c>
      <c r="D53" s="161">
        <f>IF(C55=0,0,C53/C55)</f>
        <v/>
      </c>
    </row>
    <row r="54" ht="15" customHeight="1" s="91">
      <c r="B54" s="173" t="inlineStr">
        <is>
          <t>Total Fees (memo)</t>
        </is>
      </c>
      <c r="C54" s="155">
        <f>'Fund_ZAN 1'!D69+'Fund_ZAN 2'!D69+'Fund_ZAN 3'!D69+'Fund_ZAN 4'!D69+'Fund_ZAN 5'!D69+'Fund_ZAN 6'!D69</f>
        <v/>
      </c>
    </row>
    <row r="55" ht="15" customHeight="1" s="91">
      <c r="B55" s="110" t="inlineStr">
        <is>
          <t>Total Uses</t>
        </is>
      </c>
      <c r="C55" s="157">
        <f>C53</f>
        <v/>
      </c>
      <c r="D55" s="167">
        <f>SUM(D53)</f>
        <v/>
      </c>
    </row>
    <row r="57" ht="15" customHeight="1" s="91">
      <c r="A57" s="152" t="inlineStr">
        <is>
          <t>7  CHECKS  فحوصات النموذج</t>
        </is>
      </c>
      <c r="B57" s="152" t="n"/>
      <c r="C57" s="152" t="n"/>
      <c r="D57" s="152" t="n"/>
      <c r="E57" s="152" t="n"/>
      <c r="F57" s="152" t="n"/>
      <c r="G57" s="152" t="n"/>
      <c r="H57" s="152" t="n"/>
      <c r="I57" s="152" t="n"/>
      <c r="J57" s="152" t="n"/>
      <c r="K57" s="152" t="n"/>
      <c r="L57" s="152" t="n"/>
      <c r="M57" s="152" t="n"/>
      <c r="N57" s="152" t="n"/>
      <c r="O57" s="152" t="n"/>
      <c r="P57" s="152" t="n"/>
      <c r="Q57" s="152" t="n"/>
      <c r="R57" s="152" t="n"/>
      <c r="S57" s="152" t="n"/>
      <c r="T57" s="152" t="n"/>
      <c r="U57" s="152" t="n"/>
      <c r="V57" s="152" t="n"/>
      <c r="W57" s="152" t="n"/>
      <c r="X57" s="152" t="n"/>
      <c r="Y57" s="152" t="n"/>
      <c r="Z57" s="152" t="n"/>
      <c r="AA57" s="152" t="n"/>
      <c r="AB57" s="152" t="n"/>
      <c r="AC57" s="152" t="n"/>
      <c r="AD57" s="152" t="n"/>
      <c r="AE57" s="152" t="n"/>
      <c r="AF57" s="152" t="n"/>
      <c r="AG57" s="152" t="n"/>
      <c r="AH57" s="152" t="n"/>
      <c r="AI57" s="152" t="n"/>
      <c r="AJ57" s="152" t="n"/>
      <c r="AK57" s="152" t="n"/>
      <c r="AL57" s="152" t="n"/>
      <c r="AM57" s="152" t="n"/>
      <c r="AN57" s="152" t="n"/>
      <c r="AO57" s="152" t="n"/>
      <c r="AP57" s="152" t="n"/>
      <c r="AQ57" s="152" t="n"/>
      <c r="AR57" s="152" t="n"/>
      <c r="AS57" s="152" t="n"/>
      <c r="AT57" s="152" t="n"/>
      <c r="AU57" s="152" t="n"/>
      <c r="AV57" s="152" t="n"/>
      <c r="AW57" s="152" t="n"/>
      <c r="AX57" s="152" t="n"/>
      <c r="AY57" s="152" t="n"/>
      <c r="AZ57" s="152" t="n"/>
      <c r="BA57" s="152" t="n"/>
      <c r="BB57" s="152" t="n"/>
    </row>
    <row r="58" ht="15" customHeight="1" s="91">
      <c r="B58" s="153" t="inlineStr">
        <is>
          <t>LTV ≤ Max LTV</t>
        </is>
      </c>
      <c r="C58" s="153">
        <f>IF(C15&lt;=C21+0.001,"✓","✗")</f>
        <v/>
      </c>
    </row>
    <row r="59" ht="15" customHeight="1" s="91">
      <c r="B59" s="153" t="inlineStr">
        <is>
          <t>Sources ≈ Dev Cost (±5%)</t>
        </is>
      </c>
      <c r="C59" s="153">
        <f>IF(ABS(C50-C55)&lt;C50*0.01,"✓","✗")</f>
        <v/>
      </c>
    </row>
    <row r="60" ht="15" customHeight="1" s="91">
      <c r="B60" s="153" t="inlineStr">
        <is>
          <t>DSCR &gt; 1.0x (post-stabilization)</t>
        </is>
      </c>
      <c r="C60" s="153">
        <f>IF(IFERROR(LOOKUP(2,1/(E41:BB41&lt;9999),E41:BB41),0)&gt;=1,"✓","✗")</f>
        <v/>
      </c>
    </row>
    <row r="61" ht="15" customHeight="1" s="91">
      <c r="B61" s="153" t="inlineStr">
        <is>
          <t>Debt fully repaid</t>
        </is>
      </c>
      <c r="C61" s="153">
        <f>IF(IFERROR(MIN(E38:BB38),0)&gt;=0,"✓","✗")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2">
    <dataValidation sqref="C5" showDropDown="0" showInputMessage="0" showErrorMessage="0" allowBlank="0" type="list" errorStyle="stop" operator="between">
      <formula1>"All,ZAN 1,ZAN 2,ZAN 3,ZAN 4,ZAN 5,ZAN 6"</formula1>
      <formula2>0</formula2>
    </dataValidation>
    <dataValidation sqref="C22" showDropDown="0" showInputMessage="0" showErrorMessage="0" allowBlank="0" type="list" errorStyle="stop" operator="between">
      <formula1>"Equal Installment,Bullet,Balloon"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90" min="1" max="1"/>
    <col width="45" customWidth="1" style="90" min="2" max="2"/>
    <col width="12" customWidth="1" style="90" min="3" max="3"/>
    <col width="50" customWidth="1" style="90" min="4" max="4"/>
    <col width="14" customWidth="1" style="90" min="5" max="5"/>
  </cols>
  <sheetData>
    <row r="1" ht="16.5" customHeight="1" s="91">
      <c r="A1" s="174" t="inlineStr">
        <is>
          <t>MODEL INTEGRITY CHECKS  فحوصات سلامة النموذج</t>
        </is>
      </c>
    </row>
    <row r="2" ht="15" customHeight="1" s="91">
      <c r="A2" s="120" t="inlineStr">
        <is>
          <t>Consolidated checks across all sheets  فحوصات مجمعة من كل الشيتات</t>
        </is>
      </c>
    </row>
    <row r="4" ht="15" customHeight="1" s="91">
      <c r="A4" s="152" t="inlineStr">
        <is>
          <t>A  PROJECT LEVEL CHECKS  فحوصات على مستوى المشروع</t>
        </is>
      </c>
      <c r="B4" s="152" t="n"/>
      <c r="C4" s="152" t="n"/>
      <c r="D4" s="152" t="n"/>
      <c r="E4" s="152" t="n"/>
      <c r="F4" s="152" t="n"/>
    </row>
    <row r="5" ht="15" customHeight="1" s="91">
      <c r="A5" s="175" t="inlineStr">
        <is>
          <t>#</t>
        </is>
      </c>
      <c r="B5" s="175" t="inlineStr">
        <is>
          <t>Check  الفحص</t>
        </is>
      </c>
      <c r="C5" s="175" t="inlineStr">
        <is>
          <t>Status</t>
        </is>
      </c>
      <c r="D5" s="175" t="inlineStr">
        <is>
          <t>Description  الوصف</t>
        </is>
      </c>
      <c r="E5" s="175" t="inlineStr">
        <is>
          <t>Reference</t>
        </is>
      </c>
    </row>
    <row r="6" ht="15" customHeight="1" s="91">
      <c r="A6" s="153" t="n">
        <v>1</v>
      </c>
      <c r="B6" s="153" t="inlineStr">
        <is>
          <t>GFA Total Match</t>
        </is>
      </c>
      <c r="C6" s="153">
        <f>IF(ABS(Program!H34-SUMPRODUCT(Program!H4:H33))&lt;=1,"PASS","FAIL")</f>
        <v/>
      </c>
      <c r="D6" s="120" t="inlineStr">
        <is>
          <t>GFA total matches sum of assets  مجموع المساحات يطابق</t>
        </is>
      </c>
    </row>
    <row r="7" ht="15" customHeight="1" s="91">
      <c r="A7" s="153" t="n">
        <v>2</v>
      </c>
      <c r="B7" s="153" t="inlineStr">
        <is>
          <t>No Negative GFA</t>
        </is>
      </c>
      <c r="C7" s="153">
        <f>IF(MIN(Program!H4:H33)&gt;=0,"PASS","FAIL")</f>
        <v/>
      </c>
      <c r="D7" s="120" t="inlineStr">
        <is>
          <t>No negative GFA values  لا توجد مساحات سالبة</t>
        </is>
      </c>
    </row>
    <row r="8" ht="15" customHeight="1" s="91">
      <c r="A8" s="153" t="n">
        <v>3</v>
      </c>
      <c r="B8" s="153" t="inlineStr">
        <is>
          <t>Land Alloc = 100%</t>
        </is>
      </c>
      <c r="C8" s="153">
        <f>IF(ABS(Inputs!E60-1)&lt;0.001,"PASS","FAIL")</f>
        <v/>
      </c>
      <c r="D8" s="120" t="inlineStr">
        <is>
          <t>Phase allocation sums to 100%  مجموع التوزيع = 100%</t>
        </is>
      </c>
    </row>
    <row r="9" ht="15" customHeight="1" s="91">
      <c r="A9" s="153" t="n">
        <v>4</v>
      </c>
      <c r="B9" s="153" t="inlineStr">
        <is>
          <t>CAPEX Reconciles</t>
        </is>
      </c>
      <c r="C9" s="153">
        <f>IF(ABS(CAPEX!D52-Program!T34)&lt;1,"PASS","FAIL")</f>
        <v/>
      </c>
      <c r="D9" s="120" t="inlineStr">
        <is>
          <t>CAPEX schedule total matches Program  التكاليف تطابق</t>
        </is>
      </c>
    </row>
    <row r="10" ht="15" customHeight="1" s="91">
      <c r="A10" s="153" t="n">
        <v>5</v>
      </c>
      <c r="B10" s="153" t="inlineStr">
        <is>
          <t>Revenue &gt; 0 (active phases)</t>
        </is>
      </c>
      <c r="C10" s="153">
        <f>IF(Revenue!D36&gt;0,"PASS","FAIL")</f>
        <v/>
      </c>
      <c r="D10" s="120" t="inlineStr">
        <is>
          <t>ZAN 1 generates revenue  إيرادات المرحلة الأولى</t>
        </is>
      </c>
    </row>
    <row r="11" ht="15" customHeight="1" s="91">
      <c r="A11" s="153" t="n">
        <v>6</v>
      </c>
      <c r="B11" s="153" t="inlineStr">
        <is>
          <t>CashFlow Reconciles</t>
        </is>
      </c>
      <c r="C11" s="153">
        <f>IF(ABS(CashFlow!C113-(CashFlow!C110+CashFlow!C111+CashFlow!C112))&lt;1,"PASS","FAIL")</f>
        <v/>
      </c>
      <c r="D11" s="120" t="inlineStr">
        <is>
          <t>Net CF = Income + Land Rent + CAPEX  التدفق الصافي يطابق</t>
        </is>
      </c>
    </row>
    <row r="12" ht="15" customHeight="1" s="91">
      <c r="A12" s="153" t="n">
        <v>7</v>
      </c>
      <c r="B12" s="153" t="inlineStr">
        <is>
          <t>IRR Computed</t>
        </is>
      </c>
      <c r="C12" s="153">
        <f>IF(ISNUMBER(CashFlow!C115),"PASS","FAIL")</f>
        <v/>
      </c>
      <c r="D12" s="120" t="inlineStr">
        <is>
          <t>Consolidated IRR computes successfully  IRR محسوب</t>
        </is>
      </c>
    </row>
    <row r="13" ht="15" customHeight="1" s="91">
      <c r="A13" s="153" t="n">
        <v>8</v>
      </c>
      <c r="B13" s="153" t="inlineStr">
        <is>
          <t>NPV @ 10% Computed</t>
        </is>
      </c>
      <c r="C13" s="153">
        <f>IF(ISNUMBER(CashFlow!C119),"PASS","FAIL")</f>
        <v/>
      </c>
      <c r="D13" s="120" t="inlineStr">
        <is>
          <t>NPV @ 10% computes successfully</t>
        </is>
      </c>
    </row>
    <row r="14" ht="15" customHeight="1" s="91">
      <c r="A14" s="153" t="n">
        <v>9</v>
      </c>
      <c r="B14" s="153" t="inlineStr">
        <is>
          <t>Payback Period Valid</t>
        </is>
      </c>
      <c r="C14" s="153">
        <f>IF(AND(ISNUMBER(CashFlow!C123),CashFlow!C123&gt;0,CashFlow!C123&lt;=50),"PASS","FAIL")</f>
        <v/>
      </c>
      <c r="D14" s="120" t="inlineStr">
        <is>
          <t>Payback period within horizon  فترة الاسترداد ضمن الأفق</t>
        </is>
      </c>
    </row>
    <row r="16" ht="15" customHeight="1" s="91">
      <c r="A16" s="152" t="inlineStr">
        <is>
          <t>B  FUND LEVEL CHECKS  فحوصات الصناديق (لكل مرحلة)</t>
        </is>
      </c>
      <c r="B16" s="152" t="n"/>
      <c r="C16" s="152" t="n"/>
      <c r="D16" s="152" t="n"/>
      <c r="E16" s="152" t="n"/>
      <c r="F16" s="152" t="n"/>
    </row>
    <row r="17" ht="15" customHeight="1" s="91">
      <c r="A17" s="175" t="inlineStr">
        <is>
          <t>#</t>
        </is>
      </c>
      <c r="B17" s="175" t="inlineStr">
        <is>
          <t>Check  الفحص</t>
        </is>
      </c>
      <c r="C17" s="175" t="inlineStr">
        <is>
          <t>ZAN 1</t>
        </is>
      </c>
      <c r="D17" s="175" t="inlineStr">
        <is>
          <t>ZAN 2</t>
        </is>
      </c>
      <c r="E17" s="175" t="inlineStr">
        <is>
          <t>ZAN 3</t>
        </is>
      </c>
      <c r="F17" s="175" t="inlineStr">
        <is>
          <t>ZAN 4</t>
        </is>
      </c>
      <c r="G17" s="175" t="inlineStr">
        <is>
          <t>ZAN 5</t>
        </is>
      </c>
      <c r="H17" s="175" t="inlineStr">
        <is>
          <t>ZAN 6</t>
        </is>
      </c>
    </row>
    <row r="18" ht="15" customHeight="1" s="91">
      <c r="A18" s="153" t="n">
        <v>1</v>
      </c>
      <c r="B18" s="153" t="inlineStr">
        <is>
          <t>Net CF = Inc+Land+CAPEX</t>
        </is>
      </c>
      <c r="C18" s="112">
        <f>'Fund_ZAN 1'!C119</f>
        <v/>
      </c>
      <c r="D18" s="112">
        <f>'Fund_ZAN 2'!C119</f>
        <v/>
      </c>
      <c r="E18" s="112">
        <f>'Fund_ZAN 3'!C119</f>
        <v/>
      </c>
      <c r="F18" s="112">
        <f>'Fund_ZAN 4'!C119</f>
        <v/>
      </c>
      <c r="G18" s="112">
        <f>'Fund_ZAN 5'!C119</f>
        <v/>
      </c>
      <c r="H18" s="112">
        <f>'Fund_ZAN 6'!C119</f>
        <v/>
      </c>
    </row>
    <row r="19" ht="15" customHeight="1" s="91">
      <c r="A19" s="153" t="n">
        <v>2</v>
      </c>
      <c r="B19" s="153" t="inlineStr">
        <is>
          <t>Equity Calls = Eq+UF</t>
        </is>
      </c>
      <c r="C19" s="112">
        <f>'Fund_ZAN 1'!C120</f>
        <v/>
      </c>
      <c r="D19" s="112">
        <f>'Fund_ZAN 2'!C120</f>
        <v/>
      </c>
      <c r="E19" s="112">
        <f>'Fund_ZAN 3'!C120</f>
        <v/>
      </c>
      <c r="F19" s="112">
        <f>'Fund_ZAN 4'!C120</f>
        <v/>
      </c>
      <c r="G19" s="112">
        <f>'Fund_ZAN 5'!C120</f>
        <v/>
      </c>
      <c r="H19" s="112">
        <f>'Fund_ZAN 6'!C120</f>
        <v/>
      </c>
    </row>
    <row r="20" ht="15" customHeight="1" s="91">
      <c r="A20" s="153" t="n">
        <v>3</v>
      </c>
      <c r="B20" s="153" t="inlineStr">
        <is>
          <t>Dist ≤ Cash Available</t>
        </is>
      </c>
      <c r="C20" s="112">
        <f>'Fund_ZAN 1'!C121</f>
        <v/>
      </c>
      <c r="D20" s="112">
        <f>'Fund_ZAN 2'!C121</f>
        <v/>
      </c>
      <c r="E20" s="112">
        <f>'Fund_ZAN 3'!C121</f>
        <v/>
      </c>
      <c r="F20" s="112">
        <f>'Fund_ZAN 4'!C121</f>
        <v/>
      </c>
      <c r="G20" s="112">
        <f>'Fund_ZAN 5'!C121</f>
        <v/>
      </c>
      <c r="H20" s="112">
        <f>'Fund_ZAN 6'!C121</f>
        <v/>
      </c>
    </row>
    <row r="21" ht="15" customHeight="1" s="91">
      <c r="A21" s="153" t="n">
        <v>4</v>
      </c>
      <c r="B21" s="153" t="inlineStr">
        <is>
          <t>Debt Balance ≥ 0</t>
        </is>
      </c>
      <c r="C21" s="112">
        <f>'Fund_ZAN 1'!C122</f>
        <v/>
      </c>
      <c r="D21" s="112">
        <f>'Fund_ZAN 2'!C122</f>
        <v/>
      </c>
      <c r="E21" s="112">
        <f>'Fund_ZAN 3'!C122</f>
        <v/>
      </c>
      <c r="F21" s="112">
        <f>'Fund_ZAN 4'!C122</f>
        <v/>
      </c>
      <c r="G21" s="112">
        <f>'Fund_ZAN 5'!C122</f>
        <v/>
      </c>
      <c r="H21" s="112">
        <f>'Fund_ZAN 6'!C122</f>
        <v/>
      </c>
    </row>
    <row r="22" ht="15" customHeight="1" s="91">
      <c r="A22" s="153" t="n">
        <v>5</v>
      </c>
      <c r="B22" s="153" t="inlineStr">
        <is>
          <t>LP+GP = Total Dist</t>
        </is>
      </c>
      <c r="C22" s="112">
        <f>'Fund_ZAN 1'!C123</f>
        <v/>
      </c>
      <c r="D22" s="112">
        <f>'Fund_ZAN 2'!C123</f>
        <v/>
      </c>
      <c r="E22" s="112">
        <f>'Fund_ZAN 3'!C123</f>
        <v/>
      </c>
      <c r="F22" s="112">
        <f>'Fund_ZAN 4'!C123</f>
        <v/>
      </c>
      <c r="G22" s="112">
        <f>'Fund_ZAN 5'!C123</f>
        <v/>
      </c>
      <c r="H22" s="112">
        <f>'Fund_ZAN 6'!C123</f>
        <v/>
      </c>
    </row>
    <row r="23" ht="15" customHeight="1" s="91">
      <c r="A23" s="153" t="n">
        <v>6</v>
      </c>
      <c r="B23" s="153" t="inlineStr">
        <is>
          <t>Debt Repaid by Tenor</t>
        </is>
      </c>
      <c r="C23" s="112">
        <f>'Fund_ZAN 1'!C124</f>
        <v/>
      </c>
      <c r="D23" s="112">
        <f>'Fund_ZAN 2'!C124</f>
        <v/>
      </c>
      <c r="E23" s="112">
        <f>'Fund_ZAN 3'!C124</f>
        <v/>
      </c>
      <c r="F23" s="112">
        <f>'Fund_ZAN 4'!C124</f>
        <v/>
      </c>
      <c r="G23" s="112">
        <f>'Fund_ZAN 5'!C124</f>
        <v/>
      </c>
      <c r="H23" s="112">
        <f>'Fund_ZAN 6'!C124</f>
        <v/>
      </c>
    </row>
    <row r="25" ht="15" customHeight="1" s="91">
      <c r="A25" s="152" t="inlineStr">
        <is>
          <t>C  BANK LEVEL CHECKS  فحوصات البنك</t>
        </is>
      </c>
      <c r="B25" s="152" t="n"/>
      <c r="C25" s="152" t="n"/>
      <c r="D25" s="152" t="n"/>
      <c r="E25" s="152" t="n"/>
      <c r="F25" s="152" t="n"/>
    </row>
    <row r="26" ht="15" customHeight="1" s="91">
      <c r="A26" s="175" t="inlineStr">
        <is>
          <t>#</t>
        </is>
      </c>
      <c r="B26" s="175" t="inlineStr">
        <is>
          <t>Check  الفحص</t>
        </is>
      </c>
      <c r="C26" s="175" t="inlineStr">
        <is>
          <t>Status</t>
        </is>
      </c>
      <c r="D26" s="175" t="inlineStr">
        <is>
          <t>Description  الوصف</t>
        </is>
      </c>
    </row>
    <row r="27" ht="15" customHeight="1" s="91">
      <c r="A27" s="153" t="n">
        <v>1</v>
      </c>
      <c r="B27" s="153" t="inlineStr">
        <is>
          <t>LTV ≤ Max LTV</t>
        </is>
      </c>
      <c r="C27" s="112">
        <f>Bank!C58</f>
        <v/>
      </c>
      <c r="D27" s="120" t="inlineStr">
        <is>
          <t>Debt ratio within limits  نسبة الدين ضمن الحدود</t>
        </is>
      </c>
    </row>
    <row r="28" ht="15" customHeight="1" s="91">
      <c r="A28" s="153" t="n">
        <v>2</v>
      </c>
      <c r="B28" s="153" t="inlineStr">
        <is>
          <t>Sources ≈ Dev Cost</t>
        </is>
      </c>
      <c r="C28" s="112">
        <f>Bank!C59</f>
        <v/>
      </c>
      <c r="D28" s="120" t="inlineStr">
        <is>
          <t>Sources match uses  المصادر تطابق الاستخدامات</t>
        </is>
      </c>
    </row>
    <row r="29" ht="15" customHeight="1" s="91">
      <c r="A29" s="153" t="n">
        <v>3</v>
      </c>
      <c r="B29" s="153" t="inlineStr">
        <is>
          <t>DSCR Post-Stabilization</t>
        </is>
      </c>
      <c r="C29" s="112">
        <f>Bank!C60</f>
        <v/>
      </c>
      <c r="D29" s="120" t="inlineStr">
        <is>
          <t>DSCR &gt; 1.0x after stabilization  تغطية بعد الاستقرار</t>
        </is>
      </c>
    </row>
    <row r="30" ht="15" customHeight="1" s="91">
      <c r="A30" s="153" t="n">
        <v>4</v>
      </c>
      <c r="B30" s="153" t="inlineStr">
        <is>
          <t>Debt Fully Repaid</t>
        </is>
      </c>
      <c r="C30" s="112">
        <f>Bank!C61</f>
        <v/>
      </c>
      <c r="D30" s="120" t="inlineStr">
        <is>
          <t>All debt repaid within tenor  الدين مسدد بالكامل</t>
        </is>
      </c>
    </row>
    <row r="32" ht="15" customHeight="1" s="91">
      <c r="A32" s="152" t="inlineStr">
        <is>
          <t>D  CROSS-SHEET CONSISTENCY  تطابق بين الشيتات</t>
        </is>
      </c>
      <c r="B32" s="152" t="n"/>
      <c r="C32" s="152" t="n"/>
      <c r="D32" s="152" t="n"/>
      <c r="E32" s="152" t="n"/>
      <c r="F32" s="152" t="n"/>
    </row>
    <row r="33" ht="15" customHeight="1" s="91">
      <c r="A33" s="175" t="inlineStr">
        <is>
          <t>#</t>
        </is>
      </c>
      <c r="B33" s="175" t="inlineStr">
        <is>
          <t>Check  الفحص</t>
        </is>
      </c>
      <c r="C33" s="175" t="inlineStr">
        <is>
          <t>Status</t>
        </is>
      </c>
      <c r="D33" s="175" t="inlineStr">
        <is>
          <t>Description  الوصف</t>
        </is>
      </c>
    </row>
    <row r="34" ht="15" customHeight="1" s="91">
      <c r="A34" s="153" t="n">
        <v>1</v>
      </c>
      <c r="B34" s="153" t="inlineStr">
        <is>
          <t>Fund Equity Sum = Summary</t>
        </is>
      </c>
      <c r="C34" s="153">
        <f>IF(ABS('Fund_ZAN 1'!C14+'Fund_ZAN 2'!C14+'Fund_ZAN 3'!C14+'Fund_ZAN 4'!C14+'Fund_ZAN 5'!C14+'Fund_ZAN 6'!C14-Fund_Summary!D14)&lt;1,"PASS","FAIL")</f>
        <v/>
      </c>
      <c r="D34" s="120" t="inlineStr">
        <is>
          <t>Sum of fund equities matches summary total</t>
        </is>
      </c>
    </row>
    <row r="35" ht="15" customHeight="1" s="91">
      <c r="A35" s="153" t="n">
        <v>2</v>
      </c>
      <c r="B35" s="153" t="inlineStr">
        <is>
          <t>Bank Debt = Sum of Fund Debts</t>
        </is>
      </c>
      <c r="C35" s="153">
        <f>IF(ABS(Bank!C13-('Fund_ZAN 1'!C19+'Fund_ZAN 2'!C19+'Fund_ZAN 3'!C19+'Fund_ZAN 4'!C19+'Fund_ZAN 5'!C19+'Fund_ZAN 6'!C19))&lt;1,"PASS","FAIL")</f>
        <v/>
      </c>
      <c r="D35" s="120" t="inlineStr">
        <is>
          <t>Bank total debt matches fund debts</t>
        </is>
      </c>
    </row>
    <row r="36" ht="15" customHeight="1" s="91">
      <c r="A36" s="153" t="n">
        <v>3</v>
      </c>
      <c r="B36" s="153" t="inlineStr">
        <is>
          <t>Bank Dev Cost = Sum of Fund DevCosts</t>
        </is>
      </c>
      <c r="C36" s="153">
        <f>IF(ABS(Bank!C11-('Fund_ZAN 1'!C18+'Fund_ZAN 2'!C18+'Fund_ZAN 3'!C18+'Fund_ZAN 4'!C18+'Fund_ZAN 5'!C18+'Fund_ZAN 6'!C18))&lt;1,"PASS","FAIL")</f>
        <v/>
      </c>
      <c r="D36" s="120" t="inlineStr">
        <is>
          <t>Bank dev cost matches fund dev costs</t>
        </is>
      </c>
    </row>
    <row r="37" ht="15" customHeight="1" s="91">
      <c r="A37" s="153" t="n">
        <v>4</v>
      </c>
      <c r="B37" s="153" t="inlineStr">
        <is>
          <t>CAPEX Total = CashFlow Total</t>
        </is>
      </c>
      <c r="C37" s="153">
        <f>IF(ABS(CAPEX!D52-ABS(CashFlow!C112))&lt;1,"PASS","FAIL")</f>
        <v/>
      </c>
      <c r="D37" s="120" t="inlineStr">
        <is>
          <t>CAPEX sheet total matches CashFlow CAPEX</t>
        </is>
      </c>
    </row>
    <row r="38" ht="15" customHeight="1" s="91">
      <c r="A38" s="153" t="n">
        <v>5</v>
      </c>
      <c r="B38" s="153" t="inlineStr">
        <is>
          <t>Revenue Total = CashFlow Income</t>
        </is>
      </c>
      <c r="C38" s="153">
        <f>IF(ABS((Revenue!D36+Revenue!D37+Revenue!D38)-CashFlow!C110)&lt;CashFlow!C110*0.001,"PASS","FAIL")</f>
        <v/>
      </c>
      <c r="D38" s="120" t="inlineStr">
        <is>
          <t>Revenue by phase matches CashFlow income</t>
        </is>
      </c>
    </row>
    <row r="40" ht="15" customHeight="1" s="91">
      <c r="A40" s="152" t="inlineStr">
        <is>
          <t>OVERALL STATUS  الحالة العامة</t>
        </is>
      </c>
      <c r="B40" s="152" t="n"/>
      <c r="C40" s="152" t="n"/>
      <c r="D40" s="152" t="n"/>
      <c r="E40" s="152" t="n"/>
      <c r="F40" s="152" t="n"/>
    </row>
    <row r="41" ht="15" customHeight="1" s="91">
      <c r="B41" s="110" t="inlineStr">
        <is>
          <t>Project Checks</t>
        </is>
      </c>
      <c r="C41" s="110">
        <f>IF(COUNTIF(C6:C14,"FAIL")=0,"ALL PASS ✓","ERRORS: "&amp;COUNTIF(C6:C14,"FAIL"))</f>
        <v/>
      </c>
    </row>
    <row r="42" ht="15" customHeight="1" s="91">
      <c r="B42" s="110" t="inlineStr">
        <is>
          <t>Fund Checks (ZAN 1-3)</t>
        </is>
      </c>
      <c r="C42" s="110">
        <f>IF(COUNTIF(C18:E23,"✗")=0,"ALL PASS ✓","ERRORS: "&amp;COUNTIF(C18:E23,"✗"))</f>
        <v/>
      </c>
    </row>
    <row r="43" ht="15" customHeight="1" s="91">
      <c r="B43" s="110" t="inlineStr">
        <is>
          <t>Bank Checks</t>
        </is>
      </c>
      <c r="C43" s="110">
        <f>IF(COUNTIF(C27:C30,"✗")=0,"ALL PASS ✓","ERRORS: "&amp;COUNTIF(C27:C30,"✗"))</f>
        <v/>
      </c>
    </row>
    <row r="44" ht="15" customHeight="1" s="91">
      <c r="B44" s="110" t="inlineStr">
        <is>
          <t>Cross-Sheet Checks</t>
        </is>
      </c>
      <c r="C44" s="110">
        <f>IF(COUNTIF(C34:C38,"FAIL")=0,"ALL PASS ✓","ERRORS: "&amp;COUNTIF(C34:C38,"FAIL"))</f>
        <v/>
      </c>
    </row>
    <row r="46" ht="15" customHeight="1" s="91">
      <c r="B46" s="176" t="inlineStr">
        <is>
          <t>OVERALL  الحالة الإجمالية</t>
        </is>
      </c>
      <c r="C46" s="177">
        <f>IF(AND(C41="ALL PASS ✓",C42="ALL PASS ✓",C43="ALL PASS ✓",C44="ALL PASS ✓"),"✓ MODEL CLEAN","✗ ERRORS FOUND")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2026-03-23T19:30:33Z</dcterms:created>
  <dcterms:modified xmlns:dcterms="http://purl.org/dc/terms/" xmlns:xsi="http://www.w3.org/2001/XMLSchema-instance" xsi:type="dcterms:W3CDTF">2026-03-24T13:04:56Z</dcterms:modified>
  <cp:revision>0</cp:revision>
</cp:coreProperties>
</file>